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\Documents\CLASSWORK\Machine Learning\MLProject3\S&amp;P100\excelDownloaders\"/>
    </mc:Choice>
  </mc:AlternateContent>
  <bookViews>
    <workbookView xWindow="360" yWindow="480" windowWidth="9420" windowHeight="8085"/>
  </bookViews>
  <sheets>
    <sheet name="Parameters" sheetId="3" r:id="rId1"/>
    <sheet name="AAPL" sheetId="5202" r:id="rId2"/>
    <sheet name="ABBV" sheetId="5203" r:id="rId3"/>
    <sheet name="ABT" sheetId="5204" r:id="rId4"/>
    <sheet name="ACN" sheetId="5205" r:id="rId5"/>
    <sheet name="AIG" sheetId="5206" r:id="rId6"/>
    <sheet name="ALL" sheetId="5207" r:id="rId7"/>
    <sheet name="AMGN" sheetId="5208" r:id="rId8"/>
    <sheet name="AMZN" sheetId="5209" r:id="rId9"/>
    <sheet name="APA" sheetId="5210" r:id="rId10"/>
    <sheet name="APC" sheetId="5211" r:id="rId11"/>
    <sheet name="AXP" sheetId="5212" r:id="rId12"/>
    <sheet name="BA" sheetId="5213" r:id="rId13"/>
    <sheet name="BAC" sheetId="5214" r:id="rId14"/>
    <sheet name="BAX" sheetId="5215" r:id="rId15"/>
    <sheet name="BIIB" sheetId="5216" r:id="rId16"/>
    <sheet name="BK" sheetId="5217" r:id="rId17"/>
    <sheet name="BMY" sheetId="5218" r:id="rId18"/>
    <sheet name="BRK-B" sheetId="5219" r:id="rId19"/>
    <sheet name="C" sheetId="5220" r:id="rId20"/>
    <sheet name="CAT" sheetId="5221" r:id="rId21"/>
    <sheet name="CL" sheetId="5222" r:id="rId22"/>
    <sheet name="CMCSA" sheetId="5223" r:id="rId23"/>
    <sheet name="COF" sheetId="5224" r:id="rId24"/>
    <sheet name="COP" sheetId="5225" r:id="rId25"/>
    <sheet name="COST" sheetId="5226" r:id="rId26"/>
    <sheet name="CSCO" sheetId="5227" r:id="rId27"/>
    <sheet name="CVS" sheetId="5228" r:id="rId28"/>
    <sheet name="CVX" sheetId="5229" r:id="rId29"/>
    <sheet name="DD" sheetId="5230" r:id="rId30"/>
    <sheet name="DIS" sheetId="5231" r:id="rId31"/>
    <sheet name="DOW" sheetId="5232" r:id="rId32"/>
    <sheet name="DVN" sheetId="5233" r:id="rId33"/>
    <sheet name="EBAY" sheetId="5234" r:id="rId34"/>
    <sheet name="EMC" sheetId="5235" r:id="rId35"/>
    <sheet name="EMR" sheetId="5236" r:id="rId36"/>
    <sheet name="EXC" sheetId="5237" r:id="rId37"/>
    <sheet name="F" sheetId="5238" r:id="rId38"/>
    <sheet name="FB" sheetId="5239" r:id="rId39"/>
    <sheet name="FCX" sheetId="5240" r:id="rId40"/>
    <sheet name="FDX" sheetId="5241" r:id="rId41"/>
    <sheet name="FOXA" sheetId="5242" r:id="rId42"/>
    <sheet name="GD" sheetId="5243" r:id="rId43"/>
    <sheet name="GE" sheetId="5244" r:id="rId44"/>
    <sheet name="GILD" sheetId="5245" r:id="rId45"/>
    <sheet name="GM" sheetId="5246" r:id="rId46"/>
    <sheet name="GOOG" sheetId="5247" r:id="rId47"/>
    <sheet name="GOOGL" sheetId="5248" r:id="rId48"/>
    <sheet name="GS" sheetId="5249" r:id="rId49"/>
    <sheet name="HAL" sheetId="5250" r:id="rId50"/>
    <sheet name="HD" sheetId="5251" r:id="rId51"/>
    <sheet name="HON" sheetId="5252" r:id="rId52"/>
    <sheet name="HPQ" sheetId="5253" r:id="rId53"/>
    <sheet name="IBM" sheetId="5254" r:id="rId54"/>
    <sheet name="INTC" sheetId="5255" r:id="rId55"/>
    <sheet name="JNJ" sheetId="5256" r:id="rId56"/>
    <sheet name="JPM" sheetId="5257" r:id="rId57"/>
    <sheet name="KO" sheetId="5258" r:id="rId58"/>
    <sheet name="LLY" sheetId="5259" r:id="rId59"/>
    <sheet name="LMT" sheetId="5260" r:id="rId60"/>
    <sheet name="LOW" sheetId="5261" r:id="rId61"/>
    <sheet name="MA" sheetId="5262" r:id="rId62"/>
    <sheet name="MCD" sheetId="5263" r:id="rId63"/>
    <sheet name="MDLZ" sheetId="5264" r:id="rId64"/>
    <sheet name="MDT" sheetId="5265" r:id="rId65"/>
    <sheet name="MET" sheetId="5266" r:id="rId66"/>
    <sheet name="MMM" sheetId="5267" r:id="rId67"/>
    <sheet name="MO" sheetId="5268" r:id="rId68"/>
    <sheet name="MON" sheetId="5269" r:id="rId69"/>
    <sheet name="MRK" sheetId="5270" r:id="rId70"/>
    <sheet name="MS" sheetId="5271" r:id="rId71"/>
    <sheet name="MSFT" sheetId="5272" r:id="rId72"/>
    <sheet name="NKE" sheetId="5273" r:id="rId73"/>
    <sheet name="NOV" sheetId="5274" r:id="rId74"/>
    <sheet name="NSC" sheetId="5275" r:id="rId75"/>
    <sheet name="ORCL" sheetId="5276" r:id="rId76"/>
    <sheet name="OXY" sheetId="5277" r:id="rId77"/>
    <sheet name="PEP" sheetId="5278" r:id="rId78"/>
    <sheet name="PFE" sheetId="5279" r:id="rId79"/>
    <sheet name="PG" sheetId="5280" r:id="rId80"/>
    <sheet name="PM" sheetId="5281" r:id="rId81"/>
    <sheet name="QCOM" sheetId="5282" r:id="rId82"/>
    <sheet name="RTN" sheetId="5283" r:id="rId83"/>
    <sheet name="SBUX" sheetId="5284" r:id="rId84"/>
    <sheet name="SLB" sheetId="5285" r:id="rId85"/>
    <sheet name="SO" sheetId="5286" r:id="rId86"/>
    <sheet name="SPG" sheetId="5287" r:id="rId87"/>
    <sheet name="T" sheetId="5288" r:id="rId88"/>
    <sheet name="TGT" sheetId="5289" r:id="rId89"/>
    <sheet name="TWX" sheetId="5290" r:id="rId90"/>
    <sheet name="TXN" sheetId="5291" r:id="rId91"/>
    <sheet name="UNH" sheetId="5292" r:id="rId92"/>
    <sheet name="UNP" sheetId="5293" r:id="rId93"/>
    <sheet name="UPS" sheetId="5294" r:id="rId94"/>
    <sheet name="USB" sheetId="5295" r:id="rId95"/>
    <sheet name="UTX" sheetId="5296" r:id="rId96"/>
    <sheet name="V" sheetId="5297" r:id="rId97"/>
    <sheet name="VZ" sheetId="5298" r:id="rId98"/>
    <sheet name="WAG" sheetId="5299" r:id="rId99"/>
    <sheet name="WFC" sheetId="5300" r:id="rId100"/>
    <sheet name="WMT" sheetId="5301" r:id="rId101"/>
    <sheet name="Open Price" sheetId="5302" r:id="rId102"/>
    <sheet name="High Price" sheetId="5303" r:id="rId103"/>
    <sheet name="Low Price" sheetId="5304" r:id="rId104"/>
    <sheet name="Close Price" sheetId="5305" r:id="rId105"/>
    <sheet name="Trading Volume" sheetId="5306" r:id="rId106"/>
    <sheet name="Adjusted Close Price" sheetId="5307" r:id="rId107"/>
  </sheets>
  <definedNames>
    <definedName name="collateData">Parameters!$H$5</definedName>
    <definedName name="exportToCSV">Parameters!$H$4</definedName>
    <definedName name="ExternalData_1" localSheetId="1">AAPL!$A$2:$A$55</definedName>
    <definedName name="ExternalData_1" localSheetId="2">ABBV!$A$2:$A$55</definedName>
    <definedName name="ExternalData_1" localSheetId="3">ABT!$A$2:$A$55</definedName>
    <definedName name="ExternalData_1" localSheetId="4">ACN!$A$2:$A$55</definedName>
    <definedName name="ExternalData_1" localSheetId="106">'Adjusted Close Price'!$A$1:$A$54</definedName>
    <definedName name="ExternalData_1" localSheetId="5">AIG!$A$2:$A$55</definedName>
    <definedName name="ExternalData_1" localSheetId="6">ALL!$A$2:$A$55</definedName>
    <definedName name="ExternalData_1" localSheetId="7">AMGN!$A$2:$A$55</definedName>
    <definedName name="ExternalData_1" localSheetId="8">AMZN!$A$2:$A$55</definedName>
    <definedName name="ExternalData_1" localSheetId="9">APA!$A$2:$A$55</definedName>
    <definedName name="ExternalData_1" localSheetId="10">APC!$A$2:$A$55</definedName>
    <definedName name="ExternalData_1" localSheetId="11">AXP!$A$2:$A$55</definedName>
    <definedName name="ExternalData_1" localSheetId="12">BA!$A$2:$A$55</definedName>
    <definedName name="ExternalData_1" localSheetId="13">BAC!$A$2:$A$55</definedName>
    <definedName name="ExternalData_1" localSheetId="14">BAX!$A$2:$A$55</definedName>
    <definedName name="ExternalData_1" localSheetId="15">BIIB!$A$2:$A$55</definedName>
    <definedName name="ExternalData_1" localSheetId="16">BK!$A$2:$A$55</definedName>
    <definedName name="ExternalData_1" localSheetId="17">BMY!$A$2:$A$55</definedName>
    <definedName name="ExternalData_1" localSheetId="18">'BRK-B'!$A$2:$A$55</definedName>
    <definedName name="ExternalData_1" localSheetId="19">'C'!$A$2:$A$55</definedName>
    <definedName name="ExternalData_1" localSheetId="20">CAT!$A$2:$A$55</definedName>
    <definedName name="ExternalData_1" localSheetId="21">CL!$A$2:$A$55</definedName>
    <definedName name="ExternalData_1" localSheetId="104">'Close Price'!$A$1:$A$54</definedName>
    <definedName name="ExternalData_1" localSheetId="22">CMCSA!$A$2:$A$55</definedName>
    <definedName name="ExternalData_1" localSheetId="23">COF!$A$2:$A$55</definedName>
    <definedName name="ExternalData_1" localSheetId="24">COP!$A$2:$A$55</definedName>
    <definedName name="ExternalData_1" localSheetId="25">COST!$A$2:$A$55</definedName>
    <definedName name="ExternalData_1" localSheetId="26">CSCO!$A$2:$A$55</definedName>
    <definedName name="ExternalData_1" localSheetId="27">CVS!$A$2:$A$55</definedName>
    <definedName name="ExternalData_1" localSheetId="28">CVX!$A$2:$A$55</definedName>
    <definedName name="ExternalData_1" localSheetId="29">DD!$A$2:$A$55</definedName>
    <definedName name="ExternalData_1" localSheetId="30">DIS!$A$2:$A$55</definedName>
    <definedName name="ExternalData_1" localSheetId="31">DOW!$A$2:$A$55</definedName>
    <definedName name="ExternalData_1" localSheetId="32">DVN!$A$2:$A$55</definedName>
    <definedName name="ExternalData_1" localSheetId="33">EBAY!$A$2:$A$55</definedName>
    <definedName name="ExternalData_1" localSheetId="34">EMC!$A$2:$A$55</definedName>
    <definedName name="ExternalData_1" localSheetId="35">EMR!$A$2:$A$55</definedName>
    <definedName name="ExternalData_1" localSheetId="36">EXC!$A$2:$A$55</definedName>
    <definedName name="ExternalData_1" localSheetId="37">F!$A$2:$A$55</definedName>
    <definedName name="ExternalData_1" localSheetId="38">FB!$A$2:$A$55</definedName>
    <definedName name="ExternalData_1" localSheetId="39">FCX!$A$2:$A$55</definedName>
    <definedName name="ExternalData_1" localSheetId="40">FDX!$A$2:$A$55</definedName>
    <definedName name="ExternalData_1" localSheetId="41">FOXA!$A$2:$A$55</definedName>
    <definedName name="ExternalData_1" localSheetId="42">GD!$A$2:$A$55</definedName>
    <definedName name="ExternalData_1" localSheetId="43">GE!$A$2:$A$55</definedName>
    <definedName name="ExternalData_1" localSheetId="44">GILD!$A$2:$A$55</definedName>
    <definedName name="ExternalData_1" localSheetId="45">GM!$A$2:$A$55</definedName>
    <definedName name="ExternalData_1" localSheetId="46">GOOG!$A$2:$A$55</definedName>
    <definedName name="ExternalData_1" localSheetId="47">GOOGL!$A$2:$A$55</definedName>
    <definedName name="ExternalData_1" localSheetId="48">GS!$A$2:$A$55</definedName>
    <definedName name="ExternalData_1" localSheetId="49">HAL!$A$2:$A$55</definedName>
    <definedName name="ExternalData_1" localSheetId="50">HD!$A$2:$A$55</definedName>
    <definedName name="ExternalData_1" localSheetId="102">'High Price'!$A$1:$A$54</definedName>
    <definedName name="ExternalData_1" localSheetId="51">HON!$A$2:$A$55</definedName>
    <definedName name="ExternalData_1" localSheetId="52">HPQ!$A$2:$A$55</definedName>
    <definedName name="ExternalData_1" localSheetId="53">IBM!$A$2:$A$55</definedName>
    <definedName name="ExternalData_1" localSheetId="54">INTC!$A$2:$A$55</definedName>
    <definedName name="ExternalData_1" localSheetId="55">JNJ!$A$2:$A$55</definedName>
    <definedName name="ExternalData_1" localSheetId="56">JPM!$A$2:$A$55</definedName>
    <definedName name="ExternalData_1" localSheetId="57">KO!$A$2:$A$55</definedName>
    <definedName name="ExternalData_1" localSheetId="58">LLY!$A$2:$A$55</definedName>
    <definedName name="ExternalData_1" localSheetId="59">LMT!$A$2:$A$55</definedName>
    <definedName name="ExternalData_1" localSheetId="60">LOW!$A$2:$A$55</definedName>
    <definedName name="ExternalData_1" localSheetId="103">'Low Price'!$A$1:$A$54</definedName>
    <definedName name="ExternalData_1" localSheetId="61">MA!$A$2:$A$55</definedName>
    <definedName name="ExternalData_1" localSheetId="62">MCD!$A$2:$A$55</definedName>
    <definedName name="ExternalData_1" localSheetId="63">MDLZ!$A$2:$A$55</definedName>
    <definedName name="ExternalData_1" localSheetId="64">MDT!$A$2:$A$55</definedName>
    <definedName name="ExternalData_1" localSheetId="65">MET!$A$2:$A$55</definedName>
    <definedName name="ExternalData_1" localSheetId="66">MMM!$A$2:$A$55</definedName>
    <definedName name="ExternalData_1" localSheetId="67">MO!$A$2:$A$55</definedName>
    <definedName name="ExternalData_1" localSheetId="68">MON!$A$2:$A$55</definedName>
    <definedName name="ExternalData_1" localSheetId="69">MRK!$A$2:$A$55</definedName>
    <definedName name="ExternalData_1" localSheetId="70">MS!$A$2:$A$55</definedName>
    <definedName name="ExternalData_1" localSheetId="71">MSFT!$A$2:$A$55</definedName>
    <definedName name="ExternalData_1" localSheetId="72">NKE!$A$2:$A$55</definedName>
    <definedName name="ExternalData_1" localSheetId="73">NOV!$A$2:$A$55</definedName>
    <definedName name="ExternalData_1" localSheetId="74">NSC!$A$2:$A$55</definedName>
    <definedName name="ExternalData_1" localSheetId="101">'Open Price'!$A$1:$A$54</definedName>
    <definedName name="ExternalData_1" localSheetId="75">ORCL!$A$2:$A$55</definedName>
    <definedName name="ExternalData_1" localSheetId="76">OXY!$A$2:$A$55</definedName>
    <definedName name="ExternalData_1" localSheetId="77">PEP!$A$2:$A$55</definedName>
    <definedName name="ExternalData_1" localSheetId="78">PFE!$A$2:$A$55</definedName>
    <definedName name="ExternalData_1" localSheetId="79">PG!$A$2:$A$55</definedName>
    <definedName name="ExternalData_1" localSheetId="80">PM!$A$2:$A$55</definedName>
    <definedName name="ExternalData_1" localSheetId="81">QCOM!$A$2:$A$55</definedName>
    <definedName name="ExternalData_1" localSheetId="82">RTN!$A$2:$A$55</definedName>
    <definedName name="ExternalData_1" localSheetId="83">SBUX!$A$2:$A$55</definedName>
    <definedName name="ExternalData_1" localSheetId="84">SLB!$A$2:$A$55</definedName>
    <definedName name="ExternalData_1" localSheetId="85">SO!$A$2:$A$55</definedName>
    <definedName name="ExternalData_1" localSheetId="86">SPG!$A$2:$A$55</definedName>
    <definedName name="ExternalData_1" localSheetId="87">T!$A$2:$A$55</definedName>
    <definedName name="ExternalData_1" localSheetId="88">TGT!$A$2:$A$55</definedName>
    <definedName name="ExternalData_1" localSheetId="105">'Trading Volume'!$A$1:$A$54</definedName>
    <definedName name="ExternalData_1" localSheetId="89">TWX!$A$2:$A$55</definedName>
    <definedName name="ExternalData_1" localSheetId="90">TXN!$A$2:$A$55</definedName>
    <definedName name="ExternalData_1" localSheetId="91">UNH!$A$2:$A$55</definedName>
    <definedName name="ExternalData_1" localSheetId="92">UNP!$A$2:$A$55</definedName>
    <definedName name="ExternalData_1" localSheetId="93">UPS!$A$2:$A$55</definedName>
    <definedName name="ExternalData_1" localSheetId="94">USB!$A$2:$A$55</definedName>
    <definedName name="ExternalData_1" localSheetId="95">UTX!$A$2:$A$55</definedName>
    <definedName name="ExternalData_1" localSheetId="96">V!$A$2:$A$55</definedName>
    <definedName name="ExternalData_1" localSheetId="97">VZ!$A$2:$A$55</definedName>
    <definedName name="ExternalData_1" localSheetId="98">WAG!$A$2:$A$55</definedName>
    <definedName name="ExternalData_1" localSheetId="99">WFC!$A$2:$A$55</definedName>
    <definedName name="ExternalData_1" localSheetId="100">WMT!$A$2:$A$55</definedName>
  </definedNames>
  <calcPr calcId="152511"/>
</workbook>
</file>

<file path=xl/calcChain.xml><?xml version="1.0" encoding="utf-8"?>
<calcChain xmlns="http://schemas.openxmlformats.org/spreadsheetml/2006/main">
  <c r="CW2" i="5307" l="1"/>
  <c r="CW3" i="5307"/>
  <c r="CW4" i="5307"/>
  <c r="CW5" i="5307"/>
  <c r="CW6" i="5307"/>
  <c r="CW7" i="5307"/>
  <c r="CW8" i="5307"/>
  <c r="CW9" i="5307"/>
  <c r="CW10" i="5307"/>
  <c r="CW11" i="5307"/>
  <c r="CW12" i="5307"/>
  <c r="CW13" i="5307"/>
  <c r="CW14" i="5307"/>
  <c r="CW15" i="5307"/>
  <c r="CW16" i="5307"/>
  <c r="CW17" i="5307"/>
  <c r="CW18" i="5307"/>
  <c r="CW19" i="5307"/>
  <c r="CW20" i="5307"/>
  <c r="CW21" i="5307"/>
  <c r="CW22" i="5307"/>
  <c r="CW23" i="5307"/>
  <c r="CW24" i="5307"/>
  <c r="CW25" i="5307"/>
  <c r="CW26" i="5307"/>
  <c r="CW27" i="5307"/>
  <c r="CW28" i="5307"/>
  <c r="CW29" i="5307"/>
  <c r="CW30" i="5307"/>
  <c r="CW31" i="5307"/>
  <c r="CW32" i="5307"/>
  <c r="CW33" i="5307"/>
  <c r="CW34" i="5307"/>
  <c r="CW35" i="5307"/>
  <c r="CW36" i="5307"/>
  <c r="CW37" i="5307"/>
  <c r="CW38" i="5307"/>
  <c r="CW39" i="5307"/>
  <c r="CW40" i="5307"/>
  <c r="CW41" i="5307"/>
  <c r="CW42" i="5307"/>
  <c r="CW43" i="5307"/>
  <c r="CW44" i="5307"/>
  <c r="CW45" i="5307"/>
  <c r="CW46" i="5307"/>
  <c r="CW47" i="5307"/>
  <c r="CW48" i="5307"/>
  <c r="CW49" i="5307"/>
  <c r="CW50" i="5307"/>
  <c r="CW51" i="5307"/>
  <c r="CW52" i="5307"/>
  <c r="CW53" i="5307"/>
  <c r="CW54" i="5307"/>
  <c r="CW2" i="5306"/>
  <c r="CW3" i="5306"/>
  <c r="CW4" i="5306"/>
  <c r="CW5" i="5306"/>
  <c r="CW6" i="5306"/>
  <c r="CW7" i="5306"/>
  <c r="CW8" i="5306"/>
  <c r="CW9" i="5306"/>
  <c r="CW10" i="5306"/>
  <c r="CW11" i="5306"/>
  <c r="CW12" i="5306"/>
  <c r="CW13" i="5306"/>
  <c r="CW14" i="5306"/>
  <c r="CW15" i="5306"/>
  <c r="CW16" i="5306"/>
  <c r="CW17" i="5306"/>
  <c r="CW18" i="5306"/>
  <c r="CW19" i="5306"/>
  <c r="CW20" i="5306"/>
  <c r="CW21" i="5306"/>
  <c r="CW22" i="5306"/>
  <c r="CW23" i="5306"/>
  <c r="CW24" i="5306"/>
  <c r="CW25" i="5306"/>
  <c r="CW26" i="5306"/>
  <c r="CW27" i="5306"/>
  <c r="CW28" i="5306"/>
  <c r="CW29" i="5306"/>
  <c r="CW30" i="5306"/>
  <c r="CW31" i="5306"/>
  <c r="CW32" i="5306"/>
  <c r="CW33" i="5306"/>
  <c r="CW34" i="5306"/>
  <c r="CW35" i="5306"/>
  <c r="CW36" i="5306"/>
  <c r="CW37" i="5306"/>
  <c r="CW38" i="5306"/>
  <c r="CW39" i="5306"/>
  <c r="CW40" i="5306"/>
  <c r="CW41" i="5306"/>
  <c r="CW42" i="5306"/>
  <c r="CW43" i="5306"/>
  <c r="CW44" i="5306"/>
  <c r="CW45" i="5306"/>
  <c r="CW46" i="5306"/>
  <c r="CW47" i="5306"/>
  <c r="CW48" i="5306"/>
  <c r="CW49" i="5306"/>
  <c r="CW50" i="5306"/>
  <c r="CW51" i="5306"/>
  <c r="CW52" i="5306"/>
  <c r="CW53" i="5306"/>
  <c r="CW54" i="5306"/>
  <c r="CW2" i="5305"/>
  <c r="CW3" i="5305"/>
  <c r="CW4" i="5305"/>
  <c r="CW5" i="5305"/>
  <c r="CW6" i="5305"/>
  <c r="CW7" i="5305"/>
  <c r="CW8" i="5305"/>
  <c r="CW9" i="5305"/>
  <c r="CW10" i="5305"/>
  <c r="CW11" i="5305"/>
  <c r="CW12" i="5305"/>
  <c r="CW13" i="5305"/>
  <c r="CW14" i="5305"/>
  <c r="CW15" i="5305"/>
  <c r="CW16" i="5305"/>
  <c r="CW17" i="5305"/>
  <c r="CW18" i="5305"/>
  <c r="CW19" i="5305"/>
  <c r="CW20" i="5305"/>
  <c r="CW21" i="5305"/>
  <c r="CW22" i="5305"/>
  <c r="CW23" i="5305"/>
  <c r="CW24" i="5305"/>
  <c r="CW25" i="5305"/>
  <c r="CW26" i="5305"/>
  <c r="CW27" i="5305"/>
  <c r="CW28" i="5305"/>
  <c r="CW29" i="5305"/>
  <c r="CW30" i="5305"/>
  <c r="CW31" i="5305"/>
  <c r="CW32" i="5305"/>
  <c r="CW33" i="5305"/>
  <c r="CW34" i="5305"/>
  <c r="CW35" i="5305"/>
  <c r="CW36" i="5305"/>
  <c r="CW37" i="5305"/>
  <c r="CW38" i="5305"/>
  <c r="CW39" i="5305"/>
  <c r="CW40" i="5305"/>
  <c r="CW41" i="5305"/>
  <c r="CW42" i="5305"/>
  <c r="CW43" i="5305"/>
  <c r="CW44" i="5305"/>
  <c r="CW45" i="5305"/>
  <c r="CW46" i="5305"/>
  <c r="CW47" i="5305"/>
  <c r="CW48" i="5305"/>
  <c r="CW49" i="5305"/>
  <c r="CW50" i="5305"/>
  <c r="CW51" i="5305"/>
  <c r="CW52" i="5305"/>
  <c r="CW53" i="5305"/>
  <c r="CW54" i="5305"/>
  <c r="CW2" i="5304"/>
  <c r="CW3" i="5304"/>
  <c r="CW4" i="5304"/>
  <c r="CW5" i="5304"/>
  <c r="CW6" i="5304"/>
  <c r="CW7" i="5304"/>
  <c r="CW8" i="5304"/>
  <c r="CW9" i="5304"/>
  <c r="CW10" i="5304"/>
  <c r="CW11" i="5304"/>
  <c r="CW12" i="5304"/>
  <c r="CW13" i="5304"/>
  <c r="CW14" i="5304"/>
  <c r="CW15" i="5304"/>
  <c r="CW16" i="5304"/>
  <c r="CW17" i="5304"/>
  <c r="CW18" i="5304"/>
  <c r="CW19" i="5304"/>
  <c r="CW20" i="5304"/>
  <c r="CW21" i="5304"/>
  <c r="CW22" i="5304"/>
  <c r="CW23" i="5304"/>
  <c r="CW24" i="5304"/>
  <c r="CW25" i="5304"/>
  <c r="CW26" i="5304"/>
  <c r="CW27" i="5304"/>
  <c r="CW28" i="5304"/>
  <c r="CW29" i="5304"/>
  <c r="CW30" i="5304"/>
  <c r="CW31" i="5304"/>
  <c r="CW32" i="5304"/>
  <c r="CW33" i="5304"/>
  <c r="CW34" i="5304"/>
  <c r="CW35" i="5304"/>
  <c r="CW36" i="5304"/>
  <c r="CW37" i="5304"/>
  <c r="CW38" i="5304"/>
  <c r="CW39" i="5304"/>
  <c r="CW40" i="5304"/>
  <c r="CW41" i="5304"/>
  <c r="CW42" i="5304"/>
  <c r="CW43" i="5304"/>
  <c r="CW44" i="5304"/>
  <c r="CW45" i="5304"/>
  <c r="CW46" i="5304"/>
  <c r="CW47" i="5304"/>
  <c r="CW48" i="5304"/>
  <c r="CW49" i="5304"/>
  <c r="CW50" i="5304"/>
  <c r="CW51" i="5304"/>
  <c r="CW52" i="5304"/>
  <c r="CW53" i="5304"/>
  <c r="CW54" i="5304"/>
  <c r="CW2" i="5303"/>
  <c r="CW3" i="5303"/>
  <c r="CW4" i="5303"/>
  <c r="CW5" i="5303"/>
  <c r="CW6" i="5303"/>
  <c r="CW7" i="5303"/>
  <c r="CW8" i="5303"/>
  <c r="CW9" i="5303"/>
  <c r="CW10" i="5303"/>
  <c r="CW11" i="5303"/>
  <c r="CW12" i="5303"/>
  <c r="CW13" i="5303"/>
  <c r="CW14" i="5303"/>
  <c r="CW15" i="5303"/>
  <c r="CW16" i="5303"/>
  <c r="CW17" i="5303"/>
  <c r="CW18" i="5303"/>
  <c r="CW19" i="5303"/>
  <c r="CW20" i="5303"/>
  <c r="CW21" i="5303"/>
  <c r="CW22" i="5303"/>
  <c r="CW23" i="5303"/>
  <c r="CW24" i="5303"/>
  <c r="CW25" i="5303"/>
  <c r="CW26" i="5303"/>
  <c r="CW27" i="5303"/>
  <c r="CW28" i="5303"/>
  <c r="CW29" i="5303"/>
  <c r="CW30" i="5303"/>
  <c r="CW31" i="5303"/>
  <c r="CW32" i="5303"/>
  <c r="CW33" i="5303"/>
  <c r="CW34" i="5303"/>
  <c r="CW35" i="5303"/>
  <c r="CW36" i="5303"/>
  <c r="CW37" i="5303"/>
  <c r="CW38" i="5303"/>
  <c r="CW39" i="5303"/>
  <c r="CW40" i="5303"/>
  <c r="CW41" i="5303"/>
  <c r="CW42" i="5303"/>
  <c r="CW43" i="5303"/>
  <c r="CW44" i="5303"/>
  <c r="CW45" i="5303"/>
  <c r="CW46" i="5303"/>
  <c r="CW47" i="5303"/>
  <c r="CW48" i="5303"/>
  <c r="CW49" i="5303"/>
  <c r="CW50" i="5303"/>
  <c r="CW51" i="5303"/>
  <c r="CW52" i="5303"/>
  <c r="CW53" i="5303"/>
  <c r="CW54" i="5303"/>
  <c r="CW2" i="5302"/>
  <c r="CW3" i="5302"/>
  <c r="CW4" i="5302"/>
  <c r="CW5" i="5302"/>
  <c r="CW6" i="5302"/>
  <c r="CW7" i="5302"/>
  <c r="CW8" i="5302"/>
  <c r="CW9" i="5302"/>
  <c r="CW10" i="5302"/>
  <c r="CW11" i="5302"/>
  <c r="CW12" i="5302"/>
  <c r="CW13" i="5302"/>
  <c r="CW14" i="5302"/>
  <c r="CW15" i="5302"/>
  <c r="CW16" i="5302"/>
  <c r="CW17" i="5302"/>
  <c r="CW18" i="5302"/>
  <c r="CW19" i="5302"/>
  <c r="CW20" i="5302"/>
  <c r="CW21" i="5302"/>
  <c r="CW22" i="5302"/>
  <c r="CW23" i="5302"/>
  <c r="CW24" i="5302"/>
  <c r="CW25" i="5302"/>
  <c r="CW26" i="5302"/>
  <c r="CW27" i="5302"/>
  <c r="CW28" i="5302"/>
  <c r="CW29" i="5302"/>
  <c r="CW30" i="5302"/>
  <c r="CW31" i="5302"/>
  <c r="CW32" i="5302"/>
  <c r="CW33" i="5302"/>
  <c r="CW34" i="5302"/>
  <c r="CW35" i="5302"/>
  <c r="CW36" i="5302"/>
  <c r="CW37" i="5302"/>
  <c r="CW38" i="5302"/>
  <c r="CW39" i="5302"/>
  <c r="CW40" i="5302"/>
  <c r="CW41" i="5302"/>
  <c r="CW42" i="5302"/>
  <c r="CW43" i="5302"/>
  <c r="CW44" i="5302"/>
  <c r="CW45" i="5302"/>
  <c r="CW46" i="5302"/>
  <c r="CW47" i="5302"/>
  <c r="CW48" i="5302"/>
  <c r="CW49" i="5302"/>
  <c r="CW50" i="5302"/>
  <c r="CW51" i="5302"/>
  <c r="CW52" i="5302"/>
  <c r="CW53" i="5302"/>
  <c r="CW54" i="5302"/>
  <c r="CV2" i="5307"/>
  <c r="CV3" i="5307"/>
  <c r="CV4" i="5307"/>
  <c r="CV5" i="5307"/>
  <c r="CV6" i="5307"/>
  <c r="CV7" i="5307"/>
  <c r="CV8" i="5307"/>
  <c r="CV9" i="5307"/>
  <c r="CV10" i="5307"/>
  <c r="CV11" i="5307"/>
  <c r="CV12" i="5307"/>
  <c r="CV13" i="5307"/>
  <c r="CV14" i="5307"/>
  <c r="CV15" i="5307"/>
  <c r="CV16" i="5307"/>
  <c r="CV17" i="5307"/>
  <c r="CV18" i="5307"/>
  <c r="CV19" i="5307"/>
  <c r="CV20" i="5307"/>
  <c r="CV21" i="5307"/>
  <c r="CV22" i="5307"/>
  <c r="CV23" i="5307"/>
  <c r="CV24" i="5307"/>
  <c r="CV25" i="5307"/>
  <c r="CV26" i="5307"/>
  <c r="CV27" i="5307"/>
  <c r="CV28" i="5307"/>
  <c r="CV29" i="5307"/>
  <c r="CV30" i="5307"/>
  <c r="CV31" i="5307"/>
  <c r="CV32" i="5307"/>
  <c r="CV33" i="5307"/>
  <c r="CV34" i="5307"/>
  <c r="CV35" i="5307"/>
  <c r="CV36" i="5307"/>
  <c r="CV37" i="5307"/>
  <c r="CV38" i="5307"/>
  <c r="CV39" i="5307"/>
  <c r="CV40" i="5307"/>
  <c r="CV41" i="5307"/>
  <c r="CV42" i="5307"/>
  <c r="CV43" i="5307"/>
  <c r="CV44" i="5307"/>
  <c r="CV45" i="5307"/>
  <c r="CV46" i="5307"/>
  <c r="CV47" i="5307"/>
  <c r="CV48" i="5307"/>
  <c r="CV49" i="5307"/>
  <c r="CV50" i="5307"/>
  <c r="CV51" i="5307"/>
  <c r="CV52" i="5307"/>
  <c r="CV53" i="5307"/>
  <c r="CV54" i="5307"/>
  <c r="CV2" i="5306"/>
  <c r="CV3" i="5306"/>
  <c r="CV4" i="5306"/>
  <c r="CV5" i="5306"/>
  <c r="CV6" i="5306"/>
  <c r="CV7" i="5306"/>
  <c r="CV8" i="5306"/>
  <c r="CV9" i="5306"/>
  <c r="CV10" i="5306"/>
  <c r="CV11" i="5306"/>
  <c r="CV12" i="5306"/>
  <c r="CV13" i="5306"/>
  <c r="CV14" i="5306"/>
  <c r="CV15" i="5306"/>
  <c r="CV16" i="5306"/>
  <c r="CV17" i="5306"/>
  <c r="CV18" i="5306"/>
  <c r="CV19" i="5306"/>
  <c r="CV20" i="5306"/>
  <c r="CV21" i="5306"/>
  <c r="CV22" i="5306"/>
  <c r="CV23" i="5306"/>
  <c r="CV24" i="5306"/>
  <c r="CV25" i="5306"/>
  <c r="CV26" i="5306"/>
  <c r="CV27" i="5306"/>
  <c r="CV28" i="5306"/>
  <c r="CV29" i="5306"/>
  <c r="CV30" i="5306"/>
  <c r="CV31" i="5306"/>
  <c r="CV32" i="5306"/>
  <c r="CV33" i="5306"/>
  <c r="CV34" i="5306"/>
  <c r="CV35" i="5306"/>
  <c r="CV36" i="5306"/>
  <c r="CV37" i="5306"/>
  <c r="CV38" i="5306"/>
  <c r="CV39" i="5306"/>
  <c r="CV40" i="5306"/>
  <c r="CV41" i="5306"/>
  <c r="CV42" i="5306"/>
  <c r="CV43" i="5306"/>
  <c r="CV44" i="5306"/>
  <c r="CV45" i="5306"/>
  <c r="CV46" i="5306"/>
  <c r="CV47" i="5306"/>
  <c r="CV48" i="5306"/>
  <c r="CV49" i="5306"/>
  <c r="CV50" i="5306"/>
  <c r="CV51" i="5306"/>
  <c r="CV52" i="5306"/>
  <c r="CV53" i="5306"/>
  <c r="CV54" i="5306"/>
  <c r="CV2" i="5305"/>
  <c r="CV3" i="5305"/>
  <c r="CV4" i="5305"/>
  <c r="CV5" i="5305"/>
  <c r="CV6" i="5305"/>
  <c r="CV7" i="5305"/>
  <c r="CV8" i="5305"/>
  <c r="CV9" i="5305"/>
  <c r="CV10" i="5305"/>
  <c r="CV11" i="5305"/>
  <c r="CV12" i="5305"/>
  <c r="CV13" i="5305"/>
  <c r="CV14" i="5305"/>
  <c r="CV15" i="5305"/>
  <c r="CV16" i="5305"/>
  <c r="CV17" i="5305"/>
  <c r="CV18" i="5305"/>
  <c r="CV19" i="5305"/>
  <c r="CV20" i="5305"/>
  <c r="CV21" i="5305"/>
  <c r="CV22" i="5305"/>
  <c r="CV23" i="5305"/>
  <c r="CV24" i="5305"/>
  <c r="CV25" i="5305"/>
  <c r="CV26" i="5305"/>
  <c r="CV27" i="5305"/>
  <c r="CV28" i="5305"/>
  <c r="CV29" i="5305"/>
  <c r="CV30" i="5305"/>
  <c r="CV31" i="5305"/>
  <c r="CV32" i="5305"/>
  <c r="CV33" i="5305"/>
  <c r="CV34" i="5305"/>
  <c r="CV35" i="5305"/>
  <c r="CV36" i="5305"/>
  <c r="CV37" i="5305"/>
  <c r="CV38" i="5305"/>
  <c r="CV39" i="5305"/>
  <c r="CV40" i="5305"/>
  <c r="CV41" i="5305"/>
  <c r="CV42" i="5305"/>
  <c r="CV43" i="5305"/>
  <c r="CV44" i="5305"/>
  <c r="CV45" i="5305"/>
  <c r="CV46" i="5305"/>
  <c r="CV47" i="5305"/>
  <c r="CV48" i="5305"/>
  <c r="CV49" i="5305"/>
  <c r="CV50" i="5305"/>
  <c r="CV51" i="5305"/>
  <c r="CV52" i="5305"/>
  <c r="CV53" i="5305"/>
  <c r="CV54" i="5305"/>
  <c r="CV2" i="5304"/>
  <c r="CV3" i="5304"/>
  <c r="CV4" i="5304"/>
  <c r="CV5" i="5304"/>
  <c r="CV6" i="5304"/>
  <c r="CV7" i="5304"/>
  <c r="CV8" i="5304"/>
  <c r="CV9" i="5304"/>
  <c r="CV10" i="5304"/>
  <c r="CV11" i="5304"/>
  <c r="CV12" i="5304"/>
  <c r="CV13" i="5304"/>
  <c r="CV14" i="5304"/>
  <c r="CV15" i="5304"/>
  <c r="CV16" i="5304"/>
  <c r="CV17" i="5304"/>
  <c r="CV18" i="5304"/>
  <c r="CV19" i="5304"/>
  <c r="CV20" i="5304"/>
  <c r="CV21" i="5304"/>
  <c r="CV22" i="5304"/>
  <c r="CV23" i="5304"/>
  <c r="CV24" i="5304"/>
  <c r="CV25" i="5304"/>
  <c r="CV26" i="5304"/>
  <c r="CV27" i="5304"/>
  <c r="CV28" i="5304"/>
  <c r="CV29" i="5304"/>
  <c r="CV30" i="5304"/>
  <c r="CV31" i="5304"/>
  <c r="CV32" i="5304"/>
  <c r="CV33" i="5304"/>
  <c r="CV34" i="5304"/>
  <c r="CV35" i="5304"/>
  <c r="CV36" i="5304"/>
  <c r="CV37" i="5304"/>
  <c r="CV38" i="5304"/>
  <c r="CV39" i="5304"/>
  <c r="CV40" i="5304"/>
  <c r="CV41" i="5304"/>
  <c r="CV42" i="5304"/>
  <c r="CV43" i="5304"/>
  <c r="CV44" i="5304"/>
  <c r="CV45" i="5304"/>
  <c r="CV46" i="5304"/>
  <c r="CV47" i="5304"/>
  <c r="CV48" i="5304"/>
  <c r="CV49" i="5304"/>
  <c r="CV50" i="5304"/>
  <c r="CV51" i="5304"/>
  <c r="CV52" i="5304"/>
  <c r="CV53" i="5304"/>
  <c r="CV54" i="5304"/>
  <c r="CV2" i="5303"/>
  <c r="CV3" i="5303"/>
  <c r="CV4" i="5303"/>
  <c r="CV5" i="5303"/>
  <c r="CV6" i="5303"/>
  <c r="CV7" i="5303"/>
  <c r="CV8" i="5303"/>
  <c r="CV9" i="5303"/>
  <c r="CV10" i="5303"/>
  <c r="CV11" i="5303"/>
  <c r="CV12" i="5303"/>
  <c r="CV13" i="5303"/>
  <c r="CV14" i="5303"/>
  <c r="CV15" i="5303"/>
  <c r="CV16" i="5303"/>
  <c r="CV17" i="5303"/>
  <c r="CV18" i="5303"/>
  <c r="CV19" i="5303"/>
  <c r="CV20" i="5303"/>
  <c r="CV21" i="5303"/>
  <c r="CV22" i="5303"/>
  <c r="CV23" i="5303"/>
  <c r="CV24" i="5303"/>
  <c r="CV25" i="5303"/>
  <c r="CV26" i="5303"/>
  <c r="CV27" i="5303"/>
  <c r="CV28" i="5303"/>
  <c r="CV29" i="5303"/>
  <c r="CV30" i="5303"/>
  <c r="CV31" i="5303"/>
  <c r="CV32" i="5303"/>
  <c r="CV33" i="5303"/>
  <c r="CV34" i="5303"/>
  <c r="CV35" i="5303"/>
  <c r="CV36" i="5303"/>
  <c r="CV37" i="5303"/>
  <c r="CV38" i="5303"/>
  <c r="CV39" i="5303"/>
  <c r="CV40" i="5303"/>
  <c r="CV41" i="5303"/>
  <c r="CV42" i="5303"/>
  <c r="CV43" i="5303"/>
  <c r="CV44" i="5303"/>
  <c r="CV45" i="5303"/>
  <c r="CV46" i="5303"/>
  <c r="CV47" i="5303"/>
  <c r="CV48" i="5303"/>
  <c r="CV49" i="5303"/>
  <c r="CV50" i="5303"/>
  <c r="CV51" i="5303"/>
  <c r="CV52" i="5303"/>
  <c r="CV53" i="5303"/>
  <c r="CV54" i="5303"/>
  <c r="CV2" i="5302"/>
  <c r="CV3" i="5302"/>
  <c r="CV4" i="5302"/>
  <c r="CV5" i="5302"/>
  <c r="CV6" i="5302"/>
  <c r="CV7" i="5302"/>
  <c r="CV8" i="5302"/>
  <c r="CV9" i="5302"/>
  <c r="CV10" i="5302"/>
  <c r="CV11" i="5302"/>
  <c r="CV12" i="5302"/>
  <c r="CV13" i="5302"/>
  <c r="CV14" i="5302"/>
  <c r="CV15" i="5302"/>
  <c r="CV16" i="5302"/>
  <c r="CV17" i="5302"/>
  <c r="CV18" i="5302"/>
  <c r="CV19" i="5302"/>
  <c r="CV20" i="5302"/>
  <c r="CV21" i="5302"/>
  <c r="CV22" i="5302"/>
  <c r="CV23" i="5302"/>
  <c r="CV24" i="5302"/>
  <c r="CV25" i="5302"/>
  <c r="CV26" i="5302"/>
  <c r="CV27" i="5302"/>
  <c r="CV28" i="5302"/>
  <c r="CV29" i="5302"/>
  <c r="CV30" i="5302"/>
  <c r="CV31" i="5302"/>
  <c r="CV32" i="5302"/>
  <c r="CV33" i="5302"/>
  <c r="CV34" i="5302"/>
  <c r="CV35" i="5302"/>
  <c r="CV36" i="5302"/>
  <c r="CV37" i="5302"/>
  <c r="CV38" i="5302"/>
  <c r="CV39" i="5302"/>
  <c r="CV40" i="5302"/>
  <c r="CV41" i="5302"/>
  <c r="CV42" i="5302"/>
  <c r="CV43" i="5302"/>
  <c r="CV44" i="5302"/>
  <c r="CV45" i="5302"/>
  <c r="CV46" i="5302"/>
  <c r="CV47" i="5302"/>
  <c r="CV48" i="5302"/>
  <c r="CV49" i="5302"/>
  <c r="CV50" i="5302"/>
  <c r="CV51" i="5302"/>
  <c r="CV52" i="5302"/>
  <c r="CV53" i="5302"/>
  <c r="CV54" i="5302"/>
  <c r="CU2" i="5307"/>
  <c r="CU3" i="5307"/>
  <c r="CU4" i="5307"/>
  <c r="CU5" i="5307"/>
  <c r="CU6" i="5307"/>
  <c r="CU7" i="5307"/>
  <c r="CU8" i="5307"/>
  <c r="CU9" i="5307"/>
  <c r="CU10" i="5307"/>
  <c r="CU11" i="5307"/>
  <c r="CU12" i="5307"/>
  <c r="CU13" i="5307"/>
  <c r="CU14" i="5307"/>
  <c r="CU15" i="5307"/>
  <c r="CU16" i="5307"/>
  <c r="CU17" i="5307"/>
  <c r="CU18" i="5307"/>
  <c r="CU19" i="5307"/>
  <c r="CU20" i="5307"/>
  <c r="CU21" i="5307"/>
  <c r="CU22" i="5307"/>
  <c r="CU23" i="5307"/>
  <c r="CU24" i="5307"/>
  <c r="CU25" i="5307"/>
  <c r="CU26" i="5307"/>
  <c r="CU27" i="5307"/>
  <c r="CU28" i="5307"/>
  <c r="CU29" i="5307"/>
  <c r="CU30" i="5307"/>
  <c r="CU31" i="5307"/>
  <c r="CU32" i="5307"/>
  <c r="CU33" i="5307"/>
  <c r="CU34" i="5307"/>
  <c r="CU35" i="5307"/>
  <c r="CU36" i="5307"/>
  <c r="CU37" i="5307"/>
  <c r="CU38" i="5307"/>
  <c r="CU39" i="5307"/>
  <c r="CU40" i="5307"/>
  <c r="CU41" i="5307"/>
  <c r="CU42" i="5307"/>
  <c r="CU43" i="5307"/>
  <c r="CU44" i="5307"/>
  <c r="CU45" i="5307"/>
  <c r="CU46" i="5307"/>
  <c r="CU47" i="5307"/>
  <c r="CU48" i="5307"/>
  <c r="CU49" i="5307"/>
  <c r="CU50" i="5307"/>
  <c r="CU51" i="5307"/>
  <c r="CU52" i="5307"/>
  <c r="CU53" i="5307"/>
  <c r="CU54" i="5307"/>
  <c r="CU2" i="5306"/>
  <c r="CU3" i="5306"/>
  <c r="CU4" i="5306"/>
  <c r="CU5" i="5306"/>
  <c r="CU6" i="5306"/>
  <c r="CU7" i="5306"/>
  <c r="CU8" i="5306"/>
  <c r="CU9" i="5306"/>
  <c r="CU10" i="5306"/>
  <c r="CU11" i="5306"/>
  <c r="CU12" i="5306"/>
  <c r="CU13" i="5306"/>
  <c r="CU14" i="5306"/>
  <c r="CU15" i="5306"/>
  <c r="CU16" i="5306"/>
  <c r="CU17" i="5306"/>
  <c r="CU18" i="5306"/>
  <c r="CU19" i="5306"/>
  <c r="CU20" i="5306"/>
  <c r="CU21" i="5306"/>
  <c r="CU22" i="5306"/>
  <c r="CU23" i="5306"/>
  <c r="CU24" i="5306"/>
  <c r="CU25" i="5306"/>
  <c r="CU26" i="5306"/>
  <c r="CU27" i="5306"/>
  <c r="CU28" i="5306"/>
  <c r="CU29" i="5306"/>
  <c r="CU30" i="5306"/>
  <c r="CU31" i="5306"/>
  <c r="CU32" i="5306"/>
  <c r="CU33" i="5306"/>
  <c r="CU34" i="5306"/>
  <c r="CU35" i="5306"/>
  <c r="CU36" i="5306"/>
  <c r="CU37" i="5306"/>
  <c r="CU38" i="5306"/>
  <c r="CU39" i="5306"/>
  <c r="CU40" i="5306"/>
  <c r="CU41" i="5306"/>
  <c r="CU42" i="5306"/>
  <c r="CU43" i="5306"/>
  <c r="CU44" i="5306"/>
  <c r="CU45" i="5306"/>
  <c r="CU46" i="5306"/>
  <c r="CU47" i="5306"/>
  <c r="CU48" i="5306"/>
  <c r="CU49" i="5306"/>
  <c r="CU50" i="5306"/>
  <c r="CU51" i="5306"/>
  <c r="CU52" i="5306"/>
  <c r="CU53" i="5306"/>
  <c r="CU54" i="5306"/>
  <c r="CU2" i="5305"/>
  <c r="CU3" i="5305"/>
  <c r="CU4" i="5305"/>
  <c r="CU5" i="5305"/>
  <c r="CU6" i="5305"/>
  <c r="CU7" i="5305"/>
  <c r="CU8" i="5305"/>
  <c r="CU9" i="5305"/>
  <c r="CU10" i="5305"/>
  <c r="CU11" i="5305"/>
  <c r="CU12" i="5305"/>
  <c r="CU13" i="5305"/>
  <c r="CU14" i="5305"/>
  <c r="CU15" i="5305"/>
  <c r="CU16" i="5305"/>
  <c r="CU17" i="5305"/>
  <c r="CU18" i="5305"/>
  <c r="CU19" i="5305"/>
  <c r="CU20" i="5305"/>
  <c r="CU21" i="5305"/>
  <c r="CU22" i="5305"/>
  <c r="CU23" i="5305"/>
  <c r="CU24" i="5305"/>
  <c r="CU25" i="5305"/>
  <c r="CU26" i="5305"/>
  <c r="CU27" i="5305"/>
  <c r="CU28" i="5305"/>
  <c r="CU29" i="5305"/>
  <c r="CU30" i="5305"/>
  <c r="CU31" i="5305"/>
  <c r="CU32" i="5305"/>
  <c r="CU33" i="5305"/>
  <c r="CU34" i="5305"/>
  <c r="CU35" i="5305"/>
  <c r="CU36" i="5305"/>
  <c r="CU37" i="5305"/>
  <c r="CU38" i="5305"/>
  <c r="CU39" i="5305"/>
  <c r="CU40" i="5305"/>
  <c r="CU41" i="5305"/>
  <c r="CU42" i="5305"/>
  <c r="CU43" i="5305"/>
  <c r="CU44" i="5305"/>
  <c r="CU45" i="5305"/>
  <c r="CU46" i="5305"/>
  <c r="CU47" i="5305"/>
  <c r="CU48" i="5305"/>
  <c r="CU49" i="5305"/>
  <c r="CU50" i="5305"/>
  <c r="CU51" i="5305"/>
  <c r="CU52" i="5305"/>
  <c r="CU53" i="5305"/>
  <c r="CU54" i="5305"/>
  <c r="CU2" i="5304"/>
  <c r="CU3" i="5304"/>
  <c r="CU4" i="5304"/>
  <c r="CU5" i="5304"/>
  <c r="CU6" i="5304"/>
  <c r="CU7" i="5304"/>
  <c r="CU8" i="5304"/>
  <c r="CU9" i="5304"/>
  <c r="CU10" i="5304"/>
  <c r="CU11" i="5304"/>
  <c r="CU12" i="5304"/>
  <c r="CU13" i="5304"/>
  <c r="CU14" i="5304"/>
  <c r="CU15" i="5304"/>
  <c r="CU16" i="5304"/>
  <c r="CU17" i="5304"/>
  <c r="CU18" i="5304"/>
  <c r="CU19" i="5304"/>
  <c r="CU20" i="5304"/>
  <c r="CU21" i="5304"/>
  <c r="CU22" i="5304"/>
  <c r="CU23" i="5304"/>
  <c r="CU24" i="5304"/>
  <c r="CU25" i="5304"/>
  <c r="CU26" i="5304"/>
  <c r="CU27" i="5304"/>
  <c r="CU28" i="5304"/>
  <c r="CU29" i="5304"/>
  <c r="CU30" i="5304"/>
  <c r="CU31" i="5304"/>
  <c r="CU32" i="5304"/>
  <c r="CU33" i="5304"/>
  <c r="CU34" i="5304"/>
  <c r="CU35" i="5304"/>
  <c r="CU36" i="5304"/>
  <c r="CU37" i="5304"/>
  <c r="CU38" i="5304"/>
  <c r="CU39" i="5304"/>
  <c r="CU40" i="5304"/>
  <c r="CU41" i="5304"/>
  <c r="CU42" i="5304"/>
  <c r="CU43" i="5304"/>
  <c r="CU44" i="5304"/>
  <c r="CU45" i="5304"/>
  <c r="CU46" i="5304"/>
  <c r="CU47" i="5304"/>
  <c r="CU48" i="5304"/>
  <c r="CU49" i="5304"/>
  <c r="CU50" i="5304"/>
  <c r="CU51" i="5304"/>
  <c r="CU52" i="5304"/>
  <c r="CU53" i="5304"/>
  <c r="CU54" i="5304"/>
  <c r="CU2" i="5303"/>
  <c r="CU3" i="5303"/>
  <c r="CU4" i="5303"/>
  <c r="CU5" i="5303"/>
  <c r="CU6" i="5303"/>
  <c r="CU7" i="5303"/>
  <c r="CU8" i="5303"/>
  <c r="CU9" i="5303"/>
  <c r="CU10" i="5303"/>
  <c r="CU11" i="5303"/>
  <c r="CU12" i="5303"/>
  <c r="CU13" i="5303"/>
  <c r="CU14" i="5303"/>
  <c r="CU15" i="5303"/>
  <c r="CU16" i="5303"/>
  <c r="CU17" i="5303"/>
  <c r="CU18" i="5303"/>
  <c r="CU19" i="5303"/>
  <c r="CU20" i="5303"/>
  <c r="CU21" i="5303"/>
  <c r="CU22" i="5303"/>
  <c r="CU23" i="5303"/>
  <c r="CU24" i="5303"/>
  <c r="CU25" i="5303"/>
  <c r="CU26" i="5303"/>
  <c r="CU27" i="5303"/>
  <c r="CU28" i="5303"/>
  <c r="CU29" i="5303"/>
  <c r="CU30" i="5303"/>
  <c r="CU31" i="5303"/>
  <c r="CU32" i="5303"/>
  <c r="CU33" i="5303"/>
  <c r="CU34" i="5303"/>
  <c r="CU35" i="5303"/>
  <c r="CU36" i="5303"/>
  <c r="CU37" i="5303"/>
  <c r="CU38" i="5303"/>
  <c r="CU39" i="5303"/>
  <c r="CU40" i="5303"/>
  <c r="CU41" i="5303"/>
  <c r="CU42" i="5303"/>
  <c r="CU43" i="5303"/>
  <c r="CU44" i="5303"/>
  <c r="CU45" i="5303"/>
  <c r="CU46" i="5303"/>
  <c r="CU47" i="5303"/>
  <c r="CU48" i="5303"/>
  <c r="CU49" i="5303"/>
  <c r="CU50" i="5303"/>
  <c r="CU51" i="5303"/>
  <c r="CU52" i="5303"/>
  <c r="CU53" i="5303"/>
  <c r="CU54" i="5303"/>
  <c r="CU2" i="5302"/>
  <c r="CU3" i="5302"/>
  <c r="CU4" i="5302"/>
  <c r="CU5" i="5302"/>
  <c r="CU6" i="5302"/>
  <c r="CU7" i="5302"/>
  <c r="CU8" i="5302"/>
  <c r="CU9" i="5302"/>
  <c r="CU10" i="5302"/>
  <c r="CU11" i="5302"/>
  <c r="CU12" i="5302"/>
  <c r="CU13" i="5302"/>
  <c r="CU14" i="5302"/>
  <c r="CU15" i="5302"/>
  <c r="CU16" i="5302"/>
  <c r="CU17" i="5302"/>
  <c r="CU18" i="5302"/>
  <c r="CU19" i="5302"/>
  <c r="CU20" i="5302"/>
  <c r="CU21" i="5302"/>
  <c r="CU22" i="5302"/>
  <c r="CU23" i="5302"/>
  <c r="CU24" i="5302"/>
  <c r="CU25" i="5302"/>
  <c r="CU26" i="5302"/>
  <c r="CU27" i="5302"/>
  <c r="CU28" i="5302"/>
  <c r="CU29" i="5302"/>
  <c r="CU30" i="5302"/>
  <c r="CU31" i="5302"/>
  <c r="CU32" i="5302"/>
  <c r="CU33" i="5302"/>
  <c r="CU34" i="5302"/>
  <c r="CU35" i="5302"/>
  <c r="CU36" i="5302"/>
  <c r="CU37" i="5302"/>
  <c r="CU38" i="5302"/>
  <c r="CU39" i="5302"/>
  <c r="CU40" i="5302"/>
  <c r="CU41" i="5302"/>
  <c r="CU42" i="5302"/>
  <c r="CU43" i="5302"/>
  <c r="CU44" i="5302"/>
  <c r="CU45" i="5302"/>
  <c r="CU46" i="5302"/>
  <c r="CU47" i="5302"/>
  <c r="CU48" i="5302"/>
  <c r="CU49" i="5302"/>
  <c r="CU50" i="5302"/>
  <c r="CU51" i="5302"/>
  <c r="CU52" i="5302"/>
  <c r="CU53" i="5302"/>
  <c r="CU54" i="5302"/>
  <c r="CT2" i="5307"/>
  <c r="CT3" i="5307"/>
  <c r="CT4" i="5307"/>
  <c r="CT5" i="5307"/>
  <c r="CT6" i="5307"/>
  <c r="CT7" i="5307"/>
  <c r="CT8" i="5307"/>
  <c r="CT9" i="5307"/>
  <c r="CT10" i="5307"/>
  <c r="CT11" i="5307"/>
  <c r="CT12" i="5307"/>
  <c r="CT13" i="5307"/>
  <c r="CT14" i="5307"/>
  <c r="CT15" i="5307"/>
  <c r="CT16" i="5307"/>
  <c r="CT17" i="5307"/>
  <c r="CT18" i="5307"/>
  <c r="CT19" i="5307"/>
  <c r="CT20" i="5307"/>
  <c r="CT21" i="5307"/>
  <c r="CT22" i="5307"/>
  <c r="CT23" i="5307"/>
  <c r="CT24" i="5307"/>
  <c r="CT25" i="5307"/>
  <c r="CT26" i="5307"/>
  <c r="CT27" i="5307"/>
  <c r="CT28" i="5307"/>
  <c r="CT29" i="5307"/>
  <c r="CT30" i="5307"/>
  <c r="CT31" i="5307"/>
  <c r="CT32" i="5307"/>
  <c r="CT33" i="5307"/>
  <c r="CT34" i="5307"/>
  <c r="CT35" i="5307"/>
  <c r="CT36" i="5307"/>
  <c r="CT37" i="5307"/>
  <c r="CT38" i="5307"/>
  <c r="CT39" i="5307"/>
  <c r="CT40" i="5307"/>
  <c r="CT41" i="5307"/>
  <c r="CT42" i="5307"/>
  <c r="CT43" i="5307"/>
  <c r="CT44" i="5307"/>
  <c r="CT45" i="5307"/>
  <c r="CT46" i="5307"/>
  <c r="CT47" i="5307"/>
  <c r="CT48" i="5307"/>
  <c r="CT49" i="5307"/>
  <c r="CT50" i="5307"/>
  <c r="CT51" i="5307"/>
  <c r="CT52" i="5307"/>
  <c r="CT53" i="5307"/>
  <c r="CT54" i="5307"/>
  <c r="CT2" i="5306"/>
  <c r="CT3" i="5306"/>
  <c r="CT4" i="5306"/>
  <c r="CT5" i="5306"/>
  <c r="CT6" i="5306"/>
  <c r="CT7" i="5306"/>
  <c r="CT8" i="5306"/>
  <c r="CT9" i="5306"/>
  <c r="CT10" i="5306"/>
  <c r="CT11" i="5306"/>
  <c r="CT12" i="5306"/>
  <c r="CT13" i="5306"/>
  <c r="CT14" i="5306"/>
  <c r="CT15" i="5306"/>
  <c r="CT16" i="5306"/>
  <c r="CT17" i="5306"/>
  <c r="CT18" i="5306"/>
  <c r="CT19" i="5306"/>
  <c r="CT20" i="5306"/>
  <c r="CT21" i="5306"/>
  <c r="CT22" i="5306"/>
  <c r="CT23" i="5306"/>
  <c r="CT24" i="5306"/>
  <c r="CT25" i="5306"/>
  <c r="CT26" i="5306"/>
  <c r="CT27" i="5306"/>
  <c r="CT28" i="5306"/>
  <c r="CT29" i="5306"/>
  <c r="CT30" i="5306"/>
  <c r="CT31" i="5306"/>
  <c r="CT32" i="5306"/>
  <c r="CT33" i="5306"/>
  <c r="CT34" i="5306"/>
  <c r="CT35" i="5306"/>
  <c r="CT36" i="5306"/>
  <c r="CT37" i="5306"/>
  <c r="CT38" i="5306"/>
  <c r="CT39" i="5306"/>
  <c r="CT40" i="5306"/>
  <c r="CT41" i="5306"/>
  <c r="CT42" i="5306"/>
  <c r="CT43" i="5306"/>
  <c r="CT44" i="5306"/>
  <c r="CT45" i="5306"/>
  <c r="CT46" i="5306"/>
  <c r="CT47" i="5306"/>
  <c r="CT48" i="5306"/>
  <c r="CT49" i="5306"/>
  <c r="CT50" i="5306"/>
  <c r="CT51" i="5306"/>
  <c r="CT52" i="5306"/>
  <c r="CT53" i="5306"/>
  <c r="CT54" i="5306"/>
  <c r="CT2" i="5305"/>
  <c r="CT3" i="5305"/>
  <c r="CT4" i="5305"/>
  <c r="CT5" i="5305"/>
  <c r="CT6" i="5305"/>
  <c r="CT7" i="5305"/>
  <c r="CT8" i="5305"/>
  <c r="CT9" i="5305"/>
  <c r="CT10" i="5305"/>
  <c r="CT11" i="5305"/>
  <c r="CT12" i="5305"/>
  <c r="CT13" i="5305"/>
  <c r="CT14" i="5305"/>
  <c r="CT15" i="5305"/>
  <c r="CT16" i="5305"/>
  <c r="CT17" i="5305"/>
  <c r="CT18" i="5305"/>
  <c r="CT19" i="5305"/>
  <c r="CT20" i="5305"/>
  <c r="CT21" i="5305"/>
  <c r="CT22" i="5305"/>
  <c r="CT23" i="5305"/>
  <c r="CT24" i="5305"/>
  <c r="CT25" i="5305"/>
  <c r="CT26" i="5305"/>
  <c r="CT27" i="5305"/>
  <c r="CT28" i="5305"/>
  <c r="CT29" i="5305"/>
  <c r="CT30" i="5305"/>
  <c r="CT31" i="5305"/>
  <c r="CT32" i="5305"/>
  <c r="CT33" i="5305"/>
  <c r="CT34" i="5305"/>
  <c r="CT35" i="5305"/>
  <c r="CT36" i="5305"/>
  <c r="CT37" i="5305"/>
  <c r="CT38" i="5305"/>
  <c r="CT39" i="5305"/>
  <c r="CT40" i="5305"/>
  <c r="CT41" i="5305"/>
  <c r="CT42" i="5305"/>
  <c r="CT43" i="5305"/>
  <c r="CT44" i="5305"/>
  <c r="CT45" i="5305"/>
  <c r="CT46" i="5305"/>
  <c r="CT47" i="5305"/>
  <c r="CT48" i="5305"/>
  <c r="CT49" i="5305"/>
  <c r="CT50" i="5305"/>
  <c r="CT51" i="5305"/>
  <c r="CT52" i="5305"/>
  <c r="CT53" i="5305"/>
  <c r="CT54" i="5305"/>
  <c r="CT2" i="5304"/>
  <c r="CT3" i="5304"/>
  <c r="CT4" i="5304"/>
  <c r="CT5" i="5304"/>
  <c r="CT6" i="5304"/>
  <c r="CT7" i="5304"/>
  <c r="CT8" i="5304"/>
  <c r="CT9" i="5304"/>
  <c r="CT10" i="5304"/>
  <c r="CT11" i="5304"/>
  <c r="CT12" i="5304"/>
  <c r="CT13" i="5304"/>
  <c r="CT14" i="5304"/>
  <c r="CT15" i="5304"/>
  <c r="CT16" i="5304"/>
  <c r="CT17" i="5304"/>
  <c r="CT18" i="5304"/>
  <c r="CT19" i="5304"/>
  <c r="CT20" i="5304"/>
  <c r="CT21" i="5304"/>
  <c r="CT22" i="5304"/>
  <c r="CT23" i="5304"/>
  <c r="CT24" i="5304"/>
  <c r="CT25" i="5304"/>
  <c r="CT26" i="5304"/>
  <c r="CT27" i="5304"/>
  <c r="CT28" i="5304"/>
  <c r="CT29" i="5304"/>
  <c r="CT30" i="5304"/>
  <c r="CT31" i="5304"/>
  <c r="CT32" i="5304"/>
  <c r="CT33" i="5304"/>
  <c r="CT34" i="5304"/>
  <c r="CT35" i="5304"/>
  <c r="CT36" i="5304"/>
  <c r="CT37" i="5304"/>
  <c r="CT38" i="5304"/>
  <c r="CT39" i="5304"/>
  <c r="CT40" i="5304"/>
  <c r="CT41" i="5304"/>
  <c r="CT42" i="5304"/>
  <c r="CT43" i="5304"/>
  <c r="CT44" i="5304"/>
  <c r="CT45" i="5304"/>
  <c r="CT46" i="5304"/>
  <c r="CT47" i="5304"/>
  <c r="CT48" i="5304"/>
  <c r="CT49" i="5304"/>
  <c r="CT50" i="5304"/>
  <c r="CT51" i="5304"/>
  <c r="CT52" i="5304"/>
  <c r="CT53" i="5304"/>
  <c r="CT54" i="5304"/>
  <c r="CT2" i="5303"/>
  <c r="CT3" i="5303"/>
  <c r="CT4" i="5303"/>
  <c r="CT5" i="5303"/>
  <c r="CT6" i="5303"/>
  <c r="CT7" i="5303"/>
  <c r="CT8" i="5303"/>
  <c r="CT9" i="5303"/>
  <c r="CT10" i="5303"/>
  <c r="CT11" i="5303"/>
  <c r="CT12" i="5303"/>
  <c r="CT13" i="5303"/>
  <c r="CT14" i="5303"/>
  <c r="CT15" i="5303"/>
  <c r="CT16" i="5303"/>
  <c r="CT17" i="5303"/>
  <c r="CT18" i="5303"/>
  <c r="CT19" i="5303"/>
  <c r="CT20" i="5303"/>
  <c r="CT21" i="5303"/>
  <c r="CT22" i="5303"/>
  <c r="CT23" i="5303"/>
  <c r="CT24" i="5303"/>
  <c r="CT25" i="5303"/>
  <c r="CT26" i="5303"/>
  <c r="CT27" i="5303"/>
  <c r="CT28" i="5303"/>
  <c r="CT29" i="5303"/>
  <c r="CT30" i="5303"/>
  <c r="CT31" i="5303"/>
  <c r="CT32" i="5303"/>
  <c r="CT33" i="5303"/>
  <c r="CT34" i="5303"/>
  <c r="CT35" i="5303"/>
  <c r="CT36" i="5303"/>
  <c r="CT37" i="5303"/>
  <c r="CT38" i="5303"/>
  <c r="CT39" i="5303"/>
  <c r="CT40" i="5303"/>
  <c r="CT41" i="5303"/>
  <c r="CT42" i="5303"/>
  <c r="CT43" i="5303"/>
  <c r="CT44" i="5303"/>
  <c r="CT45" i="5303"/>
  <c r="CT46" i="5303"/>
  <c r="CT47" i="5303"/>
  <c r="CT48" i="5303"/>
  <c r="CT49" i="5303"/>
  <c r="CT50" i="5303"/>
  <c r="CT51" i="5303"/>
  <c r="CT52" i="5303"/>
  <c r="CT53" i="5303"/>
  <c r="CT54" i="5303"/>
  <c r="CT2" i="5302"/>
  <c r="CT3" i="5302"/>
  <c r="CT4" i="5302"/>
  <c r="CT5" i="5302"/>
  <c r="CT6" i="5302"/>
  <c r="CT7" i="5302"/>
  <c r="CT8" i="5302"/>
  <c r="CT9" i="5302"/>
  <c r="CT10" i="5302"/>
  <c r="CT11" i="5302"/>
  <c r="CT12" i="5302"/>
  <c r="CT13" i="5302"/>
  <c r="CT14" i="5302"/>
  <c r="CT15" i="5302"/>
  <c r="CT16" i="5302"/>
  <c r="CT17" i="5302"/>
  <c r="CT18" i="5302"/>
  <c r="CT19" i="5302"/>
  <c r="CT20" i="5302"/>
  <c r="CT21" i="5302"/>
  <c r="CT22" i="5302"/>
  <c r="CT23" i="5302"/>
  <c r="CT24" i="5302"/>
  <c r="CT25" i="5302"/>
  <c r="CT26" i="5302"/>
  <c r="CT27" i="5302"/>
  <c r="CT28" i="5302"/>
  <c r="CT29" i="5302"/>
  <c r="CT30" i="5302"/>
  <c r="CT31" i="5302"/>
  <c r="CT32" i="5302"/>
  <c r="CT33" i="5302"/>
  <c r="CT34" i="5302"/>
  <c r="CT35" i="5302"/>
  <c r="CT36" i="5302"/>
  <c r="CT37" i="5302"/>
  <c r="CT38" i="5302"/>
  <c r="CT39" i="5302"/>
  <c r="CT40" i="5302"/>
  <c r="CT41" i="5302"/>
  <c r="CT42" i="5302"/>
  <c r="CT43" i="5302"/>
  <c r="CT44" i="5302"/>
  <c r="CT45" i="5302"/>
  <c r="CT46" i="5302"/>
  <c r="CT47" i="5302"/>
  <c r="CT48" i="5302"/>
  <c r="CT49" i="5302"/>
  <c r="CT50" i="5302"/>
  <c r="CT51" i="5302"/>
  <c r="CT52" i="5302"/>
  <c r="CT53" i="5302"/>
  <c r="CT54" i="5302"/>
  <c r="CS2" i="5307"/>
  <c r="CS3" i="5307"/>
  <c r="CS4" i="5307"/>
  <c r="CS5" i="5307"/>
  <c r="CS6" i="5307"/>
  <c r="CS7" i="5307"/>
  <c r="CS8" i="5307"/>
  <c r="CS9" i="5307"/>
  <c r="CS10" i="5307"/>
  <c r="CS11" i="5307"/>
  <c r="CS12" i="5307"/>
  <c r="CS13" i="5307"/>
  <c r="CS14" i="5307"/>
  <c r="CS15" i="5307"/>
  <c r="CS16" i="5307"/>
  <c r="CS17" i="5307"/>
  <c r="CS18" i="5307"/>
  <c r="CS19" i="5307"/>
  <c r="CS20" i="5307"/>
  <c r="CS21" i="5307"/>
  <c r="CS22" i="5307"/>
  <c r="CS23" i="5307"/>
  <c r="CS24" i="5307"/>
  <c r="CS25" i="5307"/>
  <c r="CS26" i="5307"/>
  <c r="CS27" i="5307"/>
  <c r="CS28" i="5307"/>
  <c r="CS29" i="5307"/>
  <c r="CS30" i="5307"/>
  <c r="CS31" i="5307"/>
  <c r="CS32" i="5307"/>
  <c r="CS33" i="5307"/>
  <c r="CS34" i="5307"/>
  <c r="CS35" i="5307"/>
  <c r="CS36" i="5307"/>
  <c r="CS37" i="5307"/>
  <c r="CS38" i="5307"/>
  <c r="CS39" i="5307"/>
  <c r="CS40" i="5307"/>
  <c r="CS41" i="5307"/>
  <c r="CS42" i="5307"/>
  <c r="CS43" i="5307"/>
  <c r="CS44" i="5307"/>
  <c r="CS45" i="5307"/>
  <c r="CS46" i="5307"/>
  <c r="CS47" i="5307"/>
  <c r="CS48" i="5307"/>
  <c r="CS49" i="5307"/>
  <c r="CS50" i="5307"/>
  <c r="CS51" i="5307"/>
  <c r="CS52" i="5307"/>
  <c r="CS53" i="5307"/>
  <c r="CS54" i="5307"/>
  <c r="CS2" i="5306"/>
  <c r="CS3" i="5306"/>
  <c r="CS4" i="5306"/>
  <c r="CS5" i="5306"/>
  <c r="CS6" i="5306"/>
  <c r="CS7" i="5306"/>
  <c r="CS8" i="5306"/>
  <c r="CS9" i="5306"/>
  <c r="CS10" i="5306"/>
  <c r="CS11" i="5306"/>
  <c r="CS12" i="5306"/>
  <c r="CS13" i="5306"/>
  <c r="CS14" i="5306"/>
  <c r="CS15" i="5306"/>
  <c r="CS16" i="5306"/>
  <c r="CS17" i="5306"/>
  <c r="CS18" i="5306"/>
  <c r="CS19" i="5306"/>
  <c r="CS20" i="5306"/>
  <c r="CS21" i="5306"/>
  <c r="CS22" i="5306"/>
  <c r="CS23" i="5306"/>
  <c r="CS24" i="5306"/>
  <c r="CS25" i="5306"/>
  <c r="CS26" i="5306"/>
  <c r="CS27" i="5306"/>
  <c r="CS28" i="5306"/>
  <c r="CS29" i="5306"/>
  <c r="CS30" i="5306"/>
  <c r="CS31" i="5306"/>
  <c r="CS32" i="5306"/>
  <c r="CS33" i="5306"/>
  <c r="CS34" i="5306"/>
  <c r="CS35" i="5306"/>
  <c r="CS36" i="5306"/>
  <c r="CS37" i="5306"/>
  <c r="CS38" i="5306"/>
  <c r="CS39" i="5306"/>
  <c r="CS40" i="5306"/>
  <c r="CS41" i="5306"/>
  <c r="CS42" i="5306"/>
  <c r="CS43" i="5306"/>
  <c r="CS44" i="5306"/>
  <c r="CS45" i="5306"/>
  <c r="CS46" i="5306"/>
  <c r="CS47" i="5306"/>
  <c r="CS48" i="5306"/>
  <c r="CS49" i="5306"/>
  <c r="CS50" i="5306"/>
  <c r="CS51" i="5306"/>
  <c r="CS52" i="5306"/>
  <c r="CS53" i="5306"/>
  <c r="CS54" i="5306"/>
  <c r="CS2" i="5305"/>
  <c r="CS3" i="5305"/>
  <c r="CS4" i="5305"/>
  <c r="CS5" i="5305"/>
  <c r="CS6" i="5305"/>
  <c r="CS7" i="5305"/>
  <c r="CS8" i="5305"/>
  <c r="CS9" i="5305"/>
  <c r="CS10" i="5305"/>
  <c r="CS11" i="5305"/>
  <c r="CS12" i="5305"/>
  <c r="CS13" i="5305"/>
  <c r="CS14" i="5305"/>
  <c r="CS15" i="5305"/>
  <c r="CS16" i="5305"/>
  <c r="CS17" i="5305"/>
  <c r="CS18" i="5305"/>
  <c r="CS19" i="5305"/>
  <c r="CS20" i="5305"/>
  <c r="CS21" i="5305"/>
  <c r="CS22" i="5305"/>
  <c r="CS23" i="5305"/>
  <c r="CS24" i="5305"/>
  <c r="CS25" i="5305"/>
  <c r="CS26" i="5305"/>
  <c r="CS27" i="5305"/>
  <c r="CS28" i="5305"/>
  <c r="CS29" i="5305"/>
  <c r="CS30" i="5305"/>
  <c r="CS31" i="5305"/>
  <c r="CS32" i="5305"/>
  <c r="CS33" i="5305"/>
  <c r="CS34" i="5305"/>
  <c r="CS35" i="5305"/>
  <c r="CS36" i="5305"/>
  <c r="CS37" i="5305"/>
  <c r="CS38" i="5305"/>
  <c r="CS39" i="5305"/>
  <c r="CS40" i="5305"/>
  <c r="CS41" i="5305"/>
  <c r="CS42" i="5305"/>
  <c r="CS43" i="5305"/>
  <c r="CS44" i="5305"/>
  <c r="CS45" i="5305"/>
  <c r="CS46" i="5305"/>
  <c r="CS47" i="5305"/>
  <c r="CS48" i="5305"/>
  <c r="CS49" i="5305"/>
  <c r="CS50" i="5305"/>
  <c r="CS51" i="5305"/>
  <c r="CS52" i="5305"/>
  <c r="CS53" i="5305"/>
  <c r="CS54" i="5305"/>
  <c r="CS2" i="5304"/>
  <c r="CS3" i="5304"/>
  <c r="CS4" i="5304"/>
  <c r="CS5" i="5304"/>
  <c r="CS6" i="5304"/>
  <c r="CS7" i="5304"/>
  <c r="CS8" i="5304"/>
  <c r="CS9" i="5304"/>
  <c r="CS10" i="5304"/>
  <c r="CS11" i="5304"/>
  <c r="CS12" i="5304"/>
  <c r="CS13" i="5304"/>
  <c r="CS14" i="5304"/>
  <c r="CS15" i="5304"/>
  <c r="CS16" i="5304"/>
  <c r="CS17" i="5304"/>
  <c r="CS18" i="5304"/>
  <c r="CS19" i="5304"/>
  <c r="CS20" i="5304"/>
  <c r="CS21" i="5304"/>
  <c r="CS22" i="5304"/>
  <c r="CS23" i="5304"/>
  <c r="CS24" i="5304"/>
  <c r="CS25" i="5304"/>
  <c r="CS26" i="5304"/>
  <c r="CS27" i="5304"/>
  <c r="CS28" i="5304"/>
  <c r="CS29" i="5304"/>
  <c r="CS30" i="5304"/>
  <c r="CS31" i="5304"/>
  <c r="CS32" i="5304"/>
  <c r="CS33" i="5304"/>
  <c r="CS34" i="5304"/>
  <c r="CS35" i="5304"/>
  <c r="CS36" i="5304"/>
  <c r="CS37" i="5304"/>
  <c r="CS38" i="5304"/>
  <c r="CS39" i="5304"/>
  <c r="CS40" i="5304"/>
  <c r="CS41" i="5304"/>
  <c r="CS42" i="5304"/>
  <c r="CS43" i="5304"/>
  <c r="CS44" i="5304"/>
  <c r="CS45" i="5304"/>
  <c r="CS46" i="5304"/>
  <c r="CS47" i="5304"/>
  <c r="CS48" i="5304"/>
  <c r="CS49" i="5304"/>
  <c r="CS50" i="5304"/>
  <c r="CS51" i="5304"/>
  <c r="CS52" i="5304"/>
  <c r="CS53" i="5304"/>
  <c r="CS54" i="5304"/>
  <c r="CS2" i="5303"/>
  <c r="CS3" i="5303"/>
  <c r="CS4" i="5303"/>
  <c r="CS5" i="5303"/>
  <c r="CS6" i="5303"/>
  <c r="CS7" i="5303"/>
  <c r="CS8" i="5303"/>
  <c r="CS9" i="5303"/>
  <c r="CS10" i="5303"/>
  <c r="CS11" i="5303"/>
  <c r="CS12" i="5303"/>
  <c r="CS13" i="5303"/>
  <c r="CS14" i="5303"/>
  <c r="CS15" i="5303"/>
  <c r="CS16" i="5303"/>
  <c r="CS17" i="5303"/>
  <c r="CS18" i="5303"/>
  <c r="CS19" i="5303"/>
  <c r="CS20" i="5303"/>
  <c r="CS21" i="5303"/>
  <c r="CS22" i="5303"/>
  <c r="CS23" i="5303"/>
  <c r="CS24" i="5303"/>
  <c r="CS25" i="5303"/>
  <c r="CS26" i="5303"/>
  <c r="CS27" i="5303"/>
  <c r="CS28" i="5303"/>
  <c r="CS29" i="5303"/>
  <c r="CS30" i="5303"/>
  <c r="CS31" i="5303"/>
  <c r="CS32" i="5303"/>
  <c r="CS33" i="5303"/>
  <c r="CS34" i="5303"/>
  <c r="CS35" i="5303"/>
  <c r="CS36" i="5303"/>
  <c r="CS37" i="5303"/>
  <c r="CS38" i="5303"/>
  <c r="CS39" i="5303"/>
  <c r="CS40" i="5303"/>
  <c r="CS41" i="5303"/>
  <c r="CS42" i="5303"/>
  <c r="CS43" i="5303"/>
  <c r="CS44" i="5303"/>
  <c r="CS45" i="5303"/>
  <c r="CS46" i="5303"/>
  <c r="CS47" i="5303"/>
  <c r="CS48" i="5303"/>
  <c r="CS49" i="5303"/>
  <c r="CS50" i="5303"/>
  <c r="CS51" i="5303"/>
  <c r="CS52" i="5303"/>
  <c r="CS53" i="5303"/>
  <c r="CS54" i="5303"/>
  <c r="CS2" i="5302"/>
  <c r="CS3" i="5302"/>
  <c r="CS4" i="5302"/>
  <c r="CS5" i="5302"/>
  <c r="CS6" i="5302"/>
  <c r="CS7" i="5302"/>
  <c r="CS8" i="5302"/>
  <c r="CS9" i="5302"/>
  <c r="CS10" i="5302"/>
  <c r="CS11" i="5302"/>
  <c r="CS12" i="5302"/>
  <c r="CS13" i="5302"/>
  <c r="CS14" i="5302"/>
  <c r="CS15" i="5302"/>
  <c r="CS16" i="5302"/>
  <c r="CS17" i="5302"/>
  <c r="CS18" i="5302"/>
  <c r="CS19" i="5302"/>
  <c r="CS20" i="5302"/>
  <c r="CS21" i="5302"/>
  <c r="CS22" i="5302"/>
  <c r="CS23" i="5302"/>
  <c r="CS24" i="5302"/>
  <c r="CS25" i="5302"/>
  <c r="CS26" i="5302"/>
  <c r="CS27" i="5302"/>
  <c r="CS28" i="5302"/>
  <c r="CS29" i="5302"/>
  <c r="CS30" i="5302"/>
  <c r="CS31" i="5302"/>
  <c r="CS32" i="5302"/>
  <c r="CS33" i="5302"/>
  <c r="CS34" i="5302"/>
  <c r="CS35" i="5302"/>
  <c r="CS36" i="5302"/>
  <c r="CS37" i="5302"/>
  <c r="CS38" i="5302"/>
  <c r="CS39" i="5302"/>
  <c r="CS40" i="5302"/>
  <c r="CS41" i="5302"/>
  <c r="CS42" i="5302"/>
  <c r="CS43" i="5302"/>
  <c r="CS44" i="5302"/>
  <c r="CS45" i="5302"/>
  <c r="CS46" i="5302"/>
  <c r="CS47" i="5302"/>
  <c r="CS48" i="5302"/>
  <c r="CS49" i="5302"/>
  <c r="CS50" i="5302"/>
  <c r="CS51" i="5302"/>
  <c r="CS52" i="5302"/>
  <c r="CS53" i="5302"/>
  <c r="CS54" i="5302"/>
  <c r="CR2" i="5307"/>
  <c r="CR3" i="5307"/>
  <c r="CR4" i="5307"/>
  <c r="CR5" i="5307"/>
  <c r="CR6" i="5307"/>
  <c r="CR7" i="5307"/>
  <c r="CR8" i="5307"/>
  <c r="CR9" i="5307"/>
  <c r="CR10" i="5307"/>
  <c r="CR11" i="5307"/>
  <c r="CR12" i="5307"/>
  <c r="CR13" i="5307"/>
  <c r="CR14" i="5307"/>
  <c r="CR15" i="5307"/>
  <c r="CR16" i="5307"/>
  <c r="CR17" i="5307"/>
  <c r="CR18" i="5307"/>
  <c r="CR19" i="5307"/>
  <c r="CR20" i="5307"/>
  <c r="CR21" i="5307"/>
  <c r="CR22" i="5307"/>
  <c r="CR23" i="5307"/>
  <c r="CR24" i="5307"/>
  <c r="CR25" i="5307"/>
  <c r="CR26" i="5307"/>
  <c r="CR27" i="5307"/>
  <c r="CR28" i="5307"/>
  <c r="CR29" i="5307"/>
  <c r="CR30" i="5307"/>
  <c r="CR31" i="5307"/>
  <c r="CR32" i="5307"/>
  <c r="CR33" i="5307"/>
  <c r="CR34" i="5307"/>
  <c r="CR35" i="5307"/>
  <c r="CR36" i="5307"/>
  <c r="CR37" i="5307"/>
  <c r="CR38" i="5307"/>
  <c r="CR39" i="5307"/>
  <c r="CR40" i="5307"/>
  <c r="CR41" i="5307"/>
  <c r="CR42" i="5307"/>
  <c r="CR43" i="5307"/>
  <c r="CR44" i="5307"/>
  <c r="CR45" i="5307"/>
  <c r="CR46" i="5307"/>
  <c r="CR47" i="5307"/>
  <c r="CR48" i="5307"/>
  <c r="CR49" i="5307"/>
  <c r="CR50" i="5307"/>
  <c r="CR51" i="5307"/>
  <c r="CR52" i="5307"/>
  <c r="CR53" i="5307"/>
  <c r="CR54" i="5307"/>
  <c r="CR2" i="5306"/>
  <c r="CR3" i="5306"/>
  <c r="CR4" i="5306"/>
  <c r="CR5" i="5306"/>
  <c r="CR6" i="5306"/>
  <c r="CR7" i="5306"/>
  <c r="CR8" i="5306"/>
  <c r="CR9" i="5306"/>
  <c r="CR10" i="5306"/>
  <c r="CR11" i="5306"/>
  <c r="CR12" i="5306"/>
  <c r="CR13" i="5306"/>
  <c r="CR14" i="5306"/>
  <c r="CR15" i="5306"/>
  <c r="CR16" i="5306"/>
  <c r="CR17" i="5306"/>
  <c r="CR18" i="5306"/>
  <c r="CR19" i="5306"/>
  <c r="CR20" i="5306"/>
  <c r="CR21" i="5306"/>
  <c r="CR22" i="5306"/>
  <c r="CR23" i="5306"/>
  <c r="CR24" i="5306"/>
  <c r="CR25" i="5306"/>
  <c r="CR26" i="5306"/>
  <c r="CR27" i="5306"/>
  <c r="CR28" i="5306"/>
  <c r="CR29" i="5306"/>
  <c r="CR30" i="5306"/>
  <c r="CR31" i="5306"/>
  <c r="CR32" i="5306"/>
  <c r="CR33" i="5306"/>
  <c r="CR34" i="5306"/>
  <c r="CR35" i="5306"/>
  <c r="CR36" i="5306"/>
  <c r="CR37" i="5306"/>
  <c r="CR38" i="5306"/>
  <c r="CR39" i="5306"/>
  <c r="CR40" i="5306"/>
  <c r="CR41" i="5306"/>
  <c r="CR42" i="5306"/>
  <c r="CR43" i="5306"/>
  <c r="CR44" i="5306"/>
  <c r="CR45" i="5306"/>
  <c r="CR46" i="5306"/>
  <c r="CR47" i="5306"/>
  <c r="CR48" i="5306"/>
  <c r="CR49" i="5306"/>
  <c r="CR50" i="5306"/>
  <c r="CR51" i="5306"/>
  <c r="CR52" i="5306"/>
  <c r="CR53" i="5306"/>
  <c r="CR54" i="5306"/>
  <c r="CR2" i="5305"/>
  <c r="CR3" i="5305"/>
  <c r="CR4" i="5305"/>
  <c r="CR5" i="5305"/>
  <c r="CR6" i="5305"/>
  <c r="CR7" i="5305"/>
  <c r="CR8" i="5305"/>
  <c r="CR9" i="5305"/>
  <c r="CR10" i="5305"/>
  <c r="CR11" i="5305"/>
  <c r="CR12" i="5305"/>
  <c r="CR13" i="5305"/>
  <c r="CR14" i="5305"/>
  <c r="CR15" i="5305"/>
  <c r="CR16" i="5305"/>
  <c r="CR17" i="5305"/>
  <c r="CR18" i="5305"/>
  <c r="CR19" i="5305"/>
  <c r="CR20" i="5305"/>
  <c r="CR21" i="5305"/>
  <c r="CR22" i="5305"/>
  <c r="CR23" i="5305"/>
  <c r="CR24" i="5305"/>
  <c r="CR25" i="5305"/>
  <c r="CR26" i="5305"/>
  <c r="CR27" i="5305"/>
  <c r="CR28" i="5305"/>
  <c r="CR29" i="5305"/>
  <c r="CR30" i="5305"/>
  <c r="CR31" i="5305"/>
  <c r="CR32" i="5305"/>
  <c r="CR33" i="5305"/>
  <c r="CR34" i="5305"/>
  <c r="CR35" i="5305"/>
  <c r="CR36" i="5305"/>
  <c r="CR37" i="5305"/>
  <c r="CR38" i="5305"/>
  <c r="CR39" i="5305"/>
  <c r="CR40" i="5305"/>
  <c r="CR41" i="5305"/>
  <c r="CR42" i="5305"/>
  <c r="CR43" i="5305"/>
  <c r="CR44" i="5305"/>
  <c r="CR45" i="5305"/>
  <c r="CR46" i="5305"/>
  <c r="CR47" i="5305"/>
  <c r="CR48" i="5305"/>
  <c r="CR49" i="5305"/>
  <c r="CR50" i="5305"/>
  <c r="CR51" i="5305"/>
  <c r="CR52" i="5305"/>
  <c r="CR53" i="5305"/>
  <c r="CR54" i="5305"/>
  <c r="CR2" i="5304"/>
  <c r="CR3" i="5304"/>
  <c r="CR4" i="5304"/>
  <c r="CR5" i="5304"/>
  <c r="CR6" i="5304"/>
  <c r="CR7" i="5304"/>
  <c r="CR8" i="5304"/>
  <c r="CR9" i="5304"/>
  <c r="CR10" i="5304"/>
  <c r="CR11" i="5304"/>
  <c r="CR12" i="5304"/>
  <c r="CR13" i="5304"/>
  <c r="CR14" i="5304"/>
  <c r="CR15" i="5304"/>
  <c r="CR16" i="5304"/>
  <c r="CR17" i="5304"/>
  <c r="CR18" i="5304"/>
  <c r="CR19" i="5304"/>
  <c r="CR20" i="5304"/>
  <c r="CR21" i="5304"/>
  <c r="CR22" i="5304"/>
  <c r="CR23" i="5304"/>
  <c r="CR24" i="5304"/>
  <c r="CR25" i="5304"/>
  <c r="CR26" i="5304"/>
  <c r="CR27" i="5304"/>
  <c r="CR28" i="5304"/>
  <c r="CR29" i="5304"/>
  <c r="CR30" i="5304"/>
  <c r="CR31" i="5304"/>
  <c r="CR32" i="5304"/>
  <c r="CR33" i="5304"/>
  <c r="CR34" i="5304"/>
  <c r="CR35" i="5304"/>
  <c r="CR36" i="5304"/>
  <c r="CR37" i="5304"/>
  <c r="CR38" i="5304"/>
  <c r="CR39" i="5304"/>
  <c r="CR40" i="5304"/>
  <c r="CR41" i="5304"/>
  <c r="CR42" i="5304"/>
  <c r="CR43" i="5304"/>
  <c r="CR44" i="5304"/>
  <c r="CR45" i="5304"/>
  <c r="CR46" i="5304"/>
  <c r="CR47" i="5304"/>
  <c r="CR48" i="5304"/>
  <c r="CR49" i="5304"/>
  <c r="CR50" i="5304"/>
  <c r="CR51" i="5304"/>
  <c r="CR52" i="5304"/>
  <c r="CR53" i="5304"/>
  <c r="CR54" i="5304"/>
  <c r="CR2" i="5303"/>
  <c r="CR3" i="5303"/>
  <c r="CR4" i="5303"/>
  <c r="CR5" i="5303"/>
  <c r="CR6" i="5303"/>
  <c r="CR7" i="5303"/>
  <c r="CR8" i="5303"/>
  <c r="CR9" i="5303"/>
  <c r="CR10" i="5303"/>
  <c r="CR11" i="5303"/>
  <c r="CR12" i="5303"/>
  <c r="CR13" i="5303"/>
  <c r="CR14" i="5303"/>
  <c r="CR15" i="5303"/>
  <c r="CR16" i="5303"/>
  <c r="CR17" i="5303"/>
  <c r="CR18" i="5303"/>
  <c r="CR19" i="5303"/>
  <c r="CR20" i="5303"/>
  <c r="CR21" i="5303"/>
  <c r="CR22" i="5303"/>
  <c r="CR23" i="5303"/>
  <c r="CR24" i="5303"/>
  <c r="CR25" i="5303"/>
  <c r="CR26" i="5303"/>
  <c r="CR27" i="5303"/>
  <c r="CR28" i="5303"/>
  <c r="CR29" i="5303"/>
  <c r="CR30" i="5303"/>
  <c r="CR31" i="5303"/>
  <c r="CR32" i="5303"/>
  <c r="CR33" i="5303"/>
  <c r="CR34" i="5303"/>
  <c r="CR35" i="5303"/>
  <c r="CR36" i="5303"/>
  <c r="CR37" i="5303"/>
  <c r="CR38" i="5303"/>
  <c r="CR39" i="5303"/>
  <c r="CR40" i="5303"/>
  <c r="CR41" i="5303"/>
  <c r="CR42" i="5303"/>
  <c r="CR43" i="5303"/>
  <c r="CR44" i="5303"/>
  <c r="CR45" i="5303"/>
  <c r="CR46" i="5303"/>
  <c r="CR47" i="5303"/>
  <c r="CR48" i="5303"/>
  <c r="CR49" i="5303"/>
  <c r="CR50" i="5303"/>
  <c r="CR51" i="5303"/>
  <c r="CR52" i="5303"/>
  <c r="CR53" i="5303"/>
  <c r="CR54" i="5303"/>
  <c r="CR2" i="5302"/>
  <c r="CR3" i="5302"/>
  <c r="CR4" i="5302"/>
  <c r="CR5" i="5302"/>
  <c r="CR6" i="5302"/>
  <c r="CR7" i="5302"/>
  <c r="CR8" i="5302"/>
  <c r="CR9" i="5302"/>
  <c r="CR10" i="5302"/>
  <c r="CR11" i="5302"/>
  <c r="CR12" i="5302"/>
  <c r="CR13" i="5302"/>
  <c r="CR14" i="5302"/>
  <c r="CR15" i="5302"/>
  <c r="CR16" i="5302"/>
  <c r="CR17" i="5302"/>
  <c r="CR18" i="5302"/>
  <c r="CR19" i="5302"/>
  <c r="CR20" i="5302"/>
  <c r="CR21" i="5302"/>
  <c r="CR22" i="5302"/>
  <c r="CR23" i="5302"/>
  <c r="CR24" i="5302"/>
  <c r="CR25" i="5302"/>
  <c r="CR26" i="5302"/>
  <c r="CR27" i="5302"/>
  <c r="CR28" i="5302"/>
  <c r="CR29" i="5302"/>
  <c r="CR30" i="5302"/>
  <c r="CR31" i="5302"/>
  <c r="CR32" i="5302"/>
  <c r="CR33" i="5302"/>
  <c r="CR34" i="5302"/>
  <c r="CR35" i="5302"/>
  <c r="CR36" i="5302"/>
  <c r="CR37" i="5302"/>
  <c r="CR38" i="5302"/>
  <c r="CR39" i="5302"/>
  <c r="CR40" i="5302"/>
  <c r="CR41" i="5302"/>
  <c r="CR42" i="5302"/>
  <c r="CR43" i="5302"/>
  <c r="CR44" i="5302"/>
  <c r="CR45" i="5302"/>
  <c r="CR46" i="5302"/>
  <c r="CR47" i="5302"/>
  <c r="CR48" i="5302"/>
  <c r="CR49" i="5302"/>
  <c r="CR50" i="5302"/>
  <c r="CR51" i="5302"/>
  <c r="CR52" i="5302"/>
  <c r="CR53" i="5302"/>
  <c r="CR54" i="5302"/>
  <c r="CQ2" i="5307"/>
  <c r="CQ3" i="5307"/>
  <c r="CQ4" i="5307"/>
  <c r="CQ5" i="5307"/>
  <c r="CQ6" i="5307"/>
  <c r="CQ7" i="5307"/>
  <c r="CQ8" i="5307"/>
  <c r="CQ9" i="5307"/>
  <c r="CQ10" i="5307"/>
  <c r="CQ11" i="5307"/>
  <c r="CQ12" i="5307"/>
  <c r="CQ13" i="5307"/>
  <c r="CQ14" i="5307"/>
  <c r="CQ15" i="5307"/>
  <c r="CQ16" i="5307"/>
  <c r="CQ17" i="5307"/>
  <c r="CQ18" i="5307"/>
  <c r="CQ19" i="5307"/>
  <c r="CQ20" i="5307"/>
  <c r="CQ21" i="5307"/>
  <c r="CQ22" i="5307"/>
  <c r="CQ23" i="5307"/>
  <c r="CQ24" i="5307"/>
  <c r="CQ25" i="5307"/>
  <c r="CQ26" i="5307"/>
  <c r="CQ27" i="5307"/>
  <c r="CQ28" i="5307"/>
  <c r="CQ29" i="5307"/>
  <c r="CQ30" i="5307"/>
  <c r="CQ31" i="5307"/>
  <c r="CQ32" i="5307"/>
  <c r="CQ33" i="5307"/>
  <c r="CQ34" i="5307"/>
  <c r="CQ35" i="5307"/>
  <c r="CQ36" i="5307"/>
  <c r="CQ37" i="5307"/>
  <c r="CQ38" i="5307"/>
  <c r="CQ39" i="5307"/>
  <c r="CQ40" i="5307"/>
  <c r="CQ41" i="5307"/>
  <c r="CQ42" i="5307"/>
  <c r="CQ43" i="5307"/>
  <c r="CQ44" i="5307"/>
  <c r="CQ45" i="5307"/>
  <c r="CQ46" i="5307"/>
  <c r="CQ47" i="5307"/>
  <c r="CQ48" i="5307"/>
  <c r="CQ49" i="5307"/>
  <c r="CQ50" i="5307"/>
  <c r="CQ51" i="5307"/>
  <c r="CQ52" i="5307"/>
  <c r="CQ53" i="5307"/>
  <c r="CQ54" i="5307"/>
  <c r="CQ2" i="5306"/>
  <c r="CQ3" i="5306"/>
  <c r="CQ4" i="5306"/>
  <c r="CQ5" i="5306"/>
  <c r="CQ6" i="5306"/>
  <c r="CQ7" i="5306"/>
  <c r="CQ8" i="5306"/>
  <c r="CQ9" i="5306"/>
  <c r="CQ10" i="5306"/>
  <c r="CQ11" i="5306"/>
  <c r="CQ12" i="5306"/>
  <c r="CQ13" i="5306"/>
  <c r="CQ14" i="5306"/>
  <c r="CQ15" i="5306"/>
  <c r="CQ16" i="5306"/>
  <c r="CQ17" i="5306"/>
  <c r="CQ18" i="5306"/>
  <c r="CQ19" i="5306"/>
  <c r="CQ20" i="5306"/>
  <c r="CQ21" i="5306"/>
  <c r="CQ22" i="5306"/>
  <c r="CQ23" i="5306"/>
  <c r="CQ24" i="5306"/>
  <c r="CQ25" i="5306"/>
  <c r="CQ26" i="5306"/>
  <c r="CQ27" i="5306"/>
  <c r="CQ28" i="5306"/>
  <c r="CQ29" i="5306"/>
  <c r="CQ30" i="5306"/>
  <c r="CQ31" i="5306"/>
  <c r="CQ32" i="5306"/>
  <c r="CQ33" i="5306"/>
  <c r="CQ34" i="5306"/>
  <c r="CQ35" i="5306"/>
  <c r="CQ36" i="5306"/>
  <c r="CQ37" i="5306"/>
  <c r="CQ38" i="5306"/>
  <c r="CQ39" i="5306"/>
  <c r="CQ40" i="5306"/>
  <c r="CQ41" i="5306"/>
  <c r="CQ42" i="5306"/>
  <c r="CQ43" i="5306"/>
  <c r="CQ44" i="5306"/>
  <c r="CQ45" i="5306"/>
  <c r="CQ46" i="5306"/>
  <c r="CQ47" i="5306"/>
  <c r="CQ48" i="5306"/>
  <c r="CQ49" i="5306"/>
  <c r="CQ50" i="5306"/>
  <c r="CQ51" i="5306"/>
  <c r="CQ52" i="5306"/>
  <c r="CQ53" i="5306"/>
  <c r="CQ54" i="5306"/>
  <c r="CQ2" i="5305"/>
  <c r="CQ3" i="5305"/>
  <c r="CQ4" i="5305"/>
  <c r="CQ5" i="5305"/>
  <c r="CQ6" i="5305"/>
  <c r="CQ7" i="5305"/>
  <c r="CQ8" i="5305"/>
  <c r="CQ9" i="5305"/>
  <c r="CQ10" i="5305"/>
  <c r="CQ11" i="5305"/>
  <c r="CQ12" i="5305"/>
  <c r="CQ13" i="5305"/>
  <c r="CQ14" i="5305"/>
  <c r="CQ15" i="5305"/>
  <c r="CQ16" i="5305"/>
  <c r="CQ17" i="5305"/>
  <c r="CQ18" i="5305"/>
  <c r="CQ19" i="5305"/>
  <c r="CQ20" i="5305"/>
  <c r="CQ21" i="5305"/>
  <c r="CQ22" i="5305"/>
  <c r="CQ23" i="5305"/>
  <c r="CQ24" i="5305"/>
  <c r="CQ25" i="5305"/>
  <c r="CQ26" i="5305"/>
  <c r="CQ27" i="5305"/>
  <c r="CQ28" i="5305"/>
  <c r="CQ29" i="5305"/>
  <c r="CQ30" i="5305"/>
  <c r="CQ31" i="5305"/>
  <c r="CQ32" i="5305"/>
  <c r="CQ33" i="5305"/>
  <c r="CQ34" i="5305"/>
  <c r="CQ35" i="5305"/>
  <c r="CQ36" i="5305"/>
  <c r="CQ37" i="5305"/>
  <c r="CQ38" i="5305"/>
  <c r="CQ39" i="5305"/>
  <c r="CQ40" i="5305"/>
  <c r="CQ41" i="5305"/>
  <c r="CQ42" i="5305"/>
  <c r="CQ43" i="5305"/>
  <c r="CQ44" i="5305"/>
  <c r="CQ45" i="5305"/>
  <c r="CQ46" i="5305"/>
  <c r="CQ47" i="5305"/>
  <c r="CQ48" i="5305"/>
  <c r="CQ49" i="5305"/>
  <c r="CQ50" i="5305"/>
  <c r="CQ51" i="5305"/>
  <c r="CQ52" i="5305"/>
  <c r="CQ53" i="5305"/>
  <c r="CQ54" i="5305"/>
  <c r="CQ2" i="5304"/>
  <c r="CQ3" i="5304"/>
  <c r="CQ4" i="5304"/>
  <c r="CQ5" i="5304"/>
  <c r="CQ6" i="5304"/>
  <c r="CQ7" i="5304"/>
  <c r="CQ8" i="5304"/>
  <c r="CQ9" i="5304"/>
  <c r="CQ10" i="5304"/>
  <c r="CQ11" i="5304"/>
  <c r="CQ12" i="5304"/>
  <c r="CQ13" i="5304"/>
  <c r="CQ14" i="5304"/>
  <c r="CQ15" i="5304"/>
  <c r="CQ16" i="5304"/>
  <c r="CQ17" i="5304"/>
  <c r="CQ18" i="5304"/>
  <c r="CQ19" i="5304"/>
  <c r="CQ20" i="5304"/>
  <c r="CQ21" i="5304"/>
  <c r="CQ22" i="5304"/>
  <c r="CQ23" i="5304"/>
  <c r="CQ24" i="5304"/>
  <c r="CQ25" i="5304"/>
  <c r="CQ26" i="5304"/>
  <c r="CQ27" i="5304"/>
  <c r="CQ28" i="5304"/>
  <c r="CQ29" i="5304"/>
  <c r="CQ30" i="5304"/>
  <c r="CQ31" i="5304"/>
  <c r="CQ32" i="5304"/>
  <c r="CQ33" i="5304"/>
  <c r="CQ34" i="5304"/>
  <c r="CQ35" i="5304"/>
  <c r="CQ36" i="5304"/>
  <c r="CQ37" i="5304"/>
  <c r="CQ38" i="5304"/>
  <c r="CQ39" i="5304"/>
  <c r="CQ40" i="5304"/>
  <c r="CQ41" i="5304"/>
  <c r="CQ42" i="5304"/>
  <c r="CQ43" i="5304"/>
  <c r="CQ44" i="5304"/>
  <c r="CQ45" i="5304"/>
  <c r="CQ46" i="5304"/>
  <c r="CQ47" i="5304"/>
  <c r="CQ48" i="5304"/>
  <c r="CQ49" i="5304"/>
  <c r="CQ50" i="5304"/>
  <c r="CQ51" i="5304"/>
  <c r="CQ52" i="5304"/>
  <c r="CQ53" i="5304"/>
  <c r="CQ54" i="5304"/>
  <c r="CQ2" i="5303"/>
  <c r="CQ3" i="5303"/>
  <c r="CQ4" i="5303"/>
  <c r="CQ5" i="5303"/>
  <c r="CQ6" i="5303"/>
  <c r="CQ7" i="5303"/>
  <c r="CQ8" i="5303"/>
  <c r="CQ9" i="5303"/>
  <c r="CQ10" i="5303"/>
  <c r="CQ11" i="5303"/>
  <c r="CQ12" i="5303"/>
  <c r="CQ13" i="5303"/>
  <c r="CQ14" i="5303"/>
  <c r="CQ15" i="5303"/>
  <c r="CQ16" i="5303"/>
  <c r="CQ17" i="5303"/>
  <c r="CQ18" i="5303"/>
  <c r="CQ19" i="5303"/>
  <c r="CQ20" i="5303"/>
  <c r="CQ21" i="5303"/>
  <c r="CQ22" i="5303"/>
  <c r="CQ23" i="5303"/>
  <c r="CQ24" i="5303"/>
  <c r="CQ25" i="5303"/>
  <c r="CQ26" i="5303"/>
  <c r="CQ27" i="5303"/>
  <c r="CQ28" i="5303"/>
  <c r="CQ29" i="5303"/>
  <c r="CQ30" i="5303"/>
  <c r="CQ31" i="5303"/>
  <c r="CQ32" i="5303"/>
  <c r="CQ33" i="5303"/>
  <c r="CQ34" i="5303"/>
  <c r="CQ35" i="5303"/>
  <c r="CQ36" i="5303"/>
  <c r="CQ37" i="5303"/>
  <c r="CQ38" i="5303"/>
  <c r="CQ39" i="5303"/>
  <c r="CQ40" i="5303"/>
  <c r="CQ41" i="5303"/>
  <c r="CQ42" i="5303"/>
  <c r="CQ43" i="5303"/>
  <c r="CQ44" i="5303"/>
  <c r="CQ45" i="5303"/>
  <c r="CQ46" i="5303"/>
  <c r="CQ47" i="5303"/>
  <c r="CQ48" i="5303"/>
  <c r="CQ49" i="5303"/>
  <c r="CQ50" i="5303"/>
  <c r="CQ51" i="5303"/>
  <c r="CQ52" i="5303"/>
  <c r="CQ53" i="5303"/>
  <c r="CQ54" i="5303"/>
  <c r="CQ2" i="5302"/>
  <c r="CQ3" i="5302"/>
  <c r="CQ4" i="5302"/>
  <c r="CQ5" i="5302"/>
  <c r="CQ6" i="5302"/>
  <c r="CQ7" i="5302"/>
  <c r="CQ8" i="5302"/>
  <c r="CQ9" i="5302"/>
  <c r="CQ10" i="5302"/>
  <c r="CQ11" i="5302"/>
  <c r="CQ12" i="5302"/>
  <c r="CQ13" i="5302"/>
  <c r="CQ14" i="5302"/>
  <c r="CQ15" i="5302"/>
  <c r="CQ16" i="5302"/>
  <c r="CQ17" i="5302"/>
  <c r="CQ18" i="5302"/>
  <c r="CQ19" i="5302"/>
  <c r="CQ20" i="5302"/>
  <c r="CQ21" i="5302"/>
  <c r="CQ22" i="5302"/>
  <c r="CQ23" i="5302"/>
  <c r="CQ24" i="5302"/>
  <c r="CQ25" i="5302"/>
  <c r="CQ26" i="5302"/>
  <c r="CQ27" i="5302"/>
  <c r="CQ28" i="5302"/>
  <c r="CQ29" i="5302"/>
  <c r="CQ30" i="5302"/>
  <c r="CQ31" i="5302"/>
  <c r="CQ32" i="5302"/>
  <c r="CQ33" i="5302"/>
  <c r="CQ34" i="5302"/>
  <c r="CQ35" i="5302"/>
  <c r="CQ36" i="5302"/>
  <c r="CQ37" i="5302"/>
  <c r="CQ38" i="5302"/>
  <c r="CQ39" i="5302"/>
  <c r="CQ40" i="5302"/>
  <c r="CQ41" i="5302"/>
  <c r="CQ42" i="5302"/>
  <c r="CQ43" i="5302"/>
  <c r="CQ44" i="5302"/>
  <c r="CQ45" i="5302"/>
  <c r="CQ46" i="5302"/>
  <c r="CQ47" i="5302"/>
  <c r="CQ48" i="5302"/>
  <c r="CQ49" i="5302"/>
  <c r="CQ50" i="5302"/>
  <c r="CQ51" i="5302"/>
  <c r="CQ52" i="5302"/>
  <c r="CQ53" i="5302"/>
  <c r="CQ54" i="5302"/>
  <c r="CP2" i="5307"/>
  <c r="CP3" i="5307"/>
  <c r="CP4" i="5307"/>
  <c r="CP5" i="5307"/>
  <c r="CP6" i="5307"/>
  <c r="CP7" i="5307"/>
  <c r="CP8" i="5307"/>
  <c r="CP9" i="5307"/>
  <c r="CP10" i="5307"/>
  <c r="CP11" i="5307"/>
  <c r="CP12" i="5307"/>
  <c r="CP13" i="5307"/>
  <c r="CP14" i="5307"/>
  <c r="CP15" i="5307"/>
  <c r="CP16" i="5307"/>
  <c r="CP17" i="5307"/>
  <c r="CP18" i="5307"/>
  <c r="CP19" i="5307"/>
  <c r="CP20" i="5307"/>
  <c r="CP21" i="5307"/>
  <c r="CP22" i="5307"/>
  <c r="CP23" i="5307"/>
  <c r="CP24" i="5307"/>
  <c r="CP25" i="5307"/>
  <c r="CP26" i="5307"/>
  <c r="CP27" i="5307"/>
  <c r="CP28" i="5307"/>
  <c r="CP29" i="5307"/>
  <c r="CP30" i="5307"/>
  <c r="CP31" i="5307"/>
  <c r="CP32" i="5307"/>
  <c r="CP33" i="5307"/>
  <c r="CP34" i="5307"/>
  <c r="CP35" i="5307"/>
  <c r="CP36" i="5307"/>
  <c r="CP37" i="5307"/>
  <c r="CP38" i="5307"/>
  <c r="CP39" i="5307"/>
  <c r="CP40" i="5307"/>
  <c r="CP41" i="5307"/>
  <c r="CP42" i="5307"/>
  <c r="CP43" i="5307"/>
  <c r="CP44" i="5307"/>
  <c r="CP45" i="5307"/>
  <c r="CP46" i="5307"/>
  <c r="CP47" i="5307"/>
  <c r="CP48" i="5307"/>
  <c r="CP49" i="5307"/>
  <c r="CP50" i="5307"/>
  <c r="CP51" i="5307"/>
  <c r="CP52" i="5307"/>
  <c r="CP53" i="5307"/>
  <c r="CP54" i="5307"/>
  <c r="CP2" i="5306"/>
  <c r="CP3" i="5306"/>
  <c r="CP4" i="5306"/>
  <c r="CP5" i="5306"/>
  <c r="CP6" i="5306"/>
  <c r="CP7" i="5306"/>
  <c r="CP8" i="5306"/>
  <c r="CP9" i="5306"/>
  <c r="CP10" i="5306"/>
  <c r="CP11" i="5306"/>
  <c r="CP12" i="5306"/>
  <c r="CP13" i="5306"/>
  <c r="CP14" i="5306"/>
  <c r="CP15" i="5306"/>
  <c r="CP16" i="5306"/>
  <c r="CP17" i="5306"/>
  <c r="CP18" i="5306"/>
  <c r="CP19" i="5306"/>
  <c r="CP20" i="5306"/>
  <c r="CP21" i="5306"/>
  <c r="CP22" i="5306"/>
  <c r="CP23" i="5306"/>
  <c r="CP24" i="5306"/>
  <c r="CP25" i="5306"/>
  <c r="CP26" i="5306"/>
  <c r="CP27" i="5306"/>
  <c r="CP28" i="5306"/>
  <c r="CP29" i="5306"/>
  <c r="CP30" i="5306"/>
  <c r="CP31" i="5306"/>
  <c r="CP32" i="5306"/>
  <c r="CP33" i="5306"/>
  <c r="CP34" i="5306"/>
  <c r="CP35" i="5306"/>
  <c r="CP36" i="5306"/>
  <c r="CP37" i="5306"/>
  <c r="CP38" i="5306"/>
  <c r="CP39" i="5306"/>
  <c r="CP40" i="5306"/>
  <c r="CP41" i="5306"/>
  <c r="CP42" i="5306"/>
  <c r="CP43" i="5306"/>
  <c r="CP44" i="5306"/>
  <c r="CP45" i="5306"/>
  <c r="CP46" i="5306"/>
  <c r="CP47" i="5306"/>
  <c r="CP48" i="5306"/>
  <c r="CP49" i="5306"/>
  <c r="CP50" i="5306"/>
  <c r="CP51" i="5306"/>
  <c r="CP52" i="5306"/>
  <c r="CP53" i="5306"/>
  <c r="CP54" i="5306"/>
  <c r="CP2" i="5305"/>
  <c r="CP3" i="5305"/>
  <c r="CP4" i="5305"/>
  <c r="CP5" i="5305"/>
  <c r="CP6" i="5305"/>
  <c r="CP7" i="5305"/>
  <c r="CP8" i="5305"/>
  <c r="CP9" i="5305"/>
  <c r="CP10" i="5305"/>
  <c r="CP11" i="5305"/>
  <c r="CP12" i="5305"/>
  <c r="CP13" i="5305"/>
  <c r="CP14" i="5305"/>
  <c r="CP15" i="5305"/>
  <c r="CP16" i="5305"/>
  <c r="CP17" i="5305"/>
  <c r="CP18" i="5305"/>
  <c r="CP19" i="5305"/>
  <c r="CP20" i="5305"/>
  <c r="CP21" i="5305"/>
  <c r="CP22" i="5305"/>
  <c r="CP23" i="5305"/>
  <c r="CP24" i="5305"/>
  <c r="CP25" i="5305"/>
  <c r="CP26" i="5305"/>
  <c r="CP27" i="5305"/>
  <c r="CP28" i="5305"/>
  <c r="CP29" i="5305"/>
  <c r="CP30" i="5305"/>
  <c r="CP31" i="5305"/>
  <c r="CP32" i="5305"/>
  <c r="CP33" i="5305"/>
  <c r="CP34" i="5305"/>
  <c r="CP35" i="5305"/>
  <c r="CP36" i="5305"/>
  <c r="CP37" i="5305"/>
  <c r="CP38" i="5305"/>
  <c r="CP39" i="5305"/>
  <c r="CP40" i="5305"/>
  <c r="CP41" i="5305"/>
  <c r="CP42" i="5305"/>
  <c r="CP43" i="5305"/>
  <c r="CP44" i="5305"/>
  <c r="CP45" i="5305"/>
  <c r="CP46" i="5305"/>
  <c r="CP47" i="5305"/>
  <c r="CP48" i="5305"/>
  <c r="CP49" i="5305"/>
  <c r="CP50" i="5305"/>
  <c r="CP51" i="5305"/>
  <c r="CP52" i="5305"/>
  <c r="CP53" i="5305"/>
  <c r="CP54" i="5305"/>
  <c r="CP2" i="5304"/>
  <c r="CP3" i="5304"/>
  <c r="CP4" i="5304"/>
  <c r="CP5" i="5304"/>
  <c r="CP6" i="5304"/>
  <c r="CP7" i="5304"/>
  <c r="CP8" i="5304"/>
  <c r="CP9" i="5304"/>
  <c r="CP10" i="5304"/>
  <c r="CP11" i="5304"/>
  <c r="CP12" i="5304"/>
  <c r="CP13" i="5304"/>
  <c r="CP14" i="5304"/>
  <c r="CP15" i="5304"/>
  <c r="CP16" i="5304"/>
  <c r="CP17" i="5304"/>
  <c r="CP18" i="5304"/>
  <c r="CP19" i="5304"/>
  <c r="CP20" i="5304"/>
  <c r="CP21" i="5304"/>
  <c r="CP22" i="5304"/>
  <c r="CP23" i="5304"/>
  <c r="CP24" i="5304"/>
  <c r="CP25" i="5304"/>
  <c r="CP26" i="5304"/>
  <c r="CP27" i="5304"/>
  <c r="CP28" i="5304"/>
  <c r="CP29" i="5304"/>
  <c r="CP30" i="5304"/>
  <c r="CP31" i="5304"/>
  <c r="CP32" i="5304"/>
  <c r="CP33" i="5304"/>
  <c r="CP34" i="5304"/>
  <c r="CP35" i="5304"/>
  <c r="CP36" i="5304"/>
  <c r="CP37" i="5304"/>
  <c r="CP38" i="5304"/>
  <c r="CP39" i="5304"/>
  <c r="CP40" i="5304"/>
  <c r="CP41" i="5304"/>
  <c r="CP42" i="5304"/>
  <c r="CP43" i="5304"/>
  <c r="CP44" i="5304"/>
  <c r="CP45" i="5304"/>
  <c r="CP46" i="5304"/>
  <c r="CP47" i="5304"/>
  <c r="CP48" i="5304"/>
  <c r="CP49" i="5304"/>
  <c r="CP50" i="5304"/>
  <c r="CP51" i="5304"/>
  <c r="CP52" i="5304"/>
  <c r="CP53" i="5304"/>
  <c r="CP54" i="5304"/>
  <c r="CP2" i="5303"/>
  <c r="CP3" i="5303"/>
  <c r="CP4" i="5303"/>
  <c r="CP5" i="5303"/>
  <c r="CP6" i="5303"/>
  <c r="CP7" i="5303"/>
  <c r="CP8" i="5303"/>
  <c r="CP9" i="5303"/>
  <c r="CP10" i="5303"/>
  <c r="CP11" i="5303"/>
  <c r="CP12" i="5303"/>
  <c r="CP13" i="5303"/>
  <c r="CP14" i="5303"/>
  <c r="CP15" i="5303"/>
  <c r="CP16" i="5303"/>
  <c r="CP17" i="5303"/>
  <c r="CP18" i="5303"/>
  <c r="CP19" i="5303"/>
  <c r="CP20" i="5303"/>
  <c r="CP21" i="5303"/>
  <c r="CP22" i="5303"/>
  <c r="CP23" i="5303"/>
  <c r="CP24" i="5303"/>
  <c r="CP25" i="5303"/>
  <c r="CP26" i="5303"/>
  <c r="CP27" i="5303"/>
  <c r="CP28" i="5303"/>
  <c r="CP29" i="5303"/>
  <c r="CP30" i="5303"/>
  <c r="CP31" i="5303"/>
  <c r="CP32" i="5303"/>
  <c r="CP33" i="5303"/>
  <c r="CP34" i="5303"/>
  <c r="CP35" i="5303"/>
  <c r="CP36" i="5303"/>
  <c r="CP37" i="5303"/>
  <c r="CP38" i="5303"/>
  <c r="CP39" i="5303"/>
  <c r="CP40" i="5303"/>
  <c r="CP41" i="5303"/>
  <c r="CP42" i="5303"/>
  <c r="CP43" i="5303"/>
  <c r="CP44" i="5303"/>
  <c r="CP45" i="5303"/>
  <c r="CP46" i="5303"/>
  <c r="CP47" i="5303"/>
  <c r="CP48" i="5303"/>
  <c r="CP49" i="5303"/>
  <c r="CP50" i="5303"/>
  <c r="CP51" i="5303"/>
  <c r="CP52" i="5303"/>
  <c r="CP53" i="5303"/>
  <c r="CP54" i="5303"/>
  <c r="CP2" i="5302"/>
  <c r="CP3" i="5302"/>
  <c r="CP4" i="5302"/>
  <c r="CP5" i="5302"/>
  <c r="CP6" i="5302"/>
  <c r="CP7" i="5302"/>
  <c r="CP8" i="5302"/>
  <c r="CP9" i="5302"/>
  <c r="CP10" i="5302"/>
  <c r="CP11" i="5302"/>
  <c r="CP12" i="5302"/>
  <c r="CP13" i="5302"/>
  <c r="CP14" i="5302"/>
  <c r="CP15" i="5302"/>
  <c r="CP16" i="5302"/>
  <c r="CP17" i="5302"/>
  <c r="CP18" i="5302"/>
  <c r="CP19" i="5302"/>
  <c r="CP20" i="5302"/>
  <c r="CP21" i="5302"/>
  <c r="CP22" i="5302"/>
  <c r="CP23" i="5302"/>
  <c r="CP24" i="5302"/>
  <c r="CP25" i="5302"/>
  <c r="CP26" i="5302"/>
  <c r="CP27" i="5302"/>
  <c r="CP28" i="5302"/>
  <c r="CP29" i="5302"/>
  <c r="CP30" i="5302"/>
  <c r="CP31" i="5302"/>
  <c r="CP32" i="5302"/>
  <c r="CP33" i="5302"/>
  <c r="CP34" i="5302"/>
  <c r="CP35" i="5302"/>
  <c r="CP36" i="5302"/>
  <c r="CP37" i="5302"/>
  <c r="CP38" i="5302"/>
  <c r="CP39" i="5302"/>
  <c r="CP40" i="5302"/>
  <c r="CP41" i="5302"/>
  <c r="CP42" i="5302"/>
  <c r="CP43" i="5302"/>
  <c r="CP44" i="5302"/>
  <c r="CP45" i="5302"/>
  <c r="CP46" i="5302"/>
  <c r="CP47" i="5302"/>
  <c r="CP48" i="5302"/>
  <c r="CP49" i="5302"/>
  <c r="CP50" i="5302"/>
  <c r="CP51" i="5302"/>
  <c r="CP52" i="5302"/>
  <c r="CP53" i="5302"/>
  <c r="CP54" i="5302"/>
  <c r="CO2" i="5307"/>
  <c r="CO3" i="5307"/>
  <c r="CO4" i="5307"/>
  <c r="CO5" i="5307"/>
  <c r="CO6" i="5307"/>
  <c r="CO7" i="5307"/>
  <c r="CO8" i="5307"/>
  <c r="CO9" i="5307"/>
  <c r="CO10" i="5307"/>
  <c r="CO11" i="5307"/>
  <c r="CO12" i="5307"/>
  <c r="CO13" i="5307"/>
  <c r="CO14" i="5307"/>
  <c r="CO15" i="5307"/>
  <c r="CO16" i="5307"/>
  <c r="CO17" i="5307"/>
  <c r="CO18" i="5307"/>
  <c r="CO19" i="5307"/>
  <c r="CO20" i="5307"/>
  <c r="CO21" i="5307"/>
  <c r="CO22" i="5307"/>
  <c r="CO23" i="5307"/>
  <c r="CO24" i="5307"/>
  <c r="CO25" i="5307"/>
  <c r="CO26" i="5307"/>
  <c r="CO27" i="5307"/>
  <c r="CO28" i="5307"/>
  <c r="CO29" i="5307"/>
  <c r="CO30" i="5307"/>
  <c r="CO31" i="5307"/>
  <c r="CO32" i="5307"/>
  <c r="CO33" i="5307"/>
  <c r="CO34" i="5307"/>
  <c r="CO35" i="5307"/>
  <c r="CO36" i="5307"/>
  <c r="CO37" i="5307"/>
  <c r="CO38" i="5307"/>
  <c r="CO39" i="5307"/>
  <c r="CO40" i="5307"/>
  <c r="CO41" i="5307"/>
  <c r="CO42" i="5307"/>
  <c r="CO43" i="5307"/>
  <c r="CO44" i="5307"/>
  <c r="CO45" i="5307"/>
  <c r="CO46" i="5307"/>
  <c r="CO47" i="5307"/>
  <c r="CO48" i="5307"/>
  <c r="CO49" i="5307"/>
  <c r="CO50" i="5307"/>
  <c r="CO51" i="5307"/>
  <c r="CO52" i="5307"/>
  <c r="CO53" i="5307"/>
  <c r="CO54" i="5307"/>
  <c r="CO2" i="5306"/>
  <c r="CO3" i="5306"/>
  <c r="CO4" i="5306"/>
  <c r="CO5" i="5306"/>
  <c r="CO6" i="5306"/>
  <c r="CO7" i="5306"/>
  <c r="CO8" i="5306"/>
  <c r="CO9" i="5306"/>
  <c r="CO10" i="5306"/>
  <c r="CO11" i="5306"/>
  <c r="CO12" i="5306"/>
  <c r="CO13" i="5306"/>
  <c r="CO14" i="5306"/>
  <c r="CO15" i="5306"/>
  <c r="CO16" i="5306"/>
  <c r="CO17" i="5306"/>
  <c r="CO18" i="5306"/>
  <c r="CO19" i="5306"/>
  <c r="CO20" i="5306"/>
  <c r="CO21" i="5306"/>
  <c r="CO22" i="5306"/>
  <c r="CO23" i="5306"/>
  <c r="CO24" i="5306"/>
  <c r="CO25" i="5306"/>
  <c r="CO26" i="5306"/>
  <c r="CO27" i="5306"/>
  <c r="CO28" i="5306"/>
  <c r="CO29" i="5306"/>
  <c r="CO30" i="5306"/>
  <c r="CO31" i="5306"/>
  <c r="CO32" i="5306"/>
  <c r="CO33" i="5306"/>
  <c r="CO34" i="5306"/>
  <c r="CO35" i="5306"/>
  <c r="CO36" i="5306"/>
  <c r="CO37" i="5306"/>
  <c r="CO38" i="5306"/>
  <c r="CO39" i="5306"/>
  <c r="CO40" i="5306"/>
  <c r="CO41" i="5306"/>
  <c r="CO42" i="5306"/>
  <c r="CO43" i="5306"/>
  <c r="CO44" i="5306"/>
  <c r="CO45" i="5306"/>
  <c r="CO46" i="5306"/>
  <c r="CO47" i="5306"/>
  <c r="CO48" i="5306"/>
  <c r="CO49" i="5306"/>
  <c r="CO50" i="5306"/>
  <c r="CO51" i="5306"/>
  <c r="CO52" i="5306"/>
  <c r="CO53" i="5306"/>
  <c r="CO54" i="5306"/>
  <c r="CO2" i="5305"/>
  <c r="CO3" i="5305"/>
  <c r="CO4" i="5305"/>
  <c r="CO5" i="5305"/>
  <c r="CO6" i="5305"/>
  <c r="CO7" i="5305"/>
  <c r="CO8" i="5305"/>
  <c r="CO9" i="5305"/>
  <c r="CO10" i="5305"/>
  <c r="CO11" i="5305"/>
  <c r="CO12" i="5305"/>
  <c r="CO13" i="5305"/>
  <c r="CO14" i="5305"/>
  <c r="CO15" i="5305"/>
  <c r="CO16" i="5305"/>
  <c r="CO17" i="5305"/>
  <c r="CO18" i="5305"/>
  <c r="CO19" i="5305"/>
  <c r="CO20" i="5305"/>
  <c r="CO21" i="5305"/>
  <c r="CO22" i="5305"/>
  <c r="CO23" i="5305"/>
  <c r="CO24" i="5305"/>
  <c r="CO25" i="5305"/>
  <c r="CO26" i="5305"/>
  <c r="CO27" i="5305"/>
  <c r="CO28" i="5305"/>
  <c r="CO29" i="5305"/>
  <c r="CO30" i="5305"/>
  <c r="CO31" i="5305"/>
  <c r="CO32" i="5305"/>
  <c r="CO33" i="5305"/>
  <c r="CO34" i="5305"/>
  <c r="CO35" i="5305"/>
  <c r="CO36" i="5305"/>
  <c r="CO37" i="5305"/>
  <c r="CO38" i="5305"/>
  <c r="CO39" i="5305"/>
  <c r="CO40" i="5305"/>
  <c r="CO41" i="5305"/>
  <c r="CO42" i="5305"/>
  <c r="CO43" i="5305"/>
  <c r="CO44" i="5305"/>
  <c r="CO45" i="5305"/>
  <c r="CO46" i="5305"/>
  <c r="CO47" i="5305"/>
  <c r="CO48" i="5305"/>
  <c r="CO49" i="5305"/>
  <c r="CO50" i="5305"/>
  <c r="CO51" i="5305"/>
  <c r="CO52" i="5305"/>
  <c r="CO53" i="5305"/>
  <c r="CO54" i="5305"/>
  <c r="CO2" i="5304"/>
  <c r="CO3" i="5304"/>
  <c r="CO4" i="5304"/>
  <c r="CO5" i="5304"/>
  <c r="CO6" i="5304"/>
  <c r="CO7" i="5304"/>
  <c r="CO8" i="5304"/>
  <c r="CO9" i="5304"/>
  <c r="CO10" i="5304"/>
  <c r="CO11" i="5304"/>
  <c r="CO12" i="5304"/>
  <c r="CO13" i="5304"/>
  <c r="CO14" i="5304"/>
  <c r="CO15" i="5304"/>
  <c r="CO16" i="5304"/>
  <c r="CO17" i="5304"/>
  <c r="CO18" i="5304"/>
  <c r="CO19" i="5304"/>
  <c r="CO20" i="5304"/>
  <c r="CO21" i="5304"/>
  <c r="CO22" i="5304"/>
  <c r="CO23" i="5304"/>
  <c r="CO24" i="5304"/>
  <c r="CO25" i="5304"/>
  <c r="CO26" i="5304"/>
  <c r="CO27" i="5304"/>
  <c r="CO28" i="5304"/>
  <c r="CO29" i="5304"/>
  <c r="CO30" i="5304"/>
  <c r="CO31" i="5304"/>
  <c r="CO32" i="5304"/>
  <c r="CO33" i="5304"/>
  <c r="CO34" i="5304"/>
  <c r="CO35" i="5304"/>
  <c r="CO36" i="5304"/>
  <c r="CO37" i="5304"/>
  <c r="CO38" i="5304"/>
  <c r="CO39" i="5304"/>
  <c r="CO40" i="5304"/>
  <c r="CO41" i="5304"/>
  <c r="CO42" i="5304"/>
  <c r="CO43" i="5304"/>
  <c r="CO44" i="5304"/>
  <c r="CO45" i="5304"/>
  <c r="CO46" i="5304"/>
  <c r="CO47" i="5304"/>
  <c r="CO48" i="5304"/>
  <c r="CO49" i="5304"/>
  <c r="CO50" i="5304"/>
  <c r="CO51" i="5304"/>
  <c r="CO52" i="5304"/>
  <c r="CO53" i="5304"/>
  <c r="CO54" i="5304"/>
  <c r="CO2" i="5303"/>
  <c r="CO3" i="5303"/>
  <c r="CO4" i="5303"/>
  <c r="CO5" i="5303"/>
  <c r="CO6" i="5303"/>
  <c r="CO7" i="5303"/>
  <c r="CO8" i="5303"/>
  <c r="CO9" i="5303"/>
  <c r="CO10" i="5303"/>
  <c r="CO11" i="5303"/>
  <c r="CO12" i="5303"/>
  <c r="CO13" i="5303"/>
  <c r="CO14" i="5303"/>
  <c r="CO15" i="5303"/>
  <c r="CO16" i="5303"/>
  <c r="CO17" i="5303"/>
  <c r="CO18" i="5303"/>
  <c r="CO19" i="5303"/>
  <c r="CO20" i="5303"/>
  <c r="CO21" i="5303"/>
  <c r="CO22" i="5303"/>
  <c r="CO23" i="5303"/>
  <c r="CO24" i="5303"/>
  <c r="CO25" i="5303"/>
  <c r="CO26" i="5303"/>
  <c r="CO27" i="5303"/>
  <c r="CO28" i="5303"/>
  <c r="CO29" i="5303"/>
  <c r="CO30" i="5303"/>
  <c r="CO31" i="5303"/>
  <c r="CO32" i="5303"/>
  <c r="CO33" i="5303"/>
  <c r="CO34" i="5303"/>
  <c r="CO35" i="5303"/>
  <c r="CO36" i="5303"/>
  <c r="CO37" i="5303"/>
  <c r="CO38" i="5303"/>
  <c r="CO39" i="5303"/>
  <c r="CO40" i="5303"/>
  <c r="CO41" i="5303"/>
  <c r="CO42" i="5303"/>
  <c r="CO43" i="5303"/>
  <c r="CO44" i="5303"/>
  <c r="CO45" i="5303"/>
  <c r="CO46" i="5303"/>
  <c r="CO47" i="5303"/>
  <c r="CO48" i="5303"/>
  <c r="CO49" i="5303"/>
  <c r="CO50" i="5303"/>
  <c r="CO51" i="5303"/>
  <c r="CO52" i="5303"/>
  <c r="CO53" i="5303"/>
  <c r="CO54" i="5303"/>
  <c r="CO2" i="5302"/>
  <c r="CO3" i="5302"/>
  <c r="CO4" i="5302"/>
  <c r="CO5" i="5302"/>
  <c r="CO6" i="5302"/>
  <c r="CO7" i="5302"/>
  <c r="CO8" i="5302"/>
  <c r="CO9" i="5302"/>
  <c r="CO10" i="5302"/>
  <c r="CO11" i="5302"/>
  <c r="CO12" i="5302"/>
  <c r="CO13" i="5302"/>
  <c r="CO14" i="5302"/>
  <c r="CO15" i="5302"/>
  <c r="CO16" i="5302"/>
  <c r="CO17" i="5302"/>
  <c r="CO18" i="5302"/>
  <c r="CO19" i="5302"/>
  <c r="CO20" i="5302"/>
  <c r="CO21" i="5302"/>
  <c r="CO22" i="5302"/>
  <c r="CO23" i="5302"/>
  <c r="CO24" i="5302"/>
  <c r="CO25" i="5302"/>
  <c r="CO26" i="5302"/>
  <c r="CO27" i="5302"/>
  <c r="CO28" i="5302"/>
  <c r="CO29" i="5302"/>
  <c r="CO30" i="5302"/>
  <c r="CO31" i="5302"/>
  <c r="CO32" i="5302"/>
  <c r="CO33" i="5302"/>
  <c r="CO34" i="5302"/>
  <c r="CO35" i="5302"/>
  <c r="CO36" i="5302"/>
  <c r="CO37" i="5302"/>
  <c r="CO38" i="5302"/>
  <c r="CO39" i="5302"/>
  <c r="CO40" i="5302"/>
  <c r="CO41" i="5302"/>
  <c r="CO42" i="5302"/>
  <c r="CO43" i="5302"/>
  <c r="CO44" i="5302"/>
  <c r="CO45" i="5302"/>
  <c r="CO46" i="5302"/>
  <c r="CO47" i="5302"/>
  <c r="CO48" i="5302"/>
  <c r="CO49" i="5302"/>
  <c r="CO50" i="5302"/>
  <c r="CO51" i="5302"/>
  <c r="CO52" i="5302"/>
  <c r="CO53" i="5302"/>
  <c r="CO54" i="5302"/>
  <c r="CN2" i="5307"/>
  <c r="CN3" i="5307"/>
  <c r="CN4" i="5307"/>
  <c r="CN5" i="5307"/>
  <c r="CN6" i="5307"/>
  <c r="CN7" i="5307"/>
  <c r="CN8" i="5307"/>
  <c r="CN9" i="5307"/>
  <c r="CN10" i="5307"/>
  <c r="CN11" i="5307"/>
  <c r="CN12" i="5307"/>
  <c r="CN13" i="5307"/>
  <c r="CN14" i="5307"/>
  <c r="CN15" i="5307"/>
  <c r="CN16" i="5307"/>
  <c r="CN17" i="5307"/>
  <c r="CN18" i="5307"/>
  <c r="CN19" i="5307"/>
  <c r="CN20" i="5307"/>
  <c r="CN21" i="5307"/>
  <c r="CN22" i="5307"/>
  <c r="CN23" i="5307"/>
  <c r="CN24" i="5307"/>
  <c r="CN25" i="5307"/>
  <c r="CN26" i="5307"/>
  <c r="CN27" i="5307"/>
  <c r="CN28" i="5307"/>
  <c r="CN29" i="5307"/>
  <c r="CN30" i="5307"/>
  <c r="CN31" i="5307"/>
  <c r="CN32" i="5307"/>
  <c r="CN33" i="5307"/>
  <c r="CN34" i="5307"/>
  <c r="CN35" i="5307"/>
  <c r="CN36" i="5307"/>
  <c r="CN37" i="5307"/>
  <c r="CN38" i="5307"/>
  <c r="CN39" i="5307"/>
  <c r="CN40" i="5307"/>
  <c r="CN41" i="5307"/>
  <c r="CN42" i="5307"/>
  <c r="CN43" i="5307"/>
  <c r="CN44" i="5307"/>
  <c r="CN45" i="5307"/>
  <c r="CN46" i="5307"/>
  <c r="CN47" i="5307"/>
  <c r="CN48" i="5307"/>
  <c r="CN49" i="5307"/>
  <c r="CN50" i="5307"/>
  <c r="CN51" i="5307"/>
  <c r="CN52" i="5307"/>
  <c r="CN53" i="5307"/>
  <c r="CN54" i="5307"/>
  <c r="CN2" i="5306"/>
  <c r="CN3" i="5306"/>
  <c r="CN4" i="5306"/>
  <c r="CN5" i="5306"/>
  <c r="CN6" i="5306"/>
  <c r="CN7" i="5306"/>
  <c r="CN8" i="5306"/>
  <c r="CN9" i="5306"/>
  <c r="CN10" i="5306"/>
  <c r="CN11" i="5306"/>
  <c r="CN12" i="5306"/>
  <c r="CN13" i="5306"/>
  <c r="CN14" i="5306"/>
  <c r="CN15" i="5306"/>
  <c r="CN16" i="5306"/>
  <c r="CN17" i="5306"/>
  <c r="CN18" i="5306"/>
  <c r="CN19" i="5306"/>
  <c r="CN20" i="5306"/>
  <c r="CN21" i="5306"/>
  <c r="CN22" i="5306"/>
  <c r="CN23" i="5306"/>
  <c r="CN24" i="5306"/>
  <c r="CN25" i="5306"/>
  <c r="CN26" i="5306"/>
  <c r="CN27" i="5306"/>
  <c r="CN28" i="5306"/>
  <c r="CN29" i="5306"/>
  <c r="CN30" i="5306"/>
  <c r="CN31" i="5306"/>
  <c r="CN32" i="5306"/>
  <c r="CN33" i="5306"/>
  <c r="CN34" i="5306"/>
  <c r="CN35" i="5306"/>
  <c r="CN36" i="5306"/>
  <c r="CN37" i="5306"/>
  <c r="CN38" i="5306"/>
  <c r="CN39" i="5306"/>
  <c r="CN40" i="5306"/>
  <c r="CN41" i="5306"/>
  <c r="CN42" i="5306"/>
  <c r="CN43" i="5306"/>
  <c r="CN44" i="5306"/>
  <c r="CN45" i="5306"/>
  <c r="CN46" i="5306"/>
  <c r="CN47" i="5306"/>
  <c r="CN48" i="5306"/>
  <c r="CN49" i="5306"/>
  <c r="CN50" i="5306"/>
  <c r="CN51" i="5306"/>
  <c r="CN52" i="5306"/>
  <c r="CN53" i="5306"/>
  <c r="CN54" i="5306"/>
  <c r="CN2" i="5305"/>
  <c r="CN3" i="5305"/>
  <c r="CN4" i="5305"/>
  <c r="CN5" i="5305"/>
  <c r="CN6" i="5305"/>
  <c r="CN7" i="5305"/>
  <c r="CN8" i="5305"/>
  <c r="CN9" i="5305"/>
  <c r="CN10" i="5305"/>
  <c r="CN11" i="5305"/>
  <c r="CN12" i="5305"/>
  <c r="CN13" i="5305"/>
  <c r="CN14" i="5305"/>
  <c r="CN15" i="5305"/>
  <c r="CN16" i="5305"/>
  <c r="CN17" i="5305"/>
  <c r="CN18" i="5305"/>
  <c r="CN19" i="5305"/>
  <c r="CN20" i="5305"/>
  <c r="CN21" i="5305"/>
  <c r="CN22" i="5305"/>
  <c r="CN23" i="5305"/>
  <c r="CN24" i="5305"/>
  <c r="CN25" i="5305"/>
  <c r="CN26" i="5305"/>
  <c r="CN27" i="5305"/>
  <c r="CN28" i="5305"/>
  <c r="CN29" i="5305"/>
  <c r="CN30" i="5305"/>
  <c r="CN31" i="5305"/>
  <c r="CN32" i="5305"/>
  <c r="CN33" i="5305"/>
  <c r="CN34" i="5305"/>
  <c r="CN35" i="5305"/>
  <c r="CN36" i="5305"/>
  <c r="CN37" i="5305"/>
  <c r="CN38" i="5305"/>
  <c r="CN39" i="5305"/>
  <c r="CN40" i="5305"/>
  <c r="CN41" i="5305"/>
  <c r="CN42" i="5305"/>
  <c r="CN43" i="5305"/>
  <c r="CN44" i="5305"/>
  <c r="CN45" i="5305"/>
  <c r="CN46" i="5305"/>
  <c r="CN47" i="5305"/>
  <c r="CN48" i="5305"/>
  <c r="CN49" i="5305"/>
  <c r="CN50" i="5305"/>
  <c r="CN51" i="5305"/>
  <c r="CN52" i="5305"/>
  <c r="CN53" i="5305"/>
  <c r="CN54" i="5305"/>
  <c r="CN2" i="5304"/>
  <c r="CN3" i="5304"/>
  <c r="CN4" i="5304"/>
  <c r="CN5" i="5304"/>
  <c r="CN6" i="5304"/>
  <c r="CN7" i="5304"/>
  <c r="CN8" i="5304"/>
  <c r="CN9" i="5304"/>
  <c r="CN10" i="5304"/>
  <c r="CN11" i="5304"/>
  <c r="CN12" i="5304"/>
  <c r="CN13" i="5304"/>
  <c r="CN14" i="5304"/>
  <c r="CN15" i="5304"/>
  <c r="CN16" i="5304"/>
  <c r="CN17" i="5304"/>
  <c r="CN18" i="5304"/>
  <c r="CN19" i="5304"/>
  <c r="CN20" i="5304"/>
  <c r="CN21" i="5304"/>
  <c r="CN22" i="5304"/>
  <c r="CN23" i="5304"/>
  <c r="CN24" i="5304"/>
  <c r="CN25" i="5304"/>
  <c r="CN26" i="5304"/>
  <c r="CN27" i="5304"/>
  <c r="CN28" i="5304"/>
  <c r="CN29" i="5304"/>
  <c r="CN30" i="5304"/>
  <c r="CN31" i="5304"/>
  <c r="CN32" i="5304"/>
  <c r="CN33" i="5304"/>
  <c r="CN34" i="5304"/>
  <c r="CN35" i="5304"/>
  <c r="CN36" i="5304"/>
  <c r="CN37" i="5304"/>
  <c r="CN38" i="5304"/>
  <c r="CN39" i="5304"/>
  <c r="CN40" i="5304"/>
  <c r="CN41" i="5304"/>
  <c r="CN42" i="5304"/>
  <c r="CN43" i="5304"/>
  <c r="CN44" i="5304"/>
  <c r="CN45" i="5304"/>
  <c r="CN46" i="5304"/>
  <c r="CN47" i="5304"/>
  <c r="CN48" i="5304"/>
  <c r="CN49" i="5304"/>
  <c r="CN50" i="5304"/>
  <c r="CN51" i="5304"/>
  <c r="CN52" i="5304"/>
  <c r="CN53" i="5304"/>
  <c r="CN54" i="5304"/>
  <c r="CN2" i="5303"/>
  <c r="CN3" i="5303"/>
  <c r="CN4" i="5303"/>
  <c r="CN5" i="5303"/>
  <c r="CN6" i="5303"/>
  <c r="CN7" i="5303"/>
  <c r="CN8" i="5303"/>
  <c r="CN9" i="5303"/>
  <c r="CN10" i="5303"/>
  <c r="CN11" i="5303"/>
  <c r="CN12" i="5303"/>
  <c r="CN13" i="5303"/>
  <c r="CN14" i="5303"/>
  <c r="CN15" i="5303"/>
  <c r="CN16" i="5303"/>
  <c r="CN17" i="5303"/>
  <c r="CN18" i="5303"/>
  <c r="CN19" i="5303"/>
  <c r="CN20" i="5303"/>
  <c r="CN21" i="5303"/>
  <c r="CN22" i="5303"/>
  <c r="CN23" i="5303"/>
  <c r="CN24" i="5303"/>
  <c r="CN25" i="5303"/>
  <c r="CN26" i="5303"/>
  <c r="CN27" i="5303"/>
  <c r="CN28" i="5303"/>
  <c r="CN29" i="5303"/>
  <c r="CN30" i="5303"/>
  <c r="CN31" i="5303"/>
  <c r="CN32" i="5303"/>
  <c r="CN33" i="5303"/>
  <c r="CN34" i="5303"/>
  <c r="CN35" i="5303"/>
  <c r="CN36" i="5303"/>
  <c r="CN37" i="5303"/>
  <c r="CN38" i="5303"/>
  <c r="CN39" i="5303"/>
  <c r="CN40" i="5303"/>
  <c r="CN41" i="5303"/>
  <c r="CN42" i="5303"/>
  <c r="CN43" i="5303"/>
  <c r="CN44" i="5303"/>
  <c r="CN45" i="5303"/>
  <c r="CN46" i="5303"/>
  <c r="CN47" i="5303"/>
  <c r="CN48" i="5303"/>
  <c r="CN49" i="5303"/>
  <c r="CN50" i="5303"/>
  <c r="CN51" i="5303"/>
  <c r="CN52" i="5303"/>
  <c r="CN53" i="5303"/>
  <c r="CN54" i="5303"/>
  <c r="CN2" i="5302"/>
  <c r="CN3" i="5302"/>
  <c r="CN4" i="5302"/>
  <c r="CN5" i="5302"/>
  <c r="CN6" i="5302"/>
  <c r="CN7" i="5302"/>
  <c r="CN8" i="5302"/>
  <c r="CN9" i="5302"/>
  <c r="CN10" i="5302"/>
  <c r="CN11" i="5302"/>
  <c r="CN12" i="5302"/>
  <c r="CN13" i="5302"/>
  <c r="CN14" i="5302"/>
  <c r="CN15" i="5302"/>
  <c r="CN16" i="5302"/>
  <c r="CN17" i="5302"/>
  <c r="CN18" i="5302"/>
  <c r="CN19" i="5302"/>
  <c r="CN20" i="5302"/>
  <c r="CN21" i="5302"/>
  <c r="CN22" i="5302"/>
  <c r="CN23" i="5302"/>
  <c r="CN24" i="5302"/>
  <c r="CN25" i="5302"/>
  <c r="CN26" i="5302"/>
  <c r="CN27" i="5302"/>
  <c r="CN28" i="5302"/>
  <c r="CN29" i="5302"/>
  <c r="CN30" i="5302"/>
  <c r="CN31" i="5302"/>
  <c r="CN32" i="5302"/>
  <c r="CN33" i="5302"/>
  <c r="CN34" i="5302"/>
  <c r="CN35" i="5302"/>
  <c r="CN36" i="5302"/>
  <c r="CN37" i="5302"/>
  <c r="CN38" i="5302"/>
  <c r="CN39" i="5302"/>
  <c r="CN40" i="5302"/>
  <c r="CN41" i="5302"/>
  <c r="CN42" i="5302"/>
  <c r="CN43" i="5302"/>
  <c r="CN44" i="5302"/>
  <c r="CN45" i="5302"/>
  <c r="CN46" i="5302"/>
  <c r="CN47" i="5302"/>
  <c r="CN48" i="5302"/>
  <c r="CN49" i="5302"/>
  <c r="CN50" i="5302"/>
  <c r="CN51" i="5302"/>
  <c r="CN52" i="5302"/>
  <c r="CN53" i="5302"/>
  <c r="CN54" i="5302"/>
  <c r="CM2" i="5307"/>
  <c r="CM3" i="5307"/>
  <c r="CM4" i="5307"/>
  <c r="CM5" i="5307"/>
  <c r="CM6" i="5307"/>
  <c r="CM7" i="5307"/>
  <c r="CM8" i="5307"/>
  <c r="CM9" i="5307"/>
  <c r="CM10" i="5307"/>
  <c r="CM11" i="5307"/>
  <c r="CM12" i="5307"/>
  <c r="CM13" i="5307"/>
  <c r="CM14" i="5307"/>
  <c r="CM15" i="5307"/>
  <c r="CM16" i="5307"/>
  <c r="CM17" i="5307"/>
  <c r="CM18" i="5307"/>
  <c r="CM19" i="5307"/>
  <c r="CM20" i="5307"/>
  <c r="CM21" i="5307"/>
  <c r="CM22" i="5307"/>
  <c r="CM23" i="5307"/>
  <c r="CM24" i="5307"/>
  <c r="CM25" i="5307"/>
  <c r="CM26" i="5307"/>
  <c r="CM27" i="5307"/>
  <c r="CM28" i="5307"/>
  <c r="CM29" i="5307"/>
  <c r="CM30" i="5307"/>
  <c r="CM31" i="5307"/>
  <c r="CM32" i="5307"/>
  <c r="CM33" i="5307"/>
  <c r="CM34" i="5307"/>
  <c r="CM35" i="5307"/>
  <c r="CM36" i="5307"/>
  <c r="CM37" i="5307"/>
  <c r="CM38" i="5307"/>
  <c r="CM39" i="5307"/>
  <c r="CM40" i="5307"/>
  <c r="CM41" i="5307"/>
  <c r="CM42" i="5307"/>
  <c r="CM43" i="5307"/>
  <c r="CM44" i="5307"/>
  <c r="CM45" i="5307"/>
  <c r="CM46" i="5307"/>
  <c r="CM47" i="5307"/>
  <c r="CM48" i="5307"/>
  <c r="CM49" i="5307"/>
  <c r="CM50" i="5307"/>
  <c r="CM51" i="5307"/>
  <c r="CM52" i="5307"/>
  <c r="CM53" i="5307"/>
  <c r="CM54" i="5307"/>
  <c r="CM2" i="5306"/>
  <c r="CM3" i="5306"/>
  <c r="CM4" i="5306"/>
  <c r="CM5" i="5306"/>
  <c r="CM6" i="5306"/>
  <c r="CM7" i="5306"/>
  <c r="CM8" i="5306"/>
  <c r="CM9" i="5306"/>
  <c r="CM10" i="5306"/>
  <c r="CM11" i="5306"/>
  <c r="CM12" i="5306"/>
  <c r="CM13" i="5306"/>
  <c r="CM14" i="5306"/>
  <c r="CM15" i="5306"/>
  <c r="CM16" i="5306"/>
  <c r="CM17" i="5306"/>
  <c r="CM18" i="5306"/>
  <c r="CM19" i="5306"/>
  <c r="CM20" i="5306"/>
  <c r="CM21" i="5306"/>
  <c r="CM22" i="5306"/>
  <c r="CM23" i="5306"/>
  <c r="CM24" i="5306"/>
  <c r="CM25" i="5306"/>
  <c r="CM26" i="5306"/>
  <c r="CM27" i="5306"/>
  <c r="CM28" i="5306"/>
  <c r="CM29" i="5306"/>
  <c r="CM30" i="5306"/>
  <c r="CM31" i="5306"/>
  <c r="CM32" i="5306"/>
  <c r="CM33" i="5306"/>
  <c r="CM34" i="5306"/>
  <c r="CM35" i="5306"/>
  <c r="CM36" i="5306"/>
  <c r="CM37" i="5306"/>
  <c r="CM38" i="5306"/>
  <c r="CM39" i="5306"/>
  <c r="CM40" i="5306"/>
  <c r="CM41" i="5306"/>
  <c r="CM42" i="5306"/>
  <c r="CM43" i="5306"/>
  <c r="CM44" i="5306"/>
  <c r="CM45" i="5306"/>
  <c r="CM46" i="5306"/>
  <c r="CM47" i="5306"/>
  <c r="CM48" i="5306"/>
  <c r="CM49" i="5306"/>
  <c r="CM50" i="5306"/>
  <c r="CM51" i="5306"/>
  <c r="CM52" i="5306"/>
  <c r="CM53" i="5306"/>
  <c r="CM54" i="5306"/>
  <c r="CM2" i="5305"/>
  <c r="CM3" i="5305"/>
  <c r="CM4" i="5305"/>
  <c r="CM5" i="5305"/>
  <c r="CM6" i="5305"/>
  <c r="CM7" i="5305"/>
  <c r="CM8" i="5305"/>
  <c r="CM9" i="5305"/>
  <c r="CM10" i="5305"/>
  <c r="CM11" i="5305"/>
  <c r="CM12" i="5305"/>
  <c r="CM13" i="5305"/>
  <c r="CM14" i="5305"/>
  <c r="CM15" i="5305"/>
  <c r="CM16" i="5305"/>
  <c r="CM17" i="5305"/>
  <c r="CM18" i="5305"/>
  <c r="CM19" i="5305"/>
  <c r="CM20" i="5305"/>
  <c r="CM21" i="5305"/>
  <c r="CM22" i="5305"/>
  <c r="CM23" i="5305"/>
  <c r="CM24" i="5305"/>
  <c r="CM25" i="5305"/>
  <c r="CM26" i="5305"/>
  <c r="CM27" i="5305"/>
  <c r="CM28" i="5305"/>
  <c r="CM29" i="5305"/>
  <c r="CM30" i="5305"/>
  <c r="CM31" i="5305"/>
  <c r="CM32" i="5305"/>
  <c r="CM33" i="5305"/>
  <c r="CM34" i="5305"/>
  <c r="CM35" i="5305"/>
  <c r="CM36" i="5305"/>
  <c r="CM37" i="5305"/>
  <c r="CM38" i="5305"/>
  <c r="CM39" i="5305"/>
  <c r="CM40" i="5305"/>
  <c r="CM41" i="5305"/>
  <c r="CM42" i="5305"/>
  <c r="CM43" i="5305"/>
  <c r="CM44" i="5305"/>
  <c r="CM45" i="5305"/>
  <c r="CM46" i="5305"/>
  <c r="CM47" i="5305"/>
  <c r="CM48" i="5305"/>
  <c r="CM49" i="5305"/>
  <c r="CM50" i="5305"/>
  <c r="CM51" i="5305"/>
  <c r="CM52" i="5305"/>
  <c r="CM53" i="5305"/>
  <c r="CM54" i="5305"/>
  <c r="CM2" i="5304"/>
  <c r="CM3" i="5304"/>
  <c r="CM4" i="5304"/>
  <c r="CM5" i="5304"/>
  <c r="CM6" i="5304"/>
  <c r="CM7" i="5304"/>
  <c r="CM8" i="5304"/>
  <c r="CM9" i="5304"/>
  <c r="CM10" i="5304"/>
  <c r="CM11" i="5304"/>
  <c r="CM12" i="5304"/>
  <c r="CM13" i="5304"/>
  <c r="CM14" i="5304"/>
  <c r="CM15" i="5304"/>
  <c r="CM16" i="5304"/>
  <c r="CM17" i="5304"/>
  <c r="CM18" i="5304"/>
  <c r="CM19" i="5304"/>
  <c r="CM20" i="5304"/>
  <c r="CM21" i="5304"/>
  <c r="CM22" i="5304"/>
  <c r="CM23" i="5304"/>
  <c r="CM24" i="5304"/>
  <c r="CM25" i="5304"/>
  <c r="CM26" i="5304"/>
  <c r="CM27" i="5304"/>
  <c r="CM28" i="5304"/>
  <c r="CM29" i="5304"/>
  <c r="CM30" i="5304"/>
  <c r="CM31" i="5304"/>
  <c r="CM32" i="5304"/>
  <c r="CM33" i="5304"/>
  <c r="CM34" i="5304"/>
  <c r="CM35" i="5304"/>
  <c r="CM36" i="5304"/>
  <c r="CM37" i="5304"/>
  <c r="CM38" i="5304"/>
  <c r="CM39" i="5304"/>
  <c r="CM40" i="5304"/>
  <c r="CM41" i="5304"/>
  <c r="CM42" i="5304"/>
  <c r="CM43" i="5304"/>
  <c r="CM44" i="5304"/>
  <c r="CM45" i="5304"/>
  <c r="CM46" i="5304"/>
  <c r="CM47" i="5304"/>
  <c r="CM48" i="5304"/>
  <c r="CM49" i="5304"/>
  <c r="CM50" i="5304"/>
  <c r="CM51" i="5304"/>
  <c r="CM52" i="5304"/>
  <c r="CM53" i="5304"/>
  <c r="CM54" i="5304"/>
  <c r="CM2" i="5303"/>
  <c r="CM3" i="5303"/>
  <c r="CM4" i="5303"/>
  <c r="CM5" i="5303"/>
  <c r="CM6" i="5303"/>
  <c r="CM7" i="5303"/>
  <c r="CM8" i="5303"/>
  <c r="CM9" i="5303"/>
  <c r="CM10" i="5303"/>
  <c r="CM11" i="5303"/>
  <c r="CM12" i="5303"/>
  <c r="CM13" i="5303"/>
  <c r="CM14" i="5303"/>
  <c r="CM15" i="5303"/>
  <c r="CM16" i="5303"/>
  <c r="CM17" i="5303"/>
  <c r="CM18" i="5303"/>
  <c r="CM19" i="5303"/>
  <c r="CM20" i="5303"/>
  <c r="CM21" i="5303"/>
  <c r="CM22" i="5303"/>
  <c r="CM23" i="5303"/>
  <c r="CM24" i="5303"/>
  <c r="CM25" i="5303"/>
  <c r="CM26" i="5303"/>
  <c r="CM27" i="5303"/>
  <c r="CM28" i="5303"/>
  <c r="CM29" i="5303"/>
  <c r="CM30" i="5303"/>
  <c r="CM31" i="5303"/>
  <c r="CM32" i="5303"/>
  <c r="CM33" i="5303"/>
  <c r="CM34" i="5303"/>
  <c r="CM35" i="5303"/>
  <c r="CM36" i="5303"/>
  <c r="CM37" i="5303"/>
  <c r="CM38" i="5303"/>
  <c r="CM39" i="5303"/>
  <c r="CM40" i="5303"/>
  <c r="CM41" i="5303"/>
  <c r="CM42" i="5303"/>
  <c r="CM43" i="5303"/>
  <c r="CM44" i="5303"/>
  <c r="CM45" i="5303"/>
  <c r="CM46" i="5303"/>
  <c r="CM47" i="5303"/>
  <c r="CM48" i="5303"/>
  <c r="CM49" i="5303"/>
  <c r="CM50" i="5303"/>
  <c r="CM51" i="5303"/>
  <c r="CM52" i="5303"/>
  <c r="CM53" i="5303"/>
  <c r="CM54" i="5303"/>
  <c r="CM2" i="5302"/>
  <c r="CM3" i="5302"/>
  <c r="CM4" i="5302"/>
  <c r="CM5" i="5302"/>
  <c r="CM6" i="5302"/>
  <c r="CM7" i="5302"/>
  <c r="CM8" i="5302"/>
  <c r="CM9" i="5302"/>
  <c r="CM10" i="5302"/>
  <c r="CM11" i="5302"/>
  <c r="CM12" i="5302"/>
  <c r="CM13" i="5302"/>
  <c r="CM14" i="5302"/>
  <c r="CM15" i="5302"/>
  <c r="CM16" i="5302"/>
  <c r="CM17" i="5302"/>
  <c r="CM18" i="5302"/>
  <c r="CM19" i="5302"/>
  <c r="CM20" i="5302"/>
  <c r="CM21" i="5302"/>
  <c r="CM22" i="5302"/>
  <c r="CM23" i="5302"/>
  <c r="CM24" i="5302"/>
  <c r="CM25" i="5302"/>
  <c r="CM26" i="5302"/>
  <c r="CM27" i="5302"/>
  <c r="CM28" i="5302"/>
  <c r="CM29" i="5302"/>
  <c r="CM30" i="5302"/>
  <c r="CM31" i="5302"/>
  <c r="CM32" i="5302"/>
  <c r="CM33" i="5302"/>
  <c r="CM34" i="5302"/>
  <c r="CM35" i="5302"/>
  <c r="CM36" i="5302"/>
  <c r="CM37" i="5302"/>
  <c r="CM38" i="5302"/>
  <c r="CM39" i="5302"/>
  <c r="CM40" i="5302"/>
  <c r="CM41" i="5302"/>
  <c r="CM42" i="5302"/>
  <c r="CM43" i="5302"/>
  <c r="CM44" i="5302"/>
  <c r="CM45" i="5302"/>
  <c r="CM46" i="5302"/>
  <c r="CM47" i="5302"/>
  <c r="CM48" i="5302"/>
  <c r="CM49" i="5302"/>
  <c r="CM50" i="5302"/>
  <c r="CM51" i="5302"/>
  <c r="CM52" i="5302"/>
  <c r="CM53" i="5302"/>
  <c r="CM54" i="5302"/>
  <c r="CL2" i="5307"/>
  <c r="CL3" i="5307"/>
  <c r="CL4" i="5307"/>
  <c r="CL5" i="5307"/>
  <c r="CL6" i="5307"/>
  <c r="CL7" i="5307"/>
  <c r="CL8" i="5307"/>
  <c r="CL9" i="5307"/>
  <c r="CL10" i="5307"/>
  <c r="CL11" i="5307"/>
  <c r="CL12" i="5307"/>
  <c r="CL13" i="5307"/>
  <c r="CL14" i="5307"/>
  <c r="CL15" i="5307"/>
  <c r="CL16" i="5307"/>
  <c r="CL17" i="5307"/>
  <c r="CL18" i="5307"/>
  <c r="CL19" i="5307"/>
  <c r="CL20" i="5307"/>
  <c r="CL21" i="5307"/>
  <c r="CL22" i="5307"/>
  <c r="CL23" i="5307"/>
  <c r="CL24" i="5307"/>
  <c r="CL25" i="5307"/>
  <c r="CL26" i="5307"/>
  <c r="CL27" i="5307"/>
  <c r="CL28" i="5307"/>
  <c r="CL29" i="5307"/>
  <c r="CL30" i="5307"/>
  <c r="CL31" i="5307"/>
  <c r="CL32" i="5307"/>
  <c r="CL33" i="5307"/>
  <c r="CL34" i="5307"/>
  <c r="CL35" i="5307"/>
  <c r="CL36" i="5307"/>
  <c r="CL37" i="5307"/>
  <c r="CL38" i="5307"/>
  <c r="CL39" i="5307"/>
  <c r="CL40" i="5307"/>
  <c r="CL41" i="5307"/>
  <c r="CL42" i="5307"/>
  <c r="CL43" i="5307"/>
  <c r="CL44" i="5307"/>
  <c r="CL45" i="5307"/>
  <c r="CL46" i="5307"/>
  <c r="CL47" i="5307"/>
  <c r="CL48" i="5307"/>
  <c r="CL49" i="5307"/>
  <c r="CL50" i="5307"/>
  <c r="CL51" i="5307"/>
  <c r="CL52" i="5307"/>
  <c r="CL53" i="5307"/>
  <c r="CL54" i="5307"/>
  <c r="CL2" i="5306"/>
  <c r="CL3" i="5306"/>
  <c r="CL4" i="5306"/>
  <c r="CL5" i="5306"/>
  <c r="CL6" i="5306"/>
  <c r="CL7" i="5306"/>
  <c r="CL8" i="5306"/>
  <c r="CL9" i="5306"/>
  <c r="CL10" i="5306"/>
  <c r="CL11" i="5306"/>
  <c r="CL12" i="5306"/>
  <c r="CL13" i="5306"/>
  <c r="CL14" i="5306"/>
  <c r="CL15" i="5306"/>
  <c r="CL16" i="5306"/>
  <c r="CL17" i="5306"/>
  <c r="CL18" i="5306"/>
  <c r="CL19" i="5306"/>
  <c r="CL20" i="5306"/>
  <c r="CL21" i="5306"/>
  <c r="CL22" i="5306"/>
  <c r="CL23" i="5306"/>
  <c r="CL24" i="5306"/>
  <c r="CL25" i="5306"/>
  <c r="CL26" i="5306"/>
  <c r="CL27" i="5306"/>
  <c r="CL28" i="5306"/>
  <c r="CL29" i="5306"/>
  <c r="CL30" i="5306"/>
  <c r="CL31" i="5306"/>
  <c r="CL32" i="5306"/>
  <c r="CL33" i="5306"/>
  <c r="CL34" i="5306"/>
  <c r="CL35" i="5306"/>
  <c r="CL36" i="5306"/>
  <c r="CL37" i="5306"/>
  <c r="CL38" i="5306"/>
  <c r="CL39" i="5306"/>
  <c r="CL40" i="5306"/>
  <c r="CL41" i="5306"/>
  <c r="CL42" i="5306"/>
  <c r="CL43" i="5306"/>
  <c r="CL44" i="5306"/>
  <c r="CL45" i="5306"/>
  <c r="CL46" i="5306"/>
  <c r="CL47" i="5306"/>
  <c r="CL48" i="5306"/>
  <c r="CL49" i="5306"/>
  <c r="CL50" i="5306"/>
  <c r="CL51" i="5306"/>
  <c r="CL52" i="5306"/>
  <c r="CL53" i="5306"/>
  <c r="CL54" i="5306"/>
  <c r="CL2" i="5305"/>
  <c r="CL3" i="5305"/>
  <c r="CL4" i="5305"/>
  <c r="CL5" i="5305"/>
  <c r="CL6" i="5305"/>
  <c r="CL7" i="5305"/>
  <c r="CL8" i="5305"/>
  <c r="CL9" i="5305"/>
  <c r="CL10" i="5305"/>
  <c r="CL11" i="5305"/>
  <c r="CL12" i="5305"/>
  <c r="CL13" i="5305"/>
  <c r="CL14" i="5305"/>
  <c r="CL15" i="5305"/>
  <c r="CL16" i="5305"/>
  <c r="CL17" i="5305"/>
  <c r="CL18" i="5305"/>
  <c r="CL19" i="5305"/>
  <c r="CL20" i="5305"/>
  <c r="CL21" i="5305"/>
  <c r="CL22" i="5305"/>
  <c r="CL23" i="5305"/>
  <c r="CL24" i="5305"/>
  <c r="CL25" i="5305"/>
  <c r="CL26" i="5305"/>
  <c r="CL27" i="5305"/>
  <c r="CL28" i="5305"/>
  <c r="CL29" i="5305"/>
  <c r="CL30" i="5305"/>
  <c r="CL31" i="5305"/>
  <c r="CL32" i="5305"/>
  <c r="CL33" i="5305"/>
  <c r="CL34" i="5305"/>
  <c r="CL35" i="5305"/>
  <c r="CL36" i="5305"/>
  <c r="CL37" i="5305"/>
  <c r="CL38" i="5305"/>
  <c r="CL39" i="5305"/>
  <c r="CL40" i="5305"/>
  <c r="CL41" i="5305"/>
  <c r="CL42" i="5305"/>
  <c r="CL43" i="5305"/>
  <c r="CL44" i="5305"/>
  <c r="CL45" i="5305"/>
  <c r="CL46" i="5305"/>
  <c r="CL47" i="5305"/>
  <c r="CL48" i="5305"/>
  <c r="CL49" i="5305"/>
  <c r="CL50" i="5305"/>
  <c r="CL51" i="5305"/>
  <c r="CL52" i="5305"/>
  <c r="CL53" i="5305"/>
  <c r="CL54" i="5305"/>
  <c r="CL2" i="5304"/>
  <c r="CL3" i="5304"/>
  <c r="CL4" i="5304"/>
  <c r="CL5" i="5304"/>
  <c r="CL6" i="5304"/>
  <c r="CL7" i="5304"/>
  <c r="CL8" i="5304"/>
  <c r="CL9" i="5304"/>
  <c r="CL10" i="5304"/>
  <c r="CL11" i="5304"/>
  <c r="CL12" i="5304"/>
  <c r="CL13" i="5304"/>
  <c r="CL14" i="5304"/>
  <c r="CL15" i="5304"/>
  <c r="CL16" i="5304"/>
  <c r="CL17" i="5304"/>
  <c r="CL18" i="5304"/>
  <c r="CL19" i="5304"/>
  <c r="CL20" i="5304"/>
  <c r="CL21" i="5304"/>
  <c r="CL22" i="5304"/>
  <c r="CL23" i="5304"/>
  <c r="CL24" i="5304"/>
  <c r="CL25" i="5304"/>
  <c r="CL26" i="5304"/>
  <c r="CL27" i="5304"/>
  <c r="CL28" i="5304"/>
  <c r="CL29" i="5304"/>
  <c r="CL30" i="5304"/>
  <c r="CL31" i="5304"/>
  <c r="CL32" i="5304"/>
  <c r="CL33" i="5304"/>
  <c r="CL34" i="5304"/>
  <c r="CL35" i="5304"/>
  <c r="CL36" i="5304"/>
  <c r="CL37" i="5304"/>
  <c r="CL38" i="5304"/>
  <c r="CL39" i="5304"/>
  <c r="CL40" i="5304"/>
  <c r="CL41" i="5304"/>
  <c r="CL42" i="5304"/>
  <c r="CL43" i="5304"/>
  <c r="CL44" i="5304"/>
  <c r="CL45" i="5304"/>
  <c r="CL46" i="5304"/>
  <c r="CL47" i="5304"/>
  <c r="CL48" i="5304"/>
  <c r="CL49" i="5304"/>
  <c r="CL50" i="5304"/>
  <c r="CL51" i="5304"/>
  <c r="CL52" i="5304"/>
  <c r="CL53" i="5304"/>
  <c r="CL54" i="5304"/>
  <c r="CL2" i="5303"/>
  <c r="CL3" i="5303"/>
  <c r="CL4" i="5303"/>
  <c r="CL5" i="5303"/>
  <c r="CL6" i="5303"/>
  <c r="CL7" i="5303"/>
  <c r="CL8" i="5303"/>
  <c r="CL9" i="5303"/>
  <c r="CL10" i="5303"/>
  <c r="CL11" i="5303"/>
  <c r="CL12" i="5303"/>
  <c r="CL13" i="5303"/>
  <c r="CL14" i="5303"/>
  <c r="CL15" i="5303"/>
  <c r="CL16" i="5303"/>
  <c r="CL17" i="5303"/>
  <c r="CL18" i="5303"/>
  <c r="CL19" i="5303"/>
  <c r="CL20" i="5303"/>
  <c r="CL21" i="5303"/>
  <c r="CL22" i="5303"/>
  <c r="CL23" i="5303"/>
  <c r="CL24" i="5303"/>
  <c r="CL25" i="5303"/>
  <c r="CL26" i="5303"/>
  <c r="CL27" i="5303"/>
  <c r="CL28" i="5303"/>
  <c r="CL29" i="5303"/>
  <c r="CL30" i="5303"/>
  <c r="CL31" i="5303"/>
  <c r="CL32" i="5303"/>
  <c r="CL33" i="5303"/>
  <c r="CL34" i="5303"/>
  <c r="CL35" i="5303"/>
  <c r="CL36" i="5303"/>
  <c r="CL37" i="5303"/>
  <c r="CL38" i="5303"/>
  <c r="CL39" i="5303"/>
  <c r="CL40" i="5303"/>
  <c r="CL41" i="5303"/>
  <c r="CL42" i="5303"/>
  <c r="CL43" i="5303"/>
  <c r="CL44" i="5303"/>
  <c r="CL45" i="5303"/>
  <c r="CL46" i="5303"/>
  <c r="CL47" i="5303"/>
  <c r="CL48" i="5303"/>
  <c r="CL49" i="5303"/>
  <c r="CL50" i="5303"/>
  <c r="CL51" i="5303"/>
  <c r="CL52" i="5303"/>
  <c r="CL53" i="5303"/>
  <c r="CL54" i="5303"/>
  <c r="CL2" i="5302"/>
  <c r="CL3" i="5302"/>
  <c r="CL4" i="5302"/>
  <c r="CL5" i="5302"/>
  <c r="CL6" i="5302"/>
  <c r="CL7" i="5302"/>
  <c r="CL8" i="5302"/>
  <c r="CL9" i="5302"/>
  <c r="CL10" i="5302"/>
  <c r="CL11" i="5302"/>
  <c r="CL12" i="5302"/>
  <c r="CL13" i="5302"/>
  <c r="CL14" i="5302"/>
  <c r="CL15" i="5302"/>
  <c r="CL16" i="5302"/>
  <c r="CL17" i="5302"/>
  <c r="CL18" i="5302"/>
  <c r="CL19" i="5302"/>
  <c r="CL20" i="5302"/>
  <c r="CL21" i="5302"/>
  <c r="CL22" i="5302"/>
  <c r="CL23" i="5302"/>
  <c r="CL24" i="5302"/>
  <c r="CL25" i="5302"/>
  <c r="CL26" i="5302"/>
  <c r="CL27" i="5302"/>
  <c r="CL28" i="5302"/>
  <c r="CL29" i="5302"/>
  <c r="CL30" i="5302"/>
  <c r="CL31" i="5302"/>
  <c r="CL32" i="5302"/>
  <c r="CL33" i="5302"/>
  <c r="CL34" i="5302"/>
  <c r="CL35" i="5302"/>
  <c r="CL36" i="5302"/>
  <c r="CL37" i="5302"/>
  <c r="CL38" i="5302"/>
  <c r="CL39" i="5302"/>
  <c r="CL40" i="5302"/>
  <c r="CL41" i="5302"/>
  <c r="CL42" i="5302"/>
  <c r="CL43" i="5302"/>
  <c r="CL44" i="5302"/>
  <c r="CL45" i="5302"/>
  <c r="CL46" i="5302"/>
  <c r="CL47" i="5302"/>
  <c r="CL48" i="5302"/>
  <c r="CL49" i="5302"/>
  <c r="CL50" i="5302"/>
  <c r="CL51" i="5302"/>
  <c r="CL52" i="5302"/>
  <c r="CL53" i="5302"/>
  <c r="CL54" i="5302"/>
  <c r="CK2" i="5307"/>
  <c r="CK3" i="5307"/>
  <c r="CK4" i="5307"/>
  <c r="CK5" i="5307"/>
  <c r="CK6" i="5307"/>
  <c r="CK7" i="5307"/>
  <c r="CK8" i="5307"/>
  <c r="CK9" i="5307"/>
  <c r="CK10" i="5307"/>
  <c r="CK11" i="5307"/>
  <c r="CK12" i="5307"/>
  <c r="CK13" i="5307"/>
  <c r="CK14" i="5307"/>
  <c r="CK15" i="5307"/>
  <c r="CK16" i="5307"/>
  <c r="CK17" i="5307"/>
  <c r="CK18" i="5307"/>
  <c r="CK19" i="5307"/>
  <c r="CK20" i="5307"/>
  <c r="CK21" i="5307"/>
  <c r="CK22" i="5307"/>
  <c r="CK23" i="5307"/>
  <c r="CK24" i="5307"/>
  <c r="CK25" i="5307"/>
  <c r="CK26" i="5307"/>
  <c r="CK27" i="5307"/>
  <c r="CK28" i="5307"/>
  <c r="CK29" i="5307"/>
  <c r="CK30" i="5307"/>
  <c r="CK31" i="5307"/>
  <c r="CK32" i="5307"/>
  <c r="CK33" i="5307"/>
  <c r="CK34" i="5307"/>
  <c r="CK35" i="5307"/>
  <c r="CK36" i="5307"/>
  <c r="CK37" i="5307"/>
  <c r="CK38" i="5307"/>
  <c r="CK39" i="5307"/>
  <c r="CK40" i="5307"/>
  <c r="CK41" i="5307"/>
  <c r="CK42" i="5307"/>
  <c r="CK43" i="5307"/>
  <c r="CK44" i="5307"/>
  <c r="CK45" i="5307"/>
  <c r="CK46" i="5307"/>
  <c r="CK47" i="5307"/>
  <c r="CK48" i="5307"/>
  <c r="CK49" i="5307"/>
  <c r="CK50" i="5307"/>
  <c r="CK51" i="5307"/>
  <c r="CK52" i="5307"/>
  <c r="CK53" i="5307"/>
  <c r="CK54" i="5307"/>
  <c r="CK2" i="5306"/>
  <c r="CK3" i="5306"/>
  <c r="CK4" i="5306"/>
  <c r="CK5" i="5306"/>
  <c r="CK6" i="5306"/>
  <c r="CK7" i="5306"/>
  <c r="CK8" i="5306"/>
  <c r="CK9" i="5306"/>
  <c r="CK10" i="5306"/>
  <c r="CK11" i="5306"/>
  <c r="CK12" i="5306"/>
  <c r="CK13" i="5306"/>
  <c r="CK14" i="5306"/>
  <c r="CK15" i="5306"/>
  <c r="CK16" i="5306"/>
  <c r="CK17" i="5306"/>
  <c r="CK18" i="5306"/>
  <c r="CK19" i="5306"/>
  <c r="CK20" i="5306"/>
  <c r="CK21" i="5306"/>
  <c r="CK22" i="5306"/>
  <c r="CK23" i="5306"/>
  <c r="CK24" i="5306"/>
  <c r="CK25" i="5306"/>
  <c r="CK26" i="5306"/>
  <c r="CK27" i="5306"/>
  <c r="CK28" i="5306"/>
  <c r="CK29" i="5306"/>
  <c r="CK30" i="5306"/>
  <c r="CK31" i="5306"/>
  <c r="CK32" i="5306"/>
  <c r="CK33" i="5306"/>
  <c r="CK34" i="5306"/>
  <c r="CK35" i="5306"/>
  <c r="CK36" i="5306"/>
  <c r="CK37" i="5306"/>
  <c r="CK38" i="5306"/>
  <c r="CK39" i="5306"/>
  <c r="CK40" i="5306"/>
  <c r="CK41" i="5306"/>
  <c r="CK42" i="5306"/>
  <c r="CK43" i="5306"/>
  <c r="CK44" i="5306"/>
  <c r="CK45" i="5306"/>
  <c r="CK46" i="5306"/>
  <c r="CK47" i="5306"/>
  <c r="CK48" i="5306"/>
  <c r="CK49" i="5306"/>
  <c r="CK50" i="5306"/>
  <c r="CK51" i="5306"/>
  <c r="CK52" i="5306"/>
  <c r="CK53" i="5306"/>
  <c r="CK54" i="5306"/>
  <c r="CK2" i="5305"/>
  <c r="CK3" i="5305"/>
  <c r="CK4" i="5305"/>
  <c r="CK5" i="5305"/>
  <c r="CK6" i="5305"/>
  <c r="CK7" i="5305"/>
  <c r="CK8" i="5305"/>
  <c r="CK9" i="5305"/>
  <c r="CK10" i="5305"/>
  <c r="CK11" i="5305"/>
  <c r="CK12" i="5305"/>
  <c r="CK13" i="5305"/>
  <c r="CK14" i="5305"/>
  <c r="CK15" i="5305"/>
  <c r="CK16" i="5305"/>
  <c r="CK17" i="5305"/>
  <c r="CK18" i="5305"/>
  <c r="CK19" i="5305"/>
  <c r="CK20" i="5305"/>
  <c r="CK21" i="5305"/>
  <c r="CK22" i="5305"/>
  <c r="CK23" i="5305"/>
  <c r="CK24" i="5305"/>
  <c r="CK25" i="5305"/>
  <c r="CK26" i="5305"/>
  <c r="CK27" i="5305"/>
  <c r="CK28" i="5305"/>
  <c r="CK29" i="5305"/>
  <c r="CK30" i="5305"/>
  <c r="CK31" i="5305"/>
  <c r="CK32" i="5305"/>
  <c r="CK33" i="5305"/>
  <c r="CK34" i="5305"/>
  <c r="CK35" i="5305"/>
  <c r="CK36" i="5305"/>
  <c r="CK37" i="5305"/>
  <c r="CK38" i="5305"/>
  <c r="CK39" i="5305"/>
  <c r="CK40" i="5305"/>
  <c r="CK41" i="5305"/>
  <c r="CK42" i="5305"/>
  <c r="CK43" i="5305"/>
  <c r="CK44" i="5305"/>
  <c r="CK45" i="5305"/>
  <c r="CK46" i="5305"/>
  <c r="CK47" i="5305"/>
  <c r="CK48" i="5305"/>
  <c r="CK49" i="5305"/>
  <c r="CK50" i="5305"/>
  <c r="CK51" i="5305"/>
  <c r="CK52" i="5305"/>
  <c r="CK53" i="5305"/>
  <c r="CK54" i="5305"/>
  <c r="CK2" i="5304"/>
  <c r="CK3" i="5304"/>
  <c r="CK4" i="5304"/>
  <c r="CK5" i="5304"/>
  <c r="CK6" i="5304"/>
  <c r="CK7" i="5304"/>
  <c r="CK8" i="5304"/>
  <c r="CK9" i="5304"/>
  <c r="CK10" i="5304"/>
  <c r="CK11" i="5304"/>
  <c r="CK12" i="5304"/>
  <c r="CK13" i="5304"/>
  <c r="CK14" i="5304"/>
  <c r="CK15" i="5304"/>
  <c r="CK16" i="5304"/>
  <c r="CK17" i="5304"/>
  <c r="CK18" i="5304"/>
  <c r="CK19" i="5304"/>
  <c r="CK20" i="5304"/>
  <c r="CK21" i="5304"/>
  <c r="CK22" i="5304"/>
  <c r="CK23" i="5304"/>
  <c r="CK24" i="5304"/>
  <c r="CK25" i="5304"/>
  <c r="CK26" i="5304"/>
  <c r="CK27" i="5304"/>
  <c r="CK28" i="5304"/>
  <c r="CK29" i="5304"/>
  <c r="CK30" i="5304"/>
  <c r="CK31" i="5304"/>
  <c r="CK32" i="5304"/>
  <c r="CK33" i="5304"/>
  <c r="CK34" i="5304"/>
  <c r="CK35" i="5304"/>
  <c r="CK36" i="5304"/>
  <c r="CK37" i="5304"/>
  <c r="CK38" i="5304"/>
  <c r="CK39" i="5304"/>
  <c r="CK40" i="5304"/>
  <c r="CK41" i="5304"/>
  <c r="CK42" i="5304"/>
  <c r="CK43" i="5304"/>
  <c r="CK44" i="5304"/>
  <c r="CK45" i="5304"/>
  <c r="CK46" i="5304"/>
  <c r="CK47" i="5304"/>
  <c r="CK48" i="5304"/>
  <c r="CK49" i="5304"/>
  <c r="CK50" i="5304"/>
  <c r="CK51" i="5304"/>
  <c r="CK52" i="5304"/>
  <c r="CK53" i="5304"/>
  <c r="CK54" i="5304"/>
  <c r="CK2" i="5303"/>
  <c r="CK3" i="5303"/>
  <c r="CK4" i="5303"/>
  <c r="CK5" i="5303"/>
  <c r="CK6" i="5303"/>
  <c r="CK7" i="5303"/>
  <c r="CK8" i="5303"/>
  <c r="CK9" i="5303"/>
  <c r="CK10" i="5303"/>
  <c r="CK11" i="5303"/>
  <c r="CK12" i="5303"/>
  <c r="CK13" i="5303"/>
  <c r="CK14" i="5303"/>
  <c r="CK15" i="5303"/>
  <c r="CK16" i="5303"/>
  <c r="CK17" i="5303"/>
  <c r="CK18" i="5303"/>
  <c r="CK19" i="5303"/>
  <c r="CK20" i="5303"/>
  <c r="CK21" i="5303"/>
  <c r="CK22" i="5303"/>
  <c r="CK23" i="5303"/>
  <c r="CK24" i="5303"/>
  <c r="CK25" i="5303"/>
  <c r="CK26" i="5303"/>
  <c r="CK27" i="5303"/>
  <c r="CK28" i="5303"/>
  <c r="CK29" i="5303"/>
  <c r="CK30" i="5303"/>
  <c r="CK31" i="5303"/>
  <c r="CK32" i="5303"/>
  <c r="CK33" i="5303"/>
  <c r="CK34" i="5303"/>
  <c r="CK35" i="5303"/>
  <c r="CK36" i="5303"/>
  <c r="CK37" i="5303"/>
  <c r="CK38" i="5303"/>
  <c r="CK39" i="5303"/>
  <c r="CK40" i="5303"/>
  <c r="CK41" i="5303"/>
  <c r="CK42" i="5303"/>
  <c r="CK43" i="5303"/>
  <c r="CK44" i="5303"/>
  <c r="CK45" i="5303"/>
  <c r="CK46" i="5303"/>
  <c r="CK47" i="5303"/>
  <c r="CK48" i="5303"/>
  <c r="CK49" i="5303"/>
  <c r="CK50" i="5303"/>
  <c r="CK51" i="5303"/>
  <c r="CK52" i="5303"/>
  <c r="CK53" i="5303"/>
  <c r="CK54" i="5303"/>
  <c r="CK2" i="5302"/>
  <c r="CK3" i="5302"/>
  <c r="CK4" i="5302"/>
  <c r="CK5" i="5302"/>
  <c r="CK6" i="5302"/>
  <c r="CK7" i="5302"/>
  <c r="CK8" i="5302"/>
  <c r="CK9" i="5302"/>
  <c r="CK10" i="5302"/>
  <c r="CK11" i="5302"/>
  <c r="CK12" i="5302"/>
  <c r="CK13" i="5302"/>
  <c r="CK14" i="5302"/>
  <c r="CK15" i="5302"/>
  <c r="CK16" i="5302"/>
  <c r="CK17" i="5302"/>
  <c r="CK18" i="5302"/>
  <c r="CK19" i="5302"/>
  <c r="CK20" i="5302"/>
  <c r="CK21" i="5302"/>
  <c r="CK22" i="5302"/>
  <c r="CK23" i="5302"/>
  <c r="CK24" i="5302"/>
  <c r="CK25" i="5302"/>
  <c r="CK26" i="5302"/>
  <c r="CK27" i="5302"/>
  <c r="CK28" i="5302"/>
  <c r="CK29" i="5302"/>
  <c r="CK30" i="5302"/>
  <c r="CK31" i="5302"/>
  <c r="CK32" i="5302"/>
  <c r="CK33" i="5302"/>
  <c r="CK34" i="5302"/>
  <c r="CK35" i="5302"/>
  <c r="CK36" i="5302"/>
  <c r="CK37" i="5302"/>
  <c r="CK38" i="5302"/>
  <c r="CK39" i="5302"/>
  <c r="CK40" i="5302"/>
  <c r="CK41" i="5302"/>
  <c r="CK42" i="5302"/>
  <c r="CK43" i="5302"/>
  <c r="CK44" i="5302"/>
  <c r="CK45" i="5302"/>
  <c r="CK46" i="5302"/>
  <c r="CK47" i="5302"/>
  <c r="CK48" i="5302"/>
  <c r="CK49" i="5302"/>
  <c r="CK50" i="5302"/>
  <c r="CK51" i="5302"/>
  <c r="CK52" i="5302"/>
  <c r="CK53" i="5302"/>
  <c r="CK54" i="5302"/>
  <c r="CJ2" i="5307"/>
  <c r="CJ3" i="5307"/>
  <c r="CJ4" i="5307"/>
  <c r="CJ5" i="5307"/>
  <c r="CJ6" i="5307"/>
  <c r="CJ7" i="5307"/>
  <c r="CJ8" i="5307"/>
  <c r="CJ9" i="5307"/>
  <c r="CJ10" i="5307"/>
  <c r="CJ11" i="5307"/>
  <c r="CJ12" i="5307"/>
  <c r="CJ13" i="5307"/>
  <c r="CJ14" i="5307"/>
  <c r="CJ15" i="5307"/>
  <c r="CJ16" i="5307"/>
  <c r="CJ17" i="5307"/>
  <c r="CJ18" i="5307"/>
  <c r="CJ19" i="5307"/>
  <c r="CJ20" i="5307"/>
  <c r="CJ21" i="5307"/>
  <c r="CJ22" i="5307"/>
  <c r="CJ23" i="5307"/>
  <c r="CJ24" i="5307"/>
  <c r="CJ25" i="5307"/>
  <c r="CJ26" i="5307"/>
  <c r="CJ27" i="5307"/>
  <c r="CJ28" i="5307"/>
  <c r="CJ29" i="5307"/>
  <c r="CJ30" i="5307"/>
  <c r="CJ31" i="5307"/>
  <c r="CJ32" i="5307"/>
  <c r="CJ33" i="5307"/>
  <c r="CJ34" i="5307"/>
  <c r="CJ35" i="5307"/>
  <c r="CJ36" i="5307"/>
  <c r="CJ37" i="5307"/>
  <c r="CJ38" i="5307"/>
  <c r="CJ39" i="5307"/>
  <c r="CJ40" i="5307"/>
  <c r="CJ41" i="5307"/>
  <c r="CJ42" i="5307"/>
  <c r="CJ43" i="5307"/>
  <c r="CJ44" i="5307"/>
  <c r="CJ45" i="5307"/>
  <c r="CJ46" i="5307"/>
  <c r="CJ47" i="5307"/>
  <c r="CJ48" i="5307"/>
  <c r="CJ49" i="5307"/>
  <c r="CJ50" i="5307"/>
  <c r="CJ51" i="5307"/>
  <c r="CJ52" i="5307"/>
  <c r="CJ53" i="5307"/>
  <c r="CJ54" i="5307"/>
  <c r="CJ2" i="5306"/>
  <c r="CJ3" i="5306"/>
  <c r="CJ4" i="5306"/>
  <c r="CJ5" i="5306"/>
  <c r="CJ6" i="5306"/>
  <c r="CJ7" i="5306"/>
  <c r="CJ8" i="5306"/>
  <c r="CJ9" i="5306"/>
  <c r="CJ10" i="5306"/>
  <c r="CJ11" i="5306"/>
  <c r="CJ12" i="5306"/>
  <c r="CJ13" i="5306"/>
  <c r="CJ14" i="5306"/>
  <c r="CJ15" i="5306"/>
  <c r="CJ16" i="5306"/>
  <c r="CJ17" i="5306"/>
  <c r="CJ18" i="5306"/>
  <c r="CJ19" i="5306"/>
  <c r="CJ20" i="5306"/>
  <c r="CJ21" i="5306"/>
  <c r="CJ22" i="5306"/>
  <c r="CJ23" i="5306"/>
  <c r="CJ24" i="5306"/>
  <c r="CJ25" i="5306"/>
  <c r="CJ26" i="5306"/>
  <c r="CJ27" i="5306"/>
  <c r="CJ28" i="5306"/>
  <c r="CJ29" i="5306"/>
  <c r="CJ30" i="5306"/>
  <c r="CJ31" i="5306"/>
  <c r="CJ32" i="5306"/>
  <c r="CJ33" i="5306"/>
  <c r="CJ34" i="5306"/>
  <c r="CJ35" i="5306"/>
  <c r="CJ36" i="5306"/>
  <c r="CJ37" i="5306"/>
  <c r="CJ38" i="5306"/>
  <c r="CJ39" i="5306"/>
  <c r="CJ40" i="5306"/>
  <c r="CJ41" i="5306"/>
  <c r="CJ42" i="5306"/>
  <c r="CJ43" i="5306"/>
  <c r="CJ44" i="5306"/>
  <c r="CJ45" i="5306"/>
  <c r="CJ46" i="5306"/>
  <c r="CJ47" i="5306"/>
  <c r="CJ48" i="5306"/>
  <c r="CJ49" i="5306"/>
  <c r="CJ50" i="5306"/>
  <c r="CJ51" i="5306"/>
  <c r="CJ52" i="5306"/>
  <c r="CJ53" i="5306"/>
  <c r="CJ54" i="5306"/>
  <c r="CJ2" i="5305"/>
  <c r="CJ3" i="5305"/>
  <c r="CJ4" i="5305"/>
  <c r="CJ5" i="5305"/>
  <c r="CJ6" i="5305"/>
  <c r="CJ7" i="5305"/>
  <c r="CJ8" i="5305"/>
  <c r="CJ9" i="5305"/>
  <c r="CJ10" i="5305"/>
  <c r="CJ11" i="5305"/>
  <c r="CJ12" i="5305"/>
  <c r="CJ13" i="5305"/>
  <c r="CJ14" i="5305"/>
  <c r="CJ15" i="5305"/>
  <c r="CJ16" i="5305"/>
  <c r="CJ17" i="5305"/>
  <c r="CJ18" i="5305"/>
  <c r="CJ19" i="5305"/>
  <c r="CJ20" i="5305"/>
  <c r="CJ21" i="5305"/>
  <c r="CJ22" i="5305"/>
  <c r="CJ23" i="5305"/>
  <c r="CJ24" i="5305"/>
  <c r="CJ25" i="5305"/>
  <c r="CJ26" i="5305"/>
  <c r="CJ27" i="5305"/>
  <c r="CJ28" i="5305"/>
  <c r="CJ29" i="5305"/>
  <c r="CJ30" i="5305"/>
  <c r="CJ31" i="5305"/>
  <c r="CJ32" i="5305"/>
  <c r="CJ33" i="5305"/>
  <c r="CJ34" i="5305"/>
  <c r="CJ35" i="5305"/>
  <c r="CJ36" i="5305"/>
  <c r="CJ37" i="5305"/>
  <c r="CJ38" i="5305"/>
  <c r="CJ39" i="5305"/>
  <c r="CJ40" i="5305"/>
  <c r="CJ41" i="5305"/>
  <c r="CJ42" i="5305"/>
  <c r="CJ43" i="5305"/>
  <c r="CJ44" i="5305"/>
  <c r="CJ45" i="5305"/>
  <c r="CJ46" i="5305"/>
  <c r="CJ47" i="5305"/>
  <c r="CJ48" i="5305"/>
  <c r="CJ49" i="5305"/>
  <c r="CJ50" i="5305"/>
  <c r="CJ51" i="5305"/>
  <c r="CJ52" i="5305"/>
  <c r="CJ53" i="5305"/>
  <c r="CJ54" i="5305"/>
  <c r="CJ2" i="5304"/>
  <c r="CJ3" i="5304"/>
  <c r="CJ4" i="5304"/>
  <c r="CJ5" i="5304"/>
  <c r="CJ6" i="5304"/>
  <c r="CJ7" i="5304"/>
  <c r="CJ8" i="5304"/>
  <c r="CJ9" i="5304"/>
  <c r="CJ10" i="5304"/>
  <c r="CJ11" i="5304"/>
  <c r="CJ12" i="5304"/>
  <c r="CJ13" i="5304"/>
  <c r="CJ14" i="5304"/>
  <c r="CJ15" i="5304"/>
  <c r="CJ16" i="5304"/>
  <c r="CJ17" i="5304"/>
  <c r="CJ18" i="5304"/>
  <c r="CJ19" i="5304"/>
  <c r="CJ20" i="5304"/>
  <c r="CJ21" i="5304"/>
  <c r="CJ22" i="5304"/>
  <c r="CJ23" i="5304"/>
  <c r="CJ24" i="5304"/>
  <c r="CJ25" i="5304"/>
  <c r="CJ26" i="5304"/>
  <c r="CJ27" i="5304"/>
  <c r="CJ28" i="5304"/>
  <c r="CJ29" i="5304"/>
  <c r="CJ30" i="5304"/>
  <c r="CJ31" i="5304"/>
  <c r="CJ32" i="5304"/>
  <c r="CJ33" i="5304"/>
  <c r="CJ34" i="5304"/>
  <c r="CJ35" i="5304"/>
  <c r="CJ36" i="5304"/>
  <c r="CJ37" i="5304"/>
  <c r="CJ38" i="5304"/>
  <c r="CJ39" i="5304"/>
  <c r="CJ40" i="5304"/>
  <c r="CJ41" i="5304"/>
  <c r="CJ42" i="5304"/>
  <c r="CJ43" i="5304"/>
  <c r="CJ44" i="5304"/>
  <c r="CJ45" i="5304"/>
  <c r="CJ46" i="5304"/>
  <c r="CJ47" i="5304"/>
  <c r="CJ48" i="5304"/>
  <c r="CJ49" i="5304"/>
  <c r="CJ50" i="5304"/>
  <c r="CJ51" i="5304"/>
  <c r="CJ52" i="5304"/>
  <c r="CJ53" i="5304"/>
  <c r="CJ54" i="5304"/>
  <c r="CJ2" i="5303"/>
  <c r="CJ3" i="5303"/>
  <c r="CJ4" i="5303"/>
  <c r="CJ5" i="5303"/>
  <c r="CJ6" i="5303"/>
  <c r="CJ7" i="5303"/>
  <c r="CJ8" i="5303"/>
  <c r="CJ9" i="5303"/>
  <c r="CJ10" i="5303"/>
  <c r="CJ11" i="5303"/>
  <c r="CJ12" i="5303"/>
  <c r="CJ13" i="5303"/>
  <c r="CJ14" i="5303"/>
  <c r="CJ15" i="5303"/>
  <c r="CJ16" i="5303"/>
  <c r="CJ17" i="5303"/>
  <c r="CJ18" i="5303"/>
  <c r="CJ19" i="5303"/>
  <c r="CJ20" i="5303"/>
  <c r="CJ21" i="5303"/>
  <c r="CJ22" i="5303"/>
  <c r="CJ23" i="5303"/>
  <c r="CJ24" i="5303"/>
  <c r="CJ25" i="5303"/>
  <c r="CJ26" i="5303"/>
  <c r="CJ27" i="5303"/>
  <c r="CJ28" i="5303"/>
  <c r="CJ29" i="5303"/>
  <c r="CJ30" i="5303"/>
  <c r="CJ31" i="5303"/>
  <c r="CJ32" i="5303"/>
  <c r="CJ33" i="5303"/>
  <c r="CJ34" i="5303"/>
  <c r="CJ35" i="5303"/>
  <c r="CJ36" i="5303"/>
  <c r="CJ37" i="5303"/>
  <c r="CJ38" i="5303"/>
  <c r="CJ39" i="5303"/>
  <c r="CJ40" i="5303"/>
  <c r="CJ41" i="5303"/>
  <c r="CJ42" i="5303"/>
  <c r="CJ43" i="5303"/>
  <c r="CJ44" i="5303"/>
  <c r="CJ45" i="5303"/>
  <c r="CJ46" i="5303"/>
  <c r="CJ47" i="5303"/>
  <c r="CJ48" i="5303"/>
  <c r="CJ49" i="5303"/>
  <c r="CJ50" i="5303"/>
  <c r="CJ51" i="5303"/>
  <c r="CJ52" i="5303"/>
  <c r="CJ53" i="5303"/>
  <c r="CJ54" i="5303"/>
  <c r="CJ2" i="5302"/>
  <c r="CJ3" i="5302"/>
  <c r="CJ4" i="5302"/>
  <c r="CJ5" i="5302"/>
  <c r="CJ6" i="5302"/>
  <c r="CJ7" i="5302"/>
  <c r="CJ8" i="5302"/>
  <c r="CJ9" i="5302"/>
  <c r="CJ10" i="5302"/>
  <c r="CJ11" i="5302"/>
  <c r="CJ12" i="5302"/>
  <c r="CJ13" i="5302"/>
  <c r="CJ14" i="5302"/>
  <c r="CJ15" i="5302"/>
  <c r="CJ16" i="5302"/>
  <c r="CJ17" i="5302"/>
  <c r="CJ18" i="5302"/>
  <c r="CJ19" i="5302"/>
  <c r="CJ20" i="5302"/>
  <c r="CJ21" i="5302"/>
  <c r="CJ22" i="5302"/>
  <c r="CJ23" i="5302"/>
  <c r="CJ24" i="5302"/>
  <c r="CJ25" i="5302"/>
  <c r="CJ26" i="5302"/>
  <c r="CJ27" i="5302"/>
  <c r="CJ28" i="5302"/>
  <c r="CJ29" i="5302"/>
  <c r="CJ30" i="5302"/>
  <c r="CJ31" i="5302"/>
  <c r="CJ32" i="5302"/>
  <c r="CJ33" i="5302"/>
  <c r="CJ34" i="5302"/>
  <c r="CJ35" i="5302"/>
  <c r="CJ36" i="5302"/>
  <c r="CJ37" i="5302"/>
  <c r="CJ38" i="5302"/>
  <c r="CJ39" i="5302"/>
  <c r="CJ40" i="5302"/>
  <c r="CJ41" i="5302"/>
  <c r="CJ42" i="5302"/>
  <c r="CJ43" i="5302"/>
  <c r="CJ44" i="5302"/>
  <c r="CJ45" i="5302"/>
  <c r="CJ46" i="5302"/>
  <c r="CJ47" i="5302"/>
  <c r="CJ48" i="5302"/>
  <c r="CJ49" i="5302"/>
  <c r="CJ50" i="5302"/>
  <c r="CJ51" i="5302"/>
  <c r="CJ52" i="5302"/>
  <c r="CJ53" i="5302"/>
  <c r="CJ54" i="5302"/>
  <c r="CI2" i="5307"/>
  <c r="CI3" i="5307"/>
  <c r="CI4" i="5307"/>
  <c r="CI5" i="5307"/>
  <c r="CI6" i="5307"/>
  <c r="CI7" i="5307"/>
  <c r="CI8" i="5307"/>
  <c r="CI9" i="5307"/>
  <c r="CI10" i="5307"/>
  <c r="CI11" i="5307"/>
  <c r="CI12" i="5307"/>
  <c r="CI13" i="5307"/>
  <c r="CI14" i="5307"/>
  <c r="CI15" i="5307"/>
  <c r="CI16" i="5307"/>
  <c r="CI17" i="5307"/>
  <c r="CI18" i="5307"/>
  <c r="CI19" i="5307"/>
  <c r="CI20" i="5307"/>
  <c r="CI21" i="5307"/>
  <c r="CI22" i="5307"/>
  <c r="CI23" i="5307"/>
  <c r="CI24" i="5307"/>
  <c r="CI25" i="5307"/>
  <c r="CI26" i="5307"/>
  <c r="CI27" i="5307"/>
  <c r="CI28" i="5307"/>
  <c r="CI29" i="5307"/>
  <c r="CI30" i="5307"/>
  <c r="CI31" i="5307"/>
  <c r="CI32" i="5307"/>
  <c r="CI33" i="5307"/>
  <c r="CI34" i="5307"/>
  <c r="CI35" i="5307"/>
  <c r="CI36" i="5307"/>
  <c r="CI37" i="5307"/>
  <c r="CI38" i="5307"/>
  <c r="CI39" i="5307"/>
  <c r="CI40" i="5307"/>
  <c r="CI41" i="5307"/>
  <c r="CI42" i="5307"/>
  <c r="CI43" i="5307"/>
  <c r="CI44" i="5307"/>
  <c r="CI45" i="5307"/>
  <c r="CI46" i="5307"/>
  <c r="CI47" i="5307"/>
  <c r="CI48" i="5307"/>
  <c r="CI49" i="5307"/>
  <c r="CI50" i="5307"/>
  <c r="CI51" i="5307"/>
  <c r="CI52" i="5307"/>
  <c r="CI53" i="5307"/>
  <c r="CI54" i="5307"/>
  <c r="CI2" i="5306"/>
  <c r="CI3" i="5306"/>
  <c r="CI4" i="5306"/>
  <c r="CI5" i="5306"/>
  <c r="CI6" i="5306"/>
  <c r="CI7" i="5306"/>
  <c r="CI8" i="5306"/>
  <c r="CI9" i="5306"/>
  <c r="CI10" i="5306"/>
  <c r="CI11" i="5306"/>
  <c r="CI12" i="5306"/>
  <c r="CI13" i="5306"/>
  <c r="CI14" i="5306"/>
  <c r="CI15" i="5306"/>
  <c r="CI16" i="5306"/>
  <c r="CI17" i="5306"/>
  <c r="CI18" i="5306"/>
  <c r="CI19" i="5306"/>
  <c r="CI20" i="5306"/>
  <c r="CI21" i="5306"/>
  <c r="CI22" i="5306"/>
  <c r="CI23" i="5306"/>
  <c r="CI24" i="5306"/>
  <c r="CI25" i="5306"/>
  <c r="CI26" i="5306"/>
  <c r="CI27" i="5306"/>
  <c r="CI28" i="5306"/>
  <c r="CI29" i="5306"/>
  <c r="CI30" i="5306"/>
  <c r="CI31" i="5306"/>
  <c r="CI32" i="5306"/>
  <c r="CI33" i="5306"/>
  <c r="CI34" i="5306"/>
  <c r="CI35" i="5306"/>
  <c r="CI36" i="5306"/>
  <c r="CI37" i="5306"/>
  <c r="CI38" i="5306"/>
  <c r="CI39" i="5306"/>
  <c r="CI40" i="5306"/>
  <c r="CI41" i="5306"/>
  <c r="CI42" i="5306"/>
  <c r="CI43" i="5306"/>
  <c r="CI44" i="5306"/>
  <c r="CI45" i="5306"/>
  <c r="CI46" i="5306"/>
  <c r="CI47" i="5306"/>
  <c r="CI48" i="5306"/>
  <c r="CI49" i="5306"/>
  <c r="CI50" i="5306"/>
  <c r="CI51" i="5306"/>
  <c r="CI52" i="5306"/>
  <c r="CI53" i="5306"/>
  <c r="CI54" i="5306"/>
  <c r="CI2" i="5305"/>
  <c r="CI3" i="5305"/>
  <c r="CI4" i="5305"/>
  <c r="CI5" i="5305"/>
  <c r="CI6" i="5305"/>
  <c r="CI7" i="5305"/>
  <c r="CI8" i="5305"/>
  <c r="CI9" i="5305"/>
  <c r="CI10" i="5305"/>
  <c r="CI11" i="5305"/>
  <c r="CI12" i="5305"/>
  <c r="CI13" i="5305"/>
  <c r="CI14" i="5305"/>
  <c r="CI15" i="5305"/>
  <c r="CI16" i="5305"/>
  <c r="CI17" i="5305"/>
  <c r="CI18" i="5305"/>
  <c r="CI19" i="5305"/>
  <c r="CI20" i="5305"/>
  <c r="CI21" i="5305"/>
  <c r="CI22" i="5305"/>
  <c r="CI23" i="5305"/>
  <c r="CI24" i="5305"/>
  <c r="CI25" i="5305"/>
  <c r="CI26" i="5305"/>
  <c r="CI27" i="5305"/>
  <c r="CI28" i="5305"/>
  <c r="CI29" i="5305"/>
  <c r="CI30" i="5305"/>
  <c r="CI31" i="5305"/>
  <c r="CI32" i="5305"/>
  <c r="CI33" i="5305"/>
  <c r="CI34" i="5305"/>
  <c r="CI35" i="5305"/>
  <c r="CI36" i="5305"/>
  <c r="CI37" i="5305"/>
  <c r="CI38" i="5305"/>
  <c r="CI39" i="5305"/>
  <c r="CI40" i="5305"/>
  <c r="CI41" i="5305"/>
  <c r="CI42" i="5305"/>
  <c r="CI43" i="5305"/>
  <c r="CI44" i="5305"/>
  <c r="CI45" i="5305"/>
  <c r="CI46" i="5305"/>
  <c r="CI47" i="5305"/>
  <c r="CI48" i="5305"/>
  <c r="CI49" i="5305"/>
  <c r="CI50" i="5305"/>
  <c r="CI51" i="5305"/>
  <c r="CI52" i="5305"/>
  <c r="CI53" i="5305"/>
  <c r="CI54" i="5305"/>
  <c r="CI2" i="5304"/>
  <c r="CI3" i="5304"/>
  <c r="CI4" i="5304"/>
  <c r="CI5" i="5304"/>
  <c r="CI6" i="5304"/>
  <c r="CI7" i="5304"/>
  <c r="CI8" i="5304"/>
  <c r="CI9" i="5304"/>
  <c r="CI10" i="5304"/>
  <c r="CI11" i="5304"/>
  <c r="CI12" i="5304"/>
  <c r="CI13" i="5304"/>
  <c r="CI14" i="5304"/>
  <c r="CI15" i="5304"/>
  <c r="CI16" i="5304"/>
  <c r="CI17" i="5304"/>
  <c r="CI18" i="5304"/>
  <c r="CI19" i="5304"/>
  <c r="CI20" i="5304"/>
  <c r="CI21" i="5304"/>
  <c r="CI22" i="5304"/>
  <c r="CI23" i="5304"/>
  <c r="CI24" i="5304"/>
  <c r="CI25" i="5304"/>
  <c r="CI26" i="5304"/>
  <c r="CI27" i="5304"/>
  <c r="CI28" i="5304"/>
  <c r="CI29" i="5304"/>
  <c r="CI30" i="5304"/>
  <c r="CI31" i="5304"/>
  <c r="CI32" i="5304"/>
  <c r="CI33" i="5304"/>
  <c r="CI34" i="5304"/>
  <c r="CI35" i="5304"/>
  <c r="CI36" i="5304"/>
  <c r="CI37" i="5304"/>
  <c r="CI38" i="5304"/>
  <c r="CI39" i="5304"/>
  <c r="CI40" i="5304"/>
  <c r="CI41" i="5304"/>
  <c r="CI42" i="5304"/>
  <c r="CI43" i="5304"/>
  <c r="CI44" i="5304"/>
  <c r="CI45" i="5304"/>
  <c r="CI46" i="5304"/>
  <c r="CI47" i="5304"/>
  <c r="CI48" i="5304"/>
  <c r="CI49" i="5304"/>
  <c r="CI50" i="5304"/>
  <c r="CI51" i="5304"/>
  <c r="CI52" i="5304"/>
  <c r="CI53" i="5304"/>
  <c r="CI54" i="5304"/>
  <c r="CI2" i="5303"/>
  <c r="CI3" i="5303"/>
  <c r="CI4" i="5303"/>
  <c r="CI5" i="5303"/>
  <c r="CI6" i="5303"/>
  <c r="CI7" i="5303"/>
  <c r="CI8" i="5303"/>
  <c r="CI9" i="5303"/>
  <c r="CI10" i="5303"/>
  <c r="CI11" i="5303"/>
  <c r="CI12" i="5303"/>
  <c r="CI13" i="5303"/>
  <c r="CI14" i="5303"/>
  <c r="CI15" i="5303"/>
  <c r="CI16" i="5303"/>
  <c r="CI17" i="5303"/>
  <c r="CI18" i="5303"/>
  <c r="CI19" i="5303"/>
  <c r="CI20" i="5303"/>
  <c r="CI21" i="5303"/>
  <c r="CI22" i="5303"/>
  <c r="CI23" i="5303"/>
  <c r="CI24" i="5303"/>
  <c r="CI25" i="5303"/>
  <c r="CI26" i="5303"/>
  <c r="CI27" i="5303"/>
  <c r="CI28" i="5303"/>
  <c r="CI29" i="5303"/>
  <c r="CI30" i="5303"/>
  <c r="CI31" i="5303"/>
  <c r="CI32" i="5303"/>
  <c r="CI33" i="5303"/>
  <c r="CI34" i="5303"/>
  <c r="CI35" i="5303"/>
  <c r="CI36" i="5303"/>
  <c r="CI37" i="5303"/>
  <c r="CI38" i="5303"/>
  <c r="CI39" i="5303"/>
  <c r="CI40" i="5303"/>
  <c r="CI41" i="5303"/>
  <c r="CI42" i="5303"/>
  <c r="CI43" i="5303"/>
  <c r="CI44" i="5303"/>
  <c r="CI45" i="5303"/>
  <c r="CI46" i="5303"/>
  <c r="CI47" i="5303"/>
  <c r="CI48" i="5303"/>
  <c r="CI49" i="5303"/>
  <c r="CI50" i="5303"/>
  <c r="CI51" i="5303"/>
  <c r="CI52" i="5303"/>
  <c r="CI53" i="5303"/>
  <c r="CI54" i="5303"/>
  <c r="CI2" i="5302"/>
  <c r="CI3" i="5302"/>
  <c r="CI4" i="5302"/>
  <c r="CI5" i="5302"/>
  <c r="CI6" i="5302"/>
  <c r="CI7" i="5302"/>
  <c r="CI8" i="5302"/>
  <c r="CI9" i="5302"/>
  <c r="CI10" i="5302"/>
  <c r="CI11" i="5302"/>
  <c r="CI12" i="5302"/>
  <c r="CI13" i="5302"/>
  <c r="CI14" i="5302"/>
  <c r="CI15" i="5302"/>
  <c r="CI16" i="5302"/>
  <c r="CI17" i="5302"/>
  <c r="CI18" i="5302"/>
  <c r="CI19" i="5302"/>
  <c r="CI20" i="5302"/>
  <c r="CI21" i="5302"/>
  <c r="CI22" i="5302"/>
  <c r="CI23" i="5302"/>
  <c r="CI24" i="5302"/>
  <c r="CI25" i="5302"/>
  <c r="CI26" i="5302"/>
  <c r="CI27" i="5302"/>
  <c r="CI28" i="5302"/>
  <c r="CI29" i="5302"/>
  <c r="CI30" i="5302"/>
  <c r="CI31" i="5302"/>
  <c r="CI32" i="5302"/>
  <c r="CI33" i="5302"/>
  <c r="CI34" i="5302"/>
  <c r="CI35" i="5302"/>
  <c r="CI36" i="5302"/>
  <c r="CI37" i="5302"/>
  <c r="CI38" i="5302"/>
  <c r="CI39" i="5302"/>
  <c r="CI40" i="5302"/>
  <c r="CI41" i="5302"/>
  <c r="CI42" i="5302"/>
  <c r="CI43" i="5302"/>
  <c r="CI44" i="5302"/>
  <c r="CI45" i="5302"/>
  <c r="CI46" i="5302"/>
  <c r="CI47" i="5302"/>
  <c r="CI48" i="5302"/>
  <c r="CI49" i="5302"/>
  <c r="CI50" i="5302"/>
  <c r="CI51" i="5302"/>
  <c r="CI52" i="5302"/>
  <c r="CI53" i="5302"/>
  <c r="CI54" i="5302"/>
  <c r="CH2" i="5307"/>
  <c r="CH3" i="5307"/>
  <c r="CH4" i="5307"/>
  <c r="CH5" i="5307"/>
  <c r="CH6" i="5307"/>
  <c r="CH7" i="5307"/>
  <c r="CH8" i="5307"/>
  <c r="CH9" i="5307"/>
  <c r="CH10" i="5307"/>
  <c r="CH11" i="5307"/>
  <c r="CH12" i="5307"/>
  <c r="CH13" i="5307"/>
  <c r="CH14" i="5307"/>
  <c r="CH15" i="5307"/>
  <c r="CH16" i="5307"/>
  <c r="CH17" i="5307"/>
  <c r="CH18" i="5307"/>
  <c r="CH19" i="5307"/>
  <c r="CH20" i="5307"/>
  <c r="CH21" i="5307"/>
  <c r="CH22" i="5307"/>
  <c r="CH23" i="5307"/>
  <c r="CH24" i="5307"/>
  <c r="CH25" i="5307"/>
  <c r="CH26" i="5307"/>
  <c r="CH27" i="5307"/>
  <c r="CH28" i="5307"/>
  <c r="CH29" i="5307"/>
  <c r="CH30" i="5307"/>
  <c r="CH31" i="5307"/>
  <c r="CH32" i="5307"/>
  <c r="CH33" i="5307"/>
  <c r="CH34" i="5307"/>
  <c r="CH35" i="5307"/>
  <c r="CH36" i="5307"/>
  <c r="CH37" i="5307"/>
  <c r="CH38" i="5307"/>
  <c r="CH39" i="5307"/>
  <c r="CH40" i="5307"/>
  <c r="CH41" i="5307"/>
  <c r="CH42" i="5307"/>
  <c r="CH43" i="5307"/>
  <c r="CH44" i="5307"/>
  <c r="CH45" i="5307"/>
  <c r="CH46" i="5307"/>
  <c r="CH47" i="5307"/>
  <c r="CH48" i="5307"/>
  <c r="CH49" i="5307"/>
  <c r="CH50" i="5307"/>
  <c r="CH51" i="5307"/>
  <c r="CH52" i="5307"/>
  <c r="CH53" i="5307"/>
  <c r="CH54" i="5307"/>
  <c r="CH2" i="5306"/>
  <c r="CH3" i="5306"/>
  <c r="CH4" i="5306"/>
  <c r="CH5" i="5306"/>
  <c r="CH6" i="5306"/>
  <c r="CH7" i="5306"/>
  <c r="CH8" i="5306"/>
  <c r="CH9" i="5306"/>
  <c r="CH10" i="5306"/>
  <c r="CH11" i="5306"/>
  <c r="CH12" i="5306"/>
  <c r="CH13" i="5306"/>
  <c r="CH14" i="5306"/>
  <c r="CH15" i="5306"/>
  <c r="CH16" i="5306"/>
  <c r="CH17" i="5306"/>
  <c r="CH18" i="5306"/>
  <c r="CH19" i="5306"/>
  <c r="CH20" i="5306"/>
  <c r="CH21" i="5306"/>
  <c r="CH22" i="5306"/>
  <c r="CH23" i="5306"/>
  <c r="CH24" i="5306"/>
  <c r="CH25" i="5306"/>
  <c r="CH26" i="5306"/>
  <c r="CH27" i="5306"/>
  <c r="CH28" i="5306"/>
  <c r="CH29" i="5306"/>
  <c r="CH30" i="5306"/>
  <c r="CH31" i="5306"/>
  <c r="CH32" i="5306"/>
  <c r="CH33" i="5306"/>
  <c r="CH34" i="5306"/>
  <c r="CH35" i="5306"/>
  <c r="CH36" i="5306"/>
  <c r="CH37" i="5306"/>
  <c r="CH38" i="5306"/>
  <c r="CH39" i="5306"/>
  <c r="CH40" i="5306"/>
  <c r="CH41" i="5306"/>
  <c r="CH42" i="5306"/>
  <c r="CH43" i="5306"/>
  <c r="CH44" i="5306"/>
  <c r="CH45" i="5306"/>
  <c r="CH46" i="5306"/>
  <c r="CH47" i="5306"/>
  <c r="CH48" i="5306"/>
  <c r="CH49" i="5306"/>
  <c r="CH50" i="5306"/>
  <c r="CH51" i="5306"/>
  <c r="CH52" i="5306"/>
  <c r="CH53" i="5306"/>
  <c r="CH54" i="5306"/>
  <c r="CH2" i="5305"/>
  <c r="CH3" i="5305"/>
  <c r="CH4" i="5305"/>
  <c r="CH5" i="5305"/>
  <c r="CH6" i="5305"/>
  <c r="CH7" i="5305"/>
  <c r="CH8" i="5305"/>
  <c r="CH9" i="5305"/>
  <c r="CH10" i="5305"/>
  <c r="CH11" i="5305"/>
  <c r="CH12" i="5305"/>
  <c r="CH13" i="5305"/>
  <c r="CH14" i="5305"/>
  <c r="CH15" i="5305"/>
  <c r="CH16" i="5305"/>
  <c r="CH17" i="5305"/>
  <c r="CH18" i="5305"/>
  <c r="CH19" i="5305"/>
  <c r="CH20" i="5305"/>
  <c r="CH21" i="5305"/>
  <c r="CH22" i="5305"/>
  <c r="CH23" i="5305"/>
  <c r="CH24" i="5305"/>
  <c r="CH25" i="5305"/>
  <c r="CH26" i="5305"/>
  <c r="CH27" i="5305"/>
  <c r="CH28" i="5305"/>
  <c r="CH29" i="5305"/>
  <c r="CH30" i="5305"/>
  <c r="CH31" i="5305"/>
  <c r="CH32" i="5305"/>
  <c r="CH33" i="5305"/>
  <c r="CH34" i="5305"/>
  <c r="CH35" i="5305"/>
  <c r="CH36" i="5305"/>
  <c r="CH37" i="5305"/>
  <c r="CH38" i="5305"/>
  <c r="CH39" i="5305"/>
  <c r="CH40" i="5305"/>
  <c r="CH41" i="5305"/>
  <c r="CH42" i="5305"/>
  <c r="CH43" i="5305"/>
  <c r="CH44" i="5305"/>
  <c r="CH45" i="5305"/>
  <c r="CH46" i="5305"/>
  <c r="CH47" i="5305"/>
  <c r="CH48" i="5305"/>
  <c r="CH49" i="5305"/>
  <c r="CH50" i="5305"/>
  <c r="CH51" i="5305"/>
  <c r="CH52" i="5305"/>
  <c r="CH53" i="5305"/>
  <c r="CH54" i="5305"/>
  <c r="CH2" i="5304"/>
  <c r="CH3" i="5304"/>
  <c r="CH4" i="5304"/>
  <c r="CH5" i="5304"/>
  <c r="CH6" i="5304"/>
  <c r="CH7" i="5304"/>
  <c r="CH8" i="5304"/>
  <c r="CH9" i="5304"/>
  <c r="CH10" i="5304"/>
  <c r="CH11" i="5304"/>
  <c r="CH12" i="5304"/>
  <c r="CH13" i="5304"/>
  <c r="CH14" i="5304"/>
  <c r="CH15" i="5304"/>
  <c r="CH16" i="5304"/>
  <c r="CH17" i="5304"/>
  <c r="CH18" i="5304"/>
  <c r="CH19" i="5304"/>
  <c r="CH20" i="5304"/>
  <c r="CH21" i="5304"/>
  <c r="CH22" i="5304"/>
  <c r="CH23" i="5304"/>
  <c r="CH24" i="5304"/>
  <c r="CH25" i="5304"/>
  <c r="CH26" i="5304"/>
  <c r="CH27" i="5304"/>
  <c r="CH28" i="5304"/>
  <c r="CH29" i="5304"/>
  <c r="CH30" i="5304"/>
  <c r="CH31" i="5304"/>
  <c r="CH32" i="5304"/>
  <c r="CH33" i="5304"/>
  <c r="CH34" i="5304"/>
  <c r="CH35" i="5304"/>
  <c r="CH36" i="5304"/>
  <c r="CH37" i="5304"/>
  <c r="CH38" i="5304"/>
  <c r="CH39" i="5304"/>
  <c r="CH40" i="5304"/>
  <c r="CH41" i="5304"/>
  <c r="CH42" i="5304"/>
  <c r="CH43" i="5304"/>
  <c r="CH44" i="5304"/>
  <c r="CH45" i="5304"/>
  <c r="CH46" i="5304"/>
  <c r="CH47" i="5304"/>
  <c r="CH48" i="5304"/>
  <c r="CH49" i="5304"/>
  <c r="CH50" i="5304"/>
  <c r="CH51" i="5304"/>
  <c r="CH52" i="5304"/>
  <c r="CH53" i="5304"/>
  <c r="CH54" i="5304"/>
  <c r="CH2" i="5303"/>
  <c r="CH3" i="5303"/>
  <c r="CH4" i="5303"/>
  <c r="CH5" i="5303"/>
  <c r="CH6" i="5303"/>
  <c r="CH7" i="5303"/>
  <c r="CH8" i="5303"/>
  <c r="CH9" i="5303"/>
  <c r="CH10" i="5303"/>
  <c r="CH11" i="5303"/>
  <c r="CH12" i="5303"/>
  <c r="CH13" i="5303"/>
  <c r="CH14" i="5303"/>
  <c r="CH15" i="5303"/>
  <c r="CH16" i="5303"/>
  <c r="CH17" i="5303"/>
  <c r="CH18" i="5303"/>
  <c r="CH19" i="5303"/>
  <c r="CH20" i="5303"/>
  <c r="CH21" i="5303"/>
  <c r="CH22" i="5303"/>
  <c r="CH23" i="5303"/>
  <c r="CH24" i="5303"/>
  <c r="CH25" i="5303"/>
  <c r="CH26" i="5303"/>
  <c r="CH27" i="5303"/>
  <c r="CH28" i="5303"/>
  <c r="CH29" i="5303"/>
  <c r="CH30" i="5303"/>
  <c r="CH31" i="5303"/>
  <c r="CH32" i="5303"/>
  <c r="CH33" i="5303"/>
  <c r="CH34" i="5303"/>
  <c r="CH35" i="5303"/>
  <c r="CH36" i="5303"/>
  <c r="CH37" i="5303"/>
  <c r="CH38" i="5303"/>
  <c r="CH39" i="5303"/>
  <c r="CH40" i="5303"/>
  <c r="CH41" i="5303"/>
  <c r="CH42" i="5303"/>
  <c r="CH43" i="5303"/>
  <c r="CH44" i="5303"/>
  <c r="CH45" i="5303"/>
  <c r="CH46" i="5303"/>
  <c r="CH47" i="5303"/>
  <c r="CH48" i="5303"/>
  <c r="CH49" i="5303"/>
  <c r="CH50" i="5303"/>
  <c r="CH51" i="5303"/>
  <c r="CH52" i="5303"/>
  <c r="CH53" i="5303"/>
  <c r="CH54" i="5303"/>
  <c r="CH2" i="5302"/>
  <c r="CH3" i="5302"/>
  <c r="CH4" i="5302"/>
  <c r="CH5" i="5302"/>
  <c r="CH6" i="5302"/>
  <c r="CH7" i="5302"/>
  <c r="CH8" i="5302"/>
  <c r="CH9" i="5302"/>
  <c r="CH10" i="5302"/>
  <c r="CH11" i="5302"/>
  <c r="CH12" i="5302"/>
  <c r="CH13" i="5302"/>
  <c r="CH14" i="5302"/>
  <c r="CH15" i="5302"/>
  <c r="CH16" i="5302"/>
  <c r="CH17" i="5302"/>
  <c r="CH18" i="5302"/>
  <c r="CH19" i="5302"/>
  <c r="CH20" i="5302"/>
  <c r="CH21" i="5302"/>
  <c r="CH22" i="5302"/>
  <c r="CH23" i="5302"/>
  <c r="CH24" i="5302"/>
  <c r="CH25" i="5302"/>
  <c r="CH26" i="5302"/>
  <c r="CH27" i="5302"/>
  <c r="CH28" i="5302"/>
  <c r="CH29" i="5302"/>
  <c r="CH30" i="5302"/>
  <c r="CH31" i="5302"/>
  <c r="CH32" i="5302"/>
  <c r="CH33" i="5302"/>
  <c r="CH34" i="5302"/>
  <c r="CH35" i="5302"/>
  <c r="CH36" i="5302"/>
  <c r="CH37" i="5302"/>
  <c r="CH38" i="5302"/>
  <c r="CH39" i="5302"/>
  <c r="CH40" i="5302"/>
  <c r="CH41" i="5302"/>
  <c r="CH42" i="5302"/>
  <c r="CH43" i="5302"/>
  <c r="CH44" i="5302"/>
  <c r="CH45" i="5302"/>
  <c r="CH46" i="5302"/>
  <c r="CH47" i="5302"/>
  <c r="CH48" i="5302"/>
  <c r="CH49" i="5302"/>
  <c r="CH50" i="5302"/>
  <c r="CH51" i="5302"/>
  <c r="CH52" i="5302"/>
  <c r="CH53" i="5302"/>
  <c r="CH54" i="5302"/>
  <c r="CG2" i="5307"/>
  <c r="CG3" i="5307"/>
  <c r="CG4" i="5307"/>
  <c r="CG5" i="5307"/>
  <c r="CG6" i="5307"/>
  <c r="CG7" i="5307"/>
  <c r="CG8" i="5307"/>
  <c r="CG9" i="5307"/>
  <c r="CG10" i="5307"/>
  <c r="CG11" i="5307"/>
  <c r="CG12" i="5307"/>
  <c r="CG13" i="5307"/>
  <c r="CG14" i="5307"/>
  <c r="CG15" i="5307"/>
  <c r="CG16" i="5307"/>
  <c r="CG17" i="5307"/>
  <c r="CG18" i="5307"/>
  <c r="CG19" i="5307"/>
  <c r="CG20" i="5307"/>
  <c r="CG21" i="5307"/>
  <c r="CG22" i="5307"/>
  <c r="CG23" i="5307"/>
  <c r="CG24" i="5307"/>
  <c r="CG25" i="5307"/>
  <c r="CG26" i="5307"/>
  <c r="CG27" i="5307"/>
  <c r="CG28" i="5307"/>
  <c r="CG29" i="5307"/>
  <c r="CG30" i="5307"/>
  <c r="CG31" i="5307"/>
  <c r="CG32" i="5307"/>
  <c r="CG33" i="5307"/>
  <c r="CG34" i="5307"/>
  <c r="CG35" i="5307"/>
  <c r="CG36" i="5307"/>
  <c r="CG37" i="5307"/>
  <c r="CG38" i="5307"/>
  <c r="CG39" i="5307"/>
  <c r="CG40" i="5307"/>
  <c r="CG41" i="5307"/>
  <c r="CG42" i="5307"/>
  <c r="CG43" i="5307"/>
  <c r="CG44" i="5307"/>
  <c r="CG45" i="5307"/>
  <c r="CG46" i="5307"/>
  <c r="CG47" i="5307"/>
  <c r="CG48" i="5307"/>
  <c r="CG49" i="5307"/>
  <c r="CG50" i="5307"/>
  <c r="CG51" i="5307"/>
  <c r="CG52" i="5307"/>
  <c r="CG53" i="5307"/>
  <c r="CG54" i="5307"/>
  <c r="CG2" i="5306"/>
  <c r="CG3" i="5306"/>
  <c r="CG4" i="5306"/>
  <c r="CG5" i="5306"/>
  <c r="CG6" i="5306"/>
  <c r="CG7" i="5306"/>
  <c r="CG8" i="5306"/>
  <c r="CG9" i="5306"/>
  <c r="CG10" i="5306"/>
  <c r="CG11" i="5306"/>
  <c r="CG12" i="5306"/>
  <c r="CG13" i="5306"/>
  <c r="CG14" i="5306"/>
  <c r="CG15" i="5306"/>
  <c r="CG16" i="5306"/>
  <c r="CG17" i="5306"/>
  <c r="CG18" i="5306"/>
  <c r="CG19" i="5306"/>
  <c r="CG20" i="5306"/>
  <c r="CG21" i="5306"/>
  <c r="CG22" i="5306"/>
  <c r="CG23" i="5306"/>
  <c r="CG24" i="5306"/>
  <c r="CG25" i="5306"/>
  <c r="CG26" i="5306"/>
  <c r="CG27" i="5306"/>
  <c r="CG28" i="5306"/>
  <c r="CG29" i="5306"/>
  <c r="CG30" i="5306"/>
  <c r="CG31" i="5306"/>
  <c r="CG32" i="5306"/>
  <c r="CG33" i="5306"/>
  <c r="CG34" i="5306"/>
  <c r="CG35" i="5306"/>
  <c r="CG36" i="5306"/>
  <c r="CG37" i="5306"/>
  <c r="CG38" i="5306"/>
  <c r="CG39" i="5306"/>
  <c r="CG40" i="5306"/>
  <c r="CG41" i="5306"/>
  <c r="CG42" i="5306"/>
  <c r="CG43" i="5306"/>
  <c r="CG44" i="5306"/>
  <c r="CG45" i="5306"/>
  <c r="CG46" i="5306"/>
  <c r="CG47" i="5306"/>
  <c r="CG48" i="5306"/>
  <c r="CG49" i="5306"/>
  <c r="CG50" i="5306"/>
  <c r="CG51" i="5306"/>
  <c r="CG52" i="5306"/>
  <c r="CG53" i="5306"/>
  <c r="CG54" i="5306"/>
  <c r="CG2" i="5305"/>
  <c r="CG3" i="5305"/>
  <c r="CG4" i="5305"/>
  <c r="CG5" i="5305"/>
  <c r="CG6" i="5305"/>
  <c r="CG7" i="5305"/>
  <c r="CG8" i="5305"/>
  <c r="CG9" i="5305"/>
  <c r="CG10" i="5305"/>
  <c r="CG11" i="5305"/>
  <c r="CG12" i="5305"/>
  <c r="CG13" i="5305"/>
  <c r="CG14" i="5305"/>
  <c r="CG15" i="5305"/>
  <c r="CG16" i="5305"/>
  <c r="CG17" i="5305"/>
  <c r="CG18" i="5305"/>
  <c r="CG19" i="5305"/>
  <c r="CG20" i="5305"/>
  <c r="CG21" i="5305"/>
  <c r="CG22" i="5305"/>
  <c r="CG23" i="5305"/>
  <c r="CG24" i="5305"/>
  <c r="CG25" i="5305"/>
  <c r="CG26" i="5305"/>
  <c r="CG27" i="5305"/>
  <c r="CG28" i="5305"/>
  <c r="CG29" i="5305"/>
  <c r="CG30" i="5305"/>
  <c r="CG31" i="5305"/>
  <c r="CG32" i="5305"/>
  <c r="CG33" i="5305"/>
  <c r="CG34" i="5305"/>
  <c r="CG35" i="5305"/>
  <c r="CG36" i="5305"/>
  <c r="CG37" i="5305"/>
  <c r="CG38" i="5305"/>
  <c r="CG39" i="5305"/>
  <c r="CG40" i="5305"/>
  <c r="CG41" i="5305"/>
  <c r="CG42" i="5305"/>
  <c r="CG43" i="5305"/>
  <c r="CG44" i="5305"/>
  <c r="CG45" i="5305"/>
  <c r="CG46" i="5305"/>
  <c r="CG47" i="5305"/>
  <c r="CG48" i="5305"/>
  <c r="CG49" i="5305"/>
  <c r="CG50" i="5305"/>
  <c r="CG51" i="5305"/>
  <c r="CG52" i="5305"/>
  <c r="CG53" i="5305"/>
  <c r="CG54" i="5305"/>
  <c r="CG2" i="5304"/>
  <c r="CG3" i="5304"/>
  <c r="CG4" i="5304"/>
  <c r="CG5" i="5304"/>
  <c r="CG6" i="5304"/>
  <c r="CG7" i="5304"/>
  <c r="CG8" i="5304"/>
  <c r="CG9" i="5304"/>
  <c r="CG10" i="5304"/>
  <c r="CG11" i="5304"/>
  <c r="CG12" i="5304"/>
  <c r="CG13" i="5304"/>
  <c r="CG14" i="5304"/>
  <c r="CG15" i="5304"/>
  <c r="CG16" i="5304"/>
  <c r="CG17" i="5304"/>
  <c r="CG18" i="5304"/>
  <c r="CG19" i="5304"/>
  <c r="CG20" i="5304"/>
  <c r="CG21" i="5304"/>
  <c r="CG22" i="5304"/>
  <c r="CG23" i="5304"/>
  <c r="CG24" i="5304"/>
  <c r="CG25" i="5304"/>
  <c r="CG26" i="5304"/>
  <c r="CG27" i="5304"/>
  <c r="CG28" i="5304"/>
  <c r="CG29" i="5304"/>
  <c r="CG30" i="5304"/>
  <c r="CG31" i="5304"/>
  <c r="CG32" i="5304"/>
  <c r="CG33" i="5304"/>
  <c r="CG34" i="5304"/>
  <c r="CG35" i="5304"/>
  <c r="CG36" i="5304"/>
  <c r="CG37" i="5304"/>
  <c r="CG38" i="5304"/>
  <c r="CG39" i="5304"/>
  <c r="CG40" i="5304"/>
  <c r="CG41" i="5304"/>
  <c r="CG42" i="5304"/>
  <c r="CG43" i="5304"/>
  <c r="CG44" i="5304"/>
  <c r="CG45" i="5304"/>
  <c r="CG46" i="5304"/>
  <c r="CG47" i="5304"/>
  <c r="CG48" i="5304"/>
  <c r="CG49" i="5304"/>
  <c r="CG50" i="5304"/>
  <c r="CG51" i="5304"/>
  <c r="CG52" i="5304"/>
  <c r="CG53" i="5304"/>
  <c r="CG54" i="5304"/>
  <c r="CG2" i="5303"/>
  <c r="CG3" i="5303"/>
  <c r="CG4" i="5303"/>
  <c r="CG5" i="5303"/>
  <c r="CG6" i="5303"/>
  <c r="CG7" i="5303"/>
  <c r="CG8" i="5303"/>
  <c r="CG9" i="5303"/>
  <c r="CG10" i="5303"/>
  <c r="CG11" i="5303"/>
  <c r="CG12" i="5303"/>
  <c r="CG13" i="5303"/>
  <c r="CG14" i="5303"/>
  <c r="CG15" i="5303"/>
  <c r="CG16" i="5303"/>
  <c r="CG17" i="5303"/>
  <c r="CG18" i="5303"/>
  <c r="CG19" i="5303"/>
  <c r="CG20" i="5303"/>
  <c r="CG21" i="5303"/>
  <c r="CG22" i="5303"/>
  <c r="CG23" i="5303"/>
  <c r="CG24" i="5303"/>
  <c r="CG25" i="5303"/>
  <c r="CG26" i="5303"/>
  <c r="CG27" i="5303"/>
  <c r="CG28" i="5303"/>
  <c r="CG29" i="5303"/>
  <c r="CG30" i="5303"/>
  <c r="CG31" i="5303"/>
  <c r="CG32" i="5303"/>
  <c r="CG33" i="5303"/>
  <c r="CG34" i="5303"/>
  <c r="CG35" i="5303"/>
  <c r="CG36" i="5303"/>
  <c r="CG37" i="5303"/>
  <c r="CG38" i="5303"/>
  <c r="CG39" i="5303"/>
  <c r="CG40" i="5303"/>
  <c r="CG41" i="5303"/>
  <c r="CG42" i="5303"/>
  <c r="CG43" i="5303"/>
  <c r="CG44" i="5303"/>
  <c r="CG45" i="5303"/>
  <c r="CG46" i="5303"/>
  <c r="CG47" i="5303"/>
  <c r="CG48" i="5303"/>
  <c r="CG49" i="5303"/>
  <c r="CG50" i="5303"/>
  <c r="CG51" i="5303"/>
  <c r="CG52" i="5303"/>
  <c r="CG53" i="5303"/>
  <c r="CG54" i="5303"/>
  <c r="CG2" i="5302"/>
  <c r="CG3" i="5302"/>
  <c r="CG4" i="5302"/>
  <c r="CG5" i="5302"/>
  <c r="CG6" i="5302"/>
  <c r="CG7" i="5302"/>
  <c r="CG8" i="5302"/>
  <c r="CG9" i="5302"/>
  <c r="CG10" i="5302"/>
  <c r="CG11" i="5302"/>
  <c r="CG12" i="5302"/>
  <c r="CG13" i="5302"/>
  <c r="CG14" i="5302"/>
  <c r="CG15" i="5302"/>
  <c r="CG16" i="5302"/>
  <c r="CG17" i="5302"/>
  <c r="CG18" i="5302"/>
  <c r="CG19" i="5302"/>
  <c r="CG20" i="5302"/>
  <c r="CG21" i="5302"/>
  <c r="CG22" i="5302"/>
  <c r="CG23" i="5302"/>
  <c r="CG24" i="5302"/>
  <c r="CG25" i="5302"/>
  <c r="CG26" i="5302"/>
  <c r="CG27" i="5302"/>
  <c r="CG28" i="5302"/>
  <c r="CG29" i="5302"/>
  <c r="CG30" i="5302"/>
  <c r="CG31" i="5302"/>
  <c r="CG32" i="5302"/>
  <c r="CG33" i="5302"/>
  <c r="CG34" i="5302"/>
  <c r="CG35" i="5302"/>
  <c r="CG36" i="5302"/>
  <c r="CG37" i="5302"/>
  <c r="CG38" i="5302"/>
  <c r="CG39" i="5302"/>
  <c r="CG40" i="5302"/>
  <c r="CG41" i="5302"/>
  <c r="CG42" i="5302"/>
  <c r="CG43" i="5302"/>
  <c r="CG44" i="5302"/>
  <c r="CG45" i="5302"/>
  <c r="CG46" i="5302"/>
  <c r="CG47" i="5302"/>
  <c r="CG48" i="5302"/>
  <c r="CG49" i="5302"/>
  <c r="CG50" i="5302"/>
  <c r="CG51" i="5302"/>
  <c r="CG52" i="5302"/>
  <c r="CG53" i="5302"/>
  <c r="CG54" i="5302"/>
  <c r="CF2" i="5307"/>
  <c r="CF3" i="5307"/>
  <c r="CF4" i="5307"/>
  <c r="CF5" i="5307"/>
  <c r="CF6" i="5307"/>
  <c r="CF7" i="5307"/>
  <c r="CF8" i="5307"/>
  <c r="CF9" i="5307"/>
  <c r="CF10" i="5307"/>
  <c r="CF11" i="5307"/>
  <c r="CF12" i="5307"/>
  <c r="CF13" i="5307"/>
  <c r="CF14" i="5307"/>
  <c r="CF15" i="5307"/>
  <c r="CF16" i="5307"/>
  <c r="CF17" i="5307"/>
  <c r="CF18" i="5307"/>
  <c r="CF19" i="5307"/>
  <c r="CF20" i="5307"/>
  <c r="CF21" i="5307"/>
  <c r="CF22" i="5307"/>
  <c r="CF23" i="5307"/>
  <c r="CF24" i="5307"/>
  <c r="CF25" i="5307"/>
  <c r="CF26" i="5307"/>
  <c r="CF27" i="5307"/>
  <c r="CF28" i="5307"/>
  <c r="CF29" i="5307"/>
  <c r="CF30" i="5307"/>
  <c r="CF31" i="5307"/>
  <c r="CF32" i="5307"/>
  <c r="CF33" i="5307"/>
  <c r="CF34" i="5307"/>
  <c r="CF35" i="5307"/>
  <c r="CF36" i="5307"/>
  <c r="CF37" i="5307"/>
  <c r="CF38" i="5307"/>
  <c r="CF39" i="5307"/>
  <c r="CF40" i="5307"/>
  <c r="CF41" i="5307"/>
  <c r="CF42" i="5307"/>
  <c r="CF43" i="5307"/>
  <c r="CF44" i="5307"/>
  <c r="CF45" i="5307"/>
  <c r="CF46" i="5307"/>
  <c r="CF47" i="5307"/>
  <c r="CF48" i="5307"/>
  <c r="CF49" i="5307"/>
  <c r="CF50" i="5307"/>
  <c r="CF51" i="5307"/>
  <c r="CF52" i="5307"/>
  <c r="CF53" i="5307"/>
  <c r="CF54" i="5307"/>
  <c r="CF2" i="5306"/>
  <c r="CF3" i="5306"/>
  <c r="CF4" i="5306"/>
  <c r="CF5" i="5306"/>
  <c r="CF6" i="5306"/>
  <c r="CF7" i="5306"/>
  <c r="CF8" i="5306"/>
  <c r="CF9" i="5306"/>
  <c r="CF10" i="5306"/>
  <c r="CF11" i="5306"/>
  <c r="CF12" i="5306"/>
  <c r="CF13" i="5306"/>
  <c r="CF14" i="5306"/>
  <c r="CF15" i="5306"/>
  <c r="CF16" i="5306"/>
  <c r="CF17" i="5306"/>
  <c r="CF18" i="5306"/>
  <c r="CF19" i="5306"/>
  <c r="CF20" i="5306"/>
  <c r="CF21" i="5306"/>
  <c r="CF22" i="5306"/>
  <c r="CF23" i="5306"/>
  <c r="CF24" i="5306"/>
  <c r="CF25" i="5306"/>
  <c r="CF26" i="5306"/>
  <c r="CF27" i="5306"/>
  <c r="CF28" i="5306"/>
  <c r="CF29" i="5306"/>
  <c r="CF30" i="5306"/>
  <c r="CF31" i="5306"/>
  <c r="CF32" i="5306"/>
  <c r="CF33" i="5306"/>
  <c r="CF34" i="5306"/>
  <c r="CF35" i="5306"/>
  <c r="CF36" i="5306"/>
  <c r="CF37" i="5306"/>
  <c r="CF38" i="5306"/>
  <c r="CF39" i="5306"/>
  <c r="CF40" i="5306"/>
  <c r="CF41" i="5306"/>
  <c r="CF42" i="5306"/>
  <c r="CF43" i="5306"/>
  <c r="CF44" i="5306"/>
  <c r="CF45" i="5306"/>
  <c r="CF46" i="5306"/>
  <c r="CF47" i="5306"/>
  <c r="CF48" i="5306"/>
  <c r="CF49" i="5306"/>
  <c r="CF50" i="5306"/>
  <c r="CF51" i="5306"/>
  <c r="CF52" i="5306"/>
  <c r="CF53" i="5306"/>
  <c r="CF54" i="5306"/>
  <c r="CF2" i="5305"/>
  <c r="CF3" i="5305"/>
  <c r="CF4" i="5305"/>
  <c r="CF5" i="5305"/>
  <c r="CF6" i="5305"/>
  <c r="CF7" i="5305"/>
  <c r="CF8" i="5305"/>
  <c r="CF9" i="5305"/>
  <c r="CF10" i="5305"/>
  <c r="CF11" i="5305"/>
  <c r="CF12" i="5305"/>
  <c r="CF13" i="5305"/>
  <c r="CF14" i="5305"/>
  <c r="CF15" i="5305"/>
  <c r="CF16" i="5305"/>
  <c r="CF17" i="5305"/>
  <c r="CF18" i="5305"/>
  <c r="CF19" i="5305"/>
  <c r="CF20" i="5305"/>
  <c r="CF21" i="5305"/>
  <c r="CF22" i="5305"/>
  <c r="CF23" i="5305"/>
  <c r="CF24" i="5305"/>
  <c r="CF25" i="5305"/>
  <c r="CF26" i="5305"/>
  <c r="CF27" i="5305"/>
  <c r="CF28" i="5305"/>
  <c r="CF29" i="5305"/>
  <c r="CF30" i="5305"/>
  <c r="CF31" i="5305"/>
  <c r="CF32" i="5305"/>
  <c r="CF33" i="5305"/>
  <c r="CF34" i="5305"/>
  <c r="CF35" i="5305"/>
  <c r="CF36" i="5305"/>
  <c r="CF37" i="5305"/>
  <c r="CF38" i="5305"/>
  <c r="CF39" i="5305"/>
  <c r="CF40" i="5305"/>
  <c r="CF41" i="5305"/>
  <c r="CF42" i="5305"/>
  <c r="CF43" i="5305"/>
  <c r="CF44" i="5305"/>
  <c r="CF45" i="5305"/>
  <c r="CF46" i="5305"/>
  <c r="CF47" i="5305"/>
  <c r="CF48" i="5305"/>
  <c r="CF49" i="5305"/>
  <c r="CF50" i="5305"/>
  <c r="CF51" i="5305"/>
  <c r="CF52" i="5305"/>
  <c r="CF53" i="5305"/>
  <c r="CF54" i="5305"/>
  <c r="CF2" i="5304"/>
  <c r="CF3" i="5304"/>
  <c r="CF4" i="5304"/>
  <c r="CF5" i="5304"/>
  <c r="CF6" i="5304"/>
  <c r="CF7" i="5304"/>
  <c r="CF8" i="5304"/>
  <c r="CF9" i="5304"/>
  <c r="CF10" i="5304"/>
  <c r="CF11" i="5304"/>
  <c r="CF12" i="5304"/>
  <c r="CF13" i="5304"/>
  <c r="CF14" i="5304"/>
  <c r="CF15" i="5304"/>
  <c r="CF16" i="5304"/>
  <c r="CF17" i="5304"/>
  <c r="CF18" i="5304"/>
  <c r="CF19" i="5304"/>
  <c r="CF20" i="5304"/>
  <c r="CF21" i="5304"/>
  <c r="CF22" i="5304"/>
  <c r="CF23" i="5304"/>
  <c r="CF24" i="5304"/>
  <c r="CF25" i="5304"/>
  <c r="CF26" i="5304"/>
  <c r="CF27" i="5304"/>
  <c r="CF28" i="5304"/>
  <c r="CF29" i="5304"/>
  <c r="CF30" i="5304"/>
  <c r="CF31" i="5304"/>
  <c r="CF32" i="5304"/>
  <c r="CF33" i="5304"/>
  <c r="CF34" i="5304"/>
  <c r="CF35" i="5304"/>
  <c r="CF36" i="5304"/>
  <c r="CF37" i="5304"/>
  <c r="CF38" i="5304"/>
  <c r="CF39" i="5304"/>
  <c r="CF40" i="5304"/>
  <c r="CF41" i="5304"/>
  <c r="CF42" i="5304"/>
  <c r="CF43" i="5304"/>
  <c r="CF44" i="5304"/>
  <c r="CF45" i="5304"/>
  <c r="CF46" i="5304"/>
  <c r="CF47" i="5304"/>
  <c r="CF48" i="5304"/>
  <c r="CF49" i="5304"/>
  <c r="CF50" i="5304"/>
  <c r="CF51" i="5304"/>
  <c r="CF52" i="5304"/>
  <c r="CF53" i="5304"/>
  <c r="CF54" i="5304"/>
  <c r="CF2" i="5303"/>
  <c r="CF3" i="5303"/>
  <c r="CF4" i="5303"/>
  <c r="CF5" i="5303"/>
  <c r="CF6" i="5303"/>
  <c r="CF7" i="5303"/>
  <c r="CF8" i="5303"/>
  <c r="CF9" i="5303"/>
  <c r="CF10" i="5303"/>
  <c r="CF11" i="5303"/>
  <c r="CF12" i="5303"/>
  <c r="CF13" i="5303"/>
  <c r="CF14" i="5303"/>
  <c r="CF15" i="5303"/>
  <c r="CF16" i="5303"/>
  <c r="CF17" i="5303"/>
  <c r="CF18" i="5303"/>
  <c r="CF19" i="5303"/>
  <c r="CF20" i="5303"/>
  <c r="CF21" i="5303"/>
  <c r="CF22" i="5303"/>
  <c r="CF23" i="5303"/>
  <c r="CF24" i="5303"/>
  <c r="CF25" i="5303"/>
  <c r="CF26" i="5303"/>
  <c r="CF27" i="5303"/>
  <c r="CF28" i="5303"/>
  <c r="CF29" i="5303"/>
  <c r="CF30" i="5303"/>
  <c r="CF31" i="5303"/>
  <c r="CF32" i="5303"/>
  <c r="CF33" i="5303"/>
  <c r="CF34" i="5303"/>
  <c r="CF35" i="5303"/>
  <c r="CF36" i="5303"/>
  <c r="CF37" i="5303"/>
  <c r="CF38" i="5303"/>
  <c r="CF39" i="5303"/>
  <c r="CF40" i="5303"/>
  <c r="CF41" i="5303"/>
  <c r="CF42" i="5303"/>
  <c r="CF43" i="5303"/>
  <c r="CF44" i="5303"/>
  <c r="CF45" i="5303"/>
  <c r="CF46" i="5303"/>
  <c r="CF47" i="5303"/>
  <c r="CF48" i="5303"/>
  <c r="CF49" i="5303"/>
  <c r="CF50" i="5303"/>
  <c r="CF51" i="5303"/>
  <c r="CF52" i="5303"/>
  <c r="CF53" i="5303"/>
  <c r="CF54" i="5303"/>
  <c r="CF2" i="5302"/>
  <c r="CF3" i="5302"/>
  <c r="CF4" i="5302"/>
  <c r="CF5" i="5302"/>
  <c r="CF6" i="5302"/>
  <c r="CF7" i="5302"/>
  <c r="CF8" i="5302"/>
  <c r="CF9" i="5302"/>
  <c r="CF10" i="5302"/>
  <c r="CF11" i="5302"/>
  <c r="CF12" i="5302"/>
  <c r="CF13" i="5302"/>
  <c r="CF14" i="5302"/>
  <c r="CF15" i="5302"/>
  <c r="CF16" i="5302"/>
  <c r="CF17" i="5302"/>
  <c r="CF18" i="5302"/>
  <c r="CF19" i="5302"/>
  <c r="CF20" i="5302"/>
  <c r="CF21" i="5302"/>
  <c r="CF22" i="5302"/>
  <c r="CF23" i="5302"/>
  <c r="CF24" i="5302"/>
  <c r="CF25" i="5302"/>
  <c r="CF26" i="5302"/>
  <c r="CF27" i="5302"/>
  <c r="CF28" i="5302"/>
  <c r="CF29" i="5302"/>
  <c r="CF30" i="5302"/>
  <c r="CF31" i="5302"/>
  <c r="CF32" i="5302"/>
  <c r="CF33" i="5302"/>
  <c r="CF34" i="5302"/>
  <c r="CF35" i="5302"/>
  <c r="CF36" i="5302"/>
  <c r="CF37" i="5302"/>
  <c r="CF38" i="5302"/>
  <c r="CF39" i="5302"/>
  <c r="CF40" i="5302"/>
  <c r="CF41" i="5302"/>
  <c r="CF42" i="5302"/>
  <c r="CF43" i="5302"/>
  <c r="CF44" i="5302"/>
  <c r="CF45" i="5302"/>
  <c r="CF46" i="5302"/>
  <c r="CF47" i="5302"/>
  <c r="CF48" i="5302"/>
  <c r="CF49" i="5302"/>
  <c r="CF50" i="5302"/>
  <c r="CF51" i="5302"/>
  <c r="CF52" i="5302"/>
  <c r="CF53" i="5302"/>
  <c r="CF54" i="5302"/>
  <c r="CE2" i="5307"/>
  <c r="CE3" i="5307"/>
  <c r="CE4" i="5307"/>
  <c r="CE5" i="5307"/>
  <c r="CE6" i="5307"/>
  <c r="CE7" i="5307"/>
  <c r="CE8" i="5307"/>
  <c r="CE9" i="5307"/>
  <c r="CE10" i="5307"/>
  <c r="CE11" i="5307"/>
  <c r="CE12" i="5307"/>
  <c r="CE13" i="5307"/>
  <c r="CE14" i="5307"/>
  <c r="CE15" i="5307"/>
  <c r="CE16" i="5307"/>
  <c r="CE17" i="5307"/>
  <c r="CE18" i="5307"/>
  <c r="CE19" i="5307"/>
  <c r="CE20" i="5307"/>
  <c r="CE21" i="5307"/>
  <c r="CE22" i="5307"/>
  <c r="CE23" i="5307"/>
  <c r="CE24" i="5307"/>
  <c r="CE25" i="5307"/>
  <c r="CE26" i="5307"/>
  <c r="CE27" i="5307"/>
  <c r="CE28" i="5307"/>
  <c r="CE29" i="5307"/>
  <c r="CE30" i="5307"/>
  <c r="CE31" i="5307"/>
  <c r="CE32" i="5307"/>
  <c r="CE33" i="5307"/>
  <c r="CE34" i="5307"/>
  <c r="CE35" i="5307"/>
  <c r="CE36" i="5307"/>
  <c r="CE37" i="5307"/>
  <c r="CE38" i="5307"/>
  <c r="CE39" i="5307"/>
  <c r="CE40" i="5307"/>
  <c r="CE41" i="5307"/>
  <c r="CE42" i="5307"/>
  <c r="CE43" i="5307"/>
  <c r="CE44" i="5307"/>
  <c r="CE45" i="5307"/>
  <c r="CE46" i="5307"/>
  <c r="CE47" i="5307"/>
  <c r="CE48" i="5307"/>
  <c r="CE49" i="5307"/>
  <c r="CE50" i="5307"/>
  <c r="CE51" i="5307"/>
  <c r="CE52" i="5307"/>
  <c r="CE53" i="5307"/>
  <c r="CE54" i="5307"/>
  <c r="CE2" i="5306"/>
  <c r="CE3" i="5306"/>
  <c r="CE4" i="5306"/>
  <c r="CE5" i="5306"/>
  <c r="CE6" i="5306"/>
  <c r="CE7" i="5306"/>
  <c r="CE8" i="5306"/>
  <c r="CE9" i="5306"/>
  <c r="CE10" i="5306"/>
  <c r="CE11" i="5306"/>
  <c r="CE12" i="5306"/>
  <c r="CE13" i="5306"/>
  <c r="CE14" i="5306"/>
  <c r="CE15" i="5306"/>
  <c r="CE16" i="5306"/>
  <c r="CE17" i="5306"/>
  <c r="CE18" i="5306"/>
  <c r="CE19" i="5306"/>
  <c r="CE20" i="5306"/>
  <c r="CE21" i="5306"/>
  <c r="CE22" i="5306"/>
  <c r="CE23" i="5306"/>
  <c r="CE24" i="5306"/>
  <c r="CE25" i="5306"/>
  <c r="CE26" i="5306"/>
  <c r="CE27" i="5306"/>
  <c r="CE28" i="5306"/>
  <c r="CE29" i="5306"/>
  <c r="CE30" i="5306"/>
  <c r="CE31" i="5306"/>
  <c r="CE32" i="5306"/>
  <c r="CE33" i="5306"/>
  <c r="CE34" i="5306"/>
  <c r="CE35" i="5306"/>
  <c r="CE36" i="5306"/>
  <c r="CE37" i="5306"/>
  <c r="CE38" i="5306"/>
  <c r="CE39" i="5306"/>
  <c r="CE40" i="5306"/>
  <c r="CE41" i="5306"/>
  <c r="CE42" i="5306"/>
  <c r="CE43" i="5306"/>
  <c r="CE44" i="5306"/>
  <c r="CE45" i="5306"/>
  <c r="CE46" i="5306"/>
  <c r="CE47" i="5306"/>
  <c r="CE48" i="5306"/>
  <c r="CE49" i="5306"/>
  <c r="CE50" i="5306"/>
  <c r="CE51" i="5306"/>
  <c r="CE52" i="5306"/>
  <c r="CE53" i="5306"/>
  <c r="CE54" i="5306"/>
  <c r="CE2" i="5305"/>
  <c r="CE3" i="5305"/>
  <c r="CE4" i="5305"/>
  <c r="CE5" i="5305"/>
  <c r="CE6" i="5305"/>
  <c r="CE7" i="5305"/>
  <c r="CE8" i="5305"/>
  <c r="CE9" i="5305"/>
  <c r="CE10" i="5305"/>
  <c r="CE11" i="5305"/>
  <c r="CE12" i="5305"/>
  <c r="CE13" i="5305"/>
  <c r="CE14" i="5305"/>
  <c r="CE15" i="5305"/>
  <c r="CE16" i="5305"/>
  <c r="CE17" i="5305"/>
  <c r="CE18" i="5305"/>
  <c r="CE19" i="5305"/>
  <c r="CE20" i="5305"/>
  <c r="CE21" i="5305"/>
  <c r="CE22" i="5305"/>
  <c r="CE23" i="5305"/>
  <c r="CE24" i="5305"/>
  <c r="CE25" i="5305"/>
  <c r="CE26" i="5305"/>
  <c r="CE27" i="5305"/>
  <c r="CE28" i="5305"/>
  <c r="CE29" i="5305"/>
  <c r="CE30" i="5305"/>
  <c r="CE31" i="5305"/>
  <c r="CE32" i="5305"/>
  <c r="CE33" i="5305"/>
  <c r="CE34" i="5305"/>
  <c r="CE35" i="5305"/>
  <c r="CE36" i="5305"/>
  <c r="CE37" i="5305"/>
  <c r="CE38" i="5305"/>
  <c r="CE39" i="5305"/>
  <c r="CE40" i="5305"/>
  <c r="CE41" i="5305"/>
  <c r="CE42" i="5305"/>
  <c r="CE43" i="5305"/>
  <c r="CE44" i="5305"/>
  <c r="CE45" i="5305"/>
  <c r="CE46" i="5305"/>
  <c r="CE47" i="5305"/>
  <c r="CE48" i="5305"/>
  <c r="CE49" i="5305"/>
  <c r="CE50" i="5305"/>
  <c r="CE51" i="5305"/>
  <c r="CE52" i="5305"/>
  <c r="CE53" i="5305"/>
  <c r="CE54" i="5305"/>
  <c r="CE2" i="5304"/>
  <c r="CE3" i="5304"/>
  <c r="CE4" i="5304"/>
  <c r="CE5" i="5304"/>
  <c r="CE6" i="5304"/>
  <c r="CE7" i="5304"/>
  <c r="CE8" i="5304"/>
  <c r="CE9" i="5304"/>
  <c r="CE10" i="5304"/>
  <c r="CE11" i="5304"/>
  <c r="CE12" i="5304"/>
  <c r="CE13" i="5304"/>
  <c r="CE14" i="5304"/>
  <c r="CE15" i="5304"/>
  <c r="CE16" i="5304"/>
  <c r="CE17" i="5304"/>
  <c r="CE18" i="5304"/>
  <c r="CE19" i="5304"/>
  <c r="CE20" i="5304"/>
  <c r="CE21" i="5304"/>
  <c r="CE22" i="5304"/>
  <c r="CE23" i="5304"/>
  <c r="CE24" i="5304"/>
  <c r="CE25" i="5304"/>
  <c r="CE26" i="5304"/>
  <c r="CE27" i="5304"/>
  <c r="CE28" i="5304"/>
  <c r="CE29" i="5304"/>
  <c r="CE30" i="5304"/>
  <c r="CE31" i="5304"/>
  <c r="CE32" i="5304"/>
  <c r="CE33" i="5304"/>
  <c r="CE34" i="5304"/>
  <c r="CE35" i="5304"/>
  <c r="CE36" i="5304"/>
  <c r="CE37" i="5304"/>
  <c r="CE38" i="5304"/>
  <c r="CE39" i="5304"/>
  <c r="CE40" i="5304"/>
  <c r="CE41" i="5304"/>
  <c r="CE42" i="5304"/>
  <c r="CE43" i="5304"/>
  <c r="CE44" i="5304"/>
  <c r="CE45" i="5304"/>
  <c r="CE46" i="5304"/>
  <c r="CE47" i="5304"/>
  <c r="CE48" i="5304"/>
  <c r="CE49" i="5304"/>
  <c r="CE50" i="5304"/>
  <c r="CE51" i="5304"/>
  <c r="CE52" i="5304"/>
  <c r="CE53" i="5304"/>
  <c r="CE54" i="5304"/>
  <c r="CE2" i="5303"/>
  <c r="CE3" i="5303"/>
  <c r="CE4" i="5303"/>
  <c r="CE5" i="5303"/>
  <c r="CE6" i="5303"/>
  <c r="CE7" i="5303"/>
  <c r="CE8" i="5303"/>
  <c r="CE9" i="5303"/>
  <c r="CE10" i="5303"/>
  <c r="CE11" i="5303"/>
  <c r="CE12" i="5303"/>
  <c r="CE13" i="5303"/>
  <c r="CE14" i="5303"/>
  <c r="CE15" i="5303"/>
  <c r="CE16" i="5303"/>
  <c r="CE17" i="5303"/>
  <c r="CE18" i="5303"/>
  <c r="CE19" i="5303"/>
  <c r="CE20" i="5303"/>
  <c r="CE21" i="5303"/>
  <c r="CE22" i="5303"/>
  <c r="CE23" i="5303"/>
  <c r="CE24" i="5303"/>
  <c r="CE25" i="5303"/>
  <c r="CE26" i="5303"/>
  <c r="CE27" i="5303"/>
  <c r="CE28" i="5303"/>
  <c r="CE29" i="5303"/>
  <c r="CE30" i="5303"/>
  <c r="CE31" i="5303"/>
  <c r="CE32" i="5303"/>
  <c r="CE33" i="5303"/>
  <c r="CE34" i="5303"/>
  <c r="CE35" i="5303"/>
  <c r="CE36" i="5303"/>
  <c r="CE37" i="5303"/>
  <c r="CE38" i="5303"/>
  <c r="CE39" i="5303"/>
  <c r="CE40" i="5303"/>
  <c r="CE41" i="5303"/>
  <c r="CE42" i="5303"/>
  <c r="CE43" i="5303"/>
  <c r="CE44" i="5303"/>
  <c r="CE45" i="5303"/>
  <c r="CE46" i="5303"/>
  <c r="CE47" i="5303"/>
  <c r="CE48" i="5303"/>
  <c r="CE49" i="5303"/>
  <c r="CE50" i="5303"/>
  <c r="CE51" i="5303"/>
  <c r="CE52" i="5303"/>
  <c r="CE53" i="5303"/>
  <c r="CE54" i="5303"/>
  <c r="CE2" i="5302"/>
  <c r="CE3" i="5302"/>
  <c r="CE4" i="5302"/>
  <c r="CE5" i="5302"/>
  <c r="CE6" i="5302"/>
  <c r="CE7" i="5302"/>
  <c r="CE8" i="5302"/>
  <c r="CE9" i="5302"/>
  <c r="CE10" i="5302"/>
  <c r="CE11" i="5302"/>
  <c r="CE12" i="5302"/>
  <c r="CE13" i="5302"/>
  <c r="CE14" i="5302"/>
  <c r="CE15" i="5302"/>
  <c r="CE16" i="5302"/>
  <c r="CE17" i="5302"/>
  <c r="CE18" i="5302"/>
  <c r="CE19" i="5302"/>
  <c r="CE20" i="5302"/>
  <c r="CE21" i="5302"/>
  <c r="CE22" i="5302"/>
  <c r="CE23" i="5302"/>
  <c r="CE24" i="5302"/>
  <c r="CE25" i="5302"/>
  <c r="CE26" i="5302"/>
  <c r="CE27" i="5302"/>
  <c r="CE28" i="5302"/>
  <c r="CE29" i="5302"/>
  <c r="CE30" i="5302"/>
  <c r="CE31" i="5302"/>
  <c r="CE32" i="5302"/>
  <c r="CE33" i="5302"/>
  <c r="CE34" i="5302"/>
  <c r="CE35" i="5302"/>
  <c r="CE36" i="5302"/>
  <c r="CE37" i="5302"/>
  <c r="CE38" i="5302"/>
  <c r="CE39" i="5302"/>
  <c r="CE40" i="5302"/>
  <c r="CE41" i="5302"/>
  <c r="CE42" i="5302"/>
  <c r="CE43" i="5302"/>
  <c r="CE44" i="5302"/>
  <c r="CE45" i="5302"/>
  <c r="CE46" i="5302"/>
  <c r="CE47" i="5302"/>
  <c r="CE48" i="5302"/>
  <c r="CE49" i="5302"/>
  <c r="CE50" i="5302"/>
  <c r="CE51" i="5302"/>
  <c r="CE52" i="5302"/>
  <c r="CE53" i="5302"/>
  <c r="CE54" i="5302"/>
  <c r="CD2" i="5307"/>
  <c r="CD3" i="5307"/>
  <c r="CD4" i="5307"/>
  <c r="CD5" i="5307"/>
  <c r="CD6" i="5307"/>
  <c r="CD7" i="5307"/>
  <c r="CD8" i="5307"/>
  <c r="CD9" i="5307"/>
  <c r="CD10" i="5307"/>
  <c r="CD11" i="5307"/>
  <c r="CD12" i="5307"/>
  <c r="CD13" i="5307"/>
  <c r="CD14" i="5307"/>
  <c r="CD15" i="5307"/>
  <c r="CD16" i="5307"/>
  <c r="CD17" i="5307"/>
  <c r="CD18" i="5307"/>
  <c r="CD19" i="5307"/>
  <c r="CD20" i="5307"/>
  <c r="CD21" i="5307"/>
  <c r="CD22" i="5307"/>
  <c r="CD23" i="5307"/>
  <c r="CD24" i="5307"/>
  <c r="CD25" i="5307"/>
  <c r="CD26" i="5307"/>
  <c r="CD27" i="5307"/>
  <c r="CD28" i="5307"/>
  <c r="CD29" i="5307"/>
  <c r="CD30" i="5307"/>
  <c r="CD31" i="5307"/>
  <c r="CD32" i="5307"/>
  <c r="CD33" i="5307"/>
  <c r="CD34" i="5307"/>
  <c r="CD35" i="5307"/>
  <c r="CD36" i="5307"/>
  <c r="CD37" i="5307"/>
  <c r="CD38" i="5307"/>
  <c r="CD39" i="5307"/>
  <c r="CD40" i="5307"/>
  <c r="CD41" i="5307"/>
  <c r="CD42" i="5307"/>
  <c r="CD43" i="5307"/>
  <c r="CD44" i="5307"/>
  <c r="CD45" i="5307"/>
  <c r="CD46" i="5307"/>
  <c r="CD47" i="5307"/>
  <c r="CD48" i="5307"/>
  <c r="CD49" i="5307"/>
  <c r="CD50" i="5307"/>
  <c r="CD51" i="5307"/>
  <c r="CD52" i="5307"/>
  <c r="CD53" i="5307"/>
  <c r="CD54" i="5307"/>
  <c r="CD2" i="5306"/>
  <c r="CD3" i="5306"/>
  <c r="CD4" i="5306"/>
  <c r="CD5" i="5306"/>
  <c r="CD6" i="5306"/>
  <c r="CD7" i="5306"/>
  <c r="CD8" i="5306"/>
  <c r="CD9" i="5306"/>
  <c r="CD10" i="5306"/>
  <c r="CD11" i="5306"/>
  <c r="CD12" i="5306"/>
  <c r="CD13" i="5306"/>
  <c r="CD14" i="5306"/>
  <c r="CD15" i="5306"/>
  <c r="CD16" i="5306"/>
  <c r="CD17" i="5306"/>
  <c r="CD18" i="5306"/>
  <c r="CD19" i="5306"/>
  <c r="CD20" i="5306"/>
  <c r="CD21" i="5306"/>
  <c r="CD22" i="5306"/>
  <c r="CD23" i="5306"/>
  <c r="CD24" i="5306"/>
  <c r="CD25" i="5306"/>
  <c r="CD26" i="5306"/>
  <c r="CD27" i="5306"/>
  <c r="CD28" i="5306"/>
  <c r="CD29" i="5306"/>
  <c r="CD30" i="5306"/>
  <c r="CD31" i="5306"/>
  <c r="CD32" i="5306"/>
  <c r="CD33" i="5306"/>
  <c r="CD34" i="5306"/>
  <c r="CD35" i="5306"/>
  <c r="CD36" i="5306"/>
  <c r="CD37" i="5306"/>
  <c r="CD38" i="5306"/>
  <c r="CD39" i="5306"/>
  <c r="CD40" i="5306"/>
  <c r="CD41" i="5306"/>
  <c r="CD42" i="5306"/>
  <c r="CD43" i="5306"/>
  <c r="CD44" i="5306"/>
  <c r="CD45" i="5306"/>
  <c r="CD46" i="5306"/>
  <c r="CD47" i="5306"/>
  <c r="CD48" i="5306"/>
  <c r="CD49" i="5306"/>
  <c r="CD50" i="5306"/>
  <c r="CD51" i="5306"/>
  <c r="CD52" i="5306"/>
  <c r="CD53" i="5306"/>
  <c r="CD54" i="5306"/>
  <c r="CD2" i="5305"/>
  <c r="CD3" i="5305"/>
  <c r="CD4" i="5305"/>
  <c r="CD5" i="5305"/>
  <c r="CD6" i="5305"/>
  <c r="CD7" i="5305"/>
  <c r="CD8" i="5305"/>
  <c r="CD9" i="5305"/>
  <c r="CD10" i="5305"/>
  <c r="CD11" i="5305"/>
  <c r="CD12" i="5305"/>
  <c r="CD13" i="5305"/>
  <c r="CD14" i="5305"/>
  <c r="CD15" i="5305"/>
  <c r="CD16" i="5305"/>
  <c r="CD17" i="5305"/>
  <c r="CD18" i="5305"/>
  <c r="CD19" i="5305"/>
  <c r="CD20" i="5305"/>
  <c r="CD21" i="5305"/>
  <c r="CD22" i="5305"/>
  <c r="CD23" i="5305"/>
  <c r="CD24" i="5305"/>
  <c r="CD25" i="5305"/>
  <c r="CD26" i="5305"/>
  <c r="CD27" i="5305"/>
  <c r="CD28" i="5305"/>
  <c r="CD29" i="5305"/>
  <c r="CD30" i="5305"/>
  <c r="CD31" i="5305"/>
  <c r="CD32" i="5305"/>
  <c r="CD33" i="5305"/>
  <c r="CD34" i="5305"/>
  <c r="CD35" i="5305"/>
  <c r="CD36" i="5305"/>
  <c r="CD37" i="5305"/>
  <c r="CD38" i="5305"/>
  <c r="CD39" i="5305"/>
  <c r="CD40" i="5305"/>
  <c r="CD41" i="5305"/>
  <c r="CD42" i="5305"/>
  <c r="CD43" i="5305"/>
  <c r="CD44" i="5305"/>
  <c r="CD45" i="5305"/>
  <c r="CD46" i="5305"/>
  <c r="CD47" i="5305"/>
  <c r="CD48" i="5305"/>
  <c r="CD49" i="5305"/>
  <c r="CD50" i="5305"/>
  <c r="CD51" i="5305"/>
  <c r="CD52" i="5305"/>
  <c r="CD53" i="5305"/>
  <c r="CD54" i="5305"/>
  <c r="CD2" i="5304"/>
  <c r="CD3" i="5304"/>
  <c r="CD4" i="5304"/>
  <c r="CD5" i="5304"/>
  <c r="CD6" i="5304"/>
  <c r="CD7" i="5304"/>
  <c r="CD8" i="5304"/>
  <c r="CD9" i="5304"/>
  <c r="CD10" i="5304"/>
  <c r="CD11" i="5304"/>
  <c r="CD12" i="5304"/>
  <c r="CD13" i="5304"/>
  <c r="CD14" i="5304"/>
  <c r="CD15" i="5304"/>
  <c r="CD16" i="5304"/>
  <c r="CD17" i="5304"/>
  <c r="CD18" i="5304"/>
  <c r="CD19" i="5304"/>
  <c r="CD20" i="5304"/>
  <c r="CD21" i="5304"/>
  <c r="CD22" i="5304"/>
  <c r="CD23" i="5304"/>
  <c r="CD24" i="5304"/>
  <c r="CD25" i="5304"/>
  <c r="CD26" i="5304"/>
  <c r="CD27" i="5304"/>
  <c r="CD28" i="5304"/>
  <c r="CD29" i="5304"/>
  <c r="CD30" i="5304"/>
  <c r="CD31" i="5304"/>
  <c r="CD32" i="5304"/>
  <c r="CD33" i="5304"/>
  <c r="CD34" i="5304"/>
  <c r="CD35" i="5304"/>
  <c r="CD36" i="5304"/>
  <c r="CD37" i="5304"/>
  <c r="CD38" i="5304"/>
  <c r="CD39" i="5304"/>
  <c r="CD40" i="5304"/>
  <c r="CD41" i="5304"/>
  <c r="CD42" i="5304"/>
  <c r="CD43" i="5304"/>
  <c r="CD44" i="5304"/>
  <c r="CD45" i="5304"/>
  <c r="CD46" i="5304"/>
  <c r="CD47" i="5304"/>
  <c r="CD48" i="5304"/>
  <c r="CD49" i="5304"/>
  <c r="CD50" i="5304"/>
  <c r="CD51" i="5304"/>
  <c r="CD52" i="5304"/>
  <c r="CD53" i="5304"/>
  <c r="CD54" i="5304"/>
  <c r="CD2" i="5303"/>
  <c r="CD3" i="5303"/>
  <c r="CD4" i="5303"/>
  <c r="CD5" i="5303"/>
  <c r="CD6" i="5303"/>
  <c r="CD7" i="5303"/>
  <c r="CD8" i="5303"/>
  <c r="CD9" i="5303"/>
  <c r="CD10" i="5303"/>
  <c r="CD11" i="5303"/>
  <c r="CD12" i="5303"/>
  <c r="CD13" i="5303"/>
  <c r="CD14" i="5303"/>
  <c r="CD15" i="5303"/>
  <c r="CD16" i="5303"/>
  <c r="CD17" i="5303"/>
  <c r="CD18" i="5303"/>
  <c r="CD19" i="5303"/>
  <c r="CD20" i="5303"/>
  <c r="CD21" i="5303"/>
  <c r="CD22" i="5303"/>
  <c r="CD23" i="5303"/>
  <c r="CD24" i="5303"/>
  <c r="CD25" i="5303"/>
  <c r="CD26" i="5303"/>
  <c r="CD27" i="5303"/>
  <c r="CD28" i="5303"/>
  <c r="CD29" i="5303"/>
  <c r="CD30" i="5303"/>
  <c r="CD31" i="5303"/>
  <c r="CD32" i="5303"/>
  <c r="CD33" i="5303"/>
  <c r="CD34" i="5303"/>
  <c r="CD35" i="5303"/>
  <c r="CD36" i="5303"/>
  <c r="CD37" i="5303"/>
  <c r="CD38" i="5303"/>
  <c r="CD39" i="5303"/>
  <c r="CD40" i="5303"/>
  <c r="CD41" i="5303"/>
  <c r="CD42" i="5303"/>
  <c r="CD43" i="5303"/>
  <c r="CD44" i="5303"/>
  <c r="CD45" i="5303"/>
  <c r="CD46" i="5303"/>
  <c r="CD47" i="5303"/>
  <c r="CD48" i="5303"/>
  <c r="CD49" i="5303"/>
  <c r="CD50" i="5303"/>
  <c r="CD51" i="5303"/>
  <c r="CD52" i="5303"/>
  <c r="CD53" i="5303"/>
  <c r="CD54" i="5303"/>
  <c r="CD2" i="5302"/>
  <c r="CD3" i="5302"/>
  <c r="CD4" i="5302"/>
  <c r="CD5" i="5302"/>
  <c r="CD6" i="5302"/>
  <c r="CD7" i="5302"/>
  <c r="CD8" i="5302"/>
  <c r="CD9" i="5302"/>
  <c r="CD10" i="5302"/>
  <c r="CD11" i="5302"/>
  <c r="CD12" i="5302"/>
  <c r="CD13" i="5302"/>
  <c r="CD14" i="5302"/>
  <c r="CD15" i="5302"/>
  <c r="CD16" i="5302"/>
  <c r="CD17" i="5302"/>
  <c r="CD18" i="5302"/>
  <c r="CD19" i="5302"/>
  <c r="CD20" i="5302"/>
  <c r="CD21" i="5302"/>
  <c r="CD22" i="5302"/>
  <c r="CD23" i="5302"/>
  <c r="CD24" i="5302"/>
  <c r="CD25" i="5302"/>
  <c r="CD26" i="5302"/>
  <c r="CD27" i="5302"/>
  <c r="CD28" i="5302"/>
  <c r="CD29" i="5302"/>
  <c r="CD30" i="5302"/>
  <c r="CD31" i="5302"/>
  <c r="CD32" i="5302"/>
  <c r="CD33" i="5302"/>
  <c r="CD34" i="5302"/>
  <c r="CD35" i="5302"/>
  <c r="CD36" i="5302"/>
  <c r="CD37" i="5302"/>
  <c r="CD38" i="5302"/>
  <c r="CD39" i="5302"/>
  <c r="CD40" i="5302"/>
  <c r="CD41" i="5302"/>
  <c r="CD42" i="5302"/>
  <c r="CD43" i="5302"/>
  <c r="CD44" i="5302"/>
  <c r="CD45" i="5302"/>
  <c r="CD46" i="5302"/>
  <c r="CD47" i="5302"/>
  <c r="CD48" i="5302"/>
  <c r="CD49" i="5302"/>
  <c r="CD50" i="5302"/>
  <c r="CD51" i="5302"/>
  <c r="CD52" i="5302"/>
  <c r="CD53" i="5302"/>
  <c r="CD54" i="5302"/>
  <c r="CC2" i="5307"/>
  <c r="CC3" i="5307"/>
  <c r="CC4" i="5307"/>
  <c r="CC5" i="5307"/>
  <c r="CC6" i="5307"/>
  <c r="CC7" i="5307"/>
  <c r="CC8" i="5307"/>
  <c r="CC9" i="5307"/>
  <c r="CC10" i="5307"/>
  <c r="CC11" i="5307"/>
  <c r="CC12" i="5307"/>
  <c r="CC13" i="5307"/>
  <c r="CC14" i="5307"/>
  <c r="CC15" i="5307"/>
  <c r="CC16" i="5307"/>
  <c r="CC17" i="5307"/>
  <c r="CC18" i="5307"/>
  <c r="CC19" i="5307"/>
  <c r="CC20" i="5307"/>
  <c r="CC21" i="5307"/>
  <c r="CC22" i="5307"/>
  <c r="CC23" i="5307"/>
  <c r="CC24" i="5307"/>
  <c r="CC25" i="5307"/>
  <c r="CC26" i="5307"/>
  <c r="CC27" i="5307"/>
  <c r="CC28" i="5307"/>
  <c r="CC29" i="5307"/>
  <c r="CC30" i="5307"/>
  <c r="CC31" i="5307"/>
  <c r="CC32" i="5307"/>
  <c r="CC33" i="5307"/>
  <c r="CC34" i="5307"/>
  <c r="CC35" i="5307"/>
  <c r="CC36" i="5307"/>
  <c r="CC37" i="5307"/>
  <c r="CC38" i="5307"/>
  <c r="CC39" i="5307"/>
  <c r="CC40" i="5307"/>
  <c r="CC41" i="5307"/>
  <c r="CC42" i="5307"/>
  <c r="CC43" i="5307"/>
  <c r="CC44" i="5307"/>
  <c r="CC45" i="5307"/>
  <c r="CC46" i="5307"/>
  <c r="CC47" i="5307"/>
  <c r="CC48" i="5307"/>
  <c r="CC49" i="5307"/>
  <c r="CC50" i="5307"/>
  <c r="CC51" i="5307"/>
  <c r="CC52" i="5307"/>
  <c r="CC53" i="5307"/>
  <c r="CC54" i="5307"/>
  <c r="CC2" i="5306"/>
  <c r="CC3" i="5306"/>
  <c r="CC4" i="5306"/>
  <c r="CC5" i="5306"/>
  <c r="CC6" i="5306"/>
  <c r="CC7" i="5306"/>
  <c r="CC8" i="5306"/>
  <c r="CC9" i="5306"/>
  <c r="CC10" i="5306"/>
  <c r="CC11" i="5306"/>
  <c r="CC12" i="5306"/>
  <c r="CC13" i="5306"/>
  <c r="CC14" i="5306"/>
  <c r="CC15" i="5306"/>
  <c r="CC16" i="5306"/>
  <c r="CC17" i="5306"/>
  <c r="CC18" i="5306"/>
  <c r="CC19" i="5306"/>
  <c r="CC20" i="5306"/>
  <c r="CC21" i="5306"/>
  <c r="CC22" i="5306"/>
  <c r="CC23" i="5306"/>
  <c r="CC24" i="5306"/>
  <c r="CC25" i="5306"/>
  <c r="CC26" i="5306"/>
  <c r="CC27" i="5306"/>
  <c r="CC28" i="5306"/>
  <c r="CC29" i="5306"/>
  <c r="CC30" i="5306"/>
  <c r="CC31" i="5306"/>
  <c r="CC32" i="5306"/>
  <c r="CC33" i="5306"/>
  <c r="CC34" i="5306"/>
  <c r="CC35" i="5306"/>
  <c r="CC36" i="5306"/>
  <c r="CC37" i="5306"/>
  <c r="CC38" i="5306"/>
  <c r="CC39" i="5306"/>
  <c r="CC40" i="5306"/>
  <c r="CC41" i="5306"/>
  <c r="CC42" i="5306"/>
  <c r="CC43" i="5306"/>
  <c r="CC44" i="5306"/>
  <c r="CC45" i="5306"/>
  <c r="CC46" i="5306"/>
  <c r="CC47" i="5306"/>
  <c r="CC48" i="5306"/>
  <c r="CC49" i="5306"/>
  <c r="CC50" i="5306"/>
  <c r="CC51" i="5306"/>
  <c r="CC52" i="5306"/>
  <c r="CC53" i="5306"/>
  <c r="CC54" i="5306"/>
  <c r="CC2" i="5305"/>
  <c r="CC3" i="5305"/>
  <c r="CC4" i="5305"/>
  <c r="CC5" i="5305"/>
  <c r="CC6" i="5305"/>
  <c r="CC7" i="5305"/>
  <c r="CC8" i="5305"/>
  <c r="CC9" i="5305"/>
  <c r="CC10" i="5305"/>
  <c r="CC11" i="5305"/>
  <c r="CC12" i="5305"/>
  <c r="CC13" i="5305"/>
  <c r="CC14" i="5305"/>
  <c r="CC15" i="5305"/>
  <c r="CC16" i="5305"/>
  <c r="CC17" i="5305"/>
  <c r="CC18" i="5305"/>
  <c r="CC19" i="5305"/>
  <c r="CC20" i="5305"/>
  <c r="CC21" i="5305"/>
  <c r="CC22" i="5305"/>
  <c r="CC23" i="5305"/>
  <c r="CC24" i="5305"/>
  <c r="CC25" i="5305"/>
  <c r="CC26" i="5305"/>
  <c r="CC27" i="5305"/>
  <c r="CC28" i="5305"/>
  <c r="CC29" i="5305"/>
  <c r="CC30" i="5305"/>
  <c r="CC31" i="5305"/>
  <c r="CC32" i="5305"/>
  <c r="CC33" i="5305"/>
  <c r="CC34" i="5305"/>
  <c r="CC35" i="5305"/>
  <c r="CC36" i="5305"/>
  <c r="CC37" i="5305"/>
  <c r="CC38" i="5305"/>
  <c r="CC39" i="5305"/>
  <c r="CC40" i="5305"/>
  <c r="CC41" i="5305"/>
  <c r="CC42" i="5305"/>
  <c r="CC43" i="5305"/>
  <c r="CC44" i="5305"/>
  <c r="CC45" i="5305"/>
  <c r="CC46" i="5305"/>
  <c r="CC47" i="5305"/>
  <c r="CC48" i="5305"/>
  <c r="CC49" i="5305"/>
  <c r="CC50" i="5305"/>
  <c r="CC51" i="5305"/>
  <c r="CC52" i="5305"/>
  <c r="CC53" i="5305"/>
  <c r="CC54" i="5305"/>
  <c r="CC2" i="5304"/>
  <c r="CC3" i="5304"/>
  <c r="CC4" i="5304"/>
  <c r="CC5" i="5304"/>
  <c r="CC6" i="5304"/>
  <c r="CC7" i="5304"/>
  <c r="CC8" i="5304"/>
  <c r="CC9" i="5304"/>
  <c r="CC10" i="5304"/>
  <c r="CC11" i="5304"/>
  <c r="CC12" i="5304"/>
  <c r="CC13" i="5304"/>
  <c r="CC14" i="5304"/>
  <c r="CC15" i="5304"/>
  <c r="CC16" i="5304"/>
  <c r="CC17" i="5304"/>
  <c r="CC18" i="5304"/>
  <c r="CC19" i="5304"/>
  <c r="CC20" i="5304"/>
  <c r="CC21" i="5304"/>
  <c r="CC22" i="5304"/>
  <c r="CC23" i="5304"/>
  <c r="CC24" i="5304"/>
  <c r="CC25" i="5304"/>
  <c r="CC26" i="5304"/>
  <c r="CC27" i="5304"/>
  <c r="CC28" i="5304"/>
  <c r="CC29" i="5304"/>
  <c r="CC30" i="5304"/>
  <c r="CC31" i="5304"/>
  <c r="CC32" i="5304"/>
  <c r="CC33" i="5304"/>
  <c r="CC34" i="5304"/>
  <c r="CC35" i="5304"/>
  <c r="CC36" i="5304"/>
  <c r="CC37" i="5304"/>
  <c r="CC38" i="5304"/>
  <c r="CC39" i="5304"/>
  <c r="CC40" i="5304"/>
  <c r="CC41" i="5304"/>
  <c r="CC42" i="5304"/>
  <c r="CC43" i="5304"/>
  <c r="CC44" i="5304"/>
  <c r="CC45" i="5304"/>
  <c r="CC46" i="5304"/>
  <c r="CC47" i="5304"/>
  <c r="CC48" i="5304"/>
  <c r="CC49" i="5304"/>
  <c r="CC50" i="5304"/>
  <c r="CC51" i="5304"/>
  <c r="CC52" i="5304"/>
  <c r="CC53" i="5304"/>
  <c r="CC54" i="5304"/>
  <c r="CC2" i="5303"/>
  <c r="CC3" i="5303"/>
  <c r="CC4" i="5303"/>
  <c r="CC5" i="5303"/>
  <c r="CC6" i="5303"/>
  <c r="CC7" i="5303"/>
  <c r="CC8" i="5303"/>
  <c r="CC9" i="5303"/>
  <c r="CC10" i="5303"/>
  <c r="CC11" i="5303"/>
  <c r="CC12" i="5303"/>
  <c r="CC13" i="5303"/>
  <c r="CC14" i="5303"/>
  <c r="CC15" i="5303"/>
  <c r="CC16" i="5303"/>
  <c r="CC17" i="5303"/>
  <c r="CC18" i="5303"/>
  <c r="CC19" i="5303"/>
  <c r="CC20" i="5303"/>
  <c r="CC21" i="5303"/>
  <c r="CC22" i="5303"/>
  <c r="CC23" i="5303"/>
  <c r="CC24" i="5303"/>
  <c r="CC25" i="5303"/>
  <c r="CC26" i="5303"/>
  <c r="CC27" i="5303"/>
  <c r="CC28" i="5303"/>
  <c r="CC29" i="5303"/>
  <c r="CC30" i="5303"/>
  <c r="CC31" i="5303"/>
  <c r="CC32" i="5303"/>
  <c r="CC33" i="5303"/>
  <c r="CC34" i="5303"/>
  <c r="CC35" i="5303"/>
  <c r="CC36" i="5303"/>
  <c r="CC37" i="5303"/>
  <c r="CC38" i="5303"/>
  <c r="CC39" i="5303"/>
  <c r="CC40" i="5303"/>
  <c r="CC41" i="5303"/>
  <c r="CC42" i="5303"/>
  <c r="CC43" i="5303"/>
  <c r="CC44" i="5303"/>
  <c r="CC45" i="5303"/>
  <c r="CC46" i="5303"/>
  <c r="CC47" i="5303"/>
  <c r="CC48" i="5303"/>
  <c r="CC49" i="5303"/>
  <c r="CC50" i="5303"/>
  <c r="CC51" i="5303"/>
  <c r="CC52" i="5303"/>
  <c r="CC53" i="5303"/>
  <c r="CC54" i="5303"/>
  <c r="CC2" i="5302"/>
  <c r="CC3" i="5302"/>
  <c r="CC4" i="5302"/>
  <c r="CC5" i="5302"/>
  <c r="CC6" i="5302"/>
  <c r="CC7" i="5302"/>
  <c r="CC8" i="5302"/>
  <c r="CC9" i="5302"/>
  <c r="CC10" i="5302"/>
  <c r="CC11" i="5302"/>
  <c r="CC12" i="5302"/>
  <c r="CC13" i="5302"/>
  <c r="CC14" i="5302"/>
  <c r="CC15" i="5302"/>
  <c r="CC16" i="5302"/>
  <c r="CC17" i="5302"/>
  <c r="CC18" i="5302"/>
  <c r="CC19" i="5302"/>
  <c r="CC20" i="5302"/>
  <c r="CC21" i="5302"/>
  <c r="CC22" i="5302"/>
  <c r="CC23" i="5302"/>
  <c r="CC24" i="5302"/>
  <c r="CC25" i="5302"/>
  <c r="CC26" i="5302"/>
  <c r="CC27" i="5302"/>
  <c r="CC28" i="5302"/>
  <c r="CC29" i="5302"/>
  <c r="CC30" i="5302"/>
  <c r="CC31" i="5302"/>
  <c r="CC32" i="5302"/>
  <c r="CC33" i="5302"/>
  <c r="CC34" i="5302"/>
  <c r="CC35" i="5302"/>
  <c r="CC36" i="5302"/>
  <c r="CC37" i="5302"/>
  <c r="CC38" i="5302"/>
  <c r="CC39" i="5302"/>
  <c r="CC40" i="5302"/>
  <c r="CC41" i="5302"/>
  <c r="CC42" i="5302"/>
  <c r="CC43" i="5302"/>
  <c r="CC44" i="5302"/>
  <c r="CC45" i="5302"/>
  <c r="CC46" i="5302"/>
  <c r="CC47" i="5302"/>
  <c r="CC48" i="5302"/>
  <c r="CC49" i="5302"/>
  <c r="CC50" i="5302"/>
  <c r="CC51" i="5302"/>
  <c r="CC52" i="5302"/>
  <c r="CC53" i="5302"/>
  <c r="CC54" i="5302"/>
  <c r="CB2" i="5307"/>
  <c r="CB3" i="5307"/>
  <c r="CB4" i="5307"/>
  <c r="CB5" i="5307"/>
  <c r="CB6" i="5307"/>
  <c r="CB7" i="5307"/>
  <c r="CB8" i="5307"/>
  <c r="CB9" i="5307"/>
  <c r="CB10" i="5307"/>
  <c r="CB11" i="5307"/>
  <c r="CB12" i="5307"/>
  <c r="CB13" i="5307"/>
  <c r="CB14" i="5307"/>
  <c r="CB15" i="5307"/>
  <c r="CB16" i="5307"/>
  <c r="CB17" i="5307"/>
  <c r="CB18" i="5307"/>
  <c r="CB19" i="5307"/>
  <c r="CB20" i="5307"/>
  <c r="CB21" i="5307"/>
  <c r="CB22" i="5307"/>
  <c r="CB23" i="5307"/>
  <c r="CB24" i="5307"/>
  <c r="CB25" i="5307"/>
  <c r="CB26" i="5307"/>
  <c r="CB27" i="5307"/>
  <c r="CB28" i="5307"/>
  <c r="CB29" i="5307"/>
  <c r="CB30" i="5307"/>
  <c r="CB31" i="5307"/>
  <c r="CB32" i="5307"/>
  <c r="CB33" i="5307"/>
  <c r="CB34" i="5307"/>
  <c r="CB35" i="5307"/>
  <c r="CB36" i="5307"/>
  <c r="CB37" i="5307"/>
  <c r="CB38" i="5307"/>
  <c r="CB39" i="5307"/>
  <c r="CB40" i="5307"/>
  <c r="CB41" i="5307"/>
  <c r="CB42" i="5307"/>
  <c r="CB43" i="5307"/>
  <c r="CB44" i="5307"/>
  <c r="CB45" i="5307"/>
  <c r="CB46" i="5307"/>
  <c r="CB47" i="5307"/>
  <c r="CB48" i="5307"/>
  <c r="CB49" i="5307"/>
  <c r="CB50" i="5307"/>
  <c r="CB51" i="5307"/>
  <c r="CB52" i="5307"/>
  <c r="CB53" i="5307"/>
  <c r="CB54" i="5307"/>
  <c r="CB2" i="5306"/>
  <c r="CB3" i="5306"/>
  <c r="CB4" i="5306"/>
  <c r="CB5" i="5306"/>
  <c r="CB6" i="5306"/>
  <c r="CB7" i="5306"/>
  <c r="CB8" i="5306"/>
  <c r="CB9" i="5306"/>
  <c r="CB10" i="5306"/>
  <c r="CB11" i="5306"/>
  <c r="CB12" i="5306"/>
  <c r="CB13" i="5306"/>
  <c r="CB14" i="5306"/>
  <c r="CB15" i="5306"/>
  <c r="CB16" i="5306"/>
  <c r="CB17" i="5306"/>
  <c r="CB18" i="5306"/>
  <c r="CB19" i="5306"/>
  <c r="CB20" i="5306"/>
  <c r="CB21" i="5306"/>
  <c r="CB22" i="5306"/>
  <c r="CB23" i="5306"/>
  <c r="CB24" i="5306"/>
  <c r="CB25" i="5306"/>
  <c r="CB26" i="5306"/>
  <c r="CB27" i="5306"/>
  <c r="CB28" i="5306"/>
  <c r="CB29" i="5306"/>
  <c r="CB30" i="5306"/>
  <c r="CB31" i="5306"/>
  <c r="CB32" i="5306"/>
  <c r="CB33" i="5306"/>
  <c r="CB34" i="5306"/>
  <c r="CB35" i="5306"/>
  <c r="CB36" i="5306"/>
  <c r="CB37" i="5306"/>
  <c r="CB38" i="5306"/>
  <c r="CB39" i="5306"/>
  <c r="CB40" i="5306"/>
  <c r="CB41" i="5306"/>
  <c r="CB42" i="5306"/>
  <c r="CB43" i="5306"/>
  <c r="CB44" i="5306"/>
  <c r="CB45" i="5306"/>
  <c r="CB46" i="5306"/>
  <c r="CB47" i="5306"/>
  <c r="CB48" i="5306"/>
  <c r="CB49" i="5306"/>
  <c r="CB50" i="5306"/>
  <c r="CB51" i="5306"/>
  <c r="CB52" i="5306"/>
  <c r="CB53" i="5306"/>
  <c r="CB54" i="5306"/>
  <c r="CB2" i="5305"/>
  <c r="CB3" i="5305"/>
  <c r="CB4" i="5305"/>
  <c r="CB5" i="5305"/>
  <c r="CB6" i="5305"/>
  <c r="CB7" i="5305"/>
  <c r="CB8" i="5305"/>
  <c r="CB9" i="5305"/>
  <c r="CB10" i="5305"/>
  <c r="CB11" i="5305"/>
  <c r="CB12" i="5305"/>
  <c r="CB13" i="5305"/>
  <c r="CB14" i="5305"/>
  <c r="CB15" i="5305"/>
  <c r="CB16" i="5305"/>
  <c r="CB17" i="5305"/>
  <c r="CB18" i="5305"/>
  <c r="CB19" i="5305"/>
  <c r="CB20" i="5305"/>
  <c r="CB21" i="5305"/>
  <c r="CB22" i="5305"/>
  <c r="CB23" i="5305"/>
  <c r="CB24" i="5305"/>
  <c r="CB25" i="5305"/>
  <c r="CB26" i="5305"/>
  <c r="CB27" i="5305"/>
  <c r="CB28" i="5305"/>
  <c r="CB29" i="5305"/>
  <c r="CB30" i="5305"/>
  <c r="CB31" i="5305"/>
  <c r="CB32" i="5305"/>
  <c r="CB33" i="5305"/>
  <c r="CB34" i="5305"/>
  <c r="CB35" i="5305"/>
  <c r="CB36" i="5305"/>
  <c r="CB37" i="5305"/>
  <c r="CB38" i="5305"/>
  <c r="CB39" i="5305"/>
  <c r="CB40" i="5305"/>
  <c r="CB41" i="5305"/>
  <c r="CB42" i="5305"/>
  <c r="CB43" i="5305"/>
  <c r="CB44" i="5305"/>
  <c r="CB45" i="5305"/>
  <c r="CB46" i="5305"/>
  <c r="CB47" i="5305"/>
  <c r="CB48" i="5305"/>
  <c r="CB49" i="5305"/>
  <c r="CB50" i="5305"/>
  <c r="CB51" i="5305"/>
  <c r="CB52" i="5305"/>
  <c r="CB53" i="5305"/>
  <c r="CB54" i="5305"/>
  <c r="CB2" i="5304"/>
  <c r="CB3" i="5304"/>
  <c r="CB4" i="5304"/>
  <c r="CB5" i="5304"/>
  <c r="CB6" i="5304"/>
  <c r="CB7" i="5304"/>
  <c r="CB8" i="5304"/>
  <c r="CB9" i="5304"/>
  <c r="CB10" i="5304"/>
  <c r="CB11" i="5304"/>
  <c r="CB12" i="5304"/>
  <c r="CB13" i="5304"/>
  <c r="CB14" i="5304"/>
  <c r="CB15" i="5304"/>
  <c r="CB16" i="5304"/>
  <c r="CB17" i="5304"/>
  <c r="CB18" i="5304"/>
  <c r="CB19" i="5304"/>
  <c r="CB20" i="5304"/>
  <c r="CB21" i="5304"/>
  <c r="CB22" i="5304"/>
  <c r="CB23" i="5304"/>
  <c r="CB24" i="5304"/>
  <c r="CB25" i="5304"/>
  <c r="CB26" i="5304"/>
  <c r="CB27" i="5304"/>
  <c r="CB28" i="5304"/>
  <c r="CB29" i="5304"/>
  <c r="CB30" i="5304"/>
  <c r="CB31" i="5304"/>
  <c r="CB32" i="5304"/>
  <c r="CB33" i="5304"/>
  <c r="CB34" i="5304"/>
  <c r="CB35" i="5304"/>
  <c r="CB36" i="5304"/>
  <c r="CB37" i="5304"/>
  <c r="CB38" i="5304"/>
  <c r="CB39" i="5304"/>
  <c r="CB40" i="5304"/>
  <c r="CB41" i="5304"/>
  <c r="CB42" i="5304"/>
  <c r="CB43" i="5304"/>
  <c r="CB44" i="5304"/>
  <c r="CB45" i="5304"/>
  <c r="CB46" i="5304"/>
  <c r="CB47" i="5304"/>
  <c r="CB48" i="5304"/>
  <c r="CB49" i="5304"/>
  <c r="CB50" i="5304"/>
  <c r="CB51" i="5304"/>
  <c r="CB52" i="5304"/>
  <c r="CB53" i="5304"/>
  <c r="CB54" i="5304"/>
  <c r="CB2" i="5303"/>
  <c r="CB3" i="5303"/>
  <c r="CB4" i="5303"/>
  <c r="CB5" i="5303"/>
  <c r="CB6" i="5303"/>
  <c r="CB7" i="5303"/>
  <c r="CB8" i="5303"/>
  <c r="CB9" i="5303"/>
  <c r="CB10" i="5303"/>
  <c r="CB11" i="5303"/>
  <c r="CB12" i="5303"/>
  <c r="CB13" i="5303"/>
  <c r="CB14" i="5303"/>
  <c r="CB15" i="5303"/>
  <c r="CB16" i="5303"/>
  <c r="CB17" i="5303"/>
  <c r="CB18" i="5303"/>
  <c r="CB19" i="5303"/>
  <c r="CB20" i="5303"/>
  <c r="CB21" i="5303"/>
  <c r="CB22" i="5303"/>
  <c r="CB23" i="5303"/>
  <c r="CB24" i="5303"/>
  <c r="CB25" i="5303"/>
  <c r="CB26" i="5303"/>
  <c r="CB27" i="5303"/>
  <c r="CB28" i="5303"/>
  <c r="CB29" i="5303"/>
  <c r="CB30" i="5303"/>
  <c r="CB31" i="5303"/>
  <c r="CB32" i="5303"/>
  <c r="CB33" i="5303"/>
  <c r="CB34" i="5303"/>
  <c r="CB35" i="5303"/>
  <c r="CB36" i="5303"/>
  <c r="CB37" i="5303"/>
  <c r="CB38" i="5303"/>
  <c r="CB39" i="5303"/>
  <c r="CB40" i="5303"/>
  <c r="CB41" i="5303"/>
  <c r="CB42" i="5303"/>
  <c r="CB43" i="5303"/>
  <c r="CB44" i="5303"/>
  <c r="CB45" i="5303"/>
  <c r="CB46" i="5303"/>
  <c r="CB47" i="5303"/>
  <c r="CB48" i="5303"/>
  <c r="CB49" i="5303"/>
  <c r="CB50" i="5303"/>
  <c r="CB51" i="5303"/>
  <c r="CB52" i="5303"/>
  <c r="CB53" i="5303"/>
  <c r="CB54" i="5303"/>
  <c r="CB2" i="5302"/>
  <c r="CB3" i="5302"/>
  <c r="CB4" i="5302"/>
  <c r="CB5" i="5302"/>
  <c r="CB6" i="5302"/>
  <c r="CB7" i="5302"/>
  <c r="CB8" i="5302"/>
  <c r="CB9" i="5302"/>
  <c r="CB10" i="5302"/>
  <c r="CB11" i="5302"/>
  <c r="CB12" i="5302"/>
  <c r="CB13" i="5302"/>
  <c r="CB14" i="5302"/>
  <c r="CB15" i="5302"/>
  <c r="CB16" i="5302"/>
  <c r="CB17" i="5302"/>
  <c r="CB18" i="5302"/>
  <c r="CB19" i="5302"/>
  <c r="CB20" i="5302"/>
  <c r="CB21" i="5302"/>
  <c r="CB22" i="5302"/>
  <c r="CB23" i="5302"/>
  <c r="CB24" i="5302"/>
  <c r="CB25" i="5302"/>
  <c r="CB26" i="5302"/>
  <c r="CB27" i="5302"/>
  <c r="CB28" i="5302"/>
  <c r="CB29" i="5302"/>
  <c r="CB30" i="5302"/>
  <c r="CB31" i="5302"/>
  <c r="CB32" i="5302"/>
  <c r="CB33" i="5302"/>
  <c r="CB34" i="5302"/>
  <c r="CB35" i="5302"/>
  <c r="CB36" i="5302"/>
  <c r="CB37" i="5302"/>
  <c r="CB38" i="5302"/>
  <c r="CB39" i="5302"/>
  <c r="CB40" i="5302"/>
  <c r="CB41" i="5302"/>
  <c r="CB42" i="5302"/>
  <c r="CB43" i="5302"/>
  <c r="CB44" i="5302"/>
  <c r="CB45" i="5302"/>
  <c r="CB46" i="5302"/>
  <c r="CB47" i="5302"/>
  <c r="CB48" i="5302"/>
  <c r="CB49" i="5302"/>
  <c r="CB50" i="5302"/>
  <c r="CB51" i="5302"/>
  <c r="CB52" i="5302"/>
  <c r="CB53" i="5302"/>
  <c r="CB54" i="5302"/>
  <c r="CA2" i="5307"/>
  <c r="CA3" i="5307"/>
  <c r="CA4" i="5307"/>
  <c r="CA5" i="5307"/>
  <c r="CA6" i="5307"/>
  <c r="CA7" i="5307"/>
  <c r="CA8" i="5307"/>
  <c r="CA9" i="5307"/>
  <c r="CA10" i="5307"/>
  <c r="CA11" i="5307"/>
  <c r="CA12" i="5307"/>
  <c r="CA13" i="5307"/>
  <c r="CA14" i="5307"/>
  <c r="CA15" i="5307"/>
  <c r="CA16" i="5307"/>
  <c r="CA17" i="5307"/>
  <c r="CA18" i="5307"/>
  <c r="CA19" i="5307"/>
  <c r="CA20" i="5307"/>
  <c r="CA21" i="5307"/>
  <c r="CA22" i="5307"/>
  <c r="CA23" i="5307"/>
  <c r="CA24" i="5307"/>
  <c r="CA25" i="5307"/>
  <c r="CA26" i="5307"/>
  <c r="CA27" i="5307"/>
  <c r="CA28" i="5307"/>
  <c r="CA29" i="5307"/>
  <c r="CA30" i="5307"/>
  <c r="CA31" i="5307"/>
  <c r="CA32" i="5307"/>
  <c r="CA33" i="5307"/>
  <c r="CA34" i="5307"/>
  <c r="CA35" i="5307"/>
  <c r="CA36" i="5307"/>
  <c r="CA37" i="5307"/>
  <c r="CA38" i="5307"/>
  <c r="CA39" i="5307"/>
  <c r="CA40" i="5307"/>
  <c r="CA41" i="5307"/>
  <c r="CA42" i="5307"/>
  <c r="CA43" i="5307"/>
  <c r="CA44" i="5307"/>
  <c r="CA45" i="5307"/>
  <c r="CA46" i="5307"/>
  <c r="CA47" i="5307"/>
  <c r="CA48" i="5307"/>
  <c r="CA49" i="5307"/>
  <c r="CA50" i="5307"/>
  <c r="CA51" i="5307"/>
  <c r="CA52" i="5307"/>
  <c r="CA53" i="5307"/>
  <c r="CA54" i="5307"/>
  <c r="CA2" i="5306"/>
  <c r="CA3" i="5306"/>
  <c r="CA4" i="5306"/>
  <c r="CA5" i="5306"/>
  <c r="CA6" i="5306"/>
  <c r="CA7" i="5306"/>
  <c r="CA8" i="5306"/>
  <c r="CA9" i="5306"/>
  <c r="CA10" i="5306"/>
  <c r="CA11" i="5306"/>
  <c r="CA12" i="5306"/>
  <c r="CA13" i="5306"/>
  <c r="CA14" i="5306"/>
  <c r="CA15" i="5306"/>
  <c r="CA16" i="5306"/>
  <c r="CA17" i="5306"/>
  <c r="CA18" i="5306"/>
  <c r="CA19" i="5306"/>
  <c r="CA20" i="5306"/>
  <c r="CA21" i="5306"/>
  <c r="CA22" i="5306"/>
  <c r="CA23" i="5306"/>
  <c r="CA24" i="5306"/>
  <c r="CA25" i="5306"/>
  <c r="CA26" i="5306"/>
  <c r="CA27" i="5306"/>
  <c r="CA28" i="5306"/>
  <c r="CA29" i="5306"/>
  <c r="CA30" i="5306"/>
  <c r="CA31" i="5306"/>
  <c r="CA32" i="5306"/>
  <c r="CA33" i="5306"/>
  <c r="CA34" i="5306"/>
  <c r="CA35" i="5306"/>
  <c r="CA36" i="5306"/>
  <c r="CA37" i="5306"/>
  <c r="CA38" i="5306"/>
  <c r="CA39" i="5306"/>
  <c r="CA40" i="5306"/>
  <c r="CA41" i="5306"/>
  <c r="CA42" i="5306"/>
  <c r="CA43" i="5306"/>
  <c r="CA44" i="5306"/>
  <c r="CA45" i="5306"/>
  <c r="CA46" i="5306"/>
  <c r="CA47" i="5306"/>
  <c r="CA48" i="5306"/>
  <c r="CA49" i="5306"/>
  <c r="CA50" i="5306"/>
  <c r="CA51" i="5306"/>
  <c r="CA52" i="5306"/>
  <c r="CA53" i="5306"/>
  <c r="CA54" i="5306"/>
  <c r="CA2" i="5305"/>
  <c r="CA3" i="5305"/>
  <c r="CA4" i="5305"/>
  <c r="CA5" i="5305"/>
  <c r="CA6" i="5305"/>
  <c r="CA7" i="5305"/>
  <c r="CA8" i="5305"/>
  <c r="CA9" i="5305"/>
  <c r="CA10" i="5305"/>
  <c r="CA11" i="5305"/>
  <c r="CA12" i="5305"/>
  <c r="CA13" i="5305"/>
  <c r="CA14" i="5305"/>
  <c r="CA15" i="5305"/>
  <c r="CA16" i="5305"/>
  <c r="CA17" i="5305"/>
  <c r="CA18" i="5305"/>
  <c r="CA19" i="5305"/>
  <c r="CA20" i="5305"/>
  <c r="CA21" i="5305"/>
  <c r="CA22" i="5305"/>
  <c r="CA23" i="5305"/>
  <c r="CA24" i="5305"/>
  <c r="CA25" i="5305"/>
  <c r="CA26" i="5305"/>
  <c r="CA27" i="5305"/>
  <c r="CA28" i="5305"/>
  <c r="CA29" i="5305"/>
  <c r="CA30" i="5305"/>
  <c r="CA31" i="5305"/>
  <c r="CA32" i="5305"/>
  <c r="CA33" i="5305"/>
  <c r="CA34" i="5305"/>
  <c r="CA35" i="5305"/>
  <c r="CA36" i="5305"/>
  <c r="CA37" i="5305"/>
  <c r="CA38" i="5305"/>
  <c r="CA39" i="5305"/>
  <c r="CA40" i="5305"/>
  <c r="CA41" i="5305"/>
  <c r="CA42" i="5305"/>
  <c r="CA43" i="5305"/>
  <c r="CA44" i="5305"/>
  <c r="CA45" i="5305"/>
  <c r="CA46" i="5305"/>
  <c r="CA47" i="5305"/>
  <c r="CA48" i="5305"/>
  <c r="CA49" i="5305"/>
  <c r="CA50" i="5305"/>
  <c r="CA51" i="5305"/>
  <c r="CA52" i="5305"/>
  <c r="CA53" i="5305"/>
  <c r="CA54" i="5305"/>
  <c r="CA2" i="5304"/>
  <c r="CA3" i="5304"/>
  <c r="CA4" i="5304"/>
  <c r="CA5" i="5304"/>
  <c r="CA6" i="5304"/>
  <c r="CA7" i="5304"/>
  <c r="CA8" i="5304"/>
  <c r="CA9" i="5304"/>
  <c r="CA10" i="5304"/>
  <c r="CA11" i="5304"/>
  <c r="CA12" i="5304"/>
  <c r="CA13" i="5304"/>
  <c r="CA14" i="5304"/>
  <c r="CA15" i="5304"/>
  <c r="CA16" i="5304"/>
  <c r="CA17" i="5304"/>
  <c r="CA18" i="5304"/>
  <c r="CA19" i="5304"/>
  <c r="CA20" i="5304"/>
  <c r="CA21" i="5304"/>
  <c r="CA22" i="5304"/>
  <c r="CA23" i="5304"/>
  <c r="CA24" i="5304"/>
  <c r="CA25" i="5304"/>
  <c r="CA26" i="5304"/>
  <c r="CA27" i="5304"/>
  <c r="CA28" i="5304"/>
  <c r="CA29" i="5304"/>
  <c r="CA30" i="5304"/>
  <c r="CA31" i="5304"/>
  <c r="CA32" i="5304"/>
  <c r="CA33" i="5304"/>
  <c r="CA34" i="5304"/>
  <c r="CA35" i="5304"/>
  <c r="CA36" i="5304"/>
  <c r="CA37" i="5304"/>
  <c r="CA38" i="5304"/>
  <c r="CA39" i="5304"/>
  <c r="CA40" i="5304"/>
  <c r="CA41" i="5304"/>
  <c r="CA42" i="5304"/>
  <c r="CA43" i="5304"/>
  <c r="CA44" i="5304"/>
  <c r="CA45" i="5304"/>
  <c r="CA46" i="5304"/>
  <c r="CA47" i="5304"/>
  <c r="CA48" i="5304"/>
  <c r="CA49" i="5304"/>
  <c r="CA50" i="5304"/>
  <c r="CA51" i="5304"/>
  <c r="CA52" i="5304"/>
  <c r="CA53" i="5304"/>
  <c r="CA54" i="5304"/>
  <c r="CA2" i="5303"/>
  <c r="CA3" i="5303"/>
  <c r="CA4" i="5303"/>
  <c r="CA5" i="5303"/>
  <c r="CA6" i="5303"/>
  <c r="CA7" i="5303"/>
  <c r="CA8" i="5303"/>
  <c r="CA9" i="5303"/>
  <c r="CA10" i="5303"/>
  <c r="CA11" i="5303"/>
  <c r="CA12" i="5303"/>
  <c r="CA13" i="5303"/>
  <c r="CA14" i="5303"/>
  <c r="CA15" i="5303"/>
  <c r="CA16" i="5303"/>
  <c r="CA17" i="5303"/>
  <c r="CA18" i="5303"/>
  <c r="CA19" i="5303"/>
  <c r="CA20" i="5303"/>
  <c r="CA21" i="5303"/>
  <c r="CA22" i="5303"/>
  <c r="CA23" i="5303"/>
  <c r="CA24" i="5303"/>
  <c r="CA25" i="5303"/>
  <c r="CA26" i="5303"/>
  <c r="CA27" i="5303"/>
  <c r="CA28" i="5303"/>
  <c r="CA29" i="5303"/>
  <c r="CA30" i="5303"/>
  <c r="CA31" i="5303"/>
  <c r="CA32" i="5303"/>
  <c r="CA33" i="5303"/>
  <c r="CA34" i="5303"/>
  <c r="CA35" i="5303"/>
  <c r="CA36" i="5303"/>
  <c r="CA37" i="5303"/>
  <c r="CA38" i="5303"/>
  <c r="CA39" i="5303"/>
  <c r="CA40" i="5303"/>
  <c r="CA41" i="5303"/>
  <c r="CA42" i="5303"/>
  <c r="CA43" i="5303"/>
  <c r="CA44" i="5303"/>
  <c r="CA45" i="5303"/>
  <c r="CA46" i="5303"/>
  <c r="CA47" i="5303"/>
  <c r="CA48" i="5303"/>
  <c r="CA49" i="5303"/>
  <c r="CA50" i="5303"/>
  <c r="CA51" i="5303"/>
  <c r="CA52" i="5303"/>
  <c r="CA53" i="5303"/>
  <c r="CA54" i="5303"/>
  <c r="CA2" i="5302"/>
  <c r="CA3" i="5302"/>
  <c r="CA4" i="5302"/>
  <c r="CA5" i="5302"/>
  <c r="CA6" i="5302"/>
  <c r="CA7" i="5302"/>
  <c r="CA8" i="5302"/>
  <c r="CA9" i="5302"/>
  <c r="CA10" i="5302"/>
  <c r="CA11" i="5302"/>
  <c r="CA12" i="5302"/>
  <c r="CA13" i="5302"/>
  <c r="CA14" i="5302"/>
  <c r="CA15" i="5302"/>
  <c r="CA16" i="5302"/>
  <c r="CA17" i="5302"/>
  <c r="CA18" i="5302"/>
  <c r="CA19" i="5302"/>
  <c r="CA20" i="5302"/>
  <c r="CA21" i="5302"/>
  <c r="CA22" i="5302"/>
  <c r="CA23" i="5302"/>
  <c r="CA24" i="5302"/>
  <c r="CA25" i="5302"/>
  <c r="CA26" i="5302"/>
  <c r="CA27" i="5302"/>
  <c r="CA28" i="5302"/>
  <c r="CA29" i="5302"/>
  <c r="CA30" i="5302"/>
  <c r="CA31" i="5302"/>
  <c r="CA32" i="5302"/>
  <c r="CA33" i="5302"/>
  <c r="CA34" i="5302"/>
  <c r="CA35" i="5302"/>
  <c r="CA36" i="5302"/>
  <c r="CA37" i="5302"/>
  <c r="CA38" i="5302"/>
  <c r="CA39" i="5302"/>
  <c r="CA40" i="5302"/>
  <c r="CA41" i="5302"/>
  <c r="CA42" i="5302"/>
  <c r="CA43" i="5302"/>
  <c r="CA44" i="5302"/>
  <c r="CA45" i="5302"/>
  <c r="CA46" i="5302"/>
  <c r="CA47" i="5302"/>
  <c r="CA48" i="5302"/>
  <c r="CA49" i="5302"/>
  <c r="CA50" i="5302"/>
  <c r="CA51" i="5302"/>
  <c r="CA52" i="5302"/>
  <c r="CA53" i="5302"/>
  <c r="CA54" i="5302"/>
  <c r="BZ2" i="5307"/>
  <c r="BZ3" i="5307"/>
  <c r="BZ4" i="5307"/>
  <c r="BZ5" i="5307"/>
  <c r="BZ6" i="5307"/>
  <c r="BZ7" i="5307"/>
  <c r="BZ8" i="5307"/>
  <c r="BZ9" i="5307"/>
  <c r="BZ10" i="5307"/>
  <c r="BZ11" i="5307"/>
  <c r="BZ12" i="5307"/>
  <c r="BZ13" i="5307"/>
  <c r="BZ14" i="5307"/>
  <c r="BZ15" i="5307"/>
  <c r="BZ16" i="5307"/>
  <c r="BZ17" i="5307"/>
  <c r="BZ18" i="5307"/>
  <c r="BZ19" i="5307"/>
  <c r="BZ20" i="5307"/>
  <c r="BZ21" i="5307"/>
  <c r="BZ22" i="5307"/>
  <c r="BZ23" i="5307"/>
  <c r="BZ24" i="5307"/>
  <c r="BZ25" i="5307"/>
  <c r="BZ26" i="5307"/>
  <c r="BZ27" i="5307"/>
  <c r="BZ28" i="5307"/>
  <c r="BZ29" i="5307"/>
  <c r="BZ30" i="5307"/>
  <c r="BZ31" i="5307"/>
  <c r="BZ32" i="5307"/>
  <c r="BZ33" i="5307"/>
  <c r="BZ34" i="5307"/>
  <c r="BZ35" i="5307"/>
  <c r="BZ36" i="5307"/>
  <c r="BZ37" i="5307"/>
  <c r="BZ38" i="5307"/>
  <c r="BZ39" i="5307"/>
  <c r="BZ40" i="5307"/>
  <c r="BZ41" i="5307"/>
  <c r="BZ42" i="5307"/>
  <c r="BZ43" i="5307"/>
  <c r="BZ44" i="5307"/>
  <c r="BZ45" i="5307"/>
  <c r="BZ46" i="5307"/>
  <c r="BZ47" i="5307"/>
  <c r="BZ48" i="5307"/>
  <c r="BZ49" i="5307"/>
  <c r="BZ50" i="5307"/>
  <c r="BZ51" i="5307"/>
  <c r="BZ52" i="5307"/>
  <c r="BZ53" i="5307"/>
  <c r="BZ54" i="5307"/>
  <c r="BZ2" i="5306"/>
  <c r="BZ3" i="5306"/>
  <c r="BZ4" i="5306"/>
  <c r="BZ5" i="5306"/>
  <c r="BZ6" i="5306"/>
  <c r="BZ7" i="5306"/>
  <c r="BZ8" i="5306"/>
  <c r="BZ9" i="5306"/>
  <c r="BZ10" i="5306"/>
  <c r="BZ11" i="5306"/>
  <c r="BZ12" i="5306"/>
  <c r="BZ13" i="5306"/>
  <c r="BZ14" i="5306"/>
  <c r="BZ15" i="5306"/>
  <c r="BZ16" i="5306"/>
  <c r="BZ17" i="5306"/>
  <c r="BZ18" i="5306"/>
  <c r="BZ19" i="5306"/>
  <c r="BZ20" i="5306"/>
  <c r="BZ21" i="5306"/>
  <c r="BZ22" i="5306"/>
  <c r="BZ23" i="5306"/>
  <c r="BZ24" i="5306"/>
  <c r="BZ25" i="5306"/>
  <c r="BZ26" i="5306"/>
  <c r="BZ27" i="5306"/>
  <c r="BZ28" i="5306"/>
  <c r="BZ29" i="5306"/>
  <c r="BZ30" i="5306"/>
  <c r="BZ31" i="5306"/>
  <c r="BZ32" i="5306"/>
  <c r="BZ33" i="5306"/>
  <c r="BZ34" i="5306"/>
  <c r="BZ35" i="5306"/>
  <c r="BZ36" i="5306"/>
  <c r="BZ37" i="5306"/>
  <c r="BZ38" i="5306"/>
  <c r="BZ39" i="5306"/>
  <c r="BZ40" i="5306"/>
  <c r="BZ41" i="5306"/>
  <c r="BZ42" i="5306"/>
  <c r="BZ43" i="5306"/>
  <c r="BZ44" i="5306"/>
  <c r="BZ45" i="5306"/>
  <c r="BZ46" i="5306"/>
  <c r="BZ47" i="5306"/>
  <c r="BZ48" i="5306"/>
  <c r="BZ49" i="5306"/>
  <c r="BZ50" i="5306"/>
  <c r="BZ51" i="5306"/>
  <c r="BZ52" i="5306"/>
  <c r="BZ53" i="5306"/>
  <c r="BZ54" i="5306"/>
  <c r="BZ2" i="5305"/>
  <c r="BZ3" i="5305"/>
  <c r="BZ4" i="5305"/>
  <c r="BZ5" i="5305"/>
  <c r="BZ6" i="5305"/>
  <c r="BZ7" i="5305"/>
  <c r="BZ8" i="5305"/>
  <c r="BZ9" i="5305"/>
  <c r="BZ10" i="5305"/>
  <c r="BZ11" i="5305"/>
  <c r="BZ12" i="5305"/>
  <c r="BZ13" i="5305"/>
  <c r="BZ14" i="5305"/>
  <c r="BZ15" i="5305"/>
  <c r="BZ16" i="5305"/>
  <c r="BZ17" i="5305"/>
  <c r="BZ18" i="5305"/>
  <c r="BZ19" i="5305"/>
  <c r="BZ20" i="5305"/>
  <c r="BZ21" i="5305"/>
  <c r="BZ22" i="5305"/>
  <c r="BZ23" i="5305"/>
  <c r="BZ24" i="5305"/>
  <c r="BZ25" i="5305"/>
  <c r="BZ26" i="5305"/>
  <c r="BZ27" i="5305"/>
  <c r="BZ28" i="5305"/>
  <c r="BZ29" i="5305"/>
  <c r="BZ30" i="5305"/>
  <c r="BZ31" i="5305"/>
  <c r="BZ32" i="5305"/>
  <c r="BZ33" i="5305"/>
  <c r="BZ34" i="5305"/>
  <c r="BZ35" i="5305"/>
  <c r="BZ36" i="5305"/>
  <c r="BZ37" i="5305"/>
  <c r="BZ38" i="5305"/>
  <c r="BZ39" i="5305"/>
  <c r="BZ40" i="5305"/>
  <c r="BZ41" i="5305"/>
  <c r="BZ42" i="5305"/>
  <c r="BZ43" i="5305"/>
  <c r="BZ44" i="5305"/>
  <c r="BZ45" i="5305"/>
  <c r="BZ46" i="5305"/>
  <c r="BZ47" i="5305"/>
  <c r="BZ48" i="5305"/>
  <c r="BZ49" i="5305"/>
  <c r="BZ50" i="5305"/>
  <c r="BZ51" i="5305"/>
  <c r="BZ52" i="5305"/>
  <c r="BZ53" i="5305"/>
  <c r="BZ54" i="5305"/>
  <c r="BZ2" i="5304"/>
  <c r="BZ3" i="5304"/>
  <c r="BZ4" i="5304"/>
  <c r="BZ5" i="5304"/>
  <c r="BZ6" i="5304"/>
  <c r="BZ7" i="5304"/>
  <c r="BZ8" i="5304"/>
  <c r="BZ9" i="5304"/>
  <c r="BZ10" i="5304"/>
  <c r="BZ11" i="5304"/>
  <c r="BZ12" i="5304"/>
  <c r="BZ13" i="5304"/>
  <c r="BZ14" i="5304"/>
  <c r="BZ15" i="5304"/>
  <c r="BZ16" i="5304"/>
  <c r="BZ17" i="5304"/>
  <c r="BZ18" i="5304"/>
  <c r="BZ19" i="5304"/>
  <c r="BZ20" i="5304"/>
  <c r="BZ21" i="5304"/>
  <c r="BZ22" i="5304"/>
  <c r="BZ23" i="5304"/>
  <c r="BZ24" i="5304"/>
  <c r="BZ25" i="5304"/>
  <c r="BZ26" i="5304"/>
  <c r="BZ27" i="5304"/>
  <c r="BZ28" i="5304"/>
  <c r="BZ29" i="5304"/>
  <c r="BZ30" i="5304"/>
  <c r="BZ31" i="5304"/>
  <c r="BZ32" i="5304"/>
  <c r="BZ33" i="5304"/>
  <c r="BZ34" i="5304"/>
  <c r="BZ35" i="5304"/>
  <c r="BZ36" i="5304"/>
  <c r="BZ37" i="5304"/>
  <c r="BZ38" i="5304"/>
  <c r="BZ39" i="5304"/>
  <c r="BZ40" i="5304"/>
  <c r="BZ41" i="5304"/>
  <c r="BZ42" i="5304"/>
  <c r="BZ43" i="5304"/>
  <c r="BZ44" i="5304"/>
  <c r="BZ45" i="5304"/>
  <c r="BZ46" i="5304"/>
  <c r="BZ47" i="5304"/>
  <c r="BZ48" i="5304"/>
  <c r="BZ49" i="5304"/>
  <c r="BZ50" i="5304"/>
  <c r="BZ51" i="5304"/>
  <c r="BZ52" i="5304"/>
  <c r="BZ53" i="5304"/>
  <c r="BZ54" i="5304"/>
  <c r="BZ2" i="5303"/>
  <c r="BZ3" i="5303"/>
  <c r="BZ4" i="5303"/>
  <c r="BZ5" i="5303"/>
  <c r="BZ6" i="5303"/>
  <c r="BZ7" i="5303"/>
  <c r="BZ8" i="5303"/>
  <c r="BZ9" i="5303"/>
  <c r="BZ10" i="5303"/>
  <c r="BZ11" i="5303"/>
  <c r="BZ12" i="5303"/>
  <c r="BZ13" i="5303"/>
  <c r="BZ14" i="5303"/>
  <c r="BZ15" i="5303"/>
  <c r="BZ16" i="5303"/>
  <c r="BZ17" i="5303"/>
  <c r="BZ18" i="5303"/>
  <c r="BZ19" i="5303"/>
  <c r="BZ20" i="5303"/>
  <c r="BZ21" i="5303"/>
  <c r="BZ22" i="5303"/>
  <c r="BZ23" i="5303"/>
  <c r="BZ24" i="5303"/>
  <c r="BZ25" i="5303"/>
  <c r="BZ26" i="5303"/>
  <c r="BZ27" i="5303"/>
  <c r="BZ28" i="5303"/>
  <c r="BZ29" i="5303"/>
  <c r="BZ30" i="5303"/>
  <c r="BZ31" i="5303"/>
  <c r="BZ32" i="5303"/>
  <c r="BZ33" i="5303"/>
  <c r="BZ34" i="5303"/>
  <c r="BZ35" i="5303"/>
  <c r="BZ36" i="5303"/>
  <c r="BZ37" i="5303"/>
  <c r="BZ38" i="5303"/>
  <c r="BZ39" i="5303"/>
  <c r="BZ40" i="5303"/>
  <c r="BZ41" i="5303"/>
  <c r="BZ42" i="5303"/>
  <c r="BZ43" i="5303"/>
  <c r="BZ44" i="5303"/>
  <c r="BZ45" i="5303"/>
  <c r="BZ46" i="5303"/>
  <c r="BZ47" i="5303"/>
  <c r="BZ48" i="5303"/>
  <c r="BZ49" i="5303"/>
  <c r="BZ50" i="5303"/>
  <c r="BZ51" i="5303"/>
  <c r="BZ52" i="5303"/>
  <c r="BZ53" i="5303"/>
  <c r="BZ54" i="5303"/>
  <c r="BZ2" i="5302"/>
  <c r="BZ3" i="5302"/>
  <c r="BZ4" i="5302"/>
  <c r="BZ5" i="5302"/>
  <c r="BZ6" i="5302"/>
  <c r="BZ7" i="5302"/>
  <c r="BZ8" i="5302"/>
  <c r="BZ9" i="5302"/>
  <c r="BZ10" i="5302"/>
  <c r="BZ11" i="5302"/>
  <c r="BZ12" i="5302"/>
  <c r="BZ13" i="5302"/>
  <c r="BZ14" i="5302"/>
  <c r="BZ15" i="5302"/>
  <c r="BZ16" i="5302"/>
  <c r="BZ17" i="5302"/>
  <c r="BZ18" i="5302"/>
  <c r="BZ19" i="5302"/>
  <c r="BZ20" i="5302"/>
  <c r="BZ21" i="5302"/>
  <c r="BZ22" i="5302"/>
  <c r="BZ23" i="5302"/>
  <c r="BZ24" i="5302"/>
  <c r="BZ25" i="5302"/>
  <c r="BZ26" i="5302"/>
  <c r="BZ27" i="5302"/>
  <c r="BZ28" i="5302"/>
  <c r="BZ29" i="5302"/>
  <c r="BZ30" i="5302"/>
  <c r="BZ31" i="5302"/>
  <c r="BZ32" i="5302"/>
  <c r="BZ33" i="5302"/>
  <c r="BZ34" i="5302"/>
  <c r="BZ35" i="5302"/>
  <c r="BZ36" i="5302"/>
  <c r="BZ37" i="5302"/>
  <c r="BZ38" i="5302"/>
  <c r="BZ39" i="5302"/>
  <c r="BZ40" i="5302"/>
  <c r="BZ41" i="5302"/>
  <c r="BZ42" i="5302"/>
  <c r="BZ43" i="5302"/>
  <c r="BZ44" i="5302"/>
  <c r="BZ45" i="5302"/>
  <c r="BZ46" i="5302"/>
  <c r="BZ47" i="5302"/>
  <c r="BZ48" i="5302"/>
  <c r="BZ49" i="5302"/>
  <c r="BZ50" i="5302"/>
  <c r="BZ51" i="5302"/>
  <c r="BZ52" i="5302"/>
  <c r="BZ53" i="5302"/>
  <c r="BZ54" i="5302"/>
  <c r="BY2" i="5307"/>
  <c r="BY3" i="5307"/>
  <c r="BY4" i="5307"/>
  <c r="BY5" i="5307"/>
  <c r="BY6" i="5307"/>
  <c r="BY7" i="5307"/>
  <c r="BY8" i="5307"/>
  <c r="BY9" i="5307"/>
  <c r="BY10" i="5307"/>
  <c r="BY11" i="5307"/>
  <c r="BY12" i="5307"/>
  <c r="BY13" i="5307"/>
  <c r="BY14" i="5307"/>
  <c r="BY15" i="5307"/>
  <c r="BY16" i="5307"/>
  <c r="BY17" i="5307"/>
  <c r="BY18" i="5307"/>
  <c r="BY19" i="5307"/>
  <c r="BY20" i="5307"/>
  <c r="BY21" i="5307"/>
  <c r="BY22" i="5307"/>
  <c r="BY23" i="5307"/>
  <c r="BY24" i="5307"/>
  <c r="BY25" i="5307"/>
  <c r="BY26" i="5307"/>
  <c r="BY27" i="5307"/>
  <c r="BY28" i="5307"/>
  <c r="BY29" i="5307"/>
  <c r="BY30" i="5307"/>
  <c r="BY31" i="5307"/>
  <c r="BY32" i="5307"/>
  <c r="BY33" i="5307"/>
  <c r="BY34" i="5307"/>
  <c r="BY35" i="5307"/>
  <c r="BY36" i="5307"/>
  <c r="BY37" i="5307"/>
  <c r="BY38" i="5307"/>
  <c r="BY39" i="5307"/>
  <c r="BY40" i="5307"/>
  <c r="BY41" i="5307"/>
  <c r="BY42" i="5307"/>
  <c r="BY43" i="5307"/>
  <c r="BY44" i="5307"/>
  <c r="BY45" i="5307"/>
  <c r="BY46" i="5307"/>
  <c r="BY47" i="5307"/>
  <c r="BY48" i="5307"/>
  <c r="BY49" i="5307"/>
  <c r="BY50" i="5307"/>
  <c r="BY51" i="5307"/>
  <c r="BY52" i="5307"/>
  <c r="BY53" i="5307"/>
  <c r="BY54" i="5307"/>
  <c r="BY2" i="5306"/>
  <c r="BY3" i="5306"/>
  <c r="BY4" i="5306"/>
  <c r="BY5" i="5306"/>
  <c r="BY6" i="5306"/>
  <c r="BY7" i="5306"/>
  <c r="BY8" i="5306"/>
  <c r="BY9" i="5306"/>
  <c r="BY10" i="5306"/>
  <c r="BY11" i="5306"/>
  <c r="BY12" i="5306"/>
  <c r="BY13" i="5306"/>
  <c r="BY14" i="5306"/>
  <c r="BY15" i="5306"/>
  <c r="BY16" i="5306"/>
  <c r="BY17" i="5306"/>
  <c r="BY18" i="5306"/>
  <c r="BY19" i="5306"/>
  <c r="BY20" i="5306"/>
  <c r="BY21" i="5306"/>
  <c r="BY22" i="5306"/>
  <c r="BY23" i="5306"/>
  <c r="BY24" i="5306"/>
  <c r="BY25" i="5306"/>
  <c r="BY26" i="5306"/>
  <c r="BY27" i="5306"/>
  <c r="BY28" i="5306"/>
  <c r="BY29" i="5306"/>
  <c r="BY30" i="5306"/>
  <c r="BY31" i="5306"/>
  <c r="BY32" i="5306"/>
  <c r="BY33" i="5306"/>
  <c r="BY34" i="5306"/>
  <c r="BY35" i="5306"/>
  <c r="BY36" i="5306"/>
  <c r="BY37" i="5306"/>
  <c r="BY38" i="5306"/>
  <c r="BY39" i="5306"/>
  <c r="BY40" i="5306"/>
  <c r="BY41" i="5306"/>
  <c r="BY42" i="5306"/>
  <c r="BY43" i="5306"/>
  <c r="BY44" i="5306"/>
  <c r="BY45" i="5306"/>
  <c r="BY46" i="5306"/>
  <c r="BY47" i="5306"/>
  <c r="BY48" i="5306"/>
  <c r="BY49" i="5306"/>
  <c r="BY50" i="5306"/>
  <c r="BY51" i="5306"/>
  <c r="BY52" i="5306"/>
  <c r="BY53" i="5306"/>
  <c r="BY54" i="5306"/>
  <c r="BY2" i="5305"/>
  <c r="BY3" i="5305"/>
  <c r="BY4" i="5305"/>
  <c r="BY5" i="5305"/>
  <c r="BY6" i="5305"/>
  <c r="BY7" i="5305"/>
  <c r="BY8" i="5305"/>
  <c r="BY9" i="5305"/>
  <c r="BY10" i="5305"/>
  <c r="BY11" i="5305"/>
  <c r="BY12" i="5305"/>
  <c r="BY13" i="5305"/>
  <c r="BY14" i="5305"/>
  <c r="BY15" i="5305"/>
  <c r="BY16" i="5305"/>
  <c r="BY17" i="5305"/>
  <c r="BY18" i="5305"/>
  <c r="BY19" i="5305"/>
  <c r="BY20" i="5305"/>
  <c r="BY21" i="5305"/>
  <c r="BY22" i="5305"/>
  <c r="BY23" i="5305"/>
  <c r="BY24" i="5305"/>
  <c r="BY25" i="5305"/>
  <c r="BY26" i="5305"/>
  <c r="BY27" i="5305"/>
  <c r="BY28" i="5305"/>
  <c r="BY29" i="5305"/>
  <c r="BY30" i="5305"/>
  <c r="BY31" i="5305"/>
  <c r="BY32" i="5305"/>
  <c r="BY33" i="5305"/>
  <c r="BY34" i="5305"/>
  <c r="BY35" i="5305"/>
  <c r="BY36" i="5305"/>
  <c r="BY37" i="5305"/>
  <c r="BY38" i="5305"/>
  <c r="BY39" i="5305"/>
  <c r="BY40" i="5305"/>
  <c r="BY41" i="5305"/>
  <c r="BY42" i="5305"/>
  <c r="BY43" i="5305"/>
  <c r="BY44" i="5305"/>
  <c r="BY45" i="5305"/>
  <c r="BY46" i="5305"/>
  <c r="BY47" i="5305"/>
  <c r="BY48" i="5305"/>
  <c r="BY49" i="5305"/>
  <c r="BY50" i="5305"/>
  <c r="BY51" i="5305"/>
  <c r="BY52" i="5305"/>
  <c r="BY53" i="5305"/>
  <c r="BY54" i="5305"/>
  <c r="BY2" i="5304"/>
  <c r="BY3" i="5304"/>
  <c r="BY4" i="5304"/>
  <c r="BY5" i="5304"/>
  <c r="BY6" i="5304"/>
  <c r="BY7" i="5304"/>
  <c r="BY8" i="5304"/>
  <c r="BY9" i="5304"/>
  <c r="BY10" i="5304"/>
  <c r="BY11" i="5304"/>
  <c r="BY12" i="5304"/>
  <c r="BY13" i="5304"/>
  <c r="BY14" i="5304"/>
  <c r="BY15" i="5304"/>
  <c r="BY16" i="5304"/>
  <c r="BY17" i="5304"/>
  <c r="BY18" i="5304"/>
  <c r="BY19" i="5304"/>
  <c r="BY20" i="5304"/>
  <c r="BY21" i="5304"/>
  <c r="BY22" i="5304"/>
  <c r="BY23" i="5304"/>
  <c r="BY24" i="5304"/>
  <c r="BY25" i="5304"/>
  <c r="BY26" i="5304"/>
  <c r="BY27" i="5304"/>
  <c r="BY28" i="5304"/>
  <c r="BY29" i="5304"/>
  <c r="BY30" i="5304"/>
  <c r="BY31" i="5304"/>
  <c r="BY32" i="5304"/>
  <c r="BY33" i="5304"/>
  <c r="BY34" i="5304"/>
  <c r="BY35" i="5304"/>
  <c r="BY36" i="5304"/>
  <c r="BY37" i="5304"/>
  <c r="BY38" i="5304"/>
  <c r="BY39" i="5304"/>
  <c r="BY40" i="5304"/>
  <c r="BY41" i="5304"/>
  <c r="BY42" i="5304"/>
  <c r="BY43" i="5304"/>
  <c r="BY44" i="5304"/>
  <c r="BY45" i="5304"/>
  <c r="BY46" i="5304"/>
  <c r="BY47" i="5304"/>
  <c r="BY48" i="5304"/>
  <c r="BY49" i="5304"/>
  <c r="BY50" i="5304"/>
  <c r="BY51" i="5304"/>
  <c r="BY52" i="5304"/>
  <c r="BY53" i="5304"/>
  <c r="BY54" i="5304"/>
  <c r="BY2" i="5303"/>
  <c r="BY3" i="5303"/>
  <c r="BY4" i="5303"/>
  <c r="BY5" i="5303"/>
  <c r="BY6" i="5303"/>
  <c r="BY7" i="5303"/>
  <c r="BY8" i="5303"/>
  <c r="BY9" i="5303"/>
  <c r="BY10" i="5303"/>
  <c r="BY11" i="5303"/>
  <c r="BY12" i="5303"/>
  <c r="BY13" i="5303"/>
  <c r="BY14" i="5303"/>
  <c r="BY15" i="5303"/>
  <c r="BY16" i="5303"/>
  <c r="BY17" i="5303"/>
  <c r="BY18" i="5303"/>
  <c r="BY19" i="5303"/>
  <c r="BY20" i="5303"/>
  <c r="BY21" i="5303"/>
  <c r="BY22" i="5303"/>
  <c r="BY23" i="5303"/>
  <c r="BY24" i="5303"/>
  <c r="BY25" i="5303"/>
  <c r="BY26" i="5303"/>
  <c r="BY27" i="5303"/>
  <c r="BY28" i="5303"/>
  <c r="BY29" i="5303"/>
  <c r="BY30" i="5303"/>
  <c r="BY31" i="5303"/>
  <c r="BY32" i="5303"/>
  <c r="BY33" i="5303"/>
  <c r="BY34" i="5303"/>
  <c r="BY35" i="5303"/>
  <c r="BY36" i="5303"/>
  <c r="BY37" i="5303"/>
  <c r="BY38" i="5303"/>
  <c r="BY39" i="5303"/>
  <c r="BY40" i="5303"/>
  <c r="BY41" i="5303"/>
  <c r="BY42" i="5303"/>
  <c r="BY43" i="5303"/>
  <c r="BY44" i="5303"/>
  <c r="BY45" i="5303"/>
  <c r="BY46" i="5303"/>
  <c r="BY47" i="5303"/>
  <c r="BY48" i="5303"/>
  <c r="BY49" i="5303"/>
  <c r="BY50" i="5303"/>
  <c r="BY51" i="5303"/>
  <c r="BY52" i="5303"/>
  <c r="BY53" i="5303"/>
  <c r="BY54" i="5303"/>
  <c r="BY2" i="5302"/>
  <c r="BY3" i="5302"/>
  <c r="BY4" i="5302"/>
  <c r="BY5" i="5302"/>
  <c r="BY6" i="5302"/>
  <c r="BY7" i="5302"/>
  <c r="BY8" i="5302"/>
  <c r="BY9" i="5302"/>
  <c r="BY10" i="5302"/>
  <c r="BY11" i="5302"/>
  <c r="BY12" i="5302"/>
  <c r="BY13" i="5302"/>
  <c r="BY14" i="5302"/>
  <c r="BY15" i="5302"/>
  <c r="BY16" i="5302"/>
  <c r="BY17" i="5302"/>
  <c r="BY18" i="5302"/>
  <c r="BY19" i="5302"/>
  <c r="BY20" i="5302"/>
  <c r="BY21" i="5302"/>
  <c r="BY22" i="5302"/>
  <c r="BY23" i="5302"/>
  <c r="BY24" i="5302"/>
  <c r="BY25" i="5302"/>
  <c r="BY26" i="5302"/>
  <c r="BY27" i="5302"/>
  <c r="BY28" i="5302"/>
  <c r="BY29" i="5302"/>
  <c r="BY30" i="5302"/>
  <c r="BY31" i="5302"/>
  <c r="BY32" i="5302"/>
  <c r="BY33" i="5302"/>
  <c r="BY34" i="5302"/>
  <c r="BY35" i="5302"/>
  <c r="BY36" i="5302"/>
  <c r="BY37" i="5302"/>
  <c r="BY38" i="5302"/>
  <c r="BY39" i="5302"/>
  <c r="BY40" i="5302"/>
  <c r="BY41" i="5302"/>
  <c r="BY42" i="5302"/>
  <c r="BY43" i="5302"/>
  <c r="BY44" i="5302"/>
  <c r="BY45" i="5302"/>
  <c r="BY46" i="5302"/>
  <c r="BY47" i="5302"/>
  <c r="BY48" i="5302"/>
  <c r="BY49" i="5302"/>
  <c r="BY50" i="5302"/>
  <c r="BY51" i="5302"/>
  <c r="BY52" i="5302"/>
  <c r="BY53" i="5302"/>
  <c r="BY54" i="5302"/>
  <c r="BX2" i="5307"/>
  <c r="BX3" i="5307"/>
  <c r="BX4" i="5307"/>
  <c r="BX5" i="5307"/>
  <c r="BX6" i="5307"/>
  <c r="BX7" i="5307"/>
  <c r="BX8" i="5307"/>
  <c r="BX9" i="5307"/>
  <c r="BX10" i="5307"/>
  <c r="BX11" i="5307"/>
  <c r="BX12" i="5307"/>
  <c r="BX13" i="5307"/>
  <c r="BX14" i="5307"/>
  <c r="BX15" i="5307"/>
  <c r="BX16" i="5307"/>
  <c r="BX17" i="5307"/>
  <c r="BX18" i="5307"/>
  <c r="BX19" i="5307"/>
  <c r="BX20" i="5307"/>
  <c r="BX21" i="5307"/>
  <c r="BX22" i="5307"/>
  <c r="BX23" i="5307"/>
  <c r="BX24" i="5307"/>
  <c r="BX25" i="5307"/>
  <c r="BX26" i="5307"/>
  <c r="BX27" i="5307"/>
  <c r="BX28" i="5307"/>
  <c r="BX29" i="5307"/>
  <c r="BX30" i="5307"/>
  <c r="BX31" i="5307"/>
  <c r="BX32" i="5307"/>
  <c r="BX33" i="5307"/>
  <c r="BX34" i="5307"/>
  <c r="BX35" i="5307"/>
  <c r="BX36" i="5307"/>
  <c r="BX37" i="5307"/>
  <c r="BX38" i="5307"/>
  <c r="BX39" i="5307"/>
  <c r="BX40" i="5307"/>
  <c r="BX41" i="5307"/>
  <c r="BX42" i="5307"/>
  <c r="BX43" i="5307"/>
  <c r="BX44" i="5307"/>
  <c r="BX45" i="5307"/>
  <c r="BX46" i="5307"/>
  <c r="BX47" i="5307"/>
  <c r="BX48" i="5307"/>
  <c r="BX49" i="5307"/>
  <c r="BX50" i="5307"/>
  <c r="BX51" i="5307"/>
  <c r="BX52" i="5307"/>
  <c r="BX53" i="5307"/>
  <c r="BX54" i="5307"/>
  <c r="BX2" i="5306"/>
  <c r="BX3" i="5306"/>
  <c r="BX4" i="5306"/>
  <c r="BX5" i="5306"/>
  <c r="BX6" i="5306"/>
  <c r="BX7" i="5306"/>
  <c r="BX8" i="5306"/>
  <c r="BX9" i="5306"/>
  <c r="BX10" i="5306"/>
  <c r="BX11" i="5306"/>
  <c r="BX12" i="5306"/>
  <c r="BX13" i="5306"/>
  <c r="BX14" i="5306"/>
  <c r="BX15" i="5306"/>
  <c r="BX16" i="5306"/>
  <c r="BX17" i="5306"/>
  <c r="BX18" i="5306"/>
  <c r="BX19" i="5306"/>
  <c r="BX20" i="5306"/>
  <c r="BX21" i="5306"/>
  <c r="BX22" i="5306"/>
  <c r="BX23" i="5306"/>
  <c r="BX24" i="5306"/>
  <c r="BX25" i="5306"/>
  <c r="BX26" i="5306"/>
  <c r="BX27" i="5306"/>
  <c r="BX28" i="5306"/>
  <c r="BX29" i="5306"/>
  <c r="BX30" i="5306"/>
  <c r="BX31" i="5306"/>
  <c r="BX32" i="5306"/>
  <c r="BX33" i="5306"/>
  <c r="BX34" i="5306"/>
  <c r="BX35" i="5306"/>
  <c r="BX36" i="5306"/>
  <c r="BX37" i="5306"/>
  <c r="BX38" i="5306"/>
  <c r="BX39" i="5306"/>
  <c r="BX40" i="5306"/>
  <c r="BX41" i="5306"/>
  <c r="BX42" i="5306"/>
  <c r="BX43" i="5306"/>
  <c r="BX44" i="5306"/>
  <c r="BX45" i="5306"/>
  <c r="BX46" i="5306"/>
  <c r="BX47" i="5306"/>
  <c r="BX48" i="5306"/>
  <c r="BX49" i="5306"/>
  <c r="BX50" i="5306"/>
  <c r="BX51" i="5306"/>
  <c r="BX52" i="5306"/>
  <c r="BX53" i="5306"/>
  <c r="BX54" i="5306"/>
  <c r="BX2" i="5305"/>
  <c r="BX3" i="5305"/>
  <c r="BX4" i="5305"/>
  <c r="BX5" i="5305"/>
  <c r="BX6" i="5305"/>
  <c r="BX7" i="5305"/>
  <c r="BX8" i="5305"/>
  <c r="BX9" i="5305"/>
  <c r="BX10" i="5305"/>
  <c r="BX11" i="5305"/>
  <c r="BX12" i="5305"/>
  <c r="BX13" i="5305"/>
  <c r="BX14" i="5305"/>
  <c r="BX15" i="5305"/>
  <c r="BX16" i="5305"/>
  <c r="BX17" i="5305"/>
  <c r="BX18" i="5305"/>
  <c r="BX19" i="5305"/>
  <c r="BX20" i="5305"/>
  <c r="BX21" i="5305"/>
  <c r="BX22" i="5305"/>
  <c r="BX23" i="5305"/>
  <c r="BX24" i="5305"/>
  <c r="BX25" i="5305"/>
  <c r="BX26" i="5305"/>
  <c r="BX27" i="5305"/>
  <c r="BX28" i="5305"/>
  <c r="BX29" i="5305"/>
  <c r="BX30" i="5305"/>
  <c r="BX31" i="5305"/>
  <c r="BX32" i="5305"/>
  <c r="BX33" i="5305"/>
  <c r="BX34" i="5305"/>
  <c r="BX35" i="5305"/>
  <c r="BX36" i="5305"/>
  <c r="BX37" i="5305"/>
  <c r="BX38" i="5305"/>
  <c r="BX39" i="5305"/>
  <c r="BX40" i="5305"/>
  <c r="BX41" i="5305"/>
  <c r="BX42" i="5305"/>
  <c r="BX43" i="5305"/>
  <c r="BX44" i="5305"/>
  <c r="BX45" i="5305"/>
  <c r="BX46" i="5305"/>
  <c r="BX47" i="5305"/>
  <c r="BX48" i="5305"/>
  <c r="BX49" i="5305"/>
  <c r="BX50" i="5305"/>
  <c r="BX51" i="5305"/>
  <c r="BX52" i="5305"/>
  <c r="BX53" i="5305"/>
  <c r="BX54" i="5305"/>
  <c r="BX2" i="5304"/>
  <c r="BX3" i="5304"/>
  <c r="BX4" i="5304"/>
  <c r="BX5" i="5304"/>
  <c r="BX6" i="5304"/>
  <c r="BX7" i="5304"/>
  <c r="BX8" i="5304"/>
  <c r="BX9" i="5304"/>
  <c r="BX10" i="5304"/>
  <c r="BX11" i="5304"/>
  <c r="BX12" i="5304"/>
  <c r="BX13" i="5304"/>
  <c r="BX14" i="5304"/>
  <c r="BX15" i="5304"/>
  <c r="BX16" i="5304"/>
  <c r="BX17" i="5304"/>
  <c r="BX18" i="5304"/>
  <c r="BX19" i="5304"/>
  <c r="BX20" i="5304"/>
  <c r="BX21" i="5304"/>
  <c r="BX22" i="5304"/>
  <c r="BX23" i="5304"/>
  <c r="BX24" i="5304"/>
  <c r="BX25" i="5304"/>
  <c r="BX26" i="5304"/>
  <c r="BX27" i="5304"/>
  <c r="BX28" i="5304"/>
  <c r="BX29" i="5304"/>
  <c r="BX30" i="5304"/>
  <c r="BX31" i="5304"/>
  <c r="BX32" i="5304"/>
  <c r="BX33" i="5304"/>
  <c r="BX34" i="5304"/>
  <c r="BX35" i="5304"/>
  <c r="BX36" i="5304"/>
  <c r="BX37" i="5304"/>
  <c r="BX38" i="5304"/>
  <c r="BX39" i="5304"/>
  <c r="BX40" i="5304"/>
  <c r="BX41" i="5304"/>
  <c r="BX42" i="5304"/>
  <c r="BX43" i="5304"/>
  <c r="BX44" i="5304"/>
  <c r="BX45" i="5304"/>
  <c r="BX46" i="5304"/>
  <c r="BX47" i="5304"/>
  <c r="BX48" i="5304"/>
  <c r="BX49" i="5304"/>
  <c r="BX50" i="5304"/>
  <c r="BX51" i="5304"/>
  <c r="BX52" i="5304"/>
  <c r="BX53" i="5304"/>
  <c r="BX54" i="5304"/>
  <c r="BX2" i="5303"/>
  <c r="BX3" i="5303"/>
  <c r="BX4" i="5303"/>
  <c r="BX5" i="5303"/>
  <c r="BX6" i="5303"/>
  <c r="BX7" i="5303"/>
  <c r="BX8" i="5303"/>
  <c r="BX9" i="5303"/>
  <c r="BX10" i="5303"/>
  <c r="BX11" i="5303"/>
  <c r="BX12" i="5303"/>
  <c r="BX13" i="5303"/>
  <c r="BX14" i="5303"/>
  <c r="BX15" i="5303"/>
  <c r="BX16" i="5303"/>
  <c r="BX17" i="5303"/>
  <c r="BX18" i="5303"/>
  <c r="BX19" i="5303"/>
  <c r="BX20" i="5303"/>
  <c r="BX21" i="5303"/>
  <c r="BX22" i="5303"/>
  <c r="BX23" i="5303"/>
  <c r="BX24" i="5303"/>
  <c r="BX25" i="5303"/>
  <c r="BX26" i="5303"/>
  <c r="BX27" i="5303"/>
  <c r="BX28" i="5303"/>
  <c r="BX29" i="5303"/>
  <c r="BX30" i="5303"/>
  <c r="BX31" i="5303"/>
  <c r="BX32" i="5303"/>
  <c r="BX33" i="5303"/>
  <c r="BX34" i="5303"/>
  <c r="BX35" i="5303"/>
  <c r="BX36" i="5303"/>
  <c r="BX37" i="5303"/>
  <c r="BX38" i="5303"/>
  <c r="BX39" i="5303"/>
  <c r="BX40" i="5303"/>
  <c r="BX41" i="5303"/>
  <c r="BX42" i="5303"/>
  <c r="BX43" i="5303"/>
  <c r="BX44" i="5303"/>
  <c r="BX45" i="5303"/>
  <c r="BX46" i="5303"/>
  <c r="BX47" i="5303"/>
  <c r="BX48" i="5303"/>
  <c r="BX49" i="5303"/>
  <c r="BX50" i="5303"/>
  <c r="BX51" i="5303"/>
  <c r="BX52" i="5303"/>
  <c r="BX53" i="5303"/>
  <c r="BX54" i="5303"/>
  <c r="BX2" i="5302"/>
  <c r="BX3" i="5302"/>
  <c r="BX4" i="5302"/>
  <c r="BX5" i="5302"/>
  <c r="BX6" i="5302"/>
  <c r="BX7" i="5302"/>
  <c r="BX8" i="5302"/>
  <c r="BX9" i="5302"/>
  <c r="BX10" i="5302"/>
  <c r="BX11" i="5302"/>
  <c r="BX12" i="5302"/>
  <c r="BX13" i="5302"/>
  <c r="BX14" i="5302"/>
  <c r="BX15" i="5302"/>
  <c r="BX16" i="5302"/>
  <c r="BX17" i="5302"/>
  <c r="BX18" i="5302"/>
  <c r="BX19" i="5302"/>
  <c r="BX20" i="5302"/>
  <c r="BX21" i="5302"/>
  <c r="BX22" i="5302"/>
  <c r="BX23" i="5302"/>
  <c r="BX24" i="5302"/>
  <c r="BX25" i="5302"/>
  <c r="BX26" i="5302"/>
  <c r="BX27" i="5302"/>
  <c r="BX28" i="5302"/>
  <c r="BX29" i="5302"/>
  <c r="BX30" i="5302"/>
  <c r="BX31" i="5302"/>
  <c r="BX32" i="5302"/>
  <c r="BX33" i="5302"/>
  <c r="BX34" i="5302"/>
  <c r="BX35" i="5302"/>
  <c r="BX36" i="5302"/>
  <c r="BX37" i="5302"/>
  <c r="BX38" i="5302"/>
  <c r="BX39" i="5302"/>
  <c r="BX40" i="5302"/>
  <c r="BX41" i="5302"/>
  <c r="BX42" i="5302"/>
  <c r="BX43" i="5302"/>
  <c r="BX44" i="5302"/>
  <c r="BX45" i="5302"/>
  <c r="BX46" i="5302"/>
  <c r="BX47" i="5302"/>
  <c r="BX48" i="5302"/>
  <c r="BX49" i="5302"/>
  <c r="BX50" i="5302"/>
  <c r="BX51" i="5302"/>
  <c r="BX52" i="5302"/>
  <c r="BX53" i="5302"/>
  <c r="BX54" i="5302"/>
  <c r="BW2" i="5307"/>
  <c r="BW3" i="5307"/>
  <c r="BW4" i="5307"/>
  <c r="BW5" i="5307"/>
  <c r="BW6" i="5307"/>
  <c r="BW7" i="5307"/>
  <c r="BW8" i="5307"/>
  <c r="BW9" i="5307"/>
  <c r="BW10" i="5307"/>
  <c r="BW11" i="5307"/>
  <c r="BW12" i="5307"/>
  <c r="BW13" i="5307"/>
  <c r="BW14" i="5307"/>
  <c r="BW15" i="5307"/>
  <c r="BW16" i="5307"/>
  <c r="BW17" i="5307"/>
  <c r="BW18" i="5307"/>
  <c r="BW19" i="5307"/>
  <c r="BW20" i="5307"/>
  <c r="BW21" i="5307"/>
  <c r="BW22" i="5307"/>
  <c r="BW23" i="5307"/>
  <c r="BW24" i="5307"/>
  <c r="BW25" i="5307"/>
  <c r="BW26" i="5307"/>
  <c r="BW27" i="5307"/>
  <c r="BW28" i="5307"/>
  <c r="BW29" i="5307"/>
  <c r="BW30" i="5307"/>
  <c r="BW31" i="5307"/>
  <c r="BW32" i="5307"/>
  <c r="BW33" i="5307"/>
  <c r="BW34" i="5307"/>
  <c r="BW35" i="5307"/>
  <c r="BW36" i="5307"/>
  <c r="BW37" i="5307"/>
  <c r="BW38" i="5307"/>
  <c r="BW39" i="5307"/>
  <c r="BW40" i="5307"/>
  <c r="BW41" i="5307"/>
  <c r="BW42" i="5307"/>
  <c r="BW43" i="5307"/>
  <c r="BW44" i="5307"/>
  <c r="BW45" i="5307"/>
  <c r="BW46" i="5307"/>
  <c r="BW47" i="5307"/>
  <c r="BW48" i="5307"/>
  <c r="BW49" i="5307"/>
  <c r="BW50" i="5307"/>
  <c r="BW51" i="5307"/>
  <c r="BW52" i="5307"/>
  <c r="BW53" i="5307"/>
  <c r="BW54" i="5307"/>
  <c r="BW2" i="5306"/>
  <c r="BW3" i="5306"/>
  <c r="BW4" i="5306"/>
  <c r="BW5" i="5306"/>
  <c r="BW6" i="5306"/>
  <c r="BW7" i="5306"/>
  <c r="BW8" i="5306"/>
  <c r="BW9" i="5306"/>
  <c r="BW10" i="5306"/>
  <c r="BW11" i="5306"/>
  <c r="BW12" i="5306"/>
  <c r="BW13" i="5306"/>
  <c r="BW14" i="5306"/>
  <c r="BW15" i="5306"/>
  <c r="BW16" i="5306"/>
  <c r="BW17" i="5306"/>
  <c r="BW18" i="5306"/>
  <c r="BW19" i="5306"/>
  <c r="BW20" i="5306"/>
  <c r="BW21" i="5306"/>
  <c r="BW22" i="5306"/>
  <c r="BW23" i="5306"/>
  <c r="BW24" i="5306"/>
  <c r="BW25" i="5306"/>
  <c r="BW26" i="5306"/>
  <c r="BW27" i="5306"/>
  <c r="BW28" i="5306"/>
  <c r="BW29" i="5306"/>
  <c r="BW30" i="5306"/>
  <c r="BW31" i="5306"/>
  <c r="BW32" i="5306"/>
  <c r="BW33" i="5306"/>
  <c r="BW34" i="5306"/>
  <c r="BW35" i="5306"/>
  <c r="BW36" i="5306"/>
  <c r="BW37" i="5306"/>
  <c r="BW38" i="5306"/>
  <c r="BW39" i="5306"/>
  <c r="BW40" i="5306"/>
  <c r="BW41" i="5306"/>
  <c r="BW42" i="5306"/>
  <c r="BW43" i="5306"/>
  <c r="BW44" i="5306"/>
  <c r="BW45" i="5306"/>
  <c r="BW46" i="5306"/>
  <c r="BW47" i="5306"/>
  <c r="BW48" i="5306"/>
  <c r="BW49" i="5306"/>
  <c r="BW50" i="5306"/>
  <c r="BW51" i="5306"/>
  <c r="BW52" i="5306"/>
  <c r="BW53" i="5306"/>
  <c r="BW54" i="5306"/>
  <c r="BW2" i="5305"/>
  <c r="BW3" i="5305"/>
  <c r="BW4" i="5305"/>
  <c r="BW5" i="5305"/>
  <c r="BW6" i="5305"/>
  <c r="BW7" i="5305"/>
  <c r="BW8" i="5305"/>
  <c r="BW9" i="5305"/>
  <c r="BW10" i="5305"/>
  <c r="BW11" i="5305"/>
  <c r="BW12" i="5305"/>
  <c r="BW13" i="5305"/>
  <c r="BW14" i="5305"/>
  <c r="BW15" i="5305"/>
  <c r="BW16" i="5305"/>
  <c r="BW17" i="5305"/>
  <c r="BW18" i="5305"/>
  <c r="BW19" i="5305"/>
  <c r="BW20" i="5305"/>
  <c r="BW21" i="5305"/>
  <c r="BW22" i="5305"/>
  <c r="BW23" i="5305"/>
  <c r="BW24" i="5305"/>
  <c r="BW25" i="5305"/>
  <c r="BW26" i="5305"/>
  <c r="BW27" i="5305"/>
  <c r="BW28" i="5305"/>
  <c r="BW29" i="5305"/>
  <c r="BW30" i="5305"/>
  <c r="BW31" i="5305"/>
  <c r="BW32" i="5305"/>
  <c r="BW33" i="5305"/>
  <c r="BW34" i="5305"/>
  <c r="BW35" i="5305"/>
  <c r="BW36" i="5305"/>
  <c r="BW37" i="5305"/>
  <c r="BW38" i="5305"/>
  <c r="BW39" i="5305"/>
  <c r="BW40" i="5305"/>
  <c r="BW41" i="5305"/>
  <c r="BW42" i="5305"/>
  <c r="BW43" i="5305"/>
  <c r="BW44" i="5305"/>
  <c r="BW45" i="5305"/>
  <c r="BW46" i="5305"/>
  <c r="BW47" i="5305"/>
  <c r="BW48" i="5305"/>
  <c r="BW49" i="5305"/>
  <c r="BW50" i="5305"/>
  <c r="BW51" i="5305"/>
  <c r="BW52" i="5305"/>
  <c r="BW53" i="5305"/>
  <c r="BW54" i="5305"/>
  <c r="BW2" i="5304"/>
  <c r="BW3" i="5304"/>
  <c r="BW4" i="5304"/>
  <c r="BW5" i="5304"/>
  <c r="BW6" i="5304"/>
  <c r="BW7" i="5304"/>
  <c r="BW8" i="5304"/>
  <c r="BW9" i="5304"/>
  <c r="BW10" i="5304"/>
  <c r="BW11" i="5304"/>
  <c r="BW12" i="5304"/>
  <c r="BW13" i="5304"/>
  <c r="BW14" i="5304"/>
  <c r="BW15" i="5304"/>
  <c r="BW16" i="5304"/>
  <c r="BW17" i="5304"/>
  <c r="BW18" i="5304"/>
  <c r="BW19" i="5304"/>
  <c r="BW20" i="5304"/>
  <c r="BW21" i="5304"/>
  <c r="BW22" i="5304"/>
  <c r="BW23" i="5304"/>
  <c r="BW24" i="5304"/>
  <c r="BW25" i="5304"/>
  <c r="BW26" i="5304"/>
  <c r="BW27" i="5304"/>
  <c r="BW28" i="5304"/>
  <c r="BW29" i="5304"/>
  <c r="BW30" i="5304"/>
  <c r="BW31" i="5304"/>
  <c r="BW32" i="5304"/>
  <c r="BW33" i="5304"/>
  <c r="BW34" i="5304"/>
  <c r="BW35" i="5304"/>
  <c r="BW36" i="5304"/>
  <c r="BW37" i="5304"/>
  <c r="BW38" i="5304"/>
  <c r="BW39" i="5304"/>
  <c r="BW40" i="5304"/>
  <c r="BW41" i="5304"/>
  <c r="BW42" i="5304"/>
  <c r="BW43" i="5304"/>
  <c r="BW44" i="5304"/>
  <c r="BW45" i="5304"/>
  <c r="BW46" i="5304"/>
  <c r="BW47" i="5304"/>
  <c r="BW48" i="5304"/>
  <c r="BW49" i="5304"/>
  <c r="BW50" i="5304"/>
  <c r="BW51" i="5304"/>
  <c r="BW52" i="5304"/>
  <c r="BW53" i="5304"/>
  <c r="BW54" i="5304"/>
  <c r="BW2" i="5303"/>
  <c r="BW3" i="5303"/>
  <c r="BW4" i="5303"/>
  <c r="BW5" i="5303"/>
  <c r="BW6" i="5303"/>
  <c r="BW7" i="5303"/>
  <c r="BW8" i="5303"/>
  <c r="BW9" i="5303"/>
  <c r="BW10" i="5303"/>
  <c r="BW11" i="5303"/>
  <c r="BW12" i="5303"/>
  <c r="BW13" i="5303"/>
  <c r="BW14" i="5303"/>
  <c r="BW15" i="5303"/>
  <c r="BW16" i="5303"/>
  <c r="BW17" i="5303"/>
  <c r="BW18" i="5303"/>
  <c r="BW19" i="5303"/>
  <c r="BW20" i="5303"/>
  <c r="BW21" i="5303"/>
  <c r="BW22" i="5303"/>
  <c r="BW23" i="5303"/>
  <c r="BW24" i="5303"/>
  <c r="BW25" i="5303"/>
  <c r="BW26" i="5303"/>
  <c r="BW27" i="5303"/>
  <c r="BW28" i="5303"/>
  <c r="BW29" i="5303"/>
  <c r="BW30" i="5303"/>
  <c r="BW31" i="5303"/>
  <c r="BW32" i="5303"/>
  <c r="BW33" i="5303"/>
  <c r="BW34" i="5303"/>
  <c r="BW35" i="5303"/>
  <c r="BW36" i="5303"/>
  <c r="BW37" i="5303"/>
  <c r="BW38" i="5303"/>
  <c r="BW39" i="5303"/>
  <c r="BW40" i="5303"/>
  <c r="BW41" i="5303"/>
  <c r="BW42" i="5303"/>
  <c r="BW43" i="5303"/>
  <c r="BW44" i="5303"/>
  <c r="BW45" i="5303"/>
  <c r="BW46" i="5303"/>
  <c r="BW47" i="5303"/>
  <c r="BW48" i="5303"/>
  <c r="BW49" i="5303"/>
  <c r="BW50" i="5303"/>
  <c r="BW51" i="5303"/>
  <c r="BW52" i="5303"/>
  <c r="BW53" i="5303"/>
  <c r="BW54" i="5303"/>
  <c r="BW2" i="5302"/>
  <c r="BW3" i="5302"/>
  <c r="BW4" i="5302"/>
  <c r="BW5" i="5302"/>
  <c r="BW6" i="5302"/>
  <c r="BW7" i="5302"/>
  <c r="BW8" i="5302"/>
  <c r="BW9" i="5302"/>
  <c r="BW10" i="5302"/>
  <c r="BW11" i="5302"/>
  <c r="BW12" i="5302"/>
  <c r="BW13" i="5302"/>
  <c r="BW14" i="5302"/>
  <c r="BW15" i="5302"/>
  <c r="BW16" i="5302"/>
  <c r="BW17" i="5302"/>
  <c r="BW18" i="5302"/>
  <c r="BW19" i="5302"/>
  <c r="BW20" i="5302"/>
  <c r="BW21" i="5302"/>
  <c r="BW22" i="5302"/>
  <c r="BW23" i="5302"/>
  <c r="BW24" i="5302"/>
  <c r="BW25" i="5302"/>
  <c r="BW26" i="5302"/>
  <c r="BW27" i="5302"/>
  <c r="BW28" i="5302"/>
  <c r="BW29" i="5302"/>
  <c r="BW30" i="5302"/>
  <c r="BW31" i="5302"/>
  <c r="BW32" i="5302"/>
  <c r="BW33" i="5302"/>
  <c r="BW34" i="5302"/>
  <c r="BW35" i="5302"/>
  <c r="BW36" i="5302"/>
  <c r="BW37" i="5302"/>
  <c r="BW38" i="5302"/>
  <c r="BW39" i="5302"/>
  <c r="BW40" i="5302"/>
  <c r="BW41" i="5302"/>
  <c r="BW42" i="5302"/>
  <c r="BW43" i="5302"/>
  <c r="BW44" i="5302"/>
  <c r="BW45" i="5302"/>
  <c r="BW46" i="5302"/>
  <c r="BW47" i="5302"/>
  <c r="BW48" i="5302"/>
  <c r="BW49" i="5302"/>
  <c r="BW50" i="5302"/>
  <c r="BW51" i="5302"/>
  <c r="BW52" i="5302"/>
  <c r="BW53" i="5302"/>
  <c r="BW54" i="5302"/>
  <c r="BV2" i="5307"/>
  <c r="BV3" i="5307"/>
  <c r="BV4" i="5307"/>
  <c r="BV5" i="5307"/>
  <c r="BV6" i="5307"/>
  <c r="BV7" i="5307"/>
  <c r="BV8" i="5307"/>
  <c r="BV9" i="5307"/>
  <c r="BV10" i="5307"/>
  <c r="BV11" i="5307"/>
  <c r="BV12" i="5307"/>
  <c r="BV13" i="5307"/>
  <c r="BV14" i="5307"/>
  <c r="BV15" i="5307"/>
  <c r="BV16" i="5307"/>
  <c r="BV17" i="5307"/>
  <c r="BV18" i="5307"/>
  <c r="BV19" i="5307"/>
  <c r="BV20" i="5307"/>
  <c r="BV21" i="5307"/>
  <c r="BV22" i="5307"/>
  <c r="BV23" i="5307"/>
  <c r="BV24" i="5307"/>
  <c r="BV25" i="5307"/>
  <c r="BV26" i="5307"/>
  <c r="BV27" i="5307"/>
  <c r="BV28" i="5307"/>
  <c r="BV29" i="5307"/>
  <c r="BV30" i="5307"/>
  <c r="BV31" i="5307"/>
  <c r="BV32" i="5307"/>
  <c r="BV33" i="5307"/>
  <c r="BV34" i="5307"/>
  <c r="BV35" i="5307"/>
  <c r="BV36" i="5307"/>
  <c r="BV37" i="5307"/>
  <c r="BV38" i="5307"/>
  <c r="BV39" i="5307"/>
  <c r="BV40" i="5307"/>
  <c r="BV41" i="5307"/>
  <c r="BV42" i="5307"/>
  <c r="BV43" i="5307"/>
  <c r="BV44" i="5307"/>
  <c r="BV45" i="5307"/>
  <c r="BV46" i="5307"/>
  <c r="BV47" i="5307"/>
  <c r="BV48" i="5307"/>
  <c r="BV49" i="5307"/>
  <c r="BV50" i="5307"/>
  <c r="BV51" i="5307"/>
  <c r="BV52" i="5307"/>
  <c r="BV53" i="5307"/>
  <c r="BV54" i="5307"/>
  <c r="BV2" i="5306"/>
  <c r="BV3" i="5306"/>
  <c r="BV4" i="5306"/>
  <c r="BV5" i="5306"/>
  <c r="BV6" i="5306"/>
  <c r="BV7" i="5306"/>
  <c r="BV8" i="5306"/>
  <c r="BV9" i="5306"/>
  <c r="BV10" i="5306"/>
  <c r="BV11" i="5306"/>
  <c r="BV12" i="5306"/>
  <c r="BV13" i="5306"/>
  <c r="BV14" i="5306"/>
  <c r="BV15" i="5306"/>
  <c r="BV16" i="5306"/>
  <c r="BV17" i="5306"/>
  <c r="BV18" i="5306"/>
  <c r="BV19" i="5306"/>
  <c r="BV20" i="5306"/>
  <c r="BV21" i="5306"/>
  <c r="BV22" i="5306"/>
  <c r="BV23" i="5306"/>
  <c r="BV24" i="5306"/>
  <c r="BV25" i="5306"/>
  <c r="BV26" i="5306"/>
  <c r="BV27" i="5306"/>
  <c r="BV28" i="5306"/>
  <c r="BV29" i="5306"/>
  <c r="BV30" i="5306"/>
  <c r="BV31" i="5306"/>
  <c r="BV32" i="5306"/>
  <c r="BV33" i="5306"/>
  <c r="BV34" i="5306"/>
  <c r="BV35" i="5306"/>
  <c r="BV36" i="5306"/>
  <c r="BV37" i="5306"/>
  <c r="BV38" i="5306"/>
  <c r="BV39" i="5306"/>
  <c r="BV40" i="5306"/>
  <c r="BV41" i="5306"/>
  <c r="BV42" i="5306"/>
  <c r="BV43" i="5306"/>
  <c r="BV44" i="5306"/>
  <c r="BV45" i="5306"/>
  <c r="BV46" i="5306"/>
  <c r="BV47" i="5306"/>
  <c r="BV48" i="5306"/>
  <c r="BV49" i="5306"/>
  <c r="BV50" i="5306"/>
  <c r="BV51" i="5306"/>
  <c r="BV52" i="5306"/>
  <c r="BV53" i="5306"/>
  <c r="BV54" i="5306"/>
  <c r="BV2" i="5305"/>
  <c r="BV3" i="5305"/>
  <c r="BV4" i="5305"/>
  <c r="BV5" i="5305"/>
  <c r="BV6" i="5305"/>
  <c r="BV7" i="5305"/>
  <c r="BV8" i="5305"/>
  <c r="BV9" i="5305"/>
  <c r="BV10" i="5305"/>
  <c r="BV11" i="5305"/>
  <c r="BV12" i="5305"/>
  <c r="BV13" i="5305"/>
  <c r="BV14" i="5305"/>
  <c r="BV15" i="5305"/>
  <c r="BV16" i="5305"/>
  <c r="BV17" i="5305"/>
  <c r="BV18" i="5305"/>
  <c r="BV19" i="5305"/>
  <c r="BV20" i="5305"/>
  <c r="BV21" i="5305"/>
  <c r="BV22" i="5305"/>
  <c r="BV23" i="5305"/>
  <c r="BV24" i="5305"/>
  <c r="BV25" i="5305"/>
  <c r="BV26" i="5305"/>
  <c r="BV27" i="5305"/>
  <c r="BV28" i="5305"/>
  <c r="BV29" i="5305"/>
  <c r="BV30" i="5305"/>
  <c r="BV31" i="5305"/>
  <c r="BV32" i="5305"/>
  <c r="BV33" i="5305"/>
  <c r="BV34" i="5305"/>
  <c r="BV35" i="5305"/>
  <c r="BV36" i="5305"/>
  <c r="BV37" i="5305"/>
  <c r="BV38" i="5305"/>
  <c r="BV39" i="5305"/>
  <c r="BV40" i="5305"/>
  <c r="BV41" i="5305"/>
  <c r="BV42" i="5305"/>
  <c r="BV43" i="5305"/>
  <c r="BV44" i="5305"/>
  <c r="BV45" i="5305"/>
  <c r="BV46" i="5305"/>
  <c r="BV47" i="5305"/>
  <c r="BV48" i="5305"/>
  <c r="BV49" i="5305"/>
  <c r="BV50" i="5305"/>
  <c r="BV51" i="5305"/>
  <c r="BV52" i="5305"/>
  <c r="BV53" i="5305"/>
  <c r="BV54" i="5305"/>
  <c r="BV2" i="5304"/>
  <c r="BV3" i="5304"/>
  <c r="BV4" i="5304"/>
  <c r="BV5" i="5304"/>
  <c r="BV6" i="5304"/>
  <c r="BV7" i="5304"/>
  <c r="BV8" i="5304"/>
  <c r="BV9" i="5304"/>
  <c r="BV10" i="5304"/>
  <c r="BV11" i="5304"/>
  <c r="BV12" i="5304"/>
  <c r="BV13" i="5304"/>
  <c r="BV14" i="5304"/>
  <c r="BV15" i="5304"/>
  <c r="BV16" i="5304"/>
  <c r="BV17" i="5304"/>
  <c r="BV18" i="5304"/>
  <c r="BV19" i="5304"/>
  <c r="BV20" i="5304"/>
  <c r="BV21" i="5304"/>
  <c r="BV22" i="5304"/>
  <c r="BV23" i="5304"/>
  <c r="BV24" i="5304"/>
  <c r="BV25" i="5304"/>
  <c r="BV26" i="5304"/>
  <c r="BV27" i="5304"/>
  <c r="BV28" i="5304"/>
  <c r="BV29" i="5304"/>
  <c r="BV30" i="5304"/>
  <c r="BV31" i="5304"/>
  <c r="BV32" i="5304"/>
  <c r="BV33" i="5304"/>
  <c r="BV34" i="5304"/>
  <c r="BV35" i="5304"/>
  <c r="BV36" i="5304"/>
  <c r="BV37" i="5304"/>
  <c r="BV38" i="5304"/>
  <c r="BV39" i="5304"/>
  <c r="BV40" i="5304"/>
  <c r="BV41" i="5304"/>
  <c r="BV42" i="5304"/>
  <c r="BV43" i="5304"/>
  <c r="BV44" i="5304"/>
  <c r="BV45" i="5304"/>
  <c r="BV46" i="5304"/>
  <c r="BV47" i="5304"/>
  <c r="BV48" i="5304"/>
  <c r="BV49" i="5304"/>
  <c r="BV50" i="5304"/>
  <c r="BV51" i="5304"/>
  <c r="BV52" i="5304"/>
  <c r="BV53" i="5304"/>
  <c r="BV54" i="5304"/>
  <c r="BV2" i="5303"/>
  <c r="BV3" i="5303"/>
  <c r="BV4" i="5303"/>
  <c r="BV5" i="5303"/>
  <c r="BV6" i="5303"/>
  <c r="BV7" i="5303"/>
  <c r="BV8" i="5303"/>
  <c r="BV9" i="5303"/>
  <c r="BV10" i="5303"/>
  <c r="BV11" i="5303"/>
  <c r="BV12" i="5303"/>
  <c r="BV13" i="5303"/>
  <c r="BV14" i="5303"/>
  <c r="BV15" i="5303"/>
  <c r="BV16" i="5303"/>
  <c r="BV17" i="5303"/>
  <c r="BV18" i="5303"/>
  <c r="BV19" i="5303"/>
  <c r="BV20" i="5303"/>
  <c r="BV21" i="5303"/>
  <c r="BV22" i="5303"/>
  <c r="BV23" i="5303"/>
  <c r="BV24" i="5303"/>
  <c r="BV25" i="5303"/>
  <c r="BV26" i="5303"/>
  <c r="BV27" i="5303"/>
  <c r="BV28" i="5303"/>
  <c r="BV29" i="5303"/>
  <c r="BV30" i="5303"/>
  <c r="BV31" i="5303"/>
  <c r="BV32" i="5303"/>
  <c r="BV33" i="5303"/>
  <c r="BV34" i="5303"/>
  <c r="BV35" i="5303"/>
  <c r="BV36" i="5303"/>
  <c r="BV37" i="5303"/>
  <c r="BV38" i="5303"/>
  <c r="BV39" i="5303"/>
  <c r="BV40" i="5303"/>
  <c r="BV41" i="5303"/>
  <c r="BV42" i="5303"/>
  <c r="BV43" i="5303"/>
  <c r="BV44" i="5303"/>
  <c r="BV45" i="5303"/>
  <c r="BV46" i="5303"/>
  <c r="BV47" i="5303"/>
  <c r="BV48" i="5303"/>
  <c r="BV49" i="5303"/>
  <c r="BV50" i="5303"/>
  <c r="BV51" i="5303"/>
  <c r="BV52" i="5303"/>
  <c r="BV53" i="5303"/>
  <c r="BV54" i="5303"/>
  <c r="BV2" i="5302"/>
  <c r="BV3" i="5302"/>
  <c r="BV4" i="5302"/>
  <c r="BV5" i="5302"/>
  <c r="BV6" i="5302"/>
  <c r="BV7" i="5302"/>
  <c r="BV8" i="5302"/>
  <c r="BV9" i="5302"/>
  <c r="BV10" i="5302"/>
  <c r="BV11" i="5302"/>
  <c r="BV12" i="5302"/>
  <c r="BV13" i="5302"/>
  <c r="BV14" i="5302"/>
  <c r="BV15" i="5302"/>
  <c r="BV16" i="5302"/>
  <c r="BV17" i="5302"/>
  <c r="BV18" i="5302"/>
  <c r="BV19" i="5302"/>
  <c r="BV20" i="5302"/>
  <c r="BV21" i="5302"/>
  <c r="BV22" i="5302"/>
  <c r="BV23" i="5302"/>
  <c r="BV24" i="5302"/>
  <c r="BV25" i="5302"/>
  <c r="BV26" i="5302"/>
  <c r="BV27" i="5302"/>
  <c r="BV28" i="5302"/>
  <c r="BV29" i="5302"/>
  <c r="BV30" i="5302"/>
  <c r="BV31" i="5302"/>
  <c r="BV32" i="5302"/>
  <c r="BV33" i="5302"/>
  <c r="BV34" i="5302"/>
  <c r="BV35" i="5302"/>
  <c r="BV36" i="5302"/>
  <c r="BV37" i="5302"/>
  <c r="BV38" i="5302"/>
  <c r="BV39" i="5302"/>
  <c r="BV40" i="5302"/>
  <c r="BV41" i="5302"/>
  <c r="BV42" i="5302"/>
  <c r="BV43" i="5302"/>
  <c r="BV44" i="5302"/>
  <c r="BV45" i="5302"/>
  <c r="BV46" i="5302"/>
  <c r="BV47" i="5302"/>
  <c r="BV48" i="5302"/>
  <c r="BV49" i="5302"/>
  <c r="BV50" i="5302"/>
  <c r="BV51" i="5302"/>
  <c r="BV52" i="5302"/>
  <c r="BV53" i="5302"/>
  <c r="BV54" i="5302"/>
  <c r="BU2" i="5307"/>
  <c r="BU3" i="5307"/>
  <c r="BU4" i="5307"/>
  <c r="BU5" i="5307"/>
  <c r="BU6" i="5307"/>
  <c r="BU7" i="5307"/>
  <c r="BU8" i="5307"/>
  <c r="BU9" i="5307"/>
  <c r="BU10" i="5307"/>
  <c r="BU11" i="5307"/>
  <c r="BU12" i="5307"/>
  <c r="BU13" i="5307"/>
  <c r="BU14" i="5307"/>
  <c r="BU15" i="5307"/>
  <c r="BU16" i="5307"/>
  <c r="BU17" i="5307"/>
  <c r="BU18" i="5307"/>
  <c r="BU19" i="5307"/>
  <c r="BU20" i="5307"/>
  <c r="BU21" i="5307"/>
  <c r="BU22" i="5307"/>
  <c r="BU23" i="5307"/>
  <c r="BU24" i="5307"/>
  <c r="BU25" i="5307"/>
  <c r="BU26" i="5307"/>
  <c r="BU27" i="5307"/>
  <c r="BU28" i="5307"/>
  <c r="BU29" i="5307"/>
  <c r="BU30" i="5307"/>
  <c r="BU31" i="5307"/>
  <c r="BU32" i="5307"/>
  <c r="BU33" i="5307"/>
  <c r="BU34" i="5307"/>
  <c r="BU35" i="5307"/>
  <c r="BU36" i="5307"/>
  <c r="BU37" i="5307"/>
  <c r="BU38" i="5307"/>
  <c r="BU39" i="5307"/>
  <c r="BU40" i="5307"/>
  <c r="BU41" i="5307"/>
  <c r="BU42" i="5307"/>
  <c r="BU43" i="5307"/>
  <c r="BU44" i="5307"/>
  <c r="BU45" i="5307"/>
  <c r="BU46" i="5307"/>
  <c r="BU47" i="5307"/>
  <c r="BU48" i="5307"/>
  <c r="BU49" i="5307"/>
  <c r="BU50" i="5307"/>
  <c r="BU51" i="5307"/>
  <c r="BU52" i="5307"/>
  <c r="BU53" i="5307"/>
  <c r="BU54" i="5307"/>
  <c r="BU2" i="5306"/>
  <c r="BU3" i="5306"/>
  <c r="BU4" i="5306"/>
  <c r="BU5" i="5306"/>
  <c r="BU6" i="5306"/>
  <c r="BU7" i="5306"/>
  <c r="BU8" i="5306"/>
  <c r="BU9" i="5306"/>
  <c r="BU10" i="5306"/>
  <c r="BU11" i="5306"/>
  <c r="BU12" i="5306"/>
  <c r="BU13" i="5306"/>
  <c r="BU14" i="5306"/>
  <c r="BU15" i="5306"/>
  <c r="BU16" i="5306"/>
  <c r="BU17" i="5306"/>
  <c r="BU18" i="5306"/>
  <c r="BU19" i="5306"/>
  <c r="BU20" i="5306"/>
  <c r="BU21" i="5306"/>
  <c r="BU22" i="5306"/>
  <c r="BU23" i="5306"/>
  <c r="BU24" i="5306"/>
  <c r="BU25" i="5306"/>
  <c r="BU26" i="5306"/>
  <c r="BU27" i="5306"/>
  <c r="BU28" i="5306"/>
  <c r="BU29" i="5306"/>
  <c r="BU30" i="5306"/>
  <c r="BU31" i="5306"/>
  <c r="BU32" i="5306"/>
  <c r="BU33" i="5306"/>
  <c r="BU34" i="5306"/>
  <c r="BU35" i="5306"/>
  <c r="BU36" i="5306"/>
  <c r="BU37" i="5306"/>
  <c r="BU38" i="5306"/>
  <c r="BU39" i="5306"/>
  <c r="BU40" i="5306"/>
  <c r="BU41" i="5306"/>
  <c r="BU42" i="5306"/>
  <c r="BU43" i="5306"/>
  <c r="BU44" i="5306"/>
  <c r="BU45" i="5306"/>
  <c r="BU46" i="5306"/>
  <c r="BU47" i="5306"/>
  <c r="BU48" i="5306"/>
  <c r="BU49" i="5306"/>
  <c r="BU50" i="5306"/>
  <c r="BU51" i="5306"/>
  <c r="BU52" i="5306"/>
  <c r="BU53" i="5306"/>
  <c r="BU54" i="5306"/>
  <c r="BU2" i="5305"/>
  <c r="BU3" i="5305"/>
  <c r="BU4" i="5305"/>
  <c r="BU5" i="5305"/>
  <c r="BU6" i="5305"/>
  <c r="BU7" i="5305"/>
  <c r="BU8" i="5305"/>
  <c r="BU9" i="5305"/>
  <c r="BU10" i="5305"/>
  <c r="BU11" i="5305"/>
  <c r="BU12" i="5305"/>
  <c r="BU13" i="5305"/>
  <c r="BU14" i="5305"/>
  <c r="BU15" i="5305"/>
  <c r="BU16" i="5305"/>
  <c r="BU17" i="5305"/>
  <c r="BU18" i="5305"/>
  <c r="BU19" i="5305"/>
  <c r="BU20" i="5305"/>
  <c r="BU21" i="5305"/>
  <c r="BU22" i="5305"/>
  <c r="BU23" i="5305"/>
  <c r="BU24" i="5305"/>
  <c r="BU25" i="5305"/>
  <c r="BU26" i="5305"/>
  <c r="BU27" i="5305"/>
  <c r="BU28" i="5305"/>
  <c r="BU29" i="5305"/>
  <c r="BU30" i="5305"/>
  <c r="BU31" i="5305"/>
  <c r="BU32" i="5305"/>
  <c r="BU33" i="5305"/>
  <c r="BU34" i="5305"/>
  <c r="BU35" i="5305"/>
  <c r="BU36" i="5305"/>
  <c r="BU37" i="5305"/>
  <c r="BU38" i="5305"/>
  <c r="BU39" i="5305"/>
  <c r="BU40" i="5305"/>
  <c r="BU41" i="5305"/>
  <c r="BU42" i="5305"/>
  <c r="BU43" i="5305"/>
  <c r="BU44" i="5305"/>
  <c r="BU45" i="5305"/>
  <c r="BU46" i="5305"/>
  <c r="BU47" i="5305"/>
  <c r="BU48" i="5305"/>
  <c r="BU49" i="5305"/>
  <c r="BU50" i="5305"/>
  <c r="BU51" i="5305"/>
  <c r="BU52" i="5305"/>
  <c r="BU53" i="5305"/>
  <c r="BU54" i="5305"/>
  <c r="BU2" i="5304"/>
  <c r="BU3" i="5304"/>
  <c r="BU4" i="5304"/>
  <c r="BU5" i="5304"/>
  <c r="BU6" i="5304"/>
  <c r="BU7" i="5304"/>
  <c r="BU8" i="5304"/>
  <c r="BU9" i="5304"/>
  <c r="BU10" i="5304"/>
  <c r="BU11" i="5304"/>
  <c r="BU12" i="5304"/>
  <c r="BU13" i="5304"/>
  <c r="BU14" i="5304"/>
  <c r="BU15" i="5304"/>
  <c r="BU16" i="5304"/>
  <c r="BU17" i="5304"/>
  <c r="BU18" i="5304"/>
  <c r="BU19" i="5304"/>
  <c r="BU20" i="5304"/>
  <c r="BU21" i="5304"/>
  <c r="BU22" i="5304"/>
  <c r="BU23" i="5304"/>
  <c r="BU24" i="5304"/>
  <c r="BU25" i="5304"/>
  <c r="BU26" i="5304"/>
  <c r="BU27" i="5304"/>
  <c r="BU28" i="5304"/>
  <c r="BU29" i="5304"/>
  <c r="BU30" i="5304"/>
  <c r="BU31" i="5304"/>
  <c r="BU32" i="5304"/>
  <c r="BU33" i="5304"/>
  <c r="BU34" i="5304"/>
  <c r="BU35" i="5304"/>
  <c r="BU36" i="5304"/>
  <c r="BU37" i="5304"/>
  <c r="BU38" i="5304"/>
  <c r="BU39" i="5304"/>
  <c r="BU40" i="5304"/>
  <c r="BU41" i="5304"/>
  <c r="BU42" i="5304"/>
  <c r="BU43" i="5304"/>
  <c r="BU44" i="5304"/>
  <c r="BU45" i="5304"/>
  <c r="BU46" i="5304"/>
  <c r="BU47" i="5304"/>
  <c r="BU48" i="5304"/>
  <c r="BU49" i="5304"/>
  <c r="BU50" i="5304"/>
  <c r="BU51" i="5304"/>
  <c r="BU52" i="5304"/>
  <c r="BU53" i="5304"/>
  <c r="BU54" i="5304"/>
  <c r="BU2" i="5303"/>
  <c r="BU3" i="5303"/>
  <c r="BU4" i="5303"/>
  <c r="BU5" i="5303"/>
  <c r="BU6" i="5303"/>
  <c r="BU7" i="5303"/>
  <c r="BU8" i="5303"/>
  <c r="BU9" i="5303"/>
  <c r="BU10" i="5303"/>
  <c r="BU11" i="5303"/>
  <c r="BU12" i="5303"/>
  <c r="BU13" i="5303"/>
  <c r="BU14" i="5303"/>
  <c r="BU15" i="5303"/>
  <c r="BU16" i="5303"/>
  <c r="BU17" i="5303"/>
  <c r="BU18" i="5303"/>
  <c r="BU19" i="5303"/>
  <c r="BU20" i="5303"/>
  <c r="BU21" i="5303"/>
  <c r="BU22" i="5303"/>
  <c r="BU23" i="5303"/>
  <c r="BU24" i="5303"/>
  <c r="BU25" i="5303"/>
  <c r="BU26" i="5303"/>
  <c r="BU27" i="5303"/>
  <c r="BU28" i="5303"/>
  <c r="BU29" i="5303"/>
  <c r="BU30" i="5303"/>
  <c r="BU31" i="5303"/>
  <c r="BU32" i="5303"/>
  <c r="BU33" i="5303"/>
  <c r="BU34" i="5303"/>
  <c r="BU35" i="5303"/>
  <c r="BU36" i="5303"/>
  <c r="BU37" i="5303"/>
  <c r="BU38" i="5303"/>
  <c r="BU39" i="5303"/>
  <c r="BU40" i="5303"/>
  <c r="BU41" i="5303"/>
  <c r="BU42" i="5303"/>
  <c r="BU43" i="5303"/>
  <c r="BU44" i="5303"/>
  <c r="BU45" i="5303"/>
  <c r="BU46" i="5303"/>
  <c r="BU47" i="5303"/>
  <c r="BU48" i="5303"/>
  <c r="BU49" i="5303"/>
  <c r="BU50" i="5303"/>
  <c r="BU51" i="5303"/>
  <c r="BU52" i="5303"/>
  <c r="BU53" i="5303"/>
  <c r="BU54" i="5303"/>
  <c r="BU2" i="5302"/>
  <c r="BU3" i="5302"/>
  <c r="BU4" i="5302"/>
  <c r="BU5" i="5302"/>
  <c r="BU6" i="5302"/>
  <c r="BU7" i="5302"/>
  <c r="BU8" i="5302"/>
  <c r="BU9" i="5302"/>
  <c r="BU10" i="5302"/>
  <c r="BU11" i="5302"/>
  <c r="BU12" i="5302"/>
  <c r="BU13" i="5302"/>
  <c r="BU14" i="5302"/>
  <c r="BU15" i="5302"/>
  <c r="BU16" i="5302"/>
  <c r="BU17" i="5302"/>
  <c r="BU18" i="5302"/>
  <c r="BU19" i="5302"/>
  <c r="BU20" i="5302"/>
  <c r="BU21" i="5302"/>
  <c r="BU22" i="5302"/>
  <c r="BU23" i="5302"/>
  <c r="BU24" i="5302"/>
  <c r="BU25" i="5302"/>
  <c r="BU26" i="5302"/>
  <c r="BU27" i="5302"/>
  <c r="BU28" i="5302"/>
  <c r="BU29" i="5302"/>
  <c r="BU30" i="5302"/>
  <c r="BU31" i="5302"/>
  <c r="BU32" i="5302"/>
  <c r="BU33" i="5302"/>
  <c r="BU34" i="5302"/>
  <c r="BU35" i="5302"/>
  <c r="BU36" i="5302"/>
  <c r="BU37" i="5302"/>
  <c r="BU38" i="5302"/>
  <c r="BU39" i="5302"/>
  <c r="BU40" i="5302"/>
  <c r="BU41" i="5302"/>
  <c r="BU42" i="5302"/>
  <c r="BU43" i="5302"/>
  <c r="BU44" i="5302"/>
  <c r="BU45" i="5302"/>
  <c r="BU46" i="5302"/>
  <c r="BU47" i="5302"/>
  <c r="BU48" i="5302"/>
  <c r="BU49" i="5302"/>
  <c r="BU50" i="5302"/>
  <c r="BU51" i="5302"/>
  <c r="BU52" i="5302"/>
  <c r="BU53" i="5302"/>
  <c r="BU54" i="5302"/>
  <c r="BT2" i="5307"/>
  <c r="BT3" i="5307"/>
  <c r="BT4" i="5307"/>
  <c r="BT5" i="5307"/>
  <c r="BT6" i="5307"/>
  <c r="BT7" i="5307"/>
  <c r="BT8" i="5307"/>
  <c r="BT9" i="5307"/>
  <c r="BT10" i="5307"/>
  <c r="BT11" i="5307"/>
  <c r="BT12" i="5307"/>
  <c r="BT13" i="5307"/>
  <c r="BT14" i="5307"/>
  <c r="BT15" i="5307"/>
  <c r="BT16" i="5307"/>
  <c r="BT17" i="5307"/>
  <c r="BT18" i="5307"/>
  <c r="BT19" i="5307"/>
  <c r="BT20" i="5307"/>
  <c r="BT21" i="5307"/>
  <c r="BT22" i="5307"/>
  <c r="BT23" i="5307"/>
  <c r="BT24" i="5307"/>
  <c r="BT25" i="5307"/>
  <c r="BT26" i="5307"/>
  <c r="BT27" i="5307"/>
  <c r="BT28" i="5307"/>
  <c r="BT29" i="5307"/>
  <c r="BT30" i="5307"/>
  <c r="BT31" i="5307"/>
  <c r="BT32" i="5307"/>
  <c r="BT33" i="5307"/>
  <c r="BT34" i="5307"/>
  <c r="BT35" i="5307"/>
  <c r="BT36" i="5307"/>
  <c r="BT37" i="5307"/>
  <c r="BT38" i="5307"/>
  <c r="BT39" i="5307"/>
  <c r="BT40" i="5307"/>
  <c r="BT41" i="5307"/>
  <c r="BT42" i="5307"/>
  <c r="BT43" i="5307"/>
  <c r="BT44" i="5307"/>
  <c r="BT45" i="5307"/>
  <c r="BT46" i="5307"/>
  <c r="BT47" i="5307"/>
  <c r="BT48" i="5307"/>
  <c r="BT49" i="5307"/>
  <c r="BT50" i="5307"/>
  <c r="BT51" i="5307"/>
  <c r="BT52" i="5307"/>
  <c r="BT53" i="5307"/>
  <c r="BT54" i="5307"/>
  <c r="BT2" i="5306"/>
  <c r="BT3" i="5306"/>
  <c r="BT4" i="5306"/>
  <c r="BT5" i="5306"/>
  <c r="BT6" i="5306"/>
  <c r="BT7" i="5306"/>
  <c r="BT8" i="5306"/>
  <c r="BT9" i="5306"/>
  <c r="BT10" i="5306"/>
  <c r="BT11" i="5306"/>
  <c r="BT12" i="5306"/>
  <c r="BT13" i="5306"/>
  <c r="BT14" i="5306"/>
  <c r="BT15" i="5306"/>
  <c r="BT16" i="5306"/>
  <c r="BT17" i="5306"/>
  <c r="BT18" i="5306"/>
  <c r="BT19" i="5306"/>
  <c r="BT20" i="5306"/>
  <c r="BT21" i="5306"/>
  <c r="BT22" i="5306"/>
  <c r="BT23" i="5306"/>
  <c r="BT24" i="5306"/>
  <c r="BT25" i="5306"/>
  <c r="BT26" i="5306"/>
  <c r="BT27" i="5306"/>
  <c r="BT28" i="5306"/>
  <c r="BT29" i="5306"/>
  <c r="BT30" i="5306"/>
  <c r="BT31" i="5306"/>
  <c r="BT32" i="5306"/>
  <c r="BT33" i="5306"/>
  <c r="BT34" i="5306"/>
  <c r="BT35" i="5306"/>
  <c r="BT36" i="5306"/>
  <c r="BT37" i="5306"/>
  <c r="BT38" i="5306"/>
  <c r="BT39" i="5306"/>
  <c r="BT40" i="5306"/>
  <c r="BT41" i="5306"/>
  <c r="BT42" i="5306"/>
  <c r="BT43" i="5306"/>
  <c r="BT44" i="5306"/>
  <c r="BT45" i="5306"/>
  <c r="BT46" i="5306"/>
  <c r="BT47" i="5306"/>
  <c r="BT48" i="5306"/>
  <c r="BT49" i="5306"/>
  <c r="BT50" i="5306"/>
  <c r="BT51" i="5306"/>
  <c r="BT52" i="5306"/>
  <c r="BT53" i="5306"/>
  <c r="BT54" i="5306"/>
  <c r="BT2" i="5305"/>
  <c r="BT3" i="5305"/>
  <c r="BT4" i="5305"/>
  <c r="BT5" i="5305"/>
  <c r="BT6" i="5305"/>
  <c r="BT7" i="5305"/>
  <c r="BT8" i="5305"/>
  <c r="BT9" i="5305"/>
  <c r="BT10" i="5305"/>
  <c r="BT11" i="5305"/>
  <c r="BT12" i="5305"/>
  <c r="BT13" i="5305"/>
  <c r="BT14" i="5305"/>
  <c r="BT15" i="5305"/>
  <c r="BT16" i="5305"/>
  <c r="BT17" i="5305"/>
  <c r="BT18" i="5305"/>
  <c r="BT19" i="5305"/>
  <c r="BT20" i="5305"/>
  <c r="BT21" i="5305"/>
  <c r="BT22" i="5305"/>
  <c r="BT23" i="5305"/>
  <c r="BT24" i="5305"/>
  <c r="BT25" i="5305"/>
  <c r="BT26" i="5305"/>
  <c r="BT27" i="5305"/>
  <c r="BT28" i="5305"/>
  <c r="BT29" i="5305"/>
  <c r="BT30" i="5305"/>
  <c r="BT31" i="5305"/>
  <c r="BT32" i="5305"/>
  <c r="BT33" i="5305"/>
  <c r="BT34" i="5305"/>
  <c r="BT35" i="5305"/>
  <c r="BT36" i="5305"/>
  <c r="BT37" i="5305"/>
  <c r="BT38" i="5305"/>
  <c r="BT39" i="5305"/>
  <c r="BT40" i="5305"/>
  <c r="BT41" i="5305"/>
  <c r="BT42" i="5305"/>
  <c r="BT43" i="5305"/>
  <c r="BT44" i="5305"/>
  <c r="BT45" i="5305"/>
  <c r="BT46" i="5305"/>
  <c r="BT47" i="5305"/>
  <c r="BT48" i="5305"/>
  <c r="BT49" i="5305"/>
  <c r="BT50" i="5305"/>
  <c r="BT51" i="5305"/>
  <c r="BT52" i="5305"/>
  <c r="BT53" i="5305"/>
  <c r="BT54" i="5305"/>
  <c r="BT2" i="5304"/>
  <c r="BT3" i="5304"/>
  <c r="BT4" i="5304"/>
  <c r="BT5" i="5304"/>
  <c r="BT6" i="5304"/>
  <c r="BT7" i="5304"/>
  <c r="BT8" i="5304"/>
  <c r="BT9" i="5304"/>
  <c r="BT10" i="5304"/>
  <c r="BT11" i="5304"/>
  <c r="BT12" i="5304"/>
  <c r="BT13" i="5304"/>
  <c r="BT14" i="5304"/>
  <c r="BT15" i="5304"/>
  <c r="BT16" i="5304"/>
  <c r="BT17" i="5304"/>
  <c r="BT18" i="5304"/>
  <c r="BT19" i="5304"/>
  <c r="BT20" i="5304"/>
  <c r="BT21" i="5304"/>
  <c r="BT22" i="5304"/>
  <c r="BT23" i="5304"/>
  <c r="BT24" i="5304"/>
  <c r="BT25" i="5304"/>
  <c r="BT26" i="5304"/>
  <c r="BT27" i="5304"/>
  <c r="BT28" i="5304"/>
  <c r="BT29" i="5304"/>
  <c r="BT30" i="5304"/>
  <c r="BT31" i="5304"/>
  <c r="BT32" i="5304"/>
  <c r="BT33" i="5304"/>
  <c r="BT34" i="5304"/>
  <c r="BT35" i="5304"/>
  <c r="BT36" i="5304"/>
  <c r="BT37" i="5304"/>
  <c r="BT38" i="5304"/>
  <c r="BT39" i="5304"/>
  <c r="BT40" i="5304"/>
  <c r="BT41" i="5304"/>
  <c r="BT42" i="5304"/>
  <c r="BT43" i="5304"/>
  <c r="BT44" i="5304"/>
  <c r="BT45" i="5304"/>
  <c r="BT46" i="5304"/>
  <c r="BT47" i="5304"/>
  <c r="BT48" i="5304"/>
  <c r="BT49" i="5304"/>
  <c r="BT50" i="5304"/>
  <c r="BT51" i="5304"/>
  <c r="BT52" i="5304"/>
  <c r="BT53" i="5304"/>
  <c r="BT54" i="5304"/>
  <c r="BT2" i="5303"/>
  <c r="BT3" i="5303"/>
  <c r="BT4" i="5303"/>
  <c r="BT5" i="5303"/>
  <c r="BT6" i="5303"/>
  <c r="BT7" i="5303"/>
  <c r="BT8" i="5303"/>
  <c r="BT9" i="5303"/>
  <c r="BT10" i="5303"/>
  <c r="BT11" i="5303"/>
  <c r="BT12" i="5303"/>
  <c r="BT13" i="5303"/>
  <c r="BT14" i="5303"/>
  <c r="BT15" i="5303"/>
  <c r="BT16" i="5303"/>
  <c r="BT17" i="5303"/>
  <c r="BT18" i="5303"/>
  <c r="BT19" i="5303"/>
  <c r="BT20" i="5303"/>
  <c r="BT21" i="5303"/>
  <c r="BT22" i="5303"/>
  <c r="BT23" i="5303"/>
  <c r="BT24" i="5303"/>
  <c r="BT25" i="5303"/>
  <c r="BT26" i="5303"/>
  <c r="BT27" i="5303"/>
  <c r="BT28" i="5303"/>
  <c r="BT29" i="5303"/>
  <c r="BT30" i="5303"/>
  <c r="BT31" i="5303"/>
  <c r="BT32" i="5303"/>
  <c r="BT33" i="5303"/>
  <c r="BT34" i="5303"/>
  <c r="BT35" i="5303"/>
  <c r="BT36" i="5303"/>
  <c r="BT37" i="5303"/>
  <c r="BT38" i="5303"/>
  <c r="BT39" i="5303"/>
  <c r="BT40" i="5303"/>
  <c r="BT41" i="5303"/>
  <c r="BT42" i="5303"/>
  <c r="BT43" i="5303"/>
  <c r="BT44" i="5303"/>
  <c r="BT45" i="5303"/>
  <c r="BT46" i="5303"/>
  <c r="BT47" i="5303"/>
  <c r="BT48" i="5303"/>
  <c r="BT49" i="5303"/>
  <c r="BT50" i="5303"/>
  <c r="BT51" i="5303"/>
  <c r="BT52" i="5303"/>
  <c r="BT53" i="5303"/>
  <c r="BT54" i="5303"/>
  <c r="BT2" i="5302"/>
  <c r="BT3" i="5302"/>
  <c r="BT4" i="5302"/>
  <c r="BT5" i="5302"/>
  <c r="BT6" i="5302"/>
  <c r="BT7" i="5302"/>
  <c r="BT8" i="5302"/>
  <c r="BT9" i="5302"/>
  <c r="BT10" i="5302"/>
  <c r="BT11" i="5302"/>
  <c r="BT12" i="5302"/>
  <c r="BT13" i="5302"/>
  <c r="BT14" i="5302"/>
  <c r="BT15" i="5302"/>
  <c r="BT16" i="5302"/>
  <c r="BT17" i="5302"/>
  <c r="BT18" i="5302"/>
  <c r="BT19" i="5302"/>
  <c r="BT20" i="5302"/>
  <c r="BT21" i="5302"/>
  <c r="BT22" i="5302"/>
  <c r="BT23" i="5302"/>
  <c r="BT24" i="5302"/>
  <c r="BT25" i="5302"/>
  <c r="BT26" i="5302"/>
  <c r="BT27" i="5302"/>
  <c r="BT28" i="5302"/>
  <c r="BT29" i="5302"/>
  <c r="BT30" i="5302"/>
  <c r="BT31" i="5302"/>
  <c r="BT32" i="5302"/>
  <c r="BT33" i="5302"/>
  <c r="BT34" i="5302"/>
  <c r="BT35" i="5302"/>
  <c r="BT36" i="5302"/>
  <c r="BT37" i="5302"/>
  <c r="BT38" i="5302"/>
  <c r="BT39" i="5302"/>
  <c r="BT40" i="5302"/>
  <c r="BT41" i="5302"/>
  <c r="BT42" i="5302"/>
  <c r="BT43" i="5302"/>
  <c r="BT44" i="5302"/>
  <c r="BT45" i="5302"/>
  <c r="BT46" i="5302"/>
  <c r="BT47" i="5302"/>
  <c r="BT48" i="5302"/>
  <c r="BT49" i="5302"/>
  <c r="BT50" i="5302"/>
  <c r="BT51" i="5302"/>
  <c r="BT52" i="5302"/>
  <c r="BT53" i="5302"/>
  <c r="BT54" i="5302"/>
  <c r="BS2" i="5307"/>
  <c r="BS3" i="5307"/>
  <c r="BS4" i="5307"/>
  <c r="BS5" i="5307"/>
  <c r="BS6" i="5307"/>
  <c r="BS7" i="5307"/>
  <c r="BS8" i="5307"/>
  <c r="BS9" i="5307"/>
  <c r="BS10" i="5307"/>
  <c r="BS11" i="5307"/>
  <c r="BS12" i="5307"/>
  <c r="BS13" i="5307"/>
  <c r="BS14" i="5307"/>
  <c r="BS15" i="5307"/>
  <c r="BS16" i="5307"/>
  <c r="BS17" i="5307"/>
  <c r="BS18" i="5307"/>
  <c r="BS19" i="5307"/>
  <c r="BS20" i="5307"/>
  <c r="BS21" i="5307"/>
  <c r="BS22" i="5307"/>
  <c r="BS23" i="5307"/>
  <c r="BS24" i="5307"/>
  <c r="BS25" i="5307"/>
  <c r="BS26" i="5307"/>
  <c r="BS27" i="5307"/>
  <c r="BS28" i="5307"/>
  <c r="BS29" i="5307"/>
  <c r="BS30" i="5307"/>
  <c r="BS31" i="5307"/>
  <c r="BS32" i="5307"/>
  <c r="BS33" i="5307"/>
  <c r="BS34" i="5307"/>
  <c r="BS35" i="5307"/>
  <c r="BS36" i="5307"/>
  <c r="BS37" i="5307"/>
  <c r="BS38" i="5307"/>
  <c r="BS39" i="5307"/>
  <c r="BS40" i="5307"/>
  <c r="BS41" i="5307"/>
  <c r="BS42" i="5307"/>
  <c r="BS43" i="5307"/>
  <c r="BS44" i="5307"/>
  <c r="BS45" i="5307"/>
  <c r="BS46" i="5307"/>
  <c r="BS47" i="5307"/>
  <c r="BS48" i="5307"/>
  <c r="BS49" i="5307"/>
  <c r="BS50" i="5307"/>
  <c r="BS51" i="5307"/>
  <c r="BS52" i="5307"/>
  <c r="BS53" i="5307"/>
  <c r="BS54" i="5307"/>
  <c r="BS2" i="5306"/>
  <c r="BS3" i="5306"/>
  <c r="BS4" i="5306"/>
  <c r="BS5" i="5306"/>
  <c r="BS6" i="5306"/>
  <c r="BS7" i="5306"/>
  <c r="BS8" i="5306"/>
  <c r="BS9" i="5306"/>
  <c r="BS10" i="5306"/>
  <c r="BS11" i="5306"/>
  <c r="BS12" i="5306"/>
  <c r="BS13" i="5306"/>
  <c r="BS14" i="5306"/>
  <c r="BS15" i="5306"/>
  <c r="BS16" i="5306"/>
  <c r="BS17" i="5306"/>
  <c r="BS18" i="5306"/>
  <c r="BS19" i="5306"/>
  <c r="BS20" i="5306"/>
  <c r="BS21" i="5306"/>
  <c r="BS22" i="5306"/>
  <c r="BS23" i="5306"/>
  <c r="BS24" i="5306"/>
  <c r="BS25" i="5306"/>
  <c r="BS26" i="5306"/>
  <c r="BS27" i="5306"/>
  <c r="BS28" i="5306"/>
  <c r="BS29" i="5306"/>
  <c r="BS30" i="5306"/>
  <c r="BS31" i="5306"/>
  <c r="BS32" i="5306"/>
  <c r="BS33" i="5306"/>
  <c r="BS34" i="5306"/>
  <c r="BS35" i="5306"/>
  <c r="BS36" i="5306"/>
  <c r="BS37" i="5306"/>
  <c r="BS38" i="5306"/>
  <c r="BS39" i="5306"/>
  <c r="BS40" i="5306"/>
  <c r="BS41" i="5306"/>
  <c r="BS42" i="5306"/>
  <c r="BS43" i="5306"/>
  <c r="BS44" i="5306"/>
  <c r="BS45" i="5306"/>
  <c r="BS46" i="5306"/>
  <c r="BS47" i="5306"/>
  <c r="BS48" i="5306"/>
  <c r="BS49" i="5306"/>
  <c r="BS50" i="5306"/>
  <c r="BS51" i="5306"/>
  <c r="BS52" i="5306"/>
  <c r="BS53" i="5306"/>
  <c r="BS54" i="5306"/>
  <c r="BS2" i="5305"/>
  <c r="BS3" i="5305"/>
  <c r="BS4" i="5305"/>
  <c r="BS5" i="5305"/>
  <c r="BS6" i="5305"/>
  <c r="BS7" i="5305"/>
  <c r="BS8" i="5305"/>
  <c r="BS9" i="5305"/>
  <c r="BS10" i="5305"/>
  <c r="BS11" i="5305"/>
  <c r="BS12" i="5305"/>
  <c r="BS13" i="5305"/>
  <c r="BS14" i="5305"/>
  <c r="BS15" i="5305"/>
  <c r="BS16" i="5305"/>
  <c r="BS17" i="5305"/>
  <c r="BS18" i="5305"/>
  <c r="BS19" i="5305"/>
  <c r="BS20" i="5305"/>
  <c r="BS21" i="5305"/>
  <c r="BS22" i="5305"/>
  <c r="BS23" i="5305"/>
  <c r="BS24" i="5305"/>
  <c r="BS25" i="5305"/>
  <c r="BS26" i="5305"/>
  <c r="BS27" i="5305"/>
  <c r="BS28" i="5305"/>
  <c r="BS29" i="5305"/>
  <c r="BS30" i="5305"/>
  <c r="BS31" i="5305"/>
  <c r="BS32" i="5305"/>
  <c r="BS33" i="5305"/>
  <c r="BS34" i="5305"/>
  <c r="BS35" i="5305"/>
  <c r="BS36" i="5305"/>
  <c r="BS37" i="5305"/>
  <c r="BS38" i="5305"/>
  <c r="BS39" i="5305"/>
  <c r="BS40" i="5305"/>
  <c r="BS41" i="5305"/>
  <c r="BS42" i="5305"/>
  <c r="BS43" i="5305"/>
  <c r="BS44" i="5305"/>
  <c r="BS45" i="5305"/>
  <c r="BS46" i="5305"/>
  <c r="BS47" i="5305"/>
  <c r="BS48" i="5305"/>
  <c r="BS49" i="5305"/>
  <c r="BS50" i="5305"/>
  <c r="BS51" i="5305"/>
  <c r="BS52" i="5305"/>
  <c r="BS53" i="5305"/>
  <c r="BS54" i="5305"/>
  <c r="BS2" i="5304"/>
  <c r="BS3" i="5304"/>
  <c r="BS4" i="5304"/>
  <c r="BS5" i="5304"/>
  <c r="BS6" i="5304"/>
  <c r="BS7" i="5304"/>
  <c r="BS8" i="5304"/>
  <c r="BS9" i="5304"/>
  <c r="BS10" i="5304"/>
  <c r="BS11" i="5304"/>
  <c r="BS12" i="5304"/>
  <c r="BS13" i="5304"/>
  <c r="BS14" i="5304"/>
  <c r="BS15" i="5304"/>
  <c r="BS16" i="5304"/>
  <c r="BS17" i="5304"/>
  <c r="BS18" i="5304"/>
  <c r="BS19" i="5304"/>
  <c r="BS20" i="5304"/>
  <c r="BS21" i="5304"/>
  <c r="BS22" i="5304"/>
  <c r="BS23" i="5304"/>
  <c r="BS24" i="5304"/>
  <c r="BS25" i="5304"/>
  <c r="BS26" i="5304"/>
  <c r="BS27" i="5304"/>
  <c r="BS28" i="5304"/>
  <c r="BS29" i="5304"/>
  <c r="BS30" i="5304"/>
  <c r="BS31" i="5304"/>
  <c r="BS32" i="5304"/>
  <c r="BS33" i="5304"/>
  <c r="BS34" i="5304"/>
  <c r="BS35" i="5304"/>
  <c r="BS36" i="5304"/>
  <c r="BS37" i="5304"/>
  <c r="BS38" i="5304"/>
  <c r="BS39" i="5304"/>
  <c r="BS40" i="5304"/>
  <c r="BS41" i="5304"/>
  <c r="BS42" i="5304"/>
  <c r="BS43" i="5304"/>
  <c r="BS44" i="5304"/>
  <c r="BS45" i="5304"/>
  <c r="BS46" i="5304"/>
  <c r="BS47" i="5304"/>
  <c r="BS48" i="5304"/>
  <c r="BS49" i="5304"/>
  <c r="BS50" i="5304"/>
  <c r="BS51" i="5304"/>
  <c r="BS52" i="5304"/>
  <c r="BS53" i="5304"/>
  <c r="BS54" i="5304"/>
  <c r="BS2" i="5303"/>
  <c r="BS3" i="5303"/>
  <c r="BS4" i="5303"/>
  <c r="BS5" i="5303"/>
  <c r="BS6" i="5303"/>
  <c r="BS7" i="5303"/>
  <c r="BS8" i="5303"/>
  <c r="BS9" i="5303"/>
  <c r="BS10" i="5303"/>
  <c r="BS11" i="5303"/>
  <c r="BS12" i="5303"/>
  <c r="BS13" i="5303"/>
  <c r="BS14" i="5303"/>
  <c r="BS15" i="5303"/>
  <c r="BS16" i="5303"/>
  <c r="BS17" i="5303"/>
  <c r="BS18" i="5303"/>
  <c r="BS19" i="5303"/>
  <c r="BS20" i="5303"/>
  <c r="BS21" i="5303"/>
  <c r="BS22" i="5303"/>
  <c r="BS23" i="5303"/>
  <c r="BS24" i="5303"/>
  <c r="BS25" i="5303"/>
  <c r="BS26" i="5303"/>
  <c r="BS27" i="5303"/>
  <c r="BS28" i="5303"/>
  <c r="BS29" i="5303"/>
  <c r="BS30" i="5303"/>
  <c r="BS31" i="5303"/>
  <c r="BS32" i="5303"/>
  <c r="BS33" i="5303"/>
  <c r="BS34" i="5303"/>
  <c r="BS35" i="5303"/>
  <c r="BS36" i="5303"/>
  <c r="BS37" i="5303"/>
  <c r="BS38" i="5303"/>
  <c r="BS39" i="5303"/>
  <c r="BS40" i="5303"/>
  <c r="BS41" i="5303"/>
  <c r="BS42" i="5303"/>
  <c r="BS43" i="5303"/>
  <c r="BS44" i="5303"/>
  <c r="BS45" i="5303"/>
  <c r="BS46" i="5303"/>
  <c r="BS47" i="5303"/>
  <c r="BS48" i="5303"/>
  <c r="BS49" i="5303"/>
  <c r="BS50" i="5303"/>
  <c r="BS51" i="5303"/>
  <c r="BS52" i="5303"/>
  <c r="BS53" i="5303"/>
  <c r="BS54" i="5303"/>
  <c r="BS2" i="5302"/>
  <c r="BS3" i="5302"/>
  <c r="BS4" i="5302"/>
  <c r="BS5" i="5302"/>
  <c r="BS6" i="5302"/>
  <c r="BS7" i="5302"/>
  <c r="BS8" i="5302"/>
  <c r="BS9" i="5302"/>
  <c r="BS10" i="5302"/>
  <c r="BS11" i="5302"/>
  <c r="BS12" i="5302"/>
  <c r="BS13" i="5302"/>
  <c r="BS14" i="5302"/>
  <c r="BS15" i="5302"/>
  <c r="BS16" i="5302"/>
  <c r="BS17" i="5302"/>
  <c r="BS18" i="5302"/>
  <c r="BS19" i="5302"/>
  <c r="BS20" i="5302"/>
  <c r="BS21" i="5302"/>
  <c r="BS22" i="5302"/>
  <c r="BS23" i="5302"/>
  <c r="BS24" i="5302"/>
  <c r="BS25" i="5302"/>
  <c r="BS26" i="5302"/>
  <c r="BS27" i="5302"/>
  <c r="BS28" i="5302"/>
  <c r="BS29" i="5302"/>
  <c r="BS30" i="5302"/>
  <c r="BS31" i="5302"/>
  <c r="BS32" i="5302"/>
  <c r="BS33" i="5302"/>
  <c r="BS34" i="5302"/>
  <c r="BS35" i="5302"/>
  <c r="BS36" i="5302"/>
  <c r="BS37" i="5302"/>
  <c r="BS38" i="5302"/>
  <c r="BS39" i="5302"/>
  <c r="BS40" i="5302"/>
  <c r="BS41" i="5302"/>
  <c r="BS42" i="5302"/>
  <c r="BS43" i="5302"/>
  <c r="BS44" i="5302"/>
  <c r="BS45" i="5302"/>
  <c r="BS46" i="5302"/>
  <c r="BS47" i="5302"/>
  <c r="BS48" i="5302"/>
  <c r="BS49" i="5302"/>
  <c r="BS50" i="5302"/>
  <c r="BS51" i="5302"/>
  <c r="BS52" i="5302"/>
  <c r="BS53" i="5302"/>
  <c r="BS54" i="5302"/>
  <c r="BR2" i="5307"/>
  <c r="BR3" i="5307"/>
  <c r="BR4" i="5307"/>
  <c r="BR5" i="5307"/>
  <c r="BR6" i="5307"/>
  <c r="BR7" i="5307"/>
  <c r="BR8" i="5307"/>
  <c r="BR9" i="5307"/>
  <c r="BR10" i="5307"/>
  <c r="BR11" i="5307"/>
  <c r="BR12" i="5307"/>
  <c r="BR13" i="5307"/>
  <c r="BR14" i="5307"/>
  <c r="BR15" i="5307"/>
  <c r="BR16" i="5307"/>
  <c r="BR17" i="5307"/>
  <c r="BR18" i="5307"/>
  <c r="BR19" i="5307"/>
  <c r="BR20" i="5307"/>
  <c r="BR21" i="5307"/>
  <c r="BR22" i="5307"/>
  <c r="BR23" i="5307"/>
  <c r="BR24" i="5307"/>
  <c r="BR25" i="5307"/>
  <c r="BR26" i="5307"/>
  <c r="BR27" i="5307"/>
  <c r="BR28" i="5307"/>
  <c r="BR29" i="5307"/>
  <c r="BR30" i="5307"/>
  <c r="BR31" i="5307"/>
  <c r="BR32" i="5307"/>
  <c r="BR33" i="5307"/>
  <c r="BR34" i="5307"/>
  <c r="BR35" i="5307"/>
  <c r="BR36" i="5307"/>
  <c r="BR37" i="5307"/>
  <c r="BR38" i="5307"/>
  <c r="BR39" i="5307"/>
  <c r="BR40" i="5307"/>
  <c r="BR41" i="5307"/>
  <c r="BR42" i="5307"/>
  <c r="BR43" i="5307"/>
  <c r="BR44" i="5307"/>
  <c r="BR45" i="5307"/>
  <c r="BR46" i="5307"/>
  <c r="BR47" i="5307"/>
  <c r="BR48" i="5307"/>
  <c r="BR49" i="5307"/>
  <c r="BR50" i="5307"/>
  <c r="BR51" i="5307"/>
  <c r="BR52" i="5307"/>
  <c r="BR53" i="5307"/>
  <c r="BR54" i="5307"/>
  <c r="BR2" i="5306"/>
  <c r="BR3" i="5306"/>
  <c r="BR4" i="5306"/>
  <c r="BR5" i="5306"/>
  <c r="BR6" i="5306"/>
  <c r="BR7" i="5306"/>
  <c r="BR8" i="5306"/>
  <c r="BR9" i="5306"/>
  <c r="BR10" i="5306"/>
  <c r="BR11" i="5306"/>
  <c r="BR12" i="5306"/>
  <c r="BR13" i="5306"/>
  <c r="BR14" i="5306"/>
  <c r="BR15" i="5306"/>
  <c r="BR16" i="5306"/>
  <c r="BR17" i="5306"/>
  <c r="BR18" i="5306"/>
  <c r="BR19" i="5306"/>
  <c r="BR20" i="5306"/>
  <c r="BR21" i="5306"/>
  <c r="BR22" i="5306"/>
  <c r="BR23" i="5306"/>
  <c r="BR24" i="5306"/>
  <c r="BR25" i="5306"/>
  <c r="BR26" i="5306"/>
  <c r="BR27" i="5306"/>
  <c r="BR28" i="5306"/>
  <c r="BR29" i="5306"/>
  <c r="BR30" i="5306"/>
  <c r="BR31" i="5306"/>
  <c r="BR32" i="5306"/>
  <c r="BR33" i="5306"/>
  <c r="BR34" i="5306"/>
  <c r="BR35" i="5306"/>
  <c r="BR36" i="5306"/>
  <c r="BR37" i="5306"/>
  <c r="BR38" i="5306"/>
  <c r="BR39" i="5306"/>
  <c r="BR40" i="5306"/>
  <c r="BR41" i="5306"/>
  <c r="BR42" i="5306"/>
  <c r="BR43" i="5306"/>
  <c r="BR44" i="5306"/>
  <c r="BR45" i="5306"/>
  <c r="BR46" i="5306"/>
  <c r="BR47" i="5306"/>
  <c r="BR48" i="5306"/>
  <c r="BR49" i="5306"/>
  <c r="BR50" i="5306"/>
  <c r="BR51" i="5306"/>
  <c r="BR52" i="5306"/>
  <c r="BR53" i="5306"/>
  <c r="BR54" i="5306"/>
  <c r="BR2" i="5305"/>
  <c r="BR3" i="5305"/>
  <c r="BR4" i="5305"/>
  <c r="BR5" i="5305"/>
  <c r="BR6" i="5305"/>
  <c r="BR7" i="5305"/>
  <c r="BR8" i="5305"/>
  <c r="BR9" i="5305"/>
  <c r="BR10" i="5305"/>
  <c r="BR11" i="5305"/>
  <c r="BR12" i="5305"/>
  <c r="BR13" i="5305"/>
  <c r="BR14" i="5305"/>
  <c r="BR15" i="5305"/>
  <c r="BR16" i="5305"/>
  <c r="BR17" i="5305"/>
  <c r="BR18" i="5305"/>
  <c r="BR19" i="5305"/>
  <c r="BR20" i="5305"/>
  <c r="BR21" i="5305"/>
  <c r="BR22" i="5305"/>
  <c r="BR23" i="5305"/>
  <c r="BR24" i="5305"/>
  <c r="BR25" i="5305"/>
  <c r="BR26" i="5305"/>
  <c r="BR27" i="5305"/>
  <c r="BR28" i="5305"/>
  <c r="BR29" i="5305"/>
  <c r="BR30" i="5305"/>
  <c r="BR31" i="5305"/>
  <c r="BR32" i="5305"/>
  <c r="BR33" i="5305"/>
  <c r="BR34" i="5305"/>
  <c r="BR35" i="5305"/>
  <c r="BR36" i="5305"/>
  <c r="BR37" i="5305"/>
  <c r="BR38" i="5305"/>
  <c r="BR39" i="5305"/>
  <c r="BR40" i="5305"/>
  <c r="BR41" i="5305"/>
  <c r="BR42" i="5305"/>
  <c r="BR43" i="5305"/>
  <c r="BR44" i="5305"/>
  <c r="BR45" i="5305"/>
  <c r="BR46" i="5305"/>
  <c r="BR47" i="5305"/>
  <c r="BR48" i="5305"/>
  <c r="BR49" i="5305"/>
  <c r="BR50" i="5305"/>
  <c r="BR51" i="5305"/>
  <c r="BR52" i="5305"/>
  <c r="BR53" i="5305"/>
  <c r="BR54" i="5305"/>
  <c r="BR2" i="5304"/>
  <c r="BR3" i="5304"/>
  <c r="BR4" i="5304"/>
  <c r="BR5" i="5304"/>
  <c r="BR6" i="5304"/>
  <c r="BR7" i="5304"/>
  <c r="BR8" i="5304"/>
  <c r="BR9" i="5304"/>
  <c r="BR10" i="5304"/>
  <c r="BR11" i="5304"/>
  <c r="BR12" i="5304"/>
  <c r="BR13" i="5304"/>
  <c r="BR14" i="5304"/>
  <c r="BR15" i="5304"/>
  <c r="BR16" i="5304"/>
  <c r="BR17" i="5304"/>
  <c r="BR18" i="5304"/>
  <c r="BR19" i="5304"/>
  <c r="BR20" i="5304"/>
  <c r="BR21" i="5304"/>
  <c r="BR22" i="5304"/>
  <c r="BR23" i="5304"/>
  <c r="BR24" i="5304"/>
  <c r="BR25" i="5304"/>
  <c r="BR26" i="5304"/>
  <c r="BR27" i="5304"/>
  <c r="BR28" i="5304"/>
  <c r="BR29" i="5304"/>
  <c r="BR30" i="5304"/>
  <c r="BR31" i="5304"/>
  <c r="BR32" i="5304"/>
  <c r="BR33" i="5304"/>
  <c r="BR34" i="5304"/>
  <c r="BR35" i="5304"/>
  <c r="BR36" i="5304"/>
  <c r="BR37" i="5304"/>
  <c r="BR38" i="5304"/>
  <c r="BR39" i="5304"/>
  <c r="BR40" i="5304"/>
  <c r="BR41" i="5304"/>
  <c r="BR42" i="5304"/>
  <c r="BR43" i="5304"/>
  <c r="BR44" i="5304"/>
  <c r="BR45" i="5304"/>
  <c r="BR46" i="5304"/>
  <c r="BR47" i="5304"/>
  <c r="BR48" i="5304"/>
  <c r="BR49" i="5304"/>
  <c r="BR50" i="5304"/>
  <c r="BR51" i="5304"/>
  <c r="BR52" i="5304"/>
  <c r="BR53" i="5304"/>
  <c r="BR54" i="5304"/>
  <c r="BR2" i="5303"/>
  <c r="BR3" i="5303"/>
  <c r="BR4" i="5303"/>
  <c r="BR5" i="5303"/>
  <c r="BR6" i="5303"/>
  <c r="BR7" i="5303"/>
  <c r="BR8" i="5303"/>
  <c r="BR9" i="5303"/>
  <c r="BR10" i="5303"/>
  <c r="BR11" i="5303"/>
  <c r="BR12" i="5303"/>
  <c r="BR13" i="5303"/>
  <c r="BR14" i="5303"/>
  <c r="BR15" i="5303"/>
  <c r="BR16" i="5303"/>
  <c r="BR17" i="5303"/>
  <c r="BR18" i="5303"/>
  <c r="BR19" i="5303"/>
  <c r="BR20" i="5303"/>
  <c r="BR21" i="5303"/>
  <c r="BR22" i="5303"/>
  <c r="BR23" i="5303"/>
  <c r="BR24" i="5303"/>
  <c r="BR25" i="5303"/>
  <c r="BR26" i="5303"/>
  <c r="BR27" i="5303"/>
  <c r="BR28" i="5303"/>
  <c r="BR29" i="5303"/>
  <c r="BR30" i="5303"/>
  <c r="BR31" i="5303"/>
  <c r="BR32" i="5303"/>
  <c r="BR33" i="5303"/>
  <c r="BR34" i="5303"/>
  <c r="BR35" i="5303"/>
  <c r="BR36" i="5303"/>
  <c r="BR37" i="5303"/>
  <c r="BR38" i="5303"/>
  <c r="BR39" i="5303"/>
  <c r="BR40" i="5303"/>
  <c r="BR41" i="5303"/>
  <c r="BR42" i="5303"/>
  <c r="BR43" i="5303"/>
  <c r="BR44" i="5303"/>
  <c r="BR45" i="5303"/>
  <c r="BR46" i="5303"/>
  <c r="BR47" i="5303"/>
  <c r="BR48" i="5303"/>
  <c r="BR49" i="5303"/>
  <c r="BR50" i="5303"/>
  <c r="BR51" i="5303"/>
  <c r="BR52" i="5303"/>
  <c r="BR53" i="5303"/>
  <c r="BR54" i="5303"/>
  <c r="BR2" i="5302"/>
  <c r="BR3" i="5302"/>
  <c r="BR4" i="5302"/>
  <c r="BR5" i="5302"/>
  <c r="BR6" i="5302"/>
  <c r="BR7" i="5302"/>
  <c r="BR8" i="5302"/>
  <c r="BR9" i="5302"/>
  <c r="BR10" i="5302"/>
  <c r="BR11" i="5302"/>
  <c r="BR12" i="5302"/>
  <c r="BR13" i="5302"/>
  <c r="BR14" i="5302"/>
  <c r="BR15" i="5302"/>
  <c r="BR16" i="5302"/>
  <c r="BR17" i="5302"/>
  <c r="BR18" i="5302"/>
  <c r="BR19" i="5302"/>
  <c r="BR20" i="5302"/>
  <c r="BR21" i="5302"/>
  <c r="BR22" i="5302"/>
  <c r="BR23" i="5302"/>
  <c r="BR24" i="5302"/>
  <c r="BR25" i="5302"/>
  <c r="BR26" i="5302"/>
  <c r="BR27" i="5302"/>
  <c r="BR28" i="5302"/>
  <c r="BR29" i="5302"/>
  <c r="BR30" i="5302"/>
  <c r="BR31" i="5302"/>
  <c r="BR32" i="5302"/>
  <c r="BR33" i="5302"/>
  <c r="BR34" i="5302"/>
  <c r="BR35" i="5302"/>
  <c r="BR36" i="5302"/>
  <c r="BR37" i="5302"/>
  <c r="BR38" i="5302"/>
  <c r="BR39" i="5302"/>
  <c r="BR40" i="5302"/>
  <c r="BR41" i="5302"/>
  <c r="BR42" i="5302"/>
  <c r="BR43" i="5302"/>
  <c r="BR44" i="5302"/>
  <c r="BR45" i="5302"/>
  <c r="BR46" i="5302"/>
  <c r="BR47" i="5302"/>
  <c r="BR48" i="5302"/>
  <c r="BR49" i="5302"/>
  <c r="BR50" i="5302"/>
  <c r="BR51" i="5302"/>
  <c r="BR52" i="5302"/>
  <c r="BR53" i="5302"/>
  <c r="BR54" i="5302"/>
  <c r="BQ2" i="5307"/>
  <c r="BQ3" i="5307"/>
  <c r="BQ4" i="5307"/>
  <c r="BQ5" i="5307"/>
  <c r="BQ6" i="5307"/>
  <c r="BQ7" i="5307"/>
  <c r="BQ8" i="5307"/>
  <c r="BQ9" i="5307"/>
  <c r="BQ10" i="5307"/>
  <c r="BQ11" i="5307"/>
  <c r="BQ12" i="5307"/>
  <c r="BQ13" i="5307"/>
  <c r="BQ14" i="5307"/>
  <c r="BQ15" i="5307"/>
  <c r="BQ16" i="5307"/>
  <c r="BQ17" i="5307"/>
  <c r="BQ18" i="5307"/>
  <c r="BQ19" i="5307"/>
  <c r="BQ20" i="5307"/>
  <c r="BQ21" i="5307"/>
  <c r="BQ22" i="5307"/>
  <c r="BQ23" i="5307"/>
  <c r="BQ24" i="5307"/>
  <c r="BQ25" i="5307"/>
  <c r="BQ26" i="5307"/>
  <c r="BQ27" i="5307"/>
  <c r="BQ28" i="5307"/>
  <c r="BQ29" i="5307"/>
  <c r="BQ30" i="5307"/>
  <c r="BQ31" i="5307"/>
  <c r="BQ32" i="5307"/>
  <c r="BQ33" i="5307"/>
  <c r="BQ34" i="5307"/>
  <c r="BQ35" i="5307"/>
  <c r="BQ36" i="5307"/>
  <c r="BQ37" i="5307"/>
  <c r="BQ38" i="5307"/>
  <c r="BQ39" i="5307"/>
  <c r="BQ40" i="5307"/>
  <c r="BQ41" i="5307"/>
  <c r="BQ42" i="5307"/>
  <c r="BQ43" i="5307"/>
  <c r="BQ44" i="5307"/>
  <c r="BQ45" i="5307"/>
  <c r="BQ46" i="5307"/>
  <c r="BQ47" i="5307"/>
  <c r="BQ48" i="5307"/>
  <c r="BQ49" i="5307"/>
  <c r="BQ50" i="5307"/>
  <c r="BQ51" i="5307"/>
  <c r="BQ52" i="5307"/>
  <c r="BQ53" i="5307"/>
  <c r="BQ54" i="5307"/>
  <c r="BQ2" i="5306"/>
  <c r="BQ3" i="5306"/>
  <c r="BQ4" i="5306"/>
  <c r="BQ5" i="5306"/>
  <c r="BQ6" i="5306"/>
  <c r="BQ7" i="5306"/>
  <c r="BQ8" i="5306"/>
  <c r="BQ9" i="5306"/>
  <c r="BQ10" i="5306"/>
  <c r="BQ11" i="5306"/>
  <c r="BQ12" i="5306"/>
  <c r="BQ13" i="5306"/>
  <c r="BQ14" i="5306"/>
  <c r="BQ15" i="5306"/>
  <c r="BQ16" i="5306"/>
  <c r="BQ17" i="5306"/>
  <c r="BQ18" i="5306"/>
  <c r="BQ19" i="5306"/>
  <c r="BQ20" i="5306"/>
  <c r="BQ21" i="5306"/>
  <c r="BQ22" i="5306"/>
  <c r="BQ23" i="5306"/>
  <c r="BQ24" i="5306"/>
  <c r="BQ25" i="5306"/>
  <c r="BQ26" i="5306"/>
  <c r="BQ27" i="5306"/>
  <c r="BQ28" i="5306"/>
  <c r="BQ29" i="5306"/>
  <c r="BQ30" i="5306"/>
  <c r="BQ31" i="5306"/>
  <c r="BQ32" i="5306"/>
  <c r="BQ33" i="5306"/>
  <c r="BQ34" i="5306"/>
  <c r="BQ35" i="5306"/>
  <c r="BQ36" i="5306"/>
  <c r="BQ37" i="5306"/>
  <c r="BQ38" i="5306"/>
  <c r="BQ39" i="5306"/>
  <c r="BQ40" i="5306"/>
  <c r="BQ41" i="5306"/>
  <c r="BQ42" i="5306"/>
  <c r="BQ43" i="5306"/>
  <c r="BQ44" i="5306"/>
  <c r="BQ45" i="5306"/>
  <c r="BQ46" i="5306"/>
  <c r="BQ47" i="5306"/>
  <c r="BQ48" i="5306"/>
  <c r="BQ49" i="5306"/>
  <c r="BQ50" i="5306"/>
  <c r="BQ51" i="5306"/>
  <c r="BQ52" i="5306"/>
  <c r="BQ53" i="5306"/>
  <c r="BQ54" i="5306"/>
  <c r="BQ2" i="5305"/>
  <c r="BQ3" i="5305"/>
  <c r="BQ4" i="5305"/>
  <c r="BQ5" i="5305"/>
  <c r="BQ6" i="5305"/>
  <c r="BQ7" i="5305"/>
  <c r="BQ8" i="5305"/>
  <c r="BQ9" i="5305"/>
  <c r="BQ10" i="5305"/>
  <c r="BQ11" i="5305"/>
  <c r="BQ12" i="5305"/>
  <c r="BQ13" i="5305"/>
  <c r="BQ14" i="5305"/>
  <c r="BQ15" i="5305"/>
  <c r="BQ16" i="5305"/>
  <c r="BQ17" i="5305"/>
  <c r="BQ18" i="5305"/>
  <c r="BQ19" i="5305"/>
  <c r="BQ20" i="5305"/>
  <c r="BQ21" i="5305"/>
  <c r="BQ22" i="5305"/>
  <c r="BQ23" i="5305"/>
  <c r="BQ24" i="5305"/>
  <c r="BQ25" i="5305"/>
  <c r="BQ26" i="5305"/>
  <c r="BQ27" i="5305"/>
  <c r="BQ28" i="5305"/>
  <c r="BQ29" i="5305"/>
  <c r="BQ30" i="5305"/>
  <c r="BQ31" i="5305"/>
  <c r="BQ32" i="5305"/>
  <c r="BQ33" i="5305"/>
  <c r="BQ34" i="5305"/>
  <c r="BQ35" i="5305"/>
  <c r="BQ36" i="5305"/>
  <c r="BQ37" i="5305"/>
  <c r="BQ38" i="5305"/>
  <c r="BQ39" i="5305"/>
  <c r="BQ40" i="5305"/>
  <c r="BQ41" i="5305"/>
  <c r="BQ42" i="5305"/>
  <c r="BQ43" i="5305"/>
  <c r="BQ44" i="5305"/>
  <c r="BQ45" i="5305"/>
  <c r="BQ46" i="5305"/>
  <c r="BQ47" i="5305"/>
  <c r="BQ48" i="5305"/>
  <c r="BQ49" i="5305"/>
  <c r="BQ50" i="5305"/>
  <c r="BQ51" i="5305"/>
  <c r="BQ52" i="5305"/>
  <c r="BQ53" i="5305"/>
  <c r="BQ54" i="5305"/>
  <c r="BQ2" i="5304"/>
  <c r="BQ3" i="5304"/>
  <c r="BQ4" i="5304"/>
  <c r="BQ5" i="5304"/>
  <c r="BQ6" i="5304"/>
  <c r="BQ7" i="5304"/>
  <c r="BQ8" i="5304"/>
  <c r="BQ9" i="5304"/>
  <c r="BQ10" i="5304"/>
  <c r="BQ11" i="5304"/>
  <c r="BQ12" i="5304"/>
  <c r="BQ13" i="5304"/>
  <c r="BQ14" i="5304"/>
  <c r="BQ15" i="5304"/>
  <c r="BQ16" i="5304"/>
  <c r="BQ17" i="5304"/>
  <c r="BQ18" i="5304"/>
  <c r="BQ19" i="5304"/>
  <c r="BQ20" i="5304"/>
  <c r="BQ21" i="5304"/>
  <c r="BQ22" i="5304"/>
  <c r="BQ23" i="5304"/>
  <c r="BQ24" i="5304"/>
  <c r="BQ25" i="5304"/>
  <c r="BQ26" i="5304"/>
  <c r="BQ27" i="5304"/>
  <c r="BQ28" i="5304"/>
  <c r="BQ29" i="5304"/>
  <c r="BQ30" i="5304"/>
  <c r="BQ31" i="5304"/>
  <c r="BQ32" i="5304"/>
  <c r="BQ33" i="5304"/>
  <c r="BQ34" i="5304"/>
  <c r="BQ35" i="5304"/>
  <c r="BQ36" i="5304"/>
  <c r="BQ37" i="5304"/>
  <c r="BQ38" i="5304"/>
  <c r="BQ39" i="5304"/>
  <c r="BQ40" i="5304"/>
  <c r="BQ41" i="5304"/>
  <c r="BQ42" i="5304"/>
  <c r="BQ43" i="5304"/>
  <c r="BQ44" i="5304"/>
  <c r="BQ45" i="5304"/>
  <c r="BQ46" i="5304"/>
  <c r="BQ47" i="5304"/>
  <c r="BQ48" i="5304"/>
  <c r="BQ49" i="5304"/>
  <c r="BQ50" i="5304"/>
  <c r="BQ51" i="5304"/>
  <c r="BQ52" i="5304"/>
  <c r="BQ53" i="5304"/>
  <c r="BQ54" i="5304"/>
  <c r="BQ2" i="5303"/>
  <c r="BQ3" i="5303"/>
  <c r="BQ4" i="5303"/>
  <c r="BQ5" i="5303"/>
  <c r="BQ6" i="5303"/>
  <c r="BQ7" i="5303"/>
  <c r="BQ8" i="5303"/>
  <c r="BQ9" i="5303"/>
  <c r="BQ10" i="5303"/>
  <c r="BQ11" i="5303"/>
  <c r="BQ12" i="5303"/>
  <c r="BQ13" i="5303"/>
  <c r="BQ14" i="5303"/>
  <c r="BQ15" i="5303"/>
  <c r="BQ16" i="5303"/>
  <c r="BQ17" i="5303"/>
  <c r="BQ18" i="5303"/>
  <c r="BQ19" i="5303"/>
  <c r="BQ20" i="5303"/>
  <c r="BQ21" i="5303"/>
  <c r="BQ22" i="5303"/>
  <c r="BQ23" i="5303"/>
  <c r="BQ24" i="5303"/>
  <c r="BQ25" i="5303"/>
  <c r="BQ26" i="5303"/>
  <c r="BQ27" i="5303"/>
  <c r="BQ28" i="5303"/>
  <c r="BQ29" i="5303"/>
  <c r="BQ30" i="5303"/>
  <c r="BQ31" i="5303"/>
  <c r="BQ32" i="5303"/>
  <c r="BQ33" i="5303"/>
  <c r="BQ34" i="5303"/>
  <c r="BQ35" i="5303"/>
  <c r="BQ36" i="5303"/>
  <c r="BQ37" i="5303"/>
  <c r="BQ38" i="5303"/>
  <c r="BQ39" i="5303"/>
  <c r="BQ40" i="5303"/>
  <c r="BQ41" i="5303"/>
  <c r="BQ42" i="5303"/>
  <c r="BQ43" i="5303"/>
  <c r="BQ44" i="5303"/>
  <c r="BQ45" i="5303"/>
  <c r="BQ46" i="5303"/>
  <c r="BQ47" i="5303"/>
  <c r="BQ48" i="5303"/>
  <c r="BQ49" i="5303"/>
  <c r="BQ50" i="5303"/>
  <c r="BQ51" i="5303"/>
  <c r="BQ52" i="5303"/>
  <c r="BQ53" i="5303"/>
  <c r="BQ54" i="5303"/>
  <c r="BQ2" i="5302"/>
  <c r="BQ3" i="5302"/>
  <c r="BQ4" i="5302"/>
  <c r="BQ5" i="5302"/>
  <c r="BQ6" i="5302"/>
  <c r="BQ7" i="5302"/>
  <c r="BQ8" i="5302"/>
  <c r="BQ9" i="5302"/>
  <c r="BQ10" i="5302"/>
  <c r="BQ11" i="5302"/>
  <c r="BQ12" i="5302"/>
  <c r="BQ13" i="5302"/>
  <c r="BQ14" i="5302"/>
  <c r="BQ15" i="5302"/>
  <c r="BQ16" i="5302"/>
  <c r="BQ17" i="5302"/>
  <c r="BQ18" i="5302"/>
  <c r="BQ19" i="5302"/>
  <c r="BQ20" i="5302"/>
  <c r="BQ21" i="5302"/>
  <c r="BQ22" i="5302"/>
  <c r="BQ23" i="5302"/>
  <c r="BQ24" i="5302"/>
  <c r="BQ25" i="5302"/>
  <c r="BQ26" i="5302"/>
  <c r="BQ27" i="5302"/>
  <c r="BQ28" i="5302"/>
  <c r="BQ29" i="5302"/>
  <c r="BQ30" i="5302"/>
  <c r="BQ31" i="5302"/>
  <c r="BQ32" i="5302"/>
  <c r="BQ33" i="5302"/>
  <c r="BQ34" i="5302"/>
  <c r="BQ35" i="5302"/>
  <c r="BQ36" i="5302"/>
  <c r="BQ37" i="5302"/>
  <c r="BQ38" i="5302"/>
  <c r="BQ39" i="5302"/>
  <c r="BQ40" i="5302"/>
  <c r="BQ41" i="5302"/>
  <c r="BQ42" i="5302"/>
  <c r="BQ43" i="5302"/>
  <c r="BQ44" i="5302"/>
  <c r="BQ45" i="5302"/>
  <c r="BQ46" i="5302"/>
  <c r="BQ47" i="5302"/>
  <c r="BQ48" i="5302"/>
  <c r="BQ49" i="5302"/>
  <c r="BQ50" i="5302"/>
  <c r="BQ51" i="5302"/>
  <c r="BQ52" i="5302"/>
  <c r="BQ53" i="5302"/>
  <c r="BQ54" i="5302"/>
  <c r="BP2" i="5307"/>
  <c r="BP3" i="5307"/>
  <c r="BP4" i="5307"/>
  <c r="BP5" i="5307"/>
  <c r="BP6" i="5307"/>
  <c r="BP7" i="5307"/>
  <c r="BP8" i="5307"/>
  <c r="BP9" i="5307"/>
  <c r="BP10" i="5307"/>
  <c r="BP11" i="5307"/>
  <c r="BP12" i="5307"/>
  <c r="BP13" i="5307"/>
  <c r="BP14" i="5307"/>
  <c r="BP15" i="5307"/>
  <c r="BP16" i="5307"/>
  <c r="BP17" i="5307"/>
  <c r="BP18" i="5307"/>
  <c r="BP19" i="5307"/>
  <c r="BP20" i="5307"/>
  <c r="BP21" i="5307"/>
  <c r="BP22" i="5307"/>
  <c r="BP23" i="5307"/>
  <c r="BP24" i="5307"/>
  <c r="BP25" i="5307"/>
  <c r="BP26" i="5307"/>
  <c r="BP27" i="5307"/>
  <c r="BP28" i="5307"/>
  <c r="BP29" i="5307"/>
  <c r="BP30" i="5307"/>
  <c r="BP31" i="5307"/>
  <c r="BP32" i="5307"/>
  <c r="BP33" i="5307"/>
  <c r="BP34" i="5307"/>
  <c r="BP35" i="5307"/>
  <c r="BP36" i="5307"/>
  <c r="BP37" i="5307"/>
  <c r="BP38" i="5307"/>
  <c r="BP39" i="5307"/>
  <c r="BP40" i="5307"/>
  <c r="BP41" i="5307"/>
  <c r="BP42" i="5307"/>
  <c r="BP43" i="5307"/>
  <c r="BP44" i="5307"/>
  <c r="BP45" i="5307"/>
  <c r="BP46" i="5307"/>
  <c r="BP47" i="5307"/>
  <c r="BP48" i="5307"/>
  <c r="BP49" i="5307"/>
  <c r="BP50" i="5307"/>
  <c r="BP51" i="5307"/>
  <c r="BP52" i="5307"/>
  <c r="BP53" i="5307"/>
  <c r="BP54" i="5307"/>
  <c r="BP2" i="5306"/>
  <c r="BP3" i="5306"/>
  <c r="BP4" i="5306"/>
  <c r="BP5" i="5306"/>
  <c r="BP6" i="5306"/>
  <c r="BP7" i="5306"/>
  <c r="BP8" i="5306"/>
  <c r="BP9" i="5306"/>
  <c r="BP10" i="5306"/>
  <c r="BP11" i="5306"/>
  <c r="BP12" i="5306"/>
  <c r="BP13" i="5306"/>
  <c r="BP14" i="5306"/>
  <c r="BP15" i="5306"/>
  <c r="BP16" i="5306"/>
  <c r="BP17" i="5306"/>
  <c r="BP18" i="5306"/>
  <c r="BP19" i="5306"/>
  <c r="BP20" i="5306"/>
  <c r="BP21" i="5306"/>
  <c r="BP22" i="5306"/>
  <c r="BP23" i="5306"/>
  <c r="BP24" i="5306"/>
  <c r="BP25" i="5306"/>
  <c r="BP26" i="5306"/>
  <c r="BP27" i="5306"/>
  <c r="BP28" i="5306"/>
  <c r="BP29" i="5306"/>
  <c r="BP30" i="5306"/>
  <c r="BP31" i="5306"/>
  <c r="BP32" i="5306"/>
  <c r="BP33" i="5306"/>
  <c r="BP34" i="5306"/>
  <c r="BP35" i="5306"/>
  <c r="BP36" i="5306"/>
  <c r="BP37" i="5306"/>
  <c r="BP38" i="5306"/>
  <c r="BP39" i="5306"/>
  <c r="BP40" i="5306"/>
  <c r="BP41" i="5306"/>
  <c r="BP42" i="5306"/>
  <c r="BP43" i="5306"/>
  <c r="BP44" i="5306"/>
  <c r="BP45" i="5306"/>
  <c r="BP46" i="5306"/>
  <c r="BP47" i="5306"/>
  <c r="BP48" i="5306"/>
  <c r="BP49" i="5306"/>
  <c r="BP50" i="5306"/>
  <c r="BP51" i="5306"/>
  <c r="BP52" i="5306"/>
  <c r="BP53" i="5306"/>
  <c r="BP54" i="5306"/>
  <c r="BP2" i="5305"/>
  <c r="BP3" i="5305"/>
  <c r="BP4" i="5305"/>
  <c r="BP5" i="5305"/>
  <c r="BP6" i="5305"/>
  <c r="BP7" i="5305"/>
  <c r="BP8" i="5305"/>
  <c r="BP9" i="5305"/>
  <c r="BP10" i="5305"/>
  <c r="BP11" i="5305"/>
  <c r="BP12" i="5305"/>
  <c r="BP13" i="5305"/>
  <c r="BP14" i="5305"/>
  <c r="BP15" i="5305"/>
  <c r="BP16" i="5305"/>
  <c r="BP17" i="5305"/>
  <c r="BP18" i="5305"/>
  <c r="BP19" i="5305"/>
  <c r="BP20" i="5305"/>
  <c r="BP21" i="5305"/>
  <c r="BP22" i="5305"/>
  <c r="BP23" i="5305"/>
  <c r="BP24" i="5305"/>
  <c r="BP25" i="5305"/>
  <c r="BP26" i="5305"/>
  <c r="BP27" i="5305"/>
  <c r="BP28" i="5305"/>
  <c r="BP29" i="5305"/>
  <c r="BP30" i="5305"/>
  <c r="BP31" i="5305"/>
  <c r="BP32" i="5305"/>
  <c r="BP33" i="5305"/>
  <c r="BP34" i="5305"/>
  <c r="BP35" i="5305"/>
  <c r="BP36" i="5305"/>
  <c r="BP37" i="5305"/>
  <c r="BP38" i="5305"/>
  <c r="BP39" i="5305"/>
  <c r="BP40" i="5305"/>
  <c r="BP41" i="5305"/>
  <c r="BP42" i="5305"/>
  <c r="BP43" i="5305"/>
  <c r="BP44" i="5305"/>
  <c r="BP45" i="5305"/>
  <c r="BP46" i="5305"/>
  <c r="BP47" i="5305"/>
  <c r="BP48" i="5305"/>
  <c r="BP49" i="5305"/>
  <c r="BP50" i="5305"/>
  <c r="BP51" i="5305"/>
  <c r="BP52" i="5305"/>
  <c r="BP53" i="5305"/>
  <c r="BP54" i="5305"/>
  <c r="BP2" i="5304"/>
  <c r="BP3" i="5304"/>
  <c r="BP4" i="5304"/>
  <c r="BP5" i="5304"/>
  <c r="BP6" i="5304"/>
  <c r="BP7" i="5304"/>
  <c r="BP8" i="5304"/>
  <c r="BP9" i="5304"/>
  <c r="BP10" i="5304"/>
  <c r="BP11" i="5304"/>
  <c r="BP12" i="5304"/>
  <c r="BP13" i="5304"/>
  <c r="BP14" i="5304"/>
  <c r="BP15" i="5304"/>
  <c r="BP16" i="5304"/>
  <c r="BP17" i="5304"/>
  <c r="BP18" i="5304"/>
  <c r="BP19" i="5304"/>
  <c r="BP20" i="5304"/>
  <c r="BP21" i="5304"/>
  <c r="BP22" i="5304"/>
  <c r="BP23" i="5304"/>
  <c r="BP24" i="5304"/>
  <c r="BP25" i="5304"/>
  <c r="BP26" i="5304"/>
  <c r="BP27" i="5304"/>
  <c r="BP28" i="5304"/>
  <c r="BP29" i="5304"/>
  <c r="BP30" i="5304"/>
  <c r="BP31" i="5304"/>
  <c r="BP32" i="5304"/>
  <c r="BP33" i="5304"/>
  <c r="BP34" i="5304"/>
  <c r="BP35" i="5304"/>
  <c r="BP36" i="5304"/>
  <c r="BP37" i="5304"/>
  <c r="BP38" i="5304"/>
  <c r="BP39" i="5304"/>
  <c r="BP40" i="5304"/>
  <c r="BP41" i="5304"/>
  <c r="BP42" i="5304"/>
  <c r="BP43" i="5304"/>
  <c r="BP44" i="5304"/>
  <c r="BP45" i="5304"/>
  <c r="BP46" i="5304"/>
  <c r="BP47" i="5304"/>
  <c r="BP48" i="5304"/>
  <c r="BP49" i="5304"/>
  <c r="BP50" i="5304"/>
  <c r="BP51" i="5304"/>
  <c r="BP52" i="5304"/>
  <c r="BP53" i="5304"/>
  <c r="BP54" i="5304"/>
  <c r="BP2" i="5303"/>
  <c r="BP3" i="5303"/>
  <c r="BP4" i="5303"/>
  <c r="BP5" i="5303"/>
  <c r="BP6" i="5303"/>
  <c r="BP7" i="5303"/>
  <c r="BP8" i="5303"/>
  <c r="BP9" i="5303"/>
  <c r="BP10" i="5303"/>
  <c r="BP11" i="5303"/>
  <c r="BP12" i="5303"/>
  <c r="BP13" i="5303"/>
  <c r="BP14" i="5303"/>
  <c r="BP15" i="5303"/>
  <c r="BP16" i="5303"/>
  <c r="BP17" i="5303"/>
  <c r="BP18" i="5303"/>
  <c r="BP19" i="5303"/>
  <c r="BP20" i="5303"/>
  <c r="BP21" i="5303"/>
  <c r="BP22" i="5303"/>
  <c r="BP23" i="5303"/>
  <c r="BP24" i="5303"/>
  <c r="BP25" i="5303"/>
  <c r="BP26" i="5303"/>
  <c r="BP27" i="5303"/>
  <c r="BP28" i="5303"/>
  <c r="BP29" i="5303"/>
  <c r="BP30" i="5303"/>
  <c r="BP31" i="5303"/>
  <c r="BP32" i="5303"/>
  <c r="BP33" i="5303"/>
  <c r="BP34" i="5303"/>
  <c r="BP35" i="5303"/>
  <c r="BP36" i="5303"/>
  <c r="BP37" i="5303"/>
  <c r="BP38" i="5303"/>
  <c r="BP39" i="5303"/>
  <c r="BP40" i="5303"/>
  <c r="BP41" i="5303"/>
  <c r="BP42" i="5303"/>
  <c r="BP43" i="5303"/>
  <c r="BP44" i="5303"/>
  <c r="BP45" i="5303"/>
  <c r="BP46" i="5303"/>
  <c r="BP47" i="5303"/>
  <c r="BP48" i="5303"/>
  <c r="BP49" i="5303"/>
  <c r="BP50" i="5303"/>
  <c r="BP51" i="5303"/>
  <c r="BP52" i="5303"/>
  <c r="BP53" i="5303"/>
  <c r="BP54" i="5303"/>
  <c r="BP2" i="5302"/>
  <c r="BP3" i="5302"/>
  <c r="BP4" i="5302"/>
  <c r="BP5" i="5302"/>
  <c r="BP6" i="5302"/>
  <c r="BP7" i="5302"/>
  <c r="BP8" i="5302"/>
  <c r="BP9" i="5302"/>
  <c r="BP10" i="5302"/>
  <c r="BP11" i="5302"/>
  <c r="BP12" i="5302"/>
  <c r="BP13" i="5302"/>
  <c r="BP14" i="5302"/>
  <c r="BP15" i="5302"/>
  <c r="BP16" i="5302"/>
  <c r="BP17" i="5302"/>
  <c r="BP18" i="5302"/>
  <c r="BP19" i="5302"/>
  <c r="BP20" i="5302"/>
  <c r="BP21" i="5302"/>
  <c r="BP22" i="5302"/>
  <c r="BP23" i="5302"/>
  <c r="BP24" i="5302"/>
  <c r="BP25" i="5302"/>
  <c r="BP26" i="5302"/>
  <c r="BP27" i="5302"/>
  <c r="BP28" i="5302"/>
  <c r="BP29" i="5302"/>
  <c r="BP30" i="5302"/>
  <c r="BP31" i="5302"/>
  <c r="BP32" i="5302"/>
  <c r="BP33" i="5302"/>
  <c r="BP34" i="5302"/>
  <c r="BP35" i="5302"/>
  <c r="BP36" i="5302"/>
  <c r="BP37" i="5302"/>
  <c r="BP38" i="5302"/>
  <c r="BP39" i="5302"/>
  <c r="BP40" i="5302"/>
  <c r="BP41" i="5302"/>
  <c r="BP42" i="5302"/>
  <c r="BP43" i="5302"/>
  <c r="BP44" i="5302"/>
  <c r="BP45" i="5302"/>
  <c r="BP46" i="5302"/>
  <c r="BP47" i="5302"/>
  <c r="BP48" i="5302"/>
  <c r="BP49" i="5302"/>
  <c r="BP50" i="5302"/>
  <c r="BP51" i="5302"/>
  <c r="BP52" i="5302"/>
  <c r="BP53" i="5302"/>
  <c r="BP54" i="5302"/>
  <c r="BO2" i="5307"/>
  <c r="BO3" i="5307"/>
  <c r="BO4" i="5307"/>
  <c r="BO5" i="5307"/>
  <c r="BO6" i="5307"/>
  <c r="BO7" i="5307"/>
  <c r="BO8" i="5307"/>
  <c r="BO9" i="5307"/>
  <c r="BO10" i="5307"/>
  <c r="BO11" i="5307"/>
  <c r="BO12" i="5307"/>
  <c r="BO13" i="5307"/>
  <c r="BO14" i="5307"/>
  <c r="BO15" i="5307"/>
  <c r="BO16" i="5307"/>
  <c r="BO17" i="5307"/>
  <c r="BO18" i="5307"/>
  <c r="BO19" i="5307"/>
  <c r="BO20" i="5307"/>
  <c r="BO21" i="5307"/>
  <c r="BO22" i="5307"/>
  <c r="BO23" i="5307"/>
  <c r="BO24" i="5307"/>
  <c r="BO25" i="5307"/>
  <c r="BO26" i="5307"/>
  <c r="BO27" i="5307"/>
  <c r="BO28" i="5307"/>
  <c r="BO29" i="5307"/>
  <c r="BO30" i="5307"/>
  <c r="BO31" i="5307"/>
  <c r="BO32" i="5307"/>
  <c r="BO33" i="5307"/>
  <c r="BO34" i="5307"/>
  <c r="BO35" i="5307"/>
  <c r="BO36" i="5307"/>
  <c r="BO37" i="5307"/>
  <c r="BO38" i="5307"/>
  <c r="BO39" i="5307"/>
  <c r="BO40" i="5307"/>
  <c r="BO41" i="5307"/>
  <c r="BO42" i="5307"/>
  <c r="BO43" i="5307"/>
  <c r="BO44" i="5307"/>
  <c r="BO45" i="5307"/>
  <c r="BO46" i="5307"/>
  <c r="BO47" i="5307"/>
  <c r="BO48" i="5307"/>
  <c r="BO49" i="5307"/>
  <c r="BO50" i="5307"/>
  <c r="BO51" i="5307"/>
  <c r="BO52" i="5307"/>
  <c r="BO53" i="5307"/>
  <c r="BO54" i="5307"/>
  <c r="BO2" i="5306"/>
  <c r="BO3" i="5306"/>
  <c r="BO4" i="5306"/>
  <c r="BO5" i="5306"/>
  <c r="BO6" i="5306"/>
  <c r="BO7" i="5306"/>
  <c r="BO8" i="5306"/>
  <c r="BO9" i="5306"/>
  <c r="BO10" i="5306"/>
  <c r="BO11" i="5306"/>
  <c r="BO12" i="5306"/>
  <c r="BO13" i="5306"/>
  <c r="BO14" i="5306"/>
  <c r="BO15" i="5306"/>
  <c r="BO16" i="5306"/>
  <c r="BO17" i="5306"/>
  <c r="BO18" i="5306"/>
  <c r="BO19" i="5306"/>
  <c r="BO20" i="5306"/>
  <c r="BO21" i="5306"/>
  <c r="BO22" i="5306"/>
  <c r="BO23" i="5306"/>
  <c r="BO24" i="5306"/>
  <c r="BO25" i="5306"/>
  <c r="BO26" i="5306"/>
  <c r="BO27" i="5306"/>
  <c r="BO28" i="5306"/>
  <c r="BO29" i="5306"/>
  <c r="BO30" i="5306"/>
  <c r="BO31" i="5306"/>
  <c r="BO32" i="5306"/>
  <c r="BO33" i="5306"/>
  <c r="BO34" i="5306"/>
  <c r="BO35" i="5306"/>
  <c r="BO36" i="5306"/>
  <c r="BO37" i="5306"/>
  <c r="BO38" i="5306"/>
  <c r="BO39" i="5306"/>
  <c r="BO40" i="5306"/>
  <c r="BO41" i="5306"/>
  <c r="BO42" i="5306"/>
  <c r="BO43" i="5306"/>
  <c r="BO44" i="5306"/>
  <c r="BO45" i="5306"/>
  <c r="BO46" i="5306"/>
  <c r="BO47" i="5306"/>
  <c r="BO48" i="5306"/>
  <c r="BO49" i="5306"/>
  <c r="BO50" i="5306"/>
  <c r="BO51" i="5306"/>
  <c r="BO52" i="5306"/>
  <c r="BO53" i="5306"/>
  <c r="BO54" i="5306"/>
  <c r="BO2" i="5305"/>
  <c r="BO3" i="5305"/>
  <c r="BO4" i="5305"/>
  <c r="BO5" i="5305"/>
  <c r="BO6" i="5305"/>
  <c r="BO7" i="5305"/>
  <c r="BO8" i="5305"/>
  <c r="BO9" i="5305"/>
  <c r="BO10" i="5305"/>
  <c r="BO11" i="5305"/>
  <c r="BO12" i="5305"/>
  <c r="BO13" i="5305"/>
  <c r="BO14" i="5305"/>
  <c r="BO15" i="5305"/>
  <c r="BO16" i="5305"/>
  <c r="BO17" i="5305"/>
  <c r="BO18" i="5305"/>
  <c r="BO19" i="5305"/>
  <c r="BO20" i="5305"/>
  <c r="BO21" i="5305"/>
  <c r="BO22" i="5305"/>
  <c r="BO23" i="5305"/>
  <c r="BO24" i="5305"/>
  <c r="BO25" i="5305"/>
  <c r="BO26" i="5305"/>
  <c r="BO27" i="5305"/>
  <c r="BO28" i="5305"/>
  <c r="BO29" i="5305"/>
  <c r="BO30" i="5305"/>
  <c r="BO31" i="5305"/>
  <c r="BO32" i="5305"/>
  <c r="BO33" i="5305"/>
  <c r="BO34" i="5305"/>
  <c r="BO35" i="5305"/>
  <c r="BO36" i="5305"/>
  <c r="BO37" i="5305"/>
  <c r="BO38" i="5305"/>
  <c r="BO39" i="5305"/>
  <c r="BO40" i="5305"/>
  <c r="BO41" i="5305"/>
  <c r="BO42" i="5305"/>
  <c r="BO43" i="5305"/>
  <c r="BO44" i="5305"/>
  <c r="BO45" i="5305"/>
  <c r="BO46" i="5305"/>
  <c r="BO47" i="5305"/>
  <c r="BO48" i="5305"/>
  <c r="BO49" i="5305"/>
  <c r="BO50" i="5305"/>
  <c r="BO51" i="5305"/>
  <c r="BO52" i="5305"/>
  <c r="BO53" i="5305"/>
  <c r="BO54" i="5305"/>
  <c r="BO2" i="5304"/>
  <c r="BO3" i="5304"/>
  <c r="BO4" i="5304"/>
  <c r="BO5" i="5304"/>
  <c r="BO6" i="5304"/>
  <c r="BO7" i="5304"/>
  <c r="BO8" i="5304"/>
  <c r="BO9" i="5304"/>
  <c r="BO10" i="5304"/>
  <c r="BO11" i="5304"/>
  <c r="BO12" i="5304"/>
  <c r="BO13" i="5304"/>
  <c r="BO14" i="5304"/>
  <c r="BO15" i="5304"/>
  <c r="BO16" i="5304"/>
  <c r="BO17" i="5304"/>
  <c r="BO18" i="5304"/>
  <c r="BO19" i="5304"/>
  <c r="BO20" i="5304"/>
  <c r="BO21" i="5304"/>
  <c r="BO22" i="5304"/>
  <c r="BO23" i="5304"/>
  <c r="BO24" i="5304"/>
  <c r="BO25" i="5304"/>
  <c r="BO26" i="5304"/>
  <c r="BO27" i="5304"/>
  <c r="BO28" i="5304"/>
  <c r="BO29" i="5304"/>
  <c r="BO30" i="5304"/>
  <c r="BO31" i="5304"/>
  <c r="BO32" i="5304"/>
  <c r="BO33" i="5304"/>
  <c r="BO34" i="5304"/>
  <c r="BO35" i="5304"/>
  <c r="BO36" i="5304"/>
  <c r="BO37" i="5304"/>
  <c r="BO38" i="5304"/>
  <c r="BO39" i="5304"/>
  <c r="BO40" i="5304"/>
  <c r="BO41" i="5304"/>
  <c r="BO42" i="5304"/>
  <c r="BO43" i="5304"/>
  <c r="BO44" i="5304"/>
  <c r="BO45" i="5304"/>
  <c r="BO46" i="5304"/>
  <c r="BO47" i="5304"/>
  <c r="BO48" i="5304"/>
  <c r="BO49" i="5304"/>
  <c r="BO50" i="5304"/>
  <c r="BO51" i="5304"/>
  <c r="BO52" i="5304"/>
  <c r="BO53" i="5304"/>
  <c r="BO54" i="5304"/>
  <c r="BO2" i="5303"/>
  <c r="BO3" i="5303"/>
  <c r="BO4" i="5303"/>
  <c r="BO5" i="5303"/>
  <c r="BO6" i="5303"/>
  <c r="BO7" i="5303"/>
  <c r="BO8" i="5303"/>
  <c r="BO9" i="5303"/>
  <c r="BO10" i="5303"/>
  <c r="BO11" i="5303"/>
  <c r="BO12" i="5303"/>
  <c r="BO13" i="5303"/>
  <c r="BO14" i="5303"/>
  <c r="BO15" i="5303"/>
  <c r="BO16" i="5303"/>
  <c r="BO17" i="5303"/>
  <c r="BO18" i="5303"/>
  <c r="BO19" i="5303"/>
  <c r="BO20" i="5303"/>
  <c r="BO21" i="5303"/>
  <c r="BO22" i="5303"/>
  <c r="BO23" i="5303"/>
  <c r="BO24" i="5303"/>
  <c r="BO25" i="5303"/>
  <c r="BO26" i="5303"/>
  <c r="BO27" i="5303"/>
  <c r="BO28" i="5303"/>
  <c r="BO29" i="5303"/>
  <c r="BO30" i="5303"/>
  <c r="BO31" i="5303"/>
  <c r="BO32" i="5303"/>
  <c r="BO33" i="5303"/>
  <c r="BO34" i="5303"/>
  <c r="BO35" i="5303"/>
  <c r="BO36" i="5303"/>
  <c r="BO37" i="5303"/>
  <c r="BO38" i="5303"/>
  <c r="BO39" i="5303"/>
  <c r="BO40" i="5303"/>
  <c r="BO41" i="5303"/>
  <c r="BO42" i="5303"/>
  <c r="BO43" i="5303"/>
  <c r="BO44" i="5303"/>
  <c r="BO45" i="5303"/>
  <c r="BO46" i="5303"/>
  <c r="BO47" i="5303"/>
  <c r="BO48" i="5303"/>
  <c r="BO49" i="5303"/>
  <c r="BO50" i="5303"/>
  <c r="BO51" i="5303"/>
  <c r="BO52" i="5303"/>
  <c r="BO53" i="5303"/>
  <c r="BO54" i="5303"/>
  <c r="BO2" i="5302"/>
  <c r="BO3" i="5302"/>
  <c r="BO4" i="5302"/>
  <c r="BO5" i="5302"/>
  <c r="BO6" i="5302"/>
  <c r="BO7" i="5302"/>
  <c r="BO8" i="5302"/>
  <c r="BO9" i="5302"/>
  <c r="BO10" i="5302"/>
  <c r="BO11" i="5302"/>
  <c r="BO12" i="5302"/>
  <c r="BO13" i="5302"/>
  <c r="BO14" i="5302"/>
  <c r="BO15" i="5302"/>
  <c r="BO16" i="5302"/>
  <c r="BO17" i="5302"/>
  <c r="BO18" i="5302"/>
  <c r="BO19" i="5302"/>
  <c r="BO20" i="5302"/>
  <c r="BO21" i="5302"/>
  <c r="BO22" i="5302"/>
  <c r="BO23" i="5302"/>
  <c r="BO24" i="5302"/>
  <c r="BO25" i="5302"/>
  <c r="BO26" i="5302"/>
  <c r="BO27" i="5302"/>
  <c r="BO28" i="5302"/>
  <c r="BO29" i="5302"/>
  <c r="BO30" i="5302"/>
  <c r="BO31" i="5302"/>
  <c r="BO32" i="5302"/>
  <c r="BO33" i="5302"/>
  <c r="BO34" i="5302"/>
  <c r="BO35" i="5302"/>
  <c r="BO36" i="5302"/>
  <c r="BO37" i="5302"/>
  <c r="BO38" i="5302"/>
  <c r="BO39" i="5302"/>
  <c r="BO40" i="5302"/>
  <c r="BO41" i="5302"/>
  <c r="BO42" i="5302"/>
  <c r="BO43" i="5302"/>
  <c r="BO44" i="5302"/>
  <c r="BO45" i="5302"/>
  <c r="BO46" i="5302"/>
  <c r="BO47" i="5302"/>
  <c r="BO48" i="5302"/>
  <c r="BO49" i="5302"/>
  <c r="BO50" i="5302"/>
  <c r="BO51" i="5302"/>
  <c r="BO52" i="5302"/>
  <c r="BO53" i="5302"/>
  <c r="BO54" i="5302"/>
  <c r="BN2" i="5307"/>
  <c r="BN3" i="5307"/>
  <c r="BN4" i="5307"/>
  <c r="BN5" i="5307"/>
  <c r="BN6" i="5307"/>
  <c r="BN7" i="5307"/>
  <c r="BN8" i="5307"/>
  <c r="BN9" i="5307"/>
  <c r="BN10" i="5307"/>
  <c r="BN11" i="5307"/>
  <c r="BN12" i="5307"/>
  <c r="BN13" i="5307"/>
  <c r="BN14" i="5307"/>
  <c r="BN15" i="5307"/>
  <c r="BN16" i="5307"/>
  <c r="BN17" i="5307"/>
  <c r="BN18" i="5307"/>
  <c r="BN19" i="5307"/>
  <c r="BN20" i="5307"/>
  <c r="BN21" i="5307"/>
  <c r="BN22" i="5307"/>
  <c r="BN23" i="5307"/>
  <c r="BN24" i="5307"/>
  <c r="BN25" i="5307"/>
  <c r="BN26" i="5307"/>
  <c r="BN27" i="5307"/>
  <c r="BN28" i="5307"/>
  <c r="BN29" i="5307"/>
  <c r="BN30" i="5307"/>
  <c r="BN31" i="5307"/>
  <c r="BN32" i="5307"/>
  <c r="BN33" i="5307"/>
  <c r="BN34" i="5307"/>
  <c r="BN35" i="5307"/>
  <c r="BN36" i="5307"/>
  <c r="BN37" i="5307"/>
  <c r="BN38" i="5307"/>
  <c r="BN39" i="5307"/>
  <c r="BN40" i="5307"/>
  <c r="BN41" i="5307"/>
  <c r="BN42" i="5307"/>
  <c r="BN43" i="5307"/>
  <c r="BN44" i="5307"/>
  <c r="BN45" i="5307"/>
  <c r="BN46" i="5307"/>
  <c r="BN47" i="5307"/>
  <c r="BN48" i="5307"/>
  <c r="BN49" i="5307"/>
  <c r="BN50" i="5307"/>
  <c r="BN51" i="5307"/>
  <c r="BN52" i="5307"/>
  <c r="BN53" i="5307"/>
  <c r="BN54" i="5307"/>
  <c r="BN2" i="5306"/>
  <c r="BN3" i="5306"/>
  <c r="BN4" i="5306"/>
  <c r="BN5" i="5306"/>
  <c r="BN6" i="5306"/>
  <c r="BN7" i="5306"/>
  <c r="BN8" i="5306"/>
  <c r="BN9" i="5306"/>
  <c r="BN10" i="5306"/>
  <c r="BN11" i="5306"/>
  <c r="BN12" i="5306"/>
  <c r="BN13" i="5306"/>
  <c r="BN14" i="5306"/>
  <c r="BN15" i="5306"/>
  <c r="BN16" i="5306"/>
  <c r="BN17" i="5306"/>
  <c r="BN18" i="5306"/>
  <c r="BN19" i="5306"/>
  <c r="BN20" i="5306"/>
  <c r="BN21" i="5306"/>
  <c r="BN22" i="5306"/>
  <c r="BN23" i="5306"/>
  <c r="BN24" i="5306"/>
  <c r="BN25" i="5306"/>
  <c r="BN26" i="5306"/>
  <c r="BN27" i="5306"/>
  <c r="BN28" i="5306"/>
  <c r="BN29" i="5306"/>
  <c r="BN30" i="5306"/>
  <c r="BN31" i="5306"/>
  <c r="BN32" i="5306"/>
  <c r="BN33" i="5306"/>
  <c r="BN34" i="5306"/>
  <c r="BN35" i="5306"/>
  <c r="BN36" i="5306"/>
  <c r="BN37" i="5306"/>
  <c r="BN38" i="5306"/>
  <c r="BN39" i="5306"/>
  <c r="BN40" i="5306"/>
  <c r="BN41" i="5306"/>
  <c r="BN42" i="5306"/>
  <c r="BN43" i="5306"/>
  <c r="BN44" i="5306"/>
  <c r="BN45" i="5306"/>
  <c r="BN46" i="5306"/>
  <c r="BN47" i="5306"/>
  <c r="BN48" i="5306"/>
  <c r="BN49" i="5306"/>
  <c r="BN50" i="5306"/>
  <c r="BN51" i="5306"/>
  <c r="BN52" i="5306"/>
  <c r="BN53" i="5306"/>
  <c r="BN54" i="5306"/>
  <c r="BN2" i="5305"/>
  <c r="BN3" i="5305"/>
  <c r="BN4" i="5305"/>
  <c r="BN5" i="5305"/>
  <c r="BN6" i="5305"/>
  <c r="BN7" i="5305"/>
  <c r="BN8" i="5305"/>
  <c r="BN9" i="5305"/>
  <c r="BN10" i="5305"/>
  <c r="BN11" i="5305"/>
  <c r="BN12" i="5305"/>
  <c r="BN13" i="5305"/>
  <c r="BN14" i="5305"/>
  <c r="BN15" i="5305"/>
  <c r="BN16" i="5305"/>
  <c r="BN17" i="5305"/>
  <c r="BN18" i="5305"/>
  <c r="BN19" i="5305"/>
  <c r="BN20" i="5305"/>
  <c r="BN21" i="5305"/>
  <c r="BN22" i="5305"/>
  <c r="BN23" i="5305"/>
  <c r="BN24" i="5305"/>
  <c r="BN25" i="5305"/>
  <c r="BN26" i="5305"/>
  <c r="BN27" i="5305"/>
  <c r="BN28" i="5305"/>
  <c r="BN29" i="5305"/>
  <c r="BN30" i="5305"/>
  <c r="BN31" i="5305"/>
  <c r="BN32" i="5305"/>
  <c r="BN33" i="5305"/>
  <c r="BN34" i="5305"/>
  <c r="BN35" i="5305"/>
  <c r="BN36" i="5305"/>
  <c r="BN37" i="5305"/>
  <c r="BN38" i="5305"/>
  <c r="BN39" i="5305"/>
  <c r="BN40" i="5305"/>
  <c r="BN41" i="5305"/>
  <c r="BN42" i="5305"/>
  <c r="BN43" i="5305"/>
  <c r="BN44" i="5305"/>
  <c r="BN45" i="5305"/>
  <c r="BN46" i="5305"/>
  <c r="BN47" i="5305"/>
  <c r="BN48" i="5305"/>
  <c r="BN49" i="5305"/>
  <c r="BN50" i="5305"/>
  <c r="BN51" i="5305"/>
  <c r="BN52" i="5305"/>
  <c r="BN53" i="5305"/>
  <c r="BN54" i="5305"/>
  <c r="BN2" i="5304"/>
  <c r="BN3" i="5304"/>
  <c r="BN4" i="5304"/>
  <c r="BN5" i="5304"/>
  <c r="BN6" i="5304"/>
  <c r="BN7" i="5304"/>
  <c r="BN8" i="5304"/>
  <c r="BN9" i="5304"/>
  <c r="BN10" i="5304"/>
  <c r="BN11" i="5304"/>
  <c r="BN12" i="5304"/>
  <c r="BN13" i="5304"/>
  <c r="BN14" i="5304"/>
  <c r="BN15" i="5304"/>
  <c r="BN16" i="5304"/>
  <c r="BN17" i="5304"/>
  <c r="BN18" i="5304"/>
  <c r="BN19" i="5304"/>
  <c r="BN20" i="5304"/>
  <c r="BN21" i="5304"/>
  <c r="BN22" i="5304"/>
  <c r="BN23" i="5304"/>
  <c r="BN24" i="5304"/>
  <c r="BN25" i="5304"/>
  <c r="BN26" i="5304"/>
  <c r="BN27" i="5304"/>
  <c r="BN28" i="5304"/>
  <c r="BN29" i="5304"/>
  <c r="BN30" i="5304"/>
  <c r="BN31" i="5304"/>
  <c r="BN32" i="5304"/>
  <c r="BN33" i="5304"/>
  <c r="BN34" i="5304"/>
  <c r="BN35" i="5304"/>
  <c r="BN36" i="5304"/>
  <c r="BN37" i="5304"/>
  <c r="BN38" i="5304"/>
  <c r="BN39" i="5304"/>
  <c r="BN40" i="5304"/>
  <c r="BN41" i="5304"/>
  <c r="BN42" i="5304"/>
  <c r="BN43" i="5304"/>
  <c r="BN44" i="5304"/>
  <c r="BN45" i="5304"/>
  <c r="BN46" i="5304"/>
  <c r="BN47" i="5304"/>
  <c r="BN48" i="5304"/>
  <c r="BN49" i="5304"/>
  <c r="BN50" i="5304"/>
  <c r="BN51" i="5304"/>
  <c r="BN52" i="5304"/>
  <c r="BN53" i="5304"/>
  <c r="BN54" i="5304"/>
  <c r="BN2" i="5303"/>
  <c r="BN3" i="5303"/>
  <c r="BN4" i="5303"/>
  <c r="BN5" i="5303"/>
  <c r="BN6" i="5303"/>
  <c r="BN7" i="5303"/>
  <c r="BN8" i="5303"/>
  <c r="BN9" i="5303"/>
  <c r="BN10" i="5303"/>
  <c r="BN11" i="5303"/>
  <c r="BN12" i="5303"/>
  <c r="BN13" i="5303"/>
  <c r="BN14" i="5303"/>
  <c r="BN15" i="5303"/>
  <c r="BN16" i="5303"/>
  <c r="BN17" i="5303"/>
  <c r="BN18" i="5303"/>
  <c r="BN19" i="5303"/>
  <c r="BN20" i="5303"/>
  <c r="BN21" i="5303"/>
  <c r="BN22" i="5303"/>
  <c r="BN23" i="5303"/>
  <c r="BN24" i="5303"/>
  <c r="BN25" i="5303"/>
  <c r="BN26" i="5303"/>
  <c r="BN27" i="5303"/>
  <c r="BN28" i="5303"/>
  <c r="BN29" i="5303"/>
  <c r="BN30" i="5303"/>
  <c r="BN31" i="5303"/>
  <c r="BN32" i="5303"/>
  <c r="BN33" i="5303"/>
  <c r="BN34" i="5303"/>
  <c r="BN35" i="5303"/>
  <c r="BN36" i="5303"/>
  <c r="BN37" i="5303"/>
  <c r="BN38" i="5303"/>
  <c r="BN39" i="5303"/>
  <c r="BN40" i="5303"/>
  <c r="BN41" i="5303"/>
  <c r="BN42" i="5303"/>
  <c r="BN43" i="5303"/>
  <c r="BN44" i="5303"/>
  <c r="BN45" i="5303"/>
  <c r="BN46" i="5303"/>
  <c r="BN47" i="5303"/>
  <c r="BN48" i="5303"/>
  <c r="BN49" i="5303"/>
  <c r="BN50" i="5303"/>
  <c r="BN51" i="5303"/>
  <c r="BN52" i="5303"/>
  <c r="BN53" i="5303"/>
  <c r="BN54" i="5303"/>
  <c r="BN2" i="5302"/>
  <c r="BN3" i="5302"/>
  <c r="BN4" i="5302"/>
  <c r="BN5" i="5302"/>
  <c r="BN6" i="5302"/>
  <c r="BN7" i="5302"/>
  <c r="BN8" i="5302"/>
  <c r="BN9" i="5302"/>
  <c r="BN10" i="5302"/>
  <c r="BN11" i="5302"/>
  <c r="BN12" i="5302"/>
  <c r="BN13" i="5302"/>
  <c r="BN14" i="5302"/>
  <c r="BN15" i="5302"/>
  <c r="BN16" i="5302"/>
  <c r="BN17" i="5302"/>
  <c r="BN18" i="5302"/>
  <c r="BN19" i="5302"/>
  <c r="BN20" i="5302"/>
  <c r="BN21" i="5302"/>
  <c r="BN22" i="5302"/>
  <c r="BN23" i="5302"/>
  <c r="BN24" i="5302"/>
  <c r="BN25" i="5302"/>
  <c r="BN26" i="5302"/>
  <c r="BN27" i="5302"/>
  <c r="BN28" i="5302"/>
  <c r="BN29" i="5302"/>
  <c r="BN30" i="5302"/>
  <c r="BN31" i="5302"/>
  <c r="BN32" i="5302"/>
  <c r="BN33" i="5302"/>
  <c r="BN34" i="5302"/>
  <c r="BN35" i="5302"/>
  <c r="BN36" i="5302"/>
  <c r="BN37" i="5302"/>
  <c r="BN38" i="5302"/>
  <c r="BN39" i="5302"/>
  <c r="BN40" i="5302"/>
  <c r="BN41" i="5302"/>
  <c r="BN42" i="5302"/>
  <c r="BN43" i="5302"/>
  <c r="BN44" i="5302"/>
  <c r="BN45" i="5302"/>
  <c r="BN46" i="5302"/>
  <c r="BN47" i="5302"/>
  <c r="BN48" i="5302"/>
  <c r="BN49" i="5302"/>
  <c r="BN50" i="5302"/>
  <c r="BN51" i="5302"/>
  <c r="BN52" i="5302"/>
  <c r="BN53" i="5302"/>
  <c r="BN54" i="5302"/>
  <c r="BM2" i="5307"/>
  <c r="BM3" i="5307"/>
  <c r="BM4" i="5307"/>
  <c r="BM5" i="5307"/>
  <c r="BM6" i="5307"/>
  <c r="BM7" i="5307"/>
  <c r="BM8" i="5307"/>
  <c r="BM9" i="5307"/>
  <c r="BM10" i="5307"/>
  <c r="BM11" i="5307"/>
  <c r="BM12" i="5307"/>
  <c r="BM13" i="5307"/>
  <c r="BM14" i="5307"/>
  <c r="BM15" i="5307"/>
  <c r="BM16" i="5307"/>
  <c r="BM17" i="5307"/>
  <c r="BM18" i="5307"/>
  <c r="BM19" i="5307"/>
  <c r="BM20" i="5307"/>
  <c r="BM21" i="5307"/>
  <c r="BM22" i="5307"/>
  <c r="BM23" i="5307"/>
  <c r="BM24" i="5307"/>
  <c r="BM25" i="5307"/>
  <c r="BM26" i="5307"/>
  <c r="BM27" i="5307"/>
  <c r="BM28" i="5307"/>
  <c r="BM29" i="5307"/>
  <c r="BM30" i="5307"/>
  <c r="BM31" i="5307"/>
  <c r="BM32" i="5307"/>
  <c r="BM33" i="5307"/>
  <c r="BM34" i="5307"/>
  <c r="BM35" i="5307"/>
  <c r="BM36" i="5307"/>
  <c r="BM37" i="5307"/>
  <c r="BM38" i="5307"/>
  <c r="BM39" i="5307"/>
  <c r="BM40" i="5307"/>
  <c r="BM41" i="5307"/>
  <c r="BM42" i="5307"/>
  <c r="BM43" i="5307"/>
  <c r="BM44" i="5307"/>
  <c r="BM45" i="5307"/>
  <c r="BM46" i="5307"/>
  <c r="BM47" i="5307"/>
  <c r="BM48" i="5307"/>
  <c r="BM49" i="5307"/>
  <c r="BM50" i="5307"/>
  <c r="BM51" i="5307"/>
  <c r="BM52" i="5307"/>
  <c r="BM53" i="5307"/>
  <c r="BM54" i="5307"/>
  <c r="BM2" i="5306"/>
  <c r="BM3" i="5306"/>
  <c r="BM4" i="5306"/>
  <c r="BM5" i="5306"/>
  <c r="BM6" i="5306"/>
  <c r="BM7" i="5306"/>
  <c r="BM8" i="5306"/>
  <c r="BM9" i="5306"/>
  <c r="BM10" i="5306"/>
  <c r="BM11" i="5306"/>
  <c r="BM12" i="5306"/>
  <c r="BM13" i="5306"/>
  <c r="BM14" i="5306"/>
  <c r="BM15" i="5306"/>
  <c r="BM16" i="5306"/>
  <c r="BM17" i="5306"/>
  <c r="BM18" i="5306"/>
  <c r="BM19" i="5306"/>
  <c r="BM20" i="5306"/>
  <c r="BM21" i="5306"/>
  <c r="BM22" i="5306"/>
  <c r="BM23" i="5306"/>
  <c r="BM24" i="5306"/>
  <c r="BM25" i="5306"/>
  <c r="BM26" i="5306"/>
  <c r="BM27" i="5306"/>
  <c r="BM28" i="5306"/>
  <c r="BM29" i="5306"/>
  <c r="BM30" i="5306"/>
  <c r="BM31" i="5306"/>
  <c r="BM32" i="5306"/>
  <c r="BM33" i="5306"/>
  <c r="BM34" i="5306"/>
  <c r="BM35" i="5306"/>
  <c r="BM36" i="5306"/>
  <c r="BM37" i="5306"/>
  <c r="BM38" i="5306"/>
  <c r="BM39" i="5306"/>
  <c r="BM40" i="5306"/>
  <c r="BM41" i="5306"/>
  <c r="BM42" i="5306"/>
  <c r="BM43" i="5306"/>
  <c r="BM44" i="5306"/>
  <c r="BM45" i="5306"/>
  <c r="BM46" i="5306"/>
  <c r="BM47" i="5306"/>
  <c r="BM48" i="5306"/>
  <c r="BM49" i="5306"/>
  <c r="BM50" i="5306"/>
  <c r="BM51" i="5306"/>
  <c r="BM52" i="5306"/>
  <c r="BM53" i="5306"/>
  <c r="BM54" i="5306"/>
  <c r="BM2" i="5305"/>
  <c r="BM3" i="5305"/>
  <c r="BM4" i="5305"/>
  <c r="BM5" i="5305"/>
  <c r="BM6" i="5305"/>
  <c r="BM7" i="5305"/>
  <c r="BM8" i="5305"/>
  <c r="BM9" i="5305"/>
  <c r="BM10" i="5305"/>
  <c r="BM11" i="5305"/>
  <c r="BM12" i="5305"/>
  <c r="BM13" i="5305"/>
  <c r="BM14" i="5305"/>
  <c r="BM15" i="5305"/>
  <c r="BM16" i="5305"/>
  <c r="BM17" i="5305"/>
  <c r="BM18" i="5305"/>
  <c r="BM19" i="5305"/>
  <c r="BM20" i="5305"/>
  <c r="BM21" i="5305"/>
  <c r="BM22" i="5305"/>
  <c r="BM23" i="5305"/>
  <c r="BM24" i="5305"/>
  <c r="BM25" i="5305"/>
  <c r="BM26" i="5305"/>
  <c r="BM27" i="5305"/>
  <c r="BM28" i="5305"/>
  <c r="BM29" i="5305"/>
  <c r="BM30" i="5305"/>
  <c r="BM31" i="5305"/>
  <c r="BM32" i="5305"/>
  <c r="BM33" i="5305"/>
  <c r="BM34" i="5305"/>
  <c r="BM35" i="5305"/>
  <c r="BM36" i="5305"/>
  <c r="BM37" i="5305"/>
  <c r="BM38" i="5305"/>
  <c r="BM39" i="5305"/>
  <c r="BM40" i="5305"/>
  <c r="BM41" i="5305"/>
  <c r="BM42" i="5305"/>
  <c r="BM43" i="5305"/>
  <c r="BM44" i="5305"/>
  <c r="BM45" i="5305"/>
  <c r="BM46" i="5305"/>
  <c r="BM47" i="5305"/>
  <c r="BM48" i="5305"/>
  <c r="BM49" i="5305"/>
  <c r="BM50" i="5305"/>
  <c r="BM51" i="5305"/>
  <c r="BM52" i="5305"/>
  <c r="BM53" i="5305"/>
  <c r="BM54" i="5305"/>
  <c r="BM2" i="5304"/>
  <c r="BM3" i="5304"/>
  <c r="BM4" i="5304"/>
  <c r="BM5" i="5304"/>
  <c r="BM6" i="5304"/>
  <c r="BM7" i="5304"/>
  <c r="BM8" i="5304"/>
  <c r="BM9" i="5304"/>
  <c r="BM10" i="5304"/>
  <c r="BM11" i="5304"/>
  <c r="BM12" i="5304"/>
  <c r="BM13" i="5304"/>
  <c r="BM14" i="5304"/>
  <c r="BM15" i="5304"/>
  <c r="BM16" i="5304"/>
  <c r="BM17" i="5304"/>
  <c r="BM18" i="5304"/>
  <c r="BM19" i="5304"/>
  <c r="BM20" i="5304"/>
  <c r="BM21" i="5304"/>
  <c r="BM22" i="5304"/>
  <c r="BM23" i="5304"/>
  <c r="BM24" i="5304"/>
  <c r="BM25" i="5304"/>
  <c r="BM26" i="5304"/>
  <c r="BM27" i="5304"/>
  <c r="BM28" i="5304"/>
  <c r="BM29" i="5304"/>
  <c r="BM30" i="5304"/>
  <c r="BM31" i="5304"/>
  <c r="BM32" i="5304"/>
  <c r="BM33" i="5304"/>
  <c r="BM34" i="5304"/>
  <c r="BM35" i="5304"/>
  <c r="BM36" i="5304"/>
  <c r="BM37" i="5304"/>
  <c r="BM38" i="5304"/>
  <c r="BM39" i="5304"/>
  <c r="BM40" i="5304"/>
  <c r="BM41" i="5304"/>
  <c r="BM42" i="5304"/>
  <c r="BM43" i="5304"/>
  <c r="BM44" i="5304"/>
  <c r="BM45" i="5304"/>
  <c r="BM46" i="5304"/>
  <c r="BM47" i="5304"/>
  <c r="BM48" i="5304"/>
  <c r="BM49" i="5304"/>
  <c r="BM50" i="5304"/>
  <c r="BM51" i="5304"/>
  <c r="BM52" i="5304"/>
  <c r="BM53" i="5304"/>
  <c r="BM54" i="5304"/>
  <c r="BM2" i="5303"/>
  <c r="BM3" i="5303"/>
  <c r="BM4" i="5303"/>
  <c r="BM5" i="5303"/>
  <c r="BM6" i="5303"/>
  <c r="BM7" i="5303"/>
  <c r="BM8" i="5303"/>
  <c r="BM9" i="5303"/>
  <c r="BM10" i="5303"/>
  <c r="BM11" i="5303"/>
  <c r="BM12" i="5303"/>
  <c r="BM13" i="5303"/>
  <c r="BM14" i="5303"/>
  <c r="BM15" i="5303"/>
  <c r="BM16" i="5303"/>
  <c r="BM17" i="5303"/>
  <c r="BM18" i="5303"/>
  <c r="BM19" i="5303"/>
  <c r="BM20" i="5303"/>
  <c r="BM21" i="5303"/>
  <c r="BM22" i="5303"/>
  <c r="BM23" i="5303"/>
  <c r="BM24" i="5303"/>
  <c r="BM25" i="5303"/>
  <c r="BM26" i="5303"/>
  <c r="BM27" i="5303"/>
  <c r="BM28" i="5303"/>
  <c r="BM29" i="5303"/>
  <c r="BM30" i="5303"/>
  <c r="BM31" i="5303"/>
  <c r="BM32" i="5303"/>
  <c r="BM33" i="5303"/>
  <c r="BM34" i="5303"/>
  <c r="BM35" i="5303"/>
  <c r="BM36" i="5303"/>
  <c r="BM37" i="5303"/>
  <c r="BM38" i="5303"/>
  <c r="BM39" i="5303"/>
  <c r="BM40" i="5303"/>
  <c r="BM41" i="5303"/>
  <c r="BM42" i="5303"/>
  <c r="BM43" i="5303"/>
  <c r="BM44" i="5303"/>
  <c r="BM45" i="5303"/>
  <c r="BM46" i="5303"/>
  <c r="BM47" i="5303"/>
  <c r="BM48" i="5303"/>
  <c r="BM49" i="5303"/>
  <c r="BM50" i="5303"/>
  <c r="BM51" i="5303"/>
  <c r="BM52" i="5303"/>
  <c r="BM53" i="5303"/>
  <c r="BM54" i="5303"/>
  <c r="BM2" i="5302"/>
  <c r="BM3" i="5302"/>
  <c r="BM4" i="5302"/>
  <c r="BM5" i="5302"/>
  <c r="BM6" i="5302"/>
  <c r="BM7" i="5302"/>
  <c r="BM8" i="5302"/>
  <c r="BM9" i="5302"/>
  <c r="BM10" i="5302"/>
  <c r="BM11" i="5302"/>
  <c r="BM12" i="5302"/>
  <c r="BM13" i="5302"/>
  <c r="BM14" i="5302"/>
  <c r="BM15" i="5302"/>
  <c r="BM16" i="5302"/>
  <c r="BM17" i="5302"/>
  <c r="BM18" i="5302"/>
  <c r="BM19" i="5302"/>
  <c r="BM20" i="5302"/>
  <c r="BM21" i="5302"/>
  <c r="BM22" i="5302"/>
  <c r="BM23" i="5302"/>
  <c r="BM24" i="5302"/>
  <c r="BM25" i="5302"/>
  <c r="BM26" i="5302"/>
  <c r="BM27" i="5302"/>
  <c r="BM28" i="5302"/>
  <c r="BM29" i="5302"/>
  <c r="BM30" i="5302"/>
  <c r="BM31" i="5302"/>
  <c r="BM32" i="5302"/>
  <c r="BM33" i="5302"/>
  <c r="BM34" i="5302"/>
  <c r="BM35" i="5302"/>
  <c r="BM36" i="5302"/>
  <c r="BM37" i="5302"/>
  <c r="BM38" i="5302"/>
  <c r="BM39" i="5302"/>
  <c r="BM40" i="5302"/>
  <c r="BM41" i="5302"/>
  <c r="BM42" i="5302"/>
  <c r="BM43" i="5302"/>
  <c r="BM44" i="5302"/>
  <c r="BM45" i="5302"/>
  <c r="BM46" i="5302"/>
  <c r="BM47" i="5302"/>
  <c r="BM48" i="5302"/>
  <c r="BM49" i="5302"/>
  <c r="BM50" i="5302"/>
  <c r="BM51" i="5302"/>
  <c r="BM52" i="5302"/>
  <c r="BM53" i="5302"/>
  <c r="BM54" i="5302"/>
  <c r="BL2" i="5307"/>
  <c r="BL3" i="5307"/>
  <c r="BL4" i="5307"/>
  <c r="BL5" i="5307"/>
  <c r="BL6" i="5307"/>
  <c r="BL7" i="5307"/>
  <c r="BL8" i="5307"/>
  <c r="BL9" i="5307"/>
  <c r="BL10" i="5307"/>
  <c r="BL11" i="5307"/>
  <c r="BL12" i="5307"/>
  <c r="BL13" i="5307"/>
  <c r="BL14" i="5307"/>
  <c r="BL15" i="5307"/>
  <c r="BL16" i="5307"/>
  <c r="BL17" i="5307"/>
  <c r="BL18" i="5307"/>
  <c r="BL19" i="5307"/>
  <c r="BL20" i="5307"/>
  <c r="BL21" i="5307"/>
  <c r="BL22" i="5307"/>
  <c r="BL23" i="5307"/>
  <c r="BL24" i="5307"/>
  <c r="BL25" i="5307"/>
  <c r="BL26" i="5307"/>
  <c r="BL27" i="5307"/>
  <c r="BL28" i="5307"/>
  <c r="BL29" i="5307"/>
  <c r="BL30" i="5307"/>
  <c r="BL31" i="5307"/>
  <c r="BL32" i="5307"/>
  <c r="BL33" i="5307"/>
  <c r="BL34" i="5307"/>
  <c r="BL35" i="5307"/>
  <c r="BL36" i="5307"/>
  <c r="BL37" i="5307"/>
  <c r="BL38" i="5307"/>
  <c r="BL39" i="5307"/>
  <c r="BL40" i="5307"/>
  <c r="BL41" i="5307"/>
  <c r="BL42" i="5307"/>
  <c r="BL43" i="5307"/>
  <c r="BL44" i="5307"/>
  <c r="BL45" i="5307"/>
  <c r="BL46" i="5307"/>
  <c r="BL47" i="5307"/>
  <c r="BL48" i="5307"/>
  <c r="BL49" i="5307"/>
  <c r="BL50" i="5307"/>
  <c r="BL51" i="5307"/>
  <c r="BL52" i="5307"/>
  <c r="BL53" i="5307"/>
  <c r="BL54" i="5307"/>
  <c r="BL2" i="5306"/>
  <c r="BL3" i="5306"/>
  <c r="BL4" i="5306"/>
  <c r="BL5" i="5306"/>
  <c r="BL6" i="5306"/>
  <c r="BL7" i="5306"/>
  <c r="BL8" i="5306"/>
  <c r="BL9" i="5306"/>
  <c r="BL10" i="5306"/>
  <c r="BL11" i="5306"/>
  <c r="BL12" i="5306"/>
  <c r="BL13" i="5306"/>
  <c r="BL14" i="5306"/>
  <c r="BL15" i="5306"/>
  <c r="BL16" i="5306"/>
  <c r="BL17" i="5306"/>
  <c r="BL18" i="5306"/>
  <c r="BL19" i="5306"/>
  <c r="BL20" i="5306"/>
  <c r="BL21" i="5306"/>
  <c r="BL22" i="5306"/>
  <c r="BL23" i="5306"/>
  <c r="BL24" i="5306"/>
  <c r="BL25" i="5306"/>
  <c r="BL26" i="5306"/>
  <c r="BL27" i="5306"/>
  <c r="BL28" i="5306"/>
  <c r="BL29" i="5306"/>
  <c r="BL30" i="5306"/>
  <c r="BL31" i="5306"/>
  <c r="BL32" i="5306"/>
  <c r="BL33" i="5306"/>
  <c r="BL34" i="5306"/>
  <c r="BL35" i="5306"/>
  <c r="BL36" i="5306"/>
  <c r="BL37" i="5306"/>
  <c r="BL38" i="5306"/>
  <c r="BL39" i="5306"/>
  <c r="BL40" i="5306"/>
  <c r="BL41" i="5306"/>
  <c r="BL42" i="5306"/>
  <c r="BL43" i="5306"/>
  <c r="BL44" i="5306"/>
  <c r="BL45" i="5306"/>
  <c r="BL46" i="5306"/>
  <c r="BL47" i="5306"/>
  <c r="BL48" i="5306"/>
  <c r="BL49" i="5306"/>
  <c r="BL50" i="5306"/>
  <c r="BL51" i="5306"/>
  <c r="BL52" i="5306"/>
  <c r="BL53" i="5306"/>
  <c r="BL54" i="5306"/>
  <c r="BL2" i="5305"/>
  <c r="BL3" i="5305"/>
  <c r="BL4" i="5305"/>
  <c r="BL5" i="5305"/>
  <c r="BL6" i="5305"/>
  <c r="BL7" i="5305"/>
  <c r="BL8" i="5305"/>
  <c r="BL9" i="5305"/>
  <c r="BL10" i="5305"/>
  <c r="BL11" i="5305"/>
  <c r="BL12" i="5305"/>
  <c r="BL13" i="5305"/>
  <c r="BL14" i="5305"/>
  <c r="BL15" i="5305"/>
  <c r="BL16" i="5305"/>
  <c r="BL17" i="5305"/>
  <c r="BL18" i="5305"/>
  <c r="BL19" i="5305"/>
  <c r="BL20" i="5305"/>
  <c r="BL21" i="5305"/>
  <c r="BL22" i="5305"/>
  <c r="BL23" i="5305"/>
  <c r="BL24" i="5305"/>
  <c r="BL25" i="5305"/>
  <c r="BL26" i="5305"/>
  <c r="BL27" i="5305"/>
  <c r="BL28" i="5305"/>
  <c r="BL29" i="5305"/>
  <c r="BL30" i="5305"/>
  <c r="BL31" i="5305"/>
  <c r="BL32" i="5305"/>
  <c r="BL33" i="5305"/>
  <c r="BL34" i="5305"/>
  <c r="BL35" i="5305"/>
  <c r="BL36" i="5305"/>
  <c r="BL37" i="5305"/>
  <c r="BL38" i="5305"/>
  <c r="BL39" i="5305"/>
  <c r="BL40" i="5305"/>
  <c r="BL41" i="5305"/>
  <c r="BL42" i="5305"/>
  <c r="BL43" i="5305"/>
  <c r="BL44" i="5305"/>
  <c r="BL45" i="5305"/>
  <c r="BL46" i="5305"/>
  <c r="BL47" i="5305"/>
  <c r="BL48" i="5305"/>
  <c r="BL49" i="5305"/>
  <c r="BL50" i="5305"/>
  <c r="BL51" i="5305"/>
  <c r="BL52" i="5305"/>
  <c r="BL53" i="5305"/>
  <c r="BL54" i="5305"/>
  <c r="BL2" i="5304"/>
  <c r="BL3" i="5304"/>
  <c r="BL4" i="5304"/>
  <c r="BL5" i="5304"/>
  <c r="BL6" i="5304"/>
  <c r="BL7" i="5304"/>
  <c r="BL8" i="5304"/>
  <c r="BL9" i="5304"/>
  <c r="BL10" i="5304"/>
  <c r="BL11" i="5304"/>
  <c r="BL12" i="5304"/>
  <c r="BL13" i="5304"/>
  <c r="BL14" i="5304"/>
  <c r="BL15" i="5304"/>
  <c r="BL16" i="5304"/>
  <c r="BL17" i="5304"/>
  <c r="BL18" i="5304"/>
  <c r="BL19" i="5304"/>
  <c r="BL20" i="5304"/>
  <c r="BL21" i="5304"/>
  <c r="BL22" i="5304"/>
  <c r="BL23" i="5304"/>
  <c r="BL24" i="5304"/>
  <c r="BL25" i="5304"/>
  <c r="BL26" i="5304"/>
  <c r="BL27" i="5304"/>
  <c r="BL28" i="5304"/>
  <c r="BL29" i="5304"/>
  <c r="BL30" i="5304"/>
  <c r="BL31" i="5304"/>
  <c r="BL32" i="5304"/>
  <c r="BL33" i="5304"/>
  <c r="BL34" i="5304"/>
  <c r="BL35" i="5304"/>
  <c r="BL36" i="5304"/>
  <c r="BL37" i="5304"/>
  <c r="BL38" i="5304"/>
  <c r="BL39" i="5304"/>
  <c r="BL40" i="5304"/>
  <c r="BL41" i="5304"/>
  <c r="BL42" i="5304"/>
  <c r="BL43" i="5304"/>
  <c r="BL44" i="5304"/>
  <c r="BL45" i="5304"/>
  <c r="BL46" i="5304"/>
  <c r="BL47" i="5304"/>
  <c r="BL48" i="5304"/>
  <c r="BL49" i="5304"/>
  <c r="BL50" i="5304"/>
  <c r="BL51" i="5304"/>
  <c r="BL52" i="5304"/>
  <c r="BL53" i="5304"/>
  <c r="BL54" i="5304"/>
  <c r="BL2" i="5303"/>
  <c r="BL3" i="5303"/>
  <c r="BL4" i="5303"/>
  <c r="BL5" i="5303"/>
  <c r="BL6" i="5303"/>
  <c r="BL7" i="5303"/>
  <c r="BL8" i="5303"/>
  <c r="BL9" i="5303"/>
  <c r="BL10" i="5303"/>
  <c r="BL11" i="5303"/>
  <c r="BL12" i="5303"/>
  <c r="BL13" i="5303"/>
  <c r="BL14" i="5303"/>
  <c r="BL15" i="5303"/>
  <c r="BL16" i="5303"/>
  <c r="BL17" i="5303"/>
  <c r="BL18" i="5303"/>
  <c r="BL19" i="5303"/>
  <c r="BL20" i="5303"/>
  <c r="BL21" i="5303"/>
  <c r="BL22" i="5303"/>
  <c r="BL23" i="5303"/>
  <c r="BL24" i="5303"/>
  <c r="BL25" i="5303"/>
  <c r="BL26" i="5303"/>
  <c r="BL27" i="5303"/>
  <c r="BL28" i="5303"/>
  <c r="BL29" i="5303"/>
  <c r="BL30" i="5303"/>
  <c r="BL31" i="5303"/>
  <c r="BL32" i="5303"/>
  <c r="BL33" i="5303"/>
  <c r="BL34" i="5303"/>
  <c r="BL35" i="5303"/>
  <c r="BL36" i="5303"/>
  <c r="BL37" i="5303"/>
  <c r="BL38" i="5303"/>
  <c r="BL39" i="5303"/>
  <c r="BL40" i="5303"/>
  <c r="BL41" i="5303"/>
  <c r="BL42" i="5303"/>
  <c r="BL43" i="5303"/>
  <c r="BL44" i="5303"/>
  <c r="BL45" i="5303"/>
  <c r="BL46" i="5303"/>
  <c r="BL47" i="5303"/>
  <c r="BL48" i="5303"/>
  <c r="BL49" i="5303"/>
  <c r="BL50" i="5303"/>
  <c r="BL51" i="5303"/>
  <c r="BL52" i="5303"/>
  <c r="BL53" i="5303"/>
  <c r="BL54" i="5303"/>
  <c r="BL2" i="5302"/>
  <c r="BL3" i="5302"/>
  <c r="BL4" i="5302"/>
  <c r="BL5" i="5302"/>
  <c r="BL6" i="5302"/>
  <c r="BL7" i="5302"/>
  <c r="BL8" i="5302"/>
  <c r="BL9" i="5302"/>
  <c r="BL10" i="5302"/>
  <c r="BL11" i="5302"/>
  <c r="BL12" i="5302"/>
  <c r="BL13" i="5302"/>
  <c r="BL14" i="5302"/>
  <c r="BL15" i="5302"/>
  <c r="BL16" i="5302"/>
  <c r="BL17" i="5302"/>
  <c r="BL18" i="5302"/>
  <c r="BL19" i="5302"/>
  <c r="BL20" i="5302"/>
  <c r="BL21" i="5302"/>
  <c r="BL22" i="5302"/>
  <c r="BL23" i="5302"/>
  <c r="BL24" i="5302"/>
  <c r="BL25" i="5302"/>
  <c r="BL26" i="5302"/>
  <c r="BL27" i="5302"/>
  <c r="BL28" i="5302"/>
  <c r="BL29" i="5302"/>
  <c r="BL30" i="5302"/>
  <c r="BL31" i="5302"/>
  <c r="BL32" i="5302"/>
  <c r="BL33" i="5302"/>
  <c r="BL34" i="5302"/>
  <c r="BL35" i="5302"/>
  <c r="BL36" i="5302"/>
  <c r="BL37" i="5302"/>
  <c r="BL38" i="5302"/>
  <c r="BL39" i="5302"/>
  <c r="BL40" i="5302"/>
  <c r="BL41" i="5302"/>
  <c r="BL42" i="5302"/>
  <c r="BL43" i="5302"/>
  <c r="BL44" i="5302"/>
  <c r="BL45" i="5302"/>
  <c r="BL46" i="5302"/>
  <c r="BL47" i="5302"/>
  <c r="BL48" i="5302"/>
  <c r="BL49" i="5302"/>
  <c r="BL50" i="5302"/>
  <c r="BL51" i="5302"/>
  <c r="BL52" i="5302"/>
  <c r="BL53" i="5302"/>
  <c r="BL54" i="5302"/>
  <c r="BK2" i="5307"/>
  <c r="BK3" i="5307"/>
  <c r="BK4" i="5307"/>
  <c r="BK5" i="5307"/>
  <c r="BK6" i="5307"/>
  <c r="BK7" i="5307"/>
  <c r="BK8" i="5307"/>
  <c r="BK9" i="5307"/>
  <c r="BK10" i="5307"/>
  <c r="BK11" i="5307"/>
  <c r="BK12" i="5307"/>
  <c r="BK13" i="5307"/>
  <c r="BK14" i="5307"/>
  <c r="BK15" i="5307"/>
  <c r="BK16" i="5307"/>
  <c r="BK17" i="5307"/>
  <c r="BK18" i="5307"/>
  <c r="BK19" i="5307"/>
  <c r="BK20" i="5307"/>
  <c r="BK21" i="5307"/>
  <c r="BK22" i="5307"/>
  <c r="BK23" i="5307"/>
  <c r="BK24" i="5307"/>
  <c r="BK25" i="5307"/>
  <c r="BK26" i="5307"/>
  <c r="BK27" i="5307"/>
  <c r="BK28" i="5307"/>
  <c r="BK29" i="5307"/>
  <c r="BK30" i="5307"/>
  <c r="BK31" i="5307"/>
  <c r="BK32" i="5307"/>
  <c r="BK33" i="5307"/>
  <c r="BK34" i="5307"/>
  <c r="BK35" i="5307"/>
  <c r="BK36" i="5307"/>
  <c r="BK37" i="5307"/>
  <c r="BK38" i="5307"/>
  <c r="BK39" i="5307"/>
  <c r="BK40" i="5307"/>
  <c r="BK41" i="5307"/>
  <c r="BK42" i="5307"/>
  <c r="BK43" i="5307"/>
  <c r="BK44" i="5307"/>
  <c r="BK45" i="5307"/>
  <c r="BK46" i="5307"/>
  <c r="BK47" i="5307"/>
  <c r="BK48" i="5307"/>
  <c r="BK49" i="5307"/>
  <c r="BK50" i="5307"/>
  <c r="BK51" i="5307"/>
  <c r="BK52" i="5307"/>
  <c r="BK53" i="5307"/>
  <c r="BK54" i="5307"/>
  <c r="BK2" i="5306"/>
  <c r="BK3" i="5306"/>
  <c r="BK4" i="5306"/>
  <c r="BK5" i="5306"/>
  <c r="BK6" i="5306"/>
  <c r="BK7" i="5306"/>
  <c r="BK8" i="5306"/>
  <c r="BK9" i="5306"/>
  <c r="BK10" i="5306"/>
  <c r="BK11" i="5306"/>
  <c r="BK12" i="5306"/>
  <c r="BK13" i="5306"/>
  <c r="BK14" i="5306"/>
  <c r="BK15" i="5306"/>
  <c r="BK16" i="5306"/>
  <c r="BK17" i="5306"/>
  <c r="BK18" i="5306"/>
  <c r="BK19" i="5306"/>
  <c r="BK20" i="5306"/>
  <c r="BK21" i="5306"/>
  <c r="BK22" i="5306"/>
  <c r="BK23" i="5306"/>
  <c r="BK24" i="5306"/>
  <c r="BK25" i="5306"/>
  <c r="BK26" i="5306"/>
  <c r="BK27" i="5306"/>
  <c r="BK28" i="5306"/>
  <c r="BK29" i="5306"/>
  <c r="BK30" i="5306"/>
  <c r="BK31" i="5306"/>
  <c r="BK32" i="5306"/>
  <c r="BK33" i="5306"/>
  <c r="BK34" i="5306"/>
  <c r="BK35" i="5306"/>
  <c r="BK36" i="5306"/>
  <c r="BK37" i="5306"/>
  <c r="BK38" i="5306"/>
  <c r="BK39" i="5306"/>
  <c r="BK40" i="5306"/>
  <c r="BK41" i="5306"/>
  <c r="BK42" i="5306"/>
  <c r="BK43" i="5306"/>
  <c r="BK44" i="5306"/>
  <c r="BK45" i="5306"/>
  <c r="BK46" i="5306"/>
  <c r="BK47" i="5306"/>
  <c r="BK48" i="5306"/>
  <c r="BK49" i="5306"/>
  <c r="BK50" i="5306"/>
  <c r="BK51" i="5306"/>
  <c r="BK52" i="5306"/>
  <c r="BK53" i="5306"/>
  <c r="BK54" i="5306"/>
  <c r="BK2" i="5305"/>
  <c r="BK3" i="5305"/>
  <c r="BK4" i="5305"/>
  <c r="BK5" i="5305"/>
  <c r="BK6" i="5305"/>
  <c r="BK7" i="5305"/>
  <c r="BK8" i="5305"/>
  <c r="BK9" i="5305"/>
  <c r="BK10" i="5305"/>
  <c r="BK11" i="5305"/>
  <c r="BK12" i="5305"/>
  <c r="BK13" i="5305"/>
  <c r="BK14" i="5305"/>
  <c r="BK15" i="5305"/>
  <c r="BK16" i="5305"/>
  <c r="BK17" i="5305"/>
  <c r="BK18" i="5305"/>
  <c r="BK19" i="5305"/>
  <c r="BK20" i="5305"/>
  <c r="BK21" i="5305"/>
  <c r="BK22" i="5305"/>
  <c r="BK23" i="5305"/>
  <c r="BK24" i="5305"/>
  <c r="BK25" i="5305"/>
  <c r="BK26" i="5305"/>
  <c r="BK27" i="5305"/>
  <c r="BK28" i="5305"/>
  <c r="BK29" i="5305"/>
  <c r="BK30" i="5305"/>
  <c r="BK31" i="5305"/>
  <c r="BK32" i="5305"/>
  <c r="BK33" i="5305"/>
  <c r="BK34" i="5305"/>
  <c r="BK35" i="5305"/>
  <c r="BK36" i="5305"/>
  <c r="BK37" i="5305"/>
  <c r="BK38" i="5305"/>
  <c r="BK39" i="5305"/>
  <c r="BK40" i="5305"/>
  <c r="BK41" i="5305"/>
  <c r="BK42" i="5305"/>
  <c r="BK43" i="5305"/>
  <c r="BK44" i="5305"/>
  <c r="BK45" i="5305"/>
  <c r="BK46" i="5305"/>
  <c r="BK47" i="5305"/>
  <c r="BK48" i="5305"/>
  <c r="BK49" i="5305"/>
  <c r="BK50" i="5305"/>
  <c r="BK51" i="5305"/>
  <c r="BK52" i="5305"/>
  <c r="BK53" i="5305"/>
  <c r="BK54" i="5305"/>
  <c r="BK2" i="5304"/>
  <c r="BK3" i="5304"/>
  <c r="BK4" i="5304"/>
  <c r="BK5" i="5304"/>
  <c r="BK6" i="5304"/>
  <c r="BK7" i="5304"/>
  <c r="BK8" i="5304"/>
  <c r="BK9" i="5304"/>
  <c r="BK10" i="5304"/>
  <c r="BK11" i="5304"/>
  <c r="BK12" i="5304"/>
  <c r="BK13" i="5304"/>
  <c r="BK14" i="5304"/>
  <c r="BK15" i="5304"/>
  <c r="BK16" i="5304"/>
  <c r="BK17" i="5304"/>
  <c r="BK18" i="5304"/>
  <c r="BK19" i="5304"/>
  <c r="BK20" i="5304"/>
  <c r="BK21" i="5304"/>
  <c r="BK22" i="5304"/>
  <c r="BK23" i="5304"/>
  <c r="BK24" i="5304"/>
  <c r="BK25" i="5304"/>
  <c r="BK26" i="5304"/>
  <c r="BK27" i="5304"/>
  <c r="BK28" i="5304"/>
  <c r="BK29" i="5304"/>
  <c r="BK30" i="5304"/>
  <c r="BK31" i="5304"/>
  <c r="BK32" i="5304"/>
  <c r="BK33" i="5304"/>
  <c r="BK34" i="5304"/>
  <c r="BK35" i="5304"/>
  <c r="BK36" i="5304"/>
  <c r="BK37" i="5304"/>
  <c r="BK38" i="5304"/>
  <c r="BK39" i="5304"/>
  <c r="BK40" i="5304"/>
  <c r="BK41" i="5304"/>
  <c r="BK42" i="5304"/>
  <c r="BK43" i="5304"/>
  <c r="BK44" i="5304"/>
  <c r="BK45" i="5304"/>
  <c r="BK46" i="5304"/>
  <c r="BK47" i="5304"/>
  <c r="BK48" i="5304"/>
  <c r="BK49" i="5304"/>
  <c r="BK50" i="5304"/>
  <c r="BK51" i="5304"/>
  <c r="BK52" i="5304"/>
  <c r="BK53" i="5304"/>
  <c r="BK54" i="5304"/>
  <c r="BK2" i="5303"/>
  <c r="BK3" i="5303"/>
  <c r="BK4" i="5303"/>
  <c r="BK5" i="5303"/>
  <c r="BK6" i="5303"/>
  <c r="BK7" i="5303"/>
  <c r="BK8" i="5303"/>
  <c r="BK9" i="5303"/>
  <c r="BK10" i="5303"/>
  <c r="BK11" i="5303"/>
  <c r="BK12" i="5303"/>
  <c r="BK13" i="5303"/>
  <c r="BK14" i="5303"/>
  <c r="BK15" i="5303"/>
  <c r="BK16" i="5303"/>
  <c r="BK17" i="5303"/>
  <c r="BK18" i="5303"/>
  <c r="BK19" i="5303"/>
  <c r="BK20" i="5303"/>
  <c r="BK21" i="5303"/>
  <c r="BK22" i="5303"/>
  <c r="BK23" i="5303"/>
  <c r="BK24" i="5303"/>
  <c r="BK25" i="5303"/>
  <c r="BK26" i="5303"/>
  <c r="BK27" i="5303"/>
  <c r="BK28" i="5303"/>
  <c r="BK29" i="5303"/>
  <c r="BK30" i="5303"/>
  <c r="BK31" i="5303"/>
  <c r="BK32" i="5303"/>
  <c r="BK33" i="5303"/>
  <c r="BK34" i="5303"/>
  <c r="BK35" i="5303"/>
  <c r="BK36" i="5303"/>
  <c r="BK37" i="5303"/>
  <c r="BK38" i="5303"/>
  <c r="BK39" i="5303"/>
  <c r="BK40" i="5303"/>
  <c r="BK41" i="5303"/>
  <c r="BK42" i="5303"/>
  <c r="BK43" i="5303"/>
  <c r="BK44" i="5303"/>
  <c r="BK45" i="5303"/>
  <c r="BK46" i="5303"/>
  <c r="BK47" i="5303"/>
  <c r="BK48" i="5303"/>
  <c r="BK49" i="5303"/>
  <c r="BK50" i="5303"/>
  <c r="BK51" i="5303"/>
  <c r="BK52" i="5303"/>
  <c r="BK53" i="5303"/>
  <c r="BK54" i="5303"/>
  <c r="BK2" i="5302"/>
  <c r="BK3" i="5302"/>
  <c r="BK4" i="5302"/>
  <c r="BK5" i="5302"/>
  <c r="BK6" i="5302"/>
  <c r="BK7" i="5302"/>
  <c r="BK8" i="5302"/>
  <c r="BK9" i="5302"/>
  <c r="BK10" i="5302"/>
  <c r="BK11" i="5302"/>
  <c r="BK12" i="5302"/>
  <c r="BK13" i="5302"/>
  <c r="BK14" i="5302"/>
  <c r="BK15" i="5302"/>
  <c r="BK16" i="5302"/>
  <c r="BK17" i="5302"/>
  <c r="BK18" i="5302"/>
  <c r="BK19" i="5302"/>
  <c r="BK20" i="5302"/>
  <c r="BK21" i="5302"/>
  <c r="BK22" i="5302"/>
  <c r="BK23" i="5302"/>
  <c r="BK24" i="5302"/>
  <c r="BK25" i="5302"/>
  <c r="BK26" i="5302"/>
  <c r="BK27" i="5302"/>
  <c r="BK28" i="5302"/>
  <c r="BK29" i="5302"/>
  <c r="BK30" i="5302"/>
  <c r="BK31" i="5302"/>
  <c r="BK32" i="5302"/>
  <c r="BK33" i="5302"/>
  <c r="BK34" i="5302"/>
  <c r="BK35" i="5302"/>
  <c r="BK36" i="5302"/>
  <c r="BK37" i="5302"/>
  <c r="BK38" i="5302"/>
  <c r="BK39" i="5302"/>
  <c r="BK40" i="5302"/>
  <c r="BK41" i="5302"/>
  <c r="BK42" i="5302"/>
  <c r="BK43" i="5302"/>
  <c r="BK44" i="5302"/>
  <c r="BK45" i="5302"/>
  <c r="BK46" i="5302"/>
  <c r="BK47" i="5302"/>
  <c r="BK48" i="5302"/>
  <c r="BK49" i="5302"/>
  <c r="BK50" i="5302"/>
  <c r="BK51" i="5302"/>
  <c r="BK52" i="5302"/>
  <c r="BK53" i="5302"/>
  <c r="BK54" i="5302"/>
  <c r="BJ2" i="5307"/>
  <c r="BJ3" i="5307"/>
  <c r="BJ4" i="5307"/>
  <c r="BJ5" i="5307"/>
  <c r="BJ6" i="5307"/>
  <c r="BJ7" i="5307"/>
  <c r="BJ8" i="5307"/>
  <c r="BJ9" i="5307"/>
  <c r="BJ10" i="5307"/>
  <c r="BJ11" i="5307"/>
  <c r="BJ12" i="5307"/>
  <c r="BJ13" i="5307"/>
  <c r="BJ14" i="5307"/>
  <c r="BJ15" i="5307"/>
  <c r="BJ16" i="5307"/>
  <c r="BJ17" i="5307"/>
  <c r="BJ18" i="5307"/>
  <c r="BJ19" i="5307"/>
  <c r="BJ20" i="5307"/>
  <c r="BJ21" i="5307"/>
  <c r="BJ22" i="5307"/>
  <c r="BJ23" i="5307"/>
  <c r="BJ24" i="5307"/>
  <c r="BJ25" i="5307"/>
  <c r="BJ26" i="5307"/>
  <c r="BJ27" i="5307"/>
  <c r="BJ28" i="5307"/>
  <c r="BJ29" i="5307"/>
  <c r="BJ30" i="5307"/>
  <c r="BJ31" i="5307"/>
  <c r="BJ32" i="5307"/>
  <c r="BJ33" i="5307"/>
  <c r="BJ34" i="5307"/>
  <c r="BJ35" i="5307"/>
  <c r="BJ36" i="5307"/>
  <c r="BJ37" i="5307"/>
  <c r="BJ38" i="5307"/>
  <c r="BJ39" i="5307"/>
  <c r="BJ40" i="5307"/>
  <c r="BJ41" i="5307"/>
  <c r="BJ42" i="5307"/>
  <c r="BJ43" i="5307"/>
  <c r="BJ44" i="5307"/>
  <c r="BJ45" i="5307"/>
  <c r="BJ46" i="5307"/>
  <c r="BJ47" i="5307"/>
  <c r="BJ48" i="5307"/>
  <c r="BJ49" i="5307"/>
  <c r="BJ50" i="5307"/>
  <c r="BJ51" i="5307"/>
  <c r="BJ52" i="5307"/>
  <c r="BJ53" i="5307"/>
  <c r="BJ54" i="5307"/>
  <c r="BJ2" i="5306"/>
  <c r="BJ3" i="5306"/>
  <c r="BJ4" i="5306"/>
  <c r="BJ5" i="5306"/>
  <c r="BJ6" i="5306"/>
  <c r="BJ7" i="5306"/>
  <c r="BJ8" i="5306"/>
  <c r="BJ9" i="5306"/>
  <c r="BJ10" i="5306"/>
  <c r="BJ11" i="5306"/>
  <c r="BJ12" i="5306"/>
  <c r="BJ13" i="5306"/>
  <c r="BJ14" i="5306"/>
  <c r="BJ15" i="5306"/>
  <c r="BJ16" i="5306"/>
  <c r="BJ17" i="5306"/>
  <c r="BJ18" i="5306"/>
  <c r="BJ19" i="5306"/>
  <c r="BJ20" i="5306"/>
  <c r="BJ21" i="5306"/>
  <c r="BJ22" i="5306"/>
  <c r="BJ23" i="5306"/>
  <c r="BJ24" i="5306"/>
  <c r="BJ25" i="5306"/>
  <c r="BJ26" i="5306"/>
  <c r="BJ27" i="5306"/>
  <c r="BJ28" i="5306"/>
  <c r="BJ29" i="5306"/>
  <c r="BJ30" i="5306"/>
  <c r="BJ31" i="5306"/>
  <c r="BJ32" i="5306"/>
  <c r="BJ33" i="5306"/>
  <c r="BJ34" i="5306"/>
  <c r="BJ35" i="5306"/>
  <c r="BJ36" i="5306"/>
  <c r="BJ37" i="5306"/>
  <c r="BJ38" i="5306"/>
  <c r="BJ39" i="5306"/>
  <c r="BJ40" i="5306"/>
  <c r="BJ41" i="5306"/>
  <c r="BJ42" i="5306"/>
  <c r="BJ43" i="5306"/>
  <c r="BJ44" i="5306"/>
  <c r="BJ45" i="5306"/>
  <c r="BJ46" i="5306"/>
  <c r="BJ47" i="5306"/>
  <c r="BJ48" i="5306"/>
  <c r="BJ49" i="5306"/>
  <c r="BJ50" i="5306"/>
  <c r="BJ51" i="5306"/>
  <c r="BJ52" i="5306"/>
  <c r="BJ53" i="5306"/>
  <c r="BJ54" i="5306"/>
  <c r="BJ2" i="5305"/>
  <c r="BJ3" i="5305"/>
  <c r="BJ4" i="5305"/>
  <c r="BJ5" i="5305"/>
  <c r="BJ6" i="5305"/>
  <c r="BJ7" i="5305"/>
  <c r="BJ8" i="5305"/>
  <c r="BJ9" i="5305"/>
  <c r="BJ10" i="5305"/>
  <c r="BJ11" i="5305"/>
  <c r="BJ12" i="5305"/>
  <c r="BJ13" i="5305"/>
  <c r="BJ14" i="5305"/>
  <c r="BJ15" i="5305"/>
  <c r="BJ16" i="5305"/>
  <c r="BJ17" i="5305"/>
  <c r="BJ18" i="5305"/>
  <c r="BJ19" i="5305"/>
  <c r="BJ20" i="5305"/>
  <c r="BJ21" i="5305"/>
  <c r="BJ22" i="5305"/>
  <c r="BJ23" i="5305"/>
  <c r="BJ24" i="5305"/>
  <c r="BJ25" i="5305"/>
  <c r="BJ26" i="5305"/>
  <c r="BJ27" i="5305"/>
  <c r="BJ28" i="5305"/>
  <c r="BJ29" i="5305"/>
  <c r="BJ30" i="5305"/>
  <c r="BJ31" i="5305"/>
  <c r="BJ32" i="5305"/>
  <c r="BJ33" i="5305"/>
  <c r="BJ34" i="5305"/>
  <c r="BJ35" i="5305"/>
  <c r="BJ36" i="5305"/>
  <c r="BJ37" i="5305"/>
  <c r="BJ38" i="5305"/>
  <c r="BJ39" i="5305"/>
  <c r="BJ40" i="5305"/>
  <c r="BJ41" i="5305"/>
  <c r="BJ42" i="5305"/>
  <c r="BJ43" i="5305"/>
  <c r="BJ44" i="5305"/>
  <c r="BJ45" i="5305"/>
  <c r="BJ46" i="5305"/>
  <c r="BJ47" i="5305"/>
  <c r="BJ48" i="5305"/>
  <c r="BJ49" i="5305"/>
  <c r="BJ50" i="5305"/>
  <c r="BJ51" i="5305"/>
  <c r="BJ52" i="5305"/>
  <c r="BJ53" i="5305"/>
  <c r="BJ54" i="5305"/>
  <c r="BJ2" i="5304"/>
  <c r="BJ3" i="5304"/>
  <c r="BJ4" i="5304"/>
  <c r="BJ5" i="5304"/>
  <c r="BJ6" i="5304"/>
  <c r="BJ7" i="5304"/>
  <c r="BJ8" i="5304"/>
  <c r="BJ9" i="5304"/>
  <c r="BJ10" i="5304"/>
  <c r="BJ11" i="5304"/>
  <c r="BJ12" i="5304"/>
  <c r="BJ13" i="5304"/>
  <c r="BJ14" i="5304"/>
  <c r="BJ15" i="5304"/>
  <c r="BJ16" i="5304"/>
  <c r="BJ17" i="5304"/>
  <c r="BJ18" i="5304"/>
  <c r="BJ19" i="5304"/>
  <c r="BJ20" i="5304"/>
  <c r="BJ21" i="5304"/>
  <c r="BJ22" i="5304"/>
  <c r="BJ23" i="5304"/>
  <c r="BJ24" i="5304"/>
  <c r="BJ25" i="5304"/>
  <c r="BJ26" i="5304"/>
  <c r="BJ27" i="5304"/>
  <c r="BJ28" i="5304"/>
  <c r="BJ29" i="5304"/>
  <c r="BJ30" i="5304"/>
  <c r="BJ31" i="5304"/>
  <c r="BJ32" i="5304"/>
  <c r="BJ33" i="5304"/>
  <c r="BJ34" i="5304"/>
  <c r="BJ35" i="5304"/>
  <c r="BJ36" i="5304"/>
  <c r="BJ37" i="5304"/>
  <c r="BJ38" i="5304"/>
  <c r="BJ39" i="5304"/>
  <c r="BJ40" i="5304"/>
  <c r="BJ41" i="5304"/>
  <c r="BJ42" i="5304"/>
  <c r="BJ43" i="5304"/>
  <c r="BJ44" i="5304"/>
  <c r="BJ45" i="5304"/>
  <c r="BJ46" i="5304"/>
  <c r="BJ47" i="5304"/>
  <c r="BJ48" i="5304"/>
  <c r="BJ49" i="5304"/>
  <c r="BJ50" i="5304"/>
  <c r="BJ51" i="5304"/>
  <c r="BJ52" i="5304"/>
  <c r="BJ53" i="5304"/>
  <c r="BJ54" i="5304"/>
  <c r="BJ2" i="5303"/>
  <c r="BJ3" i="5303"/>
  <c r="BJ4" i="5303"/>
  <c r="BJ5" i="5303"/>
  <c r="BJ6" i="5303"/>
  <c r="BJ7" i="5303"/>
  <c r="BJ8" i="5303"/>
  <c r="BJ9" i="5303"/>
  <c r="BJ10" i="5303"/>
  <c r="BJ11" i="5303"/>
  <c r="BJ12" i="5303"/>
  <c r="BJ13" i="5303"/>
  <c r="BJ14" i="5303"/>
  <c r="BJ15" i="5303"/>
  <c r="BJ16" i="5303"/>
  <c r="BJ17" i="5303"/>
  <c r="BJ18" i="5303"/>
  <c r="BJ19" i="5303"/>
  <c r="BJ20" i="5303"/>
  <c r="BJ21" i="5303"/>
  <c r="BJ22" i="5303"/>
  <c r="BJ23" i="5303"/>
  <c r="BJ24" i="5303"/>
  <c r="BJ25" i="5303"/>
  <c r="BJ26" i="5303"/>
  <c r="BJ27" i="5303"/>
  <c r="BJ28" i="5303"/>
  <c r="BJ29" i="5303"/>
  <c r="BJ30" i="5303"/>
  <c r="BJ31" i="5303"/>
  <c r="BJ32" i="5303"/>
  <c r="BJ33" i="5303"/>
  <c r="BJ34" i="5303"/>
  <c r="BJ35" i="5303"/>
  <c r="BJ36" i="5303"/>
  <c r="BJ37" i="5303"/>
  <c r="BJ38" i="5303"/>
  <c r="BJ39" i="5303"/>
  <c r="BJ40" i="5303"/>
  <c r="BJ41" i="5303"/>
  <c r="BJ42" i="5303"/>
  <c r="BJ43" i="5303"/>
  <c r="BJ44" i="5303"/>
  <c r="BJ45" i="5303"/>
  <c r="BJ46" i="5303"/>
  <c r="BJ47" i="5303"/>
  <c r="BJ48" i="5303"/>
  <c r="BJ49" i="5303"/>
  <c r="BJ50" i="5303"/>
  <c r="BJ51" i="5303"/>
  <c r="BJ52" i="5303"/>
  <c r="BJ53" i="5303"/>
  <c r="BJ54" i="5303"/>
  <c r="BJ2" i="5302"/>
  <c r="BJ3" i="5302"/>
  <c r="BJ4" i="5302"/>
  <c r="BJ5" i="5302"/>
  <c r="BJ6" i="5302"/>
  <c r="BJ7" i="5302"/>
  <c r="BJ8" i="5302"/>
  <c r="BJ9" i="5302"/>
  <c r="BJ10" i="5302"/>
  <c r="BJ11" i="5302"/>
  <c r="BJ12" i="5302"/>
  <c r="BJ13" i="5302"/>
  <c r="BJ14" i="5302"/>
  <c r="BJ15" i="5302"/>
  <c r="BJ16" i="5302"/>
  <c r="BJ17" i="5302"/>
  <c r="BJ18" i="5302"/>
  <c r="BJ19" i="5302"/>
  <c r="BJ20" i="5302"/>
  <c r="BJ21" i="5302"/>
  <c r="BJ22" i="5302"/>
  <c r="BJ23" i="5302"/>
  <c r="BJ24" i="5302"/>
  <c r="BJ25" i="5302"/>
  <c r="BJ26" i="5302"/>
  <c r="BJ27" i="5302"/>
  <c r="BJ28" i="5302"/>
  <c r="BJ29" i="5302"/>
  <c r="BJ30" i="5302"/>
  <c r="BJ31" i="5302"/>
  <c r="BJ32" i="5302"/>
  <c r="BJ33" i="5302"/>
  <c r="BJ34" i="5302"/>
  <c r="BJ35" i="5302"/>
  <c r="BJ36" i="5302"/>
  <c r="BJ37" i="5302"/>
  <c r="BJ38" i="5302"/>
  <c r="BJ39" i="5302"/>
  <c r="BJ40" i="5302"/>
  <c r="BJ41" i="5302"/>
  <c r="BJ42" i="5302"/>
  <c r="BJ43" i="5302"/>
  <c r="BJ44" i="5302"/>
  <c r="BJ45" i="5302"/>
  <c r="BJ46" i="5302"/>
  <c r="BJ47" i="5302"/>
  <c r="BJ48" i="5302"/>
  <c r="BJ49" i="5302"/>
  <c r="BJ50" i="5302"/>
  <c r="BJ51" i="5302"/>
  <c r="BJ52" i="5302"/>
  <c r="BJ53" i="5302"/>
  <c r="BJ54" i="5302"/>
  <c r="BI2" i="5307"/>
  <c r="BI3" i="5307"/>
  <c r="BI4" i="5307"/>
  <c r="BI5" i="5307"/>
  <c r="BI6" i="5307"/>
  <c r="BI7" i="5307"/>
  <c r="BI8" i="5307"/>
  <c r="BI9" i="5307"/>
  <c r="BI10" i="5307"/>
  <c r="BI11" i="5307"/>
  <c r="BI12" i="5307"/>
  <c r="BI13" i="5307"/>
  <c r="BI14" i="5307"/>
  <c r="BI15" i="5307"/>
  <c r="BI16" i="5307"/>
  <c r="BI17" i="5307"/>
  <c r="BI18" i="5307"/>
  <c r="BI19" i="5307"/>
  <c r="BI20" i="5307"/>
  <c r="BI21" i="5307"/>
  <c r="BI22" i="5307"/>
  <c r="BI23" i="5307"/>
  <c r="BI24" i="5307"/>
  <c r="BI25" i="5307"/>
  <c r="BI26" i="5307"/>
  <c r="BI27" i="5307"/>
  <c r="BI28" i="5307"/>
  <c r="BI29" i="5307"/>
  <c r="BI30" i="5307"/>
  <c r="BI31" i="5307"/>
  <c r="BI32" i="5307"/>
  <c r="BI33" i="5307"/>
  <c r="BI34" i="5307"/>
  <c r="BI35" i="5307"/>
  <c r="BI36" i="5307"/>
  <c r="BI37" i="5307"/>
  <c r="BI38" i="5307"/>
  <c r="BI39" i="5307"/>
  <c r="BI40" i="5307"/>
  <c r="BI41" i="5307"/>
  <c r="BI42" i="5307"/>
  <c r="BI43" i="5307"/>
  <c r="BI44" i="5307"/>
  <c r="BI45" i="5307"/>
  <c r="BI46" i="5307"/>
  <c r="BI47" i="5307"/>
  <c r="BI48" i="5307"/>
  <c r="BI49" i="5307"/>
  <c r="BI50" i="5307"/>
  <c r="BI51" i="5307"/>
  <c r="BI52" i="5307"/>
  <c r="BI53" i="5307"/>
  <c r="BI54" i="5307"/>
  <c r="BI2" i="5306"/>
  <c r="BI3" i="5306"/>
  <c r="BI4" i="5306"/>
  <c r="BI5" i="5306"/>
  <c r="BI6" i="5306"/>
  <c r="BI7" i="5306"/>
  <c r="BI8" i="5306"/>
  <c r="BI9" i="5306"/>
  <c r="BI10" i="5306"/>
  <c r="BI11" i="5306"/>
  <c r="BI12" i="5306"/>
  <c r="BI13" i="5306"/>
  <c r="BI14" i="5306"/>
  <c r="BI15" i="5306"/>
  <c r="BI16" i="5306"/>
  <c r="BI17" i="5306"/>
  <c r="BI18" i="5306"/>
  <c r="BI19" i="5306"/>
  <c r="BI20" i="5306"/>
  <c r="BI21" i="5306"/>
  <c r="BI22" i="5306"/>
  <c r="BI23" i="5306"/>
  <c r="BI24" i="5306"/>
  <c r="BI25" i="5306"/>
  <c r="BI26" i="5306"/>
  <c r="BI27" i="5306"/>
  <c r="BI28" i="5306"/>
  <c r="BI29" i="5306"/>
  <c r="BI30" i="5306"/>
  <c r="BI31" i="5306"/>
  <c r="BI32" i="5306"/>
  <c r="BI33" i="5306"/>
  <c r="BI34" i="5306"/>
  <c r="BI35" i="5306"/>
  <c r="BI36" i="5306"/>
  <c r="BI37" i="5306"/>
  <c r="BI38" i="5306"/>
  <c r="BI39" i="5306"/>
  <c r="BI40" i="5306"/>
  <c r="BI41" i="5306"/>
  <c r="BI42" i="5306"/>
  <c r="BI43" i="5306"/>
  <c r="BI44" i="5306"/>
  <c r="BI45" i="5306"/>
  <c r="BI46" i="5306"/>
  <c r="BI47" i="5306"/>
  <c r="BI48" i="5306"/>
  <c r="BI49" i="5306"/>
  <c r="BI50" i="5306"/>
  <c r="BI51" i="5306"/>
  <c r="BI52" i="5306"/>
  <c r="BI53" i="5306"/>
  <c r="BI54" i="5306"/>
  <c r="BI2" i="5305"/>
  <c r="BI3" i="5305"/>
  <c r="BI4" i="5305"/>
  <c r="BI5" i="5305"/>
  <c r="BI6" i="5305"/>
  <c r="BI7" i="5305"/>
  <c r="BI8" i="5305"/>
  <c r="BI9" i="5305"/>
  <c r="BI10" i="5305"/>
  <c r="BI11" i="5305"/>
  <c r="BI12" i="5305"/>
  <c r="BI13" i="5305"/>
  <c r="BI14" i="5305"/>
  <c r="BI15" i="5305"/>
  <c r="BI16" i="5305"/>
  <c r="BI17" i="5305"/>
  <c r="BI18" i="5305"/>
  <c r="BI19" i="5305"/>
  <c r="BI20" i="5305"/>
  <c r="BI21" i="5305"/>
  <c r="BI22" i="5305"/>
  <c r="BI23" i="5305"/>
  <c r="BI24" i="5305"/>
  <c r="BI25" i="5305"/>
  <c r="BI26" i="5305"/>
  <c r="BI27" i="5305"/>
  <c r="BI28" i="5305"/>
  <c r="BI29" i="5305"/>
  <c r="BI30" i="5305"/>
  <c r="BI31" i="5305"/>
  <c r="BI32" i="5305"/>
  <c r="BI33" i="5305"/>
  <c r="BI34" i="5305"/>
  <c r="BI35" i="5305"/>
  <c r="BI36" i="5305"/>
  <c r="BI37" i="5305"/>
  <c r="BI38" i="5305"/>
  <c r="BI39" i="5305"/>
  <c r="BI40" i="5305"/>
  <c r="BI41" i="5305"/>
  <c r="BI42" i="5305"/>
  <c r="BI43" i="5305"/>
  <c r="BI44" i="5305"/>
  <c r="BI45" i="5305"/>
  <c r="BI46" i="5305"/>
  <c r="BI47" i="5305"/>
  <c r="BI48" i="5305"/>
  <c r="BI49" i="5305"/>
  <c r="BI50" i="5305"/>
  <c r="BI51" i="5305"/>
  <c r="BI52" i="5305"/>
  <c r="BI53" i="5305"/>
  <c r="BI54" i="5305"/>
  <c r="BI2" i="5304"/>
  <c r="BI3" i="5304"/>
  <c r="BI4" i="5304"/>
  <c r="BI5" i="5304"/>
  <c r="BI6" i="5304"/>
  <c r="BI7" i="5304"/>
  <c r="BI8" i="5304"/>
  <c r="BI9" i="5304"/>
  <c r="BI10" i="5304"/>
  <c r="BI11" i="5304"/>
  <c r="BI12" i="5304"/>
  <c r="BI13" i="5304"/>
  <c r="BI14" i="5304"/>
  <c r="BI15" i="5304"/>
  <c r="BI16" i="5304"/>
  <c r="BI17" i="5304"/>
  <c r="BI18" i="5304"/>
  <c r="BI19" i="5304"/>
  <c r="BI20" i="5304"/>
  <c r="BI21" i="5304"/>
  <c r="BI22" i="5304"/>
  <c r="BI23" i="5304"/>
  <c r="BI24" i="5304"/>
  <c r="BI25" i="5304"/>
  <c r="BI26" i="5304"/>
  <c r="BI27" i="5304"/>
  <c r="BI28" i="5304"/>
  <c r="BI29" i="5304"/>
  <c r="BI30" i="5304"/>
  <c r="BI31" i="5304"/>
  <c r="BI32" i="5304"/>
  <c r="BI33" i="5304"/>
  <c r="BI34" i="5304"/>
  <c r="BI35" i="5304"/>
  <c r="BI36" i="5304"/>
  <c r="BI37" i="5304"/>
  <c r="BI38" i="5304"/>
  <c r="BI39" i="5304"/>
  <c r="BI40" i="5304"/>
  <c r="BI41" i="5304"/>
  <c r="BI42" i="5304"/>
  <c r="BI43" i="5304"/>
  <c r="BI44" i="5304"/>
  <c r="BI45" i="5304"/>
  <c r="BI46" i="5304"/>
  <c r="BI47" i="5304"/>
  <c r="BI48" i="5304"/>
  <c r="BI49" i="5304"/>
  <c r="BI50" i="5304"/>
  <c r="BI51" i="5304"/>
  <c r="BI52" i="5304"/>
  <c r="BI53" i="5304"/>
  <c r="BI54" i="5304"/>
  <c r="BI2" i="5303"/>
  <c r="BI3" i="5303"/>
  <c r="BI4" i="5303"/>
  <c r="BI5" i="5303"/>
  <c r="BI6" i="5303"/>
  <c r="BI7" i="5303"/>
  <c r="BI8" i="5303"/>
  <c r="BI9" i="5303"/>
  <c r="BI10" i="5303"/>
  <c r="BI11" i="5303"/>
  <c r="BI12" i="5303"/>
  <c r="BI13" i="5303"/>
  <c r="BI14" i="5303"/>
  <c r="BI15" i="5303"/>
  <c r="BI16" i="5303"/>
  <c r="BI17" i="5303"/>
  <c r="BI18" i="5303"/>
  <c r="BI19" i="5303"/>
  <c r="BI20" i="5303"/>
  <c r="BI21" i="5303"/>
  <c r="BI22" i="5303"/>
  <c r="BI23" i="5303"/>
  <c r="BI24" i="5303"/>
  <c r="BI25" i="5303"/>
  <c r="BI26" i="5303"/>
  <c r="BI27" i="5303"/>
  <c r="BI28" i="5303"/>
  <c r="BI29" i="5303"/>
  <c r="BI30" i="5303"/>
  <c r="BI31" i="5303"/>
  <c r="BI32" i="5303"/>
  <c r="BI33" i="5303"/>
  <c r="BI34" i="5303"/>
  <c r="BI35" i="5303"/>
  <c r="BI36" i="5303"/>
  <c r="BI37" i="5303"/>
  <c r="BI38" i="5303"/>
  <c r="BI39" i="5303"/>
  <c r="BI40" i="5303"/>
  <c r="BI41" i="5303"/>
  <c r="BI42" i="5303"/>
  <c r="BI43" i="5303"/>
  <c r="BI44" i="5303"/>
  <c r="BI45" i="5303"/>
  <c r="BI46" i="5303"/>
  <c r="BI47" i="5303"/>
  <c r="BI48" i="5303"/>
  <c r="BI49" i="5303"/>
  <c r="BI50" i="5303"/>
  <c r="BI51" i="5303"/>
  <c r="BI52" i="5303"/>
  <c r="BI53" i="5303"/>
  <c r="BI54" i="5303"/>
  <c r="BI2" i="5302"/>
  <c r="BI3" i="5302"/>
  <c r="BI4" i="5302"/>
  <c r="BI5" i="5302"/>
  <c r="BI6" i="5302"/>
  <c r="BI7" i="5302"/>
  <c r="BI8" i="5302"/>
  <c r="BI9" i="5302"/>
  <c r="BI10" i="5302"/>
  <c r="BI11" i="5302"/>
  <c r="BI12" i="5302"/>
  <c r="BI13" i="5302"/>
  <c r="BI14" i="5302"/>
  <c r="BI15" i="5302"/>
  <c r="BI16" i="5302"/>
  <c r="BI17" i="5302"/>
  <c r="BI18" i="5302"/>
  <c r="BI19" i="5302"/>
  <c r="BI20" i="5302"/>
  <c r="BI21" i="5302"/>
  <c r="BI22" i="5302"/>
  <c r="BI23" i="5302"/>
  <c r="BI24" i="5302"/>
  <c r="BI25" i="5302"/>
  <c r="BI26" i="5302"/>
  <c r="BI27" i="5302"/>
  <c r="BI28" i="5302"/>
  <c r="BI29" i="5302"/>
  <c r="BI30" i="5302"/>
  <c r="BI31" i="5302"/>
  <c r="BI32" i="5302"/>
  <c r="BI33" i="5302"/>
  <c r="BI34" i="5302"/>
  <c r="BI35" i="5302"/>
  <c r="BI36" i="5302"/>
  <c r="BI37" i="5302"/>
  <c r="BI38" i="5302"/>
  <c r="BI39" i="5302"/>
  <c r="BI40" i="5302"/>
  <c r="BI41" i="5302"/>
  <c r="BI42" i="5302"/>
  <c r="BI43" i="5302"/>
  <c r="BI44" i="5302"/>
  <c r="BI45" i="5302"/>
  <c r="BI46" i="5302"/>
  <c r="BI47" i="5302"/>
  <c r="BI48" i="5302"/>
  <c r="BI49" i="5302"/>
  <c r="BI50" i="5302"/>
  <c r="BI51" i="5302"/>
  <c r="BI52" i="5302"/>
  <c r="BI53" i="5302"/>
  <c r="BI54" i="5302"/>
  <c r="BH2" i="5307"/>
  <c r="BH3" i="5307"/>
  <c r="BH4" i="5307"/>
  <c r="BH5" i="5307"/>
  <c r="BH6" i="5307"/>
  <c r="BH7" i="5307"/>
  <c r="BH8" i="5307"/>
  <c r="BH9" i="5307"/>
  <c r="BH10" i="5307"/>
  <c r="BH11" i="5307"/>
  <c r="BH12" i="5307"/>
  <c r="BH13" i="5307"/>
  <c r="BH14" i="5307"/>
  <c r="BH15" i="5307"/>
  <c r="BH16" i="5307"/>
  <c r="BH17" i="5307"/>
  <c r="BH18" i="5307"/>
  <c r="BH19" i="5307"/>
  <c r="BH20" i="5307"/>
  <c r="BH21" i="5307"/>
  <c r="BH22" i="5307"/>
  <c r="BH23" i="5307"/>
  <c r="BH24" i="5307"/>
  <c r="BH25" i="5307"/>
  <c r="BH26" i="5307"/>
  <c r="BH27" i="5307"/>
  <c r="BH28" i="5307"/>
  <c r="BH29" i="5307"/>
  <c r="BH30" i="5307"/>
  <c r="BH31" i="5307"/>
  <c r="BH32" i="5307"/>
  <c r="BH33" i="5307"/>
  <c r="BH34" i="5307"/>
  <c r="BH35" i="5307"/>
  <c r="BH36" i="5307"/>
  <c r="BH37" i="5307"/>
  <c r="BH38" i="5307"/>
  <c r="BH39" i="5307"/>
  <c r="BH40" i="5307"/>
  <c r="BH41" i="5307"/>
  <c r="BH42" i="5307"/>
  <c r="BH43" i="5307"/>
  <c r="BH44" i="5307"/>
  <c r="BH45" i="5307"/>
  <c r="BH46" i="5307"/>
  <c r="BH47" i="5307"/>
  <c r="BH48" i="5307"/>
  <c r="BH49" i="5307"/>
  <c r="BH50" i="5307"/>
  <c r="BH51" i="5307"/>
  <c r="BH52" i="5307"/>
  <c r="BH53" i="5307"/>
  <c r="BH54" i="5307"/>
  <c r="BH2" i="5306"/>
  <c r="BH3" i="5306"/>
  <c r="BH4" i="5306"/>
  <c r="BH5" i="5306"/>
  <c r="BH6" i="5306"/>
  <c r="BH7" i="5306"/>
  <c r="BH8" i="5306"/>
  <c r="BH9" i="5306"/>
  <c r="BH10" i="5306"/>
  <c r="BH11" i="5306"/>
  <c r="BH12" i="5306"/>
  <c r="BH13" i="5306"/>
  <c r="BH14" i="5306"/>
  <c r="BH15" i="5306"/>
  <c r="BH16" i="5306"/>
  <c r="BH17" i="5306"/>
  <c r="BH18" i="5306"/>
  <c r="BH19" i="5306"/>
  <c r="BH20" i="5306"/>
  <c r="BH21" i="5306"/>
  <c r="BH22" i="5306"/>
  <c r="BH23" i="5306"/>
  <c r="BH24" i="5306"/>
  <c r="BH25" i="5306"/>
  <c r="BH26" i="5306"/>
  <c r="BH27" i="5306"/>
  <c r="BH28" i="5306"/>
  <c r="BH29" i="5306"/>
  <c r="BH30" i="5306"/>
  <c r="BH31" i="5306"/>
  <c r="BH32" i="5306"/>
  <c r="BH33" i="5306"/>
  <c r="BH34" i="5306"/>
  <c r="BH35" i="5306"/>
  <c r="BH36" i="5306"/>
  <c r="BH37" i="5306"/>
  <c r="BH38" i="5306"/>
  <c r="BH39" i="5306"/>
  <c r="BH40" i="5306"/>
  <c r="BH41" i="5306"/>
  <c r="BH42" i="5306"/>
  <c r="BH43" i="5306"/>
  <c r="BH44" i="5306"/>
  <c r="BH45" i="5306"/>
  <c r="BH46" i="5306"/>
  <c r="BH47" i="5306"/>
  <c r="BH48" i="5306"/>
  <c r="BH49" i="5306"/>
  <c r="BH50" i="5306"/>
  <c r="BH51" i="5306"/>
  <c r="BH52" i="5306"/>
  <c r="BH53" i="5306"/>
  <c r="BH54" i="5306"/>
  <c r="BH2" i="5305"/>
  <c r="BH3" i="5305"/>
  <c r="BH4" i="5305"/>
  <c r="BH5" i="5305"/>
  <c r="BH6" i="5305"/>
  <c r="BH7" i="5305"/>
  <c r="BH8" i="5305"/>
  <c r="BH9" i="5305"/>
  <c r="BH10" i="5305"/>
  <c r="BH11" i="5305"/>
  <c r="BH12" i="5305"/>
  <c r="BH13" i="5305"/>
  <c r="BH14" i="5305"/>
  <c r="BH15" i="5305"/>
  <c r="BH16" i="5305"/>
  <c r="BH17" i="5305"/>
  <c r="BH18" i="5305"/>
  <c r="BH19" i="5305"/>
  <c r="BH20" i="5305"/>
  <c r="BH21" i="5305"/>
  <c r="BH22" i="5305"/>
  <c r="BH23" i="5305"/>
  <c r="BH24" i="5305"/>
  <c r="BH25" i="5305"/>
  <c r="BH26" i="5305"/>
  <c r="BH27" i="5305"/>
  <c r="BH28" i="5305"/>
  <c r="BH29" i="5305"/>
  <c r="BH30" i="5305"/>
  <c r="BH31" i="5305"/>
  <c r="BH32" i="5305"/>
  <c r="BH33" i="5305"/>
  <c r="BH34" i="5305"/>
  <c r="BH35" i="5305"/>
  <c r="BH36" i="5305"/>
  <c r="BH37" i="5305"/>
  <c r="BH38" i="5305"/>
  <c r="BH39" i="5305"/>
  <c r="BH40" i="5305"/>
  <c r="BH41" i="5305"/>
  <c r="BH42" i="5305"/>
  <c r="BH43" i="5305"/>
  <c r="BH44" i="5305"/>
  <c r="BH45" i="5305"/>
  <c r="BH46" i="5305"/>
  <c r="BH47" i="5305"/>
  <c r="BH48" i="5305"/>
  <c r="BH49" i="5305"/>
  <c r="BH50" i="5305"/>
  <c r="BH51" i="5305"/>
  <c r="BH52" i="5305"/>
  <c r="BH53" i="5305"/>
  <c r="BH54" i="5305"/>
  <c r="BH2" i="5304"/>
  <c r="BH3" i="5304"/>
  <c r="BH4" i="5304"/>
  <c r="BH5" i="5304"/>
  <c r="BH6" i="5304"/>
  <c r="BH7" i="5304"/>
  <c r="BH8" i="5304"/>
  <c r="BH9" i="5304"/>
  <c r="BH10" i="5304"/>
  <c r="BH11" i="5304"/>
  <c r="BH12" i="5304"/>
  <c r="BH13" i="5304"/>
  <c r="BH14" i="5304"/>
  <c r="BH15" i="5304"/>
  <c r="BH16" i="5304"/>
  <c r="BH17" i="5304"/>
  <c r="BH18" i="5304"/>
  <c r="BH19" i="5304"/>
  <c r="BH20" i="5304"/>
  <c r="BH21" i="5304"/>
  <c r="BH22" i="5304"/>
  <c r="BH23" i="5304"/>
  <c r="BH24" i="5304"/>
  <c r="BH25" i="5304"/>
  <c r="BH26" i="5304"/>
  <c r="BH27" i="5304"/>
  <c r="BH28" i="5304"/>
  <c r="BH29" i="5304"/>
  <c r="BH30" i="5304"/>
  <c r="BH31" i="5304"/>
  <c r="BH32" i="5304"/>
  <c r="BH33" i="5304"/>
  <c r="BH34" i="5304"/>
  <c r="BH35" i="5304"/>
  <c r="BH36" i="5304"/>
  <c r="BH37" i="5304"/>
  <c r="BH38" i="5304"/>
  <c r="BH39" i="5304"/>
  <c r="BH40" i="5304"/>
  <c r="BH41" i="5304"/>
  <c r="BH42" i="5304"/>
  <c r="BH43" i="5304"/>
  <c r="BH44" i="5304"/>
  <c r="BH45" i="5304"/>
  <c r="BH46" i="5304"/>
  <c r="BH47" i="5304"/>
  <c r="BH48" i="5304"/>
  <c r="BH49" i="5304"/>
  <c r="BH50" i="5304"/>
  <c r="BH51" i="5304"/>
  <c r="BH52" i="5304"/>
  <c r="BH53" i="5304"/>
  <c r="BH54" i="5304"/>
  <c r="BH2" i="5303"/>
  <c r="BH3" i="5303"/>
  <c r="BH4" i="5303"/>
  <c r="BH5" i="5303"/>
  <c r="BH6" i="5303"/>
  <c r="BH7" i="5303"/>
  <c r="BH8" i="5303"/>
  <c r="BH9" i="5303"/>
  <c r="BH10" i="5303"/>
  <c r="BH11" i="5303"/>
  <c r="BH12" i="5303"/>
  <c r="BH13" i="5303"/>
  <c r="BH14" i="5303"/>
  <c r="BH15" i="5303"/>
  <c r="BH16" i="5303"/>
  <c r="BH17" i="5303"/>
  <c r="BH18" i="5303"/>
  <c r="BH19" i="5303"/>
  <c r="BH20" i="5303"/>
  <c r="BH21" i="5303"/>
  <c r="BH22" i="5303"/>
  <c r="BH23" i="5303"/>
  <c r="BH24" i="5303"/>
  <c r="BH25" i="5303"/>
  <c r="BH26" i="5303"/>
  <c r="BH27" i="5303"/>
  <c r="BH28" i="5303"/>
  <c r="BH29" i="5303"/>
  <c r="BH30" i="5303"/>
  <c r="BH31" i="5303"/>
  <c r="BH32" i="5303"/>
  <c r="BH33" i="5303"/>
  <c r="BH34" i="5303"/>
  <c r="BH35" i="5303"/>
  <c r="BH36" i="5303"/>
  <c r="BH37" i="5303"/>
  <c r="BH38" i="5303"/>
  <c r="BH39" i="5303"/>
  <c r="BH40" i="5303"/>
  <c r="BH41" i="5303"/>
  <c r="BH42" i="5303"/>
  <c r="BH43" i="5303"/>
  <c r="BH44" i="5303"/>
  <c r="BH45" i="5303"/>
  <c r="BH46" i="5303"/>
  <c r="BH47" i="5303"/>
  <c r="BH48" i="5303"/>
  <c r="BH49" i="5303"/>
  <c r="BH50" i="5303"/>
  <c r="BH51" i="5303"/>
  <c r="BH52" i="5303"/>
  <c r="BH53" i="5303"/>
  <c r="BH54" i="5303"/>
  <c r="BH2" i="5302"/>
  <c r="BH3" i="5302"/>
  <c r="BH4" i="5302"/>
  <c r="BH5" i="5302"/>
  <c r="BH6" i="5302"/>
  <c r="BH7" i="5302"/>
  <c r="BH8" i="5302"/>
  <c r="BH9" i="5302"/>
  <c r="BH10" i="5302"/>
  <c r="BH11" i="5302"/>
  <c r="BH12" i="5302"/>
  <c r="BH13" i="5302"/>
  <c r="BH14" i="5302"/>
  <c r="BH15" i="5302"/>
  <c r="BH16" i="5302"/>
  <c r="BH17" i="5302"/>
  <c r="BH18" i="5302"/>
  <c r="BH19" i="5302"/>
  <c r="BH20" i="5302"/>
  <c r="BH21" i="5302"/>
  <c r="BH22" i="5302"/>
  <c r="BH23" i="5302"/>
  <c r="BH24" i="5302"/>
  <c r="BH25" i="5302"/>
  <c r="BH26" i="5302"/>
  <c r="BH27" i="5302"/>
  <c r="BH28" i="5302"/>
  <c r="BH29" i="5302"/>
  <c r="BH30" i="5302"/>
  <c r="BH31" i="5302"/>
  <c r="BH32" i="5302"/>
  <c r="BH33" i="5302"/>
  <c r="BH34" i="5302"/>
  <c r="BH35" i="5302"/>
  <c r="BH36" i="5302"/>
  <c r="BH37" i="5302"/>
  <c r="BH38" i="5302"/>
  <c r="BH39" i="5302"/>
  <c r="BH40" i="5302"/>
  <c r="BH41" i="5302"/>
  <c r="BH42" i="5302"/>
  <c r="BH43" i="5302"/>
  <c r="BH44" i="5302"/>
  <c r="BH45" i="5302"/>
  <c r="BH46" i="5302"/>
  <c r="BH47" i="5302"/>
  <c r="BH48" i="5302"/>
  <c r="BH49" i="5302"/>
  <c r="BH50" i="5302"/>
  <c r="BH51" i="5302"/>
  <c r="BH52" i="5302"/>
  <c r="BH53" i="5302"/>
  <c r="BH54" i="5302"/>
  <c r="BG2" i="5307"/>
  <c r="BG3" i="5307"/>
  <c r="BG4" i="5307"/>
  <c r="BG5" i="5307"/>
  <c r="BG6" i="5307"/>
  <c r="BG7" i="5307"/>
  <c r="BG8" i="5307"/>
  <c r="BG9" i="5307"/>
  <c r="BG10" i="5307"/>
  <c r="BG11" i="5307"/>
  <c r="BG12" i="5307"/>
  <c r="BG13" i="5307"/>
  <c r="BG14" i="5307"/>
  <c r="BG15" i="5307"/>
  <c r="BG16" i="5307"/>
  <c r="BG17" i="5307"/>
  <c r="BG18" i="5307"/>
  <c r="BG19" i="5307"/>
  <c r="BG20" i="5307"/>
  <c r="BG21" i="5307"/>
  <c r="BG22" i="5307"/>
  <c r="BG23" i="5307"/>
  <c r="BG24" i="5307"/>
  <c r="BG25" i="5307"/>
  <c r="BG26" i="5307"/>
  <c r="BG27" i="5307"/>
  <c r="BG28" i="5307"/>
  <c r="BG29" i="5307"/>
  <c r="BG30" i="5307"/>
  <c r="BG31" i="5307"/>
  <c r="BG32" i="5307"/>
  <c r="BG33" i="5307"/>
  <c r="BG34" i="5307"/>
  <c r="BG35" i="5307"/>
  <c r="BG36" i="5307"/>
  <c r="BG37" i="5307"/>
  <c r="BG38" i="5307"/>
  <c r="BG39" i="5307"/>
  <c r="BG40" i="5307"/>
  <c r="BG41" i="5307"/>
  <c r="BG42" i="5307"/>
  <c r="BG43" i="5307"/>
  <c r="BG44" i="5307"/>
  <c r="BG45" i="5307"/>
  <c r="BG46" i="5307"/>
  <c r="BG47" i="5307"/>
  <c r="BG48" i="5307"/>
  <c r="BG49" i="5307"/>
  <c r="BG50" i="5307"/>
  <c r="BG51" i="5307"/>
  <c r="BG52" i="5307"/>
  <c r="BG53" i="5307"/>
  <c r="BG54" i="5307"/>
  <c r="BG2" i="5306"/>
  <c r="BG3" i="5306"/>
  <c r="BG4" i="5306"/>
  <c r="BG5" i="5306"/>
  <c r="BG6" i="5306"/>
  <c r="BG7" i="5306"/>
  <c r="BG8" i="5306"/>
  <c r="BG9" i="5306"/>
  <c r="BG10" i="5306"/>
  <c r="BG11" i="5306"/>
  <c r="BG12" i="5306"/>
  <c r="BG13" i="5306"/>
  <c r="BG14" i="5306"/>
  <c r="BG15" i="5306"/>
  <c r="BG16" i="5306"/>
  <c r="BG17" i="5306"/>
  <c r="BG18" i="5306"/>
  <c r="BG19" i="5306"/>
  <c r="BG20" i="5306"/>
  <c r="BG21" i="5306"/>
  <c r="BG22" i="5306"/>
  <c r="BG23" i="5306"/>
  <c r="BG24" i="5306"/>
  <c r="BG25" i="5306"/>
  <c r="BG26" i="5306"/>
  <c r="BG27" i="5306"/>
  <c r="BG28" i="5306"/>
  <c r="BG29" i="5306"/>
  <c r="BG30" i="5306"/>
  <c r="BG31" i="5306"/>
  <c r="BG32" i="5306"/>
  <c r="BG33" i="5306"/>
  <c r="BG34" i="5306"/>
  <c r="BG35" i="5306"/>
  <c r="BG36" i="5306"/>
  <c r="BG37" i="5306"/>
  <c r="BG38" i="5306"/>
  <c r="BG39" i="5306"/>
  <c r="BG40" i="5306"/>
  <c r="BG41" i="5306"/>
  <c r="BG42" i="5306"/>
  <c r="BG43" i="5306"/>
  <c r="BG44" i="5306"/>
  <c r="BG45" i="5306"/>
  <c r="BG46" i="5306"/>
  <c r="BG47" i="5306"/>
  <c r="BG48" i="5306"/>
  <c r="BG49" i="5306"/>
  <c r="BG50" i="5306"/>
  <c r="BG51" i="5306"/>
  <c r="BG52" i="5306"/>
  <c r="BG53" i="5306"/>
  <c r="BG54" i="5306"/>
  <c r="BG2" i="5305"/>
  <c r="BG3" i="5305"/>
  <c r="BG4" i="5305"/>
  <c r="BG5" i="5305"/>
  <c r="BG6" i="5305"/>
  <c r="BG7" i="5305"/>
  <c r="BG8" i="5305"/>
  <c r="BG9" i="5305"/>
  <c r="BG10" i="5305"/>
  <c r="BG11" i="5305"/>
  <c r="BG12" i="5305"/>
  <c r="BG13" i="5305"/>
  <c r="BG14" i="5305"/>
  <c r="BG15" i="5305"/>
  <c r="BG16" i="5305"/>
  <c r="BG17" i="5305"/>
  <c r="BG18" i="5305"/>
  <c r="BG19" i="5305"/>
  <c r="BG20" i="5305"/>
  <c r="BG21" i="5305"/>
  <c r="BG22" i="5305"/>
  <c r="BG23" i="5305"/>
  <c r="BG24" i="5305"/>
  <c r="BG25" i="5305"/>
  <c r="BG26" i="5305"/>
  <c r="BG27" i="5305"/>
  <c r="BG28" i="5305"/>
  <c r="BG29" i="5305"/>
  <c r="BG30" i="5305"/>
  <c r="BG31" i="5305"/>
  <c r="BG32" i="5305"/>
  <c r="BG33" i="5305"/>
  <c r="BG34" i="5305"/>
  <c r="BG35" i="5305"/>
  <c r="BG36" i="5305"/>
  <c r="BG37" i="5305"/>
  <c r="BG38" i="5305"/>
  <c r="BG39" i="5305"/>
  <c r="BG40" i="5305"/>
  <c r="BG41" i="5305"/>
  <c r="BG42" i="5305"/>
  <c r="BG43" i="5305"/>
  <c r="BG44" i="5305"/>
  <c r="BG45" i="5305"/>
  <c r="BG46" i="5305"/>
  <c r="BG47" i="5305"/>
  <c r="BG48" i="5305"/>
  <c r="BG49" i="5305"/>
  <c r="BG50" i="5305"/>
  <c r="BG51" i="5305"/>
  <c r="BG52" i="5305"/>
  <c r="BG53" i="5305"/>
  <c r="BG54" i="5305"/>
  <c r="BG2" i="5304"/>
  <c r="BG3" i="5304"/>
  <c r="BG4" i="5304"/>
  <c r="BG5" i="5304"/>
  <c r="BG6" i="5304"/>
  <c r="BG7" i="5304"/>
  <c r="BG8" i="5304"/>
  <c r="BG9" i="5304"/>
  <c r="BG10" i="5304"/>
  <c r="BG11" i="5304"/>
  <c r="BG12" i="5304"/>
  <c r="BG13" i="5304"/>
  <c r="BG14" i="5304"/>
  <c r="BG15" i="5304"/>
  <c r="BG16" i="5304"/>
  <c r="BG17" i="5304"/>
  <c r="BG18" i="5304"/>
  <c r="BG19" i="5304"/>
  <c r="BG20" i="5304"/>
  <c r="BG21" i="5304"/>
  <c r="BG22" i="5304"/>
  <c r="BG23" i="5304"/>
  <c r="BG24" i="5304"/>
  <c r="BG25" i="5304"/>
  <c r="BG26" i="5304"/>
  <c r="BG27" i="5304"/>
  <c r="BG28" i="5304"/>
  <c r="BG29" i="5304"/>
  <c r="BG30" i="5304"/>
  <c r="BG31" i="5304"/>
  <c r="BG32" i="5304"/>
  <c r="BG33" i="5304"/>
  <c r="BG34" i="5304"/>
  <c r="BG35" i="5304"/>
  <c r="BG36" i="5304"/>
  <c r="BG37" i="5304"/>
  <c r="BG38" i="5304"/>
  <c r="BG39" i="5304"/>
  <c r="BG40" i="5304"/>
  <c r="BG41" i="5304"/>
  <c r="BG42" i="5304"/>
  <c r="BG43" i="5304"/>
  <c r="BG44" i="5304"/>
  <c r="BG45" i="5304"/>
  <c r="BG46" i="5304"/>
  <c r="BG47" i="5304"/>
  <c r="BG48" i="5304"/>
  <c r="BG49" i="5304"/>
  <c r="BG50" i="5304"/>
  <c r="BG51" i="5304"/>
  <c r="BG52" i="5304"/>
  <c r="BG53" i="5304"/>
  <c r="BG54" i="5304"/>
  <c r="BG2" i="5303"/>
  <c r="BG3" i="5303"/>
  <c r="BG4" i="5303"/>
  <c r="BG5" i="5303"/>
  <c r="BG6" i="5303"/>
  <c r="BG7" i="5303"/>
  <c r="BG8" i="5303"/>
  <c r="BG9" i="5303"/>
  <c r="BG10" i="5303"/>
  <c r="BG11" i="5303"/>
  <c r="BG12" i="5303"/>
  <c r="BG13" i="5303"/>
  <c r="BG14" i="5303"/>
  <c r="BG15" i="5303"/>
  <c r="BG16" i="5303"/>
  <c r="BG17" i="5303"/>
  <c r="BG18" i="5303"/>
  <c r="BG19" i="5303"/>
  <c r="BG20" i="5303"/>
  <c r="BG21" i="5303"/>
  <c r="BG22" i="5303"/>
  <c r="BG23" i="5303"/>
  <c r="BG24" i="5303"/>
  <c r="BG25" i="5303"/>
  <c r="BG26" i="5303"/>
  <c r="BG27" i="5303"/>
  <c r="BG28" i="5303"/>
  <c r="BG29" i="5303"/>
  <c r="BG30" i="5303"/>
  <c r="BG31" i="5303"/>
  <c r="BG32" i="5303"/>
  <c r="BG33" i="5303"/>
  <c r="BG34" i="5303"/>
  <c r="BG35" i="5303"/>
  <c r="BG36" i="5303"/>
  <c r="BG37" i="5303"/>
  <c r="BG38" i="5303"/>
  <c r="BG39" i="5303"/>
  <c r="BG40" i="5303"/>
  <c r="BG41" i="5303"/>
  <c r="BG42" i="5303"/>
  <c r="BG43" i="5303"/>
  <c r="BG44" i="5303"/>
  <c r="BG45" i="5303"/>
  <c r="BG46" i="5303"/>
  <c r="BG47" i="5303"/>
  <c r="BG48" i="5303"/>
  <c r="BG49" i="5303"/>
  <c r="BG50" i="5303"/>
  <c r="BG51" i="5303"/>
  <c r="BG52" i="5303"/>
  <c r="BG53" i="5303"/>
  <c r="BG54" i="5303"/>
  <c r="BG2" i="5302"/>
  <c r="BG3" i="5302"/>
  <c r="BG4" i="5302"/>
  <c r="BG5" i="5302"/>
  <c r="BG6" i="5302"/>
  <c r="BG7" i="5302"/>
  <c r="BG8" i="5302"/>
  <c r="BG9" i="5302"/>
  <c r="BG10" i="5302"/>
  <c r="BG11" i="5302"/>
  <c r="BG12" i="5302"/>
  <c r="BG13" i="5302"/>
  <c r="BG14" i="5302"/>
  <c r="BG15" i="5302"/>
  <c r="BG16" i="5302"/>
  <c r="BG17" i="5302"/>
  <c r="BG18" i="5302"/>
  <c r="BG19" i="5302"/>
  <c r="BG20" i="5302"/>
  <c r="BG21" i="5302"/>
  <c r="BG22" i="5302"/>
  <c r="BG23" i="5302"/>
  <c r="BG24" i="5302"/>
  <c r="BG25" i="5302"/>
  <c r="BG26" i="5302"/>
  <c r="BG27" i="5302"/>
  <c r="BG28" i="5302"/>
  <c r="BG29" i="5302"/>
  <c r="BG30" i="5302"/>
  <c r="BG31" i="5302"/>
  <c r="BG32" i="5302"/>
  <c r="BG33" i="5302"/>
  <c r="BG34" i="5302"/>
  <c r="BG35" i="5302"/>
  <c r="BG36" i="5302"/>
  <c r="BG37" i="5302"/>
  <c r="BG38" i="5302"/>
  <c r="BG39" i="5302"/>
  <c r="BG40" i="5302"/>
  <c r="BG41" i="5302"/>
  <c r="BG42" i="5302"/>
  <c r="BG43" i="5302"/>
  <c r="BG44" i="5302"/>
  <c r="BG45" i="5302"/>
  <c r="BG46" i="5302"/>
  <c r="BG47" i="5302"/>
  <c r="BG48" i="5302"/>
  <c r="BG49" i="5302"/>
  <c r="BG50" i="5302"/>
  <c r="BG51" i="5302"/>
  <c r="BG52" i="5302"/>
  <c r="BG53" i="5302"/>
  <c r="BG54" i="5302"/>
  <c r="BF2" i="5307"/>
  <c r="BF3" i="5307"/>
  <c r="BF4" i="5307"/>
  <c r="BF5" i="5307"/>
  <c r="BF6" i="5307"/>
  <c r="BF7" i="5307"/>
  <c r="BF8" i="5307"/>
  <c r="BF9" i="5307"/>
  <c r="BF10" i="5307"/>
  <c r="BF11" i="5307"/>
  <c r="BF12" i="5307"/>
  <c r="BF13" i="5307"/>
  <c r="BF14" i="5307"/>
  <c r="BF15" i="5307"/>
  <c r="BF16" i="5307"/>
  <c r="BF17" i="5307"/>
  <c r="BF18" i="5307"/>
  <c r="BF19" i="5307"/>
  <c r="BF20" i="5307"/>
  <c r="BF21" i="5307"/>
  <c r="BF22" i="5307"/>
  <c r="BF23" i="5307"/>
  <c r="BF24" i="5307"/>
  <c r="BF25" i="5307"/>
  <c r="BF26" i="5307"/>
  <c r="BF27" i="5307"/>
  <c r="BF28" i="5307"/>
  <c r="BF29" i="5307"/>
  <c r="BF30" i="5307"/>
  <c r="BF31" i="5307"/>
  <c r="BF32" i="5307"/>
  <c r="BF33" i="5307"/>
  <c r="BF34" i="5307"/>
  <c r="BF35" i="5307"/>
  <c r="BF36" i="5307"/>
  <c r="BF37" i="5307"/>
  <c r="BF38" i="5307"/>
  <c r="BF39" i="5307"/>
  <c r="BF40" i="5307"/>
  <c r="BF41" i="5307"/>
  <c r="BF42" i="5307"/>
  <c r="BF43" i="5307"/>
  <c r="BF44" i="5307"/>
  <c r="BF45" i="5307"/>
  <c r="BF46" i="5307"/>
  <c r="BF47" i="5307"/>
  <c r="BF48" i="5307"/>
  <c r="BF49" i="5307"/>
  <c r="BF50" i="5307"/>
  <c r="BF51" i="5307"/>
  <c r="BF52" i="5307"/>
  <c r="BF53" i="5307"/>
  <c r="BF54" i="5307"/>
  <c r="BF2" i="5306"/>
  <c r="BF3" i="5306"/>
  <c r="BF4" i="5306"/>
  <c r="BF5" i="5306"/>
  <c r="BF6" i="5306"/>
  <c r="BF7" i="5306"/>
  <c r="BF8" i="5306"/>
  <c r="BF9" i="5306"/>
  <c r="BF10" i="5306"/>
  <c r="BF11" i="5306"/>
  <c r="BF12" i="5306"/>
  <c r="BF13" i="5306"/>
  <c r="BF14" i="5306"/>
  <c r="BF15" i="5306"/>
  <c r="BF16" i="5306"/>
  <c r="BF17" i="5306"/>
  <c r="BF18" i="5306"/>
  <c r="BF19" i="5306"/>
  <c r="BF20" i="5306"/>
  <c r="BF21" i="5306"/>
  <c r="BF22" i="5306"/>
  <c r="BF23" i="5306"/>
  <c r="BF24" i="5306"/>
  <c r="BF25" i="5306"/>
  <c r="BF26" i="5306"/>
  <c r="BF27" i="5306"/>
  <c r="BF28" i="5306"/>
  <c r="BF29" i="5306"/>
  <c r="BF30" i="5306"/>
  <c r="BF31" i="5306"/>
  <c r="BF32" i="5306"/>
  <c r="BF33" i="5306"/>
  <c r="BF34" i="5306"/>
  <c r="BF35" i="5306"/>
  <c r="BF36" i="5306"/>
  <c r="BF37" i="5306"/>
  <c r="BF38" i="5306"/>
  <c r="BF39" i="5306"/>
  <c r="BF40" i="5306"/>
  <c r="BF41" i="5306"/>
  <c r="BF42" i="5306"/>
  <c r="BF43" i="5306"/>
  <c r="BF44" i="5306"/>
  <c r="BF45" i="5306"/>
  <c r="BF46" i="5306"/>
  <c r="BF47" i="5306"/>
  <c r="BF48" i="5306"/>
  <c r="BF49" i="5306"/>
  <c r="BF50" i="5306"/>
  <c r="BF51" i="5306"/>
  <c r="BF52" i="5306"/>
  <c r="BF53" i="5306"/>
  <c r="BF54" i="5306"/>
  <c r="BF2" i="5305"/>
  <c r="BF3" i="5305"/>
  <c r="BF4" i="5305"/>
  <c r="BF5" i="5305"/>
  <c r="BF6" i="5305"/>
  <c r="BF7" i="5305"/>
  <c r="BF8" i="5305"/>
  <c r="BF9" i="5305"/>
  <c r="BF10" i="5305"/>
  <c r="BF11" i="5305"/>
  <c r="BF12" i="5305"/>
  <c r="BF13" i="5305"/>
  <c r="BF14" i="5305"/>
  <c r="BF15" i="5305"/>
  <c r="BF16" i="5305"/>
  <c r="BF17" i="5305"/>
  <c r="BF18" i="5305"/>
  <c r="BF19" i="5305"/>
  <c r="BF20" i="5305"/>
  <c r="BF21" i="5305"/>
  <c r="BF22" i="5305"/>
  <c r="BF23" i="5305"/>
  <c r="BF24" i="5305"/>
  <c r="BF25" i="5305"/>
  <c r="BF26" i="5305"/>
  <c r="BF27" i="5305"/>
  <c r="BF28" i="5305"/>
  <c r="BF29" i="5305"/>
  <c r="BF30" i="5305"/>
  <c r="BF31" i="5305"/>
  <c r="BF32" i="5305"/>
  <c r="BF33" i="5305"/>
  <c r="BF34" i="5305"/>
  <c r="BF35" i="5305"/>
  <c r="BF36" i="5305"/>
  <c r="BF37" i="5305"/>
  <c r="BF38" i="5305"/>
  <c r="BF39" i="5305"/>
  <c r="BF40" i="5305"/>
  <c r="BF41" i="5305"/>
  <c r="BF42" i="5305"/>
  <c r="BF43" i="5305"/>
  <c r="BF44" i="5305"/>
  <c r="BF45" i="5305"/>
  <c r="BF46" i="5305"/>
  <c r="BF47" i="5305"/>
  <c r="BF48" i="5305"/>
  <c r="BF49" i="5305"/>
  <c r="BF50" i="5305"/>
  <c r="BF51" i="5305"/>
  <c r="BF52" i="5305"/>
  <c r="BF53" i="5305"/>
  <c r="BF54" i="5305"/>
  <c r="BF2" i="5304"/>
  <c r="BF3" i="5304"/>
  <c r="BF4" i="5304"/>
  <c r="BF5" i="5304"/>
  <c r="BF6" i="5304"/>
  <c r="BF7" i="5304"/>
  <c r="BF8" i="5304"/>
  <c r="BF9" i="5304"/>
  <c r="BF10" i="5304"/>
  <c r="BF11" i="5304"/>
  <c r="BF12" i="5304"/>
  <c r="BF13" i="5304"/>
  <c r="BF14" i="5304"/>
  <c r="BF15" i="5304"/>
  <c r="BF16" i="5304"/>
  <c r="BF17" i="5304"/>
  <c r="BF18" i="5304"/>
  <c r="BF19" i="5304"/>
  <c r="BF20" i="5304"/>
  <c r="BF21" i="5304"/>
  <c r="BF22" i="5304"/>
  <c r="BF23" i="5304"/>
  <c r="BF24" i="5304"/>
  <c r="BF25" i="5304"/>
  <c r="BF26" i="5304"/>
  <c r="BF27" i="5304"/>
  <c r="BF28" i="5304"/>
  <c r="BF29" i="5304"/>
  <c r="BF30" i="5304"/>
  <c r="BF31" i="5304"/>
  <c r="BF32" i="5304"/>
  <c r="BF33" i="5304"/>
  <c r="BF34" i="5304"/>
  <c r="BF35" i="5304"/>
  <c r="BF36" i="5304"/>
  <c r="BF37" i="5304"/>
  <c r="BF38" i="5304"/>
  <c r="BF39" i="5304"/>
  <c r="BF40" i="5304"/>
  <c r="BF41" i="5304"/>
  <c r="BF42" i="5304"/>
  <c r="BF43" i="5304"/>
  <c r="BF44" i="5304"/>
  <c r="BF45" i="5304"/>
  <c r="BF46" i="5304"/>
  <c r="BF47" i="5304"/>
  <c r="BF48" i="5304"/>
  <c r="BF49" i="5304"/>
  <c r="BF50" i="5304"/>
  <c r="BF51" i="5304"/>
  <c r="BF52" i="5304"/>
  <c r="BF53" i="5304"/>
  <c r="BF54" i="5304"/>
  <c r="BF2" i="5303"/>
  <c r="BF3" i="5303"/>
  <c r="BF4" i="5303"/>
  <c r="BF5" i="5303"/>
  <c r="BF6" i="5303"/>
  <c r="BF7" i="5303"/>
  <c r="BF8" i="5303"/>
  <c r="BF9" i="5303"/>
  <c r="BF10" i="5303"/>
  <c r="BF11" i="5303"/>
  <c r="BF12" i="5303"/>
  <c r="BF13" i="5303"/>
  <c r="BF14" i="5303"/>
  <c r="BF15" i="5303"/>
  <c r="BF16" i="5303"/>
  <c r="BF17" i="5303"/>
  <c r="BF18" i="5303"/>
  <c r="BF19" i="5303"/>
  <c r="BF20" i="5303"/>
  <c r="BF21" i="5303"/>
  <c r="BF22" i="5303"/>
  <c r="BF23" i="5303"/>
  <c r="BF24" i="5303"/>
  <c r="BF25" i="5303"/>
  <c r="BF26" i="5303"/>
  <c r="BF27" i="5303"/>
  <c r="BF28" i="5303"/>
  <c r="BF29" i="5303"/>
  <c r="BF30" i="5303"/>
  <c r="BF31" i="5303"/>
  <c r="BF32" i="5303"/>
  <c r="BF33" i="5303"/>
  <c r="BF34" i="5303"/>
  <c r="BF35" i="5303"/>
  <c r="BF36" i="5303"/>
  <c r="BF37" i="5303"/>
  <c r="BF38" i="5303"/>
  <c r="BF39" i="5303"/>
  <c r="BF40" i="5303"/>
  <c r="BF41" i="5303"/>
  <c r="BF42" i="5303"/>
  <c r="BF43" i="5303"/>
  <c r="BF44" i="5303"/>
  <c r="BF45" i="5303"/>
  <c r="BF46" i="5303"/>
  <c r="BF47" i="5303"/>
  <c r="BF48" i="5303"/>
  <c r="BF49" i="5303"/>
  <c r="BF50" i="5303"/>
  <c r="BF51" i="5303"/>
  <c r="BF52" i="5303"/>
  <c r="BF53" i="5303"/>
  <c r="BF54" i="5303"/>
  <c r="BF2" i="5302"/>
  <c r="BF3" i="5302"/>
  <c r="BF4" i="5302"/>
  <c r="BF5" i="5302"/>
  <c r="BF6" i="5302"/>
  <c r="BF7" i="5302"/>
  <c r="BF8" i="5302"/>
  <c r="BF9" i="5302"/>
  <c r="BF10" i="5302"/>
  <c r="BF11" i="5302"/>
  <c r="BF12" i="5302"/>
  <c r="BF13" i="5302"/>
  <c r="BF14" i="5302"/>
  <c r="BF15" i="5302"/>
  <c r="BF16" i="5302"/>
  <c r="BF17" i="5302"/>
  <c r="BF18" i="5302"/>
  <c r="BF19" i="5302"/>
  <c r="BF20" i="5302"/>
  <c r="BF21" i="5302"/>
  <c r="BF22" i="5302"/>
  <c r="BF23" i="5302"/>
  <c r="BF24" i="5302"/>
  <c r="BF25" i="5302"/>
  <c r="BF26" i="5302"/>
  <c r="BF27" i="5302"/>
  <c r="BF28" i="5302"/>
  <c r="BF29" i="5302"/>
  <c r="BF30" i="5302"/>
  <c r="BF31" i="5302"/>
  <c r="BF32" i="5302"/>
  <c r="BF33" i="5302"/>
  <c r="BF34" i="5302"/>
  <c r="BF35" i="5302"/>
  <c r="BF36" i="5302"/>
  <c r="BF37" i="5302"/>
  <c r="BF38" i="5302"/>
  <c r="BF39" i="5302"/>
  <c r="BF40" i="5302"/>
  <c r="BF41" i="5302"/>
  <c r="BF42" i="5302"/>
  <c r="BF43" i="5302"/>
  <c r="BF44" i="5302"/>
  <c r="BF45" i="5302"/>
  <c r="BF46" i="5302"/>
  <c r="BF47" i="5302"/>
  <c r="BF48" i="5302"/>
  <c r="BF49" i="5302"/>
  <c r="BF50" i="5302"/>
  <c r="BF51" i="5302"/>
  <c r="BF52" i="5302"/>
  <c r="BF53" i="5302"/>
  <c r="BF54" i="5302"/>
  <c r="BE2" i="5307"/>
  <c r="BE3" i="5307"/>
  <c r="BE4" i="5307"/>
  <c r="BE5" i="5307"/>
  <c r="BE6" i="5307"/>
  <c r="BE7" i="5307"/>
  <c r="BE8" i="5307"/>
  <c r="BE9" i="5307"/>
  <c r="BE10" i="5307"/>
  <c r="BE11" i="5307"/>
  <c r="BE12" i="5307"/>
  <c r="BE13" i="5307"/>
  <c r="BE14" i="5307"/>
  <c r="BE15" i="5307"/>
  <c r="BE16" i="5307"/>
  <c r="BE17" i="5307"/>
  <c r="BE18" i="5307"/>
  <c r="BE19" i="5307"/>
  <c r="BE20" i="5307"/>
  <c r="BE21" i="5307"/>
  <c r="BE22" i="5307"/>
  <c r="BE23" i="5307"/>
  <c r="BE24" i="5307"/>
  <c r="BE25" i="5307"/>
  <c r="BE26" i="5307"/>
  <c r="BE27" i="5307"/>
  <c r="BE28" i="5307"/>
  <c r="BE29" i="5307"/>
  <c r="BE30" i="5307"/>
  <c r="BE31" i="5307"/>
  <c r="BE32" i="5307"/>
  <c r="BE33" i="5307"/>
  <c r="BE34" i="5307"/>
  <c r="BE35" i="5307"/>
  <c r="BE36" i="5307"/>
  <c r="BE37" i="5307"/>
  <c r="BE38" i="5307"/>
  <c r="BE39" i="5307"/>
  <c r="BE40" i="5307"/>
  <c r="BE41" i="5307"/>
  <c r="BE42" i="5307"/>
  <c r="BE43" i="5307"/>
  <c r="BE44" i="5307"/>
  <c r="BE45" i="5307"/>
  <c r="BE46" i="5307"/>
  <c r="BE47" i="5307"/>
  <c r="BE48" i="5307"/>
  <c r="BE49" i="5307"/>
  <c r="BE50" i="5307"/>
  <c r="BE51" i="5307"/>
  <c r="BE52" i="5307"/>
  <c r="BE53" i="5307"/>
  <c r="BE54" i="5307"/>
  <c r="BE2" i="5306"/>
  <c r="BE3" i="5306"/>
  <c r="BE4" i="5306"/>
  <c r="BE5" i="5306"/>
  <c r="BE6" i="5306"/>
  <c r="BE7" i="5306"/>
  <c r="BE8" i="5306"/>
  <c r="BE9" i="5306"/>
  <c r="BE10" i="5306"/>
  <c r="BE11" i="5306"/>
  <c r="BE12" i="5306"/>
  <c r="BE13" i="5306"/>
  <c r="BE14" i="5306"/>
  <c r="BE15" i="5306"/>
  <c r="BE16" i="5306"/>
  <c r="BE17" i="5306"/>
  <c r="BE18" i="5306"/>
  <c r="BE19" i="5306"/>
  <c r="BE20" i="5306"/>
  <c r="BE21" i="5306"/>
  <c r="BE22" i="5306"/>
  <c r="BE23" i="5306"/>
  <c r="BE24" i="5306"/>
  <c r="BE25" i="5306"/>
  <c r="BE26" i="5306"/>
  <c r="BE27" i="5306"/>
  <c r="BE28" i="5306"/>
  <c r="BE29" i="5306"/>
  <c r="BE30" i="5306"/>
  <c r="BE31" i="5306"/>
  <c r="BE32" i="5306"/>
  <c r="BE33" i="5306"/>
  <c r="BE34" i="5306"/>
  <c r="BE35" i="5306"/>
  <c r="BE36" i="5306"/>
  <c r="BE37" i="5306"/>
  <c r="BE38" i="5306"/>
  <c r="BE39" i="5306"/>
  <c r="BE40" i="5306"/>
  <c r="BE41" i="5306"/>
  <c r="BE42" i="5306"/>
  <c r="BE43" i="5306"/>
  <c r="BE44" i="5306"/>
  <c r="BE45" i="5306"/>
  <c r="BE46" i="5306"/>
  <c r="BE47" i="5306"/>
  <c r="BE48" i="5306"/>
  <c r="BE49" i="5306"/>
  <c r="BE50" i="5306"/>
  <c r="BE51" i="5306"/>
  <c r="BE52" i="5306"/>
  <c r="BE53" i="5306"/>
  <c r="BE54" i="5306"/>
  <c r="BE2" i="5305"/>
  <c r="BE3" i="5305"/>
  <c r="BE4" i="5305"/>
  <c r="BE5" i="5305"/>
  <c r="BE6" i="5305"/>
  <c r="BE7" i="5305"/>
  <c r="BE8" i="5305"/>
  <c r="BE9" i="5305"/>
  <c r="BE10" i="5305"/>
  <c r="BE11" i="5305"/>
  <c r="BE12" i="5305"/>
  <c r="BE13" i="5305"/>
  <c r="BE14" i="5305"/>
  <c r="BE15" i="5305"/>
  <c r="BE16" i="5305"/>
  <c r="BE17" i="5305"/>
  <c r="BE18" i="5305"/>
  <c r="BE19" i="5305"/>
  <c r="BE20" i="5305"/>
  <c r="BE21" i="5305"/>
  <c r="BE22" i="5305"/>
  <c r="BE23" i="5305"/>
  <c r="BE24" i="5305"/>
  <c r="BE25" i="5305"/>
  <c r="BE26" i="5305"/>
  <c r="BE27" i="5305"/>
  <c r="BE28" i="5305"/>
  <c r="BE29" i="5305"/>
  <c r="BE30" i="5305"/>
  <c r="BE31" i="5305"/>
  <c r="BE32" i="5305"/>
  <c r="BE33" i="5305"/>
  <c r="BE34" i="5305"/>
  <c r="BE35" i="5305"/>
  <c r="BE36" i="5305"/>
  <c r="BE37" i="5305"/>
  <c r="BE38" i="5305"/>
  <c r="BE39" i="5305"/>
  <c r="BE40" i="5305"/>
  <c r="BE41" i="5305"/>
  <c r="BE42" i="5305"/>
  <c r="BE43" i="5305"/>
  <c r="BE44" i="5305"/>
  <c r="BE45" i="5305"/>
  <c r="BE46" i="5305"/>
  <c r="BE47" i="5305"/>
  <c r="BE48" i="5305"/>
  <c r="BE49" i="5305"/>
  <c r="BE50" i="5305"/>
  <c r="BE51" i="5305"/>
  <c r="BE52" i="5305"/>
  <c r="BE53" i="5305"/>
  <c r="BE54" i="5305"/>
  <c r="BE2" i="5304"/>
  <c r="BE3" i="5304"/>
  <c r="BE4" i="5304"/>
  <c r="BE5" i="5304"/>
  <c r="BE6" i="5304"/>
  <c r="BE7" i="5304"/>
  <c r="BE8" i="5304"/>
  <c r="BE9" i="5304"/>
  <c r="BE10" i="5304"/>
  <c r="BE11" i="5304"/>
  <c r="BE12" i="5304"/>
  <c r="BE13" i="5304"/>
  <c r="BE14" i="5304"/>
  <c r="BE15" i="5304"/>
  <c r="BE16" i="5304"/>
  <c r="BE17" i="5304"/>
  <c r="BE18" i="5304"/>
  <c r="BE19" i="5304"/>
  <c r="BE20" i="5304"/>
  <c r="BE21" i="5304"/>
  <c r="BE22" i="5304"/>
  <c r="BE23" i="5304"/>
  <c r="BE24" i="5304"/>
  <c r="BE25" i="5304"/>
  <c r="BE26" i="5304"/>
  <c r="BE27" i="5304"/>
  <c r="BE28" i="5304"/>
  <c r="BE29" i="5304"/>
  <c r="BE30" i="5304"/>
  <c r="BE31" i="5304"/>
  <c r="BE32" i="5304"/>
  <c r="BE33" i="5304"/>
  <c r="BE34" i="5304"/>
  <c r="BE35" i="5304"/>
  <c r="BE36" i="5304"/>
  <c r="BE37" i="5304"/>
  <c r="BE38" i="5304"/>
  <c r="BE39" i="5304"/>
  <c r="BE40" i="5304"/>
  <c r="BE41" i="5304"/>
  <c r="BE42" i="5304"/>
  <c r="BE43" i="5304"/>
  <c r="BE44" i="5304"/>
  <c r="BE45" i="5304"/>
  <c r="BE46" i="5304"/>
  <c r="BE47" i="5304"/>
  <c r="BE48" i="5304"/>
  <c r="BE49" i="5304"/>
  <c r="BE50" i="5304"/>
  <c r="BE51" i="5304"/>
  <c r="BE52" i="5304"/>
  <c r="BE53" i="5304"/>
  <c r="BE54" i="5304"/>
  <c r="BE2" i="5303"/>
  <c r="BE3" i="5303"/>
  <c r="BE4" i="5303"/>
  <c r="BE5" i="5303"/>
  <c r="BE6" i="5303"/>
  <c r="BE7" i="5303"/>
  <c r="BE8" i="5303"/>
  <c r="BE9" i="5303"/>
  <c r="BE10" i="5303"/>
  <c r="BE11" i="5303"/>
  <c r="BE12" i="5303"/>
  <c r="BE13" i="5303"/>
  <c r="BE14" i="5303"/>
  <c r="BE15" i="5303"/>
  <c r="BE16" i="5303"/>
  <c r="BE17" i="5303"/>
  <c r="BE18" i="5303"/>
  <c r="BE19" i="5303"/>
  <c r="BE20" i="5303"/>
  <c r="BE21" i="5303"/>
  <c r="BE22" i="5303"/>
  <c r="BE23" i="5303"/>
  <c r="BE24" i="5303"/>
  <c r="BE25" i="5303"/>
  <c r="BE26" i="5303"/>
  <c r="BE27" i="5303"/>
  <c r="BE28" i="5303"/>
  <c r="BE29" i="5303"/>
  <c r="BE30" i="5303"/>
  <c r="BE31" i="5303"/>
  <c r="BE32" i="5303"/>
  <c r="BE33" i="5303"/>
  <c r="BE34" i="5303"/>
  <c r="BE35" i="5303"/>
  <c r="BE36" i="5303"/>
  <c r="BE37" i="5303"/>
  <c r="BE38" i="5303"/>
  <c r="BE39" i="5303"/>
  <c r="BE40" i="5303"/>
  <c r="BE41" i="5303"/>
  <c r="BE42" i="5303"/>
  <c r="BE43" i="5303"/>
  <c r="BE44" i="5303"/>
  <c r="BE45" i="5303"/>
  <c r="BE46" i="5303"/>
  <c r="BE47" i="5303"/>
  <c r="BE48" i="5303"/>
  <c r="BE49" i="5303"/>
  <c r="BE50" i="5303"/>
  <c r="BE51" i="5303"/>
  <c r="BE52" i="5303"/>
  <c r="BE53" i="5303"/>
  <c r="BE54" i="5303"/>
  <c r="BE2" i="5302"/>
  <c r="BE3" i="5302"/>
  <c r="BE4" i="5302"/>
  <c r="BE5" i="5302"/>
  <c r="BE6" i="5302"/>
  <c r="BE7" i="5302"/>
  <c r="BE8" i="5302"/>
  <c r="BE9" i="5302"/>
  <c r="BE10" i="5302"/>
  <c r="BE11" i="5302"/>
  <c r="BE12" i="5302"/>
  <c r="BE13" i="5302"/>
  <c r="BE14" i="5302"/>
  <c r="BE15" i="5302"/>
  <c r="BE16" i="5302"/>
  <c r="BE17" i="5302"/>
  <c r="BE18" i="5302"/>
  <c r="BE19" i="5302"/>
  <c r="BE20" i="5302"/>
  <c r="BE21" i="5302"/>
  <c r="BE22" i="5302"/>
  <c r="BE23" i="5302"/>
  <c r="BE24" i="5302"/>
  <c r="BE25" i="5302"/>
  <c r="BE26" i="5302"/>
  <c r="BE27" i="5302"/>
  <c r="BE28" i="5302"/>
  <c r="BE29" i="5302"/>
  <c r="BE30" i="5302"/>
  <c r="BE31" i="5302"/>
  <c r="BE32" i="5302"/>
  <c r="BE33" i="5302"/>
  <c r="BE34" i="5302"/>
  <c r="BE35" i="5302"/>
  <c r="BE36" i="5302"/>
  <c r="BE37" i="5302"/>
  <c r="BE38" i="5302"/>
  <c r="BE39" i="5302"/>
  <c r="BE40" i="5302"/>
  <c r="BE41" i="5302"/>
  <c r="BE42" i="5302"/>
  <c r="BE43" i="5302"/>
  <c r="BE44" i="5302"/>
  <c r="BE45" i="5302"/>
  <c r="BE46" i="5302"/>
  <c r="BE47" i="5302"/>
  <c r="BE48" i="5302"/>
  <c r="BE49" i="5302"/>
  <c r="BE50" i="5302"/>
  <c r="BE51" i="5302"/>
  <c r="BE52" i="5302"/>
  <c r="BE53" i="5302"/>
  <c r="BE54" i="5302"/>
  <c r="BD2" i="5307"/>
  <c r="BD3" i="5307"/>
  <c r="BD4" i="5307"/>
  <c r="BD5" i="5307"/>
  <c r="BD6" i="5307"/>
  <c r="BD7" i="5307"/>
  <c r="BD8" i="5307"/>
  <c r="BD9" i="5307"/>
  <c r="BD10" i="5307"/>
  <c r="BD11" i="5307"/>
  <c r="BD12" i="5307"/>
  <c r="BD13" i="5307"/>
  <c r="BD14" i="5307"/>
  <c r="BD15" i="5307"/>
  <c r="BD16" i="5307"/>
  <c r="BD17" i="5307"/>
  <c r="BD18" i="5307"/>
  <c r="BD19" i="5307"/>
  <c r="BD20" i="5307"/>
  <c r="BD21" i="5307"/>
  <c r="BD22" i="5307"/>
  <c r="BD23" i="5307"/>
  <c r="BD24" i="5307"/>
  <c r="BD25" i="5307"/>
  <c r="BD26" i="5307"/>
  <c r="BD27" i="5307"/>
  <c r="BD28" i="5307"/>
  <c r="BD29" i="5307"/>
  <c r="BD30" i="5307"/>
  <c r="BD31" i="5307"/>
  <c r="BD32" i="5307"/>
  <c r="BD33" i="5307"/>
  <c r="BD34" i="5307"/>
  <c r="BD35" i="5307"/>
  <c r="BD36" i="5307"/>
  <c r="BD37" i="5307"/>
  <c r="BD38" i="5307"/>
  <c r="BD39" i="5307"/>
  <c r="BD40" i="5307"/>
  <c r="BD41" i="5307"/>
  <c r="BD42" i="5307"/>
  <c r="BD43" i="5307"/>
  <c r="BD44" i="5307"/>
  <c r="BD45" i="5307"/>
  <c r="BD46" i="5307"/>
  <c r="BD47" i="5307"/>
  <c r="BD48" i="5307"/>
  <c r="BD49" i="5307"/>
  <c r="BD50" i="5307"/>
  <c r="BD51" i="5307"/>
  <c r="BD52" i="5307"/>
  <c r="BD53" i="5307"/>
  <c r="BD54" i="5307"/>
  <c r="BD2" i="5306"/>
  <c r="BD3" i="5306"/>
  <c r="BD4" i="5306"/>
  <c r="BD5" i="5306"/>
  <c r="BD6" i="5306"/>
  <c r="BD7" i="5306"/>
  <c r="BD8" i="5306"/>
  <c r="BD9" i="5306"/>
  <c r="BD10" i="5306"/>
  <c r="BD11" i="5306"/>
  <c r="BD12" i="5306"/>
  <c r="BD13" i="5306"/>
  <c r="BD14" i="5306"/>
  <c r="BD15" i="5306"/>
  <c r="BD16" i="5306"/>
  <c r="BD17" i="5306"/>
  <c r="BD18" i="5306"/>
  <c r="BD19" i="5306"/>
  <c r="BD20" i="5306"/>
  <c r="BD21" i="5306"/>
  <c r="BD22" i="5306"/>
  <c r="BD23" i="5306"/>
  <c r="BD24" i="5306"/>
  <c r="BD25" i="5306"/>
  <c r="BD26" i="5306"/>
  <c r="BD27" i="5306"/>
  <c r="BD28" i="5306"/>
  <c r="BD29" i="5306"/>
  <c r="BD30" i="5306"/>
  <c r="BD31" i="5306"/>
  <c r="BD32" i="5306"/>
  <c r="BD33" i="5306"/>
  <c r="BD34" i="5306"/>
  <c r="BD35" i="5306"/>
  <c r="BD36" i="5306"/>
  <c r="BD37" i="5306"/>
  <c r="BD38" i="5306"/>
  <c r="BD39" i="5306"/>
  <c r="BD40" i="5306"/>
  <c r="BD41" i="5306"/>
  <c r="BD42" i="5306"/>
  <c r="BD43" i="5306"/>
  <c r="BD44" i="5306"/>
  <c r="BD45" i="5306"/>
  <c r="BD46" i="5306"/>
  <c r="BD47" i="5306"/>
  <c r="BD48" i="5306"/>
  <c r="BD49" i="5306"/>
  <c r="BD50" i="5306"/>
  <c r="BD51" i="5306"/>
  <c r="BD52" i="5306"/>
  <c r="BD53" i="5306"/>
  <c r="BD54" i="5306"/>
  <c r="BD2" i="5305"/>
  <c r="BD3" i="5305"/>
  <c r="BD4" i="5305"/>
  <c r="BD5" i="5305"/>
  <c r="BD6" i="5305"/>
  <c r="BD7" i="5305"/>
  <c r="BD8" i="5305"/>
  <c r="BD9" i="5305"/>
  <c r="BD10" i="5305"/>
  <c r="BD11" i="5305"/>
  <c r="BD12" i="5305"/>
  <c r="BD13" i="5305"/>
  <c r="BD14" i="5305"/>
  <c r="BD15" i="5305"/>
  <c r="BD16" i="5305"/>
  <c r="BD17" i="5305"/>
  <c r="BD18" i="5305"/>
  <c r="BD19" i="5305"/>
  <c r="BD20" i="5305"/>
  <c r="BD21" i="5305"/>
  <c r="BD22" i="5305"/>
  <c r="BD23" i="5305"/>
  <c r="BD24" i="5305"/>
  <c r="BD25" i="5305"/>
  <c r="BD26" i="5305"/>
  <c r="BD27" i="5305"/>
  <c r="BD28" i="5305"/>
  <c r="BD29" i="5305"/>
  <c r="BD30" i="5305"/>
  <c r="BD31" i="5305"/>
  <c r="BD32" i="5305"/>
  <c r="BD33" i="5305"/>
  <c r="BD34" i="5305"/>
  <c r="BD35" i="5305"/>
  <c r="BD36" i="5305"/>
  <c r="BD37" i="5305"/>
  <c r="BD38" i="5305"/>
  <c r="BD39" i="5305"/>
  <c r="BD40" i="5305"/>
  <c r="BD41" i="5305"/>
  <c r="BD42" i="5305"/>
  <c r="BD43" i="5305"/>
  <c r="BD44" i="5305"/>
  <c r="BD45" i="5305"/>
  <c r="BD46" i="5305"/>
  <c r="BD47" i="5305"/>
  <c r="BD48" i="5305"/>
  <c r="BD49" i="5305"/>
  <c r="BD50" i="5305"/>
  <c r="BD51" i="5305"/>
  <c r="BD52" i="5305"/>
  <c r="BD53" i="5305"/>
  <c r="BD54" i="5305"/>
  <c r="BD2" i="5304"/>
  <c r="BD3" i="5304"/>
  <c r="BD4" i="5304"/>
  <c r="BD5" i="5304"/>
  <c r="BD6" i="5304"/>
  <c r="BD7" i="5304"/>
  <c r="BD8" i="5304"/>
  <c r="BD9" i="5304"/>
  <c r="BD10" i="5304"/>
  <c r="BD11" i="5304"/>
  <c r="BD12" i="5304"/>
  <c r="BD13" i="5304"/>
  <c r="BD14" i="5304"/>
  <c r="BD15" i="5304"/>
  <c r="BD16" i="5304"/>
  <c r="BD17" i="5304"/>
  <c r="BD18" i="5304"/>
  <c r="BD19" i="5304"/>
  <c r="BD20" i="5304"/>
  <c r="BD21" i="5304"/>
  <c r="BD22" i="5304"/>
  <c r="BD23" i="5304"/>
  <c r="BD24" i="5304"/>
  <c r="BD25" i="5304"/>
  <c r="BD26" i="5304"/>
  <c r="BD27" i="5304"/>
  <c r="BD28" i="5304"/>
  <c r="BD29" i="5304"/>
  <c r="BD30" i="5304"/>
  <c r="BD31" i="5304"/>
  <c r="BD32" i="5304"/>
  <c r="BD33" i="5304"/>
  <c r="BD34" i="5304"/>
  <c r="BD35" i="5304"/>
  <c r="BD36" i="5304"/>
  <c r="BD37" i="5304"/>
  <c r="BD38" i="5304"/>
  <c r="BD39" i="5304"/>
  <c r="BD40" i="5304"/>
  <c r="BD41" i="5304"/>
  <c r="BD42" i="5304"/>
  <c r="BD43" i="5304"/>
  <c r="BD44" i="5304"/>
  <c r="BD45" i="5304"/>
  <c r="BD46" i="5304"/>
  <c r="BD47" i="5304"/>
  <c r="BD48" i="5304"/>
  <c r="BD49" i="5304"/>
  <c r="BD50" i="5304"/>
  <c r="BD51" i="5304"/>
  <c r="BD52" i="5304"/>
  <c r="BD53" i="5304"/>
  <c r="BD54" i="5304"/>
  <c r="BD2" i="5303"/>
  <c r="BD3" i="5303"/>
  <c r="BD4" i="5303"/>
  <c r="BD5" i="5303"/>
  <c r="BD6" i="5303"/>
  <c r="BD7" i="5303"/>
  <c r="BD8" i="5303"/>
  <c r="BD9" i="5303"/>
  <c r="BD10" i="5303"/>
  <c r="BD11" i="5303"/>
  <c r="BD12" i="5303"/>
  <c r="BD13" i="5303"/>
  <c r="BD14" i="5303"/>
  <c r="BD15" i="5303"/>
  <c r="BD16" i="5303"/>
  <c r="BD17" i="5303"/>
  <c r="BD18" i="5303"/>
  <c r="BD19" i="5303"/>
  <c r="BD20" i="5303"/>
  <c r="BD21" i="5303"/>
  <c r="BD22" i="5303"/>
  <c r="BD23" i="5303"/>
  <c r="BD24" i="5303"/>
  <c r="BD25" i="5303"/>
  <c r="BD26" i="5303"/>
  <c r="BD27" i="5303"/>
  <c r="BD28" i="5303"/>
  <c r="BD29" i="5303"/>
  <c r="BD30" i="5303"/>
  <c r="BD31" i="5303"/>
  <c r="BD32" i="5303"/>
  <c r="BD33" i="5303"/>
  <c r="BD34" i="5303"/>
  <c r="BD35" i="5303"/>
  <c r="BD36" i="5303"/>
  <c r="BD37" i="5303"/>
  <c r="BD38" i="5303"/>
  <c r="BD39" i="5303"/>
  <c r="BD40" i="5303"/>
  <c r="BD41" i="5303"/>
  <c r="BD42" i="5303"/>
  <c r="BD43" i="5303"/>
  <c r="BD44" i="5303"/>
  <c r="BD45" i="5303"/>
  <c r="BD46" i="5303"/>
  <c r="BD47" i="5303"/>
  <c r="BD48" i="5303"/>
  <c r="BD49" i="5303"/>
  <c r="BD50" i="5303"/>
  <c r="BD51" i="5303"/>
  <c r="BD52" i="5303"/>
  <c r="BD53" i="5303"/>
  <c r="BD54" i="5303"/>
  <c r="BD2" i="5302"/>
  <c r="BD3" i="5302"/>
  <c r="BD4" i="5302"/>
  <c r="BD5" i="5302"/>
  <c r="BD6" i="5302"/>
  <c r="BD7" i="5302"/>
  <c r="BD8" i="5302"/>
  <c r="BD9" i="5302"/>
  <c r="BD10" i="5302"/>
  <c r="BD11" i="5302"/>
  <c r="BD12" i="5302"/>
  <c r="BD13" i="5302"/>
  <c r="BD14" i="5302"/>
  <c r="BD15" i="5302"/>
  <c r="BD16" i="5302"/>
  <c r="BD17" i="5302"/>
  <c r="BD18" i="5302"/>
  <c r="BD19" i="5302"/>
  <c r="BD20" i="5302"/>
  <c r="BD21" i="5302"/>
  <c r="BD22" i="5302"/>
  <c r="BD23" i="5302"/>
  <c r="BD24" i="5302"/>
  <c r="BD25" i="5302"/>
  <c r="BD26" i="5302"/>
  <c r="BD27" i="5302"/>
  <c r="BD28" i="5302"/>
  <c r="BD29" i="5302"/>
  <c r="BD30" i="5302"/>
  <c r="BD31" i="5302"/>
  <c r="BD32" i="5302"/>
  <c r="BD33" i="5302"/>
  <c r="BD34" i="5302"/>
  <c r="BD35" i="5302"/>
  <c r="BD36" i="5302"/>
  <c r="BD37" i="5302"/>
  <c r="BD38" i="5302"/>
  <c r="BD39" i="5302"/>
  <c r="BD40" i="5302"/>
  <c r="BD41" i="5302"/>
  <c r="BD42" i="5302"/>
  <c r="BD43" i="5302"/>
  <c r="BD44" i="5302"/>
  <c r="BD45" i="5302"/>
  <c r="BD46" i="5302"/>
  <c r="BD47" i="5302"/>
  <c r="BD48" i="5302"/>
  <c r="BD49" i="5302"/>
  <c r="BD50" i="5302"/>
  <c r="BD51" i="5302"/>
  <c r="BD52" i="5302"/>
  <c r="BD53" i="5302"/>
  <c r="BD54" i="5302"/>
  <c r="BC2" i="5307"/>
  <c r="BC3" i="5307"/>
  <c r="BC4" i="5307"/>
  <c r="BC5" i="5307"/>
  <c r="BC6" i="5307"/>
  <c r="BC7" i="5307"/>
  <c r="BC8" i="5307"/>
  <c r="BC9" i="5307"/>
  <c r="BC10" i="5307"/>
  <c r="BC11" i="5307"/>
  <c r="BC12" i="5307"/>
  <c r="BC13" i="5307"/>
  <c r="BC14" i="5307"/>
  <c r="BC15" i="5307"/>
  <c r="BC16" i="5307"/>
  <c r="BC17" i="5307"/>
  <c r="BC18" i="5307"/>
  <c r="BC19" i="5307"/>
  <c r="BC20" i="5307"/>
  <c r="BC21" i="5307"/>
  <c r="BC22" i="5307"/>
  <c r="BC23" i="5307"/>
  <c r="BC24" i="5307"/>
  <c r="BC25" i="5307"/>
  <c r="BC26" i="5307"/>
  <c r="BC27" i="5307"/>
  <c r="BC28" i="5307"/>
  <c r="BC29" i="5307"/>
  <c r="BC30" i="5307"/>
  <c r="BC31" i="5307"/>
  <c r="BC32" i="5307"/>
  <c r="BC33" i="5307"/>
  <c r="BC34" i="5307"/>
  <c r="BC35" i="5307"/>
  <c r="BC36" i="5307"/>
  <c r="BC37" i="5307"/>
  <c r="BC38" i="5307"/>
  <c r="BC39" i="5307"/>
  <c r="BC40" i="5307"/>
  <c r="BC41" i="5307"/>
  <c r="BC42" i="5307"/>
  <c r="BC43" i="5307"/>
  <c r="BC44" i="5307"/>
  <c r="BC45" i="5307"/>
  <c r="BC46" i="5307"/>
  <c r="BC47" i="5307"/>
  <c r="BC48" i="5307"/>
  <c r="BC49" i="5307"/>
  <c r="BC50" i="5307"/>
  <c r="BC51" i="5307"/>
  <c r="BC52" i="5307"/>
  <c r="BC53" i="5307"/>
  <c r="BC54" i="5307"/>
  <c r="BC2" i="5306"/>
  <c r="BC3" i="5306"/>
  <c r="BC4" i="5306"/>
  <c r="BC5" i="5306"/>
  <c r="BC6" i="5306"/>
  <c r="BC7" i="5306"/>
  <c r="BC8" i="5306"/>
  <c r="BC9" i="5306"/>
  <c r="BC10" i="5306"/>
  <c r="BC11" i="5306"/>
  <c r="BC12" i="5306"/>
  <c r="BC13" i="5306"/>
  <c r="BC14" i="5306"/>
  <c r="BC15" i="5306"/>
  <c r="BC16" i="5306"/>
  <c r="BC17" i="5306"/>
  <c r="BC18" i="5306"/>
  <c r="BC19" i="5306"/>
  <c r="BC20" i="5306"/>
  <c r="BC21" i="5306"/>
  <c r="BC22" i="5306"/>
  <c r="BC23" i="5306"/>
  <c r="BC24" i="5306"/>
  <c r="BC25" i="5306"/>
  <c r="BC26" i="5306"/>
  <c r="BC27" i="5306"/>
  <c r="BC28" i="5306"/>
  <c r="BC29" i="5306"/>
  <c r="BC30" i="5306"/>
  <c r="BC31" i="5306"/>
  <c r="BC32" i="5306"/>
  <c r="BC33" i="5306"/>
  <c r="BC34" i="5306"/>
  <c r="BC35" i="5306"/>
  <c r="BC36" i="5306"/>
  <c r="BC37" i="5306"/>
  <c r="BC38" i="5306"/>
  <c r="BC39" i="5306"/>
  <c r="BC40" i="5306"/>
  <c r="BC41" i="5306"/>
  <c r="BC42" i="5306"/>
  <c r="BC43" i="5306"/>
  <c r="BC44" i="5306"/>
  <c r="BC45" i="5306"/>
  <c r="BC46" i="5306"/>
  <c r="BC47" i="5306"/>
  <c r="BC48" i="5306"/>
  <c r="BC49" i="5306"/>
  <c r="BC50" i="5306"/>
  <c r="BC51" i="5306"/>
  <c r="BC52" i="5306"/>
  <c r="BC53" i="5306"/>
  <c r="BC54" i="5306"/>
  <c r="BC2" i="5305"/>
  <c r="BC3" i="5305"/>
  <c r="BC4" i="5305"/>
  <c r="BC5" i="5305"/>
  <c r="BC6" i="5305"/>
  <c r="BC7" i="5305"/>
  <c r="BC8" i="5305"/>
  <c r="BC9" i="5305"/>
  <c r="BC10" i="5305"/>
  <c r="BC11" i="5305"/>
  <c r="BC12" i="5305"/>
  <c r="BC13" i="5305"/>
  <c r="BC14" i="5305"/>
  <c r="BC15" i="5305"/>
  <c r="BC16" i="5305"/>
  <c r="BC17" i="5305"/>
  <c r="BC18" i="5305"/>
  <c r="BC19" i="5305"/>
  <c r="BC20" i="5305"/>
  <c r="BC21" i="5305"/>
  <c r="BC22" i="5305"/>
  <c r="BC23" i="5305"/>
  <c r="BC24" i="5305"/>
  <c r="BC25" i="5305"/>
  <c r="BC26" i="5305"/>
  <c r="BC27" i="5305"/>
  <c r="BC28" i="5305"/>
  <c r="BC29" i="5305"/>
  <c r="BC30" i="5305"/>
  <c r="BC31" i="5305"/>
  <c r="BC32" i="5305"/>
  <c r="BC33" i="5305"/>
  <c r="BC34" i="5305"/>
  <c r="BC35" i="5305"/>
  <c r="BC36" i="5305"/>
  <c r="BC37" i="5305"/>
  <c r="BC38" i="5305"/>
  <c r="BC39" i="5305"/>
  <c r="BC40" i="5305"/>
  <c r="BC41" i="5305"/>
  <c r="BC42" i="5305"/>
  <c r="BC43" i="5305"/>
  <c r="BC44" i="5305"/>
  <c r="BC45" i="5305"/>
  <c r="BC46" i="5305"/>
  <c r="BC47" i="5305"/>
  <c r="BC48" i="5305"/>
  <c r="BC49" i="5305"/>
  <c r="BC50" i="5305"/>
  <c r="BC51" i="5305"/>
  <c r="BC52" i="5305"/>
  <c r="BC53" i="5305"/>
  <c r="BC54" i="5305"/>
  <c r="BC2" i="5304"/>
  <c r="BC3" i="5304"/>
  <c r="BC4" i="5304"/>
  <c r="BC5" i="5304"/>
  <c r="BC6" i="5304"/>
  <c r="BC7" i="5304"/>
  <c r="BC8" i="5304"/>
  <c r="BC9" i="5304"/>
  <c r="BC10" i="5304"/>
  <c r="BC11" i="5304"/>
  <c r="BC12" i="5304"/>
  <c r="BC13" i="5304"/>
  <c r="BC14" i="5304"/>
  <c r="BC15" i="5304"/>
  <c r="BC16" i="5304"/>
  <c r="BC17" i="5304"/>
  <c r="BC18" i="5304"/>
  <c r="BC19" i="5304"/>
  <c r="BC20" i="5304"/>
  <c r="BC21" i="5304"/>
  <c r="BC22" i="5304"/>
  <c r="BC23" i="5304"/>
  <c r="BC24" i="5304"/>
  <c r="BC25" i="5304"/>
  <c r="BC26" i="5304"/>
  <c r="BC27" i="5304"/>
  <c r="BC28" i="5304"/>
  <c r="BC29" i="5304"/>
  <c r="BC30" i="5304"/>
  <c r="BC31" i="5304"/>
  <c r="BC32" i="5304"/>
  <c r="BC33" i="5304"/>
  <c r="BC34" i="5304"/>
  <c r="BC35" i="5304"/>
  <c r="BC36" i="5304"/>
  <c r="BC37" i="5304"/>
  <c r="BC38" i="5304"/>
  <c r="BC39" i="5304"/>
  <c r="BC40" i="5304"/>
  <c r="BC41" i="5304"/>
  <c r="BC42" i="5304"/>
  <c r="BC43" i="5304"/>
  <c r="BC44" i="5304"/>
  <c r="BC45" i="5304"/>
  <c r="BC46" i="5304"/>
  <c r="BC47" i="5304"/>
  <c r="BC48" i="5304"/>
  <c r="BC49" i="5304"/>
  <c r="BC50" i="5304"/>
  <c r="BC51" i="5304"/>
  <c r="BC52" i="5304"/>
  <c r="BC53" i="5304"/>
  <c r="BC54" i="5304"/>
  <c r="BC2" i="5303"/>
  <c r="BC3" i="5303"/>
  <c r="BC4" i="5303"/>
  <c r="BC5" i="5303"/>
  <c r="BC6" i="5303"/>
  <c r="BC7" i="5303"/>
  <c r="BC8" i="5303"/>
  <c r="BC9" i="5303"/>
  <c r="BC10" i="5303"/>
  <c r="BC11" i="5303"/>
  <c r="BC12" i="5303"/>
  <c r="BC13" i="5303"/>
  <c r="BC14" i="5303"/>
  <c r="BC15" i="5303"/>
  <c r="BC16" i="5303"/>
  <c r="BC17" i="5303"/>
  <c r="BC18" i="5303"/>
  <c r="BC19" i="5303"/>
  <c r="BC20" i="5303"/>
  <c r="BC21" i="5303"/>
  <c r="BC22" i="5303"/>
  <c r="BC23" i="5303"/>
  <c r="BC24" i="5303"/>
  <c r="BC25" i="5303"/>
  <c r="BC26" i="5303"/>
  <c r="BC27" i="5303"/>
  <c r="BC28" i="5303"/>
  <c r="BC29" i="5303"/>
  <c r="BC30" i="5303"/>
  <c r="BC31" i="5303"/>
  <c r="BC32" i="5303"/>
  <c r="BC33" i="5303"/>
  <c r="BC34" i="5303"/>
  <c r="BC35" i="5303"/>
  <c r="BC36" i="5303"/>
  <c r="BC37" i="5303"/>
  <c r="BC38" i="5303"/>
  <c r="BC39" i="5303"/>
  <c r="BC40" i="5303"/>
  <c r="BC41" i="5303"/>
  <c r="BC42" i="5303"/>
  <c r="BC43" i="5303"/>
  <c r="BC44" i="5303"/>
  <c r="BC45" i="5303"/>
  <c r="BC46" i="5303"/>
  <c r="BC47" i="5303"/>
  <c r="BC48" i="5303"/>
  <c r="BC49" i="5303"/>
  <c r="BC50" i="5303"/>
  <c r="BC51" i="5303"/>
  <c r="BC52" i="5303"/>
  <c r="BC53" i="5303"/>
  <c r="BC54" i="5303"/>
  <c r="BC2" i="5302"/>
  <c r="BC3" i="5302"/>
  <c r="BC4" i="5302"/>
  <c r="BC5" i="5302"/>
  <c r="BC6" i="5302"/>
  <c r="BC7" i="5302"/>
  <c r="BC8" i="5302"/>
  <c r="BC9" i="5302"/>
  <c r="BC10" i="5302"/>
  <c r="BC11" i="5302"/>
  <c r="BC12" i="5302"/>
  <c r="BC13" i="5302"/>
  <c r="BC14" i="5302"/>
  <c r="BC15" i="5302"/>
  <c r="BC16" i="5302"/>
  <c r="BC17" i="5302"/>
  <c r="BC18" i="5302"/>
  <c r="BC19" i="5302"/>
  <c r="BC20" i="5302"/>
  <c r="BC21" i="5302"/>
  <c r="BC22" i="5302"/>
  <c r="BC23" i="5302"/>
  <c r="BC24" i="5302"/>
  <c r="BC25" i="5302"/>
  <c r="BC26" i="5302"/>
  <c r="BC27" i="5302"/>
  <c r="BC28" i="5302"/>
  <c r="BC29" i="5302"/>
  <c r="BC30" i="5302"/>
  <c r="BC31" i="5302"/>
  <c r="BC32" i="5302"/>
  <c r="BC33" i="5302"/>
  <c r="BC34" i="5302"/>
  <c r="BC35" i="5302"/>
  <c r="BC36" i="5302"/>
  <c r="BC37" i="5302"/>
  <c r="BC38" i="5302"/>
  <c r="BC39" i="5302"/>
  <c r="BC40" i="5302"/>
  <c r="BC41" i="5302"/>
  <c r="BC42" i="5302"/>
  <c r="BC43" i="5302"/>
  <c r="BC44" i="5302"/>
  <c r="BC45" i="5302"/>
  <c r="BC46" i="5302"/>
  <c r="BC47" i="5302"/>
  <c r="BC48" i="5302"/>
  <c r="BC49" i="5302"/>
  <c r="BC50" i="5302"/>
  <c r="BC51" i="5302"/>
  <c r="BC52" i="5302"/>
  <c r="BC53" i="5302"/>
  <c r="BC54" i="5302"/>
  <c r="BB2" i="5307"/>
  <c r="BB3" i="5307"/>
  <c r="BB4" i="5307"/>
  <c r="BB5" i="5307"/>
  <c r="BB6" i="5307"/>
  <c r="BB7" i="5307"/>
  <c r="BB8" i="5307"/>
  <c r="BB9" i="5307"/>
  <c r="BB10" i="5307"/>
  <c r="BB11" i="5307"/>
  <c r="BB12" i="5307"/>
  <c r="BB13" i="5307"/>
  <c r="BB14" i="5307"/>
  <c r="BB15" i="5307"/>
  <c r="BB16" i="5307"/>
  <c r="BB17" i="5307"/>
  <c r="BB18" i="5307"/>
  <c r="BB19" i="5307"/>
  <c r="BB20" i="5307"/>
  <c r="BB21" i="5307"/>
  <c r="BB22" i="5307"/>
  <c r="BB23" i="5307"/>
  <c r="BB24" i="5307"/>
  <c r="BB25" i="5307"/>
  <c r="BB26" i="5307"/>
  <c r="BB27" i="5307"/>
  <c r="BB28" i="5307"/>
  <c r="BB29" i="5307"/>
  <c r="BB30" i="5307"/>
  <c r="BB31" i="5307"/>
  <c r="BB32" i="5307"/>
  <c r="BB33" i="5307"/>
  <c r="BB34" i="5307"/>
  <c r="BB35" i="5307"/>
  <c r="BB36" i="5307"/>
  <c r="BB37" i="5307"/>
  <c r="BB38" i="5307"/>
  <c r="BB39" i="5307"/>
  <c r="BB40" i="5307"/>
  <c r="BB41" i="5307"/>
  <c r="BB42" i="5307"/>
  <c r="BB43" i="5307"/>
  <c r="BB44" i="5307"/>
  <c r="BB45" i="5307"/>
  <c r="BB46" i="5307"/>
  <c r="BB47" i="5307"/>
  <c r="BB48" i="5307"/>
  <c r="BB49" i="5307"/>
  <c r="BB50" i="5307"/>
  <c r="BB51" i="5307"/>
  <c r="BB52" i="5307"/>
  <c r="BB53" i="5307"/>
  <c r="BB54" i="5307"/>
  <c r="BB2" i="5306"/>
  <c r="BB3" i="5306"/>
  <c r="BB4" i="5306"/>
  <c r="BB5" i="5306"/>
  <c r="BB6" i="5306"/>
  <c r="BB7" i="5306"/>
  <c r="BB8" i="5306"/>
  <c r="BB9" i="5306"/>
  <c r="BB10" i="5306"/>
  <c r="BB11" i="5306"/>
  <c r="BB12" i="5306"/>
  <c r="BB13" i="5306"/>
  <c r="BB14" i="5306"/>
  <c r="BB15" i="5306"/>
  <c r="BB16" i="5306"/>
  <c r="BB17" i="5306"/>
  <c r="BB18" i="5306"/>
  <c r="BB19" i="5306"/>
  <c r="BB20" i="5306"/>
  <c r="BB21" i="5306"/>
  <c r="BB22" i="5306"/>
  <c r="BB23" i="5306"/>
  <c r="BB24" i="5306"/>
  <c r="BB25" i="5306"/>
  <c r="BB26" i="5306"/>
  <c r="BB27" i="5306"/>
  <c r="BB28" i="5306"/>
  <c r="BB29" i="5306"/>
  <c r="BB30" i="5306"/>
  <c r="BB31" i="5306"/>
  <c r="BB32" i="5306"/>
  <c r="BB33" i="5306"/>
  <c r="BB34" i="5306"/>
  <c r="BB35" i="5306"/>
  <c r="BB36" i="5306"/>
  <c r="BB37" i="5306"/>
  <c r="BB38" i="5306"/>
  <c r="BB39" i="5306"/>
  <c r="BB40" i="5306"/>
  <c r="BB41" i="5306"/>
  <c r="BB42" i="5306"/>
  <c r="BB43" i="5306"/>
  <c r="BB44" i="5306"/>
  <c r="BB45" i="5306"/>
  <c r="BB46" i="5306"/>
  <c r="BB47" i="5306"/>
  <c r="BB48" i="5306"/>
  <c r="BB49" i="5306"/>
  <c r="BB50" i="5306"/>
  <c r="BB51" i="5306"/>
  <c r="BB52" i="5306"/>
  <c r="BB53" i="5306"/>
  <c r="BB54" i="5306"/>
  <c r="BB2" i="5305"/>
  <c r="BB3" i="5305"/>
  <c r="BB4" i="5305"/>
  <c r="BB5" i="5305"/>
  <c r="BB6" i="5305"/>
  <c r="BB7" i="5305"/>
  <c r="BB8" i="5305"/>
  <c r="BB9" i="5305"/>
  <c r="BB10" i="5305"/>
  <c r="BB11" i="5305"/>
  <c r="BB12" i="5305"/>
  <c r="BB13" i="5305"/>
  <c r="BB14" i="5305"/>
  <c r="BB15" i="5305"/>
  <c r="BB16" i="5305"/>
  <c r="BB17" i="5305"/>
  <c r="BB18" i="5305"/>
  <c r="BB19" i="5305"/>
  <c r="BB20" i="5305"/>
  <c r="BB21" i="5305"/>
  <c r="BB22" i="5305"/>
  <c r="BB23" i="5305"/>
  <c r="BB24" i="5305"/>
  <c r="BB25" i="5305"/>
  <c r="BB26" i="5305"/>
  <c r="BB27" i="5305"/>
  <c r="BB28" i="5305"/>
  <c r="BB29" i="5305"/>
  <c r="BB30" i="5305"/>
  <c r="BB31" i="5305"/>
  <c r="BB32" i="5305"/>
  <c r="BB33" i="5305"/>
  <c r="BB34" i="5305"/>
  <c r="BB35" i="5305"/>
  <c r="BB36" i="5305"/>
  <c r="BB37" i="5305"/>
  <c r="BB38" i="5305"/>
  <c r="BB39" i="5305"/>
  <c r="BB40" i="5305"/>
  <c r="BB41" i="5305"/>
  <c r="BB42" i="5305"/>
  <c r="BB43" i="5305"/>
  <c r="BB44" i="5305"/>
  <c r="BB45" i="5305"/>
  <c r="BB46" i="5305"/>
  <c r="BB47" i="5305"/>
  <c r="BB48" i="5305"/>
  <c r="BB49" i="5305"/>
  <c r="BB50" i="5305"/>
  <c r="BB51" i="5305"/>
  <c r="BB52" i="5305"/>
  <c r="BB53" i="5305"/>
  <c r="BB54" i="5305"/>
  <c r="BB2" i="5304"/>
  <c r="BB3" i="5304"/>
  <c r="BB4" i="5304"/>
  <c r="BB5" i="5304"/>
  <c r="BB6" i="5304"/>
  <c r="BB7" i="5304"/>
  <c r="BB8" i="5304"/>
  <c r="BB9" i="5304"/>
  <c r="BB10" i="5304"/>
  <c r="BB11" i="5304"/>
  <c r="BB12" i="5304"/>
  <c r="BB13" i="5304"/>
  <c r="BB14" i="5304"/>
  <c r="BB15" i="5304"/>
  <c r="BB16" i="5304"/>
  <c r="BB17" i="5304"/>
  <c r="BB18" i="5304"/>
  <c r="BB19" i="5304"/>
  <c r="BB20" i="5304"/>
  <c r="BB21" i="5304"/>
  <c r="BB22" i="5304"/>
  <c r="BB23" i="5304"/>
  <c r="BB24" i="5304"/>
  <c r="BB25" i="5304"/>
  <c r="BB26" i="5304"/>
  <c r="BB27" i="5304"/>
  <c r="BB28" i="5304"/>
  <c r="BB29" i="5304"/>
  <c r="BB30" i="5304"/>
  <c r="BB31" i="5304"/>
  <c r="BB32" i="5304"/>
  <c r="BB33" i="5304"/>
  <c r="BB34" i="5304"/>
  <c r="BB35" i="5304"/>
  <c r="BB36" i="5304"/>
  <c r="BB37" i="5304"/>
  <c r="BB38" i="5304"/>
  <c r="BB39" i="5304"/>
  <c r="BB40" i="5304"/>
  <c r="BB41" i="5304"/>
  <c r="BB42" i="5304"/>
  <c r="BB43" i="5304"/>
  <c r="BB44" i="5304"/>
  <c r="BB45" i="5304"/>
  <c r="BB46" i="5304"/>
  <c r="BB47" i="5304"/>
  <c r="BB48" i="5304"/>
  <c r="BB49" i="5304"/>
  <c r="BB50" i="5304"/>
  <c r="BB51" i="5304"/>
  <c r="BB52" i="5304"/>
  <c r="BB53" i="5304"/>
  <c r="BB54" i="5304"/>
  <c r="BB2" i="5303"/>
  <c r="BB3" i="5303"/>
  <c r="BB4" i="5303"/>
  <c r="BB5" i="5303"/>
  <c r="BB6" i="5303"/>
  <c r="BB7" i="5303"/>
  <c r="BB8" i="5303"/>
  <c r="BB9" i="5303"/>
  <c r="BB10" i="5303"/>
  <c r="BB11" i="5303"/>
  <c r="BB12" i="5303"/>
  <c r="BB13" i="5303"/>
  <c r="BB14" i="5303"/>
  <c r="BB15" i="5303"/>
  <c r="BB16" i="5303"/>
  <c r="BB17" i="5303"/>
  <c r="BB18" i="5303"/>
  <c r="BB19" i="5303"/>
  <c r="BB20" i="5303"/>
  <c r="BB21" i="5303"/>
  <c r="BB22" i="5303"/>
  <c r="BB23" i="5303"/>
  <c r="BB24" i="5303"/>
  <c r="BB25" i="5303"/>
  <c r="BB26" i="5303"/>
  <c r="BB27" i="5303"/>
  <c r="BB28" i="5303"/>
  <c r="BB29" i="5303"/>
  <c r="BB30" i="5303"/>
  <c r="BB31" i="5303"/>
  <c r="BB32" i="5303"/>
  <c r="BB33" i="5303"/>
  <c r="BB34" i="5303"/>
  <c r="BB35" i="5303"/>
  <c r="BB36" i="5303"/>
  <c r="BB37" i="5303"/>
  <c r="BB38" i="5303"/>
  <c r="BB39" i="5303"/>
  <c r="BB40" i="5303"/>
  <c r="BB41" i="5303"/>
  <c r="BB42" i="5303"/>
  <c r="BB43" i="5303"/>
  <c r="BB44" i="5303"/>
  <c r="BB45" i="5303"/>
  <c r="BB46" i="5303"/>
  <c r="BB47" i="5303"/>
  <c r="BB48" i="5303"/>
  <c r="BB49" i="5303"/>
  <c r="BB50" i="5303"/>
  <c r="BB51" i="5303"/>
  <c r="BB52" i="5303"/>
  <c r="BB53" i="5303"/>
  <c r="BB54" i="5303"/>
  <c r="BB2" i="5302"/>
  <c r="BB3" i="5302"/>
  <c r="BB4" i="5302"/>
  <c r="BB5" i="5302"/>
  <c r="BB6" i="5302"/>
  <c r="BB7" i="5302"/>
  <c r="BB8" i="5302"/>
  <c r="BB9" i="5302"/>
  <c r="BB10" i="5302"/>
  <c r="BB11" i="5302"/>
  <c r="BB12" i="5302"/>
  <c r="BB13" i="5302"/>
  <c r="BB14" i="5302"/>
  <c r="BB15" i="5302"/>
  <c r="BB16" i="5302"/>
  <c r="BB17" i="5302"/>
  <c r="BB18" i="5302"/>
  <c r="BB19" i="5302"/>
  <c r="BB20" i="5302"/>
  <c r="BB21" i="5302"/>
  <c r="BB22" i="5302"/>
  <c r="BB23" i="5302"/>
  <c r="BB24" i="5302"/>
  <c r="BB25" i="5302"/>
  <c r="BB26" i="5302"/>
  <c r="BB27" i="5302"/>
  <c r="BB28" i="5302"/>
  <c r="BB29" i="5302"/>
  <c r="BB30" i="5302"/>
  <c r="BB31" i="5302"/>
  <c r="BB32" i="5302"/>
  <c r="BB33" i="5302"/>
  <c r="BB34" i="5302"/>
  <c r="BB35" i="5302"/>
  <c r="BB36" i="5302"/>
  <c r="BB37" i="5302"/>
  <c r="BB38" i="5302"/>
  <c r="BB39" i="5302"/>
  <c r="BB40" i="5302"/>
  <c r="BB41" i="5302"/>
  <c r="BB42" i="5302"/>
  <c r="BB43" i="5302"/>
  <c r="BB44" i="5302"/>
  <c r="BB45" i="5302"/>
  <c r="BB46" i="5302"/>
  <c r="BB47" i="5302"/>
  <c r="BB48" i="5302"/>
  <c r="BB49" i="5302"/>
  <c r="BB50" i="5302"/>
  <c r="BB51" i="5302"/>
  <c r="BB52" i="5302"/>
  <c r="BB53" i="5302"/>
  <c r="BB54" i="5302"/>
  <c r="BA2" i="5307"/>
  <c r="BA3" i="5307"/>
  <c r="BA4" i="5307"/>
  <c r="BA5" i="5307"/>
  <c r="BA6" i="5307"/>
  <c r="BA7" i="5307"/>
  <c r="BA8" i="5307"/>
  <c r="BA9" i="5307"/>
  <c r="BA10" i="5307"/>
  <c r="BA11" i="5307"/>
  <c r="BA12" i="5307"/>
  <c r="BA13" i="5307"/>
  <c r="BA14" i="5307"/>
  <c r="BA15" i="5307"/>
  <c r="BA16" i="5307"/>
  <c r="BA17" i="5307"/>
  <c r="BA18" i="5307"/>
  <c r="BA19" i="5307"/>
  <c r="BA20" i="5307"/>
  <c r="BA21" i="5307"/>
  <c r="BA22" i="5307"/>
  <c r="BA23" i="5307"/>
  <c r="BA24" i="5307"/>
  <c r="BA25" i="5307"/>
  <c r="BA26" i="5307"/>
  <c r="BA27" i="5307"/>
  <c r="BA28" i="5307"/>
  <c r="BA29" i="5307"/>
  <c r="BA30" i="5307"/>
  <c r="BA31" i="5307"/>
  <c r="BA32" i="5307"/>
  <c r="BA33" i="5307"/>
  <c r="BA34" i="5307"/>
  <c r="BA35" i="5307"/>
  <c r="BA36" i="5307"/>
  <c r="BA37" i="5307"/>
  <c r="BA38" i="5307"/>
  <c r="BA39" i="5307"/>
  <c r="BA40" i="5307"/>
  <c r="BA41" i="5307"/>
  <c r="BA42" i="5307"/>
  <c r="BA43" i="5307"/>
  <c r="BA44" i="5307"/>
  <c r="BA45" i="5307"/>
  <c r="BA46" i="5307"/>
  <c r="BA47" i="5307"/>
  <c r="BA48" i="5307"/>
  <c r="BA49" i="5307"/>
  <c r="BA50" i="5307"/>
  <c r="BA51" i="5307"/>
  <c r="BA52" i="5307"/>
  <c r="BA53" i="5307"/>
  <c r="BA54" i="5307"/>
  <c r="BA2" i="5306"/>
  <c r="BA3" i="5306"/>
  <c r="BA4" i="5306"/>
  <c r="BA5" i="5306"/>
  <c r="BA6" i="5306"/>
  <c r="BA7" i="5306"/>
  <c r="BA8" i="5306"/>
  <c r="BA9" i="5306"/>
  <c r="BA10" i="5306"/>
  <c r="BA11" i="5306"/>
  <c r="BA12" i="5306"/>
  <c r="BA13" i="5306"/>
  <c r="BA14" i="5306"/>
  <c r="BA15" i="5306"/>
  <c r="BA16" i="5306"/>
  <c r="BA17" i="5306"/>
  <c r="BA18" i="5306"/>
  <c r="BA19" i="5306"/>
  <c r="BA20" i="5306"/>
  <c r="BA21" i="5306"/>
  <c r="BA22" i="5306"/>
  <c r="BA23" i="5306"/>
  <c r="BA24" i="5306"/>
  <c r="BA25" i="5306"/>
  <c r="BA26" i="5306"/>
  <c r="BA27" i="5306"/>
  <c r="BA28" i="5306"/>
  <c r="BA29" i="5306"/>
  <c r="BA30" i="5306"/>
  <c r="BA31" i="5306"/>
  <c r="BA32" i="5306"/>
  <c r="BA33" i="5306"/>
  <c r="BA34" i="5306"/>
  <c r="BA35" i="5306"/>
  <c r="BA36" i="5306"/>
  <c r="BA37" i="5306"/>
  <c r="BA38" i="5306"/>
  <c r="BA39" i="5306"/>
  <c r="BA40" i="5306"/>
  <c r="BA41" i="5306"/>
  <c r="BA42" i="5306"/>
  <c r="BA43" i="5306"/>
  <c r="BA44" i="5306"/>
  <c r="BA45" i="5306"/>
  <c r="BA46" i="5306"/>
  <c r="BA47" i="5306"/>
  <c r="BA48" i="5306"/>
  <c r="BA49" i="5306"/>
  <c r="BA50" i="5306"/>
  <c r="BA51" i="5306"/>
  <c r="BA52" i="5306"/>
  <c r="BA53" i="5306"/>
  <c r="BA54" i="5306"/>
  <c r="BA2" i="5305"/>
  <c r="BA3" i="5305"/>
  <c r="BA4" i="5305"/>
  <c r="BA5" i="5305"/>
  <c r="BA6" i="5305"/>
  <c r="BA7" i="5305"/>
  <c r="BA8" i="5305"/>
  <c r="BA9" i="5305"/>
  <c r="BA10" i="5305"/>
  <c r="BA11" i="5305"/>
  <c r="BA12" i="5305"/>
  <c r="BA13" i="5305"/>
  <c r="BA14" i="5305"/>
  <c r="BA15" i="5305"/>
  <c r="BA16" i="5305"/>
  <c r="BA17" i="5305"/>
  <c r="BA18" i="5305"/>
  <c r="BA19" i="5305"/>
  <c r="BA20" i="5305"/>
  <c r="BA21" i="5305"/>
  <c r="BA22" i="5305"/>
  <c r="BA23" i="5305"/>
  <c r="BA24" i="5305"/>
  <c r="BA25" i="5305"/>
  <c r="BA26" i="5305"/>
  <c r="BA27" i="5305"/>
  <c r="BA28" i="5305"/>
  <c r="BA29" i="5305"/>
  <c r="BA30" i="5305"/>
  <c r="BA31" i="5305"/>
  <c r="BA32" i="5305"/>
  <c r="BA33" i="5305"/>
  <c r="BA34" i="5305"/>
  <c r="BA35" i="5305"/>
  <c r="BA36" i="5305"/>
  <c r="BA37" i="5305"/>
  <c r="BA38" i="5305"/>
  <c r="BA39" i="5305"/>
  <c r="BA40" i="5305"/>
  <c r="BA41" i="5305"/>
  <c r="BA42" i="5305"/>
  <c r="BA43" i="5305"/>
  <c r="BA44" i="5305"/>
  <c r="BA45" i="5305"/>
  <c r="BA46" i="5305"/>
  <c r="BA47" i="5305"/>
  <c r="BA48" i="5305"/>
  <c r="BA49" i="5305"/>
  <c r="BA50" i="5305"/>
  <c r="BA51" i="5305"/>
  <c r="BA52" i="5305"/>
  <c r="BA53" i="5305"/>
  <c r="BA54" i="5305"/>
  <c r="BA2" i="5304"/>
  <c r="BA3" i="5304"/>
  <c r="BA4" i="5304"/>
  <c r="BA5" i="5304"/>
  <c r="BA6" i="5304"/>
  <c r="BA7" i="5304"/>
  <c r="BA8" i="5304"/>
  <c r="BA9" i="5304"/>
  <c r="BA10" i="5304"/>
  <c r="BA11" i="5304"/>
  <c r="BA12" i="5304"/>
  <c r="BA13" i="5304"/>
  <c r="BA14" i="5304"/>
  <c r="BA15" i="5304"/>
  <c r="BA16" i="5304"/>
  <c r="BA17" i="5304"/>
  <c r="BA18" i="5304"/>
  <c r="BA19" i="5304"/>
  <c r="BA20" i="5304"/>
  <c r="BA21" i="5304"/>
  <c r="BA22" i="5304"/>
  <c r="BA23" i="5304"/>
  <c r="BA24" i="5304"/>
  <c r="BA25" i="5304"/>
  <c r="BA26" i="5304"/>
  <c r="BA27" i="5304"/>
  <c r="BA28" i="5304"/>
  <c r="BA29" i="5304"/>
  <c r="BA30" i="5304"/>
  <c r="BA31" i="5304"/>
  <c r="BA32" i="5304"/>
  <c r="BA33" i="5304"/>
  <c r="BA34" i="5304"/>
  <c r="BA35" i="5304"/>
  <c r="BA36" i="5304"/>
  <c r="BA37" i="5304"/>
  <c r="BA38" i="5304"/>
  <c r="BA39" i="5304"/>
  <c r="BA40" i="5304"/>
  <c r="BA41" i="5304"/>
  <c r="BA42" i="5304"/>
  <c r="BA43" i="5304"/>
  <c r="BA44" i="5304"/>
  <c r="BA45" i="5304"/>
  <c r="BA46" i="5304"/>
  <c r="BA47" i="5304"/>
  <c r="BA48" i="5304"/>
  <c r="BA49" i="5304"/>
  <c r="BA50" i="5304"/>
  <c r="BA51" i="5304"/>
  <c r="BA52" i="5304"/>
  <c r="BA53" i="5304"/>
  <c r="BA54" i="5304"/>
  <c r="BA2" i="5303"/>
  <c r="BA3" i="5303"/>
  <c r="BA4" i="5303"/>
  <c r="BA5" i="5303"/>
  <c r="BA6" i="5303"/>
  <c r="BA7" i="5303"/>
  <c r="BA8" i="5303"/>
  <c r="BA9" i="5303"/>
  <c r="BA10" i="5303"/>
  <c r="BA11" i="5303"/>
  <c r="BA12" i="5303"/>
  <c r="BA13" i="5303"/>
  <c r="BA14" i="5303"/>
  <c r="BA15" i="5303"/>
  <c r="BA16" i="5303"/>
  <c r="BA17" i="5303"/>
  <c r="BA18" i="5303"/>
  <c r="BA19" i="5303"/>
  <c r="BA20" i="5303"/>
  <c r="BA21" i="5303"/>
  <c r="BA22" i="5303"/>
  <c r="BA23" i="5303"/>
  <c r="BA24" i="5303"/>
  <c r="BA25" i="5303"/>
  <c r="BA26" i="5303"/>
  <c r="BA27" i="5303"/>
  <c r="BA28" i="5303"/>
  <c r="BA29" i="5303"/>
  <c r="BA30" i="5303"/>
  <c r="BA31" i="5303"/>
  <c r="BA32" i="5303"/>
  <c r="BA33" i="5303"/>
  <c r="BA34" i="5303"/>
  <c r="BA35" i="5303"/>
  <c r="BA36" i="5303"/>
  <c r="BA37" i="5303"/>
  <c r="BA38" i="5303"/>
  <c r="BA39" i="5303"/>
  <c r="BA40" i="5303"/>
  <c r="BA41" i="5303"/>
  <c r="BA42" i="5303"/>
  <c r="BA43" i="5303"/>
  <c r="BA44" i="5303"/>
  <c r="BA45" i="5303"/>
  <c r="BA46" i="5303"/>
  <c r="BA47" i="5303"/>
  <c r="BA48" i="5303"/>
  <c r="BA49" i="5303"/>
  <c r="BA50" i="5303"/>
  <c r="BA51" i="5303"/>
  <c r="BA52" i="5303"/>
  <c r="BA53" i="5303"/>
  <c r="BA54" i="5303"/>
  <c r="BA2" i="5302"/>
  <c r="BA3" i="5302"/>
  <c r="BA4" i="5302"/>
  <c r="BA5" i="5302"/>
  <c r="BA6" i="5302"/>
  <c r="BA7" i="5302"/>
  <c r="BA8" i="5302"/>
  <c r="BA9" i="5302"/>
  <c r="BA10" i="5302"/>
  <c r="BA11" i="5302"/>
  <c r="BA12" i="5302"/>
  <c r="BA13" i="5302"/>
  <c r="BA14" i="5302"/>
  <c r="BA15" i="5302"/>
  <c r="BA16" i="5302"/>
  <c r="BA17" i="5302"/>
  <c r="BA18" i="5302"/>
  <c r="BA19" i="5302"/>
  <c r="BA20" i="5302"/>
  <c r="BA21" i="5302"/>
  <c r="BA22" i="5302"/>
  <c r="BA23" i="5302"/>
  <c r="BA24" i="5302"/>
  <c r="BA25" i="5302"/>
  <c r="BA26" i="5302"/>
  <c r="BA27" i="5302"/>
  <c r="BA28" i="5302"/>
  <c r="BA29" i="5302"/>
  <c r="BA30" i="5302"/>
  <c r="BA31" i="5302"/>
  <c r="BA32" i="5302"/>
  <c r="BA33" i="5302"/>
  <c r="BA34" i="5302"/>
  <c r="BA35" i="5302"/>
  <c r="BA36" i="5302"/>
  <c r="BA37" i="5302"/>
  <c r="BA38" i="5302"/>
  <c r="BA39" i="5302"/>
  <c r="BA40" i="5302"/>
  <c r="BA41" i="5302"/>
  <c r="BA42" i="5302"/>
  <c r="BA43" i="5302"/>
  <c r="BA44" i="5302"/>
  <c r="BA45" i="5302"/>
  <c r="BA46" i="5302"/>
  <c r="BA47" i="5302"/>
  <c r="BA48" i="5302"/>
  <c r="BA49" i="5302"/>
  <c r="BA50" i="5302"/>
  <c r="BA51" i="5302"/>
  <c r="BA52" i="5302"/>
  <c r="BA53" i="5302"/>
  <c r="BA54" i="5302"/>
  <c r="AZ2" i="5307"/>
  <c r="AZ3" i="5307"/>
  <c r="AZ4" i="5307"/>
  <c r="AZ5" i="5307"/>
  <c r="AZ6" i="5307"/>
  <c r="AZ7" i="5307"/>
  <c r="AZ8" i="5307"/>
  <c r="AZ9" i="5307"/>
  <c r="AZ10" i="5307"/>
  <c r="AZ11" i="5307"/>
  <c r="AZ12" i="5307"/>
  <c r="AZ13" i="5307"/>
  <c r="AZ14" i="5307"/>
  <c r="AZ15" i="5307"/>
  <c r="AZ16" i="5307"/>
  <c r="AZ17" i="5307"/>
  <c r="AZ18" i="5307"/>
  <c r="AZ19" i="5307"/>
  <c r="AZ20" i="5307"/>
  <c r="AZ21" i="5307"/>
  <c r="AZ22" i="5307"/>
  <c r="AZ23" i="5307"/>
  <c r="AZ24" i="5307"/>
  <c r="AZ25" i="5307"/>
  <c r="AZ26" i="5307"/>
  <c r="AZ27" i="5307"/>
  <c r="AZ28" i="5307"/>
  <c r="AZ29" i="5307"/>
  <c r="AZ30" i="5307"/>
  <c r="AZ31" i="5307"/>
  <c r="AZ32" i="5307"/>
  <c r="AZ33" i="5307"/>
  <c r="AZ34" i="5307"/>
  <c r="AZ35" i="5307"/>
  <c r="AZ36" i="5307"/>
  <c r="AZ37" i="5307"/>
  <c r="AZ38" i="5307"/>
  <c r="AZ39" i="5307"/>
  <c r="AZ40" i="5307"/>
  <c r="AZ41" i="5307"/>
  <c r="AZ42" i="5307"/>
  <c r="AZ43" i="5307"/>
  <c r="AZ44" i="5307"/>
  <c r="AZ45" i="5307"/>
  <c r="AZ46" i="5307"/>
  <c r="AZ47" i="5307"/>
  <c r="AZ48" i="5307"/>
  <c r="AZ49" i="5307"/>
  <c r="AZ50" i="5307"/>
  <c r="AZ51" i="5307"/>
  <c r="AZ52" i="5307"/>
  <c r="AZ53" i="5307"/>
  <c r="AZ54" i="5307"/>
  <c r="AZ2" i="5306"/>
  <c r="AZ3" i="5306"/>
  <c r="AZ4" i="5306"/>
  <c r="AZ5" i="5306"/>
  <c r="AZ6" i="5306"/>
  <c r="AZ7" i="5306"/>
  <c r="AZ8" i="5306"/>
  <c r="AZ9" i="5306"/>
  <c r="AZ10" i="5306"/>
  <c r="AZ11" i="5306"/>
  <c r="AZ12" i="5306"/>
  <c r="AZ13" i="5306"/>
  <c r="AZ14" i="5306"/>
  <c r="AZ15" i="5306"/>
  <c r="AZ16" i="5306"/>
  <c r="AZ17" i="5306"/>
  <c r="AZ18" i="5306"/>
  <c r="AZ19" i="5306"/>
  <c r="AZ20" i="5306"/>
  <c r="AZ21" i="5306"/>
  <c r="AZ22" i="5306"/>
  <c r="AZ23" i="5306"/>
  <c r="AZ24" i="5306"/>
  <c r="AZ25" i="5306"/>
  <c r="AZ26" i="5306"/>
  <c r="AZ27" i="5306"/>
  <c r="AZ28" i="5306"/>
  <c r="AZ29" i="5306"/>
  <c r="AZ30" i="5306"/>
  <c r="AZ31" i="5306"/>
  <c r="AZ32" i="5306"/>
  <c r="AZ33" i="5306"/>
  <c r="AZ34" i="5306"/>
  <c r="AZ35" i="5306"/>
  <c r="AZ36" i="5306"/>
  <c r="AZ37" i="5306"/>
  <c r="AZ38" i="5306"/>
  <c r="AZ39" i="5306"/>
  <c r="AZ40" i="5306"/>
  <c r="AZ41" i="5306"/>
  <c r="AZ42" i="5306"/>
  <c r="AZ43" i="5306"/>
  <c r="AZ44" i="5306"/>
  <c r="AZ45" i="5306"/>
  <c r="AZ46" i="5306"/>
  <c r="AZ47" i="5306"/>
  <c r="AZ48" i="5306"/>
  <c r="AZ49" i="5306"/>
  <c r="AZ50" i="5306"/>
  <c r="AZ51" i="5306"/>
  <c r="AZ52" i="5306"/>
  <c r="AZ53" i="5306"/>
  <c r="AZ54" i="5306"/>
  <c r="AZ2" i="5305"/>
  <c r="AZ3" i="5305"/>
  <c r="AZ4" i="5305"/>
  <c r="AZ5" i="5305"/>
  <c r="AZ6" i="5305"/>
  <c r="AZ7" i="5305"/>
  <c r="AZ8" i="5305"/>
  <c r="AZ9" i="5305"/>
  <c r="AZ10" i="5305"/>
  <c r="AZ11" i="5305"/>
  <c r="AZ12" i="5305"/>
  <c r="AZ13" i="5305"/>
  <c r="AZ14" i="5305"/>
  <c r="AZ15" i="5305"/>
  <c r="AZ16" i="5305"/>
  <c r="AZ17" i="5305"/>
  <c r="AZ18" i="5305"/>
  <c r="AZ19" i="5305"/>
  <c r="AZ20" i="5305"/>
  <c r="AZ21" i="5305"/>
  <c r="AZ22" i="5305"/>
  <c r="AZ23" i="5305"/>
  <c r="AZ24" i="5305"/>
  <c r="AZ25" i="5305"/>
  <c r="AZ26" i="5305"/>
  <c r="AZ27" i="5305"/>
  <c r="AZ28" i="5305"/>
  <c r="AZ29" i="5305"/>
  <c r="AZ30" i="5305"/>
  <c r="AZ31" i="5305"/>
  <c r="AZ32" i="5305"/>
  <c r="AZ33" i="5305"/>
  <c r="AZ34" i="5305"/>
  <c r="AZ35" i="5305"/>
  <c r="AZ36" i="5305"/>
  <c r="AZ37" i="5305"/>
  <c r="AZ38" i="5305"/>
  <c r="AZ39" i="5305"/>
  <c r="AZ40" i="5305"/>
  <c r="AZ41" i="5305"/>
  <c r="AZ42" i="5305"/>
  <c r="AZ43" i="5305"/>
  <c r="AZ44" i="5305"/>
  <c r="AZ45" i="5305"/>
  <c r="AZ46" i="5305"/>
  <c r="AZ47" i="5305"/>
  <c r="AZ48" i="5305"/>
  <c r="AZ49" i="5305"/>
  <c r="AZ50" i="5305"/>
  <c r="AZ51" i="5305"/>
  <c r="AZ52" i="5305"/>
  <c r="AZ53" i="5305"/>
  <c r="AZ54" i="5305"/>
  <c r="AZ2" i="5304"/>
  <c r="AZ3" i="5304"/>
  <c r="AZ4" i="5304"/>
  <c r="AZ5" i="5304"/>
  <c r="AZ6" i="5304"/>
  <c r="AZ7" i="5304"/>
  <c r="AZ8" i="5304"/>
  <c r="AZ9" i="5304"/>
  <c r="AZ10" i="5304"/>
  <c r="AZ11" i="5304"/>
  <c r="AZ12" i="5304"/>
  <c r="AZ13" i="5304"/>
  <c r="AZ14" i="5304"/>
  <c r="AZ15" i="5304"/>
  <c r="AZ16" i="5304"/>
  <c r="AZ17" i="5304"/>
  <c r="AZ18" i="5304"/>
  <c r="AZ19" i="5304"/>
  <c r="AZ20" i="5304"/>
  <c r="AZ21" i="5304"/>
  <c r="AZ22" i="5304"/>
  <c r="AZ23" i="5304"/>
  <c r="AZ24" i="5304"/>
  <c r="AZ25" i="5304"/>
  <c r="AZ26" i="5304"/>
  <c r="AZ27" i="5304"/>
  <c r="AZ28" i="5304"/>
  <c r="AZ29" i="5304"/>
  <c r="AZ30" i="5304"/>
  <c r="AZ31" i="5304"/>
  <c r="AZ32" i="5304"/>
  <c r="AZ33" i="5304"/>
  <c r="AZ34" i="5304"/>
  <c r="AZ35" i="5304"/>
  <c r="AZ36" i="5304"/>
  <c r="AZ37" i="5304"/>
  <c r="AZ38" i="5304"/>
  <c r="AZ39" i="5304"/>
  <c r="AZ40" i="5304"/>
  <c r="AZ41" i="5304"/>
  <c r="AZ42" i="5304"/>
  <c r="AZ43" i="5304"/>
  <c r="AZ44" i="5304"/>
  <c r="AZ45" i="5304"/>
  <c r="AZ46" i="5304"/>
  <c r="AZ47" i="5304"/>
  <c r="AZ48" i="5304"/>
  <c r="AZ49" i="5304"/>
  <c r="AZ50" i="5304"/>
  <c r="AZ51" i="5304"/>
  <c r="AZ52" i="5304"/>
  <c r="AZ53" i="5304"/>
  <c r="AZ54" i="5304"/>
  <c r="AZ2" i="5303"/>
  <c r="AZ3" i="5303"/>
  <c r="AZ4" i="5303"/>
  <c r="AZ5" i="5303"/>
  <c r="AZ6" i="5303"/>
  <c r="AZ7" i="5303"/>
  <c r="AZ8" i="5303"/>
  <c r="AZ9" i="5303"/>
  <c r="AZ10" i="5303"/>
  <c r="AZ11" i="5303"/>
  <c r="AZ12" i="5303"/>
  <c r="AZ13" i="5303"/>
  <c r="AZ14" i="5303"/>
  <c r="AZ15" i="5303"/>
  <c r="AZ16" i="5303"/>
  <c r="AZ17" i="5303"/>
  <c r="AZ18" i="5303"/>
  <c r="AZ19" i="5303"/>
  <c r="AZ20" i="5303"/>
  <c r="AZ21" i="5303"/>
  <c r="AZ22" i="5303"/>
  <c r="AZ23" i="5303"/>
  <c r="AZ24" i="5303"/>
  <c r="AZ25" i="5303"/>
  <c r="AZ26" i="5303"/>
  <c r="AZ27" i="5303"/>
  <c r="AZ28" i="5303"/>
  <c r="AZ29" i="5303"/>
  <c r="AZ30" i="5303"/>
  <c r="AZ31" i="5303"/>
  <c r="AZ32" i="5303"/>
  <c r="AZ33" i="5303"/>
  <c r="AZ34" i="5303"/>
  <c r="AZ35" i="5303"/>
  <c r="AZ36" i="5303"/>
  <c r="AZ37" i="5303"/>
  <c r="AZ38" i="5303"/>
  <c r="AZ39" i="5303"/>
  <c r="AZ40" i="5303"/>
  <c r="AZ41" i="5303"/>
  <c r="AZ42" i="5303"/>
  <c r="AZ43" i="5303"/>
  <c r="AZ44" i="5303"/>
  <c r="AZ45" i="5303"/>
  <c r="AZ46" i="5303"/>
  <c r="AZ47" i="5303"/>
  <c r="AZ48" i="5303"/>
  <c r="AZ49" i="5303"/>
  <c r="AZ50" i="5303"/>
  <c r="AZ51" i="5303"/>
  <c r="AZ52" i="5303"/>
  <c r="AZ53" i="5303"/>
  <c r="AZ54" i="5303"/>
  <c r="AZ2" i="5302"/>
  <c r="AZ3" i="5302"/>
  <c r="AZ4" i="5302"/>
  <c r="AZ5" i="5302"/>
  <c r="AZ6" i="5302"/>
  <c r="AZ7" i="5302"/>
  <c r="AZ8" i="5302"/>
  <c r="AZ9" i="5302"/>
  <c r="AZ10" i="5302"/>
  <c r="AZ11" i="5302"/>
  <c r="AZ12" i="5302"/>
  <c r="AZ13" i="5302"/>
  <c r="AZ14" i="5302"/>
  <c r="AZ15" i="5302"/>
  <c r="AZ16" i="5302"/>
  <c r="AZ17" i="5302"/>
  <c r="AZ18" i="5302"/>
  <c r="AZ19" i="5302"/>
  <c r="AZ20" i="5302"/>
  <c r="AZ21" i="5302"/>
  <c r="AZ22" i="5302"/>
  <c r="AZ23" i="5302"/>
  <c r="AZ24" i="5302"/>
  <c r="AZ25" i="5302"/>
  <c r="AZ26" i="5302"/>
  <c r="AZ27" i="5302"/>
  <c r="AZ28" i="5302"/>
  <c r="AZ29" i="5302"/>
  <c r="AZ30" i="5302"/>
  <c r="AZ31" i="5302"/>
  <c r="AZ32" i="5302"/>
  <c r="AZ33" i="5302"/>
  <c r="AZ34" i="5302"/>
  <c r="AZ35" i="5302"/>
  <c r="AZ36" i="5302"/>
  <c r="AZ37" i="5302"/>
  <c r="AZ38" i="5302"/>
  <c r="AZ39" i="5302"/>
  <c r="AZ40" i="5302"/>
  <c r="AZ41" i="5302"/>
  <c r="AZ42" i="5302"/>
  <c r="AZ43" i="5302"/>
  <c r="AZ44" i="5302"/>
  <c r="AZ45" i="5302"/>
  <c r="AZ46" i="5302"/>
  <c r="AZ47" i="5302"/>
  <c r="AZ48" i="5302"/>
  <c r="AZ49" i="5302"/>
  <c r="AZ50" i="5302"/>
  <c r="AZ51" i="5302"/>
  <c r="AZ52" i="5302"/>
  <c r="AZ53" i="5302"/>
  <c r="AZ54" i="5302"/>
  <c r="AY2" i="5307"/>
  <c r="AY3" i="5307"/>
  <c r="AY4" i="5307"/>
  <c r="AY5" i="5307"/>
  <c r="AY6" i="5307"/>
  <c r="AY7" i="5307"/>
  <c r="AY8" i="5307"/>
  <c r="AY9" i="5307"/>
  <c r="AY10" i="5307"/>
  <c r="AY11" i="5307"/>
  <c r="AY12" i="5307"/>
  <c r="AY13" i="5307"/>
  <c r="AY14" i="5307"/>
  <c r="AY15" i="5307"/>
  <c r="AY16" i="5307"/>
  <c r="AY17" i="5307"/>
  <c r="AY18" i="5307"/>
  <c r="AY19" i="5307"/>
  <c r="AY20" i="5307"/>
  <c r="AY21" i="5307"/>
  <c r="AY22" i="5307"/>
  <c r="AY23" i="5307"/>
  <c r="AY24" i="5307"/>
  <c r="AY25" i="5307"/>
  <c r="AY26" i="5307"/>
  <c r="AY27" i="5307"/>
  <c r="AY28" i="5307"/>
  <c r="AY29" i="5307"/>
  <c r="AY30" i="5307"/>
  <c r="AY31" i="5307"/>
  <c r="AY32" i="5307"/>
  <c r="AY33" i="5307"/>
  <c r="AY34" i="5307"/>
  <c r="AY35" i="5307"/>
  <c r="AY36" i="5307"/>
  <c r="AY37" i="5307"/>
  <c r="AY38" i="5307"/>
  <c r="AY39" i="5307"/>
  <c r="AY40" i="5307"/>
  <c r="AY41" i="5307"/>
  <c r="AY42" i="5307"/>
  <c r="AY43" i="5307"/>
  <c r="AY44" i="5307"/>
  <c r="AY45" i="5307"/>
  <c r="AY46" i="5307"/>
  <c r="AY47" i="5307"/>
  <c r="AY48" i="5307"/>
  <c r="AY49" i="5307"/>
  <c r="AY50" i="5307"/>
  <c r="AY51" i="5307"/>
  <c r="AY52" i="5307"/>
  <c r="AY53" i="5307"/>
  <c r="AY54" i="5307"/>
  <c r="AY2" i="5306"/>
  <c r="AY3" i="5306"/>
  <c r="AY4" i="5306"/>
  <c r="AY5" i="5306"/>
  <c r="AY6" i="5306"/>
  <c r="AY7" i="5306"/>
  <c r="AY8" i="5306"/>
  <c r="AY9" i="5306"/>
  <c r="AY10" i="5306"/>
  <c r="AY11" i="5306"/>
  <c r="AY12" i="5306"/>
  <c r="AY13" i="5306"/>
  <c r="AY14" i="5306"/>
  <c r="AY15" i="5306"/>
  <c r="AY16" i="5306"/>
  <c r="AY17" i="5306"/>
  <c r="AY18" i="5306"/>
  <c r="AY19" i="5306"/>
  <c r="AY20" i="5306"/>
  <c r="AY21" i="5306"/>
  <c r="AY22" i="5306"/>
  <c r="AY23" i="5306"/>
  <c r="AY24" i="5306"/>
  <c r="AY25" i="5306"/>
  <c r="AY26" i="5306"/>
  <c r="AY27" i="5306"/>
  <c r="AY28" i="5306"/>
  <c r="AY29" i="5306"/>
  <c r="AY30" i="5306"/>
  <c r="AY31" i="5306"/>
  <c r="AY32" i="5306"/>
  <c r="AY33" i="5306"/>
  <c r="AY34" i="5306"/>
  <c r="AY35" i="5306"/>
  <c r="AY36" i="5306"/>
  <c r="AY37" i="5306"/>
  <c r="AY38" i="5306"/>
  <c r="AY39" i="5306"/>
  <c r="AY40" i="5306"/>
  <c r="AY41" i="5306"/>
  <c r="AY42" i="5306"/>
  <c r="AY43" i="5306"/>
  <c r="AY44" i="5306"/>
  <c r="AY45" i="5306"/>
  <c r="AY46" i="5306"/>
  <c r="AY47" i="5306"/>
  <c r="AY48" i="5306"/>
  <c r="AY49" i="5306"/>
  <c r="AY50" i="5306"/>
  <c r="AY51" i="5306"/>
  <c r="AY52" i="5306"/>
  <c r="AY53" i="5306"/>
  <c r="AY54" i="5306"/>
  <c r="AY2" i="5305"/>
  <c r="AY3" i="5305"/>
  <c r="AY4" i="5305"/>
  <c r="AY5" i="5305"/>
  <c r="AY6" i="5305"/>
  <c r="AY7" i="5305"/>
  <c r="AY8" i="5305"/>
  <c r="AY9" i="5305"/>
  <c r="AY10" i="5305"/>
  <c r="AY11" i="5305"/>
  <c r="AY12" i="5305"/>
  <c r="AY13" i="5305"/>
  <c r="AY14" i="5305"/>
  <c r="AY15" i="5305"/>
  <c r="AY16" i="5305"/>
  <c r="AY17" i="5305"/>
  <c r="AY18" i="5305"/>
  <c r="AY19" i="5305"/>
  <c r="AY20" i="5305"/>
  <c r="AY21" i="5305"/>
  <c r="AY22" i="5305"/>
  <c r="AY23" i="5305"/>
  <c r="AY24" i="5305"/>
  <c r="AY25" i="5305"/>
  <c r="AY26" i="5305"/>
  <c r="AY27" i="5305"/>
  <c r="AY28" i="5305"/>
  <c r="AY29" i="5305"/>
  <c r="AY30" i="5305"/>
  <c r="AY31" i="5305"/>
  <c r="AY32" i="5305"/>
  <c r="AY33" i="5305"/>
  <c r="AY34" i="5305"/>
  <c r="AY35" i="5305"/>
  <c r="AY36" i="5305"/>
  <c r="AY37" i="5305"/>
  <c r="AY38" i="5305"/>
  <c r="AY39" i="5305"/>
  <c r="AY40" i="5305"/>
  <c r="AY41" i="5305"/>
  <c r="AY42" i="5305"/>
  <c r="AY43" i="5305"/>
  <c r="AY44" i="5305"/>
  <c r="AY45" i="5305"/>
  <c r="AY46" i="5305"/>
  <c r="AY47" i="5305"/>
  <c r="AY48" i="5305"/>
  <c r="AY49" i="5305"/>
  <c r="AY50" i="5305"/>
  <c r="AY51" i="5305"/>
  <c r="AY52" i="5305"/>
  <c r="AY53" i="5305"/>
  <c r="AY54" i="5305"/>
  <c r="AY2" i="5304"/>
  <c r="AY3" i="5304"/>
  <c r="AY4" i="5304"/>
  <c r="AY5" i="5304"/>
  <c r="AY6" i="5304"/>
  <c r="AY7" i="5304"/>
  <c r="AY8" i="5304"/>
  <c r="AY9" i="5304"/>
  <c r="AY10" i="5304"/>
  <c r="AY11" i="5304"/>
  <c r="AY12" i="5304"/>
  <c r="AY13" i="5304"/>
  <c r="AY14" i="5304"/>
  <c r="AY15" i="5304"/>
  <c r="AY16" i="5304"/>
  <c r="AY17" i="5304"/>
  <c r="AY18" i="5304"/>
  <c r="AY19" i="5304"/>
  <c r="AY20" i="5304"/>
  <c r="AY21" i="5304"/>
  <c r="AY22" i="5304"/>
  <c r="AY23" i="5304"/>
  <c r="AY24" i="5304"/>
  <c r="AY25" i="5304"/>
  <c r="AY26" i="5304"/>
  <c r="AY27" i="5304"/>
  <c r="AY28" i="5304"/>
  <c r="AY29" i="5304"/>
  <c r="AY30" i="5304"/>
  <c r="AY31" i="5304"/>
  <c r="AY32" i="5304"/>
  <c r="AY33" i="5304"/>
  <c r="AY34" i="5304"/>
  <c r="AY35" i="5304"/>
  <c r="AY36" i="5304"/>
  <c r="AY37" i="5304"/>
  <c r="AY38" i="5304"/>
  <c r="AY39" i="5304"/>
  <c r="AY40" i="5304"/>
  <c r="AY41" i="5304"/>
  <c r="AY42" i="5304"/>
  <c r="AY43" i="5304"/>
  <c r="AY44" i="5304"/>
  <c r="AY45" i="5304"/>
  <c r="AY46" i="5304"/>
  <c r="AY47" i="5304"/>
  <c r="AY48" i="5304"/>
  <c r="AY49" i="5304"/>
  <c r="AY50" i="5304"/>
  <c r="AY51" i="5304"/>
  <c r="AY52" i="5304"/>
  <c r="AY53" i="5304"/>
  <c r="AY54" i="5304"/>
  <c r="AY2" i="5303"/>
  <c r="AY3" i="5303"/>
  <c r="AY4" i="5303"/>
  <c r="AY5" i="5303"/>
  <c r="AY6" i="5303"/>
  <c r="AY7" i="5303"/>
  <c r="AY8" i="5303"/>
  <c r="AY9" i="5303"/>
  <c r="AY10" i="5303"/>
  <c r="AY11" i="5303"/>
  <c r="AY12" i="5303"/>
  <c r="AY13" i="5303"/>
  <c r="AY14" i="5303"/>
  <c r="AY15" i="5303"/>
  <c r="AY16" i="5303"/>
  <c r="AY17" i="5303"/>
  <c r="AY18" i="5303"/>
  <c r="AY19" i="5303"/>
  <c r="AY20" i="5303"/>
  <c r="AY21" i="5303"/>
  <c r="AY22" i="5303"/>
  <c r="AY23" i="5303"/>
  <c r="AY24" i="5303"/>
  <c r="AY25" i="5303"/>
  <c r="AY26" i="5303"/>
  <c r="AY27" i="5303"/>
  <c r="AY28" i="5303"/>
  <c r="AY29" i="5303"/>
  <c r="AY30" i="5303"/>
  <c r="AY31" i="5303"/>
  <c r="AY32" i="5303"/>
  <c r="AY33" i="5303"/>
  <c r="AY34" i="5303"/>
  <c r="AY35" i="5303"/>
  <c r="AY36" i="5303"/>
  <c r="AY37" i="5303"/>
  <c r="AY38" i="5303"/>
  <c r="AY39" i="5303"/>
  <c r="AY40" i="5303"/>
  <c r="AY41" i="5303"/>
  <c r="AY42" i="5303"/>
  <c r="AY43" i="5303"/>
  <c r="AY44" i="5303"/>
  <c r="AY45" i="5303"/>
  <c r="AY46" i="5303"/>
  <c r="AY47" i="5303"/>
  <c r="AY48" i="5303"/>
  <c r="AY49" i="5303"/>
  <c r="AY50" i="5303"/>
  <c r="AY51" i="5303"/>
  <c r="AY52" i="5303"/>
  <c r="AY53" i="5303"/>
  <c r="AY54" i="5303"/>
  <c r="AY2" i="5302"/>
  <c r="AY3" i="5302"/>
  <c r="AY4" i="5302"/>
  <c r="AY5" i="5302"/>
  <c r="AY6" i="5302"/>
  <c r="AY7" i="5302"/>
  <c r="AY8" i="5302"/>
  <c r="AY9" i="5302"/>
  <c r="AY10" i="5302"/>
  <c r="AY11" i="5302"/>
  <c r="AY12" i="5302"/>
  <c r="AY13" i="5302"/>
  <c r="AY14" i="5302"/>
  <c r="AY15" i="5302"/>
  <c r="AY16" i="5302"/>
  <c r="AY17" i="5302"/>
  <c r="AY18" i="5302"/>
  <c r="AY19" i="5302"/>
  <c r="AY20" i="5302"/>
  <c r="AY21" i="5302"/>
  <c r="AY22" i="5302"/>
  <c r="AY23" i="5302"/>
  <c r="AY24" i="5302"/>
  <c r="AY25" i="5302"/>
  <c r="AY26" i="5302"/>
  <c r="AY27" i="5302"/>
  <c r="AY28" i="5302"/>
  <c r="AY29" i="5302"/>
  <c r="AY30" i="5302"/>
  <c r="AY31" i="5302"/>
  <c r="AY32" i="5302"/>
  <c r="AY33" i="5302"/>
  <c r="AY34" i="5302"/>
  <c r="AY35" i="5302"/>
  <c r="AY36" i="5302"/>
  <c r="AY37" i="5302"/>
  <c r="AY38" i="5302"/>
  <c r="AY39" i="5302"/>
  <c r="AY40" i="5302"/>
  <c r="AY41" i="5302"/>
  <c r="AY42" i="5302"/>
  <c r="AY43" i="5302"/>
  <c r="AY44" i="5302"/>
  <c r="AY45" i="5302"/>
  <c r="AY46" i="5302"/>
  <c r="AY47" i="5302"/>
  <c r="AY48" i="5302"/>
  <c r="AY49" i="5302"/>
  <c r="AY50" i="5302"/>
  <c r="AY51" i="5302"/>
  <c r="AY52" i="5302"/>
  <c r="AY53" i="5302"/>
  <c r="AY54" i="5302"/>
  <c r="AX2" i="5307"/>
  <c r="AX3" i="5307"/>
  <c r="AX4" i="5307"/>
  <c r="AX5" i="5307"/>
  <c r="AX6" i="5307"/>
  <c r="AX7" i="5307"/>
  <c r="AX8" i="5307"/>
  <c r="AX9" i="5307"/>
  <c r="AX10" i="5307"/>
  <c r="AX11" i="5307"/>
  <c r="AX12" i="5307"/>
  <c r="AX13" i="5307"/>
  <c r="AX14" i="5307"/>
  <c r="AX15" i="5307"/>
  <c r="AX16" i="5307"/>
  <c r="AX17" i="5307"/>
  <c r="AX18" i="5307"/>
  <c r="AX19" i="5307"/>
  <c r="AX20" i="5307"/>
  <c r="AX21" i="5307"/>
  <c r="AX22" i="5307"/>
  <c r="AX23" i="5307"/>
  <c r="AX24" i="5307"/>
  <c r="AX25" i="5307"/>
  <c r="AX26" i="5307"/>
  <c r="AX27" i="5307"/>
  <c r="AX28" i="5307"/>
  <c r="AX29" i="5307"/>
  <c r="AX30" i="5307"/>
  <c r="AX31" i="5307"/>
  <c r="AX32" i="5307"/>
  <c r="AX33" i="5307"/>
  <c r="AX34" i="5307"/>
  <c r="AX35" i="5307"/>
  <c r="AX36" i="5307"/>
  <c r="AX37" i="5307"/>
  <c r="AX38" i="5307"/>
  <c r="AX39" i="5307"/>
  <c r="AX40" i="5307"/>
  <c r="AX41" i="5307"/>
  <c r="AX42" i="5307"/>
  <c r="AX43" i="5307"/>
  <c r="AX44" i="5307"/>
  <c r="AX45" i="5307"/>
  <c r="AX46" i="5307"/>
  <c r="AX47" i="5307"/>
  <c r="AX48" i="5307"/>
  <c r="AX49" i="5307"/>
  <c r="AX50" i="5307"/>
  <c r="AX51" i="5307"/>
  <c r="AX52" i="5307"/>
  <c r="AX53" i="5307"/>
  <c r="AX54" i="5307"/>
  <c r="AX2" i="5306"/>
  <c r="AX3" i="5306"/>
  <c r="AX4" i="5306"/>
  <c r="AX5" i="5306"/>
  <c r="AX6" i="5306"/>
  <c r="AX7" i="5306"/>
  <c r="AX8" i="5306"/>
  <c r="AX9" i="5306"/>
  <c r="AX10" i="5306"/>
  <c r="AX11" i="5306"/>
  <c r="AX12" i="5306"/>
  <c r="AX13" i="5306"/>
  <c r="AX14" i="5306"/>
  <c r="AX15" i="5306"/>
  <c r="AX16" i="5306"/>
  <c r="AX17" i="5306"/>
  <c r="AX18" i="5306"/>
  <c r="AX19" i="5306"/>
  <c r="AX20" i="5306"/>
  <c r="AX21" i="5306"/>
  <c r="AX22" i="5306"/>
  <c r="AX23" i="5306"/>
  <c r="AX24" i="5306"/>
  <c r="AX25" i="5306"/>
  <c r="AX26" i="5306"/>
  <c r="AX27" i="5306"/>
  <c r="AX28" i="5306"/>
  <c r="AX29" i="5306"/>
  <c r="AX30" i="5306"/>
  <c r="AX31" i="5306"/>
  <c r="AX32" i="5306"/>
  <c r="AX33" i="5306"/>
  <c r="AX34" i="5306"/>
  <c r="AX35" i="5306"/>
  <c r="AX36" i="5306"/>
  <c r="AX37" i="5306"/>
  <c r="AX38" i="5306"/>
  <c r="AX39" i="5306"/>
  <c r="AX40" i="5306"/>
  <c r="AX41" i="5306"/>
  <c r="AX42" i="5306"/>
  <c r="AX43" i="5306"/>
  <c r="AX44" i="5306"/>
  <c r="AX45" i="5306"/>
  <c r="AX46" i="5306"/>
  <c r="AX47" i="5306"/>
  <c r="AX48" i="5306"/>
  <c r="AX49" i="5306"/>
  <c r="AX50" i="5306"/>
  <c r="AX51" i="5306"/>
  <c r="AX52" i="5306"/>
  <c r="AX53" i="5306"/>
  <c r="AX54" i="5306"/>
  <c r="AX2" i="5305"/>
  <c r="AX3" i="5305"/>
  <c r="AX4" i="5305"/>
  <c r="AX5" i="5305"/>
  <c r="AX6" i="5305"/>
  <c r="AX7" i="5305"/>
  <c r="AX8" i="5305"/>
  <c r="AX9" i="5305"/>
  <c r="AX10" i="5305"/>
  <c r="AX11" i="5305"/>
  <c r="AX12" i="5305"/>
  <c r="AX13" i="5305"/>
  <c r="AX14" i="5305"/>
  <c r="AX15" i="5305"/>
  <c r="AX16" i="5305"/>
  <c r="AX17" i="5305"/>
  <c r="AX18" i="5305"/>
  <c r="AX19" i="5305"/>
  <c r="AX20" i="5305"/>
  <c r="AX21" i="5305"/>
  <c r="AX22" i="5305"/>
  <c r="AX23" i="5305"/>
  <c r="AX24" i="5305"/>
  <c r="AX25" i="5305"/>
  <c r="AX26" i="5305"/>
  <c r="AX27" i="5305"/>
  <c r="AX28" i="5305"/>
  <c r="AX29" i="5305"/>
  <c r="AX30" i="5305"/>
  <c r="AX31" i="5305"/>
  <c r="AX32" i="5305"/>
  <c r="AX33" i="5305"/>
  <c r="AX34" i="5305"/>
  <c r="AX35" i="5305"/>
  <c r="AX36" i="5305"/>
  <c r="AX37" i="5305"/>
  <c r="AX38" i="5305"/>
  <c r="AX39" i="5305"/>
  <c r="AX40" i="5305"/>
  <c r="AX41" i="5305"/>
  <c r="AX42" i="5305"/>
  <c r="AX43" i="5305"/>
  <c r="AX44" i="5305"/>
  <c r="AX45" i="5305"/>
  <c r="AX46" i="5305"/>
  <c r="AX47" i="5305"/>
  <c r="AX48" i="5305"/>
  <c r="AX49" i="5305"/>
  <c r="AX50" i="5305"/>
  <c r="AX51" i="5305"/>
  <c r="AX52" i="5305"/>
  <c r="AX53" i="5305"/>
  <c r="AX54" i="5305"/>
  <c r="AX2" i="5304"/>
  <c r="AX3" i="5304"/>
  <c r="AX4" i="5304"/>
  <c r="AX5" i="5304"/>
  <c r="AX6" i="5304"/>
  <c r="AX7" i="5304"/>
  <c r="AX8" i="5304"/>
  <c r="AX9" i="5304"/>
  <c r="AX10" i="5304"/>
  <c r="AX11" i="5304"/>
  <c r="AX12" i="5304"/>
  <c r="AX13" i="5304"/>
  <c r="AX14" i="5304"/>
  <c r="AX15" i="5304"/>
  <c r="AX16" i="5304"/>
  <c r="AX17" i="5304"/>
  <c r="AX18" i="5304"/>
  <c r="AX19" i="5304"/>
  <c r="AX20" i="5304"/>
  <c r="AX21" i="5304"/>
  <c r="AX22" i="5304"/>
  <c r="AX23" i="5304"/>
  <c r="AX24" i="5304"/>
  <c r="AX25" i="5304"/>
  <c r="AX26" i="5304"/>
  <c r="AX27" i="5304"/>
  <c r="AX28" i="5304"/>
  <c r="AX29" i="5304"/>
  <c r="AX30" i="5304"/>
  <c r="AX31" i="5304"/>
  <c r="AX32" i="5304"/>
  <c r="AX33" i="5304"/>
  <c r="AX34" i="5304"/>
  <c r="AX35" i="5304"/>
  <c r="AX36" i="5304"/>
  <c r="AX37" i="5304"/>
  <c r="AX38" i="5304"/>
  <c r="AX39" i="5304"/>
  <c r="AX40" i="5304"/>
  <c r="AX41" i="5304"/>
  <c r="AX42" i="5304"/>
  <c r="AX43" i="5304"/>
  <c r="AX44" i="5304"/>
  <c r="AX45" i="5304"/>
  <c r="AX46" i="5304"/>
  <c r="AX47" i="5304"/>
  <c r="AX48" i="5304"/>
  <c r="AX49" i="5304"/>
  <c r="AX50" i="5304"/>
  <c r="AX51" i="5304"/>
  <c r="AX52" i="5304"/>
  <c r="AX53" i="5304"/>
  <c r="AX54" i="5304"/>
  <c r="AX2" i="5303"/>
  <c r="AX3" i="5303"/>
  <c r="AX4" i="5303"/>
  <c r="AX5" i="5303"/>
  <c r="AX6" i="5303"/>
  <c r="AX7" i="5303"/>
  <c r="AX8" i="5303"/>
  <c r="AX9" i="5303"/>
  <c r="AX10" i="5303"/>
  <c r="AX11" i="5303"/>
  <c r="AX12" i="5303"/>
  <c r="AX13" i="5303"/>
  <c r="AX14" i="5303"/>
  <c r="AX15" i="5303"/>
  <c r="AX16" i="5303"/>
  <c r="AX17" i="5303"/>
  <c r="AX18" i="5303"/>
  <c r="AX19" i="5303"/>
  <c r="AX20" i="5303"/>
  <c r="AX21" i="5303"/>
  <c r="AX22" i="5303"/>
  <c r="AX23" i="5303"/>
  <c r="AX24" i="5303"/>
  <c r="AX25" i="5303"/>
  <c r="AX26" i="5303"/>
  <c r="AX27" i="5303"/>
  <c r="AX28" i="5303"/>
  <c r="AX29" i="5303"/>
  <c r="AX30" i="5303"/>
  <c r="AX31" i="5303"/>
  <c r="AX32" i="5303"/>
  <c r="AX33" i="5303"/>
  <c r="AX34" i="5303"/>
  <c r="AX35" i="5303"/>
  <c r="AX36" i="5303"/>
  <c r="AX37" i="5303"/>
  <c r="AX38" i="5303"/>
  <c r="AX39" i="5303"/>
  <c r="AX40" i="5303"/>
  <c r="AX41" i="5303"/>
  <c r="AX42" i="5303"/>
  <c r="AX43" i="5303"/>
  <c r="AX44" i="5303"/>
  <c r="AX45" i="5303"/>
  <c r="AX46" i="5303"/>
  <c r="AX47" i="5303"/>
  <c r="AX48" i="5303"/>
  <c r="AX49" i="5303"/>
  <c r="AX50" i="5303"/>
  <c r="AX51" i="5303"/>
  <c r="AX52" i="5303"/>
  <c r="AX53" i="5303"/>
  <c r="AX54" i="5303"/>
  <c r="AX2" i="5302"/>
  <c r="AX3" i="5302"/>
  <c r="AX4" i="5302"/>
  <c r="AX5" i="5302"/>
  <c r="AX6" i="5302"/>
  <c r="AX7" i="5302"/>
  <c r="AX8" i="5302"/>
  <c r="AX9" i="5302"/>
  <c r="AX10" i="5302"/>
  <c r="AX11" i="5302"/>
  <c r="AX12" i="5302"/>
  <c r="AX13" i="5302"/>
  <c r="AX14" i="5302"/>
  <c r="AX15" i="5302"/>
  <c r="AX16" i="5302"/>
  <c r="AX17" i="5302"/>
  <c r="AX18" i="5302"/>
  <c r="AX19" i="5302"/>
  <c r="AX20" i="5302"/>
  <c r="AX21" i="5302"/>
  <c r="AX22" i="5302"/>
  <c r="AX23" i="5302"/>
  <c r="AX24" i="5302"/>
  <c r="AX25" i="5302"/>
  <c r="AX26" i="5302"/>
  <c r="AX27" i="5302"/>
  <c r="AX28" i="5302"/>
  <c r="AX29" i="5302"/>
  <c r="AX30" i="5302"/>
  <c r="AX31" i="5302"/>
  <c r="AX32" i="5302"/>
  <c r="AX33" i="5302"/>
  <c r="AX34" i="5302"/>
  <c r="AX35" i="5302"/>
  <c r="AX36" i="5302"/>
  <c r="AX37" i="5302"/>
  <c r="AX38" i="5302"/>
  <c r="AX39" i="5302"/>
  <c r="AX40" i="5302"/>
  <c r="AX41" i="5302"/>
  <c r="AX42" i="5302"/>
  <c r="AX43" i="5302"/>
  <c r="AX44" i="5302"/>
  <c r="AX45" i="5302"/>
  <c r="AX46" i="5302"/>
  <c r="AX47" i="5302"/>
  <c r="AX48" i="5302"/>
  <c r="AX49" i="5302"/>
  <c r="AX50" i="5302"/>
  <c r="AX51" i="5302"/>
  <c r="AX52" i="5302"/>
  <c r="AX53" i="5302"/>
  <c r="AX54" i="5302"/>
  <c r="AW2" i="5307"/>
  <c r="AW3" i="5307"/>
  <c r="AW4" i="5307"/>
  <c r="AW5" i="5307"/>
  <c r="AW6" i="5307"/>
  <c r="AW7" i="5307"/>
  <c r="AW8" i="5307"/>
  <c r="AW9" i="5307"/>
  <c r="AW10" i="5307"/>
  <c r="AW11" i="5307"/>
  <c r="AW12" i="5307"/>
  <c r="AW13" i="5307"/>
  <c r="AW14" i="5307"/>
  <c r="AW15" i="5307"/>
  <c r="AW16" i="5307"/>
  <c r="AW17" i="5307"/>
  <c r="AW18" i="5307"/>
  <c r="AW19" i="5307"/>
  <c r="AW20" i="5307"/>
  <c r="AW21" i="5307"/>
  <c r="AW22" i="5307"/>
  <c r="AW23" i="5307"/>
  <c r="AW24" i="5307"/>
  <c r="AW25" i="5307"/>
  <c r="AW26" i="5307"/>
  <c r="AW27" i="5307"/>
  <c r="AW28" i="5307"/>
  <c r="AW29" i="5307"/>
  <c r="AW30" i="5307"/>
  <c r="AW31" i="5307"/>
  <c r="AW32" i="5307"/>
  <c r="AW33" i="5307"/>
  <c r="AW34" i="5307"/>
  <c r="AW35" i="5307"/>
  <c r="AW36" i="5307"/>
  <c r="AW37" i="5307"/>
  <c r="AW38" i="5307"/>
  <c r="AW39" i="5307"/>
  <c r="AW40" i="5307"/>
  <c r="AW41" i="5307"/>
  <c r="AW42" i="5307"/>
  <c r="AW43" i="5307"/>
  <c r="AW44" i="5307"/>
  <c r="AW45" i="5307"/>
  <c r="AW46" i="5307"/>
  <c r="AW47" i="5307"/>
  <c r="AW48" i="5307"/>
  <c r="AW49" i="5307"/>
  <c r="AW50" i="5307"/>
  <c r="AW51" i="5307"/>
  <c r="AW52" i="5307"/>
  <c r="AW53" i="5307"/>
  <c r="AW54" i="5307"/>
  <c r="AW2" i="5306"/>
  <c r="AW3" i="5306"/>
  <c r="AW4" i="5306"/>
  <c r="AW5" i="5306"/>
  <c r="AW6" i="5306"/>
  <c r="AW7" i="5306"/>
  <c r="AW8" i="5306"/>
  <c r="AW9" i="5306"/>
  <c r="AW10" i="5306"/>
  <c r="AW11" i="5306"/>
  <c r="AW12" i="5306"/>
  <c r="AW13" i="5306"/>
  <c r="AW14" i="5306"/>
  <c r="AW15" i="5306"/>
  <c r="AW16" i="5306"/>
  <c r="AW17" i="5306"/>
  <c r="AW18" i="5306"/>
  <c r="AW19" i="5306"/>
  <c r="AW20" i="5306"/>
  <c r="AW21" i="5306"/>
  <c r="AW22" i="5306"/>
  <c r="AW23" i="5306"/>
  <c r="AW24" i="5306"/>
  <c r="AW25" i="5306"/>
  <c r="AW26" i="5306"/>
  <c r="AW27" i="5306"/>
  <c r="AW28" i="5306"/>
  <c r="AW29" i="5306"/>
  <c r="AW30" i="5306"/>
  <c r="AW31" i="5306"/>
  <c r="AW32" i="5306"/>
  <c r="AW33" i="5306"/>
  <c r="AW34" i="5306"/>
  <c r="AW35" i="5306"/>
  <c r="AW36" i="5306"/>
  <c r="AW37" i="5306"/>
  <c r="AW38" i="5306"/>
  <c r="AW39" i="5306"/>
  <c r="AW40" i="5306"/>
  <c r="AW41" i="5306"/>
  <c r="AW42" i="5306"/>
  <c r="AW43" i="5306"/>
  <c r="AW44" i="5306"/>
  <c r="AW45" i="5306"/>
  <c r="AW46" i="5306"/>
  <c r="AW47" i="5306"/>
  <c r="AW48" i="5306"/>
  <c r="AW49" i="5306"/>
  <c r="AW50" i="5306"/>
  <c r="AW51" i="5306"/>
  <c r="AW52" i="5306"/>
  <c r="AW53" i="5306"/>
  <c r="AW54" i="5306"/>
  <c r="AW2" i="5305"/>
  <c r="AW3" i="5305"/>
  <c r="AW4" i="5305"/>
  <c r="AW5" i="5305"/>
  <c r="AW6" i="5305"/>
  <c r="AW7" i="5305"/>
  <c r="AW8" i="5305"/>
  <c r="AW9" i="5305"/>
  <c r="AW10" i="5305"/>
  <c r="AW11" i="5305"/>
  <c r="AW12" i="5305"/>
  <c r="AW13" i="5305"/>
  <c r="AW14" i="5305"/>
  <c r="AW15" i="5305"/>
  <c r="AW16" i="5305"/>
  <c r="AW17" i="5305"/>
  <c r="AW18" i="5305"/>
  <c r="AW19" i="5305"/>
  <c r="AW20" i="5305"/>
  <c r="AW21" i="5305"/>
  <c r="AW22" i="5305"/>
  <c r="AW23" i="5305"/>
  <c r="AW24" i="5305"/>
  <c r="AW25" i="5305"/>
  <c r="AW26" i="5305"/>
  <c r="AW27" i="5305"/>
  <c r="AW28" i="5305"/>
  <c r="AW29" i="5305"/>
  <c r="AW30" i="5305"/>
  <c r="AW31" i="5305"/>
  <c r="AW32" i="5305"/>
  <c r="AW33" i="5305"/>
  <c r="AW34" i="5305"/>
  <c r="AW35" i="5305"/>
  <c r="AW36" i="5305"/>
  <c r="AW37" i="5305"/>
  <c r="AW38" i="5305"/>
  <c r="AW39" i="5305"/>
  <c r="AW40" i="5305"/>
  <c r="AW41" i="5305"/>
  <c r="AW42" i="5305"/>
  <c r="AW43" i="5305"/>
  <c r="AW44" i="5305"/>
  <c r="AW45" i="5305"/>
  <c r="AW46" i="5305"/>
  <c r="AW47" i="5305"/>
  <c r="AW48" i="5305"/>
  <c r="AW49" i="5305"/>
  <c r="AW50" i="5305"/>
  <c r="AW51" i="5305"/>
  <c r="AW52" i="5305"/>
  <c r="AW53" i="5305"/>
  <c r="AW54" i="5305"/>
  <c r="AW2" i="5304"/>
  <c r="AW3" i="5304"/>
  <c r="AW4" i="5304"/>
  <c r="AW5" i="5304"/>
  <c r="AW6" i="5304"/>
  <c r="AW7" i="5304"/>
  <c r="AW8" i="5304"/>
  <c r="AW9" i="5304"/>
  <c r="AW10" i="5304"/>
  <c r="AW11" i="5304"/>
  <c r="AW12" i="5304"/>
  <c r="AW13" i="5304"/>
  <c r="AW14" i="5304"/>
  <c r="AW15" i="5304"/>
  <c r="AW16" i="5304"/>
  <c r="AW17" i="5304"/>
  <c r="AW18" i="5304"/>
  <c r="AW19" i="5304"/>
  <c r="AW20" i="5304"/>
  <c r="AW21" i="5304"/>
  <c r="AW22" i="5304"/>
  <c r="AW23" i="5304"/>
  <c r="AW24" i="5304"/>
  <c r="AW25" i="5304"/>
  <c r="AW26" i="5304"/>
  <c r="AW27" i="5304"/>
  <c r="AW28" i="5304"/>
  <c r="AW29" i="5304"/>
  <c r="AW30" i="5304"/>
  <c r="AW31" i="5304"/>
  <c r="AW32" i="5304"/>
  <c r="AW33" i="5304"/>
  <c r="AW34" i="5304"/>
  <c r="AW35" i="5304"/>
  <c r="AW36" i="5304"/>
  <c r="AW37" i="5304"/>
  <c r="AW38" i="5304"/>
  <c r="AW39" i="5304"/>
  <c r="AW40" i="5304"/>
  <c r="AW41" i="5304"/>
  <c r="AW42" i="5304"/>
  <c r="AW43" i="5304"/>
  <c r="AW44" i="5304"/>
  <c r="AW45" i="5304"/>
  <c r="AW46" i="5304"/>
  <c r="AW47" i="5304"/>
  <c r="AW48" i="5304"/>
  <c r="AW49" i="5304"/>
  <c r="AW50" i="5304"/>
  <c r="AW51" i="5304"/>
  <c r="AW52" i="5304"/>
  <c r="AW53" i="5304"/>
  <c r="AW54" i="5304"/>
  <c r="AW2" i="5303"/>
  <c r="AW3" i="5303"/>
  <c r="AW4" i="5303"/>
  <c r="AW5" i="5303"/>
  <c r="AW6" i="5303"/>
  <c r="AW7" i="5303"/>
  <c r="AW8" i="5303"/>
  <c r="AW9" i="5303"/>
  <c r="AW10" i="5303"/>
  <c r="AW11" i="5303"/>
  <c r="AW12" i="5303"/>
  <c r="AW13" i="5303"/>
  <c r="AW14" i="5303"/>
  <c r="AW15" i="5303"/>
  <c r="AW16" i="5303"/>
  <c r="AW17" i="5303"/>
  <c r="AW18" i="5303"/>
  <c r="AW19" i="5303"/>
  <c r="AW20" i="5303"/>
  <c r="AW21" i="5303"/>
  <c r="AW22" i="5303"/>
  <c r="AW23" i="5303"/>
  <c r="AW24" i="5303"/>
  <c r="AW25" i="5303"/>
  <c r="AW26" i="5303"/>
  <c r="AW27" i="5303"/>
  <c r="AW28" i="5303"/>
  <c r="AW29" i="5303"/>
  <c r="AW30" i="5303"/>
  <c r="AW31" i="5303"/>
  <c r="AW32" i="5303"/>
  <c r="AW33" i="5303"/>
  <c r="AW34" i="5303"/>
  <c r="AW35" i="5303"/>
  <c r="AW36" i="5303"/>
  <c r="AW37" i="5303"/>
  <c r="AW38" i="5303"/>
  <c r="AW39" i="5303"/>
  <c r="AW40" i="5303"/>
  <c r="AW41" i="5303"/>
  <c r="AW42" i="5303"/>
  <c r="AW43" i="5303"/>
  <c r="AW44" i="5303"/>
  <c r="AW45" i="5303"/>
  <c r="AW46" i="5303"/>
  <c r="AW47" i="5303"/>
  <c r="AW48" i="5303"/>
  <c r="AW49" i="5303"/>
  <c r="AW50" i="5303"/>
  <c r="AW51" i="5303"/>
  <c r="AW52" i="5303"/>
  <c r="AW53" i="5303"/>
  <c r="AW54" i="5303"/>
  <c r="AW2" i="5302"/>
  <c r="AW3" i="5302"/>
  <c r="AW4" i="5302"/>
  <c r="AW5" i="5302"/>
  <c r="AW6" i="5302"/>
  <c r="AW7" i="5302"/>
  <c r="AW8" i="5302"/>
  <c r="AW9" i="5302"/>
  <c r="AW10" i="5302"/>
  <c r="AW11" i="5302"/>
  <c r="AW12" i="5302"/>
  <c r="AW13" i="5302"/>
  <c r="AW14" i="5302"/>
  <c r="AW15" i="5302"/>
  <c r="AW16" i="5302"/>
  <c r="AW17" i="5302"/>
  <c r="AW18" i="5302"/>
  <c r="AW19" i="5302"/>
  <c r="AW20" i="5302"/>
  <c r="AW21" i="5302"/>
  <c r="AW22" i="5302"/>
  <c r="AW23" i="5302"/>
  <c r="AW24" i="5302"/>
  <c r="AW25" i="5302"/>
  <c r="AW26" i="5302"/>
  <c r="AW27" i="5302"/>
  <c r="AW28" i="5302"/>
  <c r="AW29" i="5302"/>
  <c r="AW30" i="5302"/>
  <c r="AW31" i="5302"/>
  <c r="AW32" i="5302"/>
  <c r="AW33" i="5302"/>
  <c r="AW34" i="5302"/>
  <c r="AW35" i="5302"/>
  <c r="AW36" i="5302"/>
  <c r="AW37" i="5302"/>
  <c r="AW38" i="5302"/>
  <c r="AW39" i="5302"/>
  <c r="AW40" i="5302"/>
  <c r="AW41" i="5302"/>
  <c r="AW42" i="5302"/>
  <c r="AW43" i="5302"/>
  <c r="AW44" i="5302"/>
  <c r="AW45" i="5302"/>
  <c r="AW46" i="5302"/>
  <c r="AW47" i="5302"/>
  <c r="AW48" i="5302"/>
  <c r="AW49" i="5302"/>
  <c r="AW50" i="5302"/>
  <c r="AW51" i="5302"/>
  <c r="AW52" i="5302"/>
  <c r="AW53" i="5302"/>
  <c r="AW54" i="5302"/>
  <c r="AV2" i="5307"/>
  <c r="AV3" i="5307"/>
  <c r="AV4" i="5307"/>
  <c r="AV5" i="5307"/>
  <c r="AV6" i="5307"/>
  <c r="AV7" i="5307"/>
  <c r="AV8" i="5307"/>
  <c r="AV9" i="5307"/>
  <c r="AV10" i="5307"/>
  <c r="AV11" i="5307"/>
  <c r="AV12" i="5307"/>
  <c r="AV13" i="5307"/>
  <c r="AV14" i="5307"/>
  <c r="AV15" i="5307"/>
  <c r="AV16" i="5307"/>
  <c r="AV17" i="5307"/>
  <c r="AV18" i="5307"/>
  <c r="AV19" i="5307"/>
  <c r="AV20" i="5307"/>
  <c r="AV21" i="5307"/>
  <c r="AV22" i="5307"/>
  <c r="AV23" i="5307"/>
  <c r="AV24" i="5307"/>
  <c r="AV25" i="5307"/>
  <c r="AV26" i="5307"/>
  <c r="AV27" i="5307"/>
  <c r="AV28" i="5307"/>
  <c r="AV29" i="5307"/>
  <c r="AV30" i="5307"/>
  <c r="AV31" i="5307"/>
  <c r="AV32" i="5307"/>
  <c r="AV33" i="5307"/>
  <c r="AV34" i="5307"/>
  <c r="AV35" i="5307"/>
  <c r="AV36" i="5307"/>
  <c r="AV37" i="5307"/>
  <c r="AV38" i="5307"/>
  <c r="AV39" i="5307"/>
  <c r="AV40" i="5307"/>
  <c r="AV41" i="5307"/>
  <c r="AV42" i="5307"/>
  <c r="AV43" i="5307"/>
  <c r="AV44" i="5307"/>
  <c r="AV45" i="5307"/>
  <c r="AV46" i="5307"/>
  <c r="AV47" i="5307"/>
  <c r="AV48" i="5307"/>
  <c r="AV49" i="5307"/>
  <c r="AV50" i="5307"/>
  <c r="AV51" i="5307"/>
  <c r="AV52" i="5307"/>
  <c r="AV53" i="5307"/>
  <c r="AV54" i="5307"/>
  <c r="AV2" i="5306"/>
  <c r="AV3" i="5306"/>
  <c r="AV4" i="5306"/>
  <c r="AV5" i="5306"/>
  <c r="AV6" i="5306"/>
  <c r="AV7" i="5306"/>
  <c r="AV8" i="5306"/>
  <c r="AV9" i="5306"/>
  <c r="AV10" i="5306"/>
  <c r="AV11" i="5306"/>
  <c r="AV12" i="5306"/>
  <c r="AV13" i="5306"/>
  <c r="AV14" i="5306"/>
  <c r="AV15" i="5306"/>
  <c r="AV16" i="5306"/>
  <c r="AV17" i="5306"/>
  <c r="AV18" i="5306"/>
  <c r="AV19" i="5306"/>
  <c r="AV20" i="5306"/>
  <c r="AV21" i="5306"/>
  <c r="AV22" i="5306"/>
  <c r="AV23" i="5306"/>
  <c r="AV24" i="5306"/>
  <c r="AV25" i="5306"/>
  <c r="AV26" i="5306"/>
  <c r="AV27" i="5306"/>
  <c r="AV28" i="5306"/>
  <c r="AV29" i="5306"/>
  <c r="AV30" i="5306"/>
  <c r="AV31" i="5306"/>
  <c r="AV32" i="5306"/>
  <c r="AV33" i="5306"/>
  <c r="AV34" i="5306"/>
  <c r="AV35" i="5306"/>
  <c r="AV36" i="5306"/>
  <c r="AV37" i="5306"/>
  <c r="AV38" i="5306"/>
  <c r="AV39" i="5306"/>
  <c r="AV40" i="5306"/>
  <c r="AV41" i="5306"/>
  <c r="AV42" i="5306"/>
  <c r="AV43" i="5306"/>
  <c r="AV44" i="5306"/>
  <c r="AV45" i="5306"/>
  <c r="AV46" i="5306"/>
  <c r="AV47" i="5306"/>
  <c r="AV48" i="5306"/>
  <c r="AV49" i="5306"/>
  <c r="AV50" i="5306"/>
  <c r="AV51" i="5306"/>
  <c r="AV52" i="5306"/>
  <c r="AV53" i="5306"/>
  <c r="AV54" i="5306"/>
  <c r="AV2" i="5305"/>
  <c r="AV3" i="5305"/>
  <c r="AV4" i="5305"/>
  <c r="AV5" i="5305"/>
  <c r="AV6" i="5305"/>
  <c r="AV7" i="5305"/>
  <c r="AV8" i="5305"/>
  <c r="AV9" i="5305"/>
  <c r="AV10" i="5305"/>
  <c r="AV11" i="5305"/>
  <c r="AV12" i="5305"/>
  <c r="AV13" i="5305"/>
  <c r="AV14" i="5305"/>
  <c r="AV15" i="5305"/>
  <c r="AV16" i="5305"/>
  <c r="AV17" i="5305"/>
  <c r="AV18" i="5305"/>
  <c r="AV19" i="5305"/>
  <c r="AV20" i="5305"/>
  <c r="AV21" i="5305"/>
  <c r="AV22" i="5305"/>
  <c r="AV23" i="5305"/>
  <c r="AV24" i="5305"/>
  <c r="AV25" i="5305"/>
  <c r="AV26" i="5305"/>
  <c r="AV27" i="5305"/>
  <c r="AV28" i="5305"/>
  <c r="AV29" i="5305"/>
  <c r="AV30" i="5305"/>
  <c r="AV31" i="5305"/>
  <c r="AV32" i="5305"/>
  <c r="AV33" i="5305"/>
  <c r="AV34" i="5305"/>
  <c r="AV35" i="5305"/>
  <c r="AV36" i="5305"/>
  <c r="AV37" i="5305"/>
  <c r="AV38" i="5305"/>
  <c r="AV39" i="5305"/>
  <c r="AV40" i="5305"/>
  <c r="AV41" i="5305"/>
  <c r="AV42" i="5305"/>
  <c r="AV43" i="5305"/>
  <c r="AV44" i="5305"/>
  <c r="AV45" i="5305"/>
  <c r="AV46" i="5305"/>
  <c r="AV47" i="5305"/>
  <c r="AV48" i="5305"/>
  <c r="AV49" i="5305"/>
  <c r="AV50" i="5305"/>
  <c r="AV51" i="5305"/>
  <c r="AV52" i="5305"/>
  <c r="AV53" i="5305"/>
  <c r="AV54" i="5305"/>
  <c r="AV2" i="5304"/>
  <c r="AV3" i="5304"/>
  <c r="AV4" i="5304"/>
  <c r="AV5" i="5304"/>
  <c r="AV6" i="5304"/>
  <c r="AV7" i="5304"/>
  <c r="AV8" i="5304"/>
  <c r="AV9" i="5304"/>
  <c r="AV10" i="5304"/>
  <c r="AV11" i="5304"/>
  <c r="AV12" i="5304"/>
  <c r="AV13" i="5304"/>
  <c r="AV14" i="5304"/>
  <c r="AV15" i="5304"/>
  <c r="AV16" i="5304"/>
  <c r="AV17" i="5304"/>
  <c r="AV18" i="5304"/>
  <c r="AV19" i="5304"/>
  <c r="AV20" i="5304"/>
  <c r="AV21" i="5304"/>
  <c r="AV22" i="5304"/>
  <c r="AV23" i="5304"/>
  <c r="AV24" i="5304"/>
  <c r="AV25" i="5304"/>
  <c r="AV26" i="5304"/>
  <c r="AV27" i="5304"/>
  <c r="AV28" i="5304"/>
  <c r="AV29" i="5304"/>
  <c r="AV30" i="5304"/>
  <c r="AV31" i="5304"/>
  <c r="AV32" i="5304"/>
  <c r="AV33" i="5304"/>
  <c r="AV34" i="5304"/>
  <c r="AV35" i="5304"/>
  <c r="AV36" i="5304"/>
  <c r="AV37" i="5304"/>
  <c r="AV38" i="5304"/>
  <c r="AV39" i="5304"/>
  <c r="AV40" i="5304"/>
  <c r="AV41" i="5304"/>
  <c r="AV42" i="5304"/>
  <c r="AV43" i="5304"/>
  <c r="AV44" i="5304"/>
  <c r="AV45" i="5304"/>
  <c r="AV46" i="5304"/>
  <c r="AV47" i="5304"/>
  <c r="AV48" i="5304"/>
  <c r="AV49" i="5304"/>
  <c r="AV50" i="5304"/>
  <c r="AV51" i="5304"/>
  <c r="AV52" i="5304"/>
  <c r="AV53" i="5304"/>
  <c r="AV54" i="5304"/>
  <c r="AV2" i="5303"/>
  <c r="AV3" i="5303"/>
  <c r="AV4" i="5303"/>
  <c r="AV5" i="5303"/>
  <c r="AV6" i="5303"/>
  <c r="AV7" i="5303"/>
  <c r="AV8" i="5303"/>
  <c r="AV9" i="5303"/>
  <c r="AV10" i="5303"/>
  <c r="AV11" i="5303"/>
  <c r="AV12" i="5303"/>
  <c r="AV13" i="5303"/>
  <c r="AV14" i="5303"/>
  <c r="AV15" i="5303"/>
  <c r="AV16" i="5303"/>
  <c r="AV17" i="5303"/>
  <c r="AV18" i="5303"/>
  <c r="AV19" i="5303"/>
  <c r="AV20" i="5303"/>
  <c r="AV21" i="5303"/>
  <c r="AV22" i="5303"/>
  <c r="AV23" i="5303"/>
  <c r="AV24" i="5303"/>
  <c r="AV25" i="5303"/>
  <c r="AV26" i="5303"/>
  <c r="AV27" i="5303"/>
  <c r="AV28" i="5303"/>
  <c r="AV29" i="5303"/>
  <c r="AV30" i="5303"/>
  <c r="AV31" i="5303"/>
  <c r="AV32" i="5303"/>
  <c r="AV33" i="5303"/>
  <c r="AV34" i="5303"/>
  <c r="AV35" i="5303"/>
  <c r="AV36" i="5303"/>
  <c r="AV37" i="5303"/>
  <c r="AV38" i="5303"/>
  <c r="AV39" i="5303"/>
  <c r="AV40" i="5303"/>
  <c r="AV41" i="5303"/>
  <c r="AV42" i="5303"/>
  <c r="AV43" i="5303"/>
  <c r="AV44" i="5303"/>
  <c r="AV45" i="5303"/>
  <c r="AV46" i="5303"/>
  <c r="AV47" i="5303"/>
  <c r="AV48" i="5303"/>
  <c r="AV49" i="5303"/>
  <c r="AV50" i="5303"/>
  <c r="AV51" i="5303"/>
  <c r="AV52" i="5303"/>
  <c r="AV53" i="5303"/>
  <c r="AV54" i="5303"/>
  <c r="AV2" i="5302"/>
  <c r="AV3" i="5302"/>
  <c r="AV4" i="5302"/>
  <c r="AV5" i="5302"/>
  <c r="AV6" i="5302"/>
  <c r="AV7" i="5302"/>
  <c r="AV8" i="5302"/>
  <c r="AV9" i="5302"/>
  <c r="AV10" i="5302"/>
  <c r="AV11" i="5302"/>
  <c r="AV12" i="5302"/>
  <c r="AV13" i="5302"/>
  <c r="AV14" i="5302"/>
  <c r="AV15" i="5302"/>
  <c r="AV16" i="5302"/>
  <c r="AV17" i="5302"/>
  <c r="AV18" i="5302"/>
  <c r="AV19" i="5302"/>
  <c r="AV20" i="5302"/>
  <c r="AV21" i="5302"/>
  <c r="AV22" i="5302"/>
  <c r="AV23" i="5302"/>
  <c r="AV24" i="5302"/>
  <c r="AV25" i="5302"/>
  <c r="AV26" i="5302"/>
  <c r="AV27" i="5302"/>
  <c r="AV28" i="5302"/>
  <c r="AV29" i="5302"/>
  <c r="AV30" i="5302"/>
  <c r="AV31" i="5302"/>
  <c r="AV32" i="5302"/>
  <c r="AV33" i="5302"/>
  <c r="AV34" i="5302"/>
  <c r="AV35" i="5302"/>
  <c r="AV36" i="5302"/>
  <c r="AV37" i="5302"/>
  <c r="AV38" i="5302"/>
  <c r="AV39" i="5302"/>
  <c r="AV40" i="5302"/>
  <c r="AV41" i="5302"/>
  <c r="AV42" i="5302"/>
  <c r="AV43" i="5302"/>
  <c r="AV44" i="5302"/>
  <c r="AV45" i="5302"/>
  <c r="AV46" i="5302"/>
  <c r="AV47" i="5302"/>
  <c r="AV48" i="5302"/>
  <c r="AV49" i="5302"/>
  <c r="AV50" i="5302"/>
  <c r="AV51" i="5302"/>
  <c r="AV52" i="5302"/>
  <c r="AV53" i="5302"/>
  <c r="AV54" i="5302"/>
  <c r="AU2" i="5307"/>
  <c r="AU3" i="5307"/>
  <c r="AU4" i="5307"/>
  <c r="AU5" i="5307"/>
  <c r="AU6" i="5307"/>
  <c r="AU7" i="5307"/>
  <c r="AU8" i="5307"/>
  <c r="AU9" i="5307"/>
  <c r="AU10" i="5307"/>
  <c r="AU11" i="5307"/>
  <c r="AU12" i="5307"/>
  <c r="AU13" i="5307"/>
  <c r="AU14" i="5307"/>
  <c r="AU15" i="5307"/>
  <c r="AU16" i="5307"/>
  <c r="AU17" i="5307"/>
  <c r="AU18" i="5307"/>
  <c r="AU19" i="5307"/>
  <c r="AU20" i="5307"/>
  <c r="AU21" i="5307"/>
  <c r="AU22" i="5307"/>
  <c r="AU23" i="5307"/>
  <c r="AU24" i="5307"/>
  <c r="AU25" i="5307"/>
  <c r="AU26" i="5307"/>
  <c r="AU27" i="5307"/>
  <c r="AU28" i="5307"/>
  <c r="AU29" i="5307"/>
  <c r="AU30" i="5307"/>
  <c r="AU31" i="5307"/>
  <c r="AU32" i="5307"/>
  <c r="AU33" i="5307"/>
  <c r="AU34" i="5307"/>
  <c r="AU35" i="5307"/>
  <c r="AU36" i="5307"/>
  <c r="AU37" i="5307"/>
  <c r="AU38" i="5307"/>
  <c r="AU39" i="5307"/>
  <c r="AU40" i="5307"/>
  <c r="AU41" i="5307"/>
  <c r="AU42" i="5307"/>
  <c r="AU43" i="5307"/>
  <c r="AU44" i="5307"/>
  <c r="AU45" i="5307"/>
  <c r="AU46" i="5307"/>
  <c r="AU47" i="5307"/>
  <c r="AU48" i="5307"/>
  <c r="AU49" i="5307"/>
  <c r="AU50" i="5307"/>
  <c r="AU51" i="5307"/>
  <c r="AU52" i="5307"/>
  <c r="AU53" i="5307"/>
  <c r="AU54" i="5307"/>
  <c r="AU2" i="5306"/>
  <c r="AU3" i="5306"/>
  <c r="AU4" i="5306"/>
  <c r="AU5" i="5306"/>
  <c r="AU6" i="5306"/>
  <c r="AU7" i="5306"/>
  <c r="AU8" i="5306"/>
  <c r="AU9" i="5306"/>
  <c r="AU10" i="5306"/>
  <c r="AU11" i="5306"/>
  <c r="AU12" i="5306"/>
  <c r="AU13" i="5306"/>
  <c r="AU14" i="5306"/>
  <c r="AU15" i="5306"/>
  <c r="AU16" i="5306"/>
  <c r="AU17" i="5306"/>
  <c r="AU18" i="5306"/>
  <c r="AU19" i="5306"/>
  <c r="AU20" i="5306"/>
  <c r="AU21" i="5306"/>
  <c r="AU22" i="5306"/>
  <c r="AU23" i="5306"/>
  <c r="AU24" i="5306"/>
  <c r="AU25" i="5306"/>
  <c r="AU26" i="5306"/>
  <c r="AU27" i="5306"/>
  <c r="AU28" i="5306"/>
  <c r="AU29" i="5306"/>
  <c r="AU30" i="5306"/>
  <c r="AU31" i="5306"/>
  <c r="AU32" i="5306"/>
  <c r="AU33" i="5306"/>
  <c r="AU34" i="5306"/>
  <c r="AU35" i="5306"/>
  <c r="AU36" i="5306"/>
  <c r="AU37" i="5306"/>
  <c r="AU38" i="5306"/>
  <c r="AU39" i="5306"/>
  <c r="AU40" i="5306"/>
  <c r="AU41" i="5306"/>
  <c r="AU42" i="5306"/>
  <c r="AU43" i="5306"/>
  <c r="AU44" i="5306"/>
  <c r="AU45" i="5306"/>
  <c r="AU46" i="5306"/>
  <c r="AU47" i="5306"/>
  <c r="AU48" i="5306"/>
  <c r="AU49" i="5306"/>
  <c r="AU50" i="5306"/>
  <c r="AU51" i="5306"/>
  <c r="AU52" i="5306"/>
  <c r="AU53" i="5306"/>
  <c r="AU54" i="5306"/>
  <c r="AU2" i="5305"/>
  <c r="AU3" i="5305"/>
  <c r="AU4" i="5305"/>
  <c r="AU5" i="5305"/>
  <c r="AU6" i="5305"/>
  <c r="AU7" i="5305"/>
  <c r="AU8" i="5305"/>
  <c r="AU9" i="5305"/>
  <c r="AU10" i="5305"/>
  <c r="AU11" i="5305"/>
  <c r="AU12" i="5305"/>
  <c r="AU13" i="5305"/>
  <c r="AU14" i="5305"/>
  <c r="AU15" i="5305"/>
  <c r="AU16" i="5305"/>
  <c r="AU17" i="5305"/>
  <c r="AU18" i="5305"/>
  <c r="AU19" i="5305"/>
  <c r="AU20" i="5305"/>
  <c r="AU21" i="5305"/>
  <c r="AU22" i="5305"/>
  <c r="AU23" i="5305"/>
  <c r="AU24" i="5305"/>
  <c r="AU25" i="5305"/>
  <c r="AU26" i="5305"/>
  <c r="AU27" i="5305"/>
  <c r="AU28" i="5305"/>
  <c r="AU29" i="5305"/>
  <c r="AU30" i="5305"/>
  <c r="AU31" i="5305"/>
  <c r="AU32" i="5305"/>
  <c r="AU33" i="5305"/>
  <c r="AU34" i="5305"/>
  <c r="AU35" i="5305"/>
  <c r="AU36" i="5305"/>
  <c r="AU37" i="5305"/>
  <c r="AU38" i="5305"/>
  <c r="AU39" i="5305"/>
  <c r="AU40" i="5305"/>
  <c r="AU41" i="5305"/>
  <c r="AU42" i="5305"/>
  <c r="AU43" i="5305"/>
  <c r="AU44" i="5305"/>
  <c r="AU45" i="5305"/>
  <c r="AU46" i="5305"/>
  <c r="AU47" i="5305"/>
  <c r="AU48" i="5305"/>
  <c r="AU49" i="5305"/>
  <c r="AU50" i="5305"/>
  <c r="AU51" i="5305"/>
  <c r="AU52" i="5305"/>
  <c r="AU53" i="5305"/>
  <c r="AU54" i="5305"/>
  <c r="AU2" i="5304"/>
  <c r="AU3" i="5304"/>
  <c r="AU4" i="5304"/>
  <c r="AU5" i="5304"/>
  <c r="AU6" i="5304"/>
  <c r="AU7" i="5304"/>
  <c r="AU8" i="5304"/>
  <c r="AU9" i="5304"/>
  <c r="AU10" i="5304"/>
  <c r="AU11" i="5304"/>
  <c r="AU12" i="5304"/>
  <c r="AU13" i="5304"/>
  <c r="AU14" i="5304"/>
  <c r="AU15" i="5304"/>
  <c r="AU16" i="5304"/>
  <c r="AU17" i="5304"/>
  <c r="AU18" i="5304"/>
  <c r="AU19" i="5304"/>
  <c r="AU20" i="5304"/>
  <c r="AU21" i="5304"/>
  <c r="AU22" i="5304"/>
  <c r="AU23" i="5304"/>
  <c r="AU24" i="5304"/>
  <c r="AU25" i="5304"/>
  <c r="AU26" i="5304"/>
  <c r="AU27" i="5304"/>
  <c r="AU28" i="5304"/>
  <c r="AU29" i="5304"/>
  <c r="AU30" i="5304"/>
  <c r="AU31" i="5304"/>
  <c r="AU32" i="5304"/>
  <c r="AU33" i="5304"/>
  <c r="AU34" i="5304"/>
  <c r="AU35" i="5304"/>
  <c r="AU36" i="5304"/>
  <c r="AU37" i="5304"/>
  <c r="AU38" i="5304"/>
  <c r="AU39" i="5304"/>
  <c r="AU40" i="5304"/>
  <c r="AU41" i="5304"/>
  <c r="AU42" i="5304"/>
  <c r="AU43" i="5304"/>
  <c r="AU44" i="5304"/>
  <c r="AU45" i="5304"/>
  <c r="AU46" i="5304"/>
  <c r="AU47" i="5304"/>
  <c r="AU48" i="5304"/>
  <c r="AU49" i="5304"/>
  <c r="AU50" i="5304"/>
  <c r="AU51" i="5304"/>
  <c r="AU52" i="5304"/>
  <c r="AU53" i="5304"/>
  <c r="AU54" i="5304"/>
  <c r="AU2" i="5303"/>
  <c r="AU3" i="5303"/>
  <c r="AU4" i="5303"/>
  <c r="AU5" i="5303"/>
  <c r="AU6" i="5303"/>
  <c r="AU7" i="5303"/>
  <c r="AU8" i="5303"/>
  <c r="AU9" i="5303"/>
  <c r="AU10" i="5303"/>
  <c r="AU11" i="5303"/>
  <c r="AU12" i="5303"/>
  <c r="AU13" i="5303"/>
  <c r="AU14" i="5303"/>
  <c r="AU15" i="5303"/>
  <c r="AU16" i="5303"/>
  <c r="AU17" i="5303"/>
  <c r="AU18" i="5303"/>
  <c r="AU19" i="5303"/>
  <c r="AU20" i="5303"/>
  <c r="AU21" i="5303"/>
  <c r="AU22" i="5303"/>
  <c r="AU23" i="5303"/>
  <c r="AU24" i="5303"/>
  <c r="AU25" i="5303"/>
  <c r="AU26" i="5303"/>
  <c r="AU27" i="5303"/>
  <c r="AU28" i="5303"/>
  <c r="AU29" i="5303"/>
  <c r="AU30" i="5303"/>
  <c r="AU31" i="5303"/>
  <c r="AU32" i="5303"/>
  <c r="AU33" i="5303"/>
  <c r="AU34" i="5303"/>
  <c r="AU35" i="5303"/>
  <c r="AU36" i="5303"/>
  <c r="AU37" i="5303"/>
  <c r="AU38" i="5303"/>
  <c r="AU39" i="5303"/>
  <c r="AU40" i="5303"/>
  <c r="AU41" i="5303"/>
  <c r="AU42" i="5303"/>
  <c r="AU43" i="5303"/>
  <c r="AU44" i="5303"/>
  <c r="AU45" i="5303"/>
  <c r="AU46" i="5303"/>
  <c r="AU47" i="5303"/>
  <c r="AU48" i="5303"/>
  <c r="AU49" i="5303"/>
  <c r="AU50" i="5303"/>
  <c r="AU51" i="5303"/>
  <c r="AU52" i="5303"/>
  <c r="AU53" i="5303"/>
  <c r="AU54" i="5303"/>
  <c r="AU2" i="5302"/>
  <c r="AU3" i="5302"/>
  <c r="AU4" i="5302"/>
  <c r="AU5" i="5302"/>
  <c r="AU6" i="5302"/>
  <c r="AU7" i="5302"/>
  <c r="AU8" i="5302"/>
  <c r="AU9" i="5302"/>
  <c r="AU10" i="5302"/>
  <c r="AU11" i="5302"/>
  <c r="AU12" i="5302"/>
  <c r="AU13" i="5302"/>
  <c r="AU14" i="5302"/>
  <c r="AU15" i="5302"/>
  <c r="AU16" i="5302"/>
  <c r="AU17" i="5302"/>
  <c r="AU18" i="5302"/>
  <c r="AU19" i="5302"/>
  <c r="AU20" i="5302"/>
  <c r="AU21" i="5302"/>
  <c r="AU22" i="5302"/>
  <c r="AU23" i="5302"/>
  <c r="AU24" i="5302"/>
  <c r="AU25" i="5302"/>
  <c r="AU26" i="5302"/>
  <c r="AU27" i="5302"/>
  <c r="AU28" i="5302"/>
  <c r="AU29" i="5302"/>
  <c r="AU30" i="5302"/>
  <c r="AU31" i="5302"/>
  <c r="AU32" i="5302"/>
  <c r="AU33" i="5302"/>
  <c r="AU34" i="5302"/>
  <c r="AU35" i="5302"/>
  <c r="AU36" i="5302"/>
  <c r="AU37" i="5302"/>
  <c r="AU38" i="5302"/>
  <c r="AU39" i="5302"/>
  <c r="AU40" i="5302"/>
  <c r="AU41" i="5302"/>
  <c r="AU42" i="5302"/>
  <c r="AU43" i="5302"/>
  <c r="AU44" i="5302"/>
  <c r="AU45" i="5302"/>
  <c r="AU46" i="5302"/>
  <c r="AU47" i="5302"/>
  <c r="AU48" i="5302"/>
  <c r="AU49" i="5302"/>
  <c r="AU50" i="5302"/>
  <c r="AU51" i="5302"/>
  <c r="AU52" i="5302"/>
  <c r="AU53" i="5302"/>
  <c r="AU54" i="5302"/>
  <c r="AT2" i="5307"/>
  <c r="AT3" i="5307"/>
  <c r="AT4" i="5307"/>
  <c r="AT5" i="5307"/>
  <c r="AT6" i="5307"/>
  <c r="AT7" i="5307"/>
  <c r="AT8" i="5307"/>
  <c r="AT9" i="5307"/>
  <c r="AT10" i="5307"/>
  <c r="AT11" i="5307"/>
  <c r="AT12" i="5307"/>
  <c r="AT13" i="5307"/>
  <c r="AT14" i="5307"/>
  <c r="AT15" i="5307"/>
  <c r="AT16" i="5307"/>
  <c r="AT17" i="5307"/>
  <c r="AT18" i="5307"/>
  <c r="AT19" i="5307"/>
  <c r="AT20" i="5307"/>
  <c r="AT21" i="5307"/>
  <c r="AT22" i="5307"/>
  <c r="AT23" i="5307"/>
  <c r="AT24" i="5307"/>
  <c r="AT25" i="5307"/>
  <c r="AT26" i="5307"/>
  <c r="AT27" i="5307"/>
  <c r="AT28" i="5307"/>
  <c r="AT29" i="5307"/>
  <c r="AT30" i="5307"/>
  <c r="AT31" i="5307"/>
  <c r="AT32" i="5307"/>
  <c r="AT33" i="5307"/>
  <c r="AT34" i="5307"/>
  <c r="AT35" i="5307"/>
  <c r="AT36" i="5307"/>
  <c r="AT37" i="5307"/>
  <c r="AT38" i="5307"/>
  <c r="AT39" i="5307"/>
  <c r="AT40" i="5307"/>
  <c r="AT41" i="5307"/>
  <c r="AT42" i="5307"/>
  <c r="AT43" i="5307"/>
  <c r="AT44" i="5307"/>
  <c r="AT45" i="5307"/>
  <c r="AT46" i="5307"/>
  <c r="AT47" i="5307"/>
  <c r="AT48" i="5307"/>
  <c r="AT49" i="5307"/>
  <c r="AT50" i="5307"/>
  <c r="AT51" i="5307"/>
  <c r="AT52" i="5307"/>
  <c r="AT53" i="5307"/>
  <c r="AT54" i="5307"/>
  <c r="AT2" i="5306"/>
  <c r="AT3" i="5306"/>
  <c r="AT4" i="5306"/>
  <c r="AT5" i="5306"/>
  <c r="AT6" i="5306"/>
  <c r="AT7" i="5306"/>
  <c r="AT8" i="5306"/>
  <c r="AT9" i="5306"/>
  <c r="AT10" i="5306"/>
  <c r="AT11" i="5306"/>
  <c r="AT12" i="5306"/>
  <c r="AT13" i="5306"/>
  <c r="AT14" i="5306"/>
  <c r="AT15" i="5306"/>
  <c r="AT16" i="5306"/>
  <c r="AT17" i="5306"/>
  <c r="AT18" i="5306"/>
  <c r="AT19" i="5306"/>
  <c r="AT20" i="5306"/>
  <c r="AT21" i="5306"/>
  <c r="AT22" i="5306"/>
  <c r="AT23" i="5306"/>
  <c r="AT24" i="5306"/>
  <c r="AT25" i="5306"/>
  <c r="AT26" i="5306"/>
  <c r="AT27" i="5306"/>
  <c r="AT28" i="5306"/>
  <c r="AT29" i="5306"/>
  <c r="AT30" i="5306"/>
  <c r="AT31" i="5306"/>
  <c r="AT32" i="5306"/>
  <c r="AT33" i="5306"/>
  <c r="AT34" i="5306"/>
  <c r="AT35" i="5306"/>
  <c r="AT36" i="5306"/>
  <c r="AT37" i="5306"/>
  <c r="AT38" i="5306"/>
  <c r="AT39" i="5306"/>
  <c r="AT40" i="5306"/>
  <c r="AT41" i="5306"/>
  <c r="AT42" i="5306"/>
  <c r="AT43" i="5306"/>
  <c r="AT44" i="5306"/>
  <c r="AT45" i="5306"/>
  <c r="AT46" i="5306"/>
  <c r="AT47" i="5306"/>
  <c r="AT48" i="5306"/>
  <c r="AT49" i="5306"/>
  <c r="AT50" i="5306"/>
  <c r="AT51" i="5306"/>
  <c r="AT52" i="5306"/>
  <c r="AT53" i="5306"/>
  <c r="AT54" i="5306"/>
  <c r="AT2" i="5305"/>
  <c r="AT3" i="5305"/>
  <c r="AT4" i="5305"/>
  <c r="AT5" i="5305"/>
  <c r="AT6" i="5305"/>
  <c r="AT7" i="5305"/>
  <c r="AT8" i="5305"/>
  <c r="AT9" i="5305"/>
  <c r="AT10" i="5305"/>
  <c r="AT11" i="5305"/>
  <c r="AT12" i="5305"/>
  <c r="AT13" i="5305"/>
  <c r="AT14" i="5305"/>
  <c r="AT15" i="5305"/>
  <c r="AT16" i="5305"/>
  <c r="AT17" i="5305"/>
  <c r="AT18" i="5305"/>
  <c r="AT19" i="5305"/>
  <c r="AT20" i="5305"/>
  <c r="AT21" i="5305"/>
  <c r="AT22" i="5305"/>
  <c r="AT23" i="5305"/>
  <c r="AT24" i="5305"/>
  <c r="AT25" i="5305"/>
  <c r="AT26" i="5305"/>
  <c r="AT27" i="5305"/>
  <c r="AT28" i="5305"/>
  <c r="AT29" i="5305"/>
  <c r="AT30" i="5305"/>
  <c r="AT31" i="5305"/>
  <c r="AT32" i="5305"/>
  <c r="AT33" i="5305"/>
  <c r="AT34" i="5305"/>
  <c r="AT35" i="5305"/>
  <c r="AT36" i="5305"/>
  <c r="AT37" i="5305"/>
  <c r="AT38" i="5305"/>
  <c r="AT39" i="5305"/>
  <c r="AT40" i="5305"/>
  <c r="AT41" i="5305"/>
  <c r="AT42" i="5305"/>
  <c r="AT43" i="5305"/>
  <c r="AT44" i="5305"/>
  <c r="AT45" i="5305"/>
  <c r="AT46" i="5305"/>
  <c r="AT47" i="5305"/>
  <c r="AT48" i="5305"/>
  <c r="AT49" i="5305"/>
  <c r="AT50" i="5305"/>
  <c r="AT51" i="5305"/>
  <c r="AT52" i="5305"/>
  <c r="AT53" i="5305"/>
  <c r="AT54" i="5305"/>
  <c r="AT2" i="5304"/>
  <c r="AT3" i="5304"/>
  <c r="AT4" i="5304"/>
  <c r="AT5" i="5304"/>
  <c r="AT6" i="5304"/>
  <c r="AT7" i="5304"/>
  <c r="AT8" i="5304"/>
  <c r="AT9" i="5304"/>
  <c r="AT10" i="5304"/>
  <c r="AT11" i="5304"/>
  <c r="AT12" i="5304"/>
  <c r="AT13" i="5304"/>
  <c r="AT14" i="5304"/>
  <c r="AT15" i="5304"/>
  <c r="AT16" i="5304"/>
  <c r="AT17" i="5304"/>
  <c r="AT18" i="5304"/>
  <c r="AT19" i="5304"/>
  <c r="AT20" i="5304"/>
  <c r="AT21" i="5304"/>
  <c r="AT22" i="5304"/>
  <c r="AT23" i="5304"/>
  <c r="AT24" i="5304"/>
  <c r="AT25" i="5304"/>
  <c r="AT26" i="5304"/>
  <c r="AT27" i="5304"/>
  <c r="AT28" i="5304"/>
  <c r="AT29" i="5304"/>
  <c r="AT30" i="5304"/>
  <c r="AT31" i="5304"/>
  <c r="AT32" i="5304"/>
  <c r="AT33" i="5304"/>
  <c r="AT34" i="5304"/>
  <c r="AT35" i="5304"/>
  <c r="AT36" i="5304"/>
  <c r="AT37" i="5304"/>
  <c r="AT38" i="5304"/>
  <c r="AT39" i="5304"/>
  <c r="AT40" i="5304"/>
  <c r="AT41" i="5304"/>
  <c r="AT42" i="5304"/>
  <c r="AT43" i="5304"/>
  <c r="AT44" i="5304"/>
  <c r="AT45" i="5304"/>
  <c r="AT46" i="5304"/>
  <c r="AT47" i="5304"/>
  <c r="AT48" i="5304"/>
  <c r="AT49" i="5304"/>
  <c r="AT50" i="5304"/>
  <c r="AT51" i="5304"/>
  <c r="AT52" i="5304"/>
  <c r="AT53" i="5304"/>
  <c r="AT54" i="5304"/>
  <c r="AT2" i="5303"/>
  <c r="AT3" i="5303"/>
  <c r="AT4" i="5303"/>
  <c r="AT5" i="5303"/>
  <c r="AT6" i="5303"/>
  <c r="AT7" i="5303"/>
  <c r="AT8" i="5303"/>
  <c r="AT9" i="5303"/>
  <c r="AT10" i="5303"/>
  <c r="AT11" i="5303"/>
  <c r="AT12" i="5303"/>
  <c r="AT13" i="5303"/>
  <c r="AT14" i="5303"/>
  <c r="AT15" i="5303"/>
  <c r="AT16" i="5303"/>
  <c r="AT17" i="5303"/>
  <c r="AT18" i="5303"/>
  <c r="AT19" i="5303"/>
  <c r="AT20" i="5303"/>
  <c r="AT21" i="5303"/>
  <c r="AT22" i="5303"/>
  <c r="AT23" i="5303"/>
  <c r="AT24" i="5303"/>
  <c r="AT25" i="5303"/>
  <c r="AT26" i="5303"/>
  <c r="AT27" i="5303"/>
  <c r="AT28" i="5303"/>
  <c r="AT29" i="5303"/>
  <c r="AT30" i="5303"/>
  <c r="AT31" i="5303"/>
  <c r="AT32" i="5303"/>
  <c r="AT33" i="5303"/>
  <c r="AT34" i="5303"/>
  <c r="AT35" i="5303"/>
  <c r="AT36" i="5303"/>
  <c r="AT37" i="5303"/>
  <c r="AT38" i="5303"/>
  <c r="AT39" i="5303"/>
  <c r="AT40" i="5303"/>
  <c r="AT41" i="5303"/>
  <c r="AT42" i="5303"/>
  <c r="AT43" i="5303"/>
  <c r="AT44" i="5303"/>
  <c r="AT45" i="5303"/>
  <c r="AT46" i="5303"/>
  <c r="AT47" i="5303"/>
  <c r="AT48" i="5303"/>
  <c r="AT49" i="5303"/>
  <c r="AT50" i="5303"/>
  <c r="AT51" i="5303"/>
  <c r="AT52" i="5303"/>
  <c r="AT53" i="5303"/>
  <c r="AT54" i="5303"/>
  <c r="AT2" i="5302"/>
  <c r="AT3" i="5302"/>
  <c r="AT4" i="5302"/>
  <c r="AT5" i="5302"/>
  <c r="AT6" i="5302"/>
  <c r="AT7" i="5302"/>
  <c r="AT8" i="5302"/>
  <c r="AT9" i="5302"/>
  <c r="AT10" i="5302"/>
  <c r="AT11" i="5302"/>
  <c r="AT12" i="5302"/>
  <c r="AT13" i="5302"/>
  <c r="AT14" i="5302"/>
  <c r="AT15" i="5302"/>
  <c r="AT16" i="5302"/>
  <c r="AT17" i="5302"/>
  <c r="AT18" i="5302"/>
  <c r="AT19" i="5302"/>
  <c r="AT20" i="5302"/>
  <c r="AT21" i="5302"/>
  <c r="AT22" i="5302"/>
  <c r="AT23" i="5302"/>
  <c r="AT24" i="5302"/>
  <c r="AT25" i="5302"/>
  <c r="AT26" i="5302"/>
  <c r="AT27" i="5302"/>
  <c r="AT28" i="5302"/>
  <c r="AT29" i="5302"/>
  <c r="AT30" i="5302"/>
  <c r="AT31" i="5302"/>
  <c r="AT32" i="5302"/>
  <c r="AT33" i="5302"/>
  <c r="AT34" i="5302"/>
  <c r="AT35" i="5302"/>
  <c r="AT36" i="5302"/>
  <c r="AT37" i="5302"/>
  <c r="AT38" i="5302"/>
  <c r="AT39" i="5302"/>
  <c r="AT40" i="5302"/>
  <c r="AT41" i="5302"/>
  <c r="AT42" i="5302"/>
  <c r="AT43" i="5302"/>
  <c r="AT44" i="5302"/>
  <c r="AT45" i="5302"/>
  <c r="AT46" i="5302"/>
  <c r="AT47" i="5302"/>
  <c r="AT48" i="5302"/>
  <c r="AT49" i="5302"/>
  <c r="AT50" i="5302"/>
  <c r="AT51" i="5302"/>
  <c r="AT52" i="5302"/>
  <c r="AT53" i="5302"/>
  <c r="AT54" i="5302"/>
  <c r="AS2" i="5307"/>
  <c r="AS3" i="5307"/>
  <c r="AS4" i="5307"/>
  <c r="AS5" i="5307"/>
  <c r="AS6" i="5307"/>
  <c r="AS7" i="5307"/>
  <c r="AS8" i="5307"/>
  <c r="AS9" i="5307"/>
  <c r="AS10" i="5307"/>
  <c r="AS11" i="5307"/>
  <c r="AS12" i="5307"/>
  <c r="AS13" i="5307"/>
  <c r="AS14" i="5307"/>
  <c r="AS15" i="5307"/>
  <c r="AS16" i="5307"/>
  <c r="AS17" i="5307"/>
  <c r="AS18" i="5307"/>
  <c r="AS19" i="5307"/>
  <c r="AS20" i="5307"/>
  <c r="AS21" i="5307"/>
  <c r="AS22" i="5307"/>
  <c r="AS23" i="5307"/>
  <c r="AS24" i="5307"/>
  <c r="AS25" i="5307"/>
  <c r="AS26" i="5307"/>
  <c r="AS27" i="5307"/>
  <c r="AS28" i="5307"/>
  <c r="AS29" i="5307"/>
  <c r="AS30" i="5307"/>
  <c r="AS31" i="5307"/>
  <c r="AS32" i="5307"/>
  <c r="AS33" i="5307"/>
  <c r="AS34" i="5307"/>
  <c r="AS35" i="5307"/>
  <c r="AS36" i="5307"/>
  <c r="AS37" i="5307"/>
  <c r="AS38" i="5307"/>
  <c r="AS39" i="5307"/>
  <c r="AS40" i="5307"/>
  <c r="AS41" i="5307"/>
  <c r="AS42" i="5307"/>
  <c r="AS43" i="5307"/>
  <c r="AS44" i="5307"/>
  <c r="AS45" i="5307"/>
  <c r="AS46" i="5307"/>
  <c r="AS47" i="5307"/>
  <c r="AS48" i="5307"/>
  <c r="AS49" i="5307"/>
  <c r="AS50" i="5307"/>
  <c r="AS51" i="5307"/>
  <c r="AS52" i="5307"/>
  <c r="AS53" i="5307"/>
  <c r="AS54" i="5307"/>
  <c r="AS2" i="5306"/>
  <c r="AS3" i="5306"/>
  <c r="AS4" i="5306"/>
  <c r="AS5" i="5306"/>
  <c r="AS6" i="5306"/>
  <c r="AS7" i="5306"/>
  <c r="AS8" i="5306"/>
  <c r="AS9" i="5306"/>
  <c r="AS10" i="5306"/>
  <c r="AS11" i="5306"/>
  <c r="AS12" i="5306"/>
  <c r="AS13" i="5306"/>
  <c r="AS14" i="5306"/>
  <c r="AS15" i="5306"/>
  <c r="AS16" i="5306"/>
  <c r="AS17" i="5306"/>
  <c r="AS18" i="5306"/>
  <c r="AS19" i="5306"/>
  <c r="AS20" i="5306"/>
  <c r="AS21" i="5306"/>
  <c r="AS22" i="5306"/>
  <c r="AS23" i="5306"/>
  <c r="AS24" i="5306"/>
  <c r="AS25" i="5306"/>
  <c r="AS26" i="5306"/>
  <c r="AS27" i="5306"/>
  <c r="AS28" i="5306"/>
  <c r="AS29" i="5306"/>
  <c r="AS30" i="5306"/>
  <c r="AS31" i="5306"/>
  <c r="AS32" i="5306"/>
  <c r="AS33" i="5306"/>
  <c r="AS34" i="5306"/>
  <c r="AS35" i="5306"/>
  <c r="AS36" i="5306"/>
  <c r="AS37" i="5306"/>
  <c r="AS38" i="5306"/>
  <c r="AS39" i="5306"/>
  <c r="AS40" i="5306"/>
  <c r="AS41" i="5306"/>
  <c r="AS42" i="5306"/>
  <c r="AS43" i="5306"/>
  <c r="AS44" i="5306"/>
  <c r="AS45" i="5306"/>
  <c r="AS46" i="5306"/>
  <c r="AS47" i="5306"/>
  <c r="AS48" i="5306"/>
  <c r="AS49" i="5306"/>
  <c r="AS50" i="5306"/>
  <c r="AS51" i="5306"/>
  <c r="AS52" i="5306"/>
  <c r="AS53" i="5306"/>
  <c r="AS54" i="5306"/>
  <c r="AS2" i="5305"/>
  <c r="AS3" i="5305"/>
  <c r="AS4" i="5305"/>
  <c r="AS5" i="5305"/>
  <c r="AS6" i="5305"/>
  <c r="AS7" i="5305"/>
  <c r="AS8" i="5305"/>
  <c r="AS9" i="5305"/>
  <c r="AS10" i="5305"/>
  <c r="AS11" i="5305"/>
  <c r="AS12" i="5305"/>
  <c r="AS13" i="5305"/>
  <c r="AS14" i="5305"/>
  <c r="AS15" i="5305"/>
  <c r="AS16" i="5305"/>
  <c r="AS17" i="5305"/>
  <c r="AS18" i="5305"/>
  <c r="AS19" i="5305"/>
  <c r="AS20" i="5305"/>
  <c r="AS21" i="5305"/>
  <c r="AS22" i="5305"/>
  <c r="AS23" i="5305"/>
  <c r="AS24" i="5305"/>
  <c r="AS25" i="5305"/>
  <c r="AS26" i="5305"/>
  <c r="AS27" i="5305"/>
  <c r="AS28" i="5305"/>
  <c r="AS29" i="5305"/>
  <c r="AS30" i="5305"/>
  <c r="AS31" i="5305"/>
  <c r="AS32" i="5305"/>
  <c r="AS33" i="5305"/>
  <c r="AS34" i="5305"/>
  <c r="AS35" i="5305"/>
  <c r="AS36" i="5305"/>
  <c r="AS37" i="5305"/>
  <c r="AS38" i="5305"/>
  <c r="AS39" i="5305"/>
  <c r="AS40" i="5305"/>
  <c r="AS41" i="5305"/>
  <c r="AS42" i="5305"/>
  <c r="AS43" i="5305"/>
  <c r="AS44" i="5305"/>
  <c r="AS45" i="5305"/>
  <c r="AS46" i="5305"/>
  <c r="AS47" i="5305"/>
  <c r="AS48" i="5305"/>
  <c r="AS49" i="5305"/>
  <c r="AS50" i="5305"/>
  <c r="AS51" i="5305"/>
  <c r="AS52" i="5305"/>
  <c r="AS53" i="5305"/>
  <c r="AS54" i="5305"/>
  <c r="AS2" i="5304"/>
  <c r="AS3" i="5304"/>
  <c r="AS4" i="5304"/>
  <c r="AS5" i="5304"/>
  <c r="AS6" i="5304"/>
  <c r="AS7" i="5304"/>
  <c r="AS8" i="5304"/>
  <c r="AS9" i="5304"/>
  <c r="AS10" i="5304"/>
  <c r="AS11" i="5304"/>
  <c r="AS12" i="5304"/>
  <c r="AS13" i="5304"/>
  <c r="AS14" i="5304"/>
  <c r="AS15" i="5304"/>
  <c r="AS16" i="5304"/>
  <c r="AS17" i="5304"/>
  <c r="AS18" i="5304"/>
  <c r="AS19" i="5304"/>
  <c r="AS20" i="5304"/>
  <c r="AS21" i="5304"/>
  <c r="AS22" i="5304"/>
  <c r="AS23" i="5304"/>
  <c r="AS24" i="5304"/>
  <c r="AS25" i="5304"/>
  <c r="AS26" i="5304"/>
  <c r="AS27" i="5304"/>
  <c r="AS28" i="5304"/>
  <c r="AS29" i="5304"/>
  <c r="AS30" i="5304"/>
  <c r="AS31" i="5304"/>
  <c r="AS32" i="5304"/>
  <c r="AS33" i="5304"/>
  <c r="AS34" i="5304"/>
  <c r="AS35" i="5304"/>
  <c r="AS36" i="5304"/>
  <c r="AS37" i="5304"/>
  <c r="AS38" i="5304"/>
  <c r="AS39" i="5304"/>
  <c r="AS40" i="5304"/>
  <c r="AS41" i="5304"/>
  <c r="AS42" i="5304"/>
  <c r="AS43" i="5304"/>
  <c r="AS44" i="5304"/>
  <c r="AS45" i="5304"/>
  <c r="AS46" i="5304"/>
  <c r="AS47" i="5304"/>
  <c r="AS48" i="5304"/>
  <c r="AS49" i="5304"/>
  <c r="AS50" i="5304"/>
  <c r="AS51" i="5304"/>
  <c r="AS52" i="5304"/>
  <c r="AS53" i="5304"/>
  <c r="AS54" i="5304"/>
  <c r="AS2" i="5303"/>
  <c r="AS3" i="5303"/>
  <c r="AS4" i="5303"/>
  <c r="AS5" i="5303"/>
  <c r="AS6" i="5303"/>
  <c r="AS7" i="5303"/>
  <c r="AS8" i="5303"/>
  <c r="AS9" i="5303"/>
  <c r="AS10" i="5303"/>
  <c r="AS11" i="5303"/>
  <c r="AS12" i="5303"/>
  <c r="AS13" i="5303"/>
  <c r="AS14" i="5303"/>
  <c r="AS15" i="5303"/>
  <c r="AS16" i="5303"/>
  <c r="AS17" i="5303"/>
  <c r="AS18" i="5303"/>
  <c r="AS19" i="5303"/>
  <c r="AS20" i="5303"/>
  <c r="AS21" i="5303"/>
  <c r="AS22" i="5303"/>
  <c r="AS23" i="5303"/>
  <c r="AS24" i="5303"/>
  <c r="AS25" i="5303"/>
  <c r="AS26" i="5303"/>
  <c r="AS27" i="5303"/>
  <c r="AS28" i="5303"/>
  <c r="AS29" i="5303"/>
  <c r="AS30" i="5303"/>
  <c r="AS31" i="5303"/>
  <c r="AS32" i="5303"/>
  <c r="AS33" i="5303"/>
  <c r="AS34" i="5303"/>
  <c r="AS35" i="5303"/>
  <c r="AS36" i="5303"/>
  <c r="AS37" i="5303"/>
  <c r="AS38" i="5303"/>
  <c r="AS39" i="5303"/>
  <c r="AS40" i="5303"/>
  <c r="AS41" i="5303"/>
  <c r="AS42" i="5303"/>
  <c r="AS43" i="5303"/>
  <c r="AS44" i="5303"/>
  <c r="AS45" i="5303"/>
  <c r="AS46" i="5303"/>
  <c r="AS47" i="5303"/>
  <c r="AS48" i="5303"/>
  <c r="AS49" i="5303"/>
  <c r="AS50" i="5303"/>
  <c r="AS51" i="5303"/>
  <c r="AS52" i="5303"/>
  <c r="AS53" i="5303"/>
  <c r="AS54" i="5303"/>
  <c r="AS2" i="5302"/>
  <c r="AS3" i="5302"/>
  <c r="AS4" i="5302"/>
  <c r="AS5" i="5302"/>
  <c r="AS6" i="5302"/>
  <c r="AS7" i="5302"/>
  <c r="AS8" i="5302"/>
  <c r="AS9" i="5302"/>
  <c r="AS10" i="5302"/>
  <c r="AS11" i="5302"/>
  <c r="AS12" i="5302"/>
  <c r="AS13" i="5302"/>
  <c r="AS14" i="5302"/>
  <c r="AS15" i="5302"/>
  <c r="AS16" i="5302"/>
  <c r="AS17" i="5302"/>
  <c r="AS18" i="5302"/>
  <c r="AS19" i="5302"/>
  <c r="AS20" i="5302"/>
  <c r="AS21" i="5302"/>
  <c r="AS22" i="5302"/>
  <c r="AS23" i="5302"/>
  <c r="AS24" i="5302"/>
  <c r="AS25" i="5302"/>
  <c r="AS26" i="5302"/>
  <c r="AS27" i="5302"/>
  <c r="AS28" i="5302"/>
  <c r="AS29" i="5302"/>
  <c r="AS30" i="5302"/>
  <c r="AS31" i="5302"/>
  <c r="AS32" i="5302"/>
  <c r="AS33" i="5302"/>
  <c r="AS34" i="5302"/>
  <c r="AS35" i="5302"/>
  <c r="AS36" i="5302"/>
  <c r="AS37" i="5302"/>
  <c r="AS38" i="5302"/>
  <c r="AS39" i="5302"/>
  <c r="AS40" i="5302"/>
  <c r="AS41" i="5302"/>
  <c r="AS42" i="5302"/>
  <c r="AS43" i="5302"/>
  <c r="AS44" i="5302"/>
  <c r="AS45" i="5302"/>
  <c r="AS46" i="5302"/>
  <c r="AS47" i="5302"/>
  <c r="AS48" i="5302"/>
  <c r="AS49" i="5302"/>
  <c r="AS50" i="5302"/>
  <c r="AS51" i="5302"/>
  <c r="AS52" i="5302"/>
  <c r="AS53" i="5302"/>
  <c r="AS54" i="5302"/>
  <c r="AR2" i="5307"/>
  <c r="AR3" i="5307"/>
  <c r="AR4" i="5307"/>
  <c r="AR5" i="5307"/>
  <c r="AR6" i="5307"/>
  <c r="AR7" i="5307"/>
  <c r="AR8" i="5307"/>
  <c r="AR9" i="5307"/>
  <c r="AR10" i="5307"/>
  <c r="AR11" i="5307"/>
  <c r="AR12" i="5307"/>
  <c r="AR13" i="5307"/>
  <c r="AR14" i="5307"/>
  <c r="AR15" i="5307"/>
  <c r="AR16" i="5307"/>
  <c r="AR17" i="5307"/>
  <c r="AR18" i="5307"/>
  <c r="AR19" i="5307"/>
  <c r="AR20" i="5307"/>
  <c r="AR21" i="5307"/>
  <c r="AR22" i="5307"/>
  <c r="AR23" i="5307"/>
  <c r="AR24" i="5307"/>
  <c r="AR25" i="5307"/>
  <c r="AR26" i="5307"/>
  <c r="AR27" i="5307"/>
  <c r="AR28" i="5307"/>
  <c r="AR29" i="5307"/>
  <c r="AR30" i="5307"/>
  <c r="AR31" i="5307"/>
  <c r="AR32" i="5307"/>
  <c r="AR33" i="5307"/>
  <c r="AR34" i="5307"/>
  <c r="AR35" i="5307"/>
  <c r="AR36" i="5307"/>
  <c r="AR37" i="5307"/>
  <c r="AR38" i="5307"/>
  <c r="AR39" i="5307"/>
  <c r="AR40" i="5307"/>
  <c r="AR41" i="5307"/>
  <c r="AR42" i="5307"/>
  <c r="AR43" i="5307"/>
  <c r="AR44" i="5307"/>
  <c r="AR45" i="5307"/>
  <c r="AR46" i="5307"/>
  <c r="AR47" i="5307"/>
  <c r="AR48" i="5307"/>
  <c r="AR49" i="5307"/>
  <c r="AR50" i="5307"/>
  <c r="AR51" i="5307"/>
  <c r="AR52" i="5307"/>
  <c r="AR53" i="5307"/>
  <c r="AR54" i="5307"/>
  <c r="AR2" i="5306"/>
  <c r="AR3" i="5306"/>
  <c r="AR4" i="5306"/>
  <c r="AR5" i="5306"/>
  <c r="AR6" i="5306"/>
  <c r="AR7" i="5306"/>
  <c r="AR8" i="5306"/>
  <c r="AR9" i="5306"/>
  <c r="AR10" i="5306"/>
  <c r="AR11" i="5306"/>
  <c r="AR12" i="5306"/>
  <c r="AR13" i="5306"/>
  <c r="AR14" i="5306"/>
  <c r="AR15" i="5306"/>
  <c r="AR16" i="5306"/>
  <c r="AR17" i="5306"/>
  <c r="AR18" i="5306"/>
  <c r="AR19" i="5306"/>
  <c r="AR20" i="5306"/>
  <c r="AR21" i="5306"/>
  <c r="AR22" i="5306"/>
  <c r="AR23" i="5306"/>
  <c r="AR24" i="5306"/>
  <c r="AR25" i="5306"/>
  <c r="AR26" i="5306"/>
  <c r="AR27" i="5306"/>
  <c r="AR28" i="5306"/>
  <c r="AR29" i="5306"/>
  <c r="AR30" i="5306"/>
  <c r="AR31" i="5306"/>
  <c r="AR32" i="5306"/>
  <c r="AR33" i="5306"/>
  <c r="AR34" i="5306"/>
  <c r="AR35" i="5306"/>
  <c r="AR36" i="5306"/>
  <c r="AR37" i="5306"/>
  <c r="AR38" i="5306"/>
  <c r="AR39" i="5306"/>
  <c r="AR40" i="5306"/>
  <c r="AR41" i="5306"/>
  <c r="AR42" i="5306"/>
  <c r="AR43" i="5306"/>
  <c r="AR44" i="5306"/>
  <c r="AR45" i="5306"/>
  <c r="AR46" i="5306"/>
  <c r="AR47" i="5306"/>
  <c r="AR48" i="5306"/>
  <c r="AR49" i="5306"/>
  <c r="AR50" i="5306"/>
  <c r="AR51" i="5306"/>
  <c r="AR52" i="5306"/>
  <c r="AR53" i="5306"/>
  <c r="AR54" i="5306"/>
  <c r="AR2" i="5305"/>
  <c r="AR3" i="5305"/>
  <c r="AR4" i="5305"/>
  <c r="AR5" i="5305"/>
  <c r="AR6" i="5305"/>
  <c r="AR7" i="5305"/>
  <c r="AR8" i="5305"/>
  <c r="AR9" i="5305"/>
  <c r="AR10" i="5305"/>
  <c r="AR11" i="5305"/>
  <c r="AR12" i="5305"/>
  <c r="AR13" i="5305"/>
  <c r="AR14" i="5305"/>
  <c r="AR15" i="5305"/>
  <c r="AR16" i="5305"/>
  <c r="AR17" i="5305"/>
  <c r="AR18" i="5305"/>
  <c r="AR19" i="5305"/>
  <c r="AR20" i="5305"/>
  <c r="AR21" i="5305"/>
  <c r="AR22" i="5305"/>
  <c r="AR23" i="5305"/>
  <c r="AR24" i="5305"/>
  <c r="AR25" i="5305"/>
  <c r="AR26" i="5305"/>
  <c r="AR27" i="5305"/>
  <c r="AR28" i="5305"/>
  <c r="AR29" i="5305"/>
  <c r="AR30" i="5305"/>
  <c r="AR31" i="5305"/>
  <c r="AR32" i="5305"/>
  <c r="AR33" i="5305"/>
  <c r="AR34" i="5305"/>
  <c r="AR35" i="5305"/>
  <c r="AR36" i="5305"/>
  <c r="AR37" i="5305"/>
  <c r="AR38" i="5305"/>
  <c r="AR39" i="5305"/>
  <c r="AR40" i="5305"/>
  <c r="AR41" i="5305"/>
  <c r="AR42" i="5305"/>
  <c r="AR43" i="5305"/>
  <c r="AR44" i="5305"/>
  <c r="AR45" i="5305"/>
  <c r="AR46" i="5305"/>
  <c r="AR47" i="5305"/>
  <c r="AR48" i="5305"/>
  <c r="AR49" i="5305"/>
  <c r="AR50" i="5305"/>
  <c r="AR51" i="5305"/>
  <c r="AR52" i="5305"/>
  <c r="AR53" i="5305"/>
  <c r="AR54" i="5305"/>
  <c r="AR2" i="5304"/>
  <c r="AR3" i="5304"/>
  <c r="AR4" i="5304"/>
  <c r="AR5" i="5304"/>
  <c r="AR6" i="5304"/>
  <c r="AR7" i="5304"/>
  <c r="AR8" i="5304"/>
  <c r="AR9" i="5304"/>
  <c r="AR10" i="5304"/>
  <c r="AR11" i="5304"/>
  <c r="AR12" i="5304"/>
  <c r="AR13" i="5304"/>
  <c r="AR14" i="5304"/>
  <c r="AR15" i="5304"/>
  <c r="AR16" i="5304"/>
  <c r="AR17" i="5304"/>
  <c r="AR18" i="5304"/>
  <c r="AR19" i="5304"/>
  <c r="AR20" i="5304"/>
  <c r="AR21" i="5304"/>
  <c r="AR22" i="5304"/>
  <c r="AR23" i="5304"/>
  <c r="AR24" i="5304"/>
  <c r="AR25" i="5304"/>
  <c r="AR26" i="5304"/>
  <c r="AR27" i="5304"/>
  <c r="AR28" i="5304"/>
  <c r="AR29" i="5304"/>
  <c r="AR30" i="5304"/>
  <c r="AR31" i="5304"/>
  <c r="AR32" i="5304"/>
  <c r="AR33" i="5304"/>
  <c r="AR34" i="5304"/>
  <c r="AR35" i="5304"/>
  <c r="AR36" i="5304"/>
  <c r="AR37" i="5304"/>
  <c r="AR38" i="5304"/>
  <c r="AR39" i="5304"/>
  <c r="AR40" i="5304"/>
  <c r="AR41" i="5304"/>
  <c r="AR42" i="5304"/>
  <c r="AR43" i="5304"/>
  <c r="AR44" i="5304"/>
  <c r="AR45" i="5304"/>
  <c r="AR46" i="5304"/>
  <c r="AR47" i="5304"/>
  <c r="AR48" i="5304"/>
  <c r="AR49" i="5304"/>
  <c r="AR50" i="5304"/>
  <c r="AR51" i="5304"/>
  <c r="AR52" i="5304"/>
  <c r="AR53" i="5304"/>
  <c r="AR54" i="5304"/>
  <c r="AR2" i="5303"/>
  <c r="AR3" i="5303"/>
  <c r="AR4" i="5303"/>
  <c r="AR5" i="5303"/>
  <c r="AR6" i="5303"/>
  <c r="AR7" i="5303"/>
  <c r="AR8" i="5303"/>
  <c r="AR9" i="5303"/>
  <c r="AR10" i="5303"/>
  <c r="AR11" i="5303"/>
  <c r="AR12" i="5303"/>
  <c r="AR13" i="5303"/>
  <c r="AR14" i="5303"/>
  <c r="AR15" i="5303"/>
  <c r="AR16" i="5303"/>
  <c r="AR17" i="5303"/>
  <c r="AR18" i="5303"/>
  <c r="AR19" i="5303"/>
  <c r="AR20" i="5303"/>
  <c r="AR21" i="5303"/>
  <c r="AR22" i="5303"/>
  <c r="AR23" i="5303"/>
  <c r="AR24" i="5303"/>
  <c r="AR25" i="5303"/>
  <c r="AR26" i="5303"/>
  <c r="AR27" i="5303"/>
  <c r="AR28" i="5303"/>
  <c r="AR29" i="5303"/>
  <c r="AR30" i="5303"/>
  <c r="AR31" i="5303"/>
  <c r="AR32" i="5303"/>
  <c r="AR33" i="5303"/>
  <c r="AR34" i="5303"/>
  <c r="AR35" i="5303"/>
  <c r="AR36" i="5303"/>
  <c r="AR37" i="5303"/>
  <c r="AR38" i="5303"/>
  <c r="AR39" i="5303"/>
  <c r="AR40" i="5303"/>
  <c r="AR41" i="5303"/>
  <c r="AR42" i="5303"/>
  <c r="AR43" i="5303"/>
  <c r="AR44" i="5303"/>
  <c r="AR45" i="5303"/>
  <c r="AR46" i="5303"/>
  <c r="AR47" i="5303"/>
  <c r="AR48" i="5303"/>
  <c r="AR49" i="5303"/>
  <c r="AR50" i="5303"/>
  <c r="AR51" i="5303"/>
  <c r="AR52" i="5303"/>
  <c r="AR53" i="5303"/>
  <c r="AR54" i="5303"/>
  <c r="AR2" i="5302"/>
  <c r="AR3" i="5302"/>
  <c r="AR4" i="5302"/>
  <c r="AR5" i="5302"/>
  <c r="AR6" i="5302"/>
  <c r="AR7" i="5302"/>
  <c r="AR8" i="5302"/>
  <c r="AR9" i="5302"/>
  <c r="AR10" i="5302"/>
  <c r="AR11" i="5302"/>
  <c r="AR12" i="5302"/>
  <c r="AR13" i="5302"/>
  <c r="AR14" i="5302"/>
  <c r="AR15" i="5302"/>
  <c r="AR16" i="5302"/>
  <c r="AR17" i="5302"/>
  <c r="AR18" i="5302"/>
  <c r="AR19" i="5302"/>
  <c r="AR20" i="5302"/>
  <c r="AR21" i="5302"/>
  <c r="AR22" i="5302"/>
  <c r="AR23" i="5302"/>
  <c r="AR24" i="5302"/>
  <c r="AR25" i="5302"/>
  <c r="AR26" i="5302"/>
  <c r="AR27" i="5302"/>
  <c r="AR28" i="5302"/>
  <c r="AR29" i="5302"/>
  <c r="AR30" i="5302"/>
  <c r="AR31" i="5302"/>
  <c r="AR32" i="5302"/>
  <c r="AR33" i="5302"/>
  <c r="AR34" i="5302"/>
  <c r="AR35" i="5302"/>
  <c r="AR36" i="5302"/>
  <c r="AR37" i="5302"/>
  <c r="AR38" i="5302"/>
  <c r="AR39" i="5302"/>
  <c r="AR40" i="5302"/>
  <c r="AR41" i="5302"/>
  <c r="AR42" i="5302"/>
  <c r="AR43" i="5302"/>
  <c r="AR44" i="5302"/>
  <c r="AR45" i="5302"/>
  <c r="AR46" i="5302"/>
  <c r="AR47" i="5302"/>
  <c r="AR48" i="5302"/>
  <c r="AR49" i="5302"/>
  <c r="AR50" i="5302"/>
  <c r="AR51" i="5302"/>
  <c r="AR52" i="5302"/>
  <c r="AR53" i="5302"/>
  <c r="AR54" i="5302"/>
  <c r="AQ2" i="5307"/>
  <c r="AQ3" i="5307"/>
  <c r="AQ4" i="5307"/>
  <c r="AQ5" i="5307"/>
  <c r="AQ6" i="5307"/>
  <c r="AQ7" i="5307"/>
  <c r="AQ8" i="5307"/>
  <c r="AQ9" i="5307"/>
  <c r="AQ10" i="5307"/>
  <c r="AQ11" i="5307"/>
  <c r="AQ12" i="5307"/>
  <c r="AQ13" i="5307"/>
  <c r="AQ14" i="5307"/>
  <c r="AQ15" i="5307"/>
  <c r="AQ16" i="5307"/>
  <c r="AQ17" i="5307"/>
  <c r="AQ18" i="5307"/>
  <c r="AQ19" i="5307"/>
  <c r="AQ20" i="5307"/>
  <c r="AQ21" i="5307"/>
  <c r="AQ22" i="5307"/>
  <c r="AQ23" i="5307"/>
  <c r="AQ24" i="5307"/>
  <c r="AQ25" i="5307"/>
  <c r="AQ26" i="5307"/>
  <c r="AQ27" i="5307"/>
  <c r="AQ28" i="5307"/>
  <c r="AQ29" i="5307"/>
  <c r="AQ30" i="5307"/>
  <c r="AQ31" i="5307"/>
  <c r="AQ32" i="5307"/>
  <c r="AQ33" i="5307"/>
  <c r="AQ34" i="5307"/>
  <c r="AQ35" i="5307"/>
  <c r="AQ36" i="5307"/>
  <c r="AQ37" i="5307"/>
  <c r="AQ38" i="5307"/>
  <c r="AQ39" i="5307"/>
  <c r="AQ40" i="5307"/>
  <c r="AQ41" i="5307"/>
  <c r="AQ42" i="5307"/>
  <c r="AQ43" i="5307"/>
  <c r="AQ44" i="5307"/>
  <c r="AQ45" i="5307"/>
  <c r="AQ46" i="5307"/>
  <c r="AQ47" i="5307"/>
  <c r="AQ48" i="5307"/>
  <c r="AQ49" i="5307"/>
  <c r="AQ50" i="5307"/>
  <c r="AQ51" i="5307"/>
  <c r="AQ52" i="5307"/>
  <c r="AQ53" i="5307"/>
  <c r="AQ54" i="5307"/>
  <c r="AQ2" i="5306"/>
  <c r="AQ3" i="5306"/>
  <c r="AQ4" i="5306"/>
  <c r="AQ5" i="5306"/>
  <c r="AQ6" i="5306"/>
  <c r="AQ7" i="5306"/>
  <c r="AQ8" i="5306"/>
  <c r="AQ9" i="5306"/>
  <c r="AQ10" i="5306"/>
  <c r="AQ11" i="5306"/>
  <c r="AQ12" i="5306"/>
  <c r="AQ13" i="5306"/>
  <c r="AQ14" i="5306"/>
  <c r="AQ15" i="5306"/>
  <c r="AQ16" i="5306"/>
  <c r="AQ17" i="5306"/>
  <c r="AQ18" i="5306"/>
  <c r="AQ19" i="5306"/>
  <c r="AQ20" i="5306"/>
  <c r="AQ21" i="5306"/>
  <c r="AQ22" i="5306"/>
  <c r="AQ23" i="5306"/>
  <c r="AQ24" i="5306"/>
  <c r="AQ25" i="5306"/>
  <c r="AQ26" i="5306"/>
  <c r="AQ27" i="5306"/>
  <c r="AQ28" i="5306"/>
  <c r="AQ29" i="5306"/>
  <c r="AQ30" i="5306"/>
  <c r="AQ31" i="5306"/>
  <c r="AQ32" i="5306"/>
  <c r="AQ33" i="5306"/>
  <c r="AQ34" i="5306"/>
  <c r="AQ35" i="5306"/>
  <c r="AQ36" i="5306"/>
  <c r="AQ37" i="5306"/>
  <c r="AQ38" i="5306"/>
  <c r="AQ39" i="5306"/>
  <c r="AQ40" i="5306"/>
  <c r="AQ41" i="5306"/>
  <c r="AQ42" i="5306"/>
  <c r="AQ43" i="5306"/>
  <c r="AQ44" i="5306"/>
  <c r="AQ45" i="5306"/>
  <c r="AQ46" i="5306"/>
  <c r="AQ47" i="5306"/>
  <c r="AQ48" i="5306"/>
  <c r="AQ49" i="5306"/>
  <c r="AQ50" i="5306"/>
  <c r="AQ51" i="5306"/>
  <c r="AQ52" i="5306"/>
  <c r="AQ53" i="5306"/>
  <c r="AQ54" i="5306"/>
  <c r="AQ2" i="5305"/>
  <c r="AQ3" i="5305"/>
  <c r="AQ4" i="5305"/>
  <c r="AQ5" i="5305"/>
  <c r="AQ6" i="5305"/>
  <c r="AQ7" i="5305"/>
  <c r="AQ8" i="5305"/>
  <c r="AQ9" i="5305"/>
  <c r="AQ10" i="5305"/>
  <c r="AQ11" i="5305"/>
  <c r="AQ12" i="5305"/>
  <c r="AQ13" i="5305"/>
  <c r="AQ14" i="5305"/>
  <c r="AQ15" i="5305"/>
  <c r="AQ16" i="5305"/>
  <c r="AQ17" i="5305"/>
  <c r="AQ18" i="5305"/>
  <c r="AQ19" i="5305"/>
  <c r="AQ20" i="5305"/>
  <c r="AQ21" i="5305"/>
  <c r="AQ22" i="5305"/>
  <c r="AQ23" i="5305"/>
  <c r="AQ24" i="5305"/>
  <c r="AQ25" i="5305"/>
  <c r="AQ26" i="5305"/>
  <c r="AQ27" i="5305"/>
  <c r="AQ28" i="5305"/>
  <c r="AQ29" i="5305"/>
  <c r="AQ30" i="5305"/>
  <c r="AQ31" i="5305"/>
  <c r="AQ32" i="5305"/>
  <c r="AQ33" i="5305"/>
  <c r="AQ34" i="5305"/>
  <c r="AQ35" i="5305"/>
  <c r="AQ36" i="5305"/>
  <c r="AQ37" i="5305"/>
  <c r="AQ38" i="5305"/>
  <c r="AQ39" i="5305"/>
  <c r="AQ40" i="5305"/>
  <c r="AQ41" i="5305"/>
  <c r="AQ42" i="5305"/>
  <c r="AQ43" i="5305"/>
  <c r="AQ44" i="5305"/>
  <c r="AQ45" i="5305"/>
  <c r="AQ46" i="5305"/>
  <c r="AQ47" i="5305"/>
  <c r="AQ48" i="5305"/>
  <c r="AQ49" i="5305"/>
  <c r="AQ50" i="5305"/>
  <c r="AQ51" i="5305"/>
  <c r="AQ52" i="5305"/>
  <c r="AQ53" i="5305"/>
  <c r="AQ54" i="5305"/>
  <c r="AQ2" i="5304"/>
  <c r="AQ3" i="5304"/>
  <c r="AQ4" i="5304"/>
  <c r="AQ5" i="5304"/>
  <c r="AQ6" i="5304"/>
  <c r="AQ7" i="5304"/>
  <c r="AQ8" i="5304"/>
  <c r="AQ9" i="5304"/>
  <c r="AQ10" i="5304"/>
  <c r="AQ11" i="5304"/>
  <c r="AQ12" i="5304"/>
  <c r="AQ13" i="5304"/>
  <c r="AQ14" i="5304"/>
  <c r="AQ15" i="5304"/>
  <c r="AQ16" i="5304"/>
  <c r="AQ17" i="5304"/>
  <c r="AQ18" i="5304"/>
  <c r="AQ19" i="5304"/>
  <c r="AQ20" i="5304"/>
  <c r="AQ21" i="5304"/>
  <c r="AQ22" i="5304"/>
  <c r="AQ23" i="5304"/>
  <c r="AQ24" i="5304"/>
  <c r="AQ25" i="5304"/>
  <c r="AQ26" i="5304"/>
  <c r="AQ27" i="5304"/>
  <c r="AQ28" i="5304"/>
  <c r="AQ29" i="5304"/>
  <c r="AQ30" i="5304"/>
  <c r="AQ31" i="5304"/>
  <c r="AQ32" i="5304"/>
  <c r="AQ33" i="5304"/>
  <c r="AQ34" i="5304"/>
  <c r="AQ35" i="5304"/>
  <c r="AQ36" i="5304"/>
  <c r="AQ37" i="5304"/>
  <c r="AQ38" i="5304"/>
  <c r="AQ39" i="5304"/>
  <c r="AQ40" i="5304"/>
  <c r="AQ41" i="5304"/>
  <c r="AQ42" i="5304"/>
  <c r="AQ43" i="5304"/>
  <c r="AQ44" i="5304"/>
  <c r="AQ45" i="5304"/>
  <c r="AQ46" i="5304"/>
  <c r="AQ47" i="5304"/>
  <c r="AQ48" i="5304"/>
  <c r="AQ49" i="5304"/>
  <c r="AQ50" i="5304"/>
  <c r="AQ51" i="5304"/>
  <c r="AQ52" i="5304"/>
  <c r="AQ53" i="5304"/>
  <c r="AQ54" i="5304"/>
  <c r="AQ2" i="5303"/>
  <c r="AQ3" i="5303"/>
  <c r="AQ4" i="5303"/>
  <c r="AQ5" i="5303"/>
  <c r="AQ6" i="5303"/>
  <c r="AQ7" i="5303"/>
  <c r="AQ8" i="5303"/>
  <c r="AQ9" i="5303"/>
  <c r="AQ10" i="5303"/>
  <c r="AQ11" i="5303"/>
  <c r="AQ12" i="5303"/>
  <c r="AQ13" i="5303"/>
  <c r="AQ14" i="5303"/>
  <c r="AQ15" i="5303"/>
  <c r="AQ16" i="5303"/>
  <c r="AQ17" i="5303"/>
  <c r="AQ18" i="5303"/>
  <c r="AQ19" i="5303"/>
  <c r="AQ20" i="5303"/>
  <c r="AQ21" i="5303"/>
  <c r="AQ22" i="5303"/>
  <c r="AQ23" i="5303"/>
  <c r="AQ24" i="5303"/>
  <c r="AQ25" i="5303"/>
  <c r="AQ26" i="5303"/>
  <c r="AQ27" i="5303"/>
  <c r="AQ28" i="5303"/>
  <c r="AQ29" i="5303"/>
  <c r="AQ30" i="5303"/>
  <c r="AQ31" i="5303"/>
  <c r="AQ32" i="5303"/>
  <c r="AQ33" i="5303"/>
  <c r="AQ34" i="5303"/>
  <c r="AQ35" i="5303"/>
  <c r="AQ36" i="5303"/>
  <c r="AQ37" i="5303"/>
  <c r="AQ38" i="5303"/>
  <c r="AQ39" i="5303"/>
  <c r="AQ40" i="5303"/>
  <c r="AQ41" i="5303"/>
  <c r="AQ42" i="5303"/>
  <c r="AQ43" i="5303"/>
  <c r="AQ44" i="5303"/>
  <c r="AQ45" i="5303"/>
  <c r="AQ46" i="5303"/>
  <c r="AQ47" i="5303"/>
  <c r="AQ48" i="5303"/>
  <c r="AQ49" i="5303"/>
  <c r="AQ50" i="5303"/>
  <c r="AQ51" i="5303"/>
  <c r="AQ52" i="5303"/>
  <c r="AQ53" i="5303"/>
  <c r="AQ54" i="5303"/>
  <c r="AQ2" i="5302"/>
  <c r="AQ3" i="5302"/>
  <c r="AQ4" i="5302"/>
  <c r="AQ5" i="5302"/>
  <c r="AQ6" i="5302"/>
  <c r="AQ7" i="5302"/>
  <c r="AQ8" i="5302"/>
  <c r="AQ9" i="5302"/>
  <c r="AQ10" i="5302"/>
  <c r="AQ11" i="5302"/>
  <c r="AQ12" i="5302"/>
  <c r="AQ13" i="5302"/>
  <c r="AQ14" i="5302"/>
  <c r="AQ15" i="5302"/>
  <c r="AQ16" i="5302"/>
  <c r="AQ17" i="5302"/>
  <c r="AQ18" i="5302"/>
  <c r="AQ19" i="5302"/>
  <c r="AQ20" i="5302"/>
  <c r="AQ21" i="5302"/>
  <c r="AQ22" i="5302"/>
  <c r="AQ23" i="5302"/>
  <c r="AQ24" i="5302"/>
  <c r="AQ25" i="5302"/>
  <c r="AQ26" i="5302"/>
  <c r="AQ27" i="5302"/>
  <c r="AQ28" i="5302"/>
  <c r="AQ29" i="5302"/>
  <c r="AQ30" i="5302"/>
  <c r="AQ31" i="5302"/>
  <c r="AQ32" i="5302"/>
  <c r="AQ33" i="5302"/>
  <c r="AQ34" i="5302"/>
  <c r="AQ35" i="5302"/>
  <c r="AQ36" i="5302"/>
  <c r="AQ37" i="5302"/>
  <c r="AQ38" i="5302"/>
  <c r="AQ39" i="5302"/>
  <c r="AQ40" i="5302"/>
  <c r="AQ41" i="5302"/>
  <c r="AQ42" i="5302"/>
  <c r="AQ43" i="5302"/>
  <c r="AQ44" i="5302"/>
  <c r="AQ45" i="5302"/>
  <c r="AQ46" i="5302"/>
  <c r="AQ47" i="5302"/>
  <c r="AQ48" i="5302"/>
  <c r="AQ49" i="5302"/>
  <c r="AQ50" i="5302"/>
  <c r="AQ51" i="5302"/>
  <c r="AQ52" i="5302"/>
  <c r="AQ53" i="5302"/>
  <c r="AQ54" i="5302"/>
  <c r="AP2" i="5307"/>
  <c r="AP3" i="5307"/>
  <c r="AP4" i="5307"/>
  <c r="AP5" i="5307"/>
  <c r="AP6" i="5307"/>
  <c r="AP7" i="5307"/>
  <c r="AP8" i="5307"/>
  <c r="AP9" i="5307"/>
  <c r="AP10" i="5307"/>
  <c r="AP11" i="5307"/>
  <c r="AP12" i="5307"/>
  <c r="AP13" i="5307"/>
  <c r="AP14" i="5307"/>
  <c r="AP15" i="5307"/>
  <c r="AP16" i="5307"/>
  <c r="AP17" i="5307"/>
  <c r="AP18" i="5307"/>
  <c r="AP19" i="5307"/>
  <c r="AP20" i="5307"/>
  <c r="AP21" i="5307"/>
  <c r="AP22" i="5307"/>
  <c r="AP23" i="5307"/>
  <c r="AP24" i="5307"/>
  <c r="AP25" i="5307"/>
  <c r="AP26" i="5307"/>
  <c r="AP27" i="5307"/>
  <c r="AP28" i="5307"/>
  <c r="AP29" i="5307"/>
  <c r="AP30" i="5307"/>
  <c r="AP31" i="5307"/>
  <c r="AP32" i="5307"/>
  <c r="AP33" i="5307"/>
  <c r="AP34" i="5307"/>
  <c r="AP35" i="5307"/>
  <c r="AP36" i="5307"/>
  <c r="AP37" i="5307"/>
  <c r="AP38" i="5307"/>
  <c r="AP39" i="5307"/>
  <c r="AP40" i="5307"/>
  <c r="AP41" i="5307"/>
  <c r="AP42" i="5307"/>
  <c r="AP43" i="5307"/>
  <c r="AP44" i="5307"/>
  <c r="AP45" i="5307"/>
  <c r="AP46" i="5307"/>
  <c r="AP47" i="5307"/>
  <c r="AP48" i="5307"/>
  <c r="AP49" i="5307"/>
  <c r="AP50" i="5307"/>
  <c r="AP51" i="5307"/>
  <c r="AP52" i="5307"/>
  <c r="AP53" i="5307"/>
  <c r="AP54" i="5307"/>
  <c r="AP2" i="5306"/>
  <c r="AP3" i="5306"/>
  <c r="AP4" i="5306"/>
  <c r="AP5" i="5306"/>
  <c r="AP6" i="5306"/>
  <c r="AP7" i="5306"/>
  <c r="AP8" i="5306"/>
  <c r="AP9" i="5306"/>
  <c r="AP10" i="5306"/>
  <c r="AP11" i="5306"/>
  <c r="AP12" i="5306"/>
  <c r="AP13" i="5306"/>
  <c r="AP14" i="5306"/>
  <c r="AP15" i="5306"/>
  <c r="AP16" i="5306"/>
  <c r="AP17" i="5306"/>
  <c r="AP18" i="5306"/>
  <c r="AP19" i="5306"/>
  <c r="AP20" i="5306"/>
  <c r="AP21" i="5306"/>
  <c r="AP22" i="5306"/>
  <c r="AP23" i="5306"/>
  <c r="AP24" i="5306"/>
  <c r="AP25" i="5306"/>
  <c r="AP26" i="5306"/>
  <c r="AP27" i="5306"/>
  <c r="AP28" i="5306"/>
  <c r="AP29" i="5306"/>
  <c r="AP30" i="5306"/>
  <c r="AP31" i="5306"/>
  <c r="AP32" i="5306"/>
  <c r="AP33" i="5306"/>
  <c r="AP34" i="5306"/>
  <c r="AP35" i="5306"/>
  <c r="AP36" i="5306"/>
  <c r="AP37" i="5306"/>
  <c r="AP38" i="5306"/>
  <c r="AP39" i="5306"/>
  <c r="AP40" i="5306"/>
  <c r="AP41" i="5306"/>
  <c r="AP42" i="5306"/>
  <c r="AP43" i="5306"/>
  <c r="AP44" i="5306"/>
  <c r="AP45" i="5306"/>
  <c r="AP46" i="5306"/>
  <c r="AP47" i="5306"/>
  <c r="AP48" i="5306"/>
  <c r="AP49" i="5306"/>
  <c r="AP50" i="5306"/>
  <c r="AP51" i="5306"/>
  <c r="AP52" i="5306"/>
  <c r="AP53" i="5306"/>
  <c r="AP54" i="5306"/>
  <c r="AP2" i="5305"/>
  <c r="AP3" i="5305"/>
  <c r="AP4" i="5305"/>
  <c r="AP5" i="5305"/>
  <c r="AP6" i="5305"/>
  <c r="AP7" i="5305"/>
  <c r="AP8" i="5305"/>
  <c r="AP9" i="5305"/>
  <c r="AP10" i="5305"/>
  <c r="AP11" i="5305"/>
  <c r="AP12" i="5305"/>
  <c r="AP13" i="5305"/>
  <c r="AP14" i="5305"/>
  <c r="AP15" i="5305"/>
  <c r="AP16" i="5305"/>
  <c r="AP17" i="5305"/>
  <c r="AP18" i="5305"/>
  <c r="AP19" i="5305"/>
  <c r="AP20" i="5305"/>
  <c r="AP21" i="5305"/>
  <c r="AP22" i="5305"/>
  <c r="AP23" i="5305"/>
  <c r="AP24" i="5305"/>
  <c r="AP25" i="5305"/>
  <c r="AP26" i="5305"/>
  <c r="AP27" i="5305"/>
  <c r="AP28" i="5305"/>
  <c r="AP29" i="5305"/>
  <c r="AP30" i="5305"/>
  <c r="AP31" i="5305"/>
  <c r="AP32" i="5305"/>
  <c r="AP33" i="5305"/>
  <c r="AP34" i="5305"/>
  <c r="AP35" i="5305"/>
  <c r="AP36" i="5305"/>
  <c r="AP37" i="5305"/>
  <c r="AP38" i="5305"/>
  <c r="AP39" i="5305"/>
  <c r="AP40" i="5305"/>
  <c r="AP41" i="5305"/>
  <c r="AP42" i="5305"/>
  <c r="AP43" i="5305"/>
  <c r="AP44" i="5305"/>
  <c r="AP45" i="5305"/>
  <c r="AP46" i="5305"/>
  <c r="AP47" i="5305"/>
  <c r="AP48" i="5305"/>
  <c r="AP49" i="5305"/>
  <c r="AP50" i="5305"/>
  <c r="AP51" i="5305"/>
  <c r="AP52" i="5305"/>
  <c r="AP53" i="5305"/>
  <c r="AP54" i="5305"/>
  <c r="AP2" i="5304"/>
  <c r="AP3" i="5304"/>
  <c r="AP4" i="5304"/>
  <c r="AP5" i="5304"/>
  <c r="AP6" i="5304"/>
  <c r="AP7" i="5304"/>
  <c r="AP8" i="5304"/>
  <c r="AP9" i="5304"/>
  <c r="AP10" i="5304"/>
  <c r="AP11" i="5304"/>
  <c r="AP12" i="5304"/>
  <c r="AP13" i="5304"/>
  <c r="AP14" i="5304"/>
  <c r="AP15" i="5304"/>
  <c r="AP16" i="5304"/>
  <c r="AP17" i="5304"/>
  <c r="AP18" i="5304"/>
  <c r="AP19" i="5304"/>
  <c r="AP20" i="5304"/>
  <c r="AP21" i="5304"/>
  <c r="AP22" i="5304"/>
  <c r="AP23" i="5304"/>
  <c r="AP24" i="5304"/>
  <c r="AP25" i="5304"/>
  <c r="AP26" i="5304"/>
  <c r="AP27" i="5304"/>
  <c r="AP28" i="5304"/>
  <c r="AP29" i="5304"/>
  <c r="AP30" i="5304"/>
  <c r="AP31" i="5304"/>
  <c r="AP32" i="5304"/>
  <c r="AP33" i="5304"/>
  <c r="AP34" i="5304"/>
  <c r="AP35" i="5304"/>
  <c r="AP36" i="5304"/>
  <c r="AP37" i="5304"/>
  <c r="AP38" i="5304"/>
  <c r="AP39" i="5304"/>
  <c r="AP40" i="5304"/>
  <c r="AP41" i="5304"/>
  <c r="AP42" i="5304"/>
  <c r="AP43" i="5304"/>
  <c r="AP44" i="5304"/>
  <c r="AP45" i="5304"/>
  <c r="AP46" i="5304"/>
  <c r="AP47" i="5304"/>
  <c r="AP48" i="5304"/>
  <c r="AP49" i="5304"/>
  <c r="AP50" i="5304"/>
  <c r="AP51" i="5304"/>
  <c r="AP52" i="5304"/>
  <c r="AP53" i="5304"/>
  <c r="AP54" i="5304"/>
  <c r="AP2" i="5303"/>
  <c r="AP3" i="5303"/>
  <c r="AP4" i="5303"/>
  <c r="AP5" i="5303"/>
  <c r="AP6" i="5303"/>
  <c r="AP7" i="5303"/>
  <c r="AP8" i="5303"/>
  <c r="AP9" i="5303"/>
  <c r="AP10" i="5303"/>
  <c r="AP11" i="5303"/>
  <c r="AP12" i="5303"/>
  <c r="AP13" i="5303"/>
  <c r="AP14" i="5303"/>
  <c r="AP15" i="5303"/>
  <c r="AP16" i="5303"/>
  <c r="AP17" i="5303"/>
  <c r="AP18" i="5303"/>
  <c r="AP19" i="5303"/>
  <c r="AP20" i="5303"/>
  <c r="AP21" i="5303"/>
  <c r="AP22" i="5303"/>
  <c r="AP23" i="5303"/>
  <c r="AP24" i="5303"/>
  <c r="AP25" i="5303"/>
  <c r="AP26" i="5303"/>
  <c r="AP27" i="5303"/>
  <c r="AP28" i="5303"/>
  <c r="AP29" i="5303"/>
  <c r="AP30" i="5303"/>
  <c r="AP31" i="5303"/>
  <c r="AP32" i="5303"/>
  <c r="AP33" i="5303"/>
  <c r="AP34" i="5303"/>
  <c r="AP35" i="5303"/>
  <c r="AP36" i="5303"/>
  <c r="AP37" i="5303"/>
  <c r="AP38" i="5303"/>
  <c r="AP39" i="5303"/>
  <c r="AP40" i="5303"/>
  <c r="AP41" i="5303"/>
  <c r="AP42" i="5303"/>
  <c r="AP43" i="5303"/>
  <c r="AP44" i="5303"/>
  <c r="AP45" i="5303"/>
  <c r="AP46" i="5303"/>
  <c r="AP47" i="5303"/>
  <c r="AP48" i="5303"/>
  <c r="AP49" i="5303"/>
  <c r="AP50" i="5303"/>
  <c r="AP51" i="5303"/>
  <c r="AP52" i="5303"/>
  <c r="AP53" i="5303"/>
  <c r="AP54" i="5303"/>
  <c r="AP2" i="5302"/>
  <c r="AP3" i="5302"/>
  <c r="AP4" i="5302"/>
  <c r="AP5" i="5302"/>
  <c r="AP6" i="5302"/>
  <c r="AP7" i="5302"/>
  <c r="AP8" i="5302"/>
  <c r="AP9" i="5302"/>
  <c r="AP10" i="5302"/>
  <c r="AP11" i="5302"/>
  <c r="AP12" i="5302"/>
  <c r="AP13" i="5302"/>
  <c r="AP14" i="5302"/>
  <c r="AP15" i="5302"/>
  <c r="AP16" i="5302"/>
  <c r="AP17" i="5302"/>
  <c r="AP18" i="5302"/>
  <c r="AP19" i="5302"/>
  <c r="AP20" i="5302"/>
  <c r="AP21" i="5302"/>
  <c r="AP22" i="5302"/>
  <c r="AP23" i="5302"/>
  <c r="AP24" i="5302"/>
  <c r="AP25" i="5302"/>
  <c r="AP26" i="5302"/>
  <c r="AP27" i="5302"/>
  <c r="AP28" i="5302"/>
  <c r="AP29" i="5302"/>
  <c r="AP30" i="5302"/>
  <c r="AP31" i="5302"/>
  <c r="AP32" i="5302"/>
  <c r="AP33" i="5302"/>
  <c r="AP34" i="5302"/>
  <c r="AP35" i="5302"/>
  <c r="AP36" i="5302"/>
  <c r="AP37" i="5302"/>
  <c r="AP38" i="5302"/>
  <c r="AP39" i="5302"/>
  <c r="AP40" i="5302"/>
  <c r="AP41" i="5302"/>
  <c r="AP42" i="5302"/>
  <c r="AP43" i="5302"/>
  <c r="AP44" i="5302"/>
  <c r="AP45" i="5302"/>
  <c r="AP46" i="5302"/>
  <c r="AP47" i="5302"/>
  <c r="AP48" i="5302"/>
  <c r="AP49" i="5302"/>
  <c r="AP50" i="5302"/>
  <c r="AP51" i="5302"/>
  <c r="AP52" i="5302"/>
  <c r="AP53" i="5302"/>
  <c r="AP54" i="5302"/>
  <c r="AO2" i="5307"/>
  <c r="AO3" i="5307"/>
  <c r="AO4" i="5307"/>
  <c r="AO5" i="5307"/>
  <c r="AO6" i="5307"/>
  <c r="AO7" i="5307"/>
  <c r="AO8" i="5307"/>
  <c r="AO9" i="5307"/>
  <c r="AO10" i="5307"/>
  <c r="AO11" i="5307"/>
  <c r="AO12" i="5307"/>
  <c r="AO13" i="5307"/>
  <c r="AO14" i="5307"/>
  <c r="AO15" i="5307"/>
  <c r="AO16" i="5307"/>
  <c r="AO17" i="5307"/>
  <c r="AO18" i="5307"/>
  <c r="AO19" i="5307"/>
  <c r="AO20" i="5307"/>
  <c r="AO21" i="5307"/>
  <c r="AO22" i="5307"/>
  <c r="AO23" i="5307"/>
  <c r="AO24" i="5307"/>
  <c r="AO25" i="5307"/>
  <c r="AO26" i="5307"/>
  <c r="AO27" i="5307"/>
  <c r="AO28" i="5307"/>
  <c r="AO29" i="5307"/>
  <c r="AO30" i="5307"/>
  <c r="AO31" i="5307"/>
  <c r="AO32" i="5307"/>
  <c r="AO33" i="5307"/>
  <c r="AO34" i="5307"/>
  <c r="AO35" i="5307"/>
  <c r="AO36" i="5307"/>
  <c r="AO37" i="5307"/>
  <c r="AO38" i="5307"/>
  <c r="AO39" i="5307"/>
  <c r="AO40" i="5307"/>
  <c r="AO41" i="5307"/>
  <c r="AO42" i="5307"/>
  <c r="AO43" i="5307"/>
  <c r="AO44" i="5307"/>
  <c r="AO45" i="5307"/>
  <c r="AO46" i="5307"/>
  <c r="AO47" i="5307"/>
  <c r="AO48" i="5307"/>
  <c r="AO49" i="5307"/>
  <c r="AO50" i="5307"/>
  <c r="AO51" i="5307"/>
  <c r="AO52" i="5307"/>
  <c r="AO53" i="5307"/>
  <c r="AO54" i="5307"/>
  <c r="AO2" i="5306"/>
  <c r="AO3" i="5306"/>
  <c r="AO4" i="5306"/>
  <c r="AO5" i="5306"/>
  <c r="AO6" i="5306"/>
  <c r="AO7" i="5306"/>
  <c r="AO8" i="5306"/>
  <c r="AO9" i="5306"/>
  <c r="AO10" i="5306"/>
  <c r="AO11" i="5306"/>
  <c r="AO12" i="5306"/>
  <c r="AO13" i="5306"/>
  <c r="AO14" i="5306"/>
  <c r="AO15" i="5306"/>
  <c r="AO16" i="5306"/>
  <c r="AO17" i="5306"/>
  <c r="AO18" i="5306"/>
  <c r="AO19" i="5306"/>
  <c r="AO20" i="5306"/>
  <c r="AO21" i="5306"/>
  <c r="AO22" i="5306"/>
  <c r="AO23" i="5306"/>
  <c r="AO24" i="5306"/>
  <c r="AO25" i="5306"/>
  <c r="AO26" i="5306"/>
  <c r="AO27" i="5306"/>
  <c r="AO28" i="5306"/>
  <c r="AO29" i="5306"/>
  <c r="AO30" i="5306"/>
  <c r="AO31" i="5306"/>
  <c r="AO32" i="5306"/>
  <c r="AO33" i="5306"/>
  <c r="AO34" i="5306"/>
  <c r="AO35" i="5306"/>
  <c r="AO36" i="5306"/>
  <c r="AO37" i="5306"/>
  <c r="AO38" i="5306"/>
  <c r="AO39" i="5306"/>
  <c r="AO40" i="5306"/>
  <c r="AO41" i="5306"/>
  <c r="AO42" i="5306"/>
  <c r="AO43" i="5306"/>
  <c r="AO44" i="5306"/>
  <c r="AO45" i="5306"/>
  <c r="AO46" i="5306"/>
  <c r="AO47" i="5306"/>
  <c r="AO48" i="5306"/>
  <c r="AO49" i="5306"/>
  <c r="AO50" i="5306"/>
  <c r="AO51" i="5306"/>
  <c r="AO52" i="5306"/>
  <c r="AO53" i="5306"/>
  <c r="AO54" i="5306"/>
  <c r="AO2" i="5305"/>
  <c r="AO3" i="5305"/>
  <c r="AO4" i="5305"/>
  <c r="AO5" i="5305"/>
  <c r="AO6" i="5305"/>
  <c r="AO7" i="5305"/>
  <c r="AO8" i="5305"/>
  <c r="AO9" i="5305"/>
  <c r="AO10" i="5305"/>
  <c r="AO11" i="5305"/>
  <c r="AO12" i="5305"/>
  <c r="AO13" i="5305"/>
  <c r="AO14" i="5305"/>
  <c r="AO15" i="5305"/>
  <c r="AO16" i="5305"/>
  <c r="AO17" i="5305"/>
  <c r="AO18" i="5305"/>
  <c r="AO19" i="5305"/>
  <c r="AO20" i="5305"/>
  <c r="AO21" i="5305"/>
  <c r="AO22" i="5305"/>
  <c r="AO23" i="5305"/>
  <c r="AO24" i="5305"/>
  <c r="AO25" i="5305"/>
  <c r="AO26" i="5305"/>
  <c r="AO27" i="5305"/>
  <c r="AO28" i="5305"/>
  <c r="AO29" i="5305"/>
  <c r="AO30" i="5305"/>
  <c r="AO31" i="5305"/>
  <c r="AO32" i="5305"/>
  <c r="AO33" i="5305"/>
  <c r="AO34" i="5305"/>
  <c r="AO35" i="5305"/>
  <c r="AO36" i="5305"/>
  <c r="AO37" i="5305"/>
  <c r="AO38" i="5305"/>
  <c r="AO39" i="5305"/>
  <c r="AO40" i="5305"/>
  <c r="AO41" i="5305"/>
  <c r="AO42" i="5305"/>
  <c r="AO43" i="5305"/>
  <c r="AO44" i="5305"/>
  <c r="AO45" i="5305"/>
  <c r="AO46" i="5305"/>
  <c r="AO47" i="5305"/>
  <c r="AO48" i="5305"/>
  <c r="AO49" i="5305"/>
  <c r="AO50" i="5305"/>
  <c r="AO51" i="5305"/>
  <c r="AO52" i="5305"/>
  <c r="AO53" i="5305"/>
  <c r="AO54" i="5305"/>
  <c r="AO2" i="5304"/>
  <c r="AO3" i="5304"/>
  <c r="AO4" i="5304"/>
  <c r="AO5" i="5304"/>
  <c r="AO6" i="5304"/>
  <c r="AO7" i="5304"/>
  <c r="AO8" i="5304"/>
  <c r="AO9" i="5304"/>
  <c r="AO10" i="5304"/>
  <c r="AO11" i="5304"/>
  <c r="AO12" i="5304"/>
  <c r="AO13" i="5304"/>
  <c r="AO14" i="5304"/>
  <c r="AO15" i="5304"/>
  <c r="AO16" i="5304"/>
  <c r="AO17" i="5304"/>
  <c r="AO18" i="5304"/>
  <c r="AO19" i="5304"/>
  <c r="AO20" i="5304"/>
  <c r="AO21" i="5304"/>
  <c r="AO22" i="5304"/>
  <c r="AO23" i="5304"/>
  <c r="AO24" i="5304"/>
  <c r="AO25" i="5304"/>
  <c r="AO26" i="5304"/>
  <c r="AO27" i="5304"/>
  <c r="AO28" i="5304"/>
  <c r="AO29" i="5304"/>
  <c r="AO30" i="5304"/>
  <c r="AO31" i="5304"/>
  <c r="AO32" i="5304"/>
  <c r="AO33" i="5304"/>
  <c r="AO34" i="5304"/>
  <c r="AO35" i="5304"/>
  <c r="AO36" i="5304"/>
  <c r="AO37" i="5304"/>
  <c r="AO38" i="5304"/>
  <c r="AO39" i="5304"/>
  <c r="AO40" i="5304"/>
  <c r="AO41" i="5304"/>
  <c r="AO42" i="5304"/>
  <c r="AO43" i="5304"/>
  <c r="AO44" i="5304"/>
  <c r="AO45" i="5304"/>
  <c r="AO46" i="5304"/>
  <c r="AO47" i="5304"/>
  <c r="AO48" i="5304"/>
  <c r="AO49" i="5304"/>
  <c r="AO50" i="5304"/>
  <c r="AO51" i="5304"/>
  <c r="AO52" i="5304"/>
  <c r="AO53" i="5304"/>
  <c r="AO54" i="5304"/>
  <c r="AO2" i="5303"/>
  <c r="AO3" i="5303"/>
  <c r="AO4" i="5303"/>
  <c r="AO5" i="5303"/>
  <c r="AO6" i="5303"/>
  <c r="AO7" i="5303"/>
  <c r="AO8" i="5303"/>
  <c r="AO9" i="5303"/>
  <c r="AO10" i="5303"/>
  <c r="AO11" i="5303"/>
  <c r="AO12" i="5303"/>
  <c r="AO13" i="5303"/>
  <c r="AO14" i="5303"/>
  <c r="AO15" i="5303"/>
  <c r="AO16" i="5303"/>
  <c r="AO17" i="5303"/>
  <c r="AO18" i="5303"/>
  <c r="AO19" i="5303"/>
  <c r="AO20" i="5303"/>
  <c r="AO21" i="5303"/>
  <c r="AO22" i="5303"/>
  <c r="AO23" i="5303"/>
  <c r="AO24" i="5303"/>
  <c r="AO25" i="5303"/>
  <c r="AO26" i="5303"/>
  <c r="AO27" i="5303"/>
  <c r="AO28" i="5303"/>
  <c r="AO29" i="5303"/>
  <c r="AO30" i="5303"/>
  <c r="AO31" i="5303"/>
  <c r="AO32" i="5303"/>
  <c r="AO33" i="5303"/>
  <c r="AO34" i="5303"/>
  <c r="AO35" i="5303"/>
  <c r="AO36" i="5303"/>
  <c r="AO37" i="5303"/>
  <c r="AO38" i="5303"/>
  <c r="AO39" i="5303"/>
  <c r="AO40" i="5303"/>
  <c r="AO41" i="5303"/>
  <c r="AO42" i="5303"/>
  <c r="AO43" i="5303"/>
  <c r="AO44" i="5303"/>
  <c r="AO45" i="5303"/>
  <c r="AO46" i="5303"/>
  <c r="AO47" i="5303"/>
  <c r="AO48" i="5303"/>
  <c r="AO49" i="5303"/>
  <c r="AO50" i="5303"/>
  <c r="AO51" i="5303"/>
  <c r="AO52" i="5303"/>
  <c r="AO53" i="5303"/>
  <c r="AO54" i="5303"/>
  <c r="AO2" i="5302"/>
  <c r="AO3" i="5302"/>
  <c r="AO4" i="5302"/>
  <c r="AO5" i="5302"/>
  <c r="AO6" i="5302"/>
  <c r="AO7" i="5302"/>
  <c r="AO8" i="5302"/>
  <c r="AO9" i="5302"/>
  <c r="AO10" i="5302"/>
  <c r="AO11" i="5302"/>
  <c r="AO12" i="5302"/>
  <c r="AO13" i="5302"/>
  <c r="AO14" i="5302"/>
  <c r="AO15" i="5302"/>
  <c r="AO16" i="5302"/>
  <c r="AO17" i="5302"/>
  <c r="AO18" i="5302"/>
  <c r="AO19" i="5302"/>
  <c r="AO20" i="5302"/>
  <c r="AO21" i="5302"/>
  <c r="AO22" i="5302"/>
  <c r="AO23" i="5302"/>
  <c r="AO24" i="5302"/>
  <c r="AO25" i="5302"/>
  <c r="AO26" i="5302"/>
  <c r="AO27" i="5302"/>
  <c r="AO28" i="5302"/>
  <c r="AO29" i="5302"/>
  <c r="AO30" i="5302"/>
  <c r="AO31" i="5302"/>
  <c r="AO32" i="5302"/>
  <c r="AO33" i="5302"/>
  <c r="AO34" i="5302"/>
  <c r="AO35" i="5302"/>
  <c r="AO36" i="5302"/>
  <c r="AO37" i="5302"/>
  <c r="AO38" i="5302"/>
  <c r="AO39" i="5302"/>
  <c r="AO40" i="5302"/>
  <c r="AO41" i="5302"/>
  <c r="AO42" i="5302"/>
  <c r="AO43" i="5302"/>
  <c r="AO44" i="5302"/>
  <c r="AO45" i="5302"/>
  <c r="AO46" i="5302"/>
  <c r="AO47" i="5302"/>
  <c r="AO48" i="5302"/>
  <c r="AO49" i="5302"/>
  <c r="AO50" i="5302"/>
  <c r="AO51" i="5302"/>
  <c r="AO52" i="5302"/>
  <c r="AO53" i="5302"/>
  <c r="AO54" i="5302"/>
  <c r="AN2" i="5307"/>
  <c r="AN3" i="5307"/>
  <c r="AN4" i="5307"/>
  <c r="AN5" i="5307"/>
  <c r="AN6" i="5307"/>
  <c r="AN7" i="5307"/>
  <c r="AN8" i="5307"/>
  <c r="AN9" i="5307"/>
  <c r="AN10" i="5307"/>
  <c r="AN11" i="5307"/>
  <c r="AN12" i="5307"/>
  <c r="AN13" i="5307"/>
  <c r="AN14" i="5307"/>
  <c r="AN15" i="5307"/>
  <c r="AN16" i="5307"/>
  <c r="AN17" i="5307"/>
  <c r="AN18" i="5307"/>
  <c r="AN19" i="5307"/>
  <c r="AN20" i="5307"/>
  <c r="AN21" i="5307"/>
  <c r="AN22" i="5307"/>
  <c r="AN23" i="5307"/>
  <c r="AN24" i="5307"/>
  <c r="AN25" i="5307"/>
  <c r="AN26" i="5307"/>
  <c r="AN27" i="5307"/>
  <c r="AN28" i="5307"/>
  <c r="AN29" i="5307"/>
  <c r="AN30" i="5307"/>
  <c r="AN31" i="5307"/>
  <c r="AN32" i="5307"/>
  <c r="AN33" i="5307"/>
  <c r="AN34" i="5307"/>
  <c r="AN35" i="5307"/>
  <c r="AN36" i="5307"/>
  <c r="AN37" i="5307"/>
  <c r="AN38" i="5307"/>
  <c r="AN39" i="5307"/>
  <c r="AN40" i="5307"/>
  <c r="AN41" i="5307"/>
  <c r="AN42" i="5307"/>
  <c r="AN43" i="5307"/>
  <c r="AN44" i="5307"/>
  <c r="AN45" i="5307"/>
  <c r="AN46" i="5307"/>
  <c r="AN47" i="5307"/>
  <c r="AN48" i="5307"/>
  <c r="AN49" i="5307"/>
  <c r="AN50" i="5307"/>
  <c r="AN51" i="5307"/>
  <c r="AN52" i="5307"/>
  <c r="AN53" i="5307"/>
  <c r="AN54" i="5307"/>
  <c r="AN2" i="5306"/>
  <c r="AN3" i="5306"/>
  <c r="AN4" i="5306"/>
  <c r="AN5" i="5306"/>
  <c r="AN6" i="5306"/>
  <c r="AN7" i="5306"/>
  <c r="AN8" i="5306"/>
  <c r="AN9" i="5306"/>
  <c r="AN10" i="5306"/>
  <c r="AN11" i="5306"/>
  <c r="AN12" i="5306"/>
  <c r="AN13" i="5306"/>
  <c r="AN14" i="5306"/>
  <c r="AN15" i="5306"/>
  <c r="AN16" i="5306"/>
  <c r="AN17" i="5306"/>
  <c r="AN18" i="5306"/>
  <c r="AN19" i="5306"/>
  <c r="AN20" i="5306"/>
  <c r="AN21" i="5306"/>
  <c r="AN22" i="5306"/>
  <c r="AN23" i="5306"/>
  <c r="AN24" i="5306"/>
  <c r="AN25" i="5306"/>
  <c r="AN26" i="5306"/>
  <c r="AN27" i="5306"/>
  <c r="AN28" i="5306"/>
  <c r="AN29" i="5306"/>
  <c r="AN30" i="5306"/>
  <c r="AN31" i="5306"/>
  <c r="AN32" i="5306"/>
  <c r="AN33" i="5306"/>
  <c r="AN34" i="5306"/>
  <c r="AN35" i="5306"/>
  <c r="AN36" i="5306"/>
  <c r="AN37" i="5306"/>
  <c r="AN38" i="5306"/>
  <c r="AN39" i="5306"/>
  <c r="AN40" i="5306"/>
  <c r="AN41" i="5306"/>
  <c r="AN42" i="5306"/>
  <c r="AN43" i="5306"/>
  <c r="AN44" i="5306"/>
  <c r="AN45" i="5306"/>
  <c r="AN46" i="5306"/>
  <c r="AN47" i="5306"/>
  <c r="AN48" i="5306"/>
  <c r="AN49" i="5306"/>
  <c r="AN50" i="5306"/>
  <c r="AN51" i="5306"/>
  <c r="AN52" i="5306"/>
  <c r="AN53" i="5306"/>
  <c r="AN54" i="5306"/>
  <c r="AN2" i="5305"/>
  <c r="AN3" i="5305"/>
  <c r="AN4" i="5305"/>
  <c r="AN5" i="5305"/>
  <c r="AN6" i="5305"/>
  <c r="AN7" i="5305"/>
  <c r="AN8" i="5305"/>
  <c r="AN9" i="5305"/>
  <c r="AN10" i="5305"/>
  <c r="AN11" i="5305"/>
  <c r="AN12" i="5305"/>
  <c r="AN13" i="5305"/>
  <c r="AN14" i="5305"/>
  <c r="AN15" i="5305"/>
  <c r="AN16" i="5305"/>
  <c r="AN17" i="5305"/>
  <c r="AN18" i="5305"/>
  <c r="AN19" i="5305"/>
  <c r="AN20" i="5305"/>
  <c r="AN21" i="5305"/>
  <c r="AN22" i="5305"/>
  <c r="AN23" i="5305"/>
  <c r="AN24" i="5305"/>
  <c r="AN25" i="5305"/>
  <c r="AN26" i="5305"/>
  <c r="AN27" i="5305"/>
  <c r="AN28" i="5305"/>
  <c r="AN29" i="5305"/>
  <c r="AN30" i="5305"/>
  <c r="AN31" i="5305"/>
  <c r="AN32" i="5305"/>
  <c r="AN33" i="5305"/>
  <c r="AN34" i="5305"/>
  <c r="AN35" i="5305"/>
  <c r="AN36" i="5305"/>
  <c r="AN37" i="5305"/>
  <c r="AN38" i="5305"/>
  <c r="AN39" i="5305"/>
  <c r="AN40" i="5305"/>
  <c r="AN41" i="5305"/>
  <c r="AN42" i="5305"/>
  <c r="AN43" i="5305"/>
  <c r="AN44" i="5305"/>
  <c r="AN45" i="5305"/>
  <c r="AN46" i="5305"/>
  <c r="AN47" i="5305"/>
  <c r="AN48" i="5305"/>
  <c r="AN49" i="5305"/>
  <c r="AN50" i="5305"/>
  <c r="AN51" i="5305"/>
  <c r="AN52" i="5305"/>
  <c r="AN53" i="5305"/>
  <c r="AN54" i="5305"/>
  <c r="AN2" i="5304"/>
  <c r="AN3" i="5304"/>
  <c r="AN4" i="5304"/>
  <c r="AN5" i="5304"/>
  <c r="AN6" i="5304"/>
  <c r="AN7" i="5304"/>
  <c r="AN8" i="5304"/>
  <c r="AN9" i="5304"/>
  <c r="AN10" i="5304"/>
  <c r="AN11" i="5304"/>
  <c r="AN12" i="5304"/>
  <c r="AN13" i="5304"/>
  <c r="AN14" i="5304"/>
  <c r="AN15" i="5304"/>
  <c r="AN16" i="5304"/>
  <c r="AN17" i="5304"/>
  <c r="AN18" i="5304"/>
  <c r="AN19" i="5304"/>
  <c r="AN20" i="5304"/>
  <c r="AN21" i="5304"/>
  <c r="AN22" i="5304"/>
  <c r="AN23" i="5304"/>
  <c r="AN24" i="5304"/>
  <c r="AN25" i="5304"/>
  <c r="AN26" i="5304"/>
  <c r="AN27" i="5304"/>
  <c r="AN28" i="5304"/>
  <c r="AN29" i="5304"/>
  <c r="AN30" i="5304"/>
  <c r="AN31" i="5304"/>
  <c r="AN32" i="5304"/>
  <c r="AN33" i="5304"/>
  <c r="AN34" i="5304"/>
  <c r="AN35" i="5304"/>
  <c r="AN36" i="5304"/>
  <c r="AN37" i="5304"/>
  <c r="AN38" i="5304"/>
  <c r="AN39" i="5304"/>
  <c r="AN40" i="5304"/>
  <c r="AN41" i="5304"/>
  <c r="AN42" i="5304"/>
  <c r="AN43" i="5304"/>
  <c r="AN44" i="5304"/>
  <c r="AN45" i="5304"/>
  <c r="AN46" i="5304"/>
  <c r="AN47" i="5304"/>
  <c r="AN48" i="5304"/>
  <c r="AN49" i="5304"/>
  <c r="AN50" i="5304"/>
  <c r="AN51" i="5304"/>
  <c r="AN52" i="5304"/>
  <c r="AN53" i="5304"/>
  <c r="AN54" i="5304"/>
  <c r="AN2" i="5303"/>
  <c r="AN3" i="5303"/>
  <c r="AN4" i="5303"/>
  <c r="AN5" i="5303"/>
  <c r="AN6" i="5303"/>
  <c r="AN7" i="5303"/>
  <c r="AN8" i="5303"/>
  <c r="AN9" i="5303"/>
  <c r="AN10" i="5303"/>
  <c r="AN11" i="5303"/>
  <c r="AN12" i="5303"/>
  <c r="AN13" i="5303"/>
  <c r="AN14" i="5303"/>
  <c r="AN15" i="5303"/>
  <c r="AN16" i="5303"/>
  <c r="AN17" i="5303"/>
  <c r="AN18" i="5303"/>
  <c r="AN19" i="5303"/>
  <c r="AN20" i="5303"/>
  <c r="AN21" i="5303"/>
  <c r="AN22" i="5303"/>
  <c r="AN23" i="5303"/>
  <c r="AN24" i="5303"/>
  <c r="AN25" i="5303"/>
  <c r="AN26" i="5303"/>
  <c r="AN27" i="5303"/>
  <c r="AN28" i="5303"/>
  <c r="AN29" i="5303"/>
  <c r="AN30" i="5303"/>
  <c r="AN31" i="5303"/>
  <c r="AN32" i="5303"/>
  <c r="AN33" i="5303"/>
  <c r="AN34" i="5303"/>
  <c r="AN35" i="5303"/>
  <c r="AN36" i="5303"/>
  <c r="AN37" i="5303"/>
  <c r="AN38" i="5303"/>
  <c r="AN39" i="5303"/>
  <c r="AN40" i="5303"/>
  <c r="AN41" i="5303"/>
  <c r="AN42" i="5303"/>
  <c r="AN43" i="5303"/>
  <c r="AN44" i="5303"/>
  <c r="AN45" i="5303"/>
  <c r="AN46" i="5303"/>
  <c r="AN47" i="5303"/>
  <c r="AN48" i="5303"/>
  <c r="AN49" i="5303"/>
  <c r="AN50" i="5303"/>
  <c r="AN51" i="5303"/>
  <c r="AN52" i="5303"/>
  <c r="AN53" i="5303"/>
  <c r="AN54" i="5303"/>
  <c r="AN2" i="5302"/>
  <c r="AN3" i="5302"/>
  <c r="AN4" i="5302"/>
  <c r="AN5" i="5302"/>
  <c r="AN6" i="5302"/>
  <c r="AN7" i="5302"/>
  <c r="AN8" i="5302"/>
  <c r="AN9" i="5302"/>
  <c r="AN10" i="5302"/>
  <c r="AN11" i="5302"/>
  <c r="AN12" i="5302"/>
  <c r="AN13" i="5302"/>
  <c r="AN14" i="5302"/>
  <c r="AN15" i="5302"/>
  <c r="AN16" i="5302"/>
  <c r="AN17" i="5302"/>
  <c r="AN18" i="5302"/>
  <c r="AN19" i="5302"/>
  <c r="AN20" i="5302"/>
  <c r="AN21" i="5302"/>
  <c r="AN22" i="5302"/>
  <c r="AN23" i="5302"/>
  <c r="AN24" i="5302"/>
  <c r="AN25" i="5302"/>
  <c r="AN26" i="5302"/>
  <c r="AN27" i="5302"/>
  <c r="AN28" i="5302"/>
  <c r="AN29" i="5302"/>
  <c r="AN30" i="5302"/>
  <c r="AN31" i="5302"/>
  <c r="AN32" i="5302"/>
  <c r="AN33" i="5302"/>
  <c r="AN34" i="5302"/>
  <c r="AN35" i="5302"/>
  <c r="AN36" i="5302"/>
  <c r="AN37" i="5302"/>
  <c r="AN38" i="5302"/>
  <c r="AN39" i="5302"/>
  <c r="AN40" i="5302"/>
  <c r="AN41" i="5302"/>
  <c r="AN42" i="5302"/>
  <c r="AN43" i="5302"/>
  <c r="AN44" i="5302"/>
  <c r="AN45" i="5302"/>
  <c r="AN46" i="5302"/>
  <c r="AN47" i="5302"/>
  <c r="AN48" i="5302"/>
  <c r="AN49" i="5302"/>
  <c r="AN50" i="5302"/>
  <c r="AN51" i="5302"/>
  <c r="AN52" i="5302"/>
  <c r="AN53" i="5302"/>
  <c r="AN54" i="5302"/>
  <c r="AM2" i="5307"/>
  <c r="AM3" i="5307"/>
  <c r="AM4" i="5307"/>
  <c r="AM5" i="5307"/>
  <c r="AM6" i="5307"/>
  <c r="AM7" i="5307"/>
  <c r="AM8" i="5307"/>
  <c r="AM9" i="5307"/>
  <c r="AM10" i="5307"/>
  <c r="AM11" i="5307"/>
  <c r="AM12" i="5307"/>
  <c r="AM13" i="5307"/>
  <c r="AM14" i="5307"/>
  <c r="AM15" i="5307"/>
  <c r="AM16" i="5307"/>
  <c r="AM17" i="5307"/>
  <c r="AM18" i="5307"/>
  <c r="AM19" i="5307"/>
  <c r="AM20" i="5307"/>
  <c r="AM21" i="5307"/>
  <c r="AM22" i="5307"/>
  <c r="AM23" i="5307"/>
  <c r="AM24" i="5307"/>
  <c r="AM25" i="5307"/>
  <c r="AM26" i="5307"/>
  <c r="AM27" i="5307"/>
  <c r="AM28" i="5307"/>
  <c r="AM29" i="5307"/>
  <c r="AM30" i="5307"/>
  <c r="AM31" i="5307"/>
  <c r="AM32" i="5307"/>
  <c r="AM33" i="5307"/>
  <c r="AM34" i="5307"/>
  <c r="AM35" i="5307"/>
  <c r="AM36" i="5307"/>
  <c r="AM37" i="5307"/>
  <c r="AM38" i="5307"/>
  <c r="AM39" i="5307"/>
  <c r="AM40" i="5307"/>
  <c r="AM41" i="5307"/>
  <c r="AM42" i="5307"/>
  <c r="AM43" i="5307"/>
  <c r="AM44" i="5307"/>
  <c r="AM45" i="5307"/>
  <c r="AM46" i="5307"/>
  <c r="AM47" i="5307"/>
  <c r="AM48" i="5307"/>
  <c r="AM49" i="5307"/>
  <c r="AM50" i="5307"/>
  <c r="AM51" i="5307"/>
  <c r="AM52" i="5307"/>
  <c r="AM53" i="5307"/>
  <c r="AM54" i="5307"/>
  <c r="AM2" i="5306"/>
  <c r="AM3" i="5306"/>
  <c r="AM4" i="5306"/>
  <c r="AM5" i="5306"/>
  <c r="AM6" i="5306"/>
  <c r="AM7" i="5306"/>
  <c r="AM8" i="5306"/>
  <c r="AM9" i="5306"/>
  <c r="AM10" i="5306"/>
  <c r="AM11" i="5306"/>
  <c r="AM12" i="5306"/>
  <c r="AM13" i="5306"/>
  <c r="AM14" i="5306"/>
  <c r="AM15" i="5306"/>
  <c r="AM16" i="5306"/>
  <c r="AM17" i="5306"/>
  <c r="AM18" i="5306"/>
  <c r="AM19" i="5306"/>
  <c r="AM20" i="5306"/>
  <c r="AM21" i="5306"/>
  <c r="AM22" i="5306"/>
  <c r="AM23" i="5306"/>
  <c r="AM24" i="5306"/>
  <c r="AM25" i="5306"/>
  <c r="AM26" i="5306"/>
  <c r="AM27" i="5306"/>
  <c r="AM28" i="5306"/>
  <c r="AM29" i="5306"/>
  <c r="AM30" i="5306"/>
  <c r="AM31" i="5306"/>
  <c r="AM32" i="5306"/>
  <c r="AM33" i="5306"/>
  <c r="AM34" i="5306"/>
  <c r="AM35" i="5306"/>
  <c r="AM36" i="5306"/>
  <c r="AM37" i="5306"/>
  <c r="AM38" i="5306"/>
  <c r="AM39" i="5306"/>
  <c r="AM40" i="5306"/>
  <c r="AM41" i="5306"/>
  <c r="AM42" i="5306"/>
  <c r="AM43" i="5306"/>
  <c r="AM44" i="5306"/>
  <c r="AM45" i="5306"/>
  <c r="AM46" i="5306"/>
  <c r="AM47" i="5306"/>
  <c r="AM48" i="5306"/>
  <c r="AM49" i="5306"/>
  <c r="AM50" i="5306"/>
  <c r="AM51" i="5306"/>
  <c r="AM52" i="5306"/>
  <c r="AM53" i="5306"/>
  <c r="AM54" i="5306"/>
  <c r="AM2" i="5305"/>
  <c r="AM3" i="5305"/>
  <c r="AM4" i="5305"/>
  <c r="AM5" i="5305"/>
  <c r="AM6" i="5305"/>
  <c r="AM7" i="5305"/>
  <c r="AM8" i="5305"/>
  <c r="AM9" i="5305"/>
  <c r="AM10" i="5305"/>
  <c r="AM11" i="5305"/>
  <c r="AM12" i="5305"/>
  <c r="AM13" i="5305"/>
  <c r="AM14" i="5305"/>
  <c r="AM15" i="5305"/>
  <c r="AM16" i="5305"/>
  <c r="AM17" i="5305"/>
  <c r="AM18" i="5305"/>
  <c r="AM19" i="5305"/>
  <c r="AM20" i="5305"/>
  <c r="AM21" i="5305"/>
  <c r="AM22" i="5305"/>
  <c r="AM23" i="5305"/>
  <c r="AM24" i="5305"/>
  <c r="AM25" i="5305"/>
  <c r="AM26" i="5305"/>
  <c r="AM27" i="5305"/>
  <c r="AM28" i="5305"/>
  <c r="AM29" i="5305"/>
  <c r="AM30" i="5305"/>
  <c r="AM31" i="5305"/>
  <c r="AM32" i="5305"/>
  <c r="AM33" i="5305"/>
  <c r="AM34" i="5305"/>
  <c r="AM35" i="5305"/>
  <c r="AM36" i="5305"/>
  <c r="AM37" i="5305"/>
  <c r="AM38" i="5305"/>
  <c r="AM39" i="5305"/>
  <c r="AM40" i="5305"/>
  <c r="AM41" i="5305"/>
  <c r="AM42" i="5305"/>
  <c r="AM43" i="5305"/>
  <c r="AM44" i="5305"/>
  <c r="AM45" i="5305"/>
  <c r="AM46" i="5305"/>
  <c r="AM47" i="5305"/>
  <c r="AM48" i="5305"/>
  <c r="AM49" i="5305"/>
  <c r="AM50" i="5305"/>
  <c r="AM51" i="5305"/>
  <c r="AM52" i="5305"/>
  <c r="AM53" i="5305"/>
  <c r="AM54" i="5305"/>
  <c r="AM2" i="5304"/>
  <c r="AM3" i="5304"/>
  <c r="AM4" i="5304"/>
  <c r="AM5" i="5304"/>
  <c r="AM6" i="5304"/>
  <c r="AM7" i="5304"/>
  <c r="AM8" i="5304"/>
  <c r="AM9" i="5304"/>
  <c r="AM10" i="5304"/>
  <c r="AM11" i="5304"/>
  <c r="AM12" i="5304"/>
  <c r="AM13" i="5304"/>
  <c r="AM14" i="5304"/>
  <c r="AM15" i="5304"/>
  <c r="AM16" i="5304"/>
  <c r="AM17" i="5304"/>
  <c r="AM18" i="5304"/>
  <c r="AM19" i="5304"/>
  <c r="AM20" i="5304"/>
  <c r="AM21" i="5304"/>
  <c r="AM22" i="5304"/>
  <c r="AM23" i="5304"/>
  <c r="AM24" i="5304"/>
  <c r="AM25" i="5304"/>
  <c r="AM26" i="5304"/>
  <c r="AM27" i="5304"/>
  <c r="AM28" i="5304"/>
  <c r="AM29" i="5304"/>
  <c r="AM30" i="5304"/>
  <c r="AM31" i="5304"/>
  <c r="AM32" i="5304"/>
  <c r="AM33" i="5304"/>
  <c r="AM34" i="5304"/>
  <c r="AM35" i="5304"/>
  <c r="AM36" i="5304"/>
  <c r="AM37" i="5304"/>
  <c r="AM38" i="5304"/>
  <c r="AM39" i="5304"/>
  <c r="AM40" i="5304"/>
  <c r="AM41" i="5304"/>
  <c r="AM42" i="5304"/>
  <c r="AM43" i="5304"/>
  <c r="AM44" i="5304"/>
  <c r="AM45" i="5304"/>
  <c r="AM46" i="5304"/>
  <c r="AM47" i="5304"/>
  <c r="AM48" i="5304"/>
  <c r="AM49" i="5304"/>
  <c r="AM50" i="5304"/>
  <c r="AM51" i="5304"/>
  <c r="AM52" i="5304"/>
  <c r="AM53" i="5304"/>
  <c r="AM54" i="5304"/>
  <c r="AM2" i="5303"/>
  <c r="AM3" i="5303"/>
  <c r="AM4" i="5303"/>
  <c r="AM5" i="5303"/>
  <c r="AM6" i="5303"/>
  <c r="AM7" i="5303"/>
  <c r="AM8" i="5303"/>
  <c r="AM9" i="5303"/>
  <c r="AM10" i="5303"/>
  <c r="AM11" i="5303"/>
  <c r="AM12" i="5303"/>
  <c r="AM13" i="5303"/>
  <c r="AM14" i="5303"/>
  <c r="AM15" i="5303"/>
  <c r="AM16" i="5303"/>
  <c r="AM17" i="5303"/>
  <c r="AM18" i="5303"/>
  <c r="AM19" i="5303"/>
  <c r="AM20" i="5303"/>
  <c r="AM21" i="5303"/>
  <c r="AM22" i="5303"/>
  <c r="AM23" i="5303"/>
  <c r="AM24" i="5303"/>
  <c r="AM25" i="5303"/>
  <c r="AM26" i="5303"/>
  <c r="AM27" i="5303"/>
  <c r="AM28" i="5303"/>
  <c r="AM29" i="5303"/>
  <c r="AM30" i="5303"/>
  <c r="AM31" i="5303"/>
  <c r="AM32" i="5303"/>
  <c r="AM33" i="5303"/>
  <c r="AM34" i="5303"/>
  <c r="AM35" i="5303"/>
  <c r="AM36" i="5303"/>
  <c r="AM37" i="5303"/>
  <c r="AM38" i="5303"/>
  <c r="AM39" i="5303"/>
  <c r="AM40" i="5303"/>
  <c r="AM41" i="5303"/>
  <c r="AM42" i="5303"/>
  <c r="AM43" i="5303"/>
  <c r="AM44" i="5303"/>
  <c r="AM45" i="5303"/>
  <c r="AM46" i="5303"/>
  <c r="AM47" i="5303"/>
  <c r="AM48" i="5303"/>
  <c r="AM49" i="5303"/>
  <c r="AM50" i="5303"/>
  <c r="AM51" i="5303"/>
  <c r="AM52" i="5303"/>
  <c r="AM53" i="5303"/>
  <c r="AM54" i="5303"/>
  <c r="AM2" i="5302"/>
  <c r="AM3" i="5302"/>
  <c r="AM4" i="5302"/>
  <c r="AM5" i="5302"/>
  <c r="AM6" i="5302"/>
  <c r="AM7" i="5302"/>
  <c r="AM8" i="5302"/>
  <c r="AM9" i="5302"/>
  <c r="AM10" i="5302"/>
  <c r="AM11" i="5302"/>
  <c r="AM12" i="5302"/>
  <c r="AM13" i="5302"/>
  <c r="AM14" i="5302"/>
  <c r="AM15" i="5302"/>
  <c r="AM16" i="5302"/>
  <c r="AM17" i="5302"/>
  <c r="AM18" i="5302"/>
  <c r="AM19" i="5302"/>
  <c r="AM20" i="5302"/>
  <c r="AM21" i="5302"/>
  <c r="AM22" i="5302"/>
  <c r="AM23" i="5302"/>
  <c r="AM24" i="5302"/>
  <c r="AM25" i="5302"/>
  <c r="AM26" i="5302"/>
  <c r="AM27" i="5302"/>
  <c r="AM28" i="5302"/>
  <c r="AM29" i="5302"/>
  <c r="AM30" i="5302"/>
  <c r="AM31" i="5302"/>
  <c r="AM32" i="5302"/>
  <c r="AM33" i="5302"/>
  <c r="AM34" i="5302"/>
  <c r="AM35" i="5302"/>
  <c r="AM36" i="5302"/>
  <c r="AM37" i="5302"/>
  <c r="AM38" i="5302"/>
  <c r="AM39" i="5302"/>
  <c r="AM40" i="5302"/>
  <c r="AM41" i="5302"/>
  <c r="AM42" i="5302"/>
  <c r="AM43" i="5302"/>
  <c r="AM44" i="5302"/>
  <c r="AM45" i="5302"/>
  <c r="AM46" i="5302"/>
  <c r="AM47" i="5302"/>
  <c r="AM48" i="5302"/>
  <c r="AM49" i="5302"/>
  <c r="AM50" i="5302"/>
  <c r="AM51" i="5302"/>
  <c r="AM52" i="5302"/>
  <c r="AM53" i="5302"/>
  <c r="AM54" i="5302"/>
  <c r="AL2" i="5307"/>
  <c r="AL3" i="5307"/>
  <c r="AL4" i="5307"/>
  <c r="AL5" i="5307"/>
  <c r="AL6" i="5307"/>
  <c r="AL7" i="5307"/>
  <c r="AL8" i="5307"/>
  <c r="AL9" i="5307"/>
  <c r="AL10" i="5307"/>
  <c r="AL11" i="5307"/>
  <c r="AL12" i="5307"/>
  <c r="AL13" i="5307"/>
  <c r="AL14" i="5307"/>
  <c r="AL15" i="5307"/>
  <c r="AL16" i="5307"/>
  <c r="AL17" i="5307"/>
  <c r="AL18" i="5307"/>
  <c r="AL19" i="5307"/>
  <c r="AL20" i="5307"/>
  <c r="AL21" i="5307"/>
  <c r="AL22" i="5307"/>
  <c r="AL23" i="5307"/>
  <c r="AL24" i="5307"/>
  <c r="AL25" i="5307"/>
  <c r="AL26" i="5307"/>
  <c r="AL27" i="5307"/>
  <c r="AL28" i="5307"/>
  <c r="AL29" i="5307"/>
  <c r="AL30" i="5307"/>
  <c r="AL31" i="5307"/>
  <c r="AL32" i="5307"/>
  <c r="AL33" i="5307"/>
  <c r="AL34" i="5307"/>
  <c r="AL35" i="5307"/>
  <c r="AL36" i="5307"/>
  <c r="AL37" i="5307"/>
  <c r="AL38" i="5307"/>
  <c r="AL39" i="5307"/>
  <c r="AL40" i="5307"/>
  <c r="AL41" i="5307"/>
  <c r="AL42" i="5307"/>
  <c r="AL43" i="5307"/>
  <c r="AL44" i="5307"/>
  <c r="AL45" i="5307"/>
  <c r="AL46" i="5307"/>
  <c r="AL47" i="5307"/>
  <c r="AL48" i="5307"/>
  <c r="AL49" i="5307"/>
  <c r="AL50" i="5307"/>
  <c r="AL51" i="5307"/>
  <c r="AL52" i="5307"/>
  <c r="AL53" i="5307"/>
  <c r="AL54" i="5307"/>
  <c r="AL2" i="5306"/>
  <c r="AL3" i="5306"/>
  <c r="AL4" i="5306"/>
  <c r="AL5" i="5306"/>
  <c r="AL6" i="5306"/>
  <c r="AL7" i="5306"/>
  <c r="AL8" i="5306"/>
  <c r="AL9" i="5306"/>
  <c r="AL10" i="5306"/>
  <c r="AL11" i="5306"/>
  <c r="AL12" i="5306"/>
  <c r="AL13" i="5306"/>
  <c r="AL14" i="5306"/>
  <c r="AL15" i="5306"/>
  <c r="AL16" i="5306"/>
  <c r="AL17" i="5306"/>
  <c r="AL18" i="5306"/>
  <c r="AL19" i="5306"/>
  <c r="AL20" i="5306"/>
  <c r="AL21" i="5306"/>
  <c r="AL22" i="5306"/>
  <c r="AL23" i="5306"/>
  <c r="AL24" i="5306"/>
  <c r="AL25" i="5306"/>
  <c r="AL26" i="5306"/>
  <c r="AL27" i="5306"/>
  <c r="AL28" i="5306"/>
  <c r="AL29" i="5306"/>
  <c r="AL30" i="5306"/>
  <c r="AL31" i="5306"/>
  <c r="AL32" i="5306"/>
  <c r="AL33" i="5306"/>
  <c r="AL34" i="5306"/>
  <c r="AL35" i="5306"/>
  <c r="AL36" i="5306"/>
  <c r="AL37" i="5306"/>
  <c r="AL38" i="5306"/>
  <c r="AL39" i="5306"/>
  <c r="AL40" i="5306"/>
  <c r="AL41" i="5306"/>
  <c r="AL42" i="5306"/>
  <c r="AL43" i="5306"/>
  <c r="AL44" i="5306"/>
  <c r="AL45" i="5306"/>
  <c r="AL46" i="5306"/>
  <c r="AL47" i="5306"/>
  <c r="AL48" i="5306"/>
  <c r="AL49" i="5306"/>
  <c r="AL50" i="5306"/>
  <c r="AL51" i="5306"/>
  <c r="AL52" i="5306"/>
  <c r="AL53" i="5306"/>
  <c r="AL54" i="5306"/>
  <c r="AL2" i="5305"/>
  <c r="AL3" i="5305"/>
  <c r="AL4" i="5305"/>
  <c r="AL5" i="5305"/>
  <c r="AL6" i="5305"/>
  <c r="AL7" i="5305"/>
  <c r="AL8" i="5305"/>
  <c r="AL9" i="5305"/>
  <c r="AL10" i="5305"/>
  <c r="AL11" i="5305"/>
  <c r="AL12" i="5305"/>
  <c r="AL13" i="5305"/>
  <c r="AL14" i="5305"/>
  <c r="AL15" i="5305"/>
  <c r="AL16" i="5305"/>
  <c r="AL17" i="5305"/>
  <c r="AL18" i="5305"/>
  <c r="AL19" i="5305"/>
  <c r="AL20" i="5305"/>
  <c r="AL21" i="5305"/>
  <c r="AL22" i="5305"/>
  <c r="AL23" i="5305"/>
  <c r="AL24" i="5305"/>
  <c r="AL25" i="5305"/>
  <c r="AL26" i="5305"/>
  <c r="AL27" i="5305"/>
  <c r="AL28" i="5305"/>
  <c r="AL29" i="5305"/>
  <c r="AL30" i="5305"/>
  <c r="AL31" i="5305"/>
  <c r="AL32" i="5305"/>
  <c r="AL33" i="5305"/>
  <c r="AL34" i="5305"/>
  <c r="AL35" i="5305"/>
  <c r="AL36" i="5305"/>
  <c r="AL37" i="5305"/>
  <c r="AL38" i="5305"/>
  <c r="AL39" i="5305"/>
  <c r="AL40" i="5305"/>
  <c r="AL41" i="5305"/>
  <c r="AL42" i="5305"/>
  <c r="AL43" i="5305"/>
  <c r="AL44" i="5305"/>
  <c r="AL45" i="5305"/>
  <c r="AL46" i="5305"/>
  <c r="AL47" i="5305"/>
  <c r="AL48" i="5305"/>
  <c r="AL49" i="5305"/>
  <c r="AL50" i="5305"/>
  <c r="AL51" i="5305"/>
  <c r="AL52" i="5305"/>
  <c r="AL53" i="5305"/>
  <c r="AL54" i="5305"/>
  <c r="AL2" i="5304"/>
  <c r="AL3" i="5304"/>
  <c r="AL4" i="5304"/>
  <c r="AL5" i="5304"/>
  <c r="AL6" i="5304"/>
  <c r="AL7" i="5304"/>
  <c r="AL8" i="5304"/>
  <c r="AL9" i="5304"/>
  <c r="AL10" i="5304"/>
  <c r="AL11" i="5304"/>
  <c r="AL12" i="5304"/>
  <c r="AL13" i="5304"/>
  <c r="AL14" i="5304"/>
  <c r="AL15" i="5304"/>
  <c r="AL16" i="5304"/>
  <c r="AL17" i="5304"/>
  <c r="AL18" i="5304"/>
  <c r="AL19" i="5304"/>
  <c r="AL20" i="5304"/>
  <c r="AL21" i="5304"/>
  <c r="AL22" i="5304"/>
  <c r="AL23" i="5304"/>
  <c r="AL24" i="5304"/>
  <c r="AL25" i="5304"/>
  <c r="AL26" i="5304"/>
  <c r="AL27" i="5304"/>
  <c r="AL28" i="5304"/>
  <c r="AL29" i="5304"/>
  <c r="AL30" i="5304"/>
  <c r="AL31" i="5304"/>
  <c r="AL32" i="5304"/>
  <c r="AL33" i="5304"/>
  <c r="AL34" i="5304"/>
  <c r="AL35" i="5304"/>
  <c r="AL36" i="5304"/>
  <c r="AL37" i="5304"/>
  <c r="AL38" i="5304"/>
  <c r="AL39" i="5304"/>
  <c r="AL40" i="5304"/>
  <c r="AL41" i="5304"/>
  <c r="AL42" i="5304"/>
  <c r="AL43" i="5304"/>
  <c r="AL44" i="5304"/>
  <c r="AL45" i="5304"/>
  <c r="AL46" i="5304"/>
  <c r="AL47" i="5304"/>
  <c r="AL48" i="5304"/>
  <c r="AL49" i="5304"/>
  <c r="AL50" i="5304"/>
  <c r="AL51" i="5304"/>
  <c r="AL52" i="5304"/>
  <c r="AL53" i="5304"/>
  <c r="AL54" i="5304"/>
  <c r="AL2" i="5303"/>
  <c r="AL3" i="5303"/>
  <c r="AL4" i="5303"/>
  <c r="AL5" i="5303"/>
  <c r="AL6" i="5303"/>
  <c r="AL7" i="5303"/>
  <c r="AL8" i="5303"/>
  <c r="AL9" i="5303"/>
  <c r="AL10" i="5303"/>
  <c r="AL11" i="5303"/>
  <c r="AL12" i="5303"/>
  <c r="AL13" i="5303"/>
  <c r="AL14" i="5303"/>
  <c r="AL15" i="5303"/>
  <c r="AL16" i="5303"/>
  <c r="AL17" i="5303"/>
  <c r="AL18" i="5303"/>
  <c r="AL19" i="5303"/>
  <c r="AL20" i="5303"/>
  <c r="AL21" i="5303"/>
  <c r="AL22" i="5303"/>
  <c r="AL23" i="5303"/>
  <c r="AL24" i="5303"/>
  <c r="AL25" i="5303"/>
  <c r="AL26" i="5303"/>
  <c r="AL27" i="5303"/>
  <c r="AL28" i="5303"/>
  <c r="AL29" i="5303"/>
  <c r="AL30" i="5303"/>
  <c r="AL31" i="5303"/>
  <c r="AL32" i="5303"/>
  <c r="AL33" i="5303"/>
  <c r="AL34" i="5303"/>
  <c r="AL35" i="5303"/>
  <c r="AL36" i="5303"/>
  <c r="AL37" i="5303"/>
  <c r="AL38" i="5303"/>
  <c r="AL39" i="5303"/>
  <c r="AL40" i="5303"/>
  <c r="AL41" i="5303"/>
  <c r="AL42" i="5303"/>
  <c r="AL43" i="5303"/>
  <c r="AL44" i="5303"/>
  <c r="AL45" i="5303"/>
  <c r="AL46" i="5303"/>
  <c r="AL47" i="5303"/>
  <c r="AL48" i="5303"/>
  <c r="AL49" i="5303"/>
  <c r="AL50" i="5303"/>
  <c r="AL51" i="5303"/>
  <c r="AL52" i="5303"/>
  <c r="AL53" i="5303"/>
  <c r="AL54" i="5303"/>
  <c r="AL2" i="5302"/>
  <c r="AL3" i="5302"/>
  <c r="AL4" i="5302"/>
  <c r="AL5" i="5302"/>
  <c r="AL6" i="5302"/>
  <c r="AL7" i="5302"/>
  <c r="AL8" i="5302"/>
  <c r="AL9" i="5302"/>
  <c r="AL10" i="5302"/>
  <c r="AL11" i="5302"/>
  <c r="AL12" i="5302"/>
  <c r="AL13" i="5302"/>
  <c r="AL14" i="5302"/>
  <c r="AL15" i="5302"/>
  <c r="AL16" i="5302"/>
  <c r="AL17" i="5302"/>
  <c r="AL18" i="5302"/>
  <c r="AL19" i="5302"/>
  <c r="AL20" i="5302"/>
  <c r="AL21" i="5302"/>
  <c r="AL22" i="5302"/>
  <c r="AL23" i="5302"/>
  <c r="AL24" i="5302"/>
  <c r="AL25" i="5302"/>
  <c r="AL26" i="5302"/>
  <c r="AL27" i="5302"/>
  <c r="AL28" i="5302"/>
  <c r="AL29" i="5302"/>
  <c r="AL30" i="5302"/>
  <c r="AL31" i="5302"/>
  <c r="AL32" i="5302"/>
  <c r="AL33" i="5302"/>
  <c r="AL34" i="5302"/>
  <c r="AL35" i="5302"/>
  <c r="AL36" i="5302"/>
  <c r="AL37" i="5302"/>
  <c r="AL38" i="5302"/>
  <c r="AL39" i="5302"/>
  <c r="AL40" i="5302"/>
  <c r="AL41" i="5302"/>
  <c r="AL42" i="5302"/>
  <c r="AL43" i="5302"/>
  <c r="AL44" i="5302"/>
  <c r="AL45" i="5302"/>
  <c r="AL46" i="5302"/>
  <c r="AL47" i="5302"/>
  <c r="AL48" i="5302"/>
  <c r="AL49" i="5302"/>
  <c r="AL50" i="5302"/>
  <c r="AL51" i="5302"/>
  <c r="AL52" i="5302"/>
  <c r="AL53" i="5302"/>
  <c r="AL54" i="5302"/>
  <c r="AK2" i="5307"/>
  <c r="AK3" i="5307"/>
  <c r="AK4" i="5307"/>
  <c r="AK5" i="5307"/>
  <c r="AK6" i="5307"/>
  <c r="AK7" i="5307"/>
  <c r="AK8" i="5307"/>
  <c r="AK9" i="5307"/>
  <c r="AK10" i="5307"/>
  <c r="AK11" i="5307"/>
  <c r="AK12" i="5307"/>
  <c r="AK13" i="5307"/>
  <c r="AK14" i="5307"/>
  <c r="AK15" i="5307"/>
  <c r="AK16" i="5307"/>
  <c r="AK17" i="5307"/>
  <c r="AK18" i="5307"/>
  <c r="AK19" i="5307"/>
  <c r="AK20" i="5307"/>
  <c r="AK21" i="5307"/>
  <c r="AK22" i="5307"/>
  <c r="AK23" i="5307"/>
  <c r="AK24" i="5307"/>
  <c r="AK25" i="5307"/>
  <c r="AK26" i="5307"/>
  <c r="AK27" i="5307"/>
  <c r="AK28" i="5307"/>
  <c r="AK29" i="5307"/>
  <c r="AK30" i="5307"/>
  <c r="AK31" i="5307"/>
  <c r="AK32" i="5307"/>
  <c r="AK33" i="5307"/>
  <c r="AK34" i="5307"/>
  <c r="AK35" i="5307"/>
  <c r="AK36" i="5307"/>
  <c r="AK37" i="5307"/>
  <c r="AK38" i="5307"/>
  <c r="AK39" i="5307"/>
  <c r="AK40" i="5307"/>
  <c r="AK41" i="5307"/>
  <c r="AK42" i="5307"/>
  <c r="AK43" i="5307"/>
  <c r="AK44" i="5307"/>
  <c r="AK45" i="5307"/>
  <c r="AK46" i="5307"/>
  <c r="AK47" i="5307"/>
  <c r="AK48" i="5307"/>
  <c r="AK49" i="5307"/>
  <c r="AK50" i="5307"/>
  <c r="AK51" i="5307"/>
  <c r="AK52" i="5307"/>
  <c r="AK53" i="5307"/>
  <c r="AK54" i="5307"/>
  <c r="AK2" i="5306"/>
  <c r="AK3" i="5306"/>
  <c r="AK4" i="5306"/>
  <c r="AK5" i="5306"/>
  <c r="AK6" i="5306"/>
  <c r="AK7" i="5306"/>
  <c r="AK8" i="5306"/>
  <c r="AK9" i="5306"/>
  <c r="AK10" i="5306"/>
  <c r="AK11" i="5306"/>
  <c r="AK12" i="5306"/>
  <c r="AK13" i="5306"/>
  <c r="AK14" i="5306"/>
  <c r="AK15" i="5306"/>
  <c r="AK16" i="5306"/>
  <c r="AK17" i="5306"/>
  <c r="AK18" i="5306"/>
  <c r="AK19" i="5306"/>
  <c r="AK20" i="5306"/>
  <c r="AK21" i="5306"/>
  <c r="AK22" i="5306"/>
  <c r="AK23" i="5306"/>
  <c r="AK24" i="5306"/>
  <c r="AK25" i="5306"/>
  <c r="AK26" i="5306"/>
  <c r="AK27" i="5306"/>
  <c r="AK28" i="5306"/>
  <c r="AK29" i="5306"/>
  <c r="AK30" i="5306"/>
  <c r="AK31" i="5306"/>
  <c r="AK32" i="5306"/>
  <c r="AK33" i="5306"/>
  <c r="AK34" i="5306"/>
  <c r="AK35" i="5306"/>
  <c r="AK36" i="5306"/>
  <c r="AK37" i="5306"/>
  <c r="AK38" i="5306"/>
  <c r="AK39" i="5306"/>
  <c r="AK40" i="5306"/>
  <c r="AK41" i="5306"/>
  <c r="AK42" i="5306"/>
  <c r="AK43" i="5306"/>
  <c r="AK44" i="5306"/>
  <c r="AK45" i="5306"/>
  <c r="AK46" i="5306"/>
  <c r="AK47" i="5306"/>
  <c r="AK48" i="5306"/>
  <c r="AK49" i="5306"/>
  <c r="AK50" i="5306"/>
  <c r="AK51" i="5306"/>
  <c r="AK52" i="5306"/>
  <c r="AK53" i="5306"/>
  <c r="AK54" i="5306"/>
  <c r="AK2" i="5305"/>
  <c r="AK3" i="5305"/>
  <c r="AK4" i="5305"/>
  <c r="AK5" i="5305"/>
  <c r="AK6" i="5305"/>
  <c r="AK7" i="5305"/>
  <c r="AK8" i="5305"/>
  <c r="AK9" i="5305"/>
  <c r="AK10" i="5305"/>
  <c r="AK11" i="5305"/>
  <c r="AK12" i="5305"/>
  <c r="AK13" i="5305"/>
  <c r="AK14" i="5305"/>
  <c r="AK15" i="5305"/>
  <c r="AK16" i="5305"/>
  <c r="AK17" i="5305"/>
  <c r="AK18" i="5305"/>
  <c r="AK19" i="5305"/>
  <c r="AK20" i="5305"/>
  <c r="AK21" i="5305"/>
  <c r="AK22" i="5305"/>
  <c r="AK23" i="5305"/>
  <c r="AK24" i="5305"/>
  <c r="AK25" i="5305"/>
  <c r="AK26" i="5305"/>
  <c r="AK27" i="5305"/>
  <c r="AK28" i="5305"/>
  <c r="AK29" i="5305"/>
  <c r="AK30" i="5305"/>
  <c r="AK31" i="5305"/>
  <c r="AK32" i="5305"/>
  <c r="AK33" i="5305"/>
  <c r="AK34" i="5305"/>
  <c r="AK35" i="5305"/>
  <c r="AK36" i="5305"/>
  <c r="AK37" i="5305"/>
  <c r="AK38" i="5305"/>
  <c r="AK39" i="5305"/>
  <c r="AK40" i="5305"/>
  <c r="AK41" i="5305"/>
  <c r="AK42" i="5305"/>
  <c r="AK43" i="5305"/>
  <c r="AK44" i="5305"/>
  <c r="AK45" i="5305"/>
  <c r="AK46" i="5305"/>
  <c r="AK47" i="5305"/>
  <c r="AK48" i="5305"/>
  <c r="AK49" i="5305"/>
  <c r="AK50" i="5305"/>
  <c r="AK51" i="5305"/>
  <c r="AK52" i="5305"/>
  <c r="AK53" i="5305"/>
  <c r="AK54" i="5305"/>
  <c r="AK2" i="5304"/>
  <c r="AK3" i="5304"/>
  <c r="AK4" i="5304"/>
  <c r="AK5" i="5304"/>
  <c r="AK6" i="5304"/>
  <c r="AK7" i="5304"/>
  <c r="AK8" i="5304"/>
  <c r="AK9" i="5304"/>
  <c r="AK10" i="5304"/>
  <c r="AK11" i="5304"/>
  <c r="AK12" i="5304"/>
  <c r="AK13" i="5304"/>
  <c r="AK14" i="5304"/>
  <c r="AK15" i="5304"/>
  <c r="AK16" i="5304"/>
  <c r="AK17" i="5304"/>
  <c r="AK18" i="5304"/>
  <c r="AK19" i="5304"/>
  <c r="AK20" i="5304"/>
  <c r="AK21" i="5304"/>
  <c r="AK22" i="5304"/>
  <c r="AK23" i="5304"/>
  <c r="AK24" i="5304"/>
  <c r="AK25" i="5304"/>
  <c r="AK26" i="5304"/>
  <c r="AK27" i="5304"/>
  <c r="AK28" i="5304"/>
  <c r="AK29" i="5304"/>
  <c r="AK30" i="5304"/>
  <c r="AK31" i="5304"/>
  <c r="AK32" i="5304"/>
  <c r="AK33" i="5304"/>
  <c r="AK34" i="5304"/>
  <c r="AK35" i="5304"/>
  <c r="AK36" i="5304"/>
  <c r="AK37" i="5304"/>
  <c r="AK38" i="5304"/>
  <c r="AK39" i="5304"/>
  <c r="AK40" i="5304"/>
  <c r="AK41" i="5304"/>
  <c r="AK42" i="5304"/>
  <c r="AK43" i="5304"/>
  <c r="AK44" i="5304"/>
  <c r="AK45" i="5304"/>
  <c r="AK46" i="5304"/>
  <c r="AK47" i="5304"/>
  <c r="AK48" i="5304"/>
  <c r="AK49" i="5304"/>
  <c r="AK50" i="5304"/>
  <c r="AK51" i="5304"/>
  <c r="AK52" i="5304"/>
  <c r="AK53" i="5304"/>
  <c r="AK54" i="5304"/>
  <c r="AK2" i="5303"/>
  <c r="AK3" i="5303"/>
  <c r="AK4" i="5303"/>
  <c r="AK5" i="5303"/>
  <c r="AK6" i="5303"/>
  <c r="AK7" i="5303"/>
  <c r="AK8" i="5303"/>
  <c r="AK9" i="5303"/>
  <c r="AK10" i="5303"/>
  <c r="AK11" i="5303"/>
  <c r="AK12" i="5303"/>
  <c r="AK13" i="5303"/>
  <c r="AK14" i="5303"/>
  <c r="AK15" i="5303"/>
  <c r="AK16" i="5303"/>
  <c r="AK17" i="5303"/>
  <c r="AK18" i="5303"/>
  <c r="AK19" i="5303"/>
  <c r="AK20" i="5303"/>
  <c r="AK21" i="5303"/>
  <c r="AK22" i="5303"/>
  <c r="AK23" i="5303"/>
  <c r="AK24" i="5303"/>
  <c r="AK25" i="5303"/>
  <c r="AK26" i="5303"/>
  <c r="AK27" i="5303"/>
  <c r="AK28" i="5303"/>
  <c r="AK29" i="5303"/>
  <c r="AK30" i="5303"/>
  <c r="AK31" i="5303"/>
  <c r="AK32" i="5303"/>
  <c r="AK33" i="5303"/>
  <c r="AK34" i="5303"/>
  <c r="AK35" i="5303"/>
  <c r="AK36" i="5303"/>
  <c r="AK37" i="5303"/>
  <c r="AK38" i="5303"/>
  <c r="AK39" i="5303"/>
  <c r="AK40" i="5303"/>
  <c r="AK41" i="5303"/>
  <c r="AK42" i="5303"/>
  <c r="AK43" i="5303"/>
  <c r="AK44" i="5303"/>
  <c r="AK45" i="5303"/>
  <c r="AK46" i="5303"/>
  <c r="AK47" i="5303"/>
  <c r="AK48" i="5303"/>
  <c r="AK49" i="5303"/>
  <c r="AK50" i="5303"/>
  <c r="AK51" i="5303"/>
  <c r="AK52" i="5303"/>
  <c r="AK53" i="5303"/>
  <c r="AK54" i="5303"/>
  <c r="AK2" i="5302"/>
  <c r="AK3" i="5302"/>
  <c r="AK4" i="5302"/>
  <c r="AK5" i="5302"/>
  <c r="AK6" i="5302"/>
  <c r="AK7" i="5302"/>
  <c r="AK8" i="5302"/>
  <c r="AK9" i="5302"/>
  <c r="AK10" i="5302"/>
  <c r="AK11" i="5302"/>
  <c r="AK12" i="5302"/>
  <c r="AK13" i="5302"/>
  <c r="AK14" i="5302"/>
  <c r="AK15" i="5302"/>
  <c r="AK16" i="5302"/>
  <c r="AK17" i="5302"/>
  <c r="AK18" i="5302"/>
  <c r="AK19" i="5302"/>
  <c r="AK20" i="5302"/>
  <c r="AK21" i="5302"/>
  <c r="AK22" i="5302"/>
  <c r="AK23" i="5302"/>
  <c r="AK24" i="5302"/>
  <c r="AK25" i="5302"/>
  <c r="AK26" i="5302"/>
  <c r="AK27" i="5302"/>
  <c r="AK28" i="5302"/>
  <c r="AK29" i="5302"/>
  <c r="AK30" i="5302"/>
  <c r="AK31" i="5302"/>
  <c r="AK32" i="5302"/>
  <c r="AK33" i="5302"/>
  <c r="AK34" i="5302"/>
  <c r="AK35" i="5302"/>
  <c r="AK36" i="5302"/>
  <c r="AK37" i="5302"/>
  <c r="AK38" i="5302"/>
  <c r="AK39" i="5302"/>
  <c r="AK40" i="5302"/>
  <c r="AK41" i="5302"/>
  <c r="AK42" i="5302"/>
  <c r="AK43" i="5302"/>
  <c r="AK44" i="5302"/>
  <c r="AK45" i="5302"/>
  <c r="AK46" i="5302"/>
  <c r="AK47" i="5302"/>
  <c r="AK48" i="5302"/>
  <c r="AK49" i="5302"/>
  <c r="AK50" i="5302"/>
  <c r="AK51" i="5302"/>
  <c r="AK52" i="5302"/>
  <c r="AK53" i="5302"/>
  <c r="AK54" i="5302"/>
  <c r="AJ2" i="5307"/>
  <c r="AJ3" i="5307"/>
  <c r="AJ4" i="5307"/>
  <c r="AJ5" i="5307"/>
  <c r="AJ6" i="5307"/>
  <c r="AJ7" i="5307"/>
  <c r="AJ8" i="5307"/>
  <c r="AJ9" i="5307"/>
  <c r="AJ10" i="5307"/>
  <c r="AJ11" i="5307"/>
  <c r="AJ12" i="5307"/>
  <c r="AJ13" i="5307"/>
  <c r="AJ14" i="5307"/>
  <c r="AJ15" i="5307"/>
  <c r="AJ16" i="5307"/>
  <c r="AJ17" i="5307"/>
  <c r="AJ18" i="5307"/>
  <c r="AJ19" i="5307"/>
  <c r="AJ20" i="5307"/>
  <c r="AJ21" i="5307"/>
  <c r="AJ22" i="5307"/>
  <c r="AJ23" i="5307"/>
  <c r="AJ24" i="5307"/>
  <c r="AJ25" i="5307"/>
  <c r="AJ26" i="5307"/>
  <c r="AJ27" i="5307"/>
  <c r="AJ28" i="5307"/>
  <c r="AJ29" i="5307"/>
  <c r="AJ30" i="5307"/>
  <c r="AJ31" i="5307"/>
  <c r="AJ32" i="5307"/>
  <c r="AJ33" i="5307"/>
  <c r="AJ34" i="5307"/>
  <c r="AJ35" i="5307"/>
  <c r="AJ36" i="5307"/>
  <c r="AJ37" i="5307"/>
  <c r="AJ38" i="5307"/>
  <c r="AJ39" i="5307"/>
  <c r="AJ40" i="5307"/>
  <c r="AJ41" i="5307"/>
  <c r="AJ42" i="5307"/>
  <c r="AJ43" i="5307"/>
  <c r="AJ44" i="5307"/>
  <c r="AJ45" i="5307"/>
  <c r="AJ46" i="5307"/>
  <c r="AJ47" i="5307"/>
  <c r="AJ48" i="5307"/>
  <c r="AJ49" i="5307"/>
  <c r="AJ50" i="5307"/>
  <c r="AJ51" i="5307"/>
  <c r="AJ52" i="5307"/>
  <c r="AJ53" i="5307"/>
  <c r="AJ54" i="5307"/>
  <c r="AJ2" i="5306"/>
  <c r="AJ3" i="5306"/>
  <c r="AJ4" i="5306"/>
  <c r="AJ5" i="5306"/>
  <c r="AJ6" i="5306"/>
  <c r="AJ7" i="5306"/>
  <c r="AJ8" i="5306"/>
  <c r="AJ9" i="5306"/>
  <c r="AJ10" i="5306"/>
  <c r="AJ11" i="5306"/>
  <c r="AJ12" i="5306"/>
  <c r="AJ13" i="5306"/>
  <c r="AJ14" i="5306"/>
  <c r="AJ15" i="5306"/>
  <c r="AJ16" i="5306"/>
  <c r="AJ17" i="5306"/>
  <c r="AJ18" i="5306"/>
  <c r="AJ19" i="5306"/>
  <c r="AJ20" i="5306"/>
  <c r="AJ21" i="5306"/>
  <c r="AJ22" i="5306"/>
  <c r="AJ23" i="5306"/>
  <c r="AJ24" i="5306"/>
  <c r="AJ25" i="5306"/>
  <c r="AJ26" i="5306"/>
  <c r="AJ27" i="5306"/>
  <c r="AJ28" i="5306"/>
  <c r="AJ29" i="5306"/>
  <c r="AJ30" i="5306"/>
  <c r="AJ31" i="5306"/>
  <c r="AJ32" i="5306"/>
  <c r="AJ33" i="5306"/>
  <c r="AJ34" i="5306"/>
  <c r="AJ35" i="5306"/>
  <c r="AJ36" i="5306"/>
  <c r="AJ37" i="5306"/>
  <c r="AJ38" i="5306"/>
  <c r="AJ39" i="5306"/>
  <c r="AJ40" i="5306"/>
  <c r="AJ41" i="5306"/>
  <c r="AJ42" i="5306"/>
  <c r="AJ43" i="5306"/>
  <c r="AJ44" i="5306"/>
  <c r="AJ45" i="5306"/>
  <c r="AJ46" i="5306"/>
  <c r="AJ47" i="5306"/>
  <c r="AJ48" i="5306"/>
  <c r="AJ49" i="5306"/>
  <c r="AJ50" i="5306"/>
  <c r="AJ51" i="5306"/>
  <c r="AJ52" i="5306"/>
  <c r="AJ53" i="5306"/>
  <c r="AJ54" i="5306"/>
  <c r="AJ2" i="5305"/>
  <c r="AJ3" i="5305"/>
  <c r="AJ4" i="5305"/>
  <c r="AJ5" i="5305"/>
  <c r="AJ6" i="5305"/>
  <c r="AJ7" i="5305"/>
  <c r="AJ8" i="5305"/>
  <c r="AJ9" i="5305"/>
  <c r="AJ10" i="5305"/>
  <c r="AJ11" i="5305"/>
  <c r="AJ12" i="5305"/>
  <c r="AJ13" i="5305"/>
  <c r="AJ14" i="5305"/>
  <c r="AJ15" i="5305"/>
  <c r="AJ16" i="5305"/>
  <c r="AJ17" i="5305"/>
  <c r="AJ18" i="5305"/>
  <c r="AJ19" i="5305"/>
  <c r="AJ20" i="5305"/>
  <c r="AJ21" i="5305"/>
  <c r="AJ22" i="5305"/>
  <c r="AJ23" i="5305"/>
  <c r="AJ24" i="5305"/>
  <c r="AJ25" i="5305"/>
  <c r="AJ26" i="5305"/>
  <c r="AJ27" i="5305"/>
  <c r="AJ28" i="5305"/>
  <c r="AJ29" i="5305"/>
  <c r="AJ30" i="5305"/>
  <c r="AJ31" i="5305"/>
  <c r="AJ32" i="5305"/>
  <c r="AJ33" i="5305"/>
  <c r="AJ34" i="5305"/>
  <c r="AJ35" i="5305"/>
  <c r="AJ36" i="5305"/>
  <c r="AJ37" i="5305"/>
  <c r="AJ38" i="5305"/>
  <c r="AJ39" i="5305"/>
  <c r="AJ40" i="5305"/>
  <c r="AJ41" i="5305"/>
  <c r="AJ42" i="5305"/>
  <c r="AJ43" i="5305"/>
  <c r="AJ44" i="5305"/>
  <c r="AJ45" i="5305"/>
  <c r="AJ46" i="5305"/>
  <c r="AJ47" i="5305"/>
  <c r="AJ48" i="5305"/>
  <c r="AJ49" i="5305"/>
  <c r="AJ50" i="5305"/>
  <c r="AJ51" i="5305"/>
  <c r="AJ52" i="5305"/>
  <c r="AJ53" i="5305"/>
  <c r="AJ54" i="5305"/>
  <c r="AJ2" i="5304"/>
  <c r="AJ3" i="5304"/>
  <c r="AJ4" i="5304"/>
  <c r="AJ5" i="5304"/>
  <c r="AJ6" i="5304"/>
  <c r="AJ7" i="5304"/>
  <c r="AJ8" i="5304"/>
  <c r="AJ9" i="5304"/>
  <c r="AJ10" i="5304"/>
  <c r="AJ11" i="5304"/>
  <c r="AJ12" i="5304"/>
  <c r="AJ13" i="5304"/>
  <c r="AJ14" i="5304"/>
  <c r="AJ15" i="5304"/>
  <c r="AJ16" i="5304"/>
  <c r="AJ17" i="5304"/>
  <c r="AJ18" i="5304"/>
  <c r="AJ19" i="5304"/>
  <c r="AJ20" i="5304"/>
  <c r="AJ21" i="5304"/>
  <c r="AJ22" i="5304"/>
  <c r="AJ23" i="5304"/>
  <c r="AJ24" i="5304"/>
  <c r="AJ25" i="5304"/>
  <c r="AJ26" i="5304"/>
  <c r="AJ27" i="5304"/>
  <c r="AJ28" i="5304"/>
  <c r="AJ29" i="5304"/>
  <c r="AJ30" i="5304"/>
  <c r="AJ31" i="5304"/>
  <c r="AJ32" i="5304"/>
  <c r="AJ33" i="5304"/>
  <c r="AJ34" i="5304"/>
  <c r="AJ35" i="5304"/>
  <c r="AJ36" i="5304"/>
  <c r="AJ37" i="5304"/>
  <c r="AJ38" i="5304"/>
  <c r="AJ39" i="5304"/>
  <c r="AJ40" i="5304"/>
  <c r="AJ41" i="5304"/>
  <c r="AJ42" i="5304"/>
  <c r="AJ43" i="5304"/>
  <c r="AJ44" i="5304"/>
  <c r="AJ45" i="5304"/>
  <c r="AJ46" i="5304"/>
  <c r="AJ47" i="5304"/>
  <c r="AJ48" i="5304"/>
  <c r="AJ49" i="5304"/>
  <c r="AJ50" i="5304"/>
  <c r="AJ51" i="5304"/>
  <c r="AJ52" i="5304"/>
  <c r="AJ53" i="5304"/>
  <c r="AJ54" i="5304"/>
  <c r="AJ2" i="5303"/>
  <c r="AJ3" i="5303"/>
  <c r="AJ4" i="5303"/>
  <c r="AJ5" i="5303"/>
  <c r="AJ6" i="5303"/>
  <c r="AJ7" i="5303"/>
  <c r="AJ8" i="5303"/>
  <c r="AJ9" i="5303"/>
  <c r="AJ10" i="5303"/>
  <c r="AJ11" i="5303"/>
  <c r="AJ12" i="5303"/>
  <c r="AJ13" i="5303"/>
  <c r="AJ14" i="5303"/>
  <c r="AJ15" i="5303"/>
  <c r="AJ16" i="5303"/>
  <c r="AJ17" i="5303"/>
  <c r="AJ18" i="5303"/>
  <c r="AJ19" i="5303"/>
  <c r="AJ20" i="5303"/>
  <c r="AJ21" i="5303"/>
  <c r="AJ22" i="5303"/>
  <c r="AJ23" i="5303"/>
  <c r="AJ24" i="5303"/>
  <c r="AJ25" i="5303"/>
  <c r="AJ26" i="5303"/>
  <c r="AJ27" i="5303"/>
  <c r="AJ28" i="5303"/>
  <c r="AJ29" i="5303"/>
  <c r="AJ30" i="5303"/>
  <c r="AJ31" i="5303"/>
  <c r="AJ32" i="5303"/>
  <c r="AJ33" i="5303"/>
  <c r="AJ34" i="5303"/>
  <c r="AJ35" i="5303"/>
  <c r="AJ36" i="5303"/>
  <c r="AJ37" i="5303"/>
  <c r="AJ38" i="5303"/>
  <c r="AJ39" i="5303"/>
  <c r="AJ40" i="5303"/>
  <c r="AJ41" i="5303"/>
  <c r="AJ42" i="5303"/>
  <c r="AJ43" i="5303"/>
  <c r="AJ44" i="5303"/>
  <c r="AJ45" i="5303"/>
  <c r="AJ46" i="5303"/>
  <c r="AJ47" i="5303"/>
  <c r="AJ48" i="5303"/>
  <c r="AJ49" i="5303"/>
  <c r="AJ50" i="5303"/>
  <c r="AJ51" i="5303"/>
  <c r="AJ52" i="5303"/>
  <c r="AJ53" i="5303"/>
  <c r="AJ54" i="5303"/>
  <c r="AJ2" i="5302"/>
  <c r="AJ3" i="5302"/>
  <c r="AJ4" i="5302"/>
  <c r="AJ5" i="5302"/>
  <c r="AJ6" i="5302"/>
  <c r="AJ7" i="5302"/>
  <c r="AJ8" i="5302"/>
  <c r="AJ9" i="5302"/>
  <c r="AJ10" i="5302"/>
  <c r="AJ11" i="5302"/>
  <c r="AJ12" i="5302"/>
  <c r="AJ13" i="5302"/>
  <c r="AJ14" i="5302"/>
  <c r="AJ15" i="5302"/>
  <c r="AJ16" i="5302"/>
  <c r="AJ17" i="5302"/>
  <c r="AJ18" i="5302"/>
  <c r="AJ19" i="5302"/>
  <c r="AJ20" i="5302"/>
  <c r="AJ21" i="5302"/>
  <c r="AJ22" i="5302"/>
  <c r="AJ23" i="5302"/>
  <c r="AJ24" i="5302"/>
  <c r="AJ25" i="5302"/>
  <c r="AJ26" i="5302"/>
  <c r="AJ27" i="5302"/>
  <c r="AJ28" i="5302"/>
  <c r="AJ29" i="5302"/>
  <c r="AJ30" i="5302"/>
  <c r="AJ31" i="5302"/>
  <c r="AJ32" i="5302"/>
  <c r="AJ33" i="5302"/>
  <c r="AJ34" i="5302"/>
  <c r="AJ35" i="5302"/>
  <c r="AJ36" i="5302"/>
  <c r="AJ37" i="5302"/>
  <c r="AJ38" i="5302"/>
  <c r="AJ39" i="5302"/>
  <c r="AJ40" i="5302"/>
  <c r="AJ41" i="5302"/>
  <c r="AJ42" i="5302"/>
  <c r="AJ43" i="5302"/>
  <c r="AJ44" i="5302"/>
  <c r="AJ45" i="5302"/>
  <c r="AJ46" i="5302"/>
  <c r="AJ47" i="5302"/>
  <c r="AJ48" i="5302"/>
  <c r="AJ49" i="5302"/>
  <c r="AJ50" i="5302"/>
  <c r="AJ51" i="5302"/>
  <c r="AJ52" i="5302"/>
  <c r="AJ53" i="5302"/>
  <c r="AJ54" i="5302"/>
  <c r="AI2" i="5307"/>
  <c r="AI3" i="5307"/>
  <c r="AI4" i="5307"/>
  <c r="AI5" i="5307"/>
  <c r="AI6" i="5307"/>
  <c r="AI7" i="5307"/>
  <c r="AI8" i="5307"/>
  <c r="AI9" i="5307"/>
  <c r="AI10" i="5307"/>
  <c r="AI11" i="5307"/>
  <c r="AI12" i="5307"/>
  <c r="AI13" i="5307"/>
  <c r="AI14" i="5307"/>
  <c r="AI15" i="5307"/>
  <c r="AI16" i="5307"/>
  <c r="AI17" i="5307"/>
  <c r="AI18" i="5307"/>
  <c r="AI19" i="5307"/>
  <c r="AI20" i="5307"/>
  <c r="AI21" i="5307"/>
  <c r="AI22" i="5307"/>
  <c r="AI23" i="5307"/>
  <c r="AI24" i="5307"/>
  <c r="AI25" i="5307"/>
  <c r="AI26" i="5307"/>
  <c r="AI27" i="5307"/>
  <c r="AI28" i="5307"/>
  <c r="AI29" i="5307"/>
  <c r="AI30" i="5307"/>
  <c r="AI31" i="5307"/>
  <c r="AI32" i="5307"/>
  <c r="AI33" i="5307"/>
  <c r="AI34" i="5307"/>
  <c r="AI35" i="5307"/>
  <c r="AI36" i="5307"/>
  <c r="AI37" i="5307"/>
  <c r="AI38" i="5307"/>
  <c r="AI39" i="5307"/>
  <c r="AI40" i="5307"/>
  <c r="AI41" i="5307"/>
  <c r="AI42" i="5307"/>
  <c r="AI43" i="5307"/>
  <c r="AI44" i="5307"/>
  <c r="AI45" i="5307"/>
  <c r="AI46" i="5307"/>
  <c r="AI47" i="5307"/>
  <c r="AI48" i="5307"/>
  <c r="AI49" i="5307"/>
  <c r="AI50" i="5307"/>
  <c r="AI51" i="5307"/>
  <c r="AI52" i="5307"/>
  <c r="AI53" i="5307"/>
  <c r="AI54" i="5307"/>
  <c r="AI2" i="5306"/>
  <c r="AI3" i="5306"/>
  <c r="AI4" i="5306"/>
  <c r="AI5" i="5306"/>
  <c r="AI6" i="5306"/>
  <c r="AI7" i="5306"/>
  <c r="AI8" i="5306"/>
  <c r="AI9" i="5306"/>
  <c r="AI10" i="5306"/>
  <c r="AI11" i="5306"/>
  <c r="AI12" i="5306"/>
  <c r="AI13" i="5306"/>
  <c r="AI14" i="5306"/>
  <c r="AI15" i="5306"/>
  <c r="AI16" i="5306"/>
  <c r="AI17" i="5306"/>
  <c r="AI18" i="5306"/>
  <c r="AI19" i="5306"/>
  <c r="AI20" i="5306"/>
  <c r="AI21" i="5306"/>
  <c r="AI22" i="5306"/>
  <c r="AI23" i="5306"/>
  <c r="AI24" i="5306"/>
  <c r="AI25" i="5306"/>
  <c r="AI26" i="5306"/>
  <c r="AI27" i="5306"/>
  <c r="AI28" i="5306"/>
  <c r="AI29" i="5306"/>
  <c r="AI30" i="5306"/>
  <c r="AI31" i="5306"/>
  <c r="AI32" i="5306"/>
  <c r="AI33" i="5306"/>
  <c r="AI34" i="5306"/>
  <c r="AI35" i="5306"/>
  <c r="AI36" i="5306"/>
  <c r="AI37" i="5306"/>
  <c r="AI38" i="5306"/>
  <c r="AI39" i="5306"/>
  <c r="AI40" i="5306"/>
  <c r="AI41" i="5306"/>
  <c r="AI42" i="5306"/>
  <c r="AI43" i="5306"/>
  <c r="AI44" i="5306"/>
  <c r="AI45" i="5306"/>
  <c r="AI46" i="5306"/>
  <c r="AI47" i="5306"/>
  <c r="AI48" i="5306"/>
  <c r="AI49" i="5306"/>
  <c r="AI50" i="5306"/>
  <c r="AI51" i="5306"/>
  <c r="AI52" i="5306"/>
  <c r="AI53" i="5306"/>
  <c r="AI54" i="5306"/>
  <c r="AI2" i="5305"/>
  <c r="AI3" i="5305"/>
  <c r="AI4" i="5305"/>
  <c r="AI5" i="5305"/>
  <c r="AI6" i="5305"/>
  <c r="AI7" i="5305"/>
  <c r="AI8" i="5305"/>
  <c r="AI9" i="5305"/>
  <c r="AI10" i="5305"/>
  <c r="AI11" i="5305"/>
  <c r="AI12" i="5305"/>
  <c r="AI13" i="5305"/>
  <c r="AI14" i="5305"/>
  <c r="AI15" i="5305"/>
  <c r="AI16" i="5305"/>
  <c r="AI17" i="5305"/>
  <c r="AI18" i="5305"/>
  <c r="AI19" i="5305"/>
  <c r="AI20" i="5305"/>
  <c r="AI21" i="5305"/>
  <c r="AI22" i="5305"/>
  <c r="AI23" i="5305"/>
  <c r="AI24" i="5305"/>
  <c r="AI25" i="5305"/>
  <c r="AI26" i="5305"/>
  <c r="AI27" i="5305"/>
  <c r="AI28" i="5305"/>
  <c r="AI29" i="5305"/>
  <c r="AI30" i="5305"/>
  <c r="AI31" i="5305"/>
  <c r="AI32" i="5305"/>
  <c r="AI33" i="5305"/>
  <c r="AI34" i="5305"/>
  <c r="AI35" i="5305"/>
  <c r="AI36" i="5305"/>
  <c r="AI37" i="5305"/>
  <c r="AI38" i="5305"/>
  <c r="AI39" i="5305"/>
  <c r="AI40" i="5305"/>
  <c r="AI41" i="5305"/>
  <c r="AI42" i="5305"/>
  <c r="AI43" i="5305"/>
  <c r="AI44" i="5305"/>
  <c r="AI45" i="5305"/>
  <c r="AI46" i="5305"/>
  <c r="AI47" i="5305"/>
  <c r="AI48" i="5305"/>
  <c r="AI49" i="5305"/>
  <c r="AI50" i="5305"/>
  <c r="AI51" i="5305"/>
  <c r="AI52" i="5305"/>
  <c r="AI53" i="5305"/>
  <c r="AI54" i="5305"/>
  <c r="AI2" i="5304"/>
  <c r="AI3" i="5304"/>
  <c r="AI4" i="5304"/>
  <c r="AI5" i="5304"/>
  <c r="AI6" i="5304"/>
  <c r="AI7" i="5304"/>
  <c r="AI8" i="5304"/>
  <c r="AI9" i="5304"/>
  <c r="AI10" i="5304"/>
  <c r="AI11" i="5304"/>
  <c r="AI12" i="5304"/>
  <c r="AI13" i="5304"/>
  <c r="AI14" i="5304"/>
  <c r="AI15" i="5304"/>
  <c r="AI16" i="5304"/>
  <c r="AI17" i="5304"/>
  <c r="AI18" i="5304"/>
  <c r="AI19" i="5304"/>
  <c r="AI20" i="5304"/>
  <c r="AI21" i="5304"/>
  <c r="AI22" i="5304"/>
  <c r="AI23" i="5304"/>
  <c r="AI24" i="5304"/>
  <c r="AI25" i="5304"/>
  <c r="AI26" i="5304"/>
  <c r="AI27" i="5304"/>
  <c r="AI28" i="5304"/>
  <c r="AI29" i="5304"/>
  <c r="AI30" i="5304"/>
  <c r="AI31" i="5304"/>
  <c r="AI32" i="5304"/>
  <c r="AI33" i="5304"/>
  <c r="AI34" i="5304"/>
  <c r="AI35" i="5304"/>
  <c r="AI36" i="5304"/>
  <c r="AI37" i="5304"/>
  <c r="AI38" i="5304"/>
  <c r="AI39" i="5304"/>
  <c r="AI40" i="5304"/>
  <c r="AI41" i="5304"/>
  <c r="AI42" i="5304"/>
  <c r="AI43" i="5304"/>
  <c r="AI44" i="5304"/>
  <c r="AI45" i="5304"/>
  <c r="AI46" i="5304"/>
  <c r="AI47" i="5304"/>
  <c r="AI48" i="5304"/>
  <c r="AI49" i="5304"/>
  <c r="AI50" i="5304"/>
  <c r="AI51" i="5304"/>
  <c r="AI52" i="5304"/>
  <c r="AI53" i="5304"/>
  <c r="AI54" i="5304"/>
  <c r="AI2" i="5303"/>
  <c r="AI3" i="5303"/>
  <c r="AI4" i="5303"/>
  <c r="AI5" i="5303"/>
  <c r="AI6" i="5303"/>
  <c r="AI7" i="5303"/>
  <c r="AI8" i="5303"/>
  <c r="AI9" i="5303"/>
  <c r="AI10" i="5303"/>
  <c r="AI11" i="5303"/>
  <c r="AI12" i="5303"/>
  <c r="AI13" i="5303"/>
  <c r="AI14" i="5303"/>
  <c r="AI15" i="5303"/>
  <c r="AI16" i="5303"/>
  <c r="AI17" i="5303"/>
  <c r="AI18" i="5303"/>
  <c r="AI19" i="5303"/>
  <c r="AI20" i="5303"/>
  <c r="AI21" i="5303"/>
  <c r="AI22" i="5303"/>
  <c r="AI23" i="5303"/>
  <c r="AI24" i="5303"/>
  <c r="AI25" i="5303"/>
  <c r="AI26" i="5303"/>
  <c r="AI27" i="5303"/>
  <c r="AI28" i="5303"/>
  <c r="AI29" i="5303"/>
  <c r="AI30" i="5303"/>
  <c r="AI31" i="5303"/>
  <c r="AI32" i="5303"/>
  <c r="AI33" i="5303"/>
  <c r="AI34" i="5303"/>
  <c r="AI35" i="5303"/>
  <c r="AI36" i="5303"/>
  <c r="AI37" i="5303"/>
  <c r="AI38" i="5303"/>
  <c r="AI39" i="5303"/>
  <c r="AI40" i="5303"/>
  <c r="AI41" i="5303"/>
  <c r="AI42" i="5303"/>
  <c r="AI43" i="5303"/>
  <c r="AI44" i="5303"/>
  <c r="AI45" i="5303"/>
  <c r="AI46" i="5303"/>
  <c r="AI47" i="5303"/>
  <c r="AI48" i="5303"/>
  <c r="AI49" i="5303"/>
  <c r="AI50" i="5303"/>
  <c r="AI51" i="5303"/>
  <c r="AI52" i="5303"/>
  <c r="AI53" i="5303"/>
  <c r="AI54" i="5303"/>
  <c r="AI2" i="5302"/>
  <c r="AI3" i="5302"/>
  <c r="AI4" i="5302"/>
  <c r="AI5" i="5302"/>
  <c r="AI6" i="5302"/>
  <c r="AI7" i="5302"/>
  <c r="AI8" i="5302"/>
  <c r="AI9" i="5302"/>
  <c r="AI10" i="5302"/>
  <c r="AI11" i="5302"/>
  <c r="AI12" i="5302"/>
  <c r="AI13" i="5302"/>
  <c r="AI14" i="5302"/>
  <c r="AI15" i="5302"/>
  <c r="AI16" i="5302"/>
  <c r="AI17" i="5302"/>
  <c r="AI18" i="5302"/>
  <c r="AI19" i="5302"/>
  <c r="AI20" i="5302"/>
  <c r="AI21" i="5302"/>
  <c r="AI22" i="5302"/>
  <c r="AI23" i="5302"/>
  <c r="AI24" i="5302"/>
  <c r="AI25" i="5302"/>
  <c r="AI26" i="5302"/>
  <c r="AI27" i="5302"/>
  <c r="AI28" i="5302"/>
  <c r="AI29" i="5302"/>
  <c r="AI30" i="5302"/>
  <c r="AI31" i="5302"/>
  <c r="AI32" i="5302"/>
  <c r="AI33" i="5302"/>
  <c r="AI34" i="5302"/>
  <c r="AI35" i="5302"/>
  <c r="AI36" i="5302"/>
  <c r="AI37" i="5302"/>
  <c r="AI38" i="5302"/>
  <c r="AI39" i="5302"/>
  <c r="AI40" i="5302"/>
  <c r="AI41" i="5302"/>
  <c r="AI42" i="5302"/>
  <c r="AI43" i="5302"/>
  <c r="AI44" i="5302"/>
  <c r="AI45" i="5302"/>
  <c r="AI46" i="5302"/>
  <c r="AI47" i="5302"/>
  <c r="AI48" i="5302"/>
  <c r="AI49" i="5302"/>
  <c r="AI50" i="5302"/>
  <c r="AI51" i="5302"/>
  <c r="AI52" i="5302"/>
  <c r="AI53" i="5302"/>
  <c r="AI54" i="5302"/>
  <c r="AH2" i="5307"/>
  <c r="AH3" i="5307"/>
  <c r="AH4" i="5307"/>
  <c r="AH5" i="5307"/>
  <c r="AH6" i="5307"/>
  <c r="AH7" i="5307"/>
  <c r="AH8" i="5307"/>
  <c r="AH9" i="5307"/>
  <c r="AH10" i="5307"/>
  <c r="AH11" i="5307"/>
  <c r="AH12" i="5307"/>
  <c r="AH13" i="5307"/>
  <c r="AH14" i="5307"/>
  <c r="AH15" i="5307"/>
  <c r="AH16" i="5307"/>
  <c r="AH17" i="5307"/>
  <c r="AH18" i="5307"/>
  <c r="AH19" i="5307"/>
  <c r="AH20" i="5307"/>
  <c r="AH21" i="5307"/>
  <c r="AH22" i="5307"/>
  <c r="AH23" i="5307"/>
  <c r="AH24" i="5307"/>
  <c r="AH25" i="5307"/>
  <c r="AH26" i="5307"/>
  <c r="AH27" i="5307"/>
  <c r="AH28" i="5307"/>
  <c r="AH29" i="5307"/>
  <c r="AH30" i="5307"/>
  <c r="AH31" i="5307"/>
  <c r="AH32" i="5307"/>
  <c r="AH33" i="5307"/>
  <c r="AH34" i="5307"/>
  <c r="AH35" i="5307"/>
  <c r="AH36" i="5307"/>
  <c r="AH37" i="5307"/>
  <c r="AH38" i="5307"/>
  <c r="AH39" i="5307"/>
  <c r="AH40" i="5307"/>
  <c r="AH41" i="5307"/>
  <c r="AH42" i="5307"/>
  <c r="AH43" i="5307"/>
  <c r="AH44" i="5307"/>
  <c r="AH45" i="5307"/>
  <c r="AH46" i="5307"/>
  <c r="AH47" i="5307"/>
  <c r="AH48" i="5307"/>
  <c r="AH49" i="5307"/>
  <c r="AH50" i="5307"/>
  <c r="AH51" i="5307"/>
  <c r="AH52" i="5307"/>
  <c r="AH53" i="5307"/>
  <c r="AH54" i="5307"/>
  <c r="AH2" i="5306"/>
  <c r="AH3" i="5306"/>
  <c r="AH4" i="5306"/>
  <c r="AH5" i="5306"/>
  <c r="AH6" i="5306"/>
  <c r="AH7" i="5306"/>
  <c r="AH8" i="5306"/>
  <c r="AH9" i="5306"/>
  <c r="AH10" i="5306"/>
  <c r="AH11" i="5306"/>
  <c r="AH12" i="5306"/>
  <c r="AH13" i="5306"/>
  <c r="AH14" i="5306"/>
  <c r="AH15" i="5306"/>
  <c r="AH16" i="5306"/>
  <c r="AH17" i="5306"/>
  <c r="AH18" i="5306"/>
  <c r="AH19" i="5306"/>
  <c r="AH20" i="5306"/>
  <c r="AH21" i="5306"/>
  <c r="AH22" i="5306"/>
  <c r="AH23" i="5306"/>
  <c r="AH24" i="5306"/>
  <c r="AH25" i="5306"/>
  <c r="AH26" i="5306"/>
  <c r="AH27" i="5306"/>
  <c r="AH28" i="5306"/>
  <c r="AH29" i="5306"/>
  <c r="AH30" i="5306"/>
  <c r="AH31" i="5306"/>
  <c r="AH32" i="5306"/>
  <c r="AH33" i="5306"/>
  <c r="AH34" i="5306"/>
  <c r="AH35" i="5306"/>
  <c r="AH36" i="5306"/>
  <c r="AH37" i="5306"/>
  <c r="AH38" i="5306"/>
  <c r="AH39" i="5306"/>
  <c r="AH40" i="5306"/>
  <c r="AH41" i="5306"/>
  <c r="AH42" i="5306"/>
  <c r="AH43" i="5306"/>
  <c r="AH44" i="5306"/>
  <c r="AH45" i="5306"/>
  <c r="AH46" i="5306"/>
  <c r="AH47" i="5306"/>
  <c r="AH48" i="5306"/>
  <c r="AH49" i="5306"/>
  <c r="AH50" i="5306"/>
  <c r="AH51" i="5306"/>
  <c r="AH52" i="5306"/>
  <c r="AH53" i="5306"/>
  <c r="AH54" i="5306"/>
  <c r="AH2" i="5305"/>
  <c r="AH3" i="5305"/>
  <c r="AH4" i="5305"/>
  <c r="AH5" i="5305"/>
  <c r="AH6" i="5305"/>
  <c r="AH7" i="5305"/>
  <c r="AH8" i="5305"/>
  <c r="AH9" i="5305"/>
  <c r="AH10" i="5305"/>
  <c r="AH11" i="5305"/>
  <c r="AH12" i="5305"/>
  <c r="AH13" i="5305"/>
  <c r="AH14" i="5305"/>
  <c r="AH15" i="5305"/>
  <c r="AH16" i="5305"/>
  <c r="AH17" i="5305"/>
  <c r="AH18" i="5305"/>
  <c r="AH19" i="5305"/>
  <c r="AH20" i="5305"/>
  <c r="AH21" i="5305"/>
  <c r="AH22" i="5305"/>
  <c r="AH23" i="5305"/>
  <c r="AH24" i="5305"/>
  <c r="AH25" i="5305"/>
  <c r="AH26" i="5305"/>
  <c r="AH27" i="5305"/>
  <c r="AH28" i="5305"/>
  <c r="AH29" i="5305"/>
  <c r="AH30" i="5305"/>
  <c r="AH31" i="5305"/>
  <c r="AH32" i="5305"/>
  <c r="AH33" i="5305"/>
  <c r="AH34" i="5305"/>
  <c r="AH35" i="5305"/>
  <c r="AH36" i="5305"/>
  <c r="AH37" i="5305"/>
  <c r="AH38" i="5305"/>
  <c r="AH39" i="5305"/>
  <c r="AH40" i="5305"/>
  <c r="AH41" i="5305"/>
  <c r="AH42" i="5305"/>
  <c r="AH43" i="5305"/>
  <c r="AH44" i="5305"/>
  <c r="AH45" i="5305"/>
  <c r="AH46" i="5305"/>
  <c r="AH47" i="5305"/>
  <c r="AH48" i="5305"/>
  <c r="AH49" i="5305"/>
  <c r="AH50" i="5305"/>
  <c r="AH51" i="5305"/>
  <c r="AH52" i="5305"/>
  <c r="AH53" i="5305"/>
  <c r="AH54" i="5305"/>
  <c r="AH2" i="5304"/>
  <c r="AH3" i="5304"/>
  <c r="AH4" i="5304"/>
  <c r="AH5" i="5304"/>
  <c r="AH6" i="5304"/>
  <c r="AH7" i="5304"/>
  <c r="AH8" i="5304"/>
  <c r="AH9" i="5304"/>
  <c r="AH10" i="5304"/>
  <c r="AH11" i="5304"/>
  <c r="AH12" i="5304"/>
  <c r="AH13" i="5304"/>
  <c r="AH14" i="5304"/>
  <c r="AH15" i="5304"/>
  <c r="AH16" i="5304"/>
  <c r="AH17" i="5304"/>
  <c r="AH18" i="5304"/>
  <c r="AH19" i="5304"/>
  <c r="AH20" i="5304"/>
  <c r="AH21" i="5304"/>
  <c r="AH22" i="5304"/>
  <c r="AH23" i="5304"/>
  <c r="AH24" i="5304"/>
  <c r="AH25" i="5304"/>
  <c r="AH26" i="5304"/>
  <c r="AH27" i="5304"/>
  <c r="AH28" i="5304"/>
  <c r="AH29" i="5304"/>
  <c r="AH30" i="5304"/>
  <c r="AH31" i="5304"/>
  <c r="AH32" i="5304"/>
  <c r="AH33" i="5304"/>
  <c r="AH34" i="5304"/>
  <c r="AH35" i="5304"/>
  <c r="AH36" i="5304"/>
  <c r="AH37" i="5304"/>
  <c r="AH38" i="5304"/>
  <c r="AH39" i="5304"/>
  <c r="AH40" i="5304"/>
  <c r="AH41" i="5304"/>
  <c r="AH42" i="5304"/>
  <c r="AH43" i="5304"/>
  <c r="AH44" i="5304"/>
  <c r="AH45" i="5304"/>
  <c r="AH46" i="5304"/>
  <c r="AH47" i="5304"/>
  <c r="AH48" i="5304"/>
  <c r="AH49" i="5304"/>
  <c r="AH50" i="5304"/>
  <c r="AH51" i="5304"/>
  <c r="AH52" i="5304"/>
  <c r="AH53" i="5304"/>
  <c r="AH54" i="5304"/>
  <c r="AH2" i="5303"/>
  <c r="AH3" i="5303"/>
  <c r="AH4" i="5303"/>
  <c r="AH5" i="5303"/>
  <c r="AH6" i="5303"/>
  <c r="AH7" i="5303"/>
  <c r="AH8" i="5303"/>
  <c r="AH9" i="5303"/>
  <c r="AH10" i="5303"/>
  <c r="AH11" i="5303"/>
  <c r="AH12" i="5303"/>
  <c r="AH13" i="5303"/>
  <c r="AH14" i="5303"/>
  <c r="AH15" i="5303"/>
  <c r="AH16" i="5303"/>
  <c r="AH17" i="5303"/>
  <c r="AH18" i="5303"/>
  <c r="AH19" i="5303"/>
  <c r="AH20" i="5303"/>
  <c r="AH21" i="5303"/>
  <c r="AH22" i="5303"/>
  <c r="AH23" i="5303"/>
  <c r="AH24" i="5303"/>
  <c r="AH25" i="5303"/>
  <c r="AH26" i="5303"/>
  <c r="AH27" i="5303"/>
  <c r="AH28" i="5303"/>
  <c r="AH29" i="5303"/>
  <c r="AH30" i="5303"/>
  <c r="AH31" i="5303"/>
  <c r="AH32" i="5303"/>
  <c r="AH33" i="5303"/>
  <c r="AH34" i="5303"/>
  <c r="AH35" i="5303"/>
  <c r="AH36" i="5303"/>
  <c r="AH37" i="5303"/>
  <c r="AH38" i="5303"/>
  <c r="AH39" i="5303"/>
  <c r="AH40" i="5303"/>
  <c r="AH41" i="5303"/>
  <c r="AH42" i="5303"/>
  <c r="AH43" i="5303"/>
  <c r="AH44" i="5303"/>
  <c r="AH45" i="5303"/>
  <c r="AH46" i="5303"/>
  <c r="AH47" i="5303"/>
  <c r="AH48" i="5303"/>
  <c r="AH49" i="5303"/>
  <c r="AH50" i="5303"/>
  <c r="AH51" i="5303"/>
  <c r="AH52" i="5303"/>
  <c r="AH53" i="5303"/>
  <c r="AH54" i="5303"/>
  <c r="AH2" i="5302"/>
  <c r="AH3" i="5302"/>
  <c r="AH4" i="5302"/>
  <c r="AH5" i="5302"/>
  <c r="AH6" i="5302"/>
  <c r="AH7" i="5302"/>
  <c r="AH8" i="5302"/>
  <c r="AH9" i="5302"/>
  <c r="AH10" i="5302"/>
  <c r="AH11" i="5302"/>
  <c r="AH12" i="5302"/>
  <c r="AH13" i="5302"/>
  <c r="AH14" i="5302"/>
  <c r="AH15" i="5302"/>
  <c r="AH16" i="5302"/>
  <c r="AH17" i="5302"/>
  <c r="AH18" i="5302"/>
  <c r="AH19" i="5302"/>
  <c r="AH20" i="5302"/>
  <c r="AH21" i="5302"/>
  <c r="AH22" i="5302"/>
  <c r="AH23" i="5302"/>
  <c r="AH24" i="5302"/>
  <c r="AH25" i="5302"/>
  <c r="AH26" i="5302"/>
  <c r="AH27" i="5302"/>
  <c r="AH28" i="5302"/>
  <c r="AH29" i="5302"/>
  <c r="AH30" i="5302"/>
  <c r="AH31" i="5302"/>
  <c r="AH32" i="5302"/>
  <c r="AH33" i="5302"/>
  <c r="AH34" i="5302"/>
  <c r="AH35" i="5302"/>
  <c r="AH36" i="5302"/>
  <c r="AH37" i="5302"/>
  <c r="AH38" i="5302"/>
  <c r="AH39" i="5302"/>
  <c r="AH40" i="5302"/>
  <c r="AH41" i="5302"/>
  <c r="AH42" i="5302"/>
  <c r="AH43" i="5302"/>
  <c r="AH44" i="5302"/>
  <c r="AH45" i="5302"/>
  <c r="AH46" i="5302"/>
  <c r="AH47" i="5302"/>
  <c r="AH48" i="5302"/>
  <c r="AH49" i="5302"/>
  <c r="AH50" i="5302"/>
  <c r="AH51" i="5302"/>
  <c r="AH52" i="5302"/>
  <c r="AH53" i="5302"/>
  <c r="AH54" i="5302"/>
  <c r="AG2" i="5307"/>
  <c r="AG3" i="5307"/>
  <c r="AG4" i="5307"/>
  <c r="AG5" i="5307"/>
  <c r="AG6" i="5307"/>
  <c r="AG7" i="5307"/>
  <c r="AG8" i="5307"/>
  <c r="AG9" i="5307"/>
  <c r="AG10" i="5307"/>
  <c r="AG11" i="5307"/>
  <c r="AG12" i="5307"/>
  <c r="AG13" i="5307"/>
  <c r="AG14" i="5307"/>
  <c r="AG15" i="5307"/>
  <c r="AG16" i="5307"/>
  <c r="AG17" i="5307"/>
  <c r="AG18" i="5307"/>
  <c r="AG19" i="5307"/>
  <c r="AG20" i="5307"/>
  <c r="AG21" i="5307"/>
  <c r="AG22" i="5307"/>
  <c r="AG23" i="5307"/>
  <c r="AG24" i="5307"/>
  <c r="AG25" i="5307"/>
  <c r="AG26" i="5307"/>
  <c r="AG27" i="5307"/>
  <c r="AG28" i="5307"/>
  <c r="AG29" i="5307"/>
  <c r="AG30" i="5307"/>
  <c r="AG31" i="5307"/>
  <c r="AG32" i="5307"/>
  <c r="AG33" i="5307"/>
  <c r="AG34" i="5307"/>
  <c r="AG35" i="5307"/>
  <c r="AG36" i="5307"/>
  <c r="AG37" i="5307"/>
  <c r="AG38" i="5307"/>
  <c r="AG39" i="5307"/>
  <c r="AG40" i="5307"/>
  <c r="AG41" i="5307"/>
  <c r="AG42" i="5307"/>
  <c r="AG43" i="5307"/>
  <c r="AG44" i="5307"/>
  <c r="AG45" i="5307"/>
  <c r="AG46" i="5307"/>
  <c r="AG47" i="5307"/>
  <c r="AG48" i="5307"/>
  <c r="AG49" i="5307"/>
  <c r="AG50" i="5307"/>
  <c r="AG51" i="5307"/>
  <c r="AG52" i="5307"/>
  <c r="AG53" i="5307"/>
  <c r="AG54" i="5307"/>
  <c r="AG2" i="5306"/>
  <c r="AG3" i="5306"/>
  <c r="AG4" i="5306"/>
  <c r="AG5" i="5306"/>
  <c r="AG6" i="5306"/>
  <c r="AG7" i="5306"/>
  <c r="AG8" i="5306"/>
  <c r="AG9" i="5306"/>
  <c r="AG10" i="5306"/>
  <c r="AG11" i="5306"/>
  <c r="AG12" i="5306"/>
  <c r="AG13" i="5306"/>
  <c r="AG14" i="5306"/>
  <c r="AG15" i="5306"/>
  <c r="AG16" i="5306"/>
  <c r="AG17" i="5306"/>
  <c r="AG18" i="5306"/>
  <c r="AG19" i="5306"/>
  <c r="AG20" i="5306"/>
  <c r="AG21" i="5306"/>
  <c r="AG22" i="5306"/>
  <c r="AG23" i="5306"/>
  <c r="AG24" i="5306"/>
  <c r="AG25" i="5306"/>
  <c r="AG26" i="5306"/>
  <c r="AG27" i="5306"/>
  <c r="AG28" i="5306"/>
  <c r="AG29" i="5306"/>
  <c r="AG30" i="5306"/>
  <c r="AG31" i="5306"/>
  <c r="AG32" i="5306"/>
  <c r="AG33" i="5306"/>
  <c r="AG34" i="5306"/>
  <c r="AG35" i="5306"/>
  <c r="AG36" i="5306"/>
  <c r="AG37" i="5306"/>
  <c r="AG38" i="5306"/>
  <c r="AG39" i="5306"/>
  <c r="AG40" i="5306"/>
  <c r="AG41" i="5306"/>
  <c r="AG42" i="5306"/>
  <c r="AG43" i="5306"/>
  <c r="AG44" i="5306"/>
  <c r="AG45" i="5306"/>
  <c r="AG46" i="5306"/>
  <c r="AG47" i="5306"/>
  <c r="AG48" i="5306"/>
  <c r="AG49" i="5306"/>
  <c r="AG50" i="5306"/>
  <c r="AG51" i="5306"/>
  <c r="AG52" i="5306"/>
  <c r="AG53" i="5306"/>
  <c r="AG54" i="5306"/>
  <c r="AG2" i="5305"/>
  <c r="AG3" i="5305"/>
  <c r="AG4" i="5305"/>
  <c r="AG5" i="5305"/>
  <c r="AG6" i="5305"/>
  <c r="AG7" i="5305"/>
  <c r="AG8" i="5305"/>
  <c r="AG9" i="5305"/>
  <c r="AG10" i="5305"/>
  <c r="AG11" i="5305"/>
  <c r="AG12" i="5305"/>
  <c r="AG13" i="5305"/>
  <c r="AG14" i="5305"/>
  <c r="AG15" i="5305"/>
  <c r="AG16" i="5305"/>
  <c r="AG17" i="5305"/>
  <c r="AG18" i="5305"/>
  <c r="AG19" i="5305"/>
  <c r="AG20" i="5305"/>
  <c r="AG21" i="5305"/>
  <c r="AG22" i="5305"/>
  <c r="AG23" i="5305"/>
  <c r="AG24" i="5305"/>
  <c r="AG25" i="5305"/>
  <c r="AG26" i="5305"/>
  <c r="AG27" i="5305"/>
  <c r="AG28" i="5305"/>
  <c r="AG29" i="5305"/>
  <c r="AG30" i="5305"/>
  <c r="AG31" i="5305"/>
  <c r="AG32" i="5305"/>
  <c r="AG33" i="5305"/>
  <c r="AG34" i="5305"/>
  <c r="AG35" i="5305"/>
  <c r="AG36" i="5305"/>
  <c r="AG37" i="5305"/>
  <c r="AG38" i="5305"/>
  <c r="AG39" i="5305"/>
  <c r="AG40" i="5305"/>
  <c r="AG41" i="5305"/>
  <c r="AG42" i="5305"/>
  <c r="AG43" i="5305"/>
  <c r="AG44" i="5305"/>
  <c r="AG45" i="5305"/>
  <c r="AG46" i="5305"/>
  <c r="AG47" i="5305"/>
  <c r="AG48" i="5305"/>
  <c r="AG49" i="5305"/>
  <c r="AG50" i="5305"/>
  <c r="AG51" i="5305"/>
  <c r="AG52" i="5305"/>
  <c r="AG53" i="5305"/>
  <c r="AG54" i="5305"/>
  <c r="AG2" i="5304"/>
  <c r="AG3" i="5304"/>
  <c r="AG4" i="5304"/>
  <c r="AG5" i="5304"/>
  <c r="AG6" i="5304"/>
  <c r="AG7" i="5304"/>
  <c r="AG8" i="5304"/>
  <c r="AG9" i="5304"/>
  <c r="AG10" i="5304"/>
  <c r="AG11" i="5304"/>
  <c r="AG12" i="5304"/>
  <c r="AG13" i="5304"/>
  <c r="AG14" i="5304"/>
  <c r="AG15" i="5304"/>
  <c r="AG16" i="5304"/>
  <c r="AG17" i="5304"/>
  <c r="AG18" i="5304"/>
  <c r="AG19" i="5304"/>
  <c r="AG20" i="5304"/>
  <c r="AG21" i="5304"/>
  <c r="AG22" i="5304"/>
  <c r="AG23" i="5304"/>
  <c r="AG24" i="5304"/>
  <c r="AG25" i="5304"/>
  <c r="AG26" i="5304"/>
  <c r="AG27" i="5304"/>
  <c r="AG28" i="5304"/>
  <c r="AG29" i="5304"/>
  <c r="AG30" i="5304"/>
  <c r="AG31" i="5304"/>
  <c r="AG32" i="5304"/>
  <c r="AG33" i="5304"/>
  <c r="AG34" i="5304"/>
  <c r="AG35" i="5304"/>
  <c r="AG36" i="5304"/>
  <c r="AG37" i="5304"/>
  <c r="AG38" i="5304"/>
  <c r="AG39" i="5304"/>
  <c r="AG40" i="5304"/>
  <c r="AG41" i="5304"/>
  <c r="AG42" i="5304"/>
  <c r="AG43" i="5304"/>
  <c r="AG44" i="5304"/>
  <c r="AG45" i="5304"/>
  <c r="AG46" i="5304"/>
  <c r="AG47" i="5304"/>
  <c r="AG48" i="5304"/>
  <c r="AG49" i="5304"/>
  <c r="AG50" i="5304"/>
  <c r="AG51" i="5304"/>
  <c r="AG52" i="5304"/>
  <c r="AG53" i="5304"/>
  <c r="AG54" i="5304"/>
  <c r="AG2" i="5303"/>
  <c r="AG3" i="5303"/>
  <c r="AG4" i="5303"/>
  <c r="AG5" i="5303"/>
  <c r="AG6" i="5303"/>
  <c r="AG7" i="5303"/>
  <c r="AG8" i="5303"/>
  <c r="AG9" i="5303"/>
  <c r="AG10" i="5303"/>
  <c r="AG11" i="5303"/>
  <c r="AG12" i="5303"/>
  <c r="AG13" i="5303"/>
  <c r="AG14" i="5303"/>
  <c r="AG15" i="5303"/>
  <c r="AG16" i="5303"/>
  <c r="AG17" i="5303"/>
  <c r="AG18" i="5303"/>
  <c r="AG19" i="5303"/>
  <c r="AG20" i="5303"/>
  <c r="AG21" i="5303"/>
  <c r="AG22" i="5303"/>
  <c r="AG23" i="5303"/>
  <c r="AG24" i="5303"/>
  <c r="AG25" i="5303"/>
  <c r="AG26" i="5303"/>
  <c r="AG27" i="5303"/>
  <c r="AG28" i="5303"/>
  <c r="AG29" i="5303"/>
  <c r="AG30" i="5303"/>
  <c r="AG31" i="5303"/>
  <c r="AG32" i="5303"/>
  <c r="AG33" i="5303"/>
  <c r="AG34" i="5303"/>
  <c r="AG35" i="5303"/>
  <c r="AG36" i="5303"/>
  <c r="AG37" i="5303"/>
  <c r="AG38" i="5303"/>
  <c r="AG39" i="5303"/>
  <c r="AG40" i="5303"/>
  <c r="AG41" i="5303"/>
  <c r="AG42" i="5303"/>
  <c r="AG43" i="5303"/>
  <c r="AG44" i="5303"/>
  <c r="AG45" i="5303"/>
  <c r="AG46" i="5303"/>
  <c r="AG47" i="5303"/>
  <c r="AG48" i="5303"/>
  <c r="AG49" i="5303"/>
  <c r="AG50" i="5303"/>
  <c r="AG51" i="5303"/>
  <c r="AG52" i="5303"/>
  <c r="AG53" i="5303"/>
  <c r="AG54" i="5303"/>
  <c r="AG2" i="5302"/>
  <c r="AG3" i="5302"/>
  <c r="AG4" i="5302"/>
  <c r="AG5" i="5302"/>
  <c r="AG6" i="5302"/>
  <c r="AG7" i="5302"/>
  <c r="AG8" i="5302"/>
  <c r="AG9" i="5302"/>
  <c r="AG10" i="5302"/>
  <c r="AG11" i="5302"/>
  <c r="AG12" i="5302"/>
  <c r="AG13" i="5302"/>
  <c r="AG14" i="5302"/>
  <c r="AG15" i="5302"/>
  <c r="AG16" i="5302"/>
  <c r="AG17" i="5302"/>
  <c r="AG18" i="5302"/>
  <c r="AG19" i="5302"/>
  <c r="AG20" i="5302"/>
  <c r="AG21" i="5302"/>
  <c r="AG22" i="5302"/>
  <c r="AG23" i="5302"/>
  <c r="AG24" i="5302"/>
  <c r="AG25" i="5302"/>
  <c r="AG26" i="5302"/>
  <c r="AG27" i="5302"/>
  <c r="AG28" i="5302"/>
  <c r="AG29" i="5302"/>
  <c r="AG30" i="5302"/>
  <c r="AG31" i="5302"/>
  <c r="AG32" i="5302"/>
  <c r="AG33" i="5302"/>
  <c r="AG34" i="5302"/>
  <c r="AG35" i="5302"/>
  <c r="AG36" i="5302"/>
  <c r="AG37" i="5302"/>
  <c r="AG38" i="5302"/>
  <c r="AG39" i="5302"/>
  <c r="AG40" i="5302"/>
  <c r="AG41" i="5302"/>
  <c r="AG42" i="5302"/>
  <c r="AG43" i="5302"/>
  <c r="AG44" i="5302"/>
  <c r="AG45" i="5302"/>
  <c r="AG46" i="5302"/>
  <c r="AG47" i="5302"/>
  <c r="AG48" i="5302"/>
  <c r="AG49" i="5302"/>
  <c r="AG50" i="5302"/>
  <c r="AG51" i="5302"/>
  <c r="AG52" i="5302"/>
  <c r="AG53" i="5302"/>
  <c r="AG54" i="5302"/>
  <c r="AF2" i="5307"/>
  <c r="AF3" i="5307"/>
  <c r="AF4" i="5307"/>
  <c r="AF5" i="5307"/>
  <c r="AF6" i="5307"/>
  <c r="AF7" i="5307"/>
  <c r="AF8" i="5307"/>
  <c r="AF9" i="5307"/>
  <c r="AF10" i="5307"/>
  <c r="AF11" i="5307"/>
  <c r="AF12" i="5307"/>
  <c r="AF13" i="5307"/>
  <c r="AF14" i="5307"/>
  <c r="AF15" i="5307"/>
  <c r="AF16" i="5307"/>
  <c r="AF17" i="5307"/>
  <c r="AF18" i="5307"/>
  <c r="AF19" i="5307"/>
  <c r="AF20" i="5307"/>
  <c r="AF21" i="5307"/>
  <c r="AF22" i="5307"/>
  <c r="AF23" i="5307"/>
  <c r="AF24" i="5307"/>
  <c r="AF25" i="5307"/>
  <c r="AF26" i="5307"/>
  <c r="AF27" i="5307"/>
  <c r="AF28" i="5307"/>
  <c r="AF29" i="5307"/>
  <c r="AF30" i="5307"/>
  <c r="AF31" i="5307"/>
  <c r="AF32" i="5307"/>
  <c r="AF33" i="5307"/>
  <c r="AF34" i="5307"/>
  <c r="AF35" i="5307"/>
  <c r="AF36" i="5307"/>
  <c r="AF37" i="5307"/>
  <c r="AF38" i="5307"/>
  <c r="AF39" i="5307"/>
  <c r="AF40" i="5307"/>
  <c r="AF41" i="5307"/>
  <c r="AF42" i="5307"/>
  <c r="AF43" i="5307"/>
  <c r="AF44" i="5307"/>
  <c r="AF45" i="5307"/>
  <c r="AF46" i="5307"/>
  <c r="AF47" i="5307"/>
  <c r="AF48" i="5307"/>
  <c r="AF49" i="5307"/>
  <c r="AF50" i="5307"/>
  <c r="AF51" i="5307"/>
  <c r="AF52" i="5307"/>
  <c r="AF53" i="5307"/>
  <c r="AF54" i="5307"/>
  <c r="AF2" i="5306"/>
  <c r="AF3" i="5306"/>
  <c r="AF4" i="5306"/>
  <c r="AF5" i="5306"/>
  <c r="AF6" i="5306"/>
  <c r="AF7" i="5306"/>
  <c r="AF8" i="5306"/>
  <c r="AF9" i="5306"/>
  <c r="AF10" i="5306"/>
  <c r="AF11" i="5306"/>
  <c r="AF12" i="5306"/>
  <c r="AF13" i="5306"/>
  <c r="AF14" i="5306"/>
  <c r="AF15" i="5306"/>
  <c r="AF16" i="5306"/>
  <c r="AF17" i="5306"/>
  <c r="AF18" i="5306"/>
  <c r="AF19" i="5306"/>
  <c r="AF20" i="5306"/>
  <c r="AF21" i="5306"/>
  <c r="AF22" i="5306"/>
  <c r="AF23" i="5306"/>
  <c r="AF24" i="5306"/>
  <c r="AF25" i="5306"/>
  <c r="AF26" i="5306"/>
  <c r="AF27" i="5306"/>
  <c r="AF28" i="5306"/>
  <c r="AF29" i="5306"/>
  <c r="AF30" i="5306"/>
  <c r="AF31" i="5306"/>
  <c r="AF32" i="5306"/>
  <c r="AF33" i="5306"/>
  <c r="AF34" i="5306"/>
  <c r="AF35" i="5306"/>
  <c r="AF36" i="5306"/>
  <c r="AF37" i="5306"/>
  <c r="AF38" i="5306"/>
  <c r="AF39" i="5306"/>
  <c r="AF40" i="5306"/>
  <c r="AF41" i="5306"/>
  <c r="AF42" i="5306"/>
  <c r="AF43" i="5306"/>
  <c r="AF44" i="5306"/>
  <c r="AF45" i="5306"/>
  <c r="AF46" i="5306"/>
  <c r="AF47" i="5306"/>
  <c r="AF48" i="5306"/>
  <c r="AF49" i="5306"/>
  <c r="AF50" i="5306"/>
  <c r="AF51" i="5306"/>
  <c r="AF52" i="5306"/>
  <c r="AF53" i="5306"/>
  <c r="AF54" i="5306"/>
  <c r="AF2" i="5305"/>
  <c r="AF3" i="5305"/>
  <c r="AF4" i="5305"/>
  <c r="AF5" i="5305"/>
  <c r="AF6" i="5305"/>
  <c r="AF7" i="5305"/>
  <c r="AF8" i="5305"/>
  <c r="AF9" i="5305"/>
  <c r="AF10" i="5305"/>
  <c r="AF11" i="5305"/>
  <c r="AF12" i="5305"/>
  <c r="AF13" i="5305"/>
  <c r="AF14" i="5305"/>
  <c r="AF15" i="5305"/>
  <c r="AF16" i="5305"/>
  <c r="AF17" i="5305"/>
  <c r="AF18" i="5305"/>
  <c r="AF19" i="5305"/>
  <c r="AF20" i="5305"/>
  <c r="AF21" i="5305"/>
  <c r="AF22" i="5305"/>
  <c r="AF23" i="5305"/>
  <c r="AF24" i="5305"/>
  <c r="AF25" i="5305"/>
  <c r="AF26" i="5305"/>
  <c r="AF27" i="5305"/>
  <c r="AF28" i="5305"/>
  <c r="AF29" i="5305"/>
  <c r="AF30" i="5305"/>
  <c r="AF31" i="5305"/>
  <c r="AF32" i="5305"/>
  <c r="AF33" i="5305"/>
  <c r="AF34" i="5305"/>
  <c r="AF35" i="5305"/>
  <c r="AF36" i="5305"/>
  <c r="AF37" i="5305"/>
  <c r="AF38" i="5305"/>
  <c r="AF39" i="5305"/>
  <c r="AF40" i="5305"/>
  <c r="AF41" i="5305"/>
  <c r="AF42" i="5305"/>
  <c r="AF43" i="5305"/>
  <c r="AF44" i="5305"/>
  <c r="AF45" i="5305"/>
  <c r="AF46" i="5305"/>
  <c r="AF47" i="5305"/>
  <c r="AF48" i="5305"/>
  <c r="AF49" i="5305"/>
  <c r="AF50" i="5305"/>
  <c r="AF51" i="5305"/>
  <c r="AF52" i="5305"/>
  <c r="AF53" i="5305"/>
  <c r="AF54" i="5305"/>
  <c r="AF2" i="5304"/>
  <c r="AF3" i="5304"/>
  <c r="AF4" i="5304"/>
  <c r="AF5" i="5304"/>
  <c r="AF6" i="5304"/>
  <c r="AF7" i="5304"/>
  <c r="AF8" i="5304"/>
  <c r="AF9" i="5304"/>
  <c r="AF10" i="5304"/>
  <c r="AF11" i="5304"/>
  <c r="AF12" i="5304"/>
  <c r="AF13" i="5304"/>
  <c r="AF14" i="5304"/>
  <c r="AF15" i="5304"/>
  <c r="AF16" i="5304"/>
  <c r="AF17" i="5304"/>
  <c r="AF18" i="5304"/>
  <c r="AF19" i="5304"/>
  <c r="AF20" i="5304"/>
  <c r="AF21" i="5304"/>
  <c r="AF22" i="5304"/>
  <c r="AF23" i="5304"/>
  <c r="AF24" i="5304"/>
  <c r="AF25" i="5304"/>
  <c r="AF26" i="5304"/>
  <c r="AF27" i="5304"/>
  <c r="AF28" i="5304"/>
  <c r="AF29" i="5304"/>
  <c r="AF30" i="5304"/>
  <c r="AF31" i="5304"/>
  <c r="AF32" i="5304"/>
  <c r="AF33" i="5304"/>
  <c r="AF34" i="5304"/>
  <c r="AF35" i="5304"/>
  <c r="AF36" i="5304"/>
  <c r="AF37" i="5304"/>
  <c r="AF38" i="5304"/>
  <c r="AF39" i="5304"/>
  <c r="AF40" i="5304"/>
  <c r="AF41" i="5304"/>
  <c r="AF42" i="5304"/>
  <c r="AF43" i="5304"/>
  <c r="AF44" i="5304"/>
  <c r="AF45" i="5304"/>
  <c r="AF46" i="5304"/>
  <c r="AF47" i="5304"/>
  <c r="AF48" i="5304"/>
  <c r="AF49" i="5304"/>
  <c r="AF50" i="5304"/>
  <c r="AF51" i="5304"/>
  <c r="AF52" i="5304"/>
  <c r="AF53" i="5304"/>
  <c r="AF54" i="5304"/>
  <c r="AF2" i="5303"/>
  <c r="AF3" i="5303"/>
  <c r="AF4" i="5303"/>
  <c r="AF5" i="5303"/>
  <c r="AF6" i="5303"/>
  <c r="AF7" i="5303"/>
  <c r="AF8" i="5303"/>
  <c r="AF9" i="5303"/>
  <c r="AF10" i="5303"/>
  <c r="AF11" i="5303"/>
  <c r="AF12" i="5303"/>
  <c r="AF13" i="5303"/>
  <c r="AF14" i="5303"/>
  <c r="AF15" i="5303"/>
  <c r="AF16" i="5303"/>
  <c r="AF17" i="5303"/>
  <c r="AF18" i="5303"/>
  <c r="AF19" i="5303"/>
  <c r="AF20" i="5303"/>
  <c r="AF21" i="5303"/>
  <c r="AF22" i="5303"/>
  <c r="AF23" i="5303"/>
  <c r="AF24" i="5303"/>
  <c r="AF25" i="5303"/>
  <c r="AF26" i="5303"/>
  <c r="AF27" i="5303"/>
  <c r="AF28" i="5303"/>
  <c r="AF29" i="5303"/>
  <c r="AF30" i="5303"/>
  <c r="AF31" i="5303"/>
  <c r="AF32" i="5303"/>
  <c r="AF33" i="5303"/>
  <c r="AF34" i="5303"/>
  <c r="AF35" i="5303"/>
  <c r="AF36" i="5303"/>
  <c r="AF37" i="5303"/>
  <c r="AF38" i="5303"/>
  <c r="AF39" i="5303"/>
  <c r="AF40" i="5303"/>
  <c r="AF41" i="5303"/>
  <c r="AF42" i="5303"/>
  <c r="AF43" i="5303"/>
  <c r="AF44" i="5303"/>
  <c r="AF45" i="5303"/>
  <c r="AF46" i="5303"/>
  <c r="AF47" i="5303"/>
  <c r="AF48" i="5303"/>
  <c r="AF49" i="5303"/>
  <c r="AF50" i="5303"/>
  <c r="AF51" i="5303"/>
  <c r="AF52" i="5303"/>
  <c r="AF53" i="5303"/>
  <c r="AF54" i="5303"/>
  <c r="AF2" i="5302"/>
  <c r="AF3" i="5302"/>
  <c r="AF4" i="5302"/>
  <c r="AF5" i="5302"/>
  <c r="AF6" i="5302"/>
  <c r="AF7" i="5302"/>
  <c r="AF8" i="5302"/>
  <c r="AF9" i="5302"/>
  <c r="AF10" i="5302"/>
  <c r="AF11" i="5302"/>
  <c r="AF12" i="5302"/>
  <c r="AF13" i="5302"/>
  <c r="AF14" i="5302"/>
  <c r="AF15" i="5302"/>
  <c r="AF16" i="5302"/>
  <c r="AF17" i="5302"/>
  <c r="AF18" i="5302"/>
  <c r="AF19" i="5302"/>
  <c r="AF20" i="5302"/>
  <c r="AF21" i="5302"/>
  <c r="AF22" i="5302"/>
  <c r="AF23" i="5302"/>
  <c r="AF24" i="5302"/>
  <c r="AF25" i="5302"/>
  <c r="AF26" i="5302"/>
  <c r="AF27" i="5302"/>
  <c r="AF28" i="5302"/>
  <c r="AF29" i="5302"/>
  <c r="AF30" i="5302"/>
  <c r="AF31" i="5302"/>
  <c r="AF32" i="5302"/>
  <c r="AF33" i="5302"/>
  <c r="AF34" i="5302"/>
  <c r="AF35" i="5302"/>
  <c r="AF36" i="5302"/>
  <c r="AF37" i="5302"/>
  <c r="AF38" i="5302"/>
  <c r="AF39" i="5302"/>
  <c r="AF40" i="5302"/>
  <c r="AF41" i="5302"/>
  <c r="AF42" i="5302"/>
  <c r="AF43" i="5302"/>
  <c r="AF44" i="5302"/>
  <c r="AF45" i="5302"/>
  <c r="AF46" i="5302"/>
  <c r="AF47" i="5302"/>
  <c r="AF48" i="5302"/>
  <c r="AF49" i="5302"/>
  <c r="AF50" i="5302"/>
  <c r="AF51" i="5302"/>
  <c r="AF52" i="5302"/>
  <c r="AF53" i="5302"/>
  <c r="AF54" i="5302"/>
  <c r="AE2" i="5307"/>
  <c r="AE3" i="5307"/>
  <c r="AE4" i="5307"/>
  <c r="AE5" i="5307"/>
  <c r="AE6" i="5307"/>
  <c r="AE7" i="5307"/>
  <c r="AE8" i="5307"/>
  <c r="AE9" i="5307"/>
  <c r="AE10" i="5307"/>
  <c r="AE11" i="5307"/>
  <c r="AE12" i="5307"/>
  <c r="AE13" i="5307"/>
  <c r="AE14" i="5307"/>
  <c r="AE15" i="5307"/>
  <c r="AE16" i="5307"/>
  <c r="AE17" i="5307"/>
  <c r="AE18" i="5307"/>
  <c r="AE19" i="5307"/>
  <c r="AE20" i="5307"/>
  <c r="AE21" i="5307"/>
  <c r="AE22" i="5307"/>
  <c r="AE23" i="5307"/>
  <c r="AE24" i="5307"/>
  <c r="AE25" i="5307"/>
  <c r="AE26" i="5307"/>
  <c r="AE27" i="5307"/>
  <c r="AE28" i="5307"/>
  <c r="AE29" i="5307"/>
  <c r="AE30" i="5307"/>
  <c r="AE31" i="5307"/>
  <c r="AE32" i="5307"/>
  <c r="AE33" i="5307"/>
  <c r="AE34" i="5307"/>
  <c r="AE35" i="5307"/>
  <c r="AE36" i="5307"/>
  <c r="AE37" i="5307"/>
  <c r="AE38" i="5307"/>
  <c r="AE39" i="5307"/>
  <c r="AE40" i="5307"/>
  <c r="AE41" i="5307"/>
  <c r="AE42" i="5307"/>
  <c r="AE43" i="5307"/>
  <c r="AE44" i="5307"/>
  <c r="AE45" i="5307"/>
  <c r="AE46" i="5307"/>
  <c r="AE47" i="5307"/>
  <c r="AE48" i="5307"/>
  <c r="AE49" i="5307"/>
  <c r="AE50" i="5307"/>
  <c r="AE51" i="5307"/>
  <c r="AE52" i="5307"/>
  <c r="AE53" i="5307"/>
  <c r="AE54" i="5307"/>
  <c r="AE2" i="5306"/>
  <c r="AE3" i="5306"/>
  <c r="AE4" i="5306"/>
  <c r="AE5" i="5306"/>
  <c r="AE6" i="5306"/>
  <c r="AE7" i="5306"/>
  <c r="AE8" i="5306"/>
  <c r="AE9" i="5306"/>
  <c r="AE10" i="5306"/>
  <c r="AE11" i="5306"/>
  <c r="AE12" i="5306"/>
  <c r="AE13" i="5306"/>
  <c r="AE14" i="5306"/>
  <c r="AE15" i="5306"/>
  <c r="AE16" i="5306"/>
  <c r="AE17" i="5306"/>
  <c r="AE18" i="5306"/>
  <c r="AE19" i="5306"/>
  <c r="AE20" i="5306"/>
  <c r="AE21" i="5306"/>
  <c r="AE22" i="5306"/>
  <c r="AE23" i="5306"/>
  <c r="AE24" i="5306"/>
  <c r="AE25" i="5306"/>
  <c r="AE26" i="5306"/>
  <c r="AE27" i="5306"/>
  <c r="AE28" i="5306"/>
  <c r="AE29" i="5306"/>
  <c r="AE30" i="5306"/>
  <c r="AE31" i="5306"/>
  <c r="AE32" i="5306"/>
  <c r="AE33" i="5306"/>
  <c r="AE34" i="5306"/>
  <c r="AE35" i="5306"/>
  <c r="AE36" i="5306"/>
  <c r="AE37" i="5306"/>
  <c r="AE38" i="5306"/>
  <c r="AE39" i="5306"/>
  <c r="AE40" i="5306"/>
  <c r="AE41" i="5306"/>
  <c r="AE42" i="5306"/>
  <c r="AE43" i="5306"/>
  <c r="AE44" i="5306"/>
  <c r="AE45" i="5306"/>
  <c r="AE46" i="5306"/>
  <c r="AE47" i="5306"/>
  <c r="AE48" i="5306"/>
  <c r="AE49" i="5306"/>
  <c r="AE50" i="5306"/>
  <c r="AE51" i="5306"/>
  <c r="AE52" i="5306"/>
  <c r="AE53" i="5306"/>
  <c r="AE54" i="5306"/>
  <c r="AE2" i="5305"/>
  <c r="AE3" i="5305"/>
  <c r="AE4" i="5305"/>
  <c r="AE5" i="5305"/>
  <c r="AE6" i="5305"/>
  <c r="AE7" i="5305"/>
  <c r="AE8" i="5305"/>
  <c r="AE9" i="5305"/>
  <c r="AE10" i="5305"/>
  <c r="AE11" i="5305"/>
  <c r="AE12" i="5305"/>
  <c r="AE13" i="5305"/>
  <c r="AE14" i="5305"/>
  <c r="AE15" i="5305"/>
  <c r="AE16" i="5305"/>
  <c r="AE17" i="5305"/>
  <c r="AE18" i="5305"/>
  <c r="AE19" i="5305"/>
  <c r="AE20" i="5305"/>
  <c r="AE21" i="5305"/>
  <c r="AE22" i="5305"/>
  <c r="AE23" i="5305"/>
  <c r="AE24" i="5305"/>
  <c r="AE25" i="5305"/>
  <c r="AE26" i="5305"/>
  <c r="AE27" i="5305"/>
  <c r="AE28" i="5305"/>
  <c r="AE29" i="5305"/>
  <c r="AE30" i="5305"/>
  <c r="AE31" i="5305"/>
  <c r="AE32" i="5305"/>
  <c r="AE33" i="5305"/>
  <c r="AE34" i="5305"/>
  <c r="AE35" i="5305"/>
  <c r="AE36" i="5305"/>
  <c r="AE37" i="5305"/>
  <c r="AE38" i="5305"/>
  <c r="AE39" i="5305"/>
  <c r="AE40" i="5305"/>
  <c r="AE41" i="5305"/>
  <c r="AE42" i="5305"/>
  <c r="AE43" i="5305"/>
  <c r="AE44" i="5305"/>
  <c r="AE45" i="5305"/>
  <c r="AE46" i="5305"/>
  <c r="AE47" i="5305"/>
  <c r="AE48" i="5305"/>
  <c r="AE49" i="5305"/>
  <c r="AE50" i="5305"/>
  <c r="AE51" i="5305"/>
  <c r="AE52" i="5305"/>
  <c r="AE53" i="5305"/>
  <c r="AE54" i="5305"/>
  <c r="AE2" i="5304"/>
  <c r="AE3" i="5304"/>
  <c r="AE4" i="5304"/>
  <c r="AE5" i="5304"/>
  <c r="AE6" i="5304"/>
  <c r="AE7" i="5304"/>
  <c r="AE8" i="5304"/>
  <c r="AE9" i="5304"/>
  <c r="AE10" i="5304"/>
  <c r="AE11" i="5304"/>
  <c r="AE12" i="5304"/>
  <c r="AE13" i="5304"/>
  <c r="AE14" i="5304"/>
  <c r="AE15" i="5304"/>
  <c r="AE16" i="5304"/>
  <c r="AE17" i="5304"/>
  <c r="AE18" i="5304"/>
  <c r="AE19" i="5304"/>
  <c r="AE20" i="5304"/>
  <c r="AE21" i="5304"/>
  <c r="AE22" i="5304"/>
  <c r="AE23" i="5304"/>
  <c r="AE24" i="5304"/>
  <c r="AE25" i="5304"/>
  <c r="AE26" i="5304"/>
  <c r="AE27" i="5304"/>
  <c r="AE28" i="5304"/>
  <c r="AE29" i="5304"/>
  <c r="AE30" i="5304"/>
  <c r="AE31" i="5304"/>
  <c r="AE32" i="5304"/>
  <c r="AE33" i="5304"/>
  <c r="AE34" i="5304"/>
  <c r="AE35" i="5304"/>
  <c r="AE36" i="5304"/>
  <c r="AE37" i="5304"/>
  <c r="AE38" i="5304"/>
  <c r="AE39" i="5304"/>
  <c r="AE40" i="5304"/>
  <c r="AE41" i="5304"/>
  <c r="AE42" i="5304"/>
  <c r="AE43" i="5304"/>
  <c r="AE44" i="5304"/>
  <c r="AE45" i="5304"/>
  <c r="AE46" i="5304"/>
  <c r="AE47" i="5304"/>
  <c r="AE48" i="5304"/>
  <c r="AE49" i="5304"/>
  <c r="AE50" i="5304"/>
  <c r="AE51" i="5304"/>
  <c r="AE52" i="5304"/>
  <c r="AE53" i="5304"/>
  <c r="AE54" i="5304"/>
  <c r="AE2" i="5303"/>
  <c r="AE3" i="5303"/>
  <c r="AE4" i="5303"/>
  <c r="AE5" i="5303"/>
  <c r="AE6" i="5303"/>
  <c r="AE7" i="5303"/>
  <c r="AE8" i="5303"/>
  <c r="AE9" i="5303"/>
  <c r="AE10" i="5303"/>
  <c r="AE11" i="5303"/>
  <c r="AE12" i="5303"/>
  <c r="AE13" i="5303"/>
  <c r="AE14" i="5303"/>
  <c r="AE15" i="5303"/>
  <c r="AE16" i="5303"/>
  <c r="AE17" i="5303"/>
  <c r="AE18" i="5303"/>
  <c r="AE19" i="5303"/>
  <c r="AE20" i="5303"/>
  <c r="AE21" i="5303"/>
  <c r="AE22" i="5303"/>
  <c r="AE23" i="5303"/>
  <c r="AE24" i="5303"/>
  <c r="AE25" i="5303"/>
  <c r="AE26" i="5303"/>
  <c r="AE27" i="5303"/>
  <c r="AE28" i="5303"/>
  <c r="AE29" i="5303"/>
  <c r="AE30" i="5303"/>
  <c r="AE31" i="5303"/>
  <c r="AE32" i="5303"/>
  <c r="AE33" i="5303"/>
  <c r="AE34" i="5303"/>
  <c r="AE35" i="5303"/>
  <c r="AE36" i="5303"/>
  <c r="AE37" i="5303"/>
  <c r="AE38" i="5303"/>
  <c r="AE39" i="5303"/>
  <c r="AE40" i="5303"/>
  <c r="AE41" i="5303"/>
  <c r="AE42" i="5303"/>
  <c r="AE43" i="5303"/>
  <c r="AE44" i="5303"/>
  <c r="AE45" i="5303"/>
  <c r="AE46" i="5303"/>
  <c r="AE47" i="5303"/>
  <c r="AE48" i="5303"/>
  <c r="AE49" i="5303"/>
  <c r="AE50" i="5303"/>
  <c r="AE51" i="5303"/>
  <c r="AE52" i="5303"/>
  <c r="AE53" i="5303"/>
  <c r="AE54" i="5303"/>
  <c r="AE2" i="5302"/>
  <c r="AE3" i="5302"/>
  <c r="AE4" i="5302"/>
  <c r="AE5" i="5302"/>
  <c r="AE6" i="5302"/>
  <c r="AE7" i="5302"/>
  <c r="AE8" i="5302"/>
  <c r="AE9" i="5302"/>
  <c r="AE10" i="5302"/>
  <c r="AE11" i="5302"/>
  <c r="AE12" i="5302"/>
  <c r="AE13" i="5302"/>
  <c r="AE14" i="5302"/>
  <c r="AE15" i="5302"/>
  <c r="AE16" i="5302"/>
  <c r="AE17" i="5302"/>
  <c r="AE18" i="5302"/>
  <c r="AE19" i="5302"/>
  <c r="AE20" i="5302"/>
  <c r="AE21" i="5302"/>
  <c r="AE22" i="5302"/>
  <c r="AE23" i="5302"/>
  <c r="AE24" i="5302"/>
  <c r="AE25" i="5302"/>
  <c r="AE26" i="5302"/>
  <c r="AE27" i="5302"/>
  <c r="AE28" i="5302"/>
  <c r="AE29" i="5302"/>
  <c r="AE30" i="5302"/>
  <c r="AE31" i="5302"/>
  <c r="AE32" i="5302"/>
  <c r="AE33" i="5302"/>
  <c r="AE34" i="5302"/>
  <c r="AE35" i="5302"/>
  <c r="AE36" i="5302"/>
  <c r="AE37" i="5302"/>
  <c r="AE38" i="5302"/>
  <c r="AE39" i="5302"/>
  <c r="AE40" i="5302"/>
  <c r="AE41" i="5302"/>
  <c r="AE42" i="5302"/>
  <c r="AE43" i="5302"/>
  <c r="AE44" i="5302"/>
  <c r="AE45" i="5302"/>
  <c r="AE46" i="5302"/>
  <c r="AE47" i="5302"/>
  <c r="AE48" i="5302"/>
  <c r="AE49" i="5302"/>
  <c r="AE50" i="5302"/>
  <c r="AE51" i="5302"/>
  <c r="AE52" i="5302"/>
  <c r="AE53" i="5302"/>
  <c r="AE54" i="5302"/>
  <c r="AD2" i="5307"/>
  <c r="AD3" i="5307"/>
  <c r="AD4" i="5307"/>
  <c r="AD5" i="5307"/>
  <c r="AD6" i="5307"/>
  <c r="AD7" i="5307"/>
  <c r="AD8" i="5307"/>
  <c r="AD9" i="5307"/>
  <c r="AD10" i="5307"/>
  <c r="AD11" i="5307"/>
  <c r="AD12" i="5307"/>
  <c r="AD13" i="5307"/>
  <c r="AD14" i="5307"/>
  <c r="AD15" i="5307"/>
  <c r="AD16" i="5307"/>
  <c r="AD17" i="5307"/>
  <c r="AD18" i="5307"/>
  <c r="AD19" i="5307"/>
  <c r="AD20" i="5307"/>
  <c r="AD21" i="5307"/>
  <c r="AD22" i="5307"/>
  <c r="AD23" i="5307"/>
  <c r="AD24" i="5307"/>
  <c r="AD25" i="5307"/>
  <c r="AD26" i="5307"/>
  <c r="AD27" i="5307"/>
  <c r="AD28" i="5307"/>
  <c r="AD29" i="5307"/>
  <c r="AD30" i="5307"/>
  <c r="AD31" i="5307"/>
  <c r="AD32" i="5307"/>
  <c r="AD33" i="5307"/>
  <c r="AD34" i="5307"/>
  <c r="AD35" i="5307"/>
  <c r="AD36" i="5307"/>
  <c r="AD37" i="5307"/>
  <c r="AD38" i="5307"/>
  <c r="AD39" i="5307"/>
  <c r="AD40" i="5307"/>
  <c r="AD41" i="5307"/>
  <c r="AD42" i="5307"/>
  <c r="AD43" i="5307"/>
  <c r="AD44" i="5307"/>
  <c r="AD45" i="5307"/>
  <c r="AD46" i="5307"/>
  <c r="AD47" i="5307"/>
  <c r="AD48" i="5307"/>
  <c r="AD49" i="5307"/>
  <c r="AD50" i="5307"/>
  <c r="AD51" i="5307"/>
  <c r="AD52" i="5307"/>
  <c r="AD53" i="5307"/>
  <c r="AD54" i="5307"/>
  <c r="AD2" i="5306"/>
  <c r="AD3" i="5306"/>
  <c r="AD4" i="5306"/>
  <c r="AD5" i="5306"/>
  <c r="AD6" i="5306"/>
  <c r="AD7" i="5306"/>
  <c r="AD8" i="5306"/>
  <c r="AD9" i="5306"/>
  <c r="AD10" i="5306"/>
  <c r="AD11" i="5306"/>
  <c r="AD12" i="5306"/>
  <c r="AD13" i="5306"/>
  <c r="AD14" i="5306"/>
  <c r="AD15" i="5306"/>
  <c r="AD16" i="5306"/>
  <c r="AD17" i="5306"/>
  <c r="AD18" i="5306"/>
  <c r="AD19" i="5306"/>
  <c r="AD20" i="5306"/>
  <c r="AD21" i="5306"/>
  <c r="AD22" i="5306"/>
  <c r="AD23" i="5306"/>
  <c r="AD24" i="5306"/>
  <c r="AD25" i="5306"/>
  <c r="AD26" i="5306"/>
  <c r="AD27" i="5306"/>
  <c r="AD28" i="5306"/>
  <c r="AD29" i="5306"/>
  <c r="AD30" i="5306"/>
  <c r="AD31" i="5306"/>
  <c r="AD32" i="5306"/>
  <c r="AD33" i="5306"/>
  <c r="AD34" i="5306"/>
  <c r="AD35" i="5306"/>
  <c r="AD36" i="5306"/>
  <c r="AD37" i="5306"/>
  <c r="AD38" i="5306"/>
  <c r="AD39" i="5306"/>
  <c r="AD40" i="5306"/>
  <c r="AD41" i="5306"/>
  <c r="AD42" i="5306"/>
  <c r="AD43" i="5306"/>
  <c r="AD44" i="5306"/>
  <c r="AD45" i="5306"/>
  <c r="AD46" i="5306"/>
  <c r="AD47" i="5306"/>
  <c r="AD48" i="5306"/>
  <c r="AD49" i="5306"/>
  <c r="AD50" i="5306"/>
  <c r="AD51" i="5306"/>
  <c r="AD52" i="5306"/>
  <c r="AD53" i="5306"/>
  <c r="AD54" i="5306"/>
  <c r="AD2" i="5305"/>
  <c r="AD3" i="5305"/>
  <c r="AD4" i="5305"/>
  <c r="AD5" i="5305"/>
  <c r="AD6" i="5305"/>
  <c r="AD7" i="5305"/>
  <c r="AD8" i="5305"/>
  <c r="AD9" i="5305"/>
  <c r="AD10" i="5305"/>
  <c r="AD11" i="5305"/>
  <c r="AD12" i="5305"/>
  <c r="AD13" i="5305"/>
  <c r="AD14" i="5305"/>
  <c r="AD15" i="5305"/>
  <c r="AD16" i="5305"/>
  <c r="AD17" i="5305"/>
  <c r="AD18" i="5305"/>
  <c r="AD19" i="5305"/>
  <c r="AD20" i="5305"/>
  <c r="AD21" i="5305"/>
  <c r="AD22" i="5305"/>
  <c r="AD23" i="5305"/>
  <c r="AD24" i="5305"/>
  <c r="AD25" i="5305"/>
  <c r="AD26" i="5305"/>
  <c r="AD27" i="5305"/>
  <c r="AD28" i="5305"/>
  <c r="AD29" i="5305"/>
  <c r="AD30" i="5305"/>
  <c r="AD31" i="5305"/>
  <c r="AD32" i="5305"/>
  <c r="AD33" i="5305"/>
  <c r="AD34" i="5305"/>
  <c r="AD35" i="5305"/>
  <c r="AD36" i="5305"/>
  <c r="AD37" i="5305"/>
  <c r="AD38" i="5305"/>
  <c r="AD39" i="5305"/>
  <c r="AD40" i="5305"/>
  <c r="AD41" i="5305"/>
  <c r="AD42" i="5305"/>
  <c r="AD43" i="5305"/>
  <c r="AD44" i="5305"/>
  <c r="AD45" i="5305"/>
  <c r="AD46" i="5305"/>
  <c r="AD47" i="5305"/>
  <c r="AD48" i="5305"/>
  <c r="AD49" i="5305"/>
  <c r="AD50" i="5305"/>
  <c r="AD51" i="5305"/>
  <c r="AD52" i="5305"/>
  <c r="AD53" i="5305"/>
  <c r="AD54" i="5305"/>
  <c r="AD2" i="5304"/>
  <c r="AD3" i="5304"/>
  <c r="AD4" i="5304"/>
  <c r="AD5" i="5304"/>
  <c r="AD6" i="5304"/>
  <c r="AD7" i="5304"/>
  <c r="AD8" i="5304"/>
  <c r="AD9" i="5304"/>
  <c r="AD10" i="5304"/>
  <c r="AD11" i="5304"/>
  <c r="AD12" i="5304"/>
  <c r="AD13" i="5304"/>
  <c r="AD14" i="5304"/>
  <c r="AD15" i="5304"/>
  <c r="AD16" i="5304"/>
  <c r="AD17" i="5304"/>
  <c r="AD18" i="5304"/>
  <c r="AD19" i="5304"/>
  <c r="AD20" i="5304"/>
  <c r="AD21" i="5304"/>
  <c r="AD22" i="5304"/>
  <c r="AD23" i="5304"/>
  <c r="AD24" i="5304"/>
  <c r="AD25" i="5304"/>
  <c r="AD26" i="5304"/>
  <c r="AD27" i="5304"/>
  <c r="AD28" i="5304"/>
  <c r="AD29" i="5304"/>
  <c r="AD30" i="5304"/>
  <c r="AD31" i="5304"/>
  <c r="AD32" i="5304"/>
  <c r="AD33" i="5304"/>
  <c r="AD34" i="5304"/>
  <c r="AD35" i="5304"/>
  <c r="AD36" i="5304"/>
  <c r="AD37" i="5304"/>
  <c r="AD38" i="5304"/>
  <c r="AD39" i="5304"/>
  <c r="AD40" i="5304"/>
  <c r="AD41" i="5304"/>
  <c r="AD42" i="5304"/>
  <c r="AD43" i="5304"/>
  <c r="AD44" i="5304"/>
  <c r="AD45" i="5304"/>
  <c r="AD46" i="5304"/>
  <c r="AD47" i="5304"/>
  <c r="AD48" i="5304"/>
  <c r="AD49" i="5304"/>
  <c r="AD50" i="5304"/>
  <c r="AD51" i="5304"/>
  <c r="AD52" i="5304"/>
  <c r="AD53" i="5304"/>
  <c r="AD54" i="5304"/>
  <c r="AD2" i="5303"/>
  <c r="AD3" i="5303"/>
  <c r="AD4" i="5303"/>
  <c r="AD5" i="5303"/>
  <c r="AD6" i="5303"/>
  <c r="AD7" i="5303"/>
  <c r="AD8" i="5303"/>
  <c r="AD9" i="5303"/>
  <c r="AD10" i="5303"/>
  <c r="AD11" i="5303"/>
  <c r="AD12" i="5303"/>
  <c r="AD13" i="5303"/>
  <c r="AD14" i="5303"/>
  <c r="AD15" i="5303"/>
  <c r="AD16" i="5303"/>
  <c r="AD17" i="5303"/>
  <c r="AD18" i="5303"/>
  <c r="AD19" i="5303"/>
  <c r="AD20" i="5303"/>
  <c r="AD21" i="5303"/>
  <c r="AD22" i="5303"/>
  <c r="AD23" i="5303"/>
  <c r="AD24" i="5303"/>
  <c r="AD25" i="5303"/>
  <c r="AD26" i="5303"/>
  <c r="AD27" i="5303"/>
  <c r="AD28" i="5303"/>
  <c r="AD29" i="5303"/>
  <c r="AD30" i="5303"/>
  <c r="AD31" i="5303"/>
  <c r="AD32" i="5303"/>
  <c r="AD33" i="5303"/>
  <c r="AD34" i="5303"/>
  <c r="AD35" i="5303"/>
  <c r="AD36" i="5303"/>
  <c r="AD37" i="5303"/>
  <c r="AD38" i="5303"/>
  <c r="AD39" i="5303"/>
  <c r="AD40" i="5303"/>
  <c r="AD41" i="5303"/>
  <c r="AD42" i="5303"/>
  <c r="AD43" i="5303"/>
  <c r="AD44" i="5303"/>
  <c r="AD45" i="5303"/>
  <c r="AD46" i="5303"/>
  <c r="AD47" i="5303"/>
  <c r="AD48" i="5303"/>
  <c r="AD49" i="5303"/>
  <c r="AD50" i="5303"/>
  <c r="AD51" i="5303"/>
  <c r="AD52" i="5303"/>
  <c r="AD53" i="5303"/>
  <c r="AD54" i="5303"/>
  <c r="AD2" i="5302"/>
  <c r="AD3" i="5302"/>
  <c r="AD4" i="5302"/>
  <c r="AD5" i="5302"/>
  <c r="AD6" i="5302"/>
  <c r="AD7" i="5302"/>
  <c r="AD8" i="5302"/>
  <c r="AD9" i="5302"/>
  <c r="AD10" i="5302"/>
  <c r="AD11" i="5302"/>
  <c r="AD12" i="5302"/>
  <c r="AD13" i="5302"/>
  <c r="AD14" i="5302"/>
  <c r="AD15" i="5302"/>
  <c r="AD16" i="5302"/>
  <c r="AD17" i="5302"/>
  <c r="AD18" i="5302"/>
  <c r="AD19" i="5302"/>
  <c r="AD20" i="5302"/>
  <c r="AD21" i="5302"/>
  <c r="AD22" i="5302"/>
  <c r="AD23" i="5302"/>
  <c r="AD24" i="5302"/>
  <c r="AD25" i="5302"/>
  <c r="AD26" i="5302"/>
  <c r="AD27" i="5302"/>
  <c r="AD28" i="5302"/>
  <c r="AD29" i="5302"/>
  <c r="AD30" i="5302"/>
  <c r="AD31" i="5302"/>
  <c r="AD32" i="5302"/>
  <c r="AD33" i="5302"/>
  <c r="AD34" i="5302"/>
  <c r="AD35" i="5302"/>
  <c r="AD36" i="5302"/>
  <c r="AD37" i="5302"/>
  <c r="AD38" i="5302"/>
  <c r="AD39" i="5302"/>
  <c r="AD40" i="5302"/>
  <c r="AD41" i="5302"/>
  <c r="AD42" i="5302"/>
  <c r="AD43" i="5302"/>
  <c r="AD44" i="5302"/>
  <c r="AD45" i="5302"/>
  <c r="AD46" i="5302"/>
  <c r="AD47" i="5302"/>
  <c r="AD48" i="5302"/>
  <c r="AD49" i="5302"/>
  <c r="AD50" i="5302"/>
  <c r="AD51" i="5302"/>
  <c r="AD52" i="5302"/>
  <c r="AD53" i="5302"/>
  <c r="AD54" i="5302"/>
  <c r="AC2" i="5307"/>
  <c r="AC3" i="5307"/>
  <c r="AC4" i="5307"/>
  <c r="AC5" i="5307"/>
  <c r="AC6" i="5307"/>
  <c r="AC7" i="5307"/>
  <c r="AC8" i="5307"/>
  <c r="AC9" i="5307"/>
  <c r="AC10" i="5307"/>
  <c r="AC11" i="5307"/>
  <c r="AC12" i="5307"/>
  <c r="AC13" i="5307"/>
  <c r="AC14" i="5307"/>
  <c r="AC15" i="5307"/>
  <c r="AC16" i="5307"/>
  <c r="AC17" i="5307"/>
  <c r="AC18" i="5307"/>
  <c r="AC19" i="5307"/>
  <c r="AC20" i="5307"/>
  <c r="AC21" i="5307"/>
  <c r="AC22" i="5307"/>
  <c r="AC23" i="5307"/>
  <c r="AC24" i="5307"/>
  <c r="AC25" i="5307"/>
  <c r="AC26" i="5307"/>
  <c r="AC27" i="5307"/>
  <c r="AC28" i="5307"/>
  <c r="AC29" i="5307"/>
  <c r="AC30" i="5307"/>
  <c r="AC31" i="5307"/>
  <c r="AC32" i="5307"/>
  <c r="AC33" i="5307"/>
  <c r="AC34" i="5307"/>
  <c r="AC35" i="5307"/>
  <c r="AC36" i="5307"/>
  <c r="AC37" i="5307"/>
  <c r="AC38" i="5307"/>
  <c r="AC39" i="5307"/>
  <c r="AC40" i="5307"/>
  <c r="AC41" i="5307"/>
  <c r="AC42" i="5307"/>
  <c r="AC43" i="5307"/>
  <c r="AC44" i="5307"/>
  <c r="AC45" i="5307"/>
  <c r="AC46" i="5307"/>
  <c r="AC47" i="5307"/>
  <c r="AC48" i="5307"/>
  <c r="AC49" i="5307"/>
  <c r="AC50" i="5307"/>
  <c r="AC51" i="5307"/>
  <c r="AC52" i="5307"/>
  <c r="AC53" i="5307"/>
  <c r="AC54" i="5307"/>
  <c r="AC2" i="5306"/>
  <c r="AC3" i="5306"/>
  <c r="AC4" i="5306"/>
  <c r="AC5" i="5306"/>
  <c r="AC6" i="5306"/>
  <c r="AC7" i="5306"/>
  <c r="AC8" i="5306"/>
  <c r="AC9" i="5306"/>
  <c r="AC10" i="5306"/>
  <c r="AC11" i="5306"/>
  <c r="AC12" i="5306"/>
  <c r="AC13" i="5306"/>
  <c r="AC14" i="5306"/>
  <c r="AC15" i="5306"/>
  <c r="AC16" i="5306"/>
  <c r="AC17" i="5306"/>
  <c r="AC18" i="5306"/>
  <c r="AC19" i="5306"/>
  <c r="AC20" i="5306"/>
  <c r="AC21" i="5306"/>
  <c r="AC22" i="5306"/>
  <c r="AC23" i="5306"/>
  <c r="AC24" i="5306"/>
  <c r="AC25" i="5306"/>
  <c r="AC26" i="5306"/>
  <c r="AC27" i="5306"/>
  <c r="AC28" i="5306"/>
  <c r="AC29" i="5306"/>
  <c r="AC30" i="5306"/>
  <c r="AC31" i="5306"/>
  <c r="AC32" i="5306"/>
  <c r="AC33" i="5306"/>
  <c r="AC34" i="5306"/>
  <c r="AC35" i="5306"/>
  <c r="AC36" i="5306"/>
  <c r="AC37" i="5306"/>
  <c r="AC38" i="5306"/>
  <c r="AC39" i="5306"/>
  <c r="AC40" i="5306"/>
  <c r="AC41" i="5306"/>
  <c r="AC42" i="5306"/>
  <c r="AC43" i="5306"/>
  <c r="AC44" i="5306"/>
  <c r="AC45" i="5306"/>
  <c r="AC46" i="5306"/>
  <c r="AC47" i="5306"/>
  <c r="AC48" i="5306"/>
  <c r="AC49" i="5306"/>
  <c r="AC50" i="5306"/>
  <c r="AC51" i="5306"/>
  <c r="AC52" i="5306"/>
  <c r="AC53" i="5306"/>
  <c r="AC54" i="5306"/>
  <c r="AC2" i="5305"/>
  <c r="AC3" i="5305"/>
  <c r="AC4" i="5305"/>
  <c r="AC5" i="5305"/>
  <c r="AC6" i="5305"/>
  <c r="AC7" i="5305"/>
  <c r="AC8" i="5305"/>
  <c r="AC9" i="5305"/>
  <c r="AC10" i="5305"/>
  <c r="AC11" i="5305"/>
  <c r="AC12" i="5305"/>
  <c r="AC13" i="5305"/>
  <c r="AC14" i="5305"/>
  <c r="AC15" i="5305"/>
  <c r="AC16" i="5305"/>
  <c r="AC17" i="5305"/>
  <c r="AC18" i="5305"/>
  <c r="AC19" i="5305"/>
  <c r="AC20" i="5305"/>
  <c r="AC21" i="5305"/>
  <c r="AC22" i="5305"/>
  <c r="AC23" i="5305"/>
  <c r="AC24" i="5305"/>
  <c r="AC25" i="5305"/>
  <c r="AC26" i="5305"/>
  <c r="AC27" i="5305"/>
  <c r="AC28" i="5305"/>
  <c r="AC29" i="5305"/>
  <c r="AC30" i="5305"/>
  <c r="AC31" i="5305"/>
  <c r="AC32" i="5305"/>
  <c r="AC33" i="5305"/>
  <c r="AC34" i="5305"/>
  <c r="AC35" i="5305"/>
  <c r="AC36" i="5305"/>
  <c r="AC37" i="5305"/>
  <c r="AC38" i="5305"/>
  <c r="AC39" i="5305"/>
  <c r="AC40" i="5305"/>
  <c r="AC41" i="5305"/>
  <c r="AC42" i="5305"/>
  <c r="AC43" i="5305"/>
  <c r="AC44" i="5305"/>
  <c r="AC45" i="5305"/>
  <c r="AC46" i="5305"/>
  <c r="AC47" i="5305"/>
  <c r="AC48" i="5305"/>
  <c r="AC49" i="5305"/>
  <c r="AC50" i="5305"/>
  <c r="AC51" i="5305"/>
  <c r="AC52" i="5305"/>
  <c r="AC53" i="5305"/>
  <c r="AC54" i="5305"/>
  <c r="AC2" i="5304"/>
  <c r="AC3" i="5304"/>
  <c r="AC4" i="5304"/>
  <c r="AC5" i="5304"/>
  <c r="AC6" i="5304"/>
  <c r="AC7" i="5304"/>
  <c r="AC8" i="5304"/>
  <c r="AC9" i="5304"/>
  <c r="AC10" i="5304"/>
  <c r="AC11" i="5304"/>
  <c r="AC12" i="5304"/>
  <c r="AC13" i="5304"/>
  <c r="AC14" i="5304"/>
  <c r="AC15" i="5304"/>
  <c r="AC16" i="5304"/>
  <c r="AC17" i="5304"/>
  <c r="AC18" i="5304"/>
  <c r="AC19" i="5304"/>
  <c r="AC20" i="5304"/>
  <c r="AC21" i="5304"/>
  <c r="AC22" i="5304"/>
  <c r="AC23" i="5304"/>
  <c r="AC24" i="5304"/>
  <c r="AC25" i="5304"/>
  <c r="AC26" i="5304"/>
  <c r="AC27" i="5304"/>
  <c r="AC28" i="5304"/>
  <c r="AC29" i="5304"/>
  <c r="AC30" i="5304"/>
  <c r="AC31" i="5304"/>
  <c r="AC32" i="5304"/>
  <c r="AC33" i="5304"/>
  <c r="AC34" i="5304"/>
  <c r="AC35" i="5304"/>
  <c r="AC36" i="5304"/>
  <c r="AC37" i="5304"/>
  <c r="AC38" i="5304"/>
  <c r="AC39" i="5304"/>
  <c r="AC40" i="5304"/>
  <c r="AC41" i="5304"/>
  <c r="AC42" i="5304"/>
  <c r="AC43" i="5304"/>
  <c r="AC44" i="5304"/>
  <c r="AC45" i="5304"/>
  <c r="AC46" i="5304"/>
  <c r="AC47" i="5304"/>
  <c r="AC48" i="5304"/>
  <c r="AC49" i="5304"/>
  <c r="AC50" i="5304"/>
  <c r="AC51" i="5304"/>
  <c r="AC52" i="5304"/>
  <c r="AC53" i="5304"/>
  <c r="AC54" i="5304"/>
  <c r="AC2" i="5303"/>
  <c r="AC3" i="5303"/>
  <c r="AC4" i="5303"/>
  <c r="AC5" i="5303"/>
  <c r="AC6" i="5303"/>
  <c r="AC7" i="5303"/>
  <c r="AC8" i="5303"/>
  <c r="AC9" i="5303"/>
  <c r="AC10" i="5303"/>
  <c r="AC11" i="5303"/>
  <c r="AC12" i="5303"/>
  <c r="AC13" i="5303"/>
  <c r="AC14" i="5303"/>
  <c r="AC15" i="5303"/>
  <c r="AC16" i="5303"/>
  <c r="AC17" i="5303"/>
  <c r="AC18" i="5303"/>
  <c r="AC19" i="5303"/>
  <c r="AC20" i="5303"/>
  <c r="AC21" i="5303"/>
  <c r="AC22" i="5303"/>
  <c r="AC23" i="5303"/>
  <c r="AC24" i="5303"/>
  <c r="AC25" i="5303"/>
  <c r="AC26" i="5303"/>
  <c r="AC27" i="5303"/>
  <c r="AC28" i="5303"/>
  <c r="AC29" i="5303"/>
  <c r="AC30" i="5303"/>
  <c r="AC31" i="5303"/>
  <c r="AC32" i="5303"/>
  <c r="AC33" i="5303"/>
  <c r="AC34" i="5303"/>
  <c r="AC35" i="5303"/>
  <c r="AC36" i="5303"/>
  <c r="AC37" i="5303"/>
  <c r="AC38" i="5303"/>
  <c r="AC39" i="5303"/>
  <c r="AC40" i="5303"/>
  <c r="AC41" i="5303"/>
  <c r="AC42" i="5303"/>
  <c r="AC43" i="5303"/>
  <c r="AC44" i="5303"/>
  <c r="AC45" i="5303"/>
  <c r="AC46" i="5303"/>
  <c r="AC47" i="5303"/>
  <c r="AC48" i="5303"/>
  <c r="AC49" i="5303"/>
  <c r="AC50" i="5303"/>
  <c r="AC51" i="5303"/>
  <c r="AC52" i="5303"/>
  <c r="AC53" i="5303"/>
  <c r="AC54" i="5303"/>
  <c r="AC2" i="5302"/>
  <c r="AC3" i="5302"/>
  <c r="AC4" i="5302"/>
  <c r="AC5" i="5302"/>
  <c r="AC6" i="5302"/>
  <c r="AC7" i="5302"/>
  <c r="AC8" i="5302"/>
  <c r="AC9" i="5302"/>
  <c r="AC10" i="5302"/>
  <c r="AC11" i="5302"/>
  <c r="AC12" i="5302"/>
  <c r="AC13" i="5302"/>
  <c r="AC14" i="5302"/>
  <c r="AC15" i="5302"/>
  <c r="AC16" i="5302"/>
  <c r="AC17" i="5302"/>
  <c r="AC18" i="5302"/>
  <c r="AC19" i="5302"/>
  <c r="AC20" i="5302"/>
  <c r="AC21" i="5302"/>
  <c r="AC22" i="5302"/>
  <c r="AC23" i="5302"/>
  <c r="AC24" i="5302"/>
  <c r="AC25" i="5302"/>
  <c r="AC26" i="5302"/>
  <c r="AC27" i="5302"/>
  <c r="AC28" i="5302"/>
  <c r="AC29" i="5302"/>
  <c r="AC30" i="5302"/>
  <c r="AC31" i="5302"/>
  <c r="AC32" i="5302"/>
  <c r="AC33" i="5302"/>
  <c r="AC34" i="5302"/>
  <c r="AC35" i="5302"/>
  <c r="AC36" i="5302"/>
  <c r="AC37" i="5302"/>
  <c r="AC38" i="5302"/>
  <c r="AC39" i="5302"/>
  <c r="AC40" i="5302"/>
  <c r="AC41" i="5302"/>
  <c r="AC42" i="5302"/>
  <c r="AC43" i="5302"/>
  <c r="AC44" i="5302"/>
  <c r="AC45" i="5302"/>
  <c r="AC46" i="5302"/>
  <c r="AC47" i="5302"/>
  <c r="AC48" i="5302"/>
  <c r="AC49" i="5302"/>
  <c r="AC50" i="5302"/>
  <c r="AC51" i="5302"/>
  <c r="AC52" i="5302"/>
  <c r="AC53" i="5302"/>
  <c r="AC54" i="5302"/>
  <c r="AB2" i="5307"/>
  <c r="AB3" i="5307"/>
  <c r="AB4" i="5307"/>
  <c r="AB5" i="5307"/>
  <c r="AB6" i="5307"/>
  <c r="AB7" i="5307"/>
  <c r="AB8" i="5307"/>
  <c r="AB9" i="5307"/>
  <c r="AB10" i="5307"/>
  <c r="AB11" i="5307"/>
  <c r="AB12" i="5307"/>
  <c r="AB13" i="5307"/>
  <c r="AB14" i="5307"/>
  <c r="AB15" i="5307"/>
  <c r="AB16" i="5307"/>
  <c r="AB17" i="5307"/>
  <c r="AB18" i="5307"/>
  <c r="AB19" i="5307"/>
  <c r="AB20" i="5307"/>
  <c r="AB21" i="5307"/>
  <c r="AB22" i="5307"/>
  <c r="AB23" i="5307"/>
  <c r="AB24" i="5307"/>
  <c r="AB25" i="5307"/>
  <c r="AB26" i="5307"/>
  <c r="AB27" i="5307"/>
  <c r="AB28" i="5307"/>
  <c r="AB29" i="5307"/>
  <c r="AB30" i="5307"/>
  <c r="AB31" i="5307"/>
  <c r="AB32" i="5307"/>
  <c r="AB33" i="5307"/>
  <c r="AB34" i="5307"/>
  <c r="AB35" i="5307"/>
  <c r="AB36" i="5307"/>
  <c r="AB37" i="5307"/>
  <c r="AB38" i="5307"/>
  <c r="AB39" i="5307"/>
  <c r="AB40" i="5307"/>
  <c r="AB41" i="5307"/>
  <c r="AB42" i="5307"/>
  <c r="AB43" i="5307"/>
  <c r="AB44" i="5307"/>
  <c r="AB45" i="5307"/>
  <c r="AB46" i="5307"/>
  <c r="AB47" i="5307"/>
  <c r="AB48" i="5307"/>
  <c r="AB49" i="5307"/>
  <c r="AB50" i="5307"/>
  <c r="AB51" i="5307"/>
  <c r="AB52" i="5307"/>
  <c r="AB53" i="5307"/>
  <c r="AB54" i="5307"/>
  <c r="AB2" i="5306"/>
  <c r="AB3" i="5306"/>
  <c r="AB4" i="5306"/>
  <c r="AB5" i="5306"/>
  <c r="AB6" i="5306"/>
  <c r="AB7" i="5306"/>
  <c r="AB8" i="5306"/>
  <c r="AB9" i="5306"/>
  <c r="AB10" i="5306"/>
  <c r="AB11" i="5306"/>
  <c r="AB12" i="5306"/>
  <c r="AB13" i="5306"/>
  <c r="AB14" i="5306"/>
  <c r="AB15" i="5306"/>
  <c r="AB16" i="5306"/>
  <c r="AB17" i="5306"/>
  <c r="AB18" i="5306"/>
  <c r="AB19" i="5306"/>
  <c r="AB20" i="5306"/>
  <c r="AB21" i="5306"/>
  <c r="AB22" i="5306"/>
  <c r="AB23" i="5306"/>
  <c r="AB24" i="5306"/>
  <c r="AB25" i="5306"/>
  <c r="AB26" i="5306"/>
  <c r="AB27" i="5306"/>
  <c r="AB28" i="5306"/>
  <c r="AB29" i="5306"/>
  <c r="AB30" i="5306"/>
  <c r="AB31" i="5306"/>
  <c r="AB32" i="5306"/>
  <c r="AB33" i="5306"/>
  <c r="AB34" i="5306"/>
  <c r="AB35" i="5306"/>
  <c r="AB36" i="5306"/>
  <c r="AB37" i="5306"/>
  <c r="AB38" i="5306"/>
  <c r="AB39" i="5306"/>
  <c r="AB40" i="5306"/>
  <c r="AB41" i="5306"/>
  <c r="AB42" i="5306"/>
  <c r="AB43" i="5306"/>
  <c r="AB44" i="5306"/>
  <c r="AB45" i="5306"/>
  <c r="AB46" i="5306"/>
  <c r="AB47" i="5306"/>
  <c r="AB48" i="5306"/>
  <c r="AB49" i="5306"/>
  <c r="AB50" i="5306"/>
  <c r="AB51" i="5306"/>
  <c r="AB52" i="5306"/>
  <c r="AB53" i="5306"/>
  <c r="AB54" i="5306"/>
  <c r="AB2" i="5305"/>
  <c r="AB3" i="5305"/>
  <c r="AB4" i="5305"/>
  <c r="AB5" i="5305"/>
  <c r="AB6" i="5305"/>
  <c r="AB7" i="5305"/>
  <c r="AB8" i="5305"/>
  <c r="AB9" i="5305"/>
  <c r="AB10" i="5305"/>
  <c r="AB11" i="5305"/>
  <c r="AB12" i="5305"/>
  <c r="AB13" i="5305"/>
  <c r="AB14" i="5305"/>
  <c r="AB15" i="5305"/>
  <c r="AB16" i="5305"/>
  <c r="AB17" i="5305"/>
  <c r="AB18" i="5305"/>
  <c r="AB19" i="5305"/>
  <c r="AB20" i="5305"/>
  <c r="AB21" i="5305"/>
  <c r="AB22" i="5305"/>
  <c r="AB23" i="5305"/>
  <c r="AB24" i="5305"/>
  <c r="AB25" i="5305"/>
  <c r="AB26" i="5305"/>
  <c r="AB27" i="5305"/>
  <c r="AB28" i="5305"/>
  <c r="AB29" i="5305"/>
  <c r="AB30" i="5305"/>
  <c r="AB31" i="5305"/>
  <c r="AB32" i="5305"/>
  <c r="AB33" i="5305"/>
  <c r="AB34" i="5305"/>
  <c r="AB35" i="5305"/>
  <c r="AB36" i="5305"/>
  <c r="AB37" i="5305"/>
  <c r="AB38" i="5305"/>
  <c r="AB39" i="5305"/>
  <c r="AB40" i="5305"/>
  <c r="AB41" i="5305"/>
  <c r="AB42" i="5305"/>
  <c r="AB43" i="5305"/>
  <c r="AB44" i="5305"/>
  <c r="AB45" i="5305"/>
  <c r="AB46" i="5305"/>
  <c r="AB47" i="5305"/>
  <c r="AB48" i="5305"/>
  <c r="AB49" i="5305"/>
  <c r="AB50" i="5305"/>
  <c r="AB51" i="5305"/>
  <c r="AB52" i="5305"/>
  <c r="AB53" i="5305"/>
  <c r="AB54" i="5305"/>
  <c r="AB2" i="5304"/>
  <c r="AB3" i="5304"/>
  <c r="AB4" i="5304"/>
  <c r="AB5" i="5304"/>
  <c r="AB6" i="5304"/>
  <c r="AB7" i="5304"/>
  <c r="AB8" i="5304"/>
  <c r="AB9" i="5304"/>
  <c r="AB10" i="5304"/>
  <c r="AB11" i="5304"/>
  <c r="AB12" i="5304"/>
  <c r="AB13" i="5304"/>
  <c r="AB14" i="5304"/>
  <c r="AB15" i="5304"/>
  <c r="AB16" i="5304"/>
  <c r="AB17" i="5304"/>
  <c r="AB18" i="5304"/>
  <c r="AB19" i="5304"/>
  <c r="AB20" i="5304"/>
  <c r="AB21" i="5304"/>
  <c r="AB22" i="5304"/>
  <c r="AB23" i="5304"/>
  <c r="AB24" i="5304"/>
  <c r="AB25" i="5304"/>
  <c r="AB26" i="5304"/>
  <c r="AB27" i="5304"/>
  <c r="AB28" i="5304"/>
  <c r="AB29" i="5304"/>
  <c r="AB30" i="5304"/>
  <c r="AB31" i="5304"/>
  <c r="AB32" i="5304"/>
  <c r="AB33" i="5304"/>
  <c r="AB34" i="5304"/>
  <c r="AB35" i="5304"/>
  <c r="AB36" i="5304"/>
  <c r="AB37" i="5304"/>
  <c r="AB38" i="5304"/>
  <c r="AB39" i="5304"/>
  <c r="AB40" i="5304"/>
  <c r="AB41" i="5304"/>
  <c r="AB42" i="5304"/>
  <c r="AB43" i="5304"/>
  <c r="AB44" i="5304"/>
  <c r="AB45" i="5304"/>
  <c r="AB46" i="5304"/>
  <c r="AB47" i="5304"/>
  <c r="AB48" i="5304"/>
  <c r="AB49" i="5304"/>
  <c r="AB50" i="5304"/>
  <c r="AB51" i="5304"/>
  <c r="AB52" i="5304"/>
  <c r="AB53" i="5304"/>
  <c r="AB54" i="5304"/>
  <c r="AB2" i="5303"/>
  <c r="AB3" i="5303"/>
  <c r="AB4" i="5303"/>
  <c r="AB5" i="5303"/>
  <c r="AB6" i="5303"/>
  <c r="AB7" i="5303"/>
  <c r="AB8" i="5303"/>
  <c r="AB9" i="5303"/>
  <c r="AB10" i="5303"/>
  <c r="AB11" i="5303"/>
  <c r="AB12" i="5303"/>
  <c r="AB13" i="5303"/>
  <c r="AB14" i="5303"/>
  <c r="AB15" i="5303"/>
  <c r="AB16" i="5303"/>
  <c r="AB17" i="5303"/>
  <c r="AB18" i="5303"/>
  <c r="AB19" i="5303"/>
  <c r="AB20" i="5303"/>
  <c r="AB21" i="5303"/>
  <c r="AB22" i="5303"/>
  <c r="AB23" i="5303"/>
  <c r="AB24" i="5303"/>
  <c r="AB25" i="5303"/>
  <c r="AB26" i="5303"/>
  <c r="AB27" i="5303"/>
  <c r="AB28" i="5303"/>
  <c r="AB29" i="5303"/>
  <c r="AB30" i="5303"/>
  <c r="AB31" i="5303"/>
  <c r="AB32" i="5303"/>
  <c r="AB33" i="5303"/>
  <c r="AB34" i="5303"/>
  <c r="AB35" i="5303"/>
  <c r="AB36" i="5303"/>
  <c r="AB37" i="5303"/>
  <c r="AB38" i="5303"/>
  <c r="AB39" i="5303"/>
  <c r="AB40" i="5303"/>
  <c r="AB41" i="5303"/>
  <c r="AB42" i="5303"/>
  <c r="AB43" i="5303"/>
  <c r="AB44" i="5303"/>
  <c r="AB45" i="5303"/>
  <c r="AB46" i="5303"/>
  <c r="AB47" i="5303"/>
  <c r="AB48" i="5303"/>
  <c r="AB49" i="5303"/>
  <c r="AB50" i="5303"/>
  <c r="AB51" i="5303"/>
  <c r="AB52" i="5303"/>
  <c r="AB53" i="5303"/>
  <c r="AB54" i="5303"/>
  <c r="AB2" i="5302"/>
  <c r="AB3" i="5302"/>
  <c r="AB4" i="5302"/>
  <c r="AB5" i="5302"/>
  <c r="AB6" i="5302"/>
  <c r="AB7" i="5302"/>
  <c r="AB8" i="5302"/>
  <c r="AB9" i="5302"/>
  <c r="AB10" i="5302"/>
  <c r="AB11" i="5302"/>
  <c r="AB12" i="5302"/>
  <c r="AB13" i="5302"/>
  <c r="AB14" i="5302"/>
  <c r="AB15" i="5302"/>
  <c r="AB16" i="5302"/>
  <c r="AB17" i="5302"/>
  <c r="AB18" i="5302"/>
  <c r="AB19" i="5302"/>
  <c r="AB20" i="5302"/>
  <c r="AB21" i="5302"/>
  <c r="AB22" i="5302"/>
  <c r="AB23" i="5302"/>
  <c r="AB24" i="5302"/>
  <c r="AB25" i="5302"/>
  <c r="AB26" i="5302"/>
  <c r="AB27" i="5302"/>
  <c r="AB28" i="5302"/>
  <c r="AB29" i="5302"/>
  <c r="AB30" i="5302"/>
  <c r="AB31" i="5302"/>
  <c r="AB32" i="5302"/>
  <c r="AB33" i="5302"/>
  <c r="AB34" i="5302"/>
  <c r="AB35" i="5302"/>
  <c r="AB36" i="5302"/>
  <c r="AB37" i="5302"/>
  <c r="AB38" i="5302"/>
  <c r="AB39" i="5302"/>
  <c r="AB40" i="5302"/>
  <c r="AB41" i="5302"/>
  <c r="AB42" i="5302"/>
  <c r="AB43" i="5302"/>
  <c r="AB44" i="5302"/>
  <c r="AB45" i="5302"/>
  <c r="AB46" i="5302"/>
  <c r="AB47" i="5302"/>
  <c r="AB48" i="5302"/>
  <c r="AB49" i="5302"/>
  <c r="AB50" i="5302"/>
  <c r="AB51" i="5302"/>
  <c r="AB52" i="5302"/>
  <c r="AB53" i="5302"/>
  <c r="AB54" i="5302"/>
  <c r="AA2" i="5307"/>
  <c r="AA3" i="5307"/>
  <c r="AA4" i="5307"/>
  <c r="AA5" i="5307"/>
  <c r="AA6" i="5307"/>
  <c r="AA7" i="5307"/>
  <c r="AA8" i="5307"/>
  <c r="AA9" i="5307"/>
  <c r="AA10" i="5307"/>
  <c r="AA11" i="5307"/>
  <c r="AA12" i="5307"/>
  <c r="AA13" i="5307"/>
  <c r="AA14" i="5307"/>
  <c r="AA15" i="5307"/>
  <c r="AA16" i="5307"/>
  <c r="AA17" i="5307"/>
  <c r="AA18" i="5307"/>
  <c r="AA19" i="5307"/>
  <c r="AA20" i="5307"/>
  <c r="AA21" i="5307"/>
  <c r="AA22" i="5307"/>
  <c r="AA23" i="5307"/>
  <c r="AA24" i="5307"/>
  <c r="AA25" i="5307"/>
  <c r="AA26" i="5307"/>
  <c r="AA27" i="5307"/>
  <c r="AA28" i="5307"/>
  <c r="AA29" i="5307"/>
  <c r="AA30" i="5307"/>
  <c r="AA31" i="5307"/>
  <c r="AA32" i="5307"/>
  <c r="AA33" i="5307"/>
  <c r="AA34" i="5307"/>
  <c r="AA35" i="5307"/>
  <c r="AA36" i="5307"/>
  <c r="AA37" i="5307"/>
  <c r="AA38" i="5307"/>
  <c r="AA39" i="5307"/>
  <c r="AA40" i="5307"/>
  <c r="AA41" i="5307"/>
  <c r="AA42" i="5307"/>
  <c r="AA43" i="5307"/>
  <c r="AA44" i="5307"/>
  <c r="AA45" i="5307"/>
  <c r="AA46" i="5307"/>
  <c r="AA47" i="5307"/>
  <c r="AA48" i="5307"/>
  <c r="AA49" i="5307"/>
  <c r="AA50" i="5307"/>
  <c r="AA51" i="5307"/>
  <c r="AA52" i="5307"/>
  <c r="AA53" i="5307"/>
  <c r="AA54" i="5307"/>
  <c r="AA2" i="5306"/>
  <c r="AA3" i="5306"/>
  <c r="AA4" i="5306"/>
  <c r="AA5" i="5306"/>
  <c r="AA6" i="5306"/>
  <c r="AA7" i="5306"/>
  <c r="AA8" i="5306"/>
  <c r="AA9" i="5306"/>
  <c r="AA10" i="5306"/>
  <c r="AA11" i="5306"/>
  <c r="AA12" i="5306"/>
  <c r="AA13" i="5306"/>
  <c r="AA14" i="5306"/>
  <c r="AA15" i="5306"/>
  <c r="AA16" i="5306"/>
  <c r="AA17" i="5306"/>
  <c r="AA18" i="5306"/>
  <c r="AA19" i="5306"/>
  <c r="AA20" i="5306"/>
  <c r="AA21" i="5306"/>
  <c r="AA22" i="5306"/>
  <c r="AA23" i="5306"/>
  <c r="AA24" i="5306"/>
  <c r="AA25" i="5306"/>
  <c r="AA26" i="5306"/>
  <c r="AA27" i="5306"/>
  <c r="AA28" i="5306"/>
  <c r="AA29" i="5306"/>
  <c r="AA30" i="5306"/>
  <c r="AA31" i="5306"/>
  <c r="AA32" i="5306"/>
  <c r="AA33" i="5306"/>
  <c r="AA34" i="5306"/>
  <c r="AA35" i="5306"/>
  <c r="AA36" i="5306"/>
  <c r="AA37" i="5306"/>
  <c r="AA38" i="5306"/>
  <c r="AA39" i="5306"/>
  <c r="AA40" i="5306"/>
  <c r="AA41" i="5306"/>
  <c r="AA42" i="5306"/>
  <c r="AA43" i="5306"/>
  <c r="AA44" i="5306"/>
  <c r="AA45" i="5306"/>
  <c r="AA46" i="5306"/>
  <c r="AA47" i="5306"/>
  <c r="AA48" i="5306"/>
  <c r="AA49" i="5306"/>
  <c r="AA50" i="5306"/>
  <c r="AA51" i="5306"/>
  <c r="AA52" i="5306"/>
  <c r="AA53" i="5306"/>
  <c r="AA54" i="5306"/>
  <c r="AA2" i="5305"/>
  <c r="AA3" i="5305"/>
  <c r="AA4" i="5305"/>
  <c r="AA5" i="5305"/>
  <c r="AA6" i="5305"/>
  <c r="AA7" i="5305"/>
  <c r="AA8" i="5305"/>
  <c r="AA9" i="5305"/>
  <c r="AA10" i="5305"/>
  <c r="AA11" i="5305"/>
  <c r="AA12" i="5305"/>
  <c r="AA13" i="5305"/>
  <c r="AA14" i="5305"/>
  <c r="AA15" i="5305"/>
  <c r="AA16" i="5305"/>
  <c r="AA17" i="5305"/>
  <c r="AA18" i="5305"/>
  <c r="AA19" i="5305"/>
  <c r="AA20" i="5305"/>
  <c r="AA21" i="5305"/>
  <c r="AA22" i="5305"/>
  <c r="AA23" i="5305"/>
  <c r="AA24" i="5305"/>
  <c r="AA25" i="5305"/>
  <c r="AA26" i="5305"/>
  <c r="AA27" i="5305"/>
  <c r="AA28" i="5305"/>
  <c r="AA29" i="5305"/>
  <c r="AA30" i="5305"/>
  <c r="AA31" i="5305"/>
  <c r="AA32" i="5305"/>
  <c r="AA33" i="5305"/>
  <c r="AA34" i="5305"/>
  <c r="AA35" i="5305"/>
  <c r="AA36" i="5305"/>
  <c r="AA37" i="5305"/>
  <c r="AA38" i="5305"/>
  <c r="AA39" i="5305"/>
  <c r="AA40" i="5305"/>
  <c r="AA41" i="5305"/>
  <c r="AA42" i="5305"/>
  <c r="AA43" i="5305"/>
  <c r="AA44" i="5305"/>
  <c r="AA45" i="5305"/>
  <c r="AA46" i="5305"/>
  <c r="AA47" i="5305"/>
  <c r="AA48" i="5305"/>
  <c r="AA49" i="5305"/>
  <c r="AA50" i="5305"/>
  <c r="AA51" i="5305"/>
  <c r="AA52" i="5305"/>
  <c r="AA53" i="5305"/>
  <c r="AA54" i="5305"/>
  <c r="AA2" i="5304"/>
  <c r="AA3" i="5304"/>
  <c r="AA4" i="5304"/>
  <c r="AA5" i="5304"/>
  <c r="AA6" i="5304"/>
  <c r="AA7" i="5304"/>
  <c r="AA8" i="5304"/>
  <c r="AA9" i="5304"/>
  <c r="AA10" i="5304"/>
  <c r="AA11" i="5304"/>
  <c r="AA12" i="5304"/>
  <c r="AA13" i="5304"/>
  <c r="AA14" i="5304"/>
  <c r="AA15" i="5304"/>
  <c r="AA16" i="5304"/>
  <c r="AA17" i="5304"/>
  <c r="AA18" i="5304"/>
  <c r="AA19" i="5304"/>
  <c r="AA20" i="5304"/>
  <c r="AA21" i="5304"/>
  <c r="AA22" i="5304"/>
  <c r="AA23" i="5304"/>
  <c r="AA24" i="5304"/>
  <c r="AA25" i="5304"/>
  <c r="AA26" i="5304"/>
  <c r="AA27" i="5304"/>
  <c r="AA28" i="5304"/>
  <c r="AA29" i="5304"/>
  <c r="AA30" i="5304"/>
  <c r="AA31" i="5304"/>
  <c r="AA32" i="5304"/>
  <c r="AA33" i="5304"/>
  <c r="AA34" i="5304"/>
  <c r="AA35" i="5304"/>
  <c r="AA36" i="5304"/>
  <c r="AA37" i="5304"/>
  <c r="AA38" i="5304"/>
  <c r="AA39" i="5304"/>
  <c r="AA40" i="5304"/>
  <c r="AA41" i="5304"/>
  <c r="AA42" i="5304"/>
  <c r="AA43" i="5304"/>
  <c r="AA44" i="5304"/>
  <c r="AA45" i="5304"/>
  <c r="AA46" i="5304"/>
  <c r="AA47" i="5304"/>
  <c r="AA48" i="5304"/>
  <c r="AA49" i="5304"/>
  <c r="AA50" i="5304"/>
  <c r="AA51" i="5304"/>
  <c r="AA52" i="5304"/>
  <c r="AA53" i="5304"/>
  <c r="AA54" i="5304"/>
  <c r="AA2" i="5303"/>
  <c r="AA3" i="5303"/>
  <c r="AA4" i="5303"/>
  <c r="AA5" i="5303"/>
  <c r="AA6" i="5303"/>
  <c r="AA7" i="5303"/>
  <c r="AA8" i="5303"/>
  <c r="AA9" i="5303"/>
  <c r="AA10" i="5303"/>
  <c r="AA11" i="5303"/>
  <c r="AA12" i="5303"/>
  <c r="AA13" i="5303"/>
  <c r="AA14" i="5303"/>
  <c r="AA15" i="5303"/>
  <c r="AA16" i="5303"/>
  <c r="AA17" i="5303"/>
  <c r="AA18" i="5303"/>
  <c r="AA19" i="5303"/>
  <c r="AA20" i="5303"/>
  <c r="AA21" i="5303"/>
  <c r="AA22" i="5303"/>
  <c r="AA23" i="5303"/>
  <c r="AA24" i="5303"/>
  <c r="AA25" i="5303"/>
  <c r="AA26" i="5303"/>
  <c r="AA27" i="5303"/>
  <c r="AA28" i="5303"/>
  <c r="AA29" i="5303"/>
  <c r="AA30" i="5303"/>
  <c r="AA31" i="5303"/>
  <c r="AA32" i="5303"/>
  <c r="AA33" i="5303"/>
  <c r="AA34" i="5303"/>
  <c r="AA35" i="5303"/>
  <c r="AA36" i="5303"/>
  <c r="AA37" i="5303"/>
  <c r="AA38" i="5303"/>
  <c r="AA39" i="5303"/>
  <c r="AA40" i="5303"/>
  <c r="AA41" i="5303"/>
  <c r="AA42" i="5303"/>
  <c r="AA43" i="5303"/>
  <c r="AA44" i="5303"/>
  <c r="AA45" i="5303"/>
  <c r="AA46" i="5303"/>
  <c r="AA47" i="5303"/>
  <c r="AA48" i="5303"/>
  <c r="AA49" i="5303"/>
  <c r="AA50" i="5303"/>
  <c r="AA51" i="5303"/>
  <c r="AA52" i="5303"/>
  <c r="AA53" i="5303"/>
  <c r="AA54" i="5303"/>
  <c r="AA2" i="5302"/>
  <c r="AA3" i="5302"/>
  <c r="AA4" i="5302"/>
  <c r="AA5" i="5302"/>
  <c r="AA6" i="5302"/>
  <c r="AA7" i="5302"/>
  <c r="AA8" i="5302"/>
  <c r="AA9" i="5302"/>
  <c r="AA10" i="5302"/>
  <c r="AA11" i="5302"/>
  <c r="AA12" i="5302"/>
  <c r="AA13" i="5302"/>
  <c r="AA14" i="5302"/>
  <c r="AA15" i="5302"/>
  <c r="AA16" i="5302"/>
  <c r="AA17" i="5302"/>
  <c r="AA18" i="5302"/>
  <c r="AA19" i="5302"/>
  <c r="AA20" i="5302"/>
  <c r="AA21" i="5302"/>
  <c r="AA22" i="5302"/>
  <c r="AA23" i="5302"/>
  <c r="AA24" i="5302"/>
  <c r="AA25" i="5302"/>
  <c r="AA26" i="5302"/>
  <c r="AA27" i="5302"/>
  <c r="AA28" i="5302"/>
  <c r="AA29" i="5302"/>
  <c r="AA30" i="5302"/>
  <c r="AA31" i="5302"/>
  <c r="AA32" i="5302"/>
  <c r="AA33" i="5302"/>
  <c r="AA34" i="5302"/>
  <c r="AA35" i="5302"/>
  <c r="AA36" i="5302"/>
  <c r="AA37" i="5302"/>
  <c r="AA38" i="5302"/>
  <c r="AA39" i="5302"/>
  <c r="AA40" i="5302"/>
  <c r="AA41" i="5302"/>
  <c r="AA42" i="5302"/>
  <c r="AA43" i="5302"/>
  <c r="AA44" i="5302"/>
  <c r="AA45" i="5302"/>
  <c r="AA46" i="5302"/>
  <c r="AA47" i="5302"/>
  <c r="AA48" i="5302"/>
  <c r="AA49" i="5302"/>
  <c r="AA50" i="5302"/>
  <c r="AA51" i="5302"/>
  <c r="AA52" i="5302"/>
  <c r="AA53" i="5302"/>
  <c r="AA54" i="5302"/>
  <c r="Z2" i="5307"/>
  <c r="Z3" i="5307"/>
  <c r="Z4" i="5307"/>
  <c r="Z5" i="5307"/>
  <c r="Z6" i="5307"/>
  <c r="Z7" i="5307"/>
  <c r="Z8" i="5307"/>
  <c r="Z9" i="5307"/>
  <c r="Z10" i="5307"/>
  <c r="Z11" i="5307"/>
  <c r="Z12" i="5307"/>
  <c r="Z13" i="5307"/>
  <c r="Z14" i="5307"/>
  <c r="Z15" i="5307"/>
  <c r="Z16" i="5307"/>
  <c r="Z17" i="5307"/>
  <c r="Z18" i="5307"/>
  <c r="Z19" i="5307"/>
  <c r="Z20" i="5307"/>
  <c r="Z21" i="5307"/>
  <c r="Z22" i="5307"/>
  <c r="Z23" i="5307"/>
  <c r="Z24" i="5307"/>
  <c r="Z25" i="5307"/>
  <c r="Z26" i="5307"/>
  <c r="Z27" i="5307"/>
  <c r="Z28" i="5307"/>
  <c r="Z29" i="5307"/>
  <c r="Z30" i="5307"/>
  <c r="Z31" i="5307"/>
  <c r="Z32" i="5307"/>
  <c r="Z33" i="5307"/>
  <c r="Z34" i="5307"/>
  <c r="Z35" i="5307"/>
  <c r="Z36" i="5307"/>
  <c r="Z37" i="5307"/>
  <c r="Z38" i="5307"/>
  <c r="Z39" i="5307"/>
  <c r="Z40" i="5307"/>
  <c r="Z41" i="5307"/>
  <c r="Z42" i="5307"/>
  <c r="Z43" i="5307"/>
  <c r="Z44" i="5307"/>
  <c r="Z45" i="5307"/>
  <c r="Z46" i="5307"/>
  <c r="Z47" i="5307"/>
  <c r="Z48" i="5307"/>
  <c r="Z49" i="5307"/>
  <c r="Z50" i="5307"/>
  <c r="Z51" i="5307"/>
  <c r="Z52" i="5307"/>
  <c r="Z53" i="5307"/>
  <c r="Z54" i="5307"/>
  <c r="Z2" i="5306"/>
  <c r="Z3" i="5306"/>
  <c r="Z4" i="5306"/>
  <c r="Z5" i="5306"/>
  <c r="Z6" i="5306"/>
  <c r="Z7" i="5306"/>
  <c r="Z8" i="5306"/>
  <c r="Z9" i="5306"/>
  <c r="Z10" i="5306"/>
  <c r="Z11" i="5306"/>
  <c r="Z12" i="5306"/>
  <c r="Z13" i="5306"/>
  <c r="Z14" i="5306"/>
  <c r="Z15" i="5306"/>
  <c r="Z16" i="5306"/>
  <c r="Z17" i="5306"/>
  <c r="Z18" i="5306"/>
  <c r="Z19" i="5306"/>
  <c r="Z20" i="5306"/>
  <c r="Z21" i="5306"/>
  <c r="Z22" i="5306"/>
  <c r="Z23" i="5306"/>
  <c r="Z24" i="5306"/>
  <c r="Z25" i="5306"/>
  <c r="Z26" i="5306"/>
  <c r="Z27" i="5306"/>
  <c r="Z28" i="5306"/>
  <c r="Z29" i="5306"/>
  <c r="Z30" i="5306"/>
  <c r="Z31" i="5306"/>
  <c r="Z32" i="5306"/>
  <c r="Z33" i="5306"/>
  <c r="Z34" i="5306"/>
  <c r="Z35" i="5306"/>
  <c r="Z36" i="5306"/>
  <c r="Z37" i="5306"/>
  <c r="Z38" i="5306"/>
  <c r="Z39" i="5306"/>
  <c r="Z40" i="5306"/>
  <c r="Z41" i="5306"/>
  <c r="Z42" i="5306"/>
  <c r="Z43" i="5306"/>
  <c r="Z44" i="5306"/>
  <c r="Z45" i="5306"/>
  <c r="Z46" i="5306"/>
  <c r="Z47" i="5306"/>
  <c r="Z48" i="5306"/>
  <c r="Z49" i="5306"/>
  <c r="Z50" i="5306"/>
  <c r="Z51" i="5306"/>
  <c r="Z52" i="5306"/>
  <c r="Z53" i="5306"/>
  <c r="Z54" i="5306"/>
  <c r="Z2" i="5305"/>
  <c r="Z3" i="5305"/>
  <c r="Z4" i="5305"/>
  <c r="Z5" i="5305"/>
  <c r="Z6" i="5305"/>
  <c r="Z7" i="5305"/>
  <c r="Z8" i="5305"/>
  <c r="Z9" i="5305"/>
  <c r="Z10" i="5305"/>
  <c r="Z11" i="5305"/>
  <c r="Z12" i="5305"/>
  <c r="Z13" i="5305"/>
  <c r="Z14" i="5305"/>
  <c r="Z15" i="5305"/>
  <c r="Z16" i="5305"/>
  <c r="Z17" i="5305"/>
  <c r="Z18" i="5305"/>
  <c r="Z19" i="5305"/>
  <c r="Z20" i="5305"/>
  <c r="Z21" i="5305"/>
  <c r="Z22" i="5305"/>
  <c r="Z23" i="5305"/>
  <c r="Z24" i="5305"/>
  <c r="Z25" i="5305"/>
  <c r="Z26" i="5305"/>
  <c r="Z27" i="5305"/>
  <c r="Z28" i="5305"/>
  <c r="Z29" i="5305"/>
  <c r="Z30" i="5305"/>
  <c r="Z31" i="5305"/>
  <c r="Z32" i="5305"/>
  <c r="Z33" i="5305"/>
  <c r="Z34" i="5305"/>
  <c r="Z35" i="5305"/>
  <c r="Z36" i="5305"/>
  <c r="Z37" i="5305"/>
  <c r="Z38" i="5305"/>
  <c r="Z39" i="5305"/>
  <c r="Z40" i="5305"/>
  <c r="Z41" i="5305"/>
  <c r="Z42" i="5305"/>
  <c r="Z43" i="5305"/>
  <c r="Z44" i="5305"/>
  <c r="Z45" i="5305"/>
  <c r="Z46" i="5305"/>
  <c r="Z47" i="5305"/>
  <c r="Z48" i="5305"/>
  <c r="Z49" i="5305"/>
  <c r="Z50" i="5305"/>
  <c r="Z51" i="5305"/>
  <c r="Z52" i="5305"/>
  <c r="Z53" i="5305"/>
  <c r="Z54" i="5305"/>
  <c r="Z2" i="5304"/>
  <c r="Z3" i="5304"/>
  <c r="Z4" i="5304"/>
  <c r="Z5" i="5304"/>
  <c r="Z6" i="5304"/>
  <c r="Z7" i="5304"/>
  <c r="Z8" i="5304"/>
  <c r="Z9" i="5304"/>
  <c r="Z10" i="5304"/>
  <c r="Z11" i="5304"/>
  <c r="Z12" i="5304"/>
  <c r="Z13" i="5304"/>
  <c r="Z14" i="5304"/>
  <c r="Z15" i="5304"/>
  <c r="Z16" i="5304"/>
  <c r="Z17" i="5304"/>
  <c r="Z18" i="5304"/>
  <c r="Z19" i="5304"/>
  <c r="Z20" i="5304"/>
  <c r="Z21" i="5304"/>
  <c r="Z22" i="5304"/>
  <c r="Z23" i="5304"/>
  <c r="Z24" i="5304"/>
  <c r="Z25" i="5304"/>
  <c r="Z26" i="5304"/>
  <c r="Z27" i="5304"/>
  <c r="Z28" i="5304"/>
  <c r="Z29" i="5304"/>
  <c r="Z30" i="5304"/>
  <c r="Z31" i="5304"/>
  <c r="Z32" i="5304"/>
  <c r="Z33" i="5304"/>
  <c r="Z34" i="5304"/>
  <c r="Z35" i="5304"/>
  <c r="Z36" i="5304"/>
  <c r="Z37" i="5304"/>
  <c r="Z38" i="5304"/>
  <c r="Z39" i="5304"/>
  <c r="Z40" i="5304"/>
  <c r="Z41" i="5304"/>
  <c r="Z42" i="5304"/>
  <c r="Z43" i="5304"/>
  <c r="Z44" i="5304"/>
  <c r="Z45" i="5304"/>
  <c r="Z46" i="5304"/>
  <c r="Z47" i="5304"/>
  <c r="Z48" i="5304"/>
  <c r="Z49" i="5304"/>
  <c r="Z50" i="5304"/>
  <c r="Z51" i="5304"/>
  <c r="Z52" i="5304"/>
  <c r="Z53" i="5304"/>
  <c r="Z54" i="5304"/>
  <c r="Z2" i="5303"/>
  <c r="Z3" i="5303"/>
  <c r="Z4" i="5303"/>
  <c r="Z5" i="5303"/>
  <c r="Z6" i="5303"/>
  <c r="Z7" i="5303"/>
  <c r="Z8" i="5303"/>
  <c r="Z9" i="5303"/>
  <c r="Z10" i="5303"/>
  <c r="Z11" i="5303"/>
  <c r="Z12" i="5303"/>
  <c r="Z13" i="5303"/>
  <c r="Z14" i="5303"/>
  <c r="Z15" i="5303"/>
  <c r="Z16" i="5303"/>
  <c r="Z17" i="5303"/>
  <c r="Z18" i="5303"/>
  <c r="Z19" i="5303"/>
  <c r="Z20" i="5303"/>
  <c r="Z21" i="5303"/>
  <c r="Z22" i="5303"/>
  <c r="Z23" i="5303"/>
  <c r="Z24" i="5303"/>
  <c r="Z25" i="5303"/>
  <c r="Z26" i="5303"/>
  <c r="Z27" i="5303"/>
  <c r="Z28" i="5303"/>
  <c r="Z29" i="5303"/>
  <c r="Z30" i="5303"/>
  <c r="Z31" i="5303"/>
  <c r="Z32" i="5303"/>
  <c r="Z33" i="5303"/>
  <c r="Z34" i="5303"/>
  <c r="Z35" i="5303"/>
  <c r="Z36" i="5303"/>
  <c r="Z37" i="5303"/>
  <c r="Z38" i="5303"/>
  <c r="Z39" i="5303"/>
  <c r="Z40" i="5303"/>
  <c r="Z41" i="5303"/>
  <c r="Z42" i="5303"/>
  <c r="Z43" i="5303"/>
  <c r="Z44" i="5303"/>
  <c r="Z45" i="5303"/>
  <c r="Z46" i="5303"/>
  <c r="Z47" i="5303"/>
  <c r="Z48" i="5303"/>
  <c r="Z49" i="5303"/>
  <c r="Z50" i="5303"/>
  <c r="Z51" i="5303"/>
  <c r="Z52" i="5303"/>
  <c r="Z53" i="5303"/>
  <c r="Z54" i="5303"/>
  <c r="Z2" i="5302"/>
  <c r="Z3" i="5302"/>
  <c r="Z4" i="5302"/>
  <c r="Z5" i="5302"/>
  <c r="Z6" i="5302"/>
  <c r="Z7" i="5302"/>
  <c r="Z8" i="5302"/>
  <c r="Z9" i="5302"/>
  <c r="Z10" i="5302"/>
  <c r="Z11" i="5302"/>
  <c r="Z12" i="5302"/>
  <c r="Z13" i="5302"/>
  <c r="Z14" i="5302"/>
  <c r="Z15" i="5302"/>
  <c r="Z16" i="5302"/>
  <c r="Z17" i="5302"/>
  <c r="Z18" i="5302"/>
  <c r="Z19" i="5302"/>
  <c r="Z20" i="5302"/>
  <c r="Z21" i="5302"/>
  <c r="Z22" i="5302"/>
  <c r="Z23" i="5302"/>
  <c r="Z24" i="5302"/>
  <c r="Z25" i="5302"/>
  <c r="Z26" i="5302"/>
  <c r="Z27" i="5302"/>
  <c r="Z28" i="5302"/>
  <c r="Z29" i="5302"/>
  <c r="Z30" i="5302"/>
  <c r="Z31" i="5302"/>
  <c r="Z32" i="5302"/>
  <c r="Z33" i="5302"/>
  <c r="Z34" i="5302"/>
  <c r="Z35" i="5302"/>
  <c r="Z36" i="5302"/>
  <c r="Z37" i="5302"/>
  <c r="Z38" i="5302"/>
  <c r="Z39" i="5302"/>
  <c r="Z40" i="5302"/>
  <c r="Z41" i="5302"/>
  <c r="Z42" i="5302"/>
  <c r="Z43" i="5302"/>
  <c r="Z44" i="5302"/>
  <c r="Z45" i="5302"/>
  <c r="Z46" i="5302"/>
  <c r="Z47" i="5302"/>
  <c r="Z48" i="5302"/>
  <c r="Z49" i="5302"/>
  <c r="Z50" i="5302"/>
  <c r="Z51" i="5302"/>
  <c r="Z52" i="5302"/>
  <c r="Z53" i="5302"/>
  <c r="Z54" i="5302"/>
  <c r="Y2" i="5307"/>
  <c r="Y3" i="5307"/>
  <c r="Y4" i="5307"/>
  <c r="Y5" i="5307"/>
  <c r="Y6" i="5307"/>
  <c r="Y7" i="5307"/>
  <c r="Y8" i="5307"/>
  <c r="Y9" i="5307"/>
  <c r="Y10" i="5307"/>
  <c r="Y11" i="5307"/>
  <c r="Y12" i="5307"/>
  <c r="Y13" i="5307"/>
  <c r="Y14" i="5307"/>
  <c r="Y15" i="5307"/>
  <c r="Y16" i="5307"/>
  <c r="Y17" i="5307"/>
  <c r="Y18" i="5307"/>
  <c r="Y19" i="5307"/>
  <c r="Y20" i="5307"/>
  <c r="Y21" i="5307"/>
  <c r="Y22" i="5307"/>
  <c r="Y23" i="5307"/>
  <c r="Y24" i="5307"/>
  <c r="Y25" i="5307"/>
  <c r="Y26" i="5307"/>
  <c r="Y27" i="5307"/>
  <c r="Y28" i="5307"/>
  <c r="Y29" i="5307"/>
  <c r="Y30" i="5307"/>
  <c r="Y31" i="5307"/>
  <c r="Y32" i="5307"/>
  <c r="Y33" i="5307"/>
  <c r="Y34" i="5307"/>
  <c r="Y35" i="5307"/>
  <c r="Y36" i="5307"/>
  <c r="Y37" i="5307"/>
  <c r="Y38" i="5307"/>
  <c r="Y39" i="5307"/>
  <c r="Y40" i="5307"/>
  <c r="Y41" i="5307"/>
  <c r="Y42" i="5307"/>
  <c r="Y43" i="5307"/>
  <c r="Y44" i="5307"/>
  <c r="Y45" i="5307"/>
  <c r="Y46" i="5307"/>
  <c r="Y47" i="5307"/>
  <c r="Y48" i="5307"/>
  <c r="Y49" i="5307"/>
  <c r="Y50" i="5307"/>
  <c r="Y51" i="5307"/>
  <c r="Y52" i="5307"/>
  <c r="Y53" i="5307"/>
  <c r="Y54" i="5307"/>
  <c r="Y2" i="5306"/>
  <c r="Y3" i="5306"/>
  <c r="Y4" i="5306"/>
  <c r="Y5" i="5306"/>
  <c r="Y6" i="5306"/>
  <c r="Y7" i="5306"/>
  <c r="Y8" i="5306"/>
  <c r="Y9" i="5306"/>
  <c r="Y10" i="5306"/>
  <c r="Y11" i="5306"/>
  <c r="Y12" i="5306"/>
  <c r="Y13" i="5306"/>
  <c r="Y14" i="5306"/>
  <c r="Y15" i="5306"/>
  <c r="Y16" i="5306"/>
  <c r="Y17" i="5306"/>
  <c r="Y18" i="5306"/>
  <c r="Y19" i="5306"/>
  <c r="Y20" i="5306"/>
  <c r="Y21" i="5306"/>
  <c r="Y22" i="5306"/>
  <c r="Y23" i="5306"/>
  <c r="Y24" i="5306"/>
  <c r="Y25" i="5306"/>
  <c r="Y26" i="5306"/>
  <c r="Y27" i="5306"/>
  <c r="Y28" i="5306"/>
  <c r="Y29" i="5306"/>
  <c r="Y30" i="5306"/>
  <c r="Y31" i="5306"/>
  <c r="Y32" i="5306"/>
  <c r="Y33" i="5306"/>
  <c r="Y34" i="5306"/>
  <c r="Y35" i="5306"/>
  <c r="Y36" i="5306"/>
  <c r="Y37" i="5306"/>
  <c r="Y38" i="5306"/>
  <c r="Y39" i="5306"/>
  <c r="Y40" i="5306"/>
  <c r="Y41" i="5306"/>
  <c r="Y42" i="5306"/>
  <c r="Y43" i="5306"/>
  <c r="Y44" i="5306"/>
  <c r="Y45" i="5306"/>
  <c r="Y46" i="5306"/>
  <c r="Y47" i="5306"/>
  <c r="Y48" i="5306"/>
  <c r="Y49" i="5306"/>
  <c r="Y50" i="5306"/>
  <c r="Y51" i="5306"/>
  <c r="Y52" i="5306"/>
  <c r="Y53" i="5306"/>
  <c r="Y54" i="5306"/>
  <c r="Y2" i="5305"/>
  <c r="Y3" i="5305"/>
  <c r="Y4" i="5305"/>
  <c r="Y5" i="5305"/>
  <c r="Y6" i="5305"/>
  <c r="Y7" i="5305"/>
  <c r="Y8" i="5305"/>
  <c r="Y9" i="5305"/>
  <c r="Y10" i="5305"/>
  <c r="Y11" i="5305"/>
  <c r="Y12" i="5305"/>
  <c r="Y13" i="5305"/>
  <c r="Y14" i="5305"/>
  <c r="Y15" i="5305"/>
  <c r="Y16" i="5305"/>
  <c r="Y17" i="5305"/>
  <c r="Y18" i="5305"/>
  <c r="Y19" i="5305"/>
  <c r="Y20" i="5305"/>
  <c r="Y21" i="5305"/>
  <c r="Y22" i="5305"/>
  <c r="Y23" i="5305"/>
  <c r="Y24" i="5305"/>
  <c r="Y25" i="5305"/>
  <c r="Y26" i="5305"/>
  <c r="Y27" i="5305"/>
  <c r="Y28" i="5305"/>
  <c r="Y29" i="5305"/>
  <c r="Y30" i="5305"/>
  <c r="Y31" i="5305"/>
  <c r="Y32" i="5305"/>
  <c r="Y33" i="5305"/>
  <c r="Y34" i="5305"/>
  <c r="Y35" i="5305"/>
  <c r="Y36" i="5305"/>
  <c r="Y37" i="5305"/>
  <c r="Y38" i="5305"/>
  <c r="Y39" i="5305"/>
  <c r="Y40" i="5305"/>
  <c r="Y41" i="5305"/>
  <c r="Y42" i="5305"/>
  <c r="Y43" i="5305"/>
  <c r="Y44" i="5305"/>
  <c r="Y45" i="5305"/>
  <c r="Y46" i="5305"/>
  <c r="Y47" i="5305"/>
  <c r="Y48" i="5305"/>
  <c r="Y49" i="5305"/>
  <c r="Y50" i="5305"/>
  <c r="Y51" i="5305"/>
  <c r="Y52" i="5305"/>
  <c r="Y53" i="5305"/>
  <c r="Y54" i="5305"/>
  <c r="Y2" i="5304"/>
  <c r="Y3" i="5304"/>
  <c r="Y4" i="5304"/>
  <c r="Y5" i="5304"/>
  <c r="Y6" i="5304"/>
  <c r="Y7" i="5304"/>
  <c r="Y8" i="5304"/>
  <c r="Y9" i="5304"/>
  <c r="Y10" i="5304"/>
  <c r="Y11" i="5304"/>
  <c r="Y12" i="5304"/>
  <c r="Y13" i="5304"/>
  <c r="Y14" i="5304"/>
  <c r="Y15" i="5304"/>
  <c r="Y16" i="5304"/>
  <c r="Y17" i="5304"/>
  <c r="Y18" i="5304"/>
  <c r="Y19" i="5304"/>
  <c r="Y20" i="5304"/>
  <c r="Y21" i="5304"/>
  <c r="Y22" i="5304"/>
  <c r="Y23" i="5304"/>
  <c r="Y24" i="5304"/>
  <c r="Y25" i="5304"/>
  <c r="Y26" i="5304"/>
  <c r="Y27" i="5304"/>
  <c r="Y28" i="5304"/>
  <c r="Y29" i="5304"/>
  <c r="Y30" i="5304"/>
  <c r="Y31" i="5304"/>
  <c r="Y32" i="5304"/>
  <c r="Y33" i="5304"/>
  <c r="Y34" i="5304"/>
  <c r="Y35" i="5304"/>
  <c r="Y36" i="5304"/>
  <c r="Y37" i="5304"/>
  <c r="Y38" i="5304"/>
  <c r="Y39" i="5304"/>
  <c r="Y40" i="5304"/>
  <c r="Y41" i="5304"/>
  <c r="Y42" i="5304"/>
  <c r="Y43" i="5304"/>
  <c r="Y44" i="5304"/>
  <c r="Y45" i="5304"/>
  <c r="Y46" i="5304"/>
  <c r="Y47" i="5304"/>
  <c r="Y48" i="5304"/>
  <c r="Y49" i="5304"/>
  <c r="Y50" i="5304"/>
  <c r="Y51" i="5304"/>
  <c r="Y52" i="5304"/>
  <c r="Y53" i="5304"/>
  <c r="Y54" i="5304"/>
  <c r="Y2" i="5303"/>
  <c r="Y3" i="5303"/>
  <c r="Y4" i="5303"/>
  <c r="Y5" i="5303"/>
  <c r="Y6" i="5303"/>
  <c r="Y7" i="5303"/>
  <c r="Y8" i="5303"/>
  <c r="Y9" i="5303"/>
  <c r="Y10" i="5303"/>
  <c r="Y11" i="5303"/>
  <c r="Y12" i="5303"/>
  <c r="Y13" i="5303"/>
  <c r="Y14" i="5303"/>
  <c r="Y15" i="5303"/>
  <c r="Y16" i="5303"/>
  <c r="Y17" i="5303"/>
  <c r="Y18" i="5303"/>
  <c r="Y19" i="5303"/>
  <c r="Y20" i="5303"/>
  <c r="Y21" i="5303"/>
  <c r="Y22" i="5303"/>
  <c r="Y23" i="5303"/>
  <c r="Y24" i="5303"/>
  <c r="Y25" i="5303"/>
  <c r="Y26" i="5303"/>
  <c r="Y27" i="5303"/>
  <c r="Y28" i="5303"/>
  <c r="Y29" i="5303"/>
  <c r="Y30" i="5303"/>
  <c r="Y31" i="5303"/>
  <c r="Y32" i="5303"/>
  <c r="Y33" i="5303"/>
  <c r="Y34" i="5303"/>
  <c r="Y35" i="5303"/>
  <c r="Y36" i="5303"/>
  <c r="Y37" i="5303"/>
  <c r="Y38" i="5303"/>
  <c r="Y39" i="5303"/>
  <c r="Y40" i="5303"/>
  <c r="Y41" i="5303"/>
  <c r="Y42" i="5303"/>
  <c r="Y43" i="5303"/>
  <c r="Y44" i="5303"/>
  <c r="Y45" i="5303"/>
  <c r="Y46" i="5303"/>
  <c r="Y47" i="5303"/>
  <c r="Y48" i="5303"/>
  <c r="Y49" i="5303"/>
  <c r="Y50" i="5303"/>
  <c r="Y51" i="5303"/>
  <c r="Y52" i="5303"/>
  <c r="Y53" i="5303"/>
  <c r="Y54" i="5303"/>
  <c r="Y2" i="5302"/>
  <c r="Y3" i="5302"/>
  <c r="Y4" i="5302"/>
  <c r="Y5" i="5302"/>
  <c r="Y6" i="5302"/>
  <c r="Y7" i="5302"/>
  <c r="Y8" i="5302"/>
  <c r="Y9" i="5302"/>
  <c r="Y10" i="5302"/>
  <c r="Y11" i="5302"/>
  <c r="Y12" i="5302"/>
  <c r="Y13" i="5302"/>
  <c r="Y14" i="5302"/>
  <c r="Y15" i="5302"/>
  <c r="Y16" i="5302"/>
  <c r="Y17" i="5302"/>
  <c r="Y18" i="5302"/>
  <c r="Y19" i="5302"/>
  <c r="Y20" i="5302"/>
  <c r="Y21" i="5302"/>
  <c r="Y22" i="5302"/>
  <c r="Y23" i="5302"/>
  <c r="Y24" i="5302"/>
  <c r="Y25" i="5302"/>
  <c r="Y26" i="5302"/>
  <c r="Y27" i="5302"/>
  <c r="Y28" i="5302"/>
  <c r="Y29" i="5302"/>
  <c r="Y30" i="5302"/>
  <c r="Y31" i="5302"/>
  <c r="Y32" i="5302"/>
  <c r="Y33" i="5302"/>
  <c r="Y34" i="5302"/>
  <c r="Y35" i="5302"/>
  <c r="Y36" i="5302"/>
  <c r="Y37" i="5302"/>
  <c r="Y38" i="5302"/>
  <c r="Y39" i="5302"/>
  <c r="Y40" i="5302"/>
  <c r="Y41" i="5302"/>
  <c r="Y42" i="5302"/>
  <c r="Y43" i="5302"/>
  <c r="Y44" i="5302"/>
  <c r="Y45" i="5302"/>
  <c r="Y46" i="5302"/>
  <c r="Y47" i="5302"/>
  <c r="Y48" i="5302"/>
  <c r="Y49" i="5302"/>
  <c r="Y50" i="5302"/>
  <c r="Y51" i="5302"/>
  <c r="Y52" i="5302"/>
  <c r="Y53" i="5302"/>
  <c r="Y54" i="5302"/>
  <c r="X2" i="5307"/>
  <c r="X3" i="5307"/>
  <c r="X4" i="5307"/>
  <c r="X5" i="5307"/>
  <c r="X6" i="5307"/>
  <c r="X7" i="5307"/>
  <c r="X8" i="5307"/>
  <c r="X9" i="5307"/>
  <c r="X10" i="5307"/>
  <c r="X11" i="5307"/>
  <c r="X12" i="5307"/>
  <c r="X13" i="5307"/>
  <c r="X14" i="5307"/>
  <c r="X15" i="5307"/>
  <c r="X16" i="5307"/>
  <c r="X17" i="5307"/>
  <c r="X18" i="5307"/>
  <c r="X19" i="5307"/>
  <c r="X20" i="5307"/>
  <c r="X21" i="5307"/>
  <c r="X22" i="5307"/>
  <c r="X23" i="5307"/>
  <c r="X24" i="5307"/>
  <c r="X25" i="5307"/>
  <c r="X26" i="5307"/>
  <c r="X27" i="5307"/>
  <c r="X28" i="5307"/>
  <c r="X29" i="5307"/>
  <c r="X30" i="5307"/>
  <c r="X31" i="5307"/>
  <c r="X32" i="5307"/>
  <c r="X33" i="5307"/>
  <c r="X34" i="5307"/>
  <c r="X35" i="5307"/>
  <c r="X36" i="5307"/>
  <c r="X37" i="5307"/>
  <c r="X38" i="5307"/>
  <c r="X39" i="5307"/>
  <c r="X40" i="5307"/>
  <c r="X41" i="5307"/>
  <c r="X42" i="5307"/>
  <c r="X43" i="5307"/>
  <c r="X44" i="5307"/>
  <c r="X45" i="5307"/>
  <c r="X46" i="5307"/>
  <c r="X47" i="5307"/>
  <c r="X48" i="5307"/>
  <c r="X49" i="5307"/>
  <c r="X50" i="5307"/>
  <c r="X51" i="5307"/>
  <c r="X52" i="5307"/>
  <c r="X53" i="5307"/>
  <c r="X54" i="5307"/>
  <c r="X2" i="5306"/>
  <c r="X3" i="5306"/>
  <c r="X4" i="5306"/>
  <c r="X5" i="5306"/>
  <c r="X6" i="5306"/>
  <c r="X7" i="5306"/>
  <c r="X8" i="5306"/>
  <c r="X9" i="5306"/>
  <c r="X10" i="5306"/>
  <c r="X11" i="5306"/>
  <c r="X12" i="5306"/>
  <c r="X13" i="5306"/>
  <c r="X14" i="5306"/>
  <c r="X15" i="5306"/>
  <c r="X16" i="5306"/>
  <c r="X17" i="5306"/>
  <c r="X18" i="5306"/>
  <c r="X19" i="5306"/>
  <c r="X20" i="5306"/>
  <c r="X21" i="5306"/>
  <c r="X22" i="5306"/>
  <c r="X23" i="5306"/>
  <c r="X24" i="5306"/>
  <c r="X25" i="5306"/>
  <c r="X26" i="5306"/>
  <c r="X27" i="5306"/>
  <c r="X28" i="5306"/>
  <c r="X29" i="5306"/>
  <c r="X30" i="5306"/>
  <c r="X31" i="5306"/>
  <c r="X32" i="5306"/>
  <c r="X33" i="5306"/>
  <c r="X34" i="5306"/>
  <c r="X35" i="5306"/>
  <c r="X36" i="5306"/>
  <c r="X37" i="5306"/>
  <c r="X38" i="5306"/>
  <c r="X39" i="5306"/>
  <c r="X40" i="5306"/>
  <c r="X41" i="5306"/>
  <c r="X42" i="5306"/>
  <c r="X43" i="5306"/>
  <c r="X44" i="5306"/>
  <c r="X45" i="5306"/>
  <c r="X46" i="5306"/>
  <c r="X47" i="5306"/>
  <c r="X48" i="5306"/>
  <c r="X49" i="5306"/>
  <c r="X50" i="5306"/>
  <c r="X51" i="5306"/>
  <c r="X52" i="5306"/>
  <c r="X53" i="5306"/>
  <c r="X54" i="5306"/>
  <c r="X2" i="5305"/>
  <c r="X3" i="5305"/>
  <c r="X4" i="5305"/>
  <c r="X5" i="5305"/>
  <c r="X6" i="5305"/>
  <c r="X7" i="5305"/>
  <c r="X8" i="5305"/>
  <c r="X9" i="5305"/>
  <c r="X10" i="5305"/>
  <c r="X11" i="5305"/>
  <c r="X12" i="5305"/>
  <c r="X13" i="5305"/>
  <c r="X14" i="5305"/>
  <c r="X15" i="5305"/>
  <c r="X16" i="5305"/>
  <c r="X17" i="5305"/>
  <c r="X18" i="5305"/>
  <c r="X19" i="5305"/>
  <c r="X20" i="5305"/>
  <c r="X21" i="5305"/>
  <c r="X22" i="5305"/>
  <c r="X23" i="5305"/>
  <c r="X24" i="5305"/>
  <c r="X25" i="5305"/>
  <c r="X26" i="5305"/>
  <c r="X27" i="5305"/>
  <c r="X28" i="5305"/>
  <c r="X29" i="5305"/>
  <c r="X30" i="5305"/>
  <c r="X31" i="5305"/>
  <c r="X32" i="5305"/>
  <c r="X33" i="5305"/>
  <c r="X34" i="5305"/>
  <c r="X35" i="5305"/>
  <c r="X36" i="5305"/>
  <c r="X37" i="5305"/>
  <c r="X38" i="5305"/>
  <c r="X39" i="5305"/>
  <c r="X40" i="5305"/>
  <c r="X41" i="5305"/>
  <c r="X42" i="5305"/>
  <c r="X43" i="5305"/>
  <c r="X44" i="5305"/>
  <c r="X45" i="5305"/>
  <c r="X46" i="5305"/>
  <c r="X47" i="5305"/>
  <c r="X48" i="5305"/>
  <c r="X49" i="5305"/>
  <c r="X50" i="5305"/>
  <c r="X51" i="5305"/>
  <c r="X52" i="5305"/>
  <c r="X53" i="5305"/>
  <c r="X54" i="5305"/>
  <c r="X2" i="5304"/>
  <c r="X3" i="5304"/>
  <c r="X4" i="5304"/>
  <c r="X5" i="5304"/>
  <c r="X6" i="5304"/>
  <c r="X7" i="5304"/>
  <c r="X8" i="5304"/>
  <c r="X9" i="5304"/>
  <c r="X10" i="5304"/>
  <c r="X11" i="5304"/>
  <c r="X12" i="5304"/>
  <c r="X13" i="5304"/>
  <c r="X14" i="5304"/>
  <c r="X15" i="5304"/>
  <c r="X16" i="5304"/>
  <c r="X17" i="5304"/>
  <c r="X18" i="5304"/>
  <c r="X19" i="5304"/>
  <c r="X20" i="5304"/>
  <c r="X21" i="5304"/>
  <c r="X22" i="5304"/>
  <c r="X23" i="5304"/>
  <c r="X24" i="5304"/>
  <c r="X25" i="5304"/>
  <c r="X26" i="5304"/>
  <c r="X27" i="5304"/>
  <c r="X28" i="5304"/>
  <c r="X29" i="5304"/>
  <c r="X30" i="5304"/>
  <c r="X31" i="5304"/>
  <c r="X32" i="5304"/>
  <c r="X33" i="5304"/>
  <c r="X34" i="5304"/>
  <c r="X35" i="5304"/>
  <c r="X36" i="5304"/>
  <c r="X37" i="5304"/>
  <c r="X38" i="5304"/>
  <c r="X39" i="5304"/>
  <c r="X40" i="5304"/>
  <c r="X41" i="5304"/>
  <c r="X42" i="5304"/>
  <c r="X43" i="5304"/>
  <c r="X44" i="5304"/>
  <c r="X45" i="5304"/>
  <c r="X46" i="5304"/>
  <c r="X47" i="5304"/>
  <c r="X48" i="5304"/>
  <c r="X49" i="5304"/>
  <c r="X50" i="5304"/>
  <c r="X51" i="5304"/>
  <c r="X52" i="5304"/>
  <c r="X53" i="5304"/>
  <c r="X54" i="5304"/>
  <c r="X2" i="5303"/>
  <c r="X3" i="5303"/>
  <c r="X4" i="5303"/>
  <c r="X5" i="5303"/>
  <c r="X6" i="5303"/>
  <c r="X7" i="5303"/>
  <c r="X8" i="5303"/>
  <c r="X9" i="5303"/>
  <c r="X10" i="5303"/>
  <c r="X11" i="5303"/>
  <c r="X12" i="5303"/>
  <c r="X13" i="5303"/>
  <c r="X14" i="5303"/>
  <c r="X15" i="5303"/>
  <c r="X16" i="5303"/>
  <c r="X17" i="5303"/>
  <c r="X18" i="5303"/>
  <c r="X19" i="5303"/>
  <c r="X20" i="5303"/>
  <c r="X21" i="5303"/>
  <c r="X22" i="5303"/>
  <c r="X23" i="5303"/>
  <c r="X24" i="5303"/>
  <c r="X25" i="5303"/>
  <c r="X26" i="5303"/>
  <c r="X27" i="5303"/>
  <c r="X28" i="5303"/>
  <c r="X29" i="5303"/>
  <c r="X30" i="5303"/>
  <c r="X31" i="5303"/>
  <c r="X32" i="5303"/>
  <c r="X33" i="5303"/>
  <c r="X34" i="5303"/>
  <c r="X35" i="5303"/>
  <c r="X36" i="5303"/>
  <c r="X37" i="5303"/>
  <c r="X38" i="5303"/>
  <c r="X39" i="5303"/>
  <c r="X40" i="5303"/>
  <c r="X41" i="5303"/>
  <c r="X42" i="5303"/>
  <c r="X43" i="5303"/>
  <c r="X44" i="5303"/>
  <c r="X45" i="5303"/>
  <c r="X46" i="5303"/>
  <c r="X47" i="5303"/>
  <c r="X48" i="5303"/>
  <c r="X49" i="5303"/>
  <c r="X50" i="5303"/>
  <c r="X51" i="5303"/>
  <c r="X52" i="5303"/>
  <c r="X53" i="5303"/>
  <c r="X54" i="5303"/>
  <c r="X2" i="5302"/>
  <c r="X3" i="5302"/>
  <c r="X4" i="5302"/>
  <c r="X5" i="5302"/>
  <c r="X6" i="5302"/>
  <c r="X7" i="5302"/>
  <c r="X8" i="5302"/>
  <c r="X9" i="5302"/>
  <c r="X10" i="5302"/>
  <c r="X11" i="5302"/>
  <c r="X12" i="5302"/>
  <c r="X13" i="5302"/>
  <c r="X14" i="5302"/>
  <c r="X15" i="5302"/>
  <c r="X16" i="5302"/>
  <c r="X17" i="5302"/>
  <c r="X18" i="5302"/>
  <c r="X19" i="5302"/>
  <c r="X20" i="5302"/>
  <c r="X21" i="5302"/>
  <c r="X22" i="5302"/>
  <c r="X23" i="5302"/>
  <c r="X24" i="5302"/>
  <c r="X25" i="5302"/>
  <c r="X26" i="5302"/>
  <c r="X27" i="5302"/>
  <c r="X28" i="5302"/>
  <c r="X29" i="5302"/>
  <c r="X30" i="5302"/>
  <c r="X31" i="5302"/>
  <c r="X32" i="5302"/>
  <c r="X33" i="5302"/>
  <c r="X34" i="5302"/>
  <c r="X35" i="5302"/>
  <c r="X36" i="5302"/>
  <c r="X37" i="5302"/>
  <c r="X38" i="5302"/>
  <c r="X39" i="5302"/>
  <c r="X40" i="5302"/>
  <c r="X41" i="5302"/>
  <c r="X42" i="5302"/>
  <c r="X43" i="5302"/>
  <c r="X44" i="5302"/>
  <c r="X45" i="5302"/>
  <c r="X46" i="5302"/>
  <c r="X47" i="5302"/>
  <c r="X48" i="5302"/>
  <c r="X49" i="5302"/>
  <c r="X50" i="5302"/>
  <c r="X51" i="5302"/>
  <c r="X52" i="5302"/>
  <c r="X53" i="5302"/>
  <c r="X54" i="5302"/>
  <c r="W2" i="5307"/>
  <c r="W3" i="5307"/>
  <c r="W4" i="5307"/>
  <c r="W5" i="5307"/>
  <c r="W6" i="5307"/>
  <c r="W7" i="5307"/>
  <c r="W8" i="5307"/>
  <c r="W9" i="5307"/>
  <c r="W10" i="5307"/>
  <c r="W11" i="5307"/>
  <c r="W12" i="5307"/>
  <c r="W13" i="5307"/>
  <c r="W14" i="5307"/>
  <c r="W15" i="5307"/>
  <c r="W16" i="5307"/>
  <c r="W17" i="5307"/>
  <c r="W18" i="5307"/>
  <c r="W19" i="5307"/>
  <c r="W20" i="5307"/>
  <c r="W21" i="5307"/>
  <c r="W22" i="5307"/>
  <c r="W23" i="5307"/>
  <c r="W24" i="5307"/>
  <c r="W25" i="5307"/>
  <c r="W26" i="5307"/>
  <c r="W27" i="5307"/>
  <c r="W28" i="5307"/>
  <c r="W29" i="5307"/>
  <c r="W30" i="5307"/>
  <c r="W31" i="5307"/>
  <c r="W32" i="5307"/>
  <c r="W33" i="5307"/>
  <c r="W34" i="5307"/>
  <c r="W35" i="5307"/>
  <c r="W36" i="5307"/>
  <c r="W37" i="5307"/>
  <c r="W38" i="5307"/>
  <c r="W39" i="5307"/>
  <c r="W40" i="5307"/>
  <c r="W41" i="5307"/>
  <c r="W42" i="5307"/>
  <c r="W43" i="5307"/>
  <c r="W44" i="5307"/>
  <c r="W45" i="5307"/>
  <c r="W46" i="5307"/>
  <c r="W47" i="5307"/>
  <c r="W48" i="5307"/>
  <c r="W49" i="5307"/>
  <c r="W50" i="5307"/>
  <c r="W51" i="5307"/>
  <c r="W52" i="5307"/>
  <c r="W53" i="5307"/>
  <c r="W54" i="5307"/>
  <c r="W2" i="5306"/>
  <c r="W3" i="5306"/>
  <c r="W4" i="5306"/>
  <c r="W5" i="5306"/>
  <c r="W6" i="5306"/>
  <c r="W7" i="5306"/>
  <c r="W8" i="5306"/>
  <c r="W9" i="5306"/>
  <c r="W10" i="5306"/>
  <c r="W11" i="5306"/>
  <c r="W12" i="5306"/>
  <c r="W13" i="5306"/>
  <c r="W14" i="5306"/>
  <c r="W15" i="5306"/>
  <c r="W16" i="5306"/>
  <c r="W17" i="5306"/>
  <c r="W18" i="5306"/>
  <c r="W19" i="5306"/>
  <c r="W20" i="5306"/>
  <c r="W21" i="5306"/>
  <c r="W22" i="5306"/>
  <c r="W23" i="5306"/>
  <c r="W24" i="5306"/>
  <c r="W25" i="5306"/>
  <c r="W26" i="5306"/>
  <c r="W27" i="5306"/>
  <c r="W28" i="5306"/>
  <c r="W29" i="5306"/>
  <c r="W30" i="5306"/>
  <c r="W31" i="5306"/>
  <c r="W32" i="5306"/>
  <c r="W33" i="5306"/>
  <c r="W34" i="5306"/>
  <c r="W35" i="5306"/>
  <c r="W36" i="5306"/>
  <c r="W37" i="5306"/>
  <c r="W38" i="5306"/>
  <c r="W39" i="5306"/>
  <c r="W40" i="5306"/>
  <c r="W41" i="5306"/>
  <c r="W42" i="5306"/>
  <c r="W43" i="5306"/>
  <c r="W44" i="5306"/>
  <c r="W45" i="5306"/>
  <c r="W46" i="5306"/>
  <c r="W47" i="5306"/>
  <c r="W48" i="5306"/>
  <c r="W49" i="5306"/>
  <c r="W50" i="5306"/>
  <c r="W51" i="5306"/>
  <c r="W52" i="5306"/>
  <c r="W53" i="5306"/>
  <c r="W54" i="5306"/>
  <c r="W2" i="5305"/>
  <c r="W3" i="5305"/>
  <c r="W4" i="5305"/>
  <c r="W5" i="5305"/>
  <c r="W6" i="5305"/>
  <c r="W7" i="5305"/>
  <c r="W8" i="5305"/>
  <c r="W9" i="5305"/>
  <c r="W10" i="5305"/>
  <c r="W11" i="5305"/>
  <c r="W12" i="5305"/>
  <c r="W13" i="5305"/>
  <c r="W14" i="5305"/>
  <c r="W15" i="5305"/>
  <c r="W16" i="5305"/>
  <c r="W17" i="5305"/>
  <c r="W18" i="5305"/>
  <c r="W19" i="5305"/>
  <c r="W20" i="5305"/>
  <c r="W21" i="5305"/>
  <c r="W22" i="5305"/>
  <c r="W23" i="5305"/>
  <c r="W24" i="5305"/>
  <c r="W25" i="5305"/>
  <c r="W26" i="5305"/>
  <c r="W27" i="5305"/>
  <c r="W28" i="5305"/>
  <c r="W29" i="5305"/>
  <c r="W30" i="5305"/>
  <c r="W31" i="5305"/>
  <c r="W32" i="5305"/>
  <c r="W33" i="5305"/>
  <c r="W34" i="5305"/>
  <c r="W35" i="5305"/>
  <c r="W36" i="5305"/>
  <c r="W37" i="5305"/>
  <c r="W38" i="5305"/>
  <c r="W39" i="5305"/>
  <c r="W40" i="5305"/>
  <c r="W41" i="5305"/>
  <c r="W42" i="5305"/>
  <c r="W43" i="5305"/>
  <c r="W44" i="5305"/>
  <c r="W45" i="5305"/>
  <c r="W46" i="5305"/>
  <c r="W47" i="5305"/>
  <c r="W48" i="5305"/>
  <c r="W49" i="5305"/>
  <c r="W50" i="5305"/>
  <c r="W51" i="5305"/>
  <c r="W52" i="5305"/>
  <c r="W53" i="5305"/>
  <c r="W54" i="5305"/>
  <c r="W2" i="5304"/>
  <c r="W3" i="5304"/>
  <c r="W4" i="5304"/>
  <c r="W5" i="5304"/>
  <c r="W6" i="5304"/>
  <c r="W7" i="5304"/>
  <c r="W8" i="5304"/>
  <c r="W9" i="5304"/>
  <c r="W10" i="5304"/>
  <c r="W11" i="5304"/>
  <c r="W12" i="5304"/>
  <c r="W13" i="5304"/>
  <c r="W14" i="5304"/>
  <c r="W15" i="5304"/>
  <c r="W16" i="5304"/>
  <c r="W17" i="5304"/>
  <c r="W18" i="5304"/>
  <c r="W19" i="5304"/>
  <c r="W20" i="5304"/>
  <c r="W21" i="5304"/>
  <c r="W22" i="5304"/>
  <c r="W23" i="5304"/>
  <c r="W24" i="5304"/>
  <c r="W25" i="5304"/>
  <c r="W26" i="5304"/>
  <c r="W27" i="5304"/>
  <c r="W28" i="5304"/>
  <c r="W29" i="5304"/>
  <c r="W30" i="5304"/>
  <c r="W31" i="5304"/>
  <c r="W32" i="5304"/>
  <c r="W33" i="5304"/>
  <c r="W34" i="5304"/>
  <c r="W35" i="5304"/>
  <c r="W36" i="5304"/>
  <c r="W37" i="5304"/>
  <c r="W38" i="5304"/>
  <c r="W39" i="5304"/>
  <c r="W40" i="5304"/>
  <c r="W41" i="5304"/>
  <c r="W42" i="5304"/>
  <c r="W43" i="5304"/>
  <c r="W44" i="5304"/>
  <c r="W45" i="5304"/>
  <c r="W46" i="5304"/>
  <c r="W47" i="5304"/>
  <c r="W48" i="5304"/>
  <c r="W49" i="5304"/>
  <c r="W50" i="5304"/>
  <c r="W51" i="5304"/>
  <c r="W52" i="5304"/>
  <c r="W53" i="5304"/>
  <c r="W54" i="5304"/>
  <c r="W2" i="5303"/>
  <c r="W3" i="5303"/>
  <c r="W4" i="5303"/>
  <c r="W5" i="5303"/>
  <c r="W6" i="5303"/>
  <c r="W7" i="5303"/>
  <c r="W8" i="5303"/>
  <c r="W9" i="5303"/>
  <c r="W10" i="5303"/>
  <c r="W11" i="5303"/>
  <c r="W12" i="5303"/>
  <c r="W13" i="5303"/>
  <c r="W14" i="5303"/>
  <c r="W15" i="5303"/>
  <c r="W16" i="5303"/>
  <c r="W17" i="5303"/>
  <c r="W18" i="5303"/>
  <c r="W19" i="5303"/>
  <c r="W20" i="5303"/>
  <c r="W21" i="5303"/>
  <c r="W22" i="5303"/>
  <c r="W23" i="5303"/>
  <c r="W24" i="5303"/>
  <c r="W25" i="5303"/>
  <c r="W26" i="5303"/>
  <c r="W27" i="5303"/>
  <c r="W28" i="5303"/>
  <c r="W29" i="5303"/>
  <c r="W30" i="5303"/>
  <c r="W31" i="5303"/>
  <c r="W32" i="5303"/>
  <c r="W33" i="5303"/>
  <c r="W34" i="5303"/>
  <c r="W35" i="5303"/>
  <c r="W36" i="5303"/>
  <c r="W37" i="5303"/>
  <c r="W38" i="5303"/>
  <c r="W39" i="5303"/>
  <c r="W40" i="5303"/>
  <c r="W41" i="5303"/>
  <c r="W42" i="5303"/>
  <c r="W43" i="5303"/>
  <c r="W44" i="5303"/>
  <c r="W45" i="5303"/>
  <c r="W46" i="5303"/>
  <c r="W47" i="5303"/>
  <c r="W48" i="5303"/>
  <c r="W49" i="5303"/>
  <c r="W50" i="5303"/>
  <c r="W51" i="5303"/>
  <c r="W52" i="5303"/>
  <c r="W53" i="5303"/>
  <c r="W54" i="5303"/>
  <c r="W2" i="5302"/>
  <c r="W3" i="5302"/>
  <c r="W4" i="5302"/>
  <c r="W5" i="5302"/>
  <c r="W6" i="5302"/>
  <c r="W7" i="5302"/>
  <c r="W8" i="5302"/>
  <c r="W9" i="5302"/>
  <c r="W10" i="5302"/>
  <c r="W11" i="5302"/>
  <c r="W12" i="5302"/>
  <c r="W13" i="5302"/>
  <c r="W14" i="5302"/>
  <c r="W15" i="5302"/>
  <c r="W16" i="5302"/>
  <c r="W17" i="5302"/>
  <c r="W18" i="5302"/>
  <c r="W19" i="5302"/>
  <c r="W20" i="5302"/>
  <c r="W21" i="5302"/>
  <c r="W22" i="5302"/>
  <c r="W23" i="5302"/>
  <c r="W24" i="5302"/>
  <c r="W25" i="5302"/>
  <c r="W26" i="5302"/>
  <c r="W27" i="5302"/>
  <c r="W28" i="5302"/>
  <c r="W29" i="5302"/>
  <c r="W30" i="5302"/>
  <c r="W31" i="5302"/>
  <c r="W32" i="5302"/>
  <c r="W33" i="5302"/>
  <c r="W34" i="5302"/>
  <c r="W35" i="5302"/>
  <c r="W36" i="5302"/>
  <c r="W37" i="5302"/>
  <c r="W38" i="5302"/>
  <c r="W39" i="5302"/>
  <c r="W40" i="5302"/>
  <c r="W41" i="5302"/>
  <c r="W42" i="5302"/>
  <c r="W43" i="5302"/>
  <c r="W44" i="5302"/>
  <c r="W45" i="5302"/>
  <c r="W46" i="5302"/>
  <c r="W47" i="5302"/>
  <c r="W48" i="5302"/>
  <c r="W49" i="5302"/>
  <c r="W50" i="5302"/>
  <c r="W51" i="5302"/>
  <c r="W52" i="5302"/>
  <c r="W53" i="5302"/>
  <c r="W54" i="5302"/>
  <c r="V2" i="5307"/>
  <c r="V3" i="5307"/>
  <c r="V4" i="5307"/>
  <c r="V5" i="5307"/>
  <c r="V6" i="5307"/>
  <c r="V7" i="5307"/>
  <c r="V8" i="5307"/>
  <c r="V9" i="5307"/>
  <c r="V10" i="5307"/>
  <c r="V11" i="5307"/>
  <c r="V12" i="5307"/>
  <c r="V13" i="5307"/>
  <c r="V14" i="5307"/>
  <c r="V15" i="5307"/>
  <c r="V16" i="5307"/>
  <c r="V17" i="5307"/>
  <c r="V18" i="5307"/>
  <c r="V19" i="5307"/>
  <c r="V20" i="5307"/>
  <c r="V21" i="5307"/>
  <c r="V22" i="5307"/>
  <c r="V23" i="5307"/>
  <c r="V24" i="5307"/>
  <c r="V25" i="5307"/>
  <c r="V26" i="5307"/>
  <c r="V27" i="5307"/>
  <c r="V28" i="5307"/>
  <c r="V29" i="5307"/>
  <c r="V30" i="5307"/>
  <c r="V31" i="5307"/>
  <c r="V32" i="5307"/>
  <c r="V33" i="5307"/>
  <c r="V34" i="5307"/>
  <c r="V35" i="5307"/>
  <c r="V36" i="5307"/>
  <c r="V37" i="5307"/>
  <c r="V38" i="5307"/>
  <c r="V39" i="5307"/>
  <c r="V40" i="5307"/>
  <c r="V41" i="5307"/>
  <c r="V42" i="5307"/>
  <c r="V43" i="5307"/>
  <c r="V44" i="5307"/>
  <c r="V45" i="5307"/>
  <c r="V46" i="5307"/>
  <c r="V47" i="5307"/>
  <c r="V48" i="5307"/>
  <c r="V49" i="5307"/>
  <c r="V50" i="5307"/>
  <c r="V51" i="5307"/>
  <c r="V52" i="5307"/>
  <c r="V53" i="5307"/>
  <c r="V54" i="5307"/>
  <c r="V2" i="5306"/>
  <c r="V3" i="5306"/>
  <c r="V4" i="5306"/>
  <c r="V5" i="5306"/>
  <c r="V6" i="5306"/>
  <c r="V7" i="5306"/>
  <c r="V8" i="5306"/>
  <c r="V9" i="5306"/>
  <c r="V10" i="5306"/>
  <c r="V11" i="5306"/>
  <c r="V12" i="5306"/>
  <c r="V13" i="5306"/>
  <c r="V14" i="5306"/>
  <c r="V15" i="5306"/>
  <c r="V16" i="5306"/>
  <c r="V17" i="5306"/>
  <c r="V18" i="5306"/>
  <c r="V19" i="5306"/>
  <c r="V20" i="5306"/>
  <c r="V21" i="5306"/>
  <c r="V22" i="5306"/>
  <c r="V23" i="5306"/>
  <c r="V24" i="5306"/>
  <c r="V25" i="5306"/>
  <c r="V26" i="5306"/>
  <c r="V27" i="5306"/>
  <c r="V28" i="5306"/>
  <c r="V29" i="5306"/>
  <c r="V30" i="5306"/>
  <c r="V31" i="5306"/>
  <c r="V32" i="5306"/>
  <c r="V33" i="5306"/>
  <c r="V34" i="5306"/>
  <c r="V35" i="5306"/>
  <c r="V36" i="5306"/>
  <c r="V37" i="5306"/>
  <c r="V38" i="5306"/>
  <c r="V39" i="5306"/>
  <c r="V40" i="5306"/>
  <c r="V41" i="5306"/>
  <c r="V42" i="5306"/>
  <c r="V43" i="5306"/>
  <c r="V44" i="5306"/>
  <c r="V45" i="5306"/>
  <c r="V46" i="5306"/>
  <c r="V47" i="5306"/>
  <c r="V48" i="5306"/>
  <c r="V49" i="5306"/>
  <c r="V50" i="5306"/>
  <c r="V51" i="5306"/>
  <c r="V52" i="5306"/>
  <c r="V53" i="5306"/>
  <c r="V54" i="5306"/>
  <c r="V2" i="5305"/>
  <c r="V3" i="5305"/>
  <c r="V4" i="5305"/>
  <c r="V5" i="5305"/>
  <c r="V6" i="5305"/>
  <c r="V7" i="5305"/>
  <c r="V8" i="5305"/>
  <c r="V9" i="5305"/>
  <c r="V10" i="5305"/>
  <c r="V11" i="5305"/>
  <c r="V12" i="5305"/>
  <c r="V13" i="5305"/>
  <c r="V14" i="5305"/>
  <c r="V15" i="5305"/>
  <c r="V16" i="5305"/>
  <c r="V17" i="5305"/>
  <c r="V18" i="5305"/>
  <c r="V19" i="5305"/>
  <c r="V20" i="5305"/>
  <c r="V21" i="5305"/>
  <c r="V22" i="5305"/>
  <c r="V23" i="5305"/>
  <c r="V24" i="5305"/>
  <c r="V25" i="5305"/>
  <c r="V26" i="5305"/>
  <c r="V27" i="5305"/>
  <c r="V28" i="5305"/>
  <c r="V29" i="5305"/>
  <c r="V30" i="5305"/>
  <c r="V31" i="5305"/>
  <c r="V32" i="5305"/>
  <c r="V33" i="5305"/>
  <c r="V34" i="5305"/>
  <c r="V35" i="5305"/>
  <c r="V36" i="5305"/>
  <c r="V37" i="5305"/>
  <c r="V38" i="5305"/>
  <c r="V39" i="5305"/>
  <c r="V40" i="5305"/>
  <c r="V41" i="5305"/>
  <c r="V42" i="5305"/>
  <c r="V43" i="5305"/>
  <c r="V44" i="5305"/>
  <c r="V45" i="5305"/>
  <c r="V46" i="5305"/>
  <c r="V47" i="5305"/>
  <c r="V48" i="5305"/>
  <c r="V49" i="5305"/>
  <c r="V50" i="5305"/>
  <c r="V51" i="5305"/>
  <c r="V52" i="5305"/>
  <c r="V53" i="5305"/>
  <c r="V54" i="5305"/>
  <c r="V2" i="5304"/>
  <c r="V3" i="5304"/>
  <c r="V4" i="5304"/>
  <c r="V5" i="5304"/>
  <c r="V6" i="5304"/>
  <c r="V7" i="5304"/>
  <c r="V8" i="5304"/>
  <c r="V9" i="5304"/>
  <c r="V10" i="5304"/>
  <c r="V11" i="5304"/>
  <c r="V12" i="5304"/>
  <c r="V13" i="5304"/>
  <c r="V14" i="5304"/>
  <c r="V15" i="5304"/>
  <c r="V16" i="5304"/>
  <c r="V17" i="5304"/>
  <c r="V18" i="5304"/>
  <c r="V19" i="5304"/>
  <c r="V20" i="5304"/>
  <c r="V21" i="5304"/>
  <c r="V22" i="5304"/>
  <c r="V23" i="5304"/>
  <c r="V24" i="5304"/>
  <c r="V25" i="5304"/>
  <c r="V26" i="5304"/>
  <c r="V27" i="5304"/>
  <c r="V28" i="5304"/>
  <c r="V29" i="5304"/>
  <c r="V30" i="5304"/>
  <c r="V31" i="5304"/>
  <c r="V32" i="5304"/>
  <c r="V33" i="5304"/>
  <c r="V34" i="5304"/>
  <c r="V35" i="5304"/>
  <c r="V36" i="5304"/>
  <c r="V37" i="5304"/>
  <c r="V38" i="5304"/>
  <c r="V39" i="5304"/>
  <c r="V40" i="5304"/>
  <c r="V41" i="5304"/>
  <c r="V42" i="5304"/>
  <c r="V43" i="5304"/>
  <c r="V44" i="5304"/>
  <c r="V45" i="5304"/>
  <c r="V46" i="5304"/>
  <c r="V47" i="5304"/>
  <c r="V48" i="5304"/>
  <c r="V49" i="5304"/>
  <c r="V50" i="5304"/>
  <c r="V51" i="5304"/>
  <c r="V52" i="5304"/>
  <c r="V53" i="5304"/>
  <c r="V54" i="5304"/>
  <c r="V2" i="5303"/>
  <c r="V3" i="5303"/>
  <c r="V4" i="5303"/>
  <c r="V5" i="5303"/>
  <c r="V6" i="5303"/>
  <c r="V7" i="5303"/>
  <c r="V8" i="5303"/>
  <c r="V9" i="5303"/>
  <c r="V10" i="5303"/>
  <c r="V11" i="5303"/>
  <c r="V12" i="5303"/>
  <c r="V13" i="5303"/>
  <c r="V14" i="5303"/>
  <c r="V15" i="5303"/>
  <c r="V16" i="5303"/>
  <c r="V17" i="5303"/>
  <c r="V18" i="5303"/>
  <c r="V19" i="5303"/>
  <c r="V20" i="5303"/>
  <c r="V21" i="5303"/>
  <c r="V22" i="5303"/>
  <c r="V23" i="5303"/>
  <c r="V24" i="5303"/>
  <c r="V25" i="5303"/>
  <c r="V26" i="5303"/>
  <c r="V27" i="5303"/>
  <c r="V28" i="5303"/>
  <c r="V29" i="5303"/>
  <c r="V30" i="5303"/>
  <c r="V31" i="5303"/>
  <c r="V32" i="5303"/>
  <c r="V33" i="5303"/>
  <c r="V34" i="5303"/>
  <c r="V35" i="5303"/>
  <c r="V36" i="5303"/>
  <c r="V37" i="5303"/>
  <c r="V38" i="5303"/>
  <c r="V39" i="5303"/>
  <c r="V40" i="5303"/>
  <c r="V41" i="5303"/>
  <c r="V42" i="5303"/>
  <c r="V43" i="5303"/>
  <c r="V44" i="5303"/>
  <c r="V45" i="5303"/>
  <c r="V46" i="5303"/>
  <c r="V47" i="5303"/>
  <c r="V48" i="5303"/>
  <c r="V49" i="5303"/>
  <c r="V50" i="5303"/>
  <c r="V51" i="5303"/>
  <c r="V52" i="5303"/>
  <c r="V53" i="5303"/>
  <c r="V54" i="5303"/>
  <c r="V2" i="5302"/>
  <c r="V3" i="5302"/>
  <c r="V4" i="5302"/>
  <c r="V5" i="5302"/>
  <c r="V6" i="5302"/>
  <c r="V7" i="5302"/>
  <c r="V8" i="5302"/>
  <c r="V9" i="5302"/>
  <c r="V10" i="5302"/>
  <c r="V11" i="5302"/>
  <c r="V12" i="5302"/>
  <c r="V13" i="5302"/>
  <c r="V14" i="5302"/>
  <c r="V15" i="5302"/>
  <c r="V16" i="5302"/>
  <c r="V17" i="5302"/>
  <c r="V18" i="5302"/>
  <c r="V19" i="5302"/>
  <c r="V20" i="5302"/>
  <c r="V21" i="5302"/>
  <c r="V22" i="5302"/>
  <c r="V23" i="5302"/>
  <c r="V24" i="5302"/>
  <c r="V25" i="5302"/>
  <c r="V26" i="5302"/>
  <c r="V27" i="5302"/>
  <c r="V28" i="5302"/>
  <c r="V29" i="5302"/>
  <c r="V30" i="5302"/>
  <c r="V31" i="5302"/>
  <c r="V32" i="5302"/>
  <c r="V33" i="5302"/>
  <c r="V34" i="5302"/>
  <c r="V35" i="5302"/>
  <c r="V36" i="5302"/>
  <c r="V37" i="5302"/>
  <c r="V38" i="5302"/>
  <c r="V39" i="5302"/>
  <c r="V40" i="5302"/>
  <c r="V41" i="5302"/>
  <c r="V42" i="5302"/>
  <c r="V43" i="5302"/>
  <c r="V44" i="5302"/>
  <c r="V45" i="5302"/>
  <c r="V46" i="5302"/>
  <c r="V47" i="5302"/>
  <c r="V48" i="5302"/>
  <c r="V49" i="5302"/>
  <c r="V50" i="5302"/>
  <c r="V51" i="5302"/>
  <c r="V52" i="5302"/>
  <c r="V53" i="5302"/>
  <c r="V54" i="5302"/>
  <c r="U2" i="5307"/>
  <c r="U3" i="5307"/>
  <c r="U4" i="5307"/>
  <c r="U5" i="5307"/>
  <c r="U6" i="5307"/>
  <c r="U7" i="5307"/>
  <c r="U8" i="5307"/>
  <c r="U9" i="5307"/>
  <c r="U10" i="5307"/>
  <c r="U11" i="5307"/>
  <c r="U12" i="5307"/>
  <c r="U13" i="5307"/>
  <c r="U14" i="5307"/>
  <c r="U15" i="5307"/>
  <c r="U16" i="5307"/>
  <c r="U17" i="5307"/>
  <c r="U18" i="5307"/>
  <c r="U19" i="5307"/>
  <c r="U20" i="5307"/>
  <c r="U21" i="5307"/>
  <c r="U22" i="5307"/>
  <c r="U23" i="5307"/>
  <c r="U24" i="5307"/>
  <c r="U25" i="5307"/>
  <c r="U26" i="5307"/>
  <c r="U27" i="5307"/>
  <c r="U28" i="5307"/>
  <c r="U29" i="5307"/>
  <c r="U30" i="5307"/>
  <c r="U31" i="5307"/>
  <c r="U32" i="5307"/>
  <c r="U33" i="5307"/>
  <c r="U34" i="5307"/>
  <c r="U35" i="5307"/>
  <c r="U36" i="5307"/>
  <c r="U37" i="5307"/>
  <c r="U38" i="5307"/>
  <c r="U39" i="5307"/>
  <c r="U40" i="5307"/>
  <c r="U41" i="5307"/>
  <c r="U42" i="5307"/>
  <c r="U43" i="5307"/>
  <c r="U44" i="5307"/>
  <c r="U45" i="5307"/>
  <c r="U46" i="5307"/>
  <c r="U47" i="5307"/>
  <c r="U48" i="5307"/>
  <c r="U49" i="5307"/>
  <c r="U50" i="5307"/>
  <c r="U51" i="5307"/>
  <c r="U52" i="5307"/>
  <c r="U53" i="5307"/>
  <c r="U54" i="5307"/>
  <c r="U2" i="5306"/>
  <c r="U3" i="5306"/>
  <c r="U4" i="5306"/>
  <c r="U5" i="5306"/>
  <c r="U6" i="5306"/>
  <c r="U7" i="5306"/>
  <c r="U8" i="5306"/>
  <c r="U9" i="5306"/>
  <c r="U10" i="5306"/>
  <c r="U11" i="5306"/>
  <c r="U12" i="5306"/>
  <c r="U13" i="5306"/>
  <c r="U14" i="5306"/>
  <c r="U15" i="5306"/>
  <c r="U16" i="5306"/>
  <c r="U17" i="5306"/>
  <c r="U18" i="5306"/>
  <c r="U19" i="5306"/>
  <c r="U20" i="5306"/>
  <c r="U21" i="5306"/>
  <c r="U22" i="5306"/>
  <c r="U23" i="5306"/>
  <c r="U24" i="5306"/>
  <c r="U25" i="5306"/>
  <c r="U26" i="5306"/>
  <c r="U27" i="5306"/>
  <c r="U28" i="5306"/>
  <c r="U29" i="5306"/>
  <c r="U30" i="5306"/>
  <c r="U31" i="5306"/>
  <c r="U32" i="5306"/>
  <c r="U33" i="5306"/>
  <c r="U34" i="5306"/>
  <c r="U35" i="5306"/>
  <c r="U36" i="5306"/>
  <c r="U37" i="5306"/>
  <c r="U38" i="5306"/>
  <c r="U39" i="5306"/>
  <c r="U40" i="5306"/>
  <c r="U41" i="5306"/>
  <c r="U42" i="5306"/>
  <c r="U43" i="5306"/>
  <c r="U44" i="5306"/>
  <c r="U45" i="5306"/>
  <c r="U46" i="5306"/>
  <c r="U47" i="5306"/>
  <c r="U48" i="5306"/>
  <c r="U49" i="5306"/>
  <c r="U50" i="5306"/>
  <c r="U51" i="5306"/>
  <c r="U52" i="5306"/>
  <c r="U53" i="5306"/>
  <c r="U54" i="5306"/>
  <c r="U2" i="5305"/>
  <c r="U3" i="5305"/>
  <c r="U4" i="5305"/>
  <c r="U5" i="5305"/>
  <c r="U6" i="5305"/>
  <c r="U7" i="5305"/>
  <c r="U8" i="5305"/>
  <c r="U9" i="5305"/>
  <c r="U10" i="5305"/>
  <c r="U11" i="5305"/>
  <c r="U12" i="5305"/>
  <c r="U13" i="5305"/>
  <c r="U14" i="5305"/>
  <c r="U15" i="5305"/>
  <c r="U16" i="5305"/>
  <c r="U17" i="5305"/>
  <c r="U18" i="5305"/>
  <c r="U19" i="5305"/>
  <c r="U20" i="5305"/>
  <c r="U21" i="5305"/>
  <c r="U22" i="5305"/>
  <c r="U23" i="5305"/>
  <c r="U24" i="5305"/>
  <c r="U25" i="5305"/>
  <c r="U26" i="5305"/>
  <c r="U27" i="5305"/>
  <c r="U28" i="5305"/>
  <c r="U29" i="5305"/>
  <c r="U30" i="5305"/>
  <c r="U31" i="5305"/>
  <c r="U32" i="5305"/>
  <c r="U33" i="5305"/>
  <c r="U34" i="5305"/>
  <c r="U35" i="5305"/>
  <c r="U36" i="5305"/>
  <c r="U37" i="5305"/>
  <c r="U38" i="5305"/>
  <c r="U39" i="5305"/>
  <c r="U40" i="5305"/>
  <c r="U41" i="5305"/>
  <c r="U42" i="5305"/>
  <c r="U43" i="5305"/>
  <c r="U44" i="5305"/>
  <c r="U45" i="5305"/>
  <c r="U46" i="5305"/>
  <c r="U47" i="5305"/>
  <c r="U48" i="5305"/>
  <c r="U49" i="5305"/>
  <c r="U50" i="5305"/>
  <c r="U51" i="5305"/>
  <c r="U52" i="5305"/>
  <c r="U53" i="5305"/>
  <c r="U54" i="5305"/>
  <c r="U2" i="5304"/>
  <c r="U3" i="5304"/>
  <c r="U4" i="5304"/>
  <c r="U5" i="5304"/>
  <c r="U6" i="5304"/>
  <c r="U7" i="5304"/>
  <c r="U8" i="5304"/>
  <c r="U9" i="5304"/>
  <c r="U10" i="5304"/>
  <c r="U11" i="5304"/>
  <c r="U12" i="5304"/>
  <c r="U13" i="5304"/>
  <c r="U14" i="5304"/>
  <c r="U15" i="5304"/>
  <c r="U16" i="5304"/>
  <c r="U17" i="5304"/>
  <c r="U18" i="5304"/>
  <c r="U19" i="5304"/>
  <c r="U20" i="5304"/>
  <c r="U21" i="5304"/>
  <c r="U22" i="5304"/>
  <c r="U23" i="5304"/>
  <c r="U24" i="5304"/>
  <c r="U25" i="5304"/>
  <c r="U26" i="5304"/>
  <c r="U27" i="5304"/>
  <c r="U28" i="5304"/>
  <c r="U29" i="5304"/>
  <c r="U30" i="5304"/>
  <c r="U31" i="5304"/>
  <c r="U32" i="5304"/>
  <c r="U33" i="5304"/>
  <c r="U34" i="5304"/>
  <c r="U35" i="5304"/>
  <c r="U36" i="5304"/>
  <c r="U37" i="5304"/>
  <c r="U38" i="5304"/>
  <c r="U39" i="5304"/>
  <c r="U40" i="5304"/>
  <c r="U41" i="5304"/>
  <c r="U42" i="5304"/>
  <c r="U43" i="5304"/>
  <c r="U44" i="5304"/>
  <c r="U45" i="5304"/>
  <c r="U46" i="5304"/>
  <c r="U47" i="5304"/>
  <c r="U48" i="5304"/>
  <c r="U49" i="5304"/>
  <c r="U50" i="5304"/>
  <c r="U51" i="5304"/>
  <c r="U52" i="5304"/>
  <c r="U53" i="5304"/>
  <c r="U54" i="5304"/>
  <c r="U2" i="5303"/>
  <c r="U3" i="5303"/>
  <c r="U4" i="5303"/>
  <c r="U5" i="5303"/>
  <c r="U6" i="5303"/>
  <c r="U7" i="5303"/>
  <c r="U8" i="5303"/>
  <c r="U9" i="5303"/>
  <c r="U10" i="5303"/>
  <c r="U11" i="5303"/>
  <c r="U12" i="5303"/>
  <c r="U13" i="5303"/>
  <c r="U14" i="5303"/>
  <c r="U15" i="5303"/>
  <c r="U16" i="5303"/>
  <c r="U17" i="5303"/>
  <c r="U18" i="5303"/>
  <c r="U19" i="5303"/>
  <c r="U20" i="5303"/>
  <c r="U21" i="5303"/>
  <c r="U22" i="5303"/>
  <c r="U23" i="5303"/>
  <c r="U24" i="5303"/>
  <c r="U25" i="5303"/>
  <c r="U26" i="5303"/>
  <c r="U27" i="5303"/>
  <c r="U28" i="5303"/>
  <c r="U29" i="5303"/>
  <c r="U30" i="5303"/>
  <c r="U31" i="5303"/>
  <c r="U32" i="5303"/>
  <c r="U33" i="5303"/>
  <c r="U34" i="5303"/>
  <c r="U35" i="5303"/>
  <c r="U36" i="5303"/>
  <c r="U37" i="5303"/>
  <c r="U38" i="5303"/>
  <c r="U39" i="5303"/>
  <c r="U40" i="5303"/>
  <c r="U41" i="5303"/>
  <c r="U42" i="5303"/>
  <c r="U43" i="5303"/>
  <c r="U44" i="5303"/>
  <c r="U45" i="5303"/>
  <c r="U46" i="5303"/>
  <c r="U47" i="5303"/>
  <c r="U48" i="5303"/>
  <c r="U49" i="5303"/>
  <c r="U50" i="5303"/>
  <c r="U51" i="5303"/>
  <c r="U52" i="5303"/>
  <c r="U53" i="5303"/>
  <c r="U54" i="5303"/>
  <c r="U2" i="5302"/>
  <c r="U3" i="5302"/>
  <c r="U4" i="5302"/>
  <c r="U5" i="5302"/>
  <c r="U6" i="5302"/>
  <c r="U7" i="5302"/>
  <c r="U8" i="5302"/>
  <c r="U9" i="5302"/>
  <c r="U10" i="5302"/>
  <c r="U11" i="5302"/>
  <c r="U12" i="5302"/>
  <c r="U13" i="5302"/>
  <c r="U14" i="5302"/>
  <c r="U15" i="5302"/>
  <c r="U16" i="5302"/>
  <c r="U17" i="5302"/>
  <c r="U18" i="5302"/>
  <c r="U19" i="5302"/>
  <c r="U20" i="5302"/>
  <c r="U21" i="5302"/>
  <c r="U22" i="5302"/>
  <c r="U23" i="5302"/>
  <c r="U24" i="5302"/>
  <c r="U25" i="5302"/>
  <c r="U26" i="5302"/>
  <c r="U27" i="5302"/>
  <c r="U28" i="5302"/>
  <c r="U29" i="5302"/>
  <c r="U30" i="5302"/>
  <c r="U31" i="5302"/>
  <c r="U32" i="5302"/>
  <c r="U33" i="5302"/>
  <c r="U34" i="5302"/>
  <c r="U35" i="5302"/>
  <c r="U36" i="5302"/>
  <c r="U37" i="5302"/>
  <c r="U38" i="5302"/>
  <c r="U39" i="5302"/>
  <c r="U40" i="5302"/>
  <c r="U41" i="5302"/>
  <c r="U42" i="5302"/>
  <c r="U43" i="5302"/>
  <c r="U44" i="5302"/>
  <c r="U45" i="5302"/>
  <c r="U46" i="5302"/>
  <c r="U47" i="5302"/>
  <c r="U48" i="5302"/>
  <c r="U49" i="5302"/>
  <c r="U50" i="5302"/>
  <c r="U51" i="5302"/>
  <c r="U52" i="5302"/>
  <c r="U53" i="5302"/>
  <c r="U54" i="5302"/>
  <c r="T2" i="5307"/>
  <c r="T3" i="5307"/>
  <c r="T4" i="5307"/>
  <c r="T5" i="5307"/>
  <c r="T6" i="5307"/>
  <c r="T7" i="5307"/>
  <c r="T8" i="5307"/>
  <c r="T9" i="5307"/>
  <c r="T10" i="5307"/>
  <c r="T11" i="5307"/>
  <c r="T12" i="5307"/>
  <c r="T13" i="5307"/>
  <c r="T14" i="5307"/>
  <c r="T15" i="5307"/>
  <c r="T16" i="5307"/>
  <c r="T17" i="5307"/>
  <c r="T18" i="5307"/>
  <c r="T19" i="5307"/>
  <c r="T20" i="5307"/>
  <c r="T21" i="5307"/>
  <c r="T22" i="5307"/>
  <c r="T23" i="5307"/>
  <c r="T24" i="5307"/>
  <c r="T25" i="5307"/>
  <c r="T26" i="5307"/>
  <c r="T27" i="5307"/>
  <c r="T28" i="5307"/>
  <c r="T29" i="5307"/>
  <c r="T30" i="5307"/>
  <c r="T31" i="5307"/>
  <c r="T32" i="5307"/>
  <c r="T33" i="5307"/>
  <c r="T34" i="5307"/>
  <c r="T35" i="5307"/>
  <c r="T36" i="5307"/>
  <c r="T37" i="5307"/>
  <c r="T38" i="5307"/>
  <c r="T39" i="5307"/>
  <c r="T40" i="5307"/>
  <c r="T41" i="5307"/>
  <c r="T42" i="5307"/>
  <c r="T43" i="5307"/>
  <c r="T44" i="5307"/>
  <c r="T45" i="5307"/>
  <c r="T46" i="5307"/>
  <c r="T47" i="5307"/>
  <c r="T48" i="5307"/>
  <c r="T49" i="5307"/>
  <c r="T50" i="5307"/>
  <c r="T51" i="5307"/>
  <c r="T52" i="5307"/>
  <c r="T53" i="5307"/>
  <c r="T54" i="5307"/>
  <c r="T2" i="5306"/>
  <c r="T3" i="5306"/>
  <c r="T4" i="5306"/>
  <c r="T5" i="5306"/>
  <c r="T6" i="5306"/>
  <c r="T7" i="5306"/>
  <c r="T8" i="5306"/>
  <c r="T9" i="5306"/>
  <c r="T10" i="5306"/>
  <c r="T11" i="5306"/>
  <c r="T12" i="5306"/>
  <c r="T13" i="5306"/>
  <c r="T14" i="5306"/>
  <c r="T15" i="5306"/>
  <c r="T16" i="5306"/>
  <c r="T17" i="5306"/>
  <c r="T18" i="5306"/>
  <c r="T19" i="5306"/>
  <c r="T20" i="5306"/>
  <c r="T21" i="5306"/>
  <c r="T22" i="5306"/>
  <c r="T23" i="5306"/>
  <c r="T24" i="5306"/>
  <c r="T25" i="5306"/>
  <c r="T26" i="5306"/>
  <c r="T27" i="5306"/>
  <c r="T28" i="5306"/>
  <c r="T29" i="5306"/>
  <c r="T30" i="5306"/>
  <c r="T31" i="5306"/>
  <c r="T32" i="5306"/>
  <c r="T33" i="5306"/>
  <c r="T34" i="5306"/>
  <c r="T35" i="5306"/>
  <c r="T36" i="5306"/>
  <c r="T37" i="5306"/>
  <c r="T38" i="5306"/>
  <c r="T39" i="5306"/>
  <c r="T40" i="5306"/>
  <c r="T41" i="5306"/>
  <c r="T42" i="5306"/>
  <c r="T43" i="5306"/>
  <c r="T44" i="5306"/>
  <c r="T45" i="5306"/>
  <c r="T46" i="5306"/>
  <c r="T47" i="5306"/>
  <c r="T48" i="5306"/>
  <c r="T49" i="5306"/>
  <c r="T50" i="5306"/>
  <c r="T51" i="5306"/>
  <c r="T52" i="5306"/>
  <c r="T53" i="5306"/>
  <c r="T54" i="5306"/>
  <c r="T2" i="5305"/>
  <c r="T3" i="5305"/>
  <c r="T4" i="5305"/>
  <c r="T5" i="5305"/>
  <c r="T6" i="5305"/>
  <c r="T7" i="5305"/>
  <c r="T8" i="5305"/>
  <c r="T9" i="5305"/>
  <c r="T10" i="5305"/>
  <c r="T11" i="5305"/>
  <c r="T12" i="5305"/>
  <c r="T13" i="5305"/>
  <c r="T14" i="5305"/>
  <c r="T15" i="5305"/>
  <c r="T16" i="5305"/>
  <c r="T17" i="5305"/>
  <c r="T18" i="5305"/>
  <c r="T19" i="5305"/>
  <c r="T20" i="5305"/>
  <c r="T21" i="5305"/>
  <c r="T22" i="5305"/>
  <c r="T23" i="5305"/>
  <c r="T24" i="5305"/>
  <c r="T25" i="5305"/>
  <c r="T26" i="5305"/>
  <c r="T27" i="5305"/>
  <c r="T28" i="5305"/>
  <c r="T29" i="5305"/>
  <c r="T30" i="5305"/>
  <c r="T31" i="5305"/>
  <c r="T32" i="5305"/>
  <c r="T33" i="5305"/>
  <c r="T34" i="5305"/>
  <c r="T35" i="5305"/>
  <c r="T36" i="5305"/>
  <c r="T37" i="5305"/>
  <c r="T38" i="5305"/>
  <c r="T39" i="5305"/>
  <c r="T40" i="5305"/>
  <c r="T41" i="5305"/>
  <c r="T42" i="5305"/>
  <c r="T43" i="5305"/>
  <c r="T44" i="5305"/>
  <c r="T45" i="5305"/>
  <c r="T46" i="5305"/>
  <c r="T47" i="5305"/>
  <c r="T48" i="5305"/>
  <c r="T49" i="5305"/>
  <c r="T50" i="5305"/>
  <c r="T51" i="5305"/>
  <c r="T52" i="5305"/>
  <c r="T53" i="5305"/>
  <c r="T54" i="5305"/>
  <c r="T2" i="5304"/>
  <c r="T3" i="5304"/>
  <c r="T4" i="5304"/>
  <c r="T5" i="5304"/>
  <c r="T6" i="5304"/>
  <c r="T7" i="5304"/>
  <c r="T8" i="5304"/>
  <c r="T9" i="5304"/>
  <c r="T10" i="5304"/>
  <c r="T11" i="5304"/>
  <c r="T12" i="5304"/>
  <c r="T13" i="5304"/>
  <c r="T14" i="5304"/>
  <c r="T15" i="5304"/>
  <c r="T16" i="5304"/>
  <c r="T17" i="5304"/>
  <c r="T18" i="5304"/>
  <c r="T19" i="5304"/>
  <c r="T20" i="5304"/>
  <c r="T21" i="5304"/>
  <c r="T22" i="5304"/>
  <c r="T23" i="5304"/>
  <c r="T24" i="5304"/>
  <c r="T25" i="5304"/>
  <c r="T26" i="5304"/>
  <c r="T27" i="5304"/>
  <c r="T28" i="5304"/>
  <c r="T29" i="5304"/>
  <c r="T30" i="5304"/>
  <c r="T31" i="5304"/>
  <c r="T32" i="5304"/>
  <c r="T33" i="5304"/>
  <c r="T34" i="5304"/>
  <c r="T35" i="5304"/>
  <c r="T36" i="5304"/>
  <c r="T37" i="5304"/>
  <c r="T38" i="5304"/>
  <c r="T39" i="5304"/>
  <c r="T40" i="5304"/>
  <c r="T41" i="5304"/>
  <c r="T42" i="5304"/>
  <c r="T43" i="5304"/>
  <c r="T44" i="5304"/>
  <c r="T45" i="5304"/>
  <c r="T46" i="5304"/>
  <c r="T47" i="5304"/>
  <c r="T48" i="5304"/>
  <c r="T49" i="5304"/>
  <c r="T50" i="5304"/>
  <c r="T51" i="5304"/>
  <c r="T52" i="5304"/>
  <c r="T53" i="5304"/>
  <c r="T54" i="5304"/>
  <c r="T2" i="5303"/>
  <c r="T3" i="5303"/>
  <c r="T4" i="5303"/>
  <c r="T5" i="5303"/>
  <c r="T6" i="5303"/>
  <c r="T7" i="5303"/>
  <c r="T8" i="5303"/>
  <c r="T9" i="5303"/>
  <c r="T10" i="5303"/>
  <c r="T11" i="5303"/>
  <c r="T12" i="5303"/>
  <c r="T13" i="5303"/>
  <c r="T14" i="5303"/>
  <c r="T15" i="5303"/>
  <c r="T16" i="5303"/>
  <c r="T17" i="5303"/>
  <c r="T18" i="5303"/>
  <c r="T19" i="5303"/>
  <c r="T20" i="5303"/>
  <c r="T21" i="5303"/>
  <c r="T22" i="5303"/>
  <c r="T23" i="5303"/>
  <c r="T24" i="5303"/>
  <c r="T25" i="5303"/>
  <c r="T26" i="5303"/>
  <c r="T27" i="5303"/>
  <c r="T28" i="5303"/>
  <c r="T29" i="5303"/>
  <c r="T30" i="5303"/>
  <c r="T31" i="5303"/>
  <c r="T32" i="5303"/>
  <c r="T33" i="5303"/>
  <c r="T34" i="5303"/>
  <c r="T35" i="5303"/>
  <c r="T36" i="5303"/>
  <c r="T37" i="5303"/>
  <c r="T38" i="5303"/>
  <c r="T39" i="5303"/>
  <c r="T40" i="5303"/>
  <c r="T41" i="5303"/>
  <c r="T42" i="5303"/>
  <c r="T43" i="5303"/>
  <c r="T44" i="5303"/>
  <c r="T45" i="5303"/>
  <c r="T46" i="5303"/>
  <c r="T47" i="5303"/>
  <c r="T48" i="5303"/>
  <c r="T49" i="5303"/>
  <c r="T50" i="5303"/>
  <c r="T51" i="5303"/>
  <c r="T52" i="5303"/>
  <c r="T53" i="5303"/>
  <c r="T54" i="5303"/>
  <c r="T2" i="5302"/>
  <c r="T3" i="5302"/>
  <c r="T4" i="5302"/>
  <c r="T5" i="5302"/>
  <c r="T6" i="5302"/>
  <c r="T7" i="5302"/>
  <c r="T8" i="5302"/>
  <c r="T9" i="5302"/>
  <c r="T10" i="5302"/>
  <c r="T11" i="5302"/>
  <c r="T12" i="5302"/>
  <c r="T13" i="5302"/>
  <c r="T14" i="5302"/>
  <c r="T15" i="5302"/>
  <c r="T16" i="5302"/>
  <c r="T17" i="5302"/>
  <c r="T18" i="5302"/>
  <c r="T19" i="5302"/>
  <c r="T20" i="5302"/>
  <c r="T21" i="5302"/>
  <c r="T22" i="5302"/>
  <c r="T23" i="5302"/>
  <c r="T24" i="5302"/>
  <c r="T25" i="5302"/>
  <c r="T26" i="5302"/>
  <c r="T27" i="5302"/>
  <c r="T28" i="5302"/>
  <c r="T29" i="5302"/>
  <c r="T30" i="5302"/>
  <c r="T31" i="5302"/>
  <c r="T32" i="5302"/>
  <c r="T33" i="5302"/>
  <c r="T34" i="5302"/>
  <c r="T35" i="5302"/>
  <c r="T36" i="5302"/>
  <c r="T37" i="5302"/>
  <c r="T38" i="5302"/>
  <c r="T39" i="5302"/>
  <c r="T40" i="5302"/>
  <c r="T41" i="5302"/>
  <c r="T42" i="5302"/>
  <c r="T43" i="5302"/>
  <c r="T44" i="5302"/>
  <c r="T45" i="5302"/>
  <c r="T46" i="5302"/>
  <c r="T47" i="5302"/>
  <c r="T48" i="5302"/>
  <c r="T49" i="5302"/>
  <c r="T50" i="5302"/>
  <c r="T51" i="5302"/>
  <c r="T52" i="5302"/>
  <c r="T53" i="5302"/>
  <c r="T54" i="5302"/>
  <c r="R2" i="5307"/>
  <c r="R3" i="5307"/>
  <c r="R4" i="5307"/>
  <c r="R5" i="5307"/>
  <c r="R6" i="5307"/>
  <c r="R7" i="5307"/>
  <c r="R8" i="5307"/>
  <c r="R9" i="5307"/>
  <c r="R10" i="5307"/>
  <c r="R11" i="5307"/>
  <c r="R12" i="5307"/>
  <c r="R13" i="5307"/>
  <c r="R14" i="5307"/>
  <c r="R15" i="5307"/>
  <c r="R16" i="5307"/>
  <c r="R17" i="5307"/>
  <c r="R18" i="5307"/>
  <c r="R19" i="5307"/>
  <c r="R20" i="5307"/>
  <c r="R21" i="5307"/>
  <c r="R22" i="5307"/>
  <c r="R23" i="5307"/>
  <c r="R24" i="5307"/>
  <c r="R25" i="5307"/>
  <c r="R26" i="5307"/>
  <c r="R27" i="5307"/>
  <c r="R28" i="5307"/>
  <c r="R29" i="5307"/>
  <c r="R30" i="5307"/>
  <c r="R31" i="5307"/>
  <c r="R32" i="5307"/>
  <c r="R33" i="5307"/>
  <c r="R34" i="5307"/>
  <c r="R35" i="5307"/>
  <c r="R36" i="5307"/>
  <c r="R37" i="5307"/>
  <c r="R38" i="5307"/>
  <c r="R39" i="5307"/>
  <c r="R40" i="5307"/>
  <c r="R41" i="5307"/>
  <c r="R42" i="5307"/>
  <c r="R43" i="5307"/>
  <c r="R44" i="5307"/>
  <c r="R45" i="5307"/>
  <c r="R46" i="5307"/>
  <c r="R47" i="5307"/>
  <c r="R48" i="5307"/>
  <c r="R49" i="5307"/>
  <c r="R50" i="5307"/>
  <c r="R51" i="5307"/>
  <c r="R52" i="5307"/>
  <c r="R53" i="5307"/>
  <c r="R54" i="5307"/>
  <c r="R2" i="5306"/>
  <c r="R3" i="5306"/>
  <c r="R4" i="5306"/>
  <c r="R5" i="5306"/>
  <c r="R6" i="5306"/>
  <c r="R7" i="5306"/>
  <c r="R8" i="5306"/>
  <c r="R9" i="5306"/>
  <c r="R10" i="5306"/>
  <c r="R11" i="5306"/>
  <c r="R12" i="5306"/>
  <c r="R13" i="5306"/>
  <c r="R14" i="5306"/>
  <c r="R15" i="5306"/>
  <c r="R16" i="5306"/>
  <c r="R17" i="5306"/>
  <c r="R18" i="5306"/>
  <c r="R19" i="5306"/>
  <c r="R20" i="5306"/>
  <c r="R21" i="5306"/>
  <c r="R22" i="5306"/>
  <c r="R23" i="5306"/>
  <c r="R24" i="5306"/>
  <c r="R25" i="5306"/>
  <c r="R26" i="5306"/>
  <c r="R27" i="5306"/>
  <c r="R28" i="5306"/>
  <c r="R29" i="5306"/>
  <c r="R30" i="5306"/>
  <c r="R31" i="5306"/>
  <c r="R32" i="5306"/>
  <c r="R33" i="5306"/>
  <c r="R34" i="5306"/>
  <c r="R35" i="5306"/>
  <c r="R36" i="5306"/>
  <c r="R37" i="5306"/>
  <c r="R38" i="5306"/>
  <c r="R39" i="5306"/>
  <c r="R40" i="5306"/>
  <c r="R41" i="5306"/>
  <c r="R42" i="5306"/>
  <c r="R43" i="5306"/>
  <c r="R44" i="5306"/>
  <c r="R45" i="5306"/>
  <c r="R46" i="5306"/>
  <c r="R47" i="5306"/>
  <c r="R48" i="5306"/>
  <c r="R49" i="5306"/>
  <c r="R50" i="5306"/>
  <c r="R51" i="5306"/>
  <c r="R52" i="5306"/>
  <c r="R53" i="5306"/>
  <c r="R54" i="5306"/>
  <c r="R2" i="5305"/>
  <c r="R3" i="5305"/>
  <c r="R4" i="5305"/>
  <c r="R5" i="5305"/>
  <c r="R6" i="5305"/>
  <c r="R7" i="5305"/>
  <c r="R8" i="5305"/>
  <c r="R9" i="5305"/>
  <c r="R10" i="5305"/>
  <c r="R11" i="5305"/>
  <c r="R12" i="5305"/>
  <c r="R13" i="5305"/>
  <c r="R14" i="5305"/>
  <c r="R15" i="5305"/>
  <c r="R16" i="5305"/>
  <c r="R17" i="5305"/>
  <c r="R18" i="5305"/>
  <c r="R19" i="5305"/>
  <c r="R20" i="5305"/>
  <c r="R21" i="5305"/>
  <c r="R22" i="5305"/>
  <c r="R23" i="5305"/>
  <c r="R24" i="5305"/>
  <c r="R25" i="5305"/>
  <c r="R26" i="5305"/>
  <c r="R27" i="5305"/>
  <c r="R28" i="5305"/>
  <c r="R29" i="5305"/>
  <c r="R30" i="5305"/>
  <c r="R31" i="5305"/>
  <c r="R32" i="5305"/>
  <c r="R33" i="5305"/>
  <c r="R34" i="5305"/>
  <c r="R35" i="5305"/>
  <c r="R36" i="5305"/>
  <c r="R37" i="5305"/>
  <c r="R38" i="5305"/>
  <c r="R39" i="5305"/>
  <c r="R40" i="5305"/>
  <c r="R41" i="5305"/>
  <c r="R42" i="5305"/>
  <c r="R43" i="5305"/>
  <c r="R44" i="5305"/>
  <c r="R45" i="5305"/>
  <c r="R46" i="5305"/>
  <c r="R47" i="5305"/>
  <c r="R48" i="5305"/>
  <c r="R49" i="5305"/>
  <c r="R50" i="5305"/>
  <c r="R51" i="5305"/>
  <c r="R52" i="5305"/>
  <c r="R53" i="5305"/>
  <c r="R54" i="5305"/>
  <c r="R2" i="5304"/>
  <c r="R3" i="5304"/>
  <c r="R4" i="5304"/>
  <c r="R5" i="5304"/>
  <c r="R6" i="5304"/>
  <c r="R7" i="5304"/>
  <c r="R8" i="5304"/>
  <c r="R9" i="5304"/>
  <c r="R10" i="5304"/>
  <c r="R11" i="5304"/>
  <c r="R12" i="5304"/>
  <c r="R13" i="5304"/>
  <c r="R14" i="5304"/>
  <c r="R15" i="5304"/>
  <c r="R16" i="5304"/>
  <c r="R17" i="5304"/>
  <c r="R18" i="5304"/>
  <c r="R19" i="5304"/>
  <c r="R20" i="5304"/>
  <c r="R21" i="5304"/>
  <c r="R22" i="5304"/>
  <c r="R23" i="5304"/>
  <c r="R24" i="5304"/>
  <c r="R25" i="5304"/>
  <c r="R26" i="5304"/>
  <c r="R27" i="5304"/>
  <c r="R28" i="5304"/>
  <c r="R29" i="5304"/>
  <c r="R30" i="5304"/>
  <c r="R31" i="5304"/>
  <c r="R32" i="5304"/>
  <c r="R33" i="5304"/>
  <c r="R34" i="5304"/>
  <c r="R35" i="5304"/>
  <c r="R36" i="5304"/>
  <c r="R37" i="5304"/>
  <c r="R38" i="5304"/>
  <c r="R39" i="5304"/>
  <c r="R40" i="5304"/>
  <c r="R41" i="5304"/>
  <c r="R42" i="5304"/>
  <c r="R43" i="5304"/>
  <c r="R44" i="5304"/>
  <c r="R45" i="5304"/>
  <c r="R46" i="5304"/>
  <c r="R47" i="5304"/>
  <c r="R48" i="5304"/>
  <c r="R49" i="5304"/>
  <c r="R50" i="5304"/>
  <c r="R51" i="5304"/>
  <c r="R52" i="5304"/>
  <c r="R53" i="5304"/>
  <c r="R54" i="5304"/>
  <c r="R2" i="5303"/>
  <c r="R3" i="5303"/>
  <c r="R4" i="5303"/>
  <c r="R5" i="5303"/>
  <c r="R6" i="5303"/>
  <c r="R7" i="5303"/>
  <c r="R8" i="5303"/>
  <c r="R9" i="5303"/>
  <c r="R10" i="5303"/>
  <c r="R11" i="5303"/>
  <c r="R12" i="5303"/>
  <c r="R13" i="5303"/>
  <c r="R14" i="5303"/>
  <c r="R15" i="5303"/>
  <c r="R16" i="5303"/>
  <c r="R17" i="5303"/>
  <c r="R18" i="5303"/>
  <c r="R19" i="5303"/>
  <c r="R20" i="5303"/>
  <c r="R21" i="5303"/>
  <c r="R22" i="5303"/>
  <c r="R23" i="5303"/>
  <c r="R24" i="5303"/>
  <c r="R25" i="5303"/>
  <c r="R26" i="5303"/>
  <c r="R27" i="5303"/>
  <c r="R28" i="5303"/>
  <c r="R29" i="5303"/>
  <c r="R30" i="5303"/>
  <c r="R31" i="5303"/>
  <c r="R32" i="5303"/>
  <c r="R33" i="5303"/>
  <c r="R34" i="5303"/>
  <c r="R35" i="5303"/>
  <c r="R36" i="5303"/>
  <c r="R37" i="5303"/>
  <c r="R38" i="5303"/>
  <c r="R39" i="5303"/>
  <c r="R40" i="5303"/>
  <c r="R41" i="5303"/>
  <c r="R42" i="5303"/>
  <c r="R43" i="5303"/>
  <c r="R44" i="5303"/>
  <c r="R45" i="5303"/>
  <c r="R46" i="5303"/>
  <c r="R47" i="5303"/>
  <c r="R48" i="5303"/>
  <c r="R49" i="5303"/>
  <c r="R50" i="5303"/>
  <c r="R51" i="5303"/>
  <c r="R52" i="5303"/>
  <c r="R53" i="5303"/>
  <c r="R54" i="5303"/>
  <c r="R2" i="5302"/>
  <c r="R3" i="5302"/>
  <c r="R4" i="5302"/>
  <c r="R5" i="5302"/>
  <c r="R6" i="5302"/>
  <c r="R7" i="5302"/>
  <c r="R8" i="5302"/>
  <c r="R9" i="5302"/>
  <c r="R10" i="5302"/>
  <c r="R11" i="5302"/>
  <c r="R12" i="5302"/>
  <c r="R13" i="5302"/>
  <c r="R14" i="5302"/>
  <c r="R15" i="5302"/>
  <c r="R16" i="5302"/>
  <c r="R17" i="5302"/>
  <c r="R18" i="5302"/>
  <c r="R19" i="5302"/>
  <c r="R20" i="5302"/>
  <c r="R21" i="5302"/>
  <c r="R22" i="5302"/>
  <c r="R23" i="5302"/>
  <c r="R24" i="5302"/>
  <c r="R25" i="5302"/>
  <c r="R26" i="5302"/>
  <c r="R27" i="5302"/>
  <c r="R28" i="5302"/>
  <c r="R29" i="5302"/>
  <c r="R30" i="5302"/>
  <c r="R31" i="5302"/>
  <c r="R32" i="5302"/>
  <c r="R33" i="5302"/>
  <c r="R34" i="5302"/>
  <c r="R35" i="5302"/>
  <c r="R36" i="5302"/>
  <c r="R37" i="5302"/>
  <c r="R38" i="5302"/>
  <c r="R39" i="5302"/>
  <c r="R40" i="5302"/>
  <c r="R41" i="5302"/>
  <c r="R42" i="5302"/>
  <c r="R43" i="5302"/>
  <c r="R44" i="5302"/>
  <c r="R45" i="5302"/>
  <c r="R46" i="5302"/>
  <c r="R47" i="5302"/>
  <c r="R48" i="5302"/>
  <c r="R49" i="5302"/>
  <c r="R50" i="5302"/>
  <c r="R51" i="5302"/>
  <c r="R52" i="5302"/>
  <c r="R53" i="5302"/>
  <c r="R54" i="5302"/>
  <c r="Q2" i="5307"/>
  <c r="Q3" i="5307"/>
  <c r="Q4" i="5307"/>
  <c r="Q5" i="5307"/>
  <c r="Q6" i="5307"/>
  <c r="Q7" i="5307"/>
  <c r="Q8" i="5307"/>
  <c r="Q9" i="5307"/>
  <c r="Q10" i="5307"/>
  <c r="Q11" i="5307"/>
  <c r="Q12" i="5307"/>
  <c r="Q13" i="5307"/>
  <c r="Q14" i="5307"/>
  <c r="Q15" i="5307"/>
  <c r="Q16" i="5307"/>
  <c r="Q17" i="5307"/>
  <c r="Q18" i="5307"/>
  <c r="Q19" i="5307"/>
  <c r="Q20" i="5307"/>
  <c r="Q21" i="5307"/>
  <c r="Q22" i="5307"/>
  <c r="Q23" i="5307"/>
  <c r="Q24" i="5307"/>
  <c r="Q25" i="5307"/>
  <c r="Q26" i="5307"/>
  <c r="Q27" i="5307"/>
  <c r="Q28" i="5307"/>
  <c r="Q29" i="5307"/>
  <c r="Q30" i="5307"/>
  <c r="Q31" i="5307"/>
  <c r="Q32" i="5307"/>
  <c r="Q33" i="5307"/>
  <c r="Q34" i="5307"/>
  <c r="Q35" i="5307"/>
  <c r="Q36" i="5307"/>
  <c r="Q37" i="5307"/>
  <c r="Q38" i="5307"/>
  <c r="Q39" i="5307"/>
  <c r="Q40" i="5307"/>
  <c r="Q41" i="5307"/>
  <c r="Q42" i="5307"/>
  <c r="Q43" i="5307"/>
  <c r="Q44" i="5307"/>
  <c r="Q45" i="5307"/>
  <c r="Q46" i="5307"/>
  <c r="Q47" i="5307"/>
  <c r="Q48" i="5307"/>
  <c r="Q49" i="5307"/>
  <c r="Q50" i="5307"/>
  <c r="Q51" i="5307"/>
  <c r="Q52" i="5307"/>
  <c r="Q53" i="5307"/>
  <c r="Q54" i="5307"/>
  <c r="Q2" i="5306"/>
  <c r="Q3" i="5306"/>
  <c r="Q4" i="5306"/>
  <c r="Q5" i="5306"/>
  <c r="Q6" i="5306"/>
  <c r="Q7" i="5306"/>
  <c r="Q8" i="5306"/>
  <c r="Q9" i="5306"/>
  <c r="Q10" i="5306"/>
  <c r="Q11" i="5306"/>
  <c r="Q12" i="5306"/>
  <c r="Q13" i="5306"/>
  <c r="Q14" i="5306"/>
  <c r="Q15" i="5306"/>
  <c r="Q16" i="5306"/>
  <c r="Q17" i="5306"/>
  <c r="Q18" i="5306"/>
  <c r="Q19" i="5306"/>
  <c r="Q20" i="5306"/>
  <c r="Q21" i="5306"/>
  <c r="Q22" i="5306"/>
  <c r="Q23" i="5306"/>
  <c r="Q24" i="5306"/>
  <c r="Q25" i="5306"/>
  <c r="Q26" i="5306"/>
  <c r="Q27" i="5306"/>
  <c r="Q28" i="5306"/>
  <c r="Q29" i="5306"/>
  <c r="Q30" i="5306"/>
  <c r="Q31" i="5306"/>
  <c r="Q32" i="5306"/>
  <c r="Q33" i="5306"/>
  <c r="Q34" i="5306"/>
  <c r="Q35" i="5306"/>
  <c r="Q36" i="5306"/>
  <c r="Q37" i="5306"/>
  <c r="Q38" i="5306"/>
  <c r="Q39" i="5306"/>
  <c r="Q40" i="5306"/>
  <c r="Q41" i="5306"/>
  <c r="Q42" i="5306"/>
  <c r="Q43" i="5306"/>
  <c r="Q44" i="5306"/>
  <c r="Q45" i="5306"/>
  <c r="Q46" i="5306"/>
  <c r="Q47" i="5306"/>
  <c r="Q48" i="5306"/>
  <c r="Q49" i="5306"/>
  <c r="Q50" i="5306"/>
  <c r="Q51" i="5306"/>
  <c r="Q52" i="5306"/>
  <c r="Q53" i="5306"/>
  <c r="Q54" i="5306"/>
  <c r="Q2" i="5305"/>
  <c r="Q3" i="5305"/>
  <c r="Q4" i="5305"/>
  <c r="Q5" i="5305"/>
  <c r="Q6" i="5305"/>
  <c r="Q7" i="5305"/>
  <c r="Q8" i="5305"/>
  <c r="Q9" i="5305"/>
  <c r="Q10" i="5305"/>
  <c r="Q11" i="5305"/>
  <c r="Q12" i="5305"/>
  <c r="Q13" i="5305"/>
  <c r="Q14" i="5305"/>
  <c r="Q15" i="5305"/>
  <c r="Q16" i="5305"/>
  <c r="Q17" i="5305"/>
  <c r="Q18" i="5305"/>
  <c r="Q19" i="5305"/>
  <c r="Q20" i="5305"/>
  <c r="Q21" i="5305"/>
  <c r="Q22" i="5305"/>
  <c r="Q23" i="5305"/>
  <c r="Q24" i="5305"/>
  <c r="Q25" i="5305"/>
  <c r="Q26" i="5305"/>
  <c r="Q27" i="5305"/>
  <c r="Q28" i="5305"/>
  <c r="Q29" i="5305"/>
  <c r="Q30" i="5305"/>
  <c r="Q31" i="5305"/>
  <c r="Q32" i="5305"/>
  <c r="Q33" i="5305"/>
  <c r="Q34" i="5305"/>
  <c r="Q35" i="5305"/>
  <c r="Q36" i="5305"/>
  <c r="Q37" i="5305"/>
  <c r="Q38" i="5305"/>
  <c r="Q39" i="5305"/>
  <c r="Q40" i="5305"/>
  <c r="Q41" i="5305"/>
  <c r="Q42" i="5305"/>
  <c r="Q43" i="5305"/>
  <c r="Q44" i="5305"/>
  <c r="Q45" i="5305"/>
  <c r="Q46" i="5305"/>
  <c r="Q47" i="5305"/>
  <c r="Q48" i="5305"/>
  <c r="Q49" i="5305"/>
  <c r="Q50" i="5305"/>
  <c r="Q51" i="5305"/>
  <c r="Q52" i="5305"/>
  <c r="Q53" i="5305"/>
  <c r="Q54" i="5305"/>
  <c r="Q2" i="5304"/>
  <c r="Q3" i="5304"/>
  <c r="Q4" i="5304"/>
  <c r="Q5" i="5304"/>
  <c r="Q6" i="5304"/>
  <c r="Q7" i="5304"/>
  <c r="Q8" i="5304"/>
  <c r="Q9" i="5304"/>
  <c r="Q10" i="5304"/>
  <c r="Q11" i="5304"/>
  <c r="Q12" i="5304"/>
  <c r="Q13" i="5304"/>
  <c r="Q14" i="5304"/>
  <c r="Q15" i="5304"/>
  <c r="Q16" i="5304"/>
  <c r="Q17" i="5304"/>
  <c r="Q18" i="5304"/>
  <c r="Q19" i="5304"/>
  <c r="Q20" i="5304"/>
  <c r="Q21" i="5304"/>
  <c r="Q22" i="5304"/>
  <c r="Q23" i="5304"/>
  <c r="Q24" i="5304"/>
  <c r="Q25" i="5304"/>
  <c r="Q26" i="5304"/>
  <c r="Q27" i="5304"/>
  <c r="Q28" i="5304"/>
  <c r="Q29" i="5304"/>
  <c r="Q30" i="5304"/>
  <c r="Q31" i="5304"/>
  <c r="Q32" i="5304"/>
  <c r="Q33" i="5304"/>
  <c r="Q34" i="5304"/>
  <c r="Q35" i="5304"/>
  <c r="Q36" i="5304"/>
  <c r="Q37" i="5304"/>
  <c r="Q38" i="5304"/>
  <c r="Q39" i="5304"/>
  <c r="Q40" i="5304"/>
  <c r="Q41" i="5304"/>
  <c r="Q42" i="5304"/>
  <c r="Q43" i="5304"/>
  <c r="Q44" i="5304"/>
  <c r="Q45" i="5304"/>
  <c r="Q46" i="5304"/>
  <c r="Q47" i="5304"/>
  <c r="Q48" i="5304"/>
  <c r="Q49" i="5304"/>
  <c r="Q50" i="5304"/>
  <c r="Q51" i="5304"/>
  <c r="Q52" i="5304"/>
  <c r="Q53" i="5304"/>
  <c r="Q54" i="5304"/>
  <c r="Q2" i="5303"/>
  <c r="Q3" i="5303"/>
  <c r="Q4" i="5303"/>
  <c r="Q5" i="5303"/>
  <c r="Q6" i="5303"/>
  <c r="Q7" i="5303"/>
  <c r="Q8" i="5303"/>
  <c r="Q9" i="5303"/>
  <c r="Q10" i="5303"/>
  <c r="Q11" i="5303"/>
  <c r="Q12" i="5303"/>
  <c r="Q13" i="5303"/>
  <c r="Q14" i="5303"/>
  <c r="Q15" i="5303"/>
  <c r="Q16" i="5303"/>
  <c r="Q17" i="5303"/>
  <c r="Q18" i="5303"/>
  <c r="Q19" i="5303"/>
  <c r="Q20" i="5303"/>
  <c r="Q21" i="5303"/>
  <c r="Q22" i="5303"/>
  <c r="Q23" i="5303"/>
  <c r="Q24" i="5303"/>
  <c r="Q25" i="5303"/>
  <c r="Q26" i="5303"/>
  <c r="Q27" i="5303"/>
  <c r="Q28" i="5303"/>
  <c r="Q29" i="5303"/>
  <c r="Q30" i="5303"/>
  <c r="Q31" i="5303"/>
  <c r="Q32" i="5303"/>
  <c r="Q33" i="5303"/>
  <c r="Q34" i="5303"/>
  <c r="Q35" i="5303"/>
  <c r="Q36" i="5303"/>
  <c r="Q37" i="5303"/>
  <c r="Q38" i="5303"/>
  <c r="Q39" i="5303"/>
  <c r="Q40" i="5303"/>
  <c r="Q41" i="5303"/>
  <c r="Q42" i="5303"/>
  <c r="Q43" i="5303"/>
  <c r="Q44" i="5303"/>
  <c r="Q45" i="5303"/>
  <c r="Q46" i="5303"/>
  <c r="Q47" i="5303"/>
  <c r="Q48" i="5303"/>
  <c r="Q49" i="5303"/>
  <c r="Q50" i="5303"/>
  <c r="Q51" i="5303"/>
  <c r="Q52" i="5303"/>
  <c r="Q53" i="5303"/>
  <c r="Q54" i="5303"/>
  <c r="Q2" i="5302"/>
  <c r="Q3" i="5302"/>
  <c r="Q4" i="5302"/>
  <c r="Q5" i="5302"/>
  <c r="Q6" i="5302"/>
  <c r="Q7" i="5302"/>
  <c r="Q8" i="5302"/>
  <c r="Q9" i="5302"/>
  <c r="Q10" i="5302"/>
  <c r="Q11" i="5302"/>
  <c r="Q12" i="5302"/>
  <c r="Q13" i="5302"/>
  <c r="Q14" i="5302"/>
  <c r="Q15" i="5302"/>
  <c r="Q16" i="5302"/>
  <c r="Q17" i="5302"/>
  <c r="Q18" i="5302"/>
  <c r="Q19" i="5302"/>
  <c r="Q20" i="5302"/>
  <c r="Q21" i="5302"/>
  <c r="Q22" i="5302"/>
  <c r="Q23" i="5302"/>
  <c r="Q24" i="5302"/>
  <c r="Q25" i="5302"/>
  <c r="Q26" i="5302"/>
  <c r="Q27" i="5302"/>
  <c r="Q28" i="5302"/>
  <c r="Q29" i="5302"/>
  <c r="Q30" i="5302"/>
  <c r="Q31" i="5302"/>
  <c r="Q32" i="5302"/>
  <c r="Q33" i="5302"/>
  <c r="Q34" i="5302"/>
  <c r="Q35" i="5302"/>
  <c r="Q36" i="5302"/>
  <c r="Q37" i="5302"/>
  <c r="Q38" i="5302"/>
  <c r="Q39" i="5302"/>
  <c r="Q40" i="5302"/>
  <c r="Q41" i="5302"/>
  <c r="Q42" i="5302"/>
  <c r="Q43" i="5302"/>
  <c r="Q44" i="5302"/>
  <c r="Q45" i="5302"/>
  <c r="Q46" i="5302"/>
  <c r="Q47" i="5302"/>
  <c r="Q48" i="5302"/>
  <c r="Q49" i="5302"/>
  <c r="Q50" i="5302"/>
  <c r="Q51" i="5302"/>
  <c r="Q52" i="5302"/>
  <c r="Q53" i="5302"/>
  <c r="Q54" i="5302"/>
  <c r="P2" i="5307"/>
  <c r="P3" i="5307"/>
  <c r="P4" i="5307"/>
  <c r="P5" i="5307"/>
  <c r="P6" i="5307"/>
  <c r="P7" i="5307"/>
  <c r="P8" i="5307"/>
  <c r="P9" i="5307"/>
  <c r="P10" i="5307"/>
  <c r="P11" i="5307"/>
  <c r="P12" i="5307"/>
  <c r="P13" i="5307"/>
  <c r="P14" i="5307"/>
  <c r="P15" i="5307"/>
  <c r="P16" i="5307"/>
  <c r="P17" i="5307"/>
  <c r="P18" i="5307"/>
  <c r="P19" i="5307"/>
  <c r="P20" i="5307"/>
  <c r="P21" i="5307"/>
  <c r="P22" i="5307"/>
  <c r="P23" i="5307"/>
  <c r="P24" i="5307"/>
  <c r="P25" i="5307"/>
  <c r="P26" i="5307"/>
  <c r="P27" i="5307"/>
  <c r="P28" i="5307"/>
  <c r="P29" i="5307"/>
  <c r="P30" i="5307"/>
  <c r="P31" i="5307"/>
  <c r="P32" i="5307"/>
  <c r="P33" i="5307"/>
  <c r="P34" i="5307"/>
  <c r="P35" i="5307"/>
  <c r="P36" i="5307"/>
  <c r="P37" i="5307"/>
  <c r="P38" i="5307"/>
  <c r="P39" i="5307"/>
  <c r="P40" i="5307"/>
  <c r="P41" i="5307"/>
  <c r="P42" i="5307"/>
  <c r="P43" i="5307"/>
  <c r="P44" i="5307"/>
  <c r="P45" i="5307"/>
  <c r="P46" i="5307"/>
  <c r="P47" i="5307"/>
  <c r="P48" i="5307"/>
  <c r="P49" i="5307"/>
  <c r="P50" i="5307"/>
  <c r="P51" i="5307"/>
  <c r="P52" i="5307"/>
  <c r="P53" i="5307"/>
  <c r="P54" i="5307"/>
  <c r="P2" i="5306"/>
  <c r="P3" i="5306"/>
  <c r="P4" i="5306"/>
  <c r="P5" i="5306"/>
  <c r="P6" i="5306"/>
  <c r="P7" i="5306"/>
  <c r="P8" i="5306"/>
  <c r="P9" i="5306"/>
  <c r="P10" i="5306"/>
  <c r="P11" i="5306"/>
  <c r="P12" i="5306"/>
  <c r="P13" i="5306"/>
  <c r="P14" i="5306"/>
  <c r="P15" i="5306"/>
  <c r="P16" i="5306"/>
  <c r="P17" i="5306"/>
  <c r="P18" i="5306"/>
  <c r="P19" i="5306"/>
  <c r="P20" i="5306"/>
  <c r="P21" i="5306"/>
  <c r="P22" i="5306"/>
  <c r="P23" i="5306"/>
  <c r="P24" i="5306"/>
  <c r="P25" i="5306"/>
  <c r="P26" i="5306"/>
  <c r="P27" i="5306"/>
  <c r="P28" i="5306"/>
  <c r="P29" i="5306"/>
  <c r="P30" i="5306"/>
  <c r="P31" i="5306"/>
  <c r="P32" i="5306"/>
  <c r="P33" i="5306"/>
  <c r="P34" i="5306"/>
  <c r="P35" i="5306"/>
  <c r="P36" i="5306"/>
  <c r="P37" i="5306"/>
  <c r="P38" i="5306"/>
  <c r="P39" i="5306"/>
  <c r="P40" i="5306"/>
  <c r="P41" i="5306"/>
  <c r="P42" i="5306"/>
  <c r="P43" i="5306"/>
  <c r="P44" i="5306"/>
  <c r="P45" i="5306"/>
  <c r="P46" i="5306"/>
  <c r="P47" i="5306"/>
  <c r="P48" i="5306"/>
  <c r="P49" i="5306"/>
  <c r="P50" i="5306"/>
  <c r="P51" i="5306"/>
  <c r="P52" i="5306"/>
  <c r="P53" i="5306"/>
  <c r="P54" i="5306"/>
  <c r="P2" i="5305"/>
  <c r="P3" i="5305"/>
  <c r="P4" i="5305"/>
  <c r="P5" i="5305"/>
  <c r="P6" i="5305"/>
  <c r="P7" i="5305"/>
  <c r="P8" i="5305"/>
  <c r="P9" i="5305"/>
  <c r="P10" i="5305"/>
  <c r="P11" i="5305"/>
  <c r="P12" i="5305"/>
  <c r="P13" i="5305"/>
  <c r="P14" i="5305"/>
  <c r="P15" i="5305"/>
  <c r="P16" i="5305"/>
  <c r="P17" i="5305"/>
  <c r="P18" i="5305"/>
  <c r="P19" i="5305"/>
  <c r="P20" i="5305"/>
  <c r="P21" i="5305"/>
  <c r="P22" i="5305"/>
  <c r="P23" i="5305"/>
  <c r="P24" i="5305"/>
  <c r="P25" i="5305"/>
  <c r="P26" i="5305"/>
  <c r="P27" i="5305"/>
  <c r="P28" i="5305"/>
  <c r="P29" i="5305"/>
  <c r="P30" i="5305"/>
  <c r="P31" i="5305"/>
  <c r="P32" i="5305"/>
  <c r="P33" i="5305"/>
  <c r="P34" i="5305"/>
  <c r="P35" i="5305"/>
  <c r="P36" i="5305"/>
  <c r="P37" i="5305"/>
  <c r="P38" i="5305"/>
  <c r="P39" i="5305"/>
  <c r="P40" i="5305"/>
  <c r="P41" i="5305"/>
  <c r="P42" i="5305"/>
  <c r="P43" i="5305"/>
  <c r="P44" i="5305"/>
  <c r="P45" i="5305"/>
  <c r="P46" i="5305"/>
  <c r="P47" i="5305"/>
  <c r="P48" i="5305"/>
  <c r="P49" i="5305"/>
  <c r="P50" i="5305"/>
  <c r="P51" i="5305"/>
  <c r="P52" i="5305"/>
  <c r="P53" i="5305"/>
  <c r="P54" i="5305"/>
  <c r="P2" i="5304"/>
  <c r="P3" i="5304"/>
  <c r="P4" i="5304"/>
  <c r="P5" i="5304"/>
  <c r="P6" i="5304"/>
  <c r="P7" i="5304"/>
  <c r="P8" i="5304"/>
  <c r="P9" i="5304"/>
  <c r="P10" i="5304"/>
  <c r="P11" i="5304"/>
  <c r="P12" i="5304"/>
  <c r="P13" i="5304"/>
  <c r="P14" i="5304"/>
  <c r="P15" i="5304"/>
  <c r="P16" i="5304"/>
  <c r="P17" i="5304"/>
  <c r="P18" i="5304"/>
  <c r="P19" i="5304"/>
  <c r="P20" i="5304"/>
  <c r="P21" i="5304"/>
  <c r="P22" i="5304"/>
  <c r="P23" i="5304"/>
  <c r="P24" i="5304"/>
  <c r="P25" i="5304"/>
  <c r="P26" i="5304"/>
  <c r="P27" i="5304"/>
  <c r="P28" i="5304"/>
  <c r="P29" i="5304"/>
  <c r="P30" i="5304"/>
  <c r="P31" i="5304"/>
  <c r="P32" i="5304"/>
  <c r="P33" i="5304"/>
  <c r="P34" i="5304"/>
  <c r="P35" i="5304"/>
  <c r="P36" i="5304"/>
  <c r="P37" i="5304"/>
  <c r="P38" i="5304"/>
  <c r="P39" i="5304"/>
  <c r="P40" i="5304"/>
  <c r="P41" i="5304"/>
  <c r="P42" i="5304"/>
  <c r="P43" i="5304"/>
  <c r="P44" i="5304"/>
  <c r="P45" i="5304"/>
  <c r="P46" i="5304"/>
  <c r="P47" i="5304"/>
  <c r="P48" i="5304"/>
  <c r="P49" i="5304"/>
  <c r="P50" i="5304"/>
  <c r="P51" i="5304"/>
  <c r="P52" i="5304"/>
  <c r="P53" i="5304"/>
  <c r="P54" i="5304"/>
  <c r="P2" i="5303"/>
  <c r="P3" i="5303"/>
  <c r="P4" i="5303"/>
  <c r="P5" i="5303"/>
  <c r="P6" i="5303"/>
  <c r="P7" i="5303"/>
  <c r="P8" i="5303"/>
  <c r="P9" i="5303"/>
  <c r="P10" i="5303"/>
  <c r="P11" i="5303"/>
  <c r="P12" i="5303"/>
  <c r="P13" i="5303"/>
  <c r="P14" i="5303"/>
  <c r="P15" i="5303"/>
  <c r="P16" i="5303"/>
  <c r="P17" i="5303"/>
  <c r="P18" i="5303"/>
  <c r="P19" i="5303"/>
  <c r="P20" i="5303"/>
  <c r="P21" i="5303"/>
  <c r="P22" i="5303"/>
  <c r="P23" i="5303"/>
  <c r="P24" i="5303"/>
  <c r="P25" i="5303"/>
  <c r="P26" i="5303"/>
  <c r="P27" i="5303"/>
  <c r="P28" i="5303"/>
  <c r="P29" i="5303"/>
  <c r="P30" i="5303"/>
  <c r="P31" i="5303"/>
  <c r="P32" i="5303"/>
  <c r="P33" i="5303"/>
  <c r="P34" i="5303"/>
  <c r="P35" i="5303"/>
  <c r="P36" i="5303"/>
  <c r="P37" i="5303"/>
  <c r="P38" i="5303"/>
  <c r="P39" i="5303"/>
  <c r="P40" i="5303"/>
  <c r="P41" i="5303"/>
  <c r="P42" i="5303"/>
  <c r="P43" i="5303"/>
  <c r="P44" i="5303"/>
  <c r="P45" i="5303"/>
  <c r="P46" i="5303"/>
  <c r="P47" i="5303"/>
  <c r="P48" i="5303"/>
  <c r="P49" i="5303"/>
  <c r="P50" i="5303"/>
  <c r="P51" i="5303"/>
  <c r="P52" i="5303"/>
  <c r="P53" i="5303"/>
  <c r="P54" i="5303"/>
  <c r="P2" i="5302"/>
  <c r="P3" i="5302"/>
  <c r="P4" i="5302"/>
  <c r="P5" i="5302"/>
  <c r="P6" i="5302"/>
  <c r="P7" i="5302"/>
  <c r="P8" i="5302"/>
  <c r="P9" i="5302"/>
  <c r="P10" i="5302"/>
  <c r="P11" i="5302"/>
  <c r="P12" i="5302"/>
  <c r="P13" i="5302"/>
  <c r="P14" i="5302"/>
  <c r="P15" i="5302"/>
  <c r="P16" i="5302"/>
  <c r="P17" i="5302"/>
  <c r="P18" i="5302"/>
  <c r="P19" i="5302"/>
  <c r="P20" i="5302"/>
  <c r="P21" i="5302"/>
  <c r="P22" i="5302"/>
  <c r="P23" i="5302"/>
  <c r="P24" i="5302"/>
  <c r="P25" i="5302"/>
  <c r="P26" i="5302"/>
  <c r="P27" i="5302"/>
  <c r="P28" i="5302"/>
  <c r="P29" i="5302"/>
  <c r="P30" i="5302"/>
  <c r="P31" i="5302"/>
  <c r="P32" i="5302"/>
  <c r="P33" i="5302"/>
  <c r="P34" i="5302"/>
  <c r="P35" i="5302"/>
  <c r="P36" i="5302"/>
  <c r="P37" i="5302"/>
  <c r="P38" i="5302"/>
  <c r="P39" i="5302"/>
  <c r="P40" i="5302"/>
  <c r="P41" i="5302"/>
  <c r="P42" i="5302"/>
  <c r="P43" i="5302"/>
  <c r="P44" i="5302"/>
  <c r="P45" i="5302"/>
  <c r="P46" i="5302"/>
  <c r="P47" i="5302"/>
  <c r="P48" i="5302"/>
  <c r="P49" i="5302"/>
  <c r="P50" i="5302"/>
  <c r="P51" i="5302"/>
  <c r="P52" i="5302"/>
  <c r="P53" i="5302"/>
  <c r="P54" i="5302"/>
  <c r="O2" i="5307"/>
  <c r="O3" i="5307"/>
  <c r="O4" i="5307"/>
  <c r="O5" i="5307"/>
  <c r="O6" i="5307"/>
  <c r="O7" i="5307"/>
  <c r="O8" i="5307"/>
  <c r="O9" i="5307"/>
  <c r="O10" i="5307"/>
  <c r="O11" i="5307"/>
  <c r="O12" i="5307"/>
  <c r="O13" i="5307"/>
  <c r="O14" i="5307"/>
  <c r="O15" i="5307"/>
  <c r="O16" i="5307"/>
  <c r="O17" i="5307"/>
  <c r="O18" i="5307"/>
  <c r="O19" i="5307"/>
  <c r="O20" i="5307"/>
  <c r="O21" i="5307"/>
  <c r="O22" i="5307"/>
  <c r="O23" i="5307"/>
  <c r="O24" i="5307"/>
  <c r="O25" i="5307"/>
  <c r="O26" i="5307"/>
  <c r="O27" i="5307"/>
  <c r="O28" i="5307"/>
  <c r="O29" i="5307"/>
  <c r="O30" i="5307"/>
  <c r="O31" i="5307"/>
  <c r="O32" i="5307"/>
  <c r="O33" i="5307"/>
  <c r="O34" i="5307"/>
  <c r="O35" i="5307"/>
  <c r="O36" i="5307"/>
  <c r="O37" i="5307"/>
  <c r="O38" i="5307"/>
  <c r="O39" i="5307"/>
  <c r="O40" i="5307"/>
  <c r="O41" i="5307"/>
  <c r="O42" i="5307"/>
  <c r="O43" i="5307"/>
  <c r="O44" i="5307"/>
  <c r="O45" i="5307"/>
  <c r="O46" i="5307"/>
  <c r="O47" i="5307"/>
  <c r="O48" i="5307"/>
  <c r="O49" i="5307"/>
  <c r="O50" i="5307"/>
  <c r="O51" i="5307"/>
  <c r="O52" i="5307"/>
  <c r="O53" i="5307"/>
  <c r="O54" i="5307"/>
  <c r="O2" i="5306"/>
  <c r="O3" i="5306"/>
  <c r="O4" i="5306"/>
  <c r="O5" i="5306"/>
  <c r="O6" i="5306"/>
  <c r="O7" i="5306"/>
  <c r="O8" i="5306"/>
  <c r="O9" i="5306"/>
  <c r="O10" i="5306"/>
  <c r="O11" i="5306"/>
  <c r="O12" i="5306"/>
  <c r="O13" i="5306"/>
  <c r="O14" i="5306"/>
  <c r="O15" i="5306"/>
  <c r="O16" i="5306"/>
  <c r="O17" i="5306"/>
  <c r="O18" i="5306"/>
  <c r="O19" i="5306"/>
  <c r="O20" i="5306"/>
  <c r="O21" i="5306"/>
  <c r="O22" i="5306"/>
  <c r="O23" i="5306"/>
  <c r="O24" i="5306"/>
  <c r="O25" i="5306"/>
  <c r="O26" i="5306"/>
  <c r="O27" i="5306"/>
  <c r="O28" i="5306"/>
  <c r="O29" i="5306"/>
  <c r="O30" i="5306"/>
  <c r="O31" i="5306"/>
  <c r="O32" i="5306"/>
  <c r="O33" i="5306"/>
  <c r="O34" i="5306"/>
  <c r="O35" i="5306"/>
  <c r="O36" i="5306"/>
  <c r="O37" i="5306"/>
  <c r="O38" i="5306"/>
  <c r="O39" i="5306"/>
  <c r="O40" i="5306"/>
  <c r="O41" i="5306"/>
  <c r="O42" i="5306"/>
  <c r="O43" i="5306"/>
  <c r="O44" i="5306"/>
  <c r="O45" i="5306"/>
  <c r="O46" i="5306"/>
  <c r="O47" i="5306"/>
  <c r="O48" i="5306"/>
  <c r="O49" i="5306"/>
  <c r="O50" i="5306"/>
  <c r="O51" i="5306"/>
  <c r="O52" i="5306"/>
  <c r="O53" i="5306"/>
  <c r="O54" i="5306"/>
  <c r="O2" i="5305"/>
  <c r="O3" i="5305"/>
  <c r="O4" i="5305"/>
  <c r="O5" i="5305"/>
  <c r="O6" i="5305"/>
  <c r="O7" i="5305"/>
  <c r="O8" i="5305"/>
  <c r="O9" i="5305"/>
  <c r="O10" i="5305"/>
  <c r="O11" i="5305"/>
  <c r="O12" i="5305"/>
  <c r="O13" i="5305"/>
  <c r="O14" i="5305"/>
  <c r="O15" i="5305"/>
  <c r="O16" i="5305"/>
  <c r="O17" i="5305"/>
  <c r="O18" i="5305"/>
  <c r="O19" i="5305"/>
  <c r="O20" i="5305"/>
  <c r="O21" i="5305"/>
  <c r="O22" i="5305"/>
  <c r="O23" i="5305"/>
  <c r="O24" i="5305"/>
  <c r="O25" i="5305"/>
  <c r="O26" i="5305"/>
  <c r="O27" i="5305"/>
  <c r="O28" i="5305"/>
  <c r="O29" i="5305"/>
  <c r="O30" i="5305"/>
  <c r="O31" i="5305"/>
  <c r="O32" i="5305"/>
  <c r="O33" i="5305"/>
  <c r="O34" i="5305"/>
  <c r="O35" i="5305"/>
  <c r="O36" i="5305"/>
  <c r="O37" i="5305"/>
  <c r="O38" i="5305"/>
  <c r="O39" i="5305"/>
  <c r="O40" i="5305"/>
  <c r="O41" i="5305"/>
  <c r="O42" i="5305"/>
  <c r="O43" i="5305"/>
  <c r="O44" i="5305"/>
  <c r="O45" i="5305"/>
  <c r="O46" i="5305"/>
  <c r="O47" i="5305"/>
  <c r="O48" i="5305"/>
  <c r="O49" i="5305"/>
  <c r="O50" i="5305"/>
  <c r="O51" i="5305"/>
  <c r="O52" i="5305"/>
  <c r="O53" i="5305"/>
  <c r="O54" i="5305"/>
  <c r="O2" i="5304"/>
  <c r="O3" i="5304"/>
  <c r="O4" i="5304"/>
  <c r="O5" i="5304"/>
  <c r="O6" i="5304"/>
  <c r="O7" i="5304"/>
  <c r="O8" i="5304"/>
  <c r="O9" i="5304"/>
  <c r="O10" i="5304"/>
  <c r="O11" i="5304"/>
  <c r="O12" i="5304"/>
  <c r="O13" i="5304"/>
  <c r="O14" i="5304"/>
  <c r="O15" i="5304"/>
  <c r="O16" i="5304"/>
  <c r="O17" i="5304"/>
  <c r="O18" i="5304"/>
  <c r="O19" i="5304"/>
  <c r="O20" i="5304"/>
  <c r="O21" i="5304"/>
  <c r="O22" i="5304"/>
  <c r="O23" i="5304"/>
  <c r="O24" i="5304"/>
  <c r="O25" i="5304"/>
  <c r="O26" i="5304"/>
  <c r="O27" i="5304"/>
  <c r="O28" i="5304"/>
  <c r="O29" i="5304"/>
  <c r="O30" i="5304"/>
  <c r="O31" i="5304"/>
  <c r="O32" i="5304"/>
  <c r="O33" i="5304"/>
  <c r="O34" i="5304"/>
  <c r="O35" i="5304"/>
  <c r="O36" i="5304"/>
  <c r="O37" i="5304"/>
  <c r="O38" i="5304"/>
  <c r="O39" i="5304"/>
  <c r="O40" i="5304"/>
  <c r="O41" i="5304"/>
  <c r="O42" i="5304"/>
  <c r="O43" i="5304"/>
  <c r="O44" i="5304"/>
  <c r="O45" i="5304"/>
  <c r="O46" i="5304"/>
  <c r="O47" i="5304"/>
  <c r="O48" i="5304"/>
  <c r="O49" i="5304"/>
  <c r="O50" i="5304"/>
  <c r="O51" i="5304"/>
  <c r="O52" i="5304"/>
  <c r="O53" i="5304"/>
  <c r="O54" i="5304"/>
  <c r="O2" i="5303"/>
  <c r="O3" i="5303"/>
  <c r="O4" i="5303"/>
  <c r="O5" i="5303"/>
  <c r="O6" i="5303"/>
  <c r="O7" i="5303"/>
  <c r="O8" i="5303"/>
  <c r="O9" i="5303"/>
  <c r="O10" i="5303"/>
  <c r="O11" i="5303"/>
  <c r="O12" i="5303"/>
  <c r="O13" i="5303"/>
  <c r="O14" i="5303"/>
  <c r="O15" i="5303"/>
  <c r="O16" i="5303"/>
  <c r="O17" i="5303"/>
  <c r="O18" i="5303"/>
  <c r="O19" i="5303"/>
  <c r="O20" i="5303"/>
  <c r="O21" i="5303"/>
  <c r="O22" i="5303"/>
  <c r="O23" i="5303"/>
  <c r="O24" i="5303"/>
  <c r="O25" i="5303"/>
  <c r="O26" i="5303"/>
  <c r="O27" i="5303"/>
  <c r="O28" i="5303"/>
  <c r="O29" i="5303"/>
  <c r="O30" i="5303"/>
  <c r="O31" i="5303"/>
  <c r="O32" i="5303"/>
  <c r="O33" i="5303"/>
  <c r="O34" i="5303"/>
  <c r="O35" i="5303"/>
  <c r="O36" i="5303"/>
  <c r="O37" i="5303"/>
  <c r="O38" i="5303"/>
  <c r="O39" i="5303"/>
  <c r="O40" i="5303"/>
  <c r="O41" i="5303"/>
  <c r="O42" i="5303"/>
  <c r="O43" i="5303"/>
  <c r="O44" i="5303"/>
  <c r="O45" i="5303"/>
  <c r="O46" i="5303"/>
  <c r="O47" i="5303"/>
  <c r="O48" i="5303"/>
  <c r="O49" i="5303"/>
  <c r="O50" i="5303"/>
  <c r="O51" i="5303"/>
  <c r="O52" i="5303"/>
  <c r="O53" i="5303"/>
  <c r="O54" i="5303"/>
  <c r="O2" i="5302"/>
  <c r="O3" i="5302"/>
  <c r="O4" i="5302"/>
  <c r="O5" i="5302"/>
  <c r="O6" i="5302"/>
  <c r="O7" i="5302"/>
  <c r="O8" i="5302"/>
  <c r="O9" i="5302"/>
  <c r="O10" i="5302"/>
  <c r="O11" i="5302"/>
  <c r="O12" i="5302"/>
  <c r="O13" i="5302"/>
  <c r="O14" i="5302"/>
  <c r="O15" i="5302"/>
  <c r="O16" i="5302"/>
  <c r="O17" i="5302"/>
  <c r="O18" i="5302"/>
  <c r="O19" i="5302"/>
  <c r="O20" i="5302"/>
  <c r="O21" i="5302"/>
  <c r="O22" i="5302"/>
  <c r="O23" i="5302"/>
  <c r="O24" i="5302"/>
  <c r="O25" i="5302"/>
  <c r="O26" i="5302"/>
  <c r="O27" i="5302"/>
  <c r="O28" i="5302"/>
  <c r="O29" i="5302"/>
  <c r="O30" i="5302"/>
  <c r="O31" i="5302"/>
  <c r="O32" i="5302"/>
  <c r="O33" i="5302"/>
  <c r="O34" i="5302"/>
  <c r="O35" i="5302"/>
  <c r="O36" i="5302"/>
  <c r="O37" i="5302"/>
  <c r="O38" i="5302"/>
  <c r="O39" i="5302"/>
  <c r="O40" i="5302"/>
  <c r="O41" i="5302"/>
  <c r="O42" i="5302"/>
  <c r="O43" i="5302"/>
  <c r="O44" i="5302"/>
  <c r="O45" i="5302"/>
  <c r="O46" i="5302"/>
  <c r="O47" i="5302"/>
  <c r="O48" i="5302"/>
  <c r="O49" i="5302"/>
  <c r="O50" i="5302"/>
  <c r="O51" i="5302"/>
  <c r="O52" i="5302"/>
  <c r="O53" i="5302"/>
  <c r="O54" i="5302"/>
  <c r="N2" i="5307"/>
  <c r="N3" i="5307"/>
  <c r="N4" i="5307"/>
  <c r="N5" i="5307"/>
  <c r="N6" i="5307"/>
  <c r="N7" i="5307"/>
  <c r="N8" i="5307"/>
  <c r="N9" i="5307"/>
  <c r="N10" i="5307"/>
  <c r="N11" i="5307"/>
  <c r="N12" i="5307"/>
  <c r="N13" i="5307"/>
  <c r="N14" i="5307"/>
  <c r="N15" i="5307"/>
  <c r="N16" i="5307"/>
  <c r="N17" i="5307"/>
  <c r="N18" i="5307"/>
  <c r="N19" i="5307"/>
  <c r="N20" i="5307"/>
  <c r="N21" i="5307"/>
  <c r="N22" i="5307"/>
  <c r="N23" i="5307"/>
  <c r="N24" i="5307"/>
  <c r="N25" i="5307"/>
  <c r="N26" i="5307"/>
  <c r="N27" i="5307"/>
  <c r="N28" i="5307"/>
  <c r="N29" i="5307"/>
  <c r="N30" i="5307"/>
  <c r="N31" i="5307"/>
  <c r="N32" i="5307"/>
  <c r="N33" i="5307"/>
  <c r="N34" i="5307"/>
  <c r="N35" i="5307"/>
  <c r="N36" i="5307"/>
  <c r="N37" i="5307"/>
  <c r="N38" i="5307"/>
  <c r="N39" i="5307"/>
  <c r="N40" i="5307"/>
  <c r="N41" i="5307"/>
  <c r="N42" i="5307"/>
  <c r="N43" i="5307"/>
  <c r="N44" i="5307"/>
  <c r="N45" i="5307"/>
  <c r="N46" i="5307"/>
  <c r="N47" i="5307"/>
  <c r="N48" i="5307"/>
  <c r="N49" i="5307"/>
  <c r="N50" i="5307"/>
  <c r="N51" i="5307"/>
  <c r="N52" i="5307"/>
  <c r="N53" i="5307"/>
  <c r="N54" i="5307"/>
  <c r="N2" i="5306"/>
  <c r="N3" i="5306"/>
  <c r="N4" i="5306"/>
  <c r="N5" i="5306"/>
  <c r="N6" i="5306"/>
  <c r="N7" i="5306"/>
  <c r="N8" i="5306"/>
  <c r="N9" i="5306"/>
  <c r="N10" i="5306"/>
  <c r="N11" i="5306"/>
  <c r="N12" i="5306"/>
  <c r="N13" i="5306"/>
  <c r="N14" i="5306"/>
  <c r="N15" i="5306"/>
  <c r="N16" i="5306"/>
  <c r="N17" i="5306"/>
  <c r="N18" i="5306"/>
  <c r="N19" i="5306"/>
  <c r="N20" i="5306"/>
  <c r="N21" i="5306"/>
  <c r="N22" i="5306"/>
  <c r="N23" i="5306"/>
  <c r="N24" i="5306"/>
  <c r="N25" i="5306"/>
  <c r="N26" i="5306"/>
  <c r="N27" i="5306"/>
  <c r="N28" i="5306"/>
  <c r="N29" i="5306"/>
  <c r="N30" i="5306"/>
  <c r="N31" i="5306"/>
  <c r="N32" i="5306"/>
  <c r="N33" i="5306"/>
  <c r="N34" i="5306"/>
  <c r="N35" i="5306"/>
  <c r="N36" i="5306"/>
  <c r="N37" i="5306"/>
  <c r="N38" i="5306"/>
  <c r="N39" i="5306"/>
  <c r="N40" i="5306"/>
  <c r="N41" i="5306"/>
  <c r="N42" i="5306"/>
  <c r="N43" i="5306"/>
  <c r="N44" i="5306"/>
  <c r="N45" i="5306"/>
  <c r="N46" i="5306"/>
  <c r="N47" i="5306"/>
  <c r="N48" i="5306"/>
  <c r="N49" i="5306"/>
  <c r="N50" i="5306"/>
  <c r="N51" i="5306"/>
  <c r="N52" i="5306"/>
  <c r="N53" i="5306"/>
  <c r="N54" i="5306"/>
  <c r="N2" i="5305"/>
  <c r="N3" i="5305"/>
  <c r="N4" i="5305"/>
  <c r="N5" i="5305"/>
  <c r="N6" i="5305"/>
  <c r="N7" i="5305"/>
  <c r="N8" i="5305"/>
  <c r="N9" i="5305"/>
  <c r="N10" i="5305"/>
  <c r="N11" i="5305"/>
  <c r="N12" i="5305"/>
  <c r="N13" i="5305"/>
  <c r="N14" i="5305"/>
  <c r="N15" i="5305"/>
  <c r="N16" i="5305"/>
  <c r="N17" i="5305"/>
  <c r="N18" i="5305"/>
  <c r="N19" i="5305"/>
  <c r="N20" i="5305"/>
  <c r="N21" i="5305"/>
  <c r="N22" i="5305"/>
  <c r="N23" i="5305"/>
  <c r="N24" i="5305"/>
  <c r="N25" i="5305"/>
  <c r="N26" i="5305"/>
  <c r="N27" i="5305"/>
  <c r="N28" i="5305"/>
  <c r="N29" i="5305"/>
  <c r="N30" i="5305"/>
  <c r="N31" i="5305"/>
  <c r="N32" i="5305"/>
  <c r="N33" i="5305"/>
  <c r="N34" i="5305"/>
  <c r="N35" i="5305"/>
  <c r="N36" i="5305"/>
  <c r="N37" i="5305"/>
  <c r="N38" i="5305"/>
  <c r="N39" i="5305"/>
  <c r="N40" i="5305"/>
  <c r="N41" i="5305"/>
  <c r="N42" i="5305"/>
  <c r="N43" i="5305"/>
  <c r="N44" i="5305"/>
  <c r="N45" i="5305"/>
  <c r="N46" i="5305"/>
  <c r="N47" i="5305"/>
  <c r="N48" i="5305"/>
  <c r="N49" i="5305"/>
  <c r="N50" i="5305"/>
  <c r="N51" i="5305"/>
  <c r="N52" i="5305"/>
  <c r="N53" i="5305"/>
  <c r="N54" i="5305"/>
  <c r="N2" i="5304"/>
  <c r="N3" i="5304"/>
  <c r="N4" i="5304"/>
  <c r="N5" i="5304"/>
  <c r="N6" i="5304"/>
  <c r="N7" i="5304"/>
  <c r="N8" i="5304"/>
  <c r="N9" i="5304"/>
  <c r="N10" i="5304"/>
  <c r="N11" i="5304"/>
  <c r="N12" i="5304"/>
  <c r="N13" i="5304"/>
  <c r="N14" i="5304"/>
  <c r="N15" i="5304"/>
  <c r="N16" i="5304"/>
  <c r="N17" i="5304"/>
  <c r="N18" i="5304"/>
  <c r="N19" i="5304"/>
  <c r="N20" i="5304"/>
  <c r="N21" i="5304"/>
  <c r="N22" i="5304"/>
  <c r="N23" i="5304"/>
  <c r="N24" i="5304"/>
  <c r="N25" i="5304"/>
  <c r="N26" i="5304"/>
  <c r="N27" i="5304"/>
  <c r="N28" i="5304"/>
  <c r="N29" i="5304"/>
  <c r="N30" i="5304"/>
  <c r="N31" i="5304"/>
  <c r="N32" i="5304"/>
  <c r="N33" i="5304"/>
  <c r="N34" i="5304"/>
  <c r="N35" i="5304"/>
  <c r="N36" i="5304"/>
  <c r="N37" i="5304"/>
  <c r="N38" i="5304"/>
  <c r="N39" i="5304"/>
  <c r="N40" i="5304"/>
  <c r="N41" i="5304"/>
  <c r="N42" i="5304"/>
  <c r="N43" i="5304"/>
  <c r="N44" i="5304"/>
  <c r="N45" i="5304"/>
  <c r="N46" i="5304"/>
  <c r="N47" i="5304"/>
  <c r="N48" i="5304"/>
  <c r="N49" i="5304"/>
  <c r="N50" i="5304"/>
  <c r="N51" i="5304"/>
  <c r="N52" i="5304"/>
  <c r="N53" i="5304"/>
  <c r="N54" i="5304"/>
  <c r="N2" i="5303"/>
  <c r="N3" i="5303"/>
  <c r="N4" i="5303"/>
  <c r="N5" i="5303"/>
  <c r="N6" i="5303"/>
  <c r="N7" i="5303"/>
  <c r="N8" i="5303"/>
  <c r="N9" i="5303"/>
  <c r="N10" i="5303"/>
  <c r="N11" i="5303"/>
  <c r="N12" i="5303"/>
  <c r="N13" i="5303"/>
  <c r="N14" i="5303"/>
  <c r="N15" i="5303"/>
  <c r="N16" i="5303"/>
  <c r="N17" i="5303"/>
  <c r="N18" i="5303"/>
  <c r="N19" i="5303"/>
  <c r="N20" i="5303"/>
  <c r="N21" i="5303"/>
  <c r="N22" i="5303"/>
  <c r="N23" i="5303"/>
  <c r="N24" i="5303"/>
  <c r="N25" i="5303"/>
  <c r="N26" i="5303"/>
  <c r="N27" i="5303"/>
  <c r="N28" i="5303"/>
  <c r="N29" i="5303"/>
  <c r="N30" i="5303"/>
  <c r="N31" i="5303"/>
  <c r="N32" i="5303"/>
  <c r="N33" i="5303"/>
  <c r="N34" i="5303"/>
  <c r="N35" i="5303"/>
  <c r="N36" i="5303"/>
  <c r="N37" i="5303"/>
  <c r="N38" i="5303"/>
  <c r="N39" i="5303"/>
  <c r="N40" i="5303"/>
  <c r="N41" i="5303"/>
  <c r="N42" i="5303"/>
  <c r="N43" i="5303"/>
  <c r="N44" i="5303"/>
  <c r="N45" i="5303"/>
  <c r="N46" i="5303"/>
  <c r="N47" i="5303"/>
  <c r="N48" i="5303"/>
  <c r="N49" i="5303"/>
  <c r="N50" i="5303"/>
  <c r="N51" i="5303"/>
  <c r="N52" i="5303"/>
  <c r="N53" i="5303"/>
  <c r="N54" i="5303"/>
  <c r="N2" i="5302"/>
  <c r="N3" i="5302"/>
  <c r="N4" i="5302"/>
  <c r="N5" i="5302"/>
  <c r="N6" i="5302"/>
  <c r="N7" i="5302"/>
  <c r="N8" i="5302"/>
  <c r="N9" i="5302"/>
  <c r="N10" i="5302"/>
  <c r="N11" i="5302"/>
  <c r="N12" i="5302"/>
  <c r="N13" i="5302"/>
  <c r="N14" i="5302"/>
  <c r="N15" i="5302"/>
  <c r="N16" i="5302"/>
  <c r="N17" i="5302"/>
  <c r="N18" i="5302"/>
  <c r="N19" i="5302"/>
  <c r="N20" i="5302"/>
  <c r="N21" i="5302"/>
  <c r="N22" i="5302"/>
  <c r="N23" i="5302"/>
  <c r="N24" i="5302"/>
  <c r="N25" i="5302"/>
  <c r="N26" i="5302"/>
  <c r="N27" i="5302"/>
  <c r="N28" i="5302"/>
  <c r="N29" i="5302"/>
  <c r="N30" i="5302"/>
  <c r="N31" i="5302"/>
  <c r="N32" i="5302"/>
  <c r="N33" i="5302"/>
  <c r="N34" i="5302"/>
  <c r="N35" i="5302"/>
  <c r="N36" i="5302"/>
  <c r="N37" i="5302"/>
  <c r="N38" i="5302"/>
  <c r="N39" i="5302"/>
  <c r="N40" i="5302"/>
  <c r="N41" i="5302"/>
  <c r="N42" i="5302"/>
  <c r="N43" i="5302"/>
  <c r="N44" i="5302"/>
  <c r="N45" i="5302"/>
  <c r="N46" i="5302"/>
  <c r="N47" i="5302"/>
  <c r="N48" i="5302"/>
  <c r="N49" i="5302"/>
  <c r="N50" i="5302"/>
  <c r="N51" i="5302"/>
  <c r="N52" i="5302"/>
  <c r="N53" i="5302"/>
  <c r="N54" i="5302"/>
  <c r="M2" i="5307"/>
  <c r="M3" i="5307"/>
  <c r="M4" i="5307"/>
  <c r="M5" i="5307"/>
  <c r="M6" i="5307"/>
  <c r="M7" i="5307"/>
  <c r="M8" i="5307"/>
  <c r="M9" i="5307"/>
  <c r="M10" i="5307"/>
  <c r="M11" i="5307"/>
  <c r="M12" i="5307"/>
  <c r="M13" i="5307"/>
  <c r="M14" i="5307"/>
  <c r="M15" i="5307"/>
  <c r="M16" i="5307"/>
  <c r="M17" i="5307"/>
  <c r="M18" i="5307"/>
  <c r="M19" i="5307"/>
  <c r="M20" i="5307"/>
  <c r="M21" i="5307"/>
  <c r="M22" i="5307"/>
  <c r="M23" i="5307"/>
  <c r="M24" i="5307"/>
  <c r="M25" i="5307"/>
  <c r="M26" i="5307"/>
  <c r="M27" i="5307"/>
  <c r="M28" i="5307"/>
  <c r="M29" i="5307"/>
  <c r="M30" i="5307"/>
  <c r="M31" i="5307"/>
  <c r="M32" i="5307"/>
  <c r="M33" i="5307"/>
  <c r="M34" i="5307"/>
  <c r="M35" i="5307"/>
  <c r="M36" i="5307"/>
  <c r="M37" i="5307"/>
  <c r="M38" i="5307"/>
  <c r="M39" i="5307"/>
  <c r="M40" i="5307"/>
  <c r="M41" i="5307"/>
  <c r="M42" i="5307"/>
  <c r="M43" i="5307"/>
  <c r="M44" i="5307"/>
  <c r="M45" i="5307"/>
  <c r="M46" i="5307"/>
  <c r="M47" i="5307"/>
  <c r="M48" i="5307"/>
  <c r="M49" i="5307"/>
  <c r="M50" i="5307"/>
  <c r="M51" i="5307"/>
  <c r="M52" i="5307"/>
  <c r="M53" i="5307"/>
  <c r="M54" i="5307"/>
  <c r="M2" i="5306"/>
  <c r="M3" i="5306"/>
  <c r="M4" i="5306"/>
  <c r="M5" i="5306"/>
  <c r="M6" i="5306"/>
  <c r="M7" i="5306"/>
  <c r="M8" i="5306"/>
  <c r="M9" i="5306"/>
  <c r="M10" i="5306"/>
  <c r="M11" i="5306"/>
  <c r="M12" i="5306"/>
  <c r="M13" i="5306"/>
  <c r="M14" i="5306"/>
  <c r="M15" i="5306"/>
  <c r="M16" i="5306"/>
  <c r="M17" i="5306"/>
  <c r="M18" i="5306"/>
  <c r="M19" i="5306"/>
  <c r="M20" i="5306"/>
  <c r="M21" i="5306"/>
  <c r="M22" i="5306"/>
  <c r="M23" i="5306"/>
  <c r="M24" i="5306"/>
  <c r="M25" i="5306"/>
  <c r="M26" i="5306"/>
  <c r="M27" i="5306"/>
  <c r="M28" i="5306"/>
  <c r="M29" i="5306"/>
  <c r="M30" i="5306"/>
  <c r="M31" i="5306"/>
  <c r="M32" i="5306"/>
  <c r="M33" i="5306"/>
  <c r="M34" i="5306"/>
  <c r="M35" i="5306"/>
  <c r="M36" i="5306"/>
  <c r="M37" i="5306"/>
  <c r="M38" i="5306"/>
  <c r="M39" i="5306"/>
  <c r="M40" i="5306"/>
  <c r="M41" i="5306"/>
  <c r="M42" i="5306"/>
  <c r="M43" i="5306"/>
  <c r="M44" i="5306"/>
  <c r="M45" i="5306"/>
  <c r="M46" i="5306"/>
  <c r="M47" i="5306"/>
  <c r="M48" i="5306"/>
  <c r="M49" i="5306"/>
  <c r="M50" i="5306"/>
  <c r="M51" i="5306"/>
  <c r="M52" i="5306"/>
  <c r="M53" i="5306"/>
  <c r="M54" i="5306"/>
  <c r="M2" i="5305"/>
  <c r="M3" i="5305"/>
  <c r="M4" i="5305"/>
  <c r="M5" i="5305"/>
  <c r="M6" i="5305"/>
  <c r="M7" i="5305"/>
  <c r="M8" i="5305"/>
  <c r="M9" i="5305"/>
  <c r="M10" i="5305"/>
  <c r="M11" i="5305"/>
  <c r="M12" i="5305"/>
  <c r="M13" i="5305"/>
  <c r="M14" i="5305"/>
  <c r="M15" i="5305"/>
  <c r="M16" i="5305"/>
  <c r="M17" i="5305"/>
  <c r="M18" i="5305"/>
  <c r="M19" i="5305"/>
  <c r="M20" i="5305"/>
  <c r="M21" i="5305"/>
  <c r="M22" i="5305"/>
  <c r="M23" i="5305"/>
  <c r="M24" i="5305"/>
  <c r="M25" i="5305"/>
  <c r="M26" i="5305"/>
  <c r="M27" i="5305"/>
  <c r="M28" i="5305"/>
  <c r="M29" i="5305"/>
  <c r="M30" i="5305"/>
  <c r="M31" i="5305"/>
  <c r="M32" i="5305"/>
  <c r="M33" i="5305"/>
  <c r="M34" i="5305"/>
  <c r="M35" i="5305"/>
  <c r="M36" i="5305"/>
  <c r="M37" i="5305"/>
  <c r="M38" i="5305"/>
  <c r="M39" i="5305"/>
  <c r="M40" i="5305"/>
  <c r="M41" i="5305"/>
  <c r="M42" i="5305"/>
  <c r="M43" i="5305"/>
  <c r="M44" i="5305"/>
  <c r="M45" i="5305"/>
  <c r="M46" i="5305"/>
  <c r="M47" i="5305"/>
  <c r="M48" i="5305"/>
  <c r="M49" i="5305"/>
  <c r="M50" i="5305"/>
  <c r="M51" i="5305"/>
  <c r="M52" i="5305"/>
  <c r="M53" i="5305"/>
  <c r="M54" i="5305"/>
  <c r="M2" i="5304"/>
  <c r="M3" i="5304"/>
  <c r="M4" i="5304"/>
  <c r="M5" i="5304"/>
  <c r="M6" i="5304"/>
  <c r="M7" i="5304"/>
  <c r="M8" i="5304"/>
  <c r="M9" i="5304"/>
  <c r="M10" i="5304"/>
  <c r="M11" i="5304"/>
  <c r="M12" i="5304"/>
  <c r="M13" i="5304"/>
  <c r="M14" i="5304"/>
  <c r="M15" i="5304"/>
  <c r="M16" i="5304"/>
  <c r="M17" i="5304"/>
  <c r="M18" i="5304"/>
  <c r="M19" i="5304"/>
  <c r="M20" i="5304"/>
  <c r="M21" i="5304"/>
  <c r="M22" i="5304"/>
  <c r="M23" i="5304"/>
  <c r="M24" i="5304"/>
  <c r="M25" i="5304"/>
  <c r="M26" i="5304"/>
  <c r="M27" i="5304"/>
  <c r="M28" i="5304"/>
  <c r="M29" i="5304"/>
  <c r="M30" i="5304"/>
  <c r="M31" i="5304"/>
  <c r="M32" i="5304"/>
  <c r="M33" i="5304"/>
  <c r="M34" i="5304"/>
  <c r="M35" i="5304"/>
  <c r="M36" i="5304"/>
  <c r="M37" i="5304"/>
  <c r="M38" i="5304"/>
  <c r="M39" i="5304"/>
  <c r="M40" i="5304"/>
  <c r="M41" i="5304"/>
  <c r="M42" i="5304"/>
  <c r="M43" i="5304"/>
  <c r="M44" i="5304"/>
  <c r="M45" i="5304"/>
  <c r="M46" i="5304"/>
  <c r="M47" i="5304"/>
  <c r="M48" i="5304"/>
  <c r="M49" i="5304"/>
  <c r="M50" i="5304"/>
  <c r="M51" i="5304"/>
  <c r="M52" i="5304"/>
  <c r="M53" i="5304"/>
  <c r="M54" i="5304"/>
  <c r="M2" i="5303"/>
  <c r="M3" i="5303"/>
  <c r="M4" i="5303"/>
  <c r="M5" i="5303"/>
  <c r="M6" i="5303"/>
  <c r="M7" i="5303"/>
  <c r="M8" i="5303"/>
  <c r="M9" i="5303"/>
  <c r="M10" i="5303"/>
  <c r="M11" i="5303"/>
  <c r="M12" i="5303"/>
  <c r="M13" i="5303"/>
  <c r="M14" i="5303"/>
  <c r="M15" i="5303"/>
  <c r="M16" i="5303"/>
  <c r="M17" i="5303"/>
  <c r="M18" i="5303"/>
  <c r="M19" i="5303"/>
  <c r="M20" i="5303"/>
  <c r="M21" i="5303"/>
  <c r="M22" i="5303"/>
  <c r="M23" i="5303"/>
  <c r="M24" i="5303"/>
  <c r="M25" i="5303"/>
  <c r="M26" i="5303"/>
  <c r="M27" i="5303"/>
  <c r="M28" i="5303"/>
  <c r="M29" i="5303"/>
  <c r="M30" i="5303"/>
  <c r="M31" i="5303"/>
  <c r="M32" i="5303"/>
  <c r="M33" i="5303"/>
  <c r="M34" i="5303"/>
  <c r="M35" i="5303"/>
  <c r="M36" i="5303"/>
  <c r="M37" i="5303"/>
  <c r="M38" i="5303"/>
  <c r="M39" i="5303"/>
  <c r="M40" i="5303"/>
  <c r="M41" i="5303"/>
  <c r="M42" i="5303"/>
  <c r="M43" i="5303"/>
  <c r="M44" i="5303"/>
  <c r="M45" i="5303"/>
  <c r="M46" i="5303"/>
  <c r="M47" i="5303"/>
  <c r="M48" i="5303"/>
  <c r="M49" i="5303"/>
  <c r="M50" i="5303"/>
  <c r="M51" i="5303"/>
  <c r="M52" i="5303"/>
  <c r="M53" i="5303"/>
  <c r="M54" i="5303"/>
  <c r="M2" i="5302"/>
  <c r="M3" i="5302"/>
  <c r="M4" i="5302"/>
  <c r="M5" i="5302"/>
  <c r="M6" i="5302"/>
  <c r="M7" i="5302"/>
  <c r="M8" i="5302"/>
  <c r="M9" i="5302"/>
  <c r="M10" i="5302"/>
  <c r="M11" i="5302"/>
  <c r="M12" i="5302"/>
  <c r="M13" i="5302"/>
  <c r="M14" i="5302"/>
  <c r="M15" i="5302"/>
  <c r="M16" i="5302"/>
  <c r="M17" i="5302"/>
  <c r="M18" i="5302"/>
  <c r="M19" i="5302"/>
  <c r="M20" i="5302"/>
  <c r="M21" i="5302"/>
  <c r="M22" i="5302"/>
  <c r="M23" i="5302"/>
  <c r="M24" i="5302"/>
  <c r="M25" i="5302"/>
  <c r="M26" i="5302"/>
  <c r="M27" i="5302"/>
  <c r="M28" i="5302"/>
  <c r="M29" i="5302"/>
  <c r="M30" i="5302"/>
  <c r="M31" i="5302"/>
  <c r="M32" i="5302"/>
  <c r="M33" i="5302"/>
  <c r="M34" i="5302"/>
  <c r="M35" i="5302"/>
  <c r="M36" i="5302"/>
  <c r="M37" i="5302"/>
  <c r="M38" i="5302"/>
  <c r="M39" i="5302"/>
  <c r="M40" i="5302"/>
  <c r="M41" i="5302"/>
  <c r="M42" i="5302"/>
  <c r="M43" i="5302"/>
  <c r="M44" i="5302"/>
  <c r="M45" i="5302"/>
  <c r="M46" i="5302"/>
  <c r="M47" i="5302"/>
  <c r="M48" i="5302"/>
  <c r="M49" i="5302"/>
  <c r="M50" i="5302"/>
  <c r="M51" i="5302"/>
  <c r="M52" i="5302"/>
  <c r="M53" i="5302"/>
  <c r="M54" i="5302"/>
  <c r="L2" i="5307"/>
  <c r="L3" i="5307"/>
  <c r="L4" i="5307"/>
  <c r="L5" i="5307"/>
  <c r="L6" i="5307"/>
  <c r="L7" i="5307"/>
  <c r="L8" i="5307"/>
  <c r="L9" i="5307"/>
  <c r="L10" i="5307"/>
  <c r="L11" i="5307"/>
  <c r="L12" i="5307"/>
  <c r="L13" i="5307"/>
  <c r="L14" i="5307"/>
  <c r="L15" i="5307"/>
  <c r="L16" i="5307"/>
  <c r="L17" i="5307"/>
  <c r="L18" i="5307"/>
  <c r="L19" i="5307"/>
  <c r="L20" i="5307"/>
  <c r="L21" i="5307"/>
  <c r="L22" i="5307"/>
  <c r="L23" i="5307"/>
  <c r="L24" i="5307"/>
  <c r="L25" i="5307"/>
  <c r="L26" i="5307"/>
  <c r="L27" i="5307"/>
  <c r="L28" i="5307"/>
  <c r="L29" i="5307"/>
  <c r="L30" i="5307"/>
  <c r="L31" i="5307"/>
  <c r="L32" i="5307"/>
  <c r="L33" i="5307"/>
  <c r="L34" i="5307"/>
  <c r="L35" i="5307"/>
  <c r="L36" i="5307"/>
  <c r="L37" i="5307"/>
  <c r="L38" i="5307"/>
  <c r="L39" i="5307"/>
  <c r="L40" i="5307"/>
  <c r="L41" i="5307"/>
  <c r="L42" i="5307"/>
  <c r="L43" i="5307"/>
  <c r="L44" i="5307"/>
  <c r="L45" i="5307"/>
  <c r="L46" i="5307"/>
  <c r="L47" i="5307"/>
  <c r="L48" i="5307"/>
  <c r="L49" i="5307"/>
  <c r="L50" i="5307"/>
  <c r="L51" i="5307"/>
  <c r="L52" i="5307"/>
  <c r="L53" i="5307"/>
  <c r="L54" i="5307"/>
  <c r="L2" i="5306"/>
  <c r="L3" i="5306"/>
  <c r="L4" i="5306"/>
  <c r="L5" i="5306"/>
  <c r="L6" i="5306"/>
  <c r="L7" i="5306"/>
  <c r="L8" i="5306"/>
  <c r="L9" i="5306"/>
  <c r="L10" i="5306"/>
  <c r="L11" i="5306"/>
  <c r="L12" i="5306"/>
  <c r="L13" i="5306"/>
  <c r="L14" i="5306"/>
  <c r="L15" i="5306"/>
  <c r="L16" i="5306"/>
  <c r="L17" i="5306"/>
  <c r="L18" i="5306"/>
  <c r="L19" i="5306"/>
  <c r="L20" i="5306"/>
  <c r="L21" i="5306"/>
  <c r="L22" i="5306"/>
  <c r="L23" i="5306"/>
  <c r="L24" i="5306"/>
  <c r="L25" i="5306"/>
  <c r="L26" i="5306"/>
  <c r="L27" i="5306"/>
  <c r="L28" i="5306"/>
  <c r="L29" i="5306"/>
  <c r="L30" i="5306"/>
  <c r="L31" i="5306"/>
  <c r="L32" i="5306"/>
  <c r="L33" i="5306"/>
  <c r="L34" i="5306"/>
  <c r="L35" i="5306"/>
  <c r="L36" i="5306"/>
  <c r="L37" i="5306"/>
  <c r="L38" i="5306"/>
  <c r="L39" i="5306"/>
  <c r="L40" i="5306"/>
  <c r="L41" i="5306"/>
  <c r="L42" i="5306"/>
  <c r="L43" i="5306"/>
  <c r="L44" i="5306"/>
  <c r="L45" i="5306"/>
  <c r="L46" i="5306"/>
  <c r="L47" i="5306"/>
  <c r="L48" i="5306"/>
  <c r="L49" i="5306"/>
  <c r="L50" i="5306"/>
  <c r="L51" i="5306"/>
  <c r="L52" i="5306"/>
  <c r="L53" i="5306"/>
  <c r="L54" i="5306"/>
  <c r="L2" i="5305"/>
  <c r="L3" i="5305"/>
  <c r="L4" i="5305"/>
  <c r="L5" i="5305"/>
  <c r="L6" i="5305"/>
  <c r="L7" i="5305"/>
  <c r="L8" i="5305"/>
  <c r="L9" i="5305"/>
  <c r="L10" i="5305"/>
  <c r="L11" i="5305"/>
  <c r="L12" i="5305"/>
  <c r="L13" i="5305"/>
  <c r="L14" i="5305"/>
  <c r="L15" i="5305"/>
  <c r="L16" i="5305"/>
  <c r="L17" i="5305"/>
  <c r="L18" i="5305"/>
  <c r="L19" i="5305"/>
  <c r="L20" i="5305"/>
  <c r="L21" i="5305"/>
  <c r="L22" i="5305"/>
  <c r="L23" i="5305"/>
  <c r="L24" i="5305"/>
  <c r="L25" i="5305"/>
  <c r="L26" i="5305"/>
  <c r="L27" i="5305"/>
  <c r="L28" i="5305"/>
  <c r="L29" i="5305"/>
  <c r="L30" i="5305"/>
  <c r="L31" i="5305"/>
  <c r="L32" i="5305"/>
  <c r="L33" i="5305"/>
  <c r="L34" i="5305"/>
  <c r="L35" i="5305"/>
  <c r="L36" i="5305"/>
  <c r="L37" i="5305"/>
  <c r="L38" i="5305"/>
  <c r="L39" i="5305"/>
  <c r="L40" i="5305"/>
  <c r="L41" i="5305"/>
  <c r="L42" i="5305"/>
  <c r="L43" i="5305"/>
  <c r="L44" i="5305"/>
  <c r="L45" i="5305"/>
  <c r="L46" i="5305"/>
  <c r="L47" i="5305"/>
  <c r="L48" i="5305"/>
  <c r="L49" i="5305"/>
  <c r="L50" i="5305"/>
  <c r="L51" i="5305"/>
  <c r="L52" i="5305"/>
  <c r="L53" i="5305"/>
  <c r="L54" i="5305"/>
  <c r="L2" i="5304"/>
  <c r="L3" i="5304"/>
  <c r="L4" i="5304"/>
  <c r="L5" i="5304"/>
  <c r="L6" i="5304"/>
  <c r="L7" i="5304"/>
  <c r="L8" i="5304"/>
  <c r="L9" i="5304"/>
  <c r="L10" i="5304"/>
  <c r="L11" i="5304"/>
  <c r="L12" i="5304"/>
  <c r="L13" i="5304"/>
  <c r="L14" i="5304"/>
  <c r="L15" i="5304"/>
  <c r="L16" i="5304"/>
  <c r="L17" i="5304"/>
  <c r="L18" i="5304"/>
  <c r="L19" i="5304"/>
  <c r="L20" i="5304"/>
  <c r="L21" i="5304"/>
  <c r="L22" i="5304"/>
  <c r="L23" i="5304"/>
  <c r="L24" i="5304"/>
  <c r="L25" i="5304"/>
  <c r="L26" i="5304"/>
  <c r="L27" i="5304"/>
  <c r="L28" i="5304"/>
  <c r="L29" i="5304"/>
  <c r="L30" i="5304"/>
  <c r="L31" i="5304"/>
  <c r="L32" i="5304"/>
  <c r="L33" i="5304"/>
  <c r="L34" i="5304"/>
  <c r="L35" i="5304"/>
  <c r="L36" i="5304"/>
  <c r="L37" i="5304"/>
  <c r="L38" i="5304"/>
  <c r="L39" i="5304"/>
  <c r="L40" i="5304"/>
  <c r="L41" i="5304"/>
  <c r="L42" i="5304"/>
  <c r="L43" i="5304"/>
  <c r="L44" i="5304"/>
  <c r="L45" i="5304"/>
  <c r="L46" i="5304"/>
  <c r="L47" i="5304"/>
  <c r="L48" i="5304"/>
  <c r="L49" i="5304"/>
  <c r="L50" i="5304"/>
  <c r="L51" i="5304"/>
  <c r="L52" i="5304"/>
  <c r="L53" i="5304"/>
  <c r="L54" i="5304"/>
  <c r="L2" i="5303"/>
  <c r="L3" i="5303"/>
  <c r="L4" i="5303"/>
  <c r="L5" i="5303"/>
  <c r="L6" i="5303"/>
  <c r="L7" i="5303"/>
  <c r="L8" i="5303"/>
  <c r="L9" i="5303"/>
  <c r="L10" i="5303"/>
  <c r="L11" i="5303"/>
  <c r="L12" i="5303"/>
  <c r="L13" i="5303"/>
  <c r="L14" i="5303"/>
  <c r="L15" i="5303"/>
  <c r="L16" i="5303"/>
  <c r="L17" i="5303"/>
  <c r="L18" i="5303"/>
  <c r="L19" i="5303"/>
  <c r="L20" i="5303"/>
  <c r="L21" i="5303"/>
  <c r="L22" i="5303"/>
  <c r="L23" i="5303"/>
  <c r="L24" i="5303"/>
  <c r="L25" i="5303"/>
  <c r="L26" i="5303"/>
  <c r="L27" i="5303"/>
  <c r="L28" i="5303"/>
  <c r="L29" i="5303"/>
  <c r="L30" i="5303"/>
  <c r="L31" i="5303"/>
  <c r="L32" i="5303"/>
  <c r="L33" i="5303"/>
  <c r="L34" i="5303"/>
  <c r="L35" i="5303"/>
  <c r="L36" i="5303"/>
  <c r="L37" i="5303"/>
  <c r="L38" i="5303"/>
  <c r="L39" i="5303"/>
  <c r="L40" i="5303"/>
  <c r="L41" i="5303"/>
  <c r="L42" i="5303"/>
  <c r="L43" i="5303"/>
  <c r="L44" i="5303"/>
  <c r="L45" i="5303"/>
  <c r="L46" i="5303"/>
  <c r="L47" i="5303"/>
  <c r="L48" i="5303"/>
  <c r="L49" i="5303"/>
  <c r="L50" i="5303"/>
  <c r="L51" i="5303"/>
  <c r="L52" i="5303"/>
  <c r="L53" i="5303"/>
  <c r="L54" i="5303"/>
  <c r="L2" i="5302"/>
  <c r="L3" i="5302"/>
  <c r="L4" i="5302"/>
  <c r="L5" i="5302"/>
  <c r="L6" i="5302"/>
  <c r="L7" i="5302"/>
  <c r="L8" i="5302"/>
  <c r="L9" i="5302"/>
  <c r="L10" i="5302"/>
  <c r="L11" i="5302"/>
  <c r="L12" i="5302"/>
  <c r="L13" i="5302"/>
  <c r="L14" i="5302"/>
  <c r="L15" i="5302"/>
  <c r="L16" i="5302"/>
  <c r="L17" i="5302"/>
  <c r="L18" i="5302"/>
  <c r="L19" i="5302"/>
  <c r="L20" i="5302"/>
  <c r="L21" i="5302"/>
  <c r="L22" i="5302"/>
  <c r="L23" i="5302"/>
  <c r="L24" i="5302"/>
  <c r="L25" i="5302"/>
  <c r="L26" i="5302"/>
  <c r="L27" i="5302"/>
  <c r="L28" i="5302"/>
  <c r="L29" i="5302"/>
  <c r="L30" i="5302"/>
  <c r="L31" i="5302"/>
  <c r="L32" i="5302"/>
  <c r="L33" i="5302"/>
  <c r="L34" i="5302"/>
  <c r="L35" i="5302"/>
  <c r="L36" i="5302"/>
  <c r="L37" i="5302"/>
  <c r="L38" i="5302"/>
  <c r="L39" i="5302"/>
  <c r="L40" i="5302"/>
  <c r="L41" i="5302"/>
  <c r="L42" i="5302"/>
  <c r="L43" i="5302"/>
  <c r="L44" i="5302"/>
  <c r="L45" i="5302"/>
  <c r="L46" i="5302"/>
  <c r="L47" i="5302"/>
  <c r="L48" i="5302"/>
  <c r="L49" i="5302"/>
  <c r="L50" i="5302"/>
  <c r="L51" i="5302"/>
  <c r="L52" i="5302"/>
  <c r="L53" i="5302"/>
  <c r="L54" i="5302"/>
  <c r="K2" i="5307"/>
  <c r="K3" i="5307"/>
  <c r="K4" i="5307"/>
  <c r="K5" i="5307"/>
  <c r="K6" i="5307"/>
  <c r="K7" i="5307"/>
  <c r="K8" i="5307"/>
  <c r="K9" i="5307"/>
  <c r="K10" i="5307"/>
  <c r="K11" i="5307"/>
  <c r="K12" i="5307"/>
  <c r="K13" i="5307"/>
  <c r="K14" i="5307"/>
  <c r="K15" i="5307"/>
  <c r="K16" i="5307"/>
  <c r="K17" i="5307"/>
  <c r="K18" i="5307"/>
  <c r="K19" i="5307"/>
  <c r="K20" i="5307"/>
  <c r="K21" i="5307"/>
  <c r="K22" i="5307"/>
  <c r="K23" i="5307"/>
  <c r="K24" i="5307"/>
  <c r="K25" i="5307"/>
  <c r="K26" i="5307"/>
  <c r="K27" i="5307"/>
  <c r="K28" i="5307"/>
  <c r="K29" i="5307"/>
  <c r="K30" i="5307"/>
  <c r="K31" i="5307"/>
  <c r="K32" i="5307"/>
  <c r="K33" i="5307"/>
  <c r="K34" i="5307"/>
  <c r="K35" i="5307"/>
  <c r="K36" i="5307"/>
  <c r="K37" i="5307"/>
  <c r="K38" i="5307"/>
  <c r="K39" i="5307"/>
  <c r="K40" i="5307"/>
  <c r="K41" i="5307"/>
  <c r="K42" i="5307"/>
  <c r="K43" i="5307"/>
  <c r="K44" i="5307"/>
  <c r="K45" i="5307"/>
  <c r="K46" i="5307"/>
  <c r="K47" i="5307"/>
  <c r="K48" i="5307"/>
  <c r="K49" i="5307"/>
  <c r="K50" i="5307"/>
  <c r="K51" i="5307"/>
  <c r="K52" i="5307"/>
  <c r="K53" i="5307"/>
  <c r="K54" i="5307"/>
  <c r="K2" i="5306"/>
  <c r="K3" i="5306"/>
  <c r="K4" i="5306"/>
  <c r="K5" i="5306"/>
  <c r="K6" i="5306"/>
  <c r="K7" i="5306"/>
  <c r="K8" i="5306"/>
  <c r="K9" i="5306"/>
  <c r="K10" i="5306"/>
  <c r="K11" i="5306"/>
  <c r="K12" i="5306"/>
  <c r="K13" i="5306"/>
  <c r="K14" i="5306"/>
  <c r="K15" i="5306"/>
  <c r="K16" i="5306"/>
  <c r="K17" i="5306"/>
  <c r="K18" i="5306"/>
  <c r="K19" i="5306"/>
  <c r="K20" i="5306"/>
  <c r="K21" i="5306"/>
  <c r="K22" i="5306"/>
  <c r="K23" i="5306"/>
  <c r="K24" i="5306"/>
  <c r="K25" i="5306"/>
  <c r="K26" i="5306"/>
  <c r="K27" i="5306"/>
  <c r="K28" i="5306"/>
  <c r="K29" i="5306"/>
  <c r="K30" i="5306"/>
  <c r="K31" i="5306"/>
  <c r="K32" i="5306"/>
  <c r="K33" i="5306"/>
  <c r="K34" i="5306"/>
  <c r="K35" i="5306"/>
  <c r="K36" i="5306"/>
  <c r="K37" i="5306"/>
  <c r="K38" i="5306"/>
  <c r="K39" i="5306"/>
  <c r="K40" i="5306"/>
  <c r="K41" i="5306"/>
  <c r="K42" i="5306"/>
  <c r="K43" i="5306"/>
  <c r="K44" i="5306"/>
  <c r="K45" i="5306"/>
  <c r="K46" i="5306"/>
  <c r="K47" i="5306"/>
  <c r="K48" i="5306"/>
  <c r="K49" i="5306"/>
  <c r="K50" i="5306"/>
  <c r="K51" i="5306"/>
  <c r="K52" i="5306"/>
  <c r="K53" i="5306"/>
  <c r="K54" i="5306"/>
  <c r="K2" i="5305"/>
  <c r="K3" i="5305"/>
  <c r="K4" i="5305"/>
  <c r="K5" i="5305"/>
  <c r="K6" i="5305"/>
  <c r="K7" i="5305"/>
  <c r="K8" i="5305"/>
  <c r="K9" i="5305"/>
  <c r="K10" i="5305"/>
  <c r="K11" i="5305"/>
  <c r="K12" i="5305"/>
  <c r="K13" i="5305"/>
  <c r="K14" i="5305"/>
  <c r="K15" i="5305"/>
  <c r="K16" i="5305"/>
  <c r="K17" i="5305"/>
  <c r="K18" i="5305"/>
  <c r="K19" i="5305"/>
  <c r="K20" i="5305"/>
  <c r="K21" i="5305"/>
  <c r="K22" i="5305"/>
  <c r="K23" i="5305"/>
  <c r="K24" i="5305"/>
  <c r="K25" i="5305"/>
  <c r="K26" i="5305"/>
  <c r="K27" i="5305"/>
  <c r="K28" i="5305"/>
  <c r="K29" i="5305"/>
  <c r="K30" i="5305"/>
  <c r="K31" i="5305"/>
  <c r="K32" i="5305"/>
  <c r="K33" i="5305"/>
  <c r="K34" i="5305"/>
  <c r="K35" i="5305"/>
  <c r="K36" i="5305"/>
  <c r="K37" i="5305"/>
  <c r="K38" i="5305"/>
  <c r="K39" i="5305"/>
  <c r="K40" i="5305"/>
  <c r="K41" i="5305"/>
  <c r="K42" i="5305"/>
  <c r="K43" i="5305"/>
  <c r="K44" i="5305"/>
  <c r="K45" i="5305"/>
  <c r="K46" i="5305"/>
  <c r="K47" i="5305"/>
  <c r="K48" i="5305"/>
  <c r="K49" i="5305"/>
  <c r="K50" i="5305"/>
  <c r="K51" i="5305"/>
  <c r="K52" i="5305"/>
  <c r="K53" i="5305"/>
  <c r="K54" i="5305"/>
  <c r="K2" i="5304"/>
  <c r="K3" i="5304"/>
  <c r="K4" i="5304"/>
  <c r="K5" i="5304"/>
  <c r="K6" i="5304"/>
  <c r="K7" i="5304"/>
  <c r="K8" i="5304"/>
  <c r="K9" i="5304"/>
  <c r="K10" i="5304"/>
  <c r="K11" i="5304"/>
  <c r="K12" i="5304"/>
  <c r="K13" i="5304"/>
  <c r="K14" i="5304"/>
  <c r="K15" i="5304"/>
  <c r="K16" i="5304"/>
  <c r="K17" i="5304"/>
  <c r="K18" i="5304"/>
  <c r="K19" i="5304"/>
  <c r="K20" i="5304"/>
  <c r="K21" i="5304"/>
  <c r="K22" i="5304"/>
  <c r="K23" i="5304"/>
  <c r="K24" i="5304"/>
  <c r="K25" i="5304"/>
  <c r="K26" i="5304"/>
  <c r="K27" i="5304"/>
  <c r="K28" i="5304"/>
  <c r="K29" i="5304"/>
  <c r="K30" i="5304"/>
  <c r="K31" i="5304"/>
  <c r="K32" i="5304"/>
  <c r="K33" i="5304"/>
  <c r="K34" i="5304"/>
  <c r="K35" i="5304"/>
  <c r="K36" i="5304"/>
  <c r="K37" i="5304"/>
  <c r="K38" i="5304"/>
  <c r="K39" i="5304"/>
  <c r="K40" i="5304"/>
  <c r="K41" i="5304"/>
  <c r="K42" i="5304"/>
  <c r="K43" i="5304"/>
  <c r="K44" i="5304"/>
  <c r="K45" i="5304"/>
  <c r="K46" i="5304"/>
  <c r="K47" i="5304"/>
  <c r="K48" i="5304"/>
  <c r="K49" i="5304"/>
  <c r="K50" i="5304"/>
  <c r="K51" i="5304"/>
  <c r="K52" i="5304"/>
  <c r="K53" i="5304"/>
  <c r="K54" i="5304"/>
  <c r="K2" i="5303"/>
  <c r="K3" i="5303"/>
  <c r="K4" i="5303"/>
  <c r="K5" i="5303"/>
  <c r="K6" i="5303"/>
  <c r="K7" i="5303"/>
  <c r="K8" i="5303"/>
  <c r="K9" i="5303"/>
  <c r="K10" i="5303"/>
  <c r="K11" i="5303"/>
  <c r="K12" i="5303"/>
  <c r="K13" i="5303"/>
  <c r="K14" i="5303"/>
  <c r="K15" i="5303"/>
  <c r="K16" i="5303"/>
  <c r="K17" i="5303"/>
  <c r="K18" i="5303"/>
  <c r="K19" i="5303"/>
  <c r="K20" i="5303"/>
  <c r="K21" i="5303"/>
  <c r="K22" i="5303"/>
  <c r="K23" i="5303"/>
  <c r="K24" i="5303"/>
  <c r="K25" i="5303"/>
  <c r="K26" i="5303"/>
  <c r="K27" i="5303"/>
  <c r="K28" i="5303"/>
  <c r="K29" i="5303"/>
  <c r="K30" i="5303"/>
  <c r="K31" i="5303"/>
  <c r="K32" i="5303"/>
  <c r="K33" i="5303"/>
  <c r="K34" i="5303"/>
  <c r="K35" i="5303"/>
  <c r="K36" i="5303"/>
  <c r="K37" i="5303"/>
  <c r="K38" i="5303"/>
  <c r="K39" i="5303"/>
  <c r="K40" i="5303"/>
  <c r="K41" i="5303"/>
  <c r="K42" i="5303"/>
  <c r="K43" i="5303"/>
  <c r="K44" i="5303"/>
  <c r="K45" i="5303"/>
  <c r="K46" i="5303"/>
  <c r="K47" i="5303"/>
  <c r="K48" i="5303"/>
  <c r="K49" i="5303"/>
  <c r="K50" i="5303"/>
  <c r="K51" i="5303"/>
  <c r="K52" i="5303"/>
  <c r="K53" i="5303"/>
  <c r="K54" i="5303"/>
  <c r="K2" i="5302"/>
  <c r="K3" i="5302"/>
  <c r="K4" i="5302"/>
  <c r="K5" i="5302"/>
  <c r="K6" i="5302"/>
  <c r="K7" i="5302"/>
  <c r="K8" i="5302"/>
  <c r="K9" i="5302"/>
  <c r="K10" i="5302"/>
  <c r="K11" i="5302"/>
  <c r="K12" i="5302"/>
  <c r="K13" i="5302"/>
  <c r="K14" i="5302"/>
  <c r="K15" i="5302"/>
  <c r="K16" i="5302"/>
  <c r="K17" i="5302"/>
  <c r="K18" i="5302"/>
  <c r="K19" i="5302"/>
  <c r="K20" i="5302"/>
  <c r="K21" i="5302"/>
  <c r="K22" i="5302"/>
  <c r="K23" i="5302"/>
  <c r="K24" i="5302"/>
  <c r="K25" i="5302"/>
  <c r="K26" i="5302"/>
  <c r="K27" i="5302"/>
  <c r="K28" i="5302"/>
  <c r="K29" i="5302"/>
  <c r="K30" i="5302"/>
  <c r="K31" i="5302"/>
  <c r="K32" i="5302"/>
  <c r="K33" i="5302"/>
  <c r="K34" i="5302"/>
  <c r="K35" i="5302"/>
  <c r="K36" i="5302"/>
  <c r="K37" i="5302"/>
  <c r="K38" i="5302"/>
  <c r="K39" i="5302"/>
  <c r="K40" i="5302"/>
  <c r="K41" i="5302"/>
  <c r="K42" i="5302"/>
  <c r="K43" i="5302"/>
  <c r="K44" i="5302"/>
  <c r="K45" i="5302"/>
  <c r="K46" i="5302"/>
  <c r="K47" i="5302"/>
  <c r="K48" i="5302"/>
  <c r="K49" i="5302"/>
  <c r="K50" i="5302"/>
  <c r="K51" i="5302"/>
  <c r="K52" i="5302"/>
  <c r="K53" i="5302"/>
  <c r="K54" i="5302"/>
  <c r="J2" i="5307"/>
  <c r="J3" i="5307"/>
  <c r="J4" i="5307"/>
  <c r="J5" i="5307"/>
  <c r="J6" i="5307"/>
  <c r="J7" i="5307"/>
  <c r="J8" i="5307"/>
  <c r="J9" i="5307"/>
  <c r="J10" i="5307"/>
  <c r="J11" i="5307"/>
  <c r="J12" i="5307"/>
  <c r="J13" i="5307"/>
  <c r="J14" i="5307"/>
  <c r="J15" i="5307"/>
  <c r="J16" i="5307"/>
  <c r="J17" i="5307"/>
  <c r="J18" i="5307"/>
  <c r="J19" i="5307"/>
  <c r="J20" i="5307"/>
  <c r="J21" i="5307"/>
  <c r="J22" i="5307"/>
  <c r="J23" i="5307"/>
  <c r="J24" i="5307"/>
  <c r="J25" i="5307"/>
  <c r="J26" i="5307"/>
  <c r="J27" i="5307"/>
  <c r="J28" i="5307"/>
  <c r="J29" i="5307"/>
  <c r="J30" i="5307"/>
  <c r="J31" i="5307"/>
  <c r="J32" i="5307"/>
  <c r="J33" i="5307"/>
  <c r="J34" i="5307"/>
  <c r="J35" i="5307"/>
  <c r="J36" i="5307"/>
  <c r="J37" i="5307"/>
  <c r="J38" i="5307"/>
  <c r="J39" i="5307"/>
  <c r="J40" i="5307"/>
  <c r="J41" i="5307"/>
  <c r="J42" i="5307"/>
  <c r="J43" i="5307"/>
  <c r="J44" i="5307"/>
  <c r="J45" i="5307"/>
  <c r="J46" i="5307"/>
  <c r="J47" i="5307"/>
  <c r="J48" i="5307"/>
  <c r="J49" i="5307"/>
  <c r="J50" i="5307"/>
  <c r="J51" i="5307"/>
  <c r="J52" i="5307"/>
  <c r="J53" i="5307"/>
  <c r="J54" i="5307"/>
  <c r="J2" i="5306"/>
  <c r="J3" i="5306"/>
  <c r="J4" i="5306"/>
  <c r="J5" i="5306"/>
  <c r="J6" i="5306"/>
  <c r="J7" i="5306"/>
  <c r="J8" i="5306"/>
  <c r="J9" i="5306"/>
  <c r="J10" i="5306"/>
  <c r="J11" i="5306"/>
  <c r="J12" i="5306"/>
  <c r="J13" i="5306"/>
  <c r="J14" i="5306"/>
  <c r="J15" i="5306"/>
  <c r="J16" i="5306"/>
  <c r="J17" i="5306"/>
  <c r="J18" i="5306"/>
  <c r="J19" i="5306"/>
  <c r="J20" i="5306"/>
  <c r="J21" i="5306"/>
  <c r="J22" i="5306"/>
  <c r="J23" i="5306"/>
  <c r="J24" i="5306"/>
  <c r="J25" i="5306"/>
  <c r="J26" i="5306"/>
  <c r="J27" i="5306"/>
  <c r="J28" i="5306"/>
  <c r="J29" i="5306"/>
  <c r="J30" i="5306"/>
  <c r="J31" i="5306"/>
  <c r="J32" i="5306"/>
  <c r="J33" i="5306"/>
  <c r="J34" i="5306"/>
  <c r="J35" i="5306"/>
  <c r="J36" i="5306"/>
  <c r="J37" i="5306"/>
  <c r="J38" i="5306"/>
  <c r="J39" i="5306"/>
  <c r="J40" i="5306"/>
  <c r="J41" i="5306"/>
  <c r="J42" i="5306"/>
  <c r="J43" i="5306"/>
  <c r="J44" i="5306"/>
  <c r="J45" i="5306"/>
  <c r="J46" i="5306"/>
  <c r="J47" i="5306"/>
  <c r="J48" i="5306"/>
  <c r="J49" i="5306"/>
  <c r="J50" i="5306"/>
  <c r="J51" i="5306"/>
  <c r="J52" i="5306"/>
  <c r="J53" i="5306"/>
  <c r="J54" i="5306"/>
  <c r="J2" i="5305"/>
  <c r="J3" i="5305"/>
  <c r="J4" i="5305"/>
  <c r="J5" i="5305"/>
  <c r="J6" i="5305"/>
  <c r="J7" i="5305"/>
  <c r="J8" i="5305"/>
  <c r="J9" i="5305"/>
  <c r="J10" i="5305"/>
  <c r="J11" i="5305"/>
  <c r="J12" i="5305"/>
  <c r="J13" i="5305"/>
  <c r="J14" i="5305"/>
  <c r="J15" i="5305"/>
  <c r="J16" i="5305"/>
  <c r="J17" i="5305"/>
  <c r="J18" i="5305"/>
  <c r="J19" i="5305"/>
  <c r="J20" i="5305"/>
  <c r="J21" i="5305"/>
  <c r="J22" i="5305"/>
  <c r="J23" i="5305"/>
  <c r="J24" i="5305"/>
  <c r="J25" i="5305"/>
  <c r="J26" i="5305"/>
  <c r="J27" i="5305"/>
  <c r="J28" i="5305"/>
  <c r="J29" i="5305"/>
  <c r="J30" i="5305"/>
  <c r="J31" i="5305"/>
  <c r="J32" i="5305"/>
  <c r="J33" i="5305"/>
  <c r="J34" i="5305"/>
  <c r="J35" i="5305"/>
  <c r="J36" i="5305"/>
  <c r="J37" i="5305"/>
  <c r="J38" i="5305"/>
  <c r="J39" i="5305"/>
  <c r="J40" i="5305"/>
  <c r="J41" i="5305"/>
  <c r="J42" i="5305"/>
  <c r="J43" i="5305"/>
  <c r="J44" i="5305"/>
  <c r="J45" i="5305"/>
  <c r="J46" i="5305"/>
  <c r="J47" i="5305"/>
  <c r="J48" i="5305"/>
  <c r="J49" i="5305"/>
  <c r="J50" i="5305"/>
  <c r="J51" i="5305"/>
  <c r="J52" i="5305"/>
  <c r="J53" i="5305"/>
  <c r="J54" i="5305"/>
  <c r="J2" i="5304"/>
  <c r="J3" i="5304"/>
  <c r="J4" i="5304"/>
  <c r="J5" i="5304"/>
  <c r="J6" i="5304"/>
  <c r="J7" i="5304"/>
  <c r="J8" i="5304"/>
  <c r="J9" i="5304"/>
  <c r="J10" i="5304"/>
  <c r="J11" i="5304"/>
  <c r="J12" i="5304"/>
  <c r="J13" i="5304"/>
  <c r="J14" i="5304"/>
  <c r="J15" i="5304"/>
  <c r="J16" i="5304"/>
  <c r="J17" i="5304"/>
  <c r="J18" i="5304"/>
  <c r="J19" i="5304"/>
  <c r="J20" i="5304"/>
  <c r="J21" i="5304"/>
  <c r="J22" i="5304"/>
  <c r="J23" i="5304"/>
  <c r="J24" i="5304"/>
  <c r="J25" i="5304"/>
  <c r="J26" i="5304"/>
  <c r="J27" i="5304"/>
  <c r="J28" i="5304"/>
  <c r="J29" i="5304"/>
  <c r="J30" i="5304"/>
  <c r="J31" i="5304"/>
  <c r="J32" i="5304"/>
  <c r="J33" i="5304"/>
  <c r="J34" i="5304"/>
  <c r="J35" i="5304"/>
  <c r="J36" i="5304"/>
  <c r="J37" i="5304"/>
  <c r="J38" i="5304"/>
  <c r="J39" i="5304"/>
  <c r="J40" i="5304"/>
  <c r="J41" i="5304"/>
  <c r="J42" i="5304"/>
  <c r="J43" i="5304"/>
  <c r="J44" i="5304"/>
  <c r="J45" i="5304"/>
  <c r="J46" i="5304"/>
  <c r="J47" i="5304"/>
  <c r="J48" i="5304"/>
  <c r="J49" i="5304"/>
  <c r="J50" i="5304"/>
  <c r="J51" i="5304"/>
  <c r="J52" i="5304"/>
  <c r="J53" i="5304"/>
  <c r="J54" i="5304"/>
  <c r="J2" i="5303"/>
  <c r="J3" i="5303"/>
  <c r="J4" i="5303"/>
  <c r="J5" i="5303"/>
  <c r="J6" i="5303"/>
  <c r="J7" i="5303"/>
  <c r="J8" i="5303"/>
  <c r="J9" i="5303"/>
  <c r="J10" i="5303"/>
  <c r="J11" i="5303"/>
  <c r="J12" i="5303"/>
  <c r="J13" i="5303"/>
  <c r="J14" i="5303"/>
  <c r="J15" i="5303"/>
  <c r="J16" i="5303"/>
  <c r="J17" i="5303"/>
  <c r="J18" i="5303"/>
  <c r="J19" i="5303"/>
  <c r="J20" i="5303"/>
  <c r="J21" i="5303"/>
  <c r="J22" i="5303"/>
  <c r="J23" i="5303"/>
  <c r="J24" i="5303"/>
  <c r="J25" i="5303"/>
  <c r="J26" i="5303"/>
  <c r="J27" i="5303"/>
  <c r="J28" i="5303"/>
  <c r="J29" i="5303"/>
  <c r="J30" i="5303"/>
  <c r="J31" i="5303"/>
  <c r="J32" i="5303"/>
  <c r="J33" i="5303"/>
  <c r="J34" i="5303"/>
  <c r="J35" i="5303"/>
  <c r="J36" i="5303"/>
  <c r="J37" i="5303"/>
  <c r="J38" i="5303"/>
  <c r="J39" i="5303"/>
  <c r="J40" i="5303"/>
  <c r="J41" i="5303"/>
  <c r="J42" i="5303"/>
  <c r="J43" i="5303"/>
  <c r="J44" i="5303"/>
  <c r="J45" i="5303"/>
  <c r="J46" i="5303"/>
  <c r="J47" i="5303"/>
  <c r="J48" i="5303"/>
  <c r="J49" i="5303"/>
  <c r="J50" i="5303"/>
  <c r="J51" i="5303"/>
  <c r="J52" i="5303"/>
  <c r="J53" i="5303"/>
  <c r="J54" i="5303"/>
  <c r="J2" i="5302"/>
  <c r="J3" i="5302"/>
  <c r="J4" i="5302"/>
  <c r="J5" i="5302"/>
  <c r="J6" i="5302"/>
  <c r="J7" i="5302"/>
  <c r="J8" i="5302"/>
  <c r="J9" i="5302"/>
  <c r="J10" i="5302"/>
  <c r="J11" i="5302"/>
  <c r="J12" i="5302"/>
  <c r="J13" i="5302"/>
  <c r="J14" i="5302"/>
  <c r="J15" i="5302"/>
  <c r="J16" i="5302"/>
  <c r="J17" i="5302"/>
  <c r="J18" i="5302"/>
  <c r="J19" i="5302"/>
  <c r="J20" i="5302"/>
  <c r="J21" i="5302"/>
  <c r="J22" i="5302"/>
  <c r="J23" i="5302"/>
  <c r="J24" i="5302"/>
  <c r="J25" i="5302"/>
  <c r="J26" i="5302"/>
  <c r="J27" i="5302"/>
  <c r="J28" i="5302"/>
  <c r="J29" i="5302"/>
  <c r="J30" i="5302"/>
  <c r="J31" i="5302"/>
  <c r="J32" i="5302"/>
  <c r="J33" i="5302"/>
  <c r="J34" i="5302"/>
  <c r="J35" i="5302"/>
  <c r="J36" i="5302"/>
  <c r="J37" i="5302"/>
  <c r="J38" i="5302"/>
  <c r="J39" i="5302"/>
  <c r="J40" i="5302"/>
  <c r="J41" i="5302"/>
  <c r="J42" i="5302"/>
  <c r="J43" i="5302"/>
  <c r="J44" i="5302"/>
  <c r="J45" i="5302"/>
  <c r="J46" i="5302"/>
  <c r="J47" i="5302"/>
  <c r="J48" i="5302"/>
  <c r="J49" i="5302"/>
  <c r="J50" i="5302"/>
  <c r="J51" i="5302"/>
  <c r="J52" i="5302"/>
  <c r="J53" i="5302"/>
  <c r="J54" i="5302"/>
  <c r="I2" i="5307"/>
  <c r="I3" i="5307"/>
  <c r="I4" i="5307"/>
  <c r="I5" i="5307"/>
  <c r="I6" i="5307"/>
  <c r="I7" i="5307"/>
  <c r="I8" i="5307"/>
  <c r="I9" i="5307"/>
  <c r="I10" i="5307"/>
  <c r="I11" i="5307"/>
  <c r="I12" i="5307"/>
  <c r="I13" i="5307"/>
  <c r="I14" i="5307"/>
  <c r="I15" i="5307"/>
  <c r="I16" i="5307"/>
  <c r="I17" i="5307"/>
  <c r="I18" i="5307"/>
  <c r="I19" i="5307"/>
  <c r="I20" i="5307"/>
  <c r="I21" i="5307"/>
  <c r="I22" i="5307"/>
  <c r="I23" i="5307"/>
  <c r="I24" i="5307"/>
  <c r="I25" i="5307"/>
  <c r="I26" i="5307"/>
  <c r="I27" i="5307"/>
  <c r="I28" i="5307"/>
  <c r="I29" i="5307"/>
  <c r="I30" i="5307"/>
  <c r="I31" i="5307"/>
  <c r="I32" i="5307"/>
  <c r="I33" i="5307"/>
  <c r="I34" i="5307"/>
  <c r="I35" i="5307"/>
  <c r="I36" i="5307"/>
  <c r="I37" i="5307"/>
  <c r="I38" i="5307"/>
  <c r="I39" i="5307"/>
  <c r="I40" i="5307"/>
  <c r="I41" i="5307"/>
  <c r="I42" i="5307"/>
  <c r="I43" i="5307"/>
  <c r="I44" i="5307"/>
  <c r="I45" i="5307"/>
  <c r="I46" i="5307"/>
  <c r="I47" i="5307"/>
  <c r="I48" i="5307"/>
  <c r="I49" i="5307"/>
  <c r="I50" i="5307"/>
  <c r="I51" i="5307"/>
  <c r="I52" i="5307"/>
  <c r="I53" i="5307"/>
  <c r="I54" i="5307"/>
  <c r="I2" i="5306"/>
  <c r="I3" i="5306"/>
  <c r="I4" i="5306"/>
  <c r="I5" i="5306"/>
  <c r="I6" i="5306"/>
  <c r="I7" i="5306"/>
  <c r="I8" i="5306"/>
  <c r="I9" i="5306"/>
  <c r="I10" i="5306"/>
  <c r="I11" i="5306"/>
  <c r="I12" i="5306"/>
  <c r="I13" i="5306"/>
  <c r="I14" i="5306"/>
  <c r="I15" i="5306"/>
  <c r="I16" i="5306"/>
  <c r="I17" i="5306"/>
  <c r="I18" i="5306"/>
  <c r="I19" i="5306"/>
  <c r="I20" i="5306"/>
  <c r="I21" i="5306"/>
  <c r="I22" i="5306"/>
  <c r="I23" i="5306"/>
  <c r="I24" i="5306"/>
  <c r="I25" i="5306"/>
  <c r="I26" i="5306"/>
  <c r="I27" i="5306"/>
  <c r="I28" i="5306"/>
  <c r="I29" i="5306"/>
  <c r="I30" i="5306"/>
  <c r="I31" i="5306"/>
  <c r="I32" i="5306"/>
  <c r="I33" i="5306"/>
  <c r="I34" i="5306"/>
  <c r="I35" i="5306"/>
  <c r="I36" i="5306"/>
  <c r="I37" i="5306"/>
  <c r="I38" i="5306"/>
  <c r="I39" i="5306"/>
  <c r="I40" i="5306"/>
  <c r="I41" i="5306"/>
  <c r="I42" i="5306"/>
  <c r="I43" i="5306"/>
  <c r="I44" i="5306"/>
  <c r="I45" i="5306"/>
  <c r="I46" i="5306"/>
  <c r="I47" i="5306"/>
  <c r="I48" i="5306"/>
  <c r="I49" i="5306"/>
  <c r="I50" i="5306"/>
  <c r="I51" i="5306"/>
  <c r="I52" i="5306"/>
  <c r="I53" i="5306"/>
  <c r="I54" i="5306"/>
  <c r="I2" i="5305"/>
  <c r="I3" i="5305"/>
  <c r="I4" i="5305"/>
  <c r="I5" i="5305"/>
  <c r="I6" i="5305"/>
  <c r="I7" i="5305"/>
  <c r="I8" i="5305"/>
  <c r="I9" i="5305"/>
  <c r="I10" i="5305"/>
  <c r="I11" i="5305"/>
  <c r="I12" i="5305"/>
  <c r="I13" i="5305"/>
  <c r="I14" i="5305"/>
  <c r="I15" i="5305"/>
  <c r="I16" i="5305"/>
  <c r="I17" i="5305"/>
  <c r="I18" i="5305"/>
  <c r="I19" i="5305"/>
  <c r="I20" i="5305"/>
  <c r="I21" i="5305"/>
  <c r="I22" i="5305"/>
  <c r="I23" i="5305"/>
  <c r="I24" i="5305"/>
  <c r="I25" i="5305"/>
  <c r="I26" i="5305"/>
  <c r="I27" i="5305"/>
  <c r="I28" i="5305"/>
  <c r="I29" i="5305"/>
  <c r="I30" i="5305"/>
  <c r="I31" i="5305"/>
  <c r="I32" i="5305"/>
  <c r="I33" i="5305"/>
  <c r="I34" i="5305"/>
  <c r="I35" i="5305"/>
  <c r="I36" i="5305"/>
  <c r="I37" i="5305"/>
  <c r="I38" i="5305"/>
  <c r="I39" i="5305"/>
  <c r="I40" i="5305"/>
  <c r="I41" i="5305"/>
  <c r="I42" i="5305"/>
  <c r="I43" i="5305"/>
  <c r="I44" i="5305"/>
  <c r="I45" i="5305"/>
  <c r="I46" i="5305"/>
  <c r="I47" i="5305"/>
  <c r="I48" i="5305"/>
  <c r="I49" i="5305"/>
  <c r="I50" i="5305"/>
  <c r="I51" i="5305"/>
  <c r="I52" i="5305"/>
  <c r="I53" i="5305"/>
  <c r="I54" i="5305"/>
  <c r="I2" i="5304"/>
  <c r="I3" i="5304"/>
  <c r="I4" i="5304"/>
  <c r="I5" i="5304"/>
  <c r="I6" i="5304"/>
  <c r="I7" i="5304"/>
  <c r="I8" i="5304"/>
  <c r="I9" i="5304"/>
  <c r="I10" i="5304"/>
  <c r="I11" i="5304"/>
  <c r="I12" i="5304"/>
  <c r="I13" i="5304"/>
  <c r="I14" i="5304"/>
  <c r="I15" i="5304"/>
  <c r="I16" i="5304"/>
  <c r="I17" i="5304"/>
  <c r="I18" i="5304"/>
  <c r="I19" i="5304"/>
  <c r="I20" i="5304"/>
  <c r="I21" i="5304"/>
  <c r="I22" i="5304"/>
  <c r="I23" i="5304"/>
  <c r="I24" i="5304"/>
  <c r="I25" i="5304"/>
  <c r="I26" i="5304"/>
  <c r="I27" i="5304"/>
  <c r="I28" i="5304"/>
  <c r="I29" i="5304"/>
  <c r="I30" i="5304"/>
  <c r="I31" i="5304"/>
  <c r="I32" i="5304"/>
  <c r="I33" i="5304"/>
  <c r="I34" i="5304"/>
  <c r="I35" i="5304"/>
  <c r="I36" i="5304"/>
  <c r="I37" i="5304"/>
  <c r="I38" i="5304"/>
  <c r="I39" i="5304"/>
  <c r="I40" i="5304"/>
  <c r="I41" i="5304"/>
  <c r="I42" i="5304"/>
  <c r="I43" i="5304"/>
  <c r="I44" i="5304"/>
  <c r="I45" i="5304"/>
  <c r="I46" i="5304"/>
  <c r="I47" i="5304"/>
  <c r="I48" i="5304"/>
  <c r="I49" i="5304"/>
  <c r="I50" i="5304"/>
  <c r="I51" i="5304"/>
  <c r="I52" i="5304"/>
  <c r="I53" i="5304"/>
  <c r="I54" i="5304"/>
  <c r="I2" i="5303"/>
  <c r="I3" i="5303"/>
  <c r="I4" i="5303"/>
  <c r="I5" i="5303"/>
  <c r="I6" i="5303"/>
  <c r="I7" i="5303"/>
  <c r="I8" i="5303"/>
  <c r="I9" i="5303"/>
  <c r="I10" i="5303"/>
  <c r="I11" i="5303"/>
  <c r="I12" i="5303"/>
  <c r="I13" i="5303"/>
  <c r="I14" i="5303"/>
  <c r="I15" i="5303"/>
  <c r="I16" i="5303"/>
  <c r="I17" i="5303"/>
  <c r="I18" i="5303"/>
  <c r="I19" i="5303"/>
  <c r="I20" i="5303"/>
  <c r="I21" i="5303"/>
  <c r="I22" i="5303"/>
  <c r="I23" i="5303"/>
  <c r="I24" i="5303"/>
  <c r="I25" i="5303"/>
  <c r="I26" i="5303"/>
  <c r="I27" i="5303"/>
  <c r="I28" i="5303"/>
  <c r="I29" i="5303"/>
  <c r="I30" i="5303"/>
  <c r="I31" i="5303"/>
  <c r="I32" i="5303"/>
  <c r="I33" i="5303"/>
  <c r="I34" i="5303"/>
  <c r="I35" i="5303"/>
  <c r="I36" i="5303"/>
  <c r="I37" i="5303"/>
  <c r="I38" i="5303"/>
  <c r="I39" i="5303"/>
  <c r="I40" i="5303"/>
  <c r="I41" i="5303"/>
  <c r="I42" i="5303"/>
  <c r="I43" i="5303"/>
  <c r="I44" i="5303"/>
  <c r="I45" i="5303"/>
  <c r="I46" i="5303"/>
  <c r="I47" i="5303"/>
  <c r="I48" i="5303"/>
  <c r="I49" i="5303"/>
  <c r="I50" i="5303"/>
  <c r="I51" i="5303"/>
  <c r="I52" i="5303"/>
  <c r="I53" i="5303"/>
  <c r="I54" i="5303"/>
  <c r="I2" i="5302"/>
  <c r="I3" i="5302"/>
  <c r="I4" i="5302"/>
  <c r="I5" i="5302"/>
  <c r="I6" i="5302"/>
  <c r="I7" i="5302"/>
  <c r="I8" i="5302"/>
  <c r="I9" i="5302"/>
  <c r="I10" i="5302"/>
  <c r="I11" i="5302"/>
  <c r="I12" i="5302"/>
  <c r="I13" i="5302"/>
  <c r="I14" i="5302"/>
  <c r="I15" i="5302"/>
  <c r="I16" i="5302"/>
  <c r="I17" i="5302"/>
  <c r="I18" i="5302"/>
  <c r="I19" i="5302"/>
  <c r="I20" i="5302"/>
  <c r="I21" i="5302"/>
  <c r="I22" i="5302"/>
  <c r="I23" i="5302"/>
  <c r="I24" i="5302"/>
  <c r="I25" i="5302"/>
  <c r="I26" i="5302"/>
  <c r="I27" i="5302"/>
  <c r="I28" i="5302"/>
  <c r="I29" i="5302"/>
  <c r="I30" i="5302"/>
  <c r="I31" i="5302"/>
  <c r="I32" i="5302"/>
  <c r="I33" i="5302"/>
  <c r="I34" i="5302"/>
  <c r="I35" i="5302"/>
  <c r="I36" i="5302"/>
  <c r="I37" i="5302"/>
  <c r="I38" i="5302"/>
  <c r="I39" i="5302"/>
  <c r="I40" i="5302"/>
  <c r="I41" i="5302"/>
  <c r="I42" i="5302"/>
  <c r="I43" i="5302"/>
  <c r="I44" i="5302"/>
  <c r="I45" i="5302"/>
  <c r="I46" i="5302"/>
  <c r="I47" i="5302"/>
  <c r="I48" i="5302"/>
  <c r="I49" i="5302"/>
  <c r="I50" i="5302"/>
  <c r="I51" i="5302"/>
  <c r="I52" i="5302"/>
  <c r="I53" i="5302"/>
  <c r="I54" i="5302"/>
  <c r="H2" i="5307"/>
  <c r="H3" i="5307"/>
  <c r="H4" i="5307"/>
  <c r="H5" i="5307"/>
  <c r="H6" i="5307"/>
  <c r="H7" i="5307"/>
  <c r="H8" i="5307"/>
  <c r="H9" i="5307"/>
  <c r="H10" i="5307"/>
  <c r="H11" i="5307"/>
  <c r="H12" i="5307"/>
  <c r="H13" i="5307"/>
  <c r="H14" i="5307"/>
  <c r="H15" i="5307"/>
  <c r="H16" i="5307"/>
  <c r="H17" i="5307"/>
  <c r="H18" i="5307"/>
  <c r="H19" i="5307"/>
  <c r="H20" i="5307"/>
  <c r="H21" i="5307"/>
  <c r="H22" i="5307"/>
  <c r="H23" i="5307"/>
  <c r="H24" i="5307"/>
  <c r="H25" i="5307"/>
  <c r="H26" i="5307"/>
  <c r="H27" i="5307"/>
  <c r="H28" i="5307"/>
  <c r="H29" i="5307"/>
  <c r="H30" i="5307"/>
  <c r="H31" i="5307"/>
  <c r="H32" i="5307"/>
  <c r="H33" i="5307"/>
  <c r="H34" i="5307"/>
  <c r="H35" i="5307"/>
  <c r="H36" i="5307"/>
  <c r="H37" i="5307"/>
  <c r="H38" i="5307"/>
  <c r="H39" i="5307"/>
  <c r="H40" i="5307"/>
  <c r="H41" i="5307"/>
  <c r="H42" i="5307"/>
  <c r="H43" i="5307"/>
  <c r="H44" i="5307"/>
  <c r="H45" i="5307"/>
  <c r="H46" i="5307"/>
  <c r="H47" i="5307"/>
  <c r="H48" i="5307"/>
  <c r="H49" i="5307"/>
  <c r="H50" i="5307"/>
  <c r="H51" i="5307"/>
  <c r="H52" i="5307"/>
  <c r="H53" i="5307"/>
  <c r="H54" i="5307"/>
  <c r="H2" i="5306"/>
  <c r="H3" i="5306"/>
  <c r="H4" i="5306"/>
  <c r="H5" i="5306"/>
  <c r="H6" i="5306"/>
  <c r="H7" i="5306"/>
  <c r="H8" i="5306"/>
  <c r="H9" i="5306"/>
  <c r="H10" i="5306"/>
  <c r="H11" i="5306"/>
  <c r="H12" i="5306"/>
  <c r="H13" i="5306"/>
  <c r="H14" i="5306"/>
  <c r="H15" i="5306"/>
  <c r="H16" i="5306"/>
  <c r="H17" i="5306"/>
  <c r="H18" i="5306"/>
  <c r="H19" i="5306"/>
  <c r="H20" i="5306"/>
  <c r="H21" i="5306"/>
  <c r="H22" i="5306"/>
  <c r="H23" i="5306"/>
  <c r="H24" i="5306"/>
  <c r="H25" i="5306"/>
  <c r="H26" i="5306"/>
  <c r="H27" i="5306"/>
  <c r="H28" i="5306"/>
  <c r="H29" i="5306"/>
  <c r="H30" i="5306"/>
  <c r="H31" i="5306"/>
  <c r="H32" i="5306"/>
  <c r="H33" i="5306"/>
  <c r="H34" i="5306"/>
  <c r="H35" i="5306"/>
  <c r="H36" i="5306"/>
  <c r="H37" i="5306"/>
  <c r="H38" i="5306"/>
  <c r="H39" i="5306"/>
  <c r="H40" i="5306"/>
  <c r="H41" i="5306"/>
  <c r="H42" i="5306"/>
  <c r="H43" i="5306"/>
  <c r="H44" i="5306"/>
  <c r="H45" i="5306"/>
  <c r="H46" i="5306"/>
  <c r="H47" i="5306"/>
  <c r="H48" i="5306"/>
  <c r="H49" i="5306"/>
  <c r="H50" i="5306"/>
  <c r="H51" i="5306"/>
  <c r="H52" i="5306"/>
  <c r="H53" i="5306"/>
  <c r="H54" i="5306"/>
  <c r="H2" i="5305"/>
  <c r="H3" i="5305"/>
  <c r="H4" i="5305"/>
  <c r="H5" i="5305"/>
  <c r="H6" i="5305"/>
  <c r="H7" i="5305"/>
  <c r="H8" i="5305"/>
  <c r="H9" i="5305"/>
  <c r="H10" i="5305"/>
  <c r="H11" i="5305"/>
  <c r="H12" i="5305"/>
  <c r="H13" i="5305"/>
  <c r="H14" i="5305"/>
  <c r="H15" i="5305"/>
  <c r="H16" i="5305"/>
  <c r="H17" i="5305"/>
  <c r="H18" i="5305"/>
  <c r="H19" i="5305"/>
  <c r="H20" i="5305"/>
  <c r="H21" i="5305"/>
  <c r="H22" i="5305"/>
  <c r="H23" i="5305"/>
  <c r="H24" i="5305"/>
  <c r="H25" i="5305"/>
  <c r="H26" i="5305"/>
  <c r="H27" i="5305"/>
  <c r="H28" i="5305"/>
  <c r="H29" i="5305"/>
  <c r="H30" i="5305"/>
  <c r="H31" i="5305"/>
  <c r="H32" i="5305"/>
  <c r="H33" i="5305"/>
  <c r="H34" i="5305"/>
  <c r="H35" i="5305"/>
  <c r="H36" i="5305"/>
  <c r="H37" i="5305"/>
  <c r="H38" i="5305"/>
  <c r="H39" i="5305"/>
  <c r="H40" i="5305"/>
  <c r="H41" i="5305"/>
  <c r="H42" i="5305"/>
  <c r="H43" i="5305"/>
  <c r="H44" i="5305"/>
  <c r="H45" i="5305"/>
  <c r="H46" i="5305"/>
  <c r="H47" i="5305"/>
  <c r="H48" i="5305"/>
  <c r="H49" i="5305"/>
  <c r="H50" i="5305"/>
  <c r="H51" i="5305"/>
  <c r="H52" i="5305"/>
  <c r="H53" i="5305"/>
  <c r="H54" i="5305"/>
  <c r="H2" i="5304"/>
  <c r="H3" i="5304"/>
  <c r="H4" i="5304"/>
  <c r="H5" i="5304"/>
  <c r="H6" i="5304"/>
  <c r="H7" i="5304"/>
  <c r="H8" i="5304"/>
  <c r="H9" i="5304"/>
  <c r="H10" i="5304"/>
  <c r="H11" i="5304"/>
  <c r="H12" i="5304"/>
  <c r="H13" i="5304"/>
  <c r="H14" i="5304"/>
  <c r="H15" i="5304"/>
  <c r="H16" i="5304"/>
  <c r="H17" i="5304"/>
  <c r="H18" i="5304"/>
  <c r="H19" i="5304"/>
  <c r="H20" i="5304"/>
  <c r="H21" i="5304"/>
  <c r="H22" i="5304"/>
  <c r="H23" i="5304"/>
  <c r="H24" i="5304"/>
  <c r="H25" i="5304"/>
  <c r="H26" i="5304"/>
  <c r="H27" i="5304"/>
  <c r="H28" i="5304"/>
  <c r="H29" i="5304"/>
  <c r="H30" i="5304"/>
  <c r="H31" i="5304"/>
  <c r="H32" i="5304"/>
  <c r="H33" i="5304"/>
  <c r="H34" i="5304"/>
  <c r="H35" i="5304"/>
  <c r="H36" i="5304"/>
  <c r="H37" i="5304"/>
  <c r="H38" i="5304"/>
  <c r="H39" i="5304"/>
  <c r="H40" i="5304"/>
  <c r="H41" i="5304"/>
  <c r="H42" i="5304"/>
  <c r="H43" i="5304"/>
  <c r="H44" i="5304"/>
  <c r="H45" i="5304"/>
  <c r="H46" i="5304"/>
  <c r="H47" i="5304"/>
  <c r="H48" i="5304"/>
  <c r="H49" i="5304"/>
  <c r="H50" i="5304"/>
  <c r="H51" i="5304"/>
  <c r="H52" i="5304"/>
  <c r="H53" i="5304"/>
  <c r="H54" i="5304"/>
  <c r="H2" i="5303"/>
  <c r="H3" i="5303"/>
  <c r="H4" i="5303"/>
  <c r="H5" i="5303"/>
  <c r="H6" i="5303"/>
  <c r="H7" i="5303"/>
  <c r="H8" i="5303"/>
  <c r="H9" i="5303"/>
  <c r="H10" i="5303"/>
  <c r="H11" i="5303"/>
  <c r="H12" i="5303"/>
  <c r="H13" i="5303"/>
  <c r="H14" i="5303"/>
  <c r="H15" i="5303"/>
  <c r="H16" i="5303"/>
  <c r="H17" i="5303"/>
  <c r="H18" i="5303"/>
  <c r="H19" i="5303"/>
  <c r="H20" i="5303"/>
  <c r="H21" i="5303"/>
  <c r="H22" i="5303"/>
  <c r="H23" i="5303"/>
  <c r="H24" i="5303"/>
  <c r="H25" i="5303"/>
  <c r="H26" i="5303"/>
  <c r="H27" i="5303"/>
  <c r="H28" i="5303"/>
  <c r="H29" i="5303"/>
  <c r="H30" i="5303"/>
  <c r="H31" i="5303"/>
  <c r="H32" i="5303"/>
  <c r="H33" i="5303"/>
  <c r="H34" i="5303"/>
  <c r="H35" i="5303"/>
  <c r="H36" i="5303"/>
  <c r="H37" i="5303"/>
  <c r="H38" i="5303"/>
  <c r="H39" i="5303"/>
  <c r="H40" i="5303"/>
  <c r="H41" i="5303"/>
  <c r="H42" i="5303"/>
  <c r="H43" i="5303"/>
  <c r="H44" i="5303"/>
  <c r="H45" i="5303"/>
  <c r="H46" i="5303"/>
  <c r="H47" i="5303"/>
  <c r="H48" i="5303"/>
  <c r="H49" i="5303"/>
  <c r="H50" i="5303"/>
  <c r="H51" i="5303"/>
  <c r="H52" i="5303"/>
  <c r="H53" i="5303"/>
  <c r="H54" i="5303"/>
  <c r="H2" i="5302"/>
  <c r="H3" i="5302"/>
  <c r="H4" i="5302"/>
  <c r="H5" i="5302"/>
  <c r="H6" i="5302"/>
  <c r="H7" i="5302"/>
  <c r="H8" i="5302"/>
  <c r="H9" i="5302"/>
  <c r="H10" i="5302"/>
  <c r="H11" i="5302"/>
  <c r="H12" i="5302"/>
  <c r="H13" i="5302"/>
  <c r="H14" i="5302"/>
  <c r="H15" i="5302"/>
  <c r="H16" i="5302"/>
  <c r="H17" i="5302"/>
  <c r="H18" i="5302"/>
  <c r="H19" i="5302"/>
  <c r="H20" i="5302"/>
  <c r="H21" i="5302"/>
  <c r="H22" i="5302"/>
  <c r="H23" i="5302"/>
  <c r="H24" i="5302"/>
  <c r="H25" i="5302"/>
  <c r="H26" i="5302"/>
  <c r="H27" i="5302"/>
  <c r="H28" i="5302"/>
  <c r="H29" i="5302"/>
  <c r="H30" i="5302"/>
  <c r="H31" i="5302"/>
  <c r="H32" i="5302"/>
  <c r="H33" i="5302"/>
  <c r="H34" i="5302"/>
  <c r="H35" i="5302"/>
  <c r="H36" i="5302"/>
  <c r="H37" i="5302"/>
  <c r="H38" i="5302"/>
  <c r="H39" i="5302"/>
  <c r="H40" i="5302"/>
  <c r="H41" i="5302"/>
  <c r="H42" i="5302"/>
  <c r="H43" i="5302"/>
  <c r="H44" i="5302"/>
  <c r="H45" i="5302"/>
  <c r="H46" i="5302"/>
  <c r="H47" i="5302"/>
  <c r="H48" i="5302"/>
  <c r="H49" i="5302"/>
  <c r="H50" i="5302"/>
  <c r="H51" i="5302"/>
  <c r="H52" i="5302"/>
  <c r="H53" i="5302"/>
  <c r="H54" i="5302"/>
  <c r="G2" i="5307"/>
  <c r="G3" i="5307"/>
  <c r="G4" i="5307"/>
  <c r="G5" i="5307"/>
  <c r="G6" i="5307"/>
  <c r="G7" i="5307"/>
  <c r="G8" i="5307"/>
  <c r="G9" i="5307"/>
  <c r="G10" i="5307"/>
  <c r="G11" i="5307"/>
  <c r="G12" i="5307"/>
  <c r="G13" i="5307"/>
  <c r="G14" i="5307"/>
  <c r="G15" i="5307"/>
  <c r="G16" i="5307"/>
  <c r="G17" i="5307"/>
  <c r="G18" i="5307"/>
  <c r="G19" i="5307"/>
  <c r="G20" i="5307"/>
  <c r="G21" i="5307"/>
  <c r="G22" i="5307"/>
  <c r="G23" i="5307"/>
  <c r="G24" i="5307"/>
  <c r="G25" i="5307"/>
  <c r="G26" i="5307"/>
  <c r="G27" i="5307"/>
  <c r="G28" i="5307"/>
  <c r="G29" i="5307"/>
  <c r="G30" i="5307"/>
  <c r="G31" i="5307"/>
  <c r="G32" i="5307"/>
  <c r="G33" i="5307"/>
  <c r="G34" i="5307"/>
  <c r="G35" i="5307"/>
  <c r="G36" i="5307"/>
  <c r="G37" i="5307"/>
  <c r="G38" i="5307"/>
  <c r="G39" i="5307"/>
  <c r="G40" i="5307"/>
  <c r="G41" i="5307"/>
  <c r="G42" i="5307"/>
  <c r="G43" i="5307"/>
  <c r="G44" i="5307"/>
  <c r="G45" i="5307"/>
  <c r="G46" i="5307"/>
  <c r="G47" i="5307"/>
  <c r="G48" i="5307"/>
  <c r="G49" i="5307"/>
  <c r="G50" i="5307"/>
  <c r="G51" i="5307"/>
  <c r="G52" i="5307"/>
  <c r="G53" i="5307"/>
  <c r="G54" i="5307"/>
  <c r="G2" i="5306"/>
  <c r="G3" i="5306"/>
  <c r="G4" i="5306"/>
  <c r="G5" i="5306"/>
  <c r="G6" i="5306"/>
  <c r="G7" i="5306"/>
  <c r="G8" i="5306"/>
  <c r="G9" i="5306"/>
  <c r="G10" i="5306"/>
  <c r="G11" i="5306"/>
  <c r="G12" i="5306"/>
  <c r="G13" i="5306"/>
  <c r="G14" i="5306"/>
  <c r="G15" i="5306"/>
  <c r="G16" i="5306"/>
  <c r="G17" i="5306"/>
  <c r="G18" i="5306"/>
  <c r="G19" i="5306"/>
  <c r="G20" i="5306"/>
  <c r="G21" i="5306"/>
  <c r="G22" i="5306"/>
  <c r="G23" i="5306"/>
  <c r="G24" i="5306"/>
  <c r="G25" i="5306"/>
  <c r="G26" i="5306"/>
  <c r="G27" i="5306"/>
  <c r="G28" i="5306"/>
  <c r="G29" i="5306"/>
  <c r="G30" i="5306"/>
  <c r="G31" i="5306"/>
  <c r="G32" i="5306"/>
  <c r="G33" i="5306"/>
  <c r="G34" i="5306"/>
  <c r="G35" i="5306"/>
  <c r="G36" i="5306"/>
  <c r="G37" i="5306"/>
  <c r="G38" i="5306"/>
  <c r="G39" i="5306"/>
  <c r="G40" i="5306"/>
  <c r="G41" i="5306"/>
  <c r="G42" i="5306"/>
  <c r="G43" i="5306"/>
  <c r="G44" i="5306"/>
  <c r="G45" i="5306"/>
  <c r="G46" i="5306"/>
  <c r="G47" i="5306"/>
  <c r="G48" i="5306"/>
  <c r="G49" i="5306"/>
  <c r="G50" i="5306"/>
  <c r="G51" i="5306"/>
  <c r="G52" i="5306"/>
  <c r="G53" i="5306"/>
  <c r="G54" i="5306"/>
  <c r="G2" i="5305"/>
  <c r="G3" i="5305"/>
  <c r="G4" i="5305"/>
  <c r="G5" i="5305"/>
  <c r="G6" i="5305"/>
  <c r="G7" i="5305"/>
  <c r="G8" i="5305"/>
  <c r="G9" i="5305"/>
  <c r="G10" i="5305"/>
  <c r="G11" i="5305"/>
  <c r="G12" i="5305"/>
  <c r="G13" i="5305"/>
  <c r="G14" i="5305"/>
  <c r="G15" i="5305"/>
  <c r="G16" i="5305"/>
  <c r="G17" i="5305"/>
  <c r="G18" i="5305"/>
  <c r="G19" i="5305"/>
  <c r="G20" i="5305"/>
  <c r="G21" i="5305"/>
  <c r="G22" i="5305"/>
  <c r="G23" i="5305"/>
  <c r="G24" i="5305"/>
  <c r="G25" i="5305"/>
  <c r="G26" i="5305"/>
  <c r="G27" i="5305"/>
  <c r="G28" i="5305"/>
  <c r="G29" i="5305"/>
  <c r="G30" i="5305"/>
  <c r="G31" i="5305"/>
  <c r="G32" i="5305"/>
  <c r="G33" i="5305"/>
  <c r="G34" i="5305"/>
  <c r="G35" i="5305"/>
  <c r="G36" i="5305"/>
  <c r="G37" i="5305"/>
  <c r="G38" i="5305"/>
  <c r="G39" i="5305"/>
  <c r="G40" i="5305"/>
  <c r="G41" i="5305"/>
  <c r="G42" i="5305"/>
  <c r="G43" i="5305"/>
  <c r="G44" i="5305"/>
  <c r="G45" i="5305"/>
  <c r="G46" i="5305"/>
  <c r="G47" i="5305"/>
  <c r="G48" i="5305"/>
  <c r="G49" i="5305"/>
  <c r="G50" i="5305"/>
  <c r="G51" i="5305"/>
  <c r="G52" i="5305"/>
  <c r="G53" i="5305"/>
  <c r="G54" i="5305"/>
  <c r="G2" i="5304"/>
  <c r="G3" i="5304"/>
  <c r="G4" i="5304"/>
  <c r="G5" i="5304"/>
  <c r="G6" i="5304"/>
  <c r="G7" i="5304"/>
  <c r="G8" i="5304"/>
  <c r="G9" i="5304"/>
  <c r="G10" i="5304"/>
  <c r="G11" i="5304"/>
  <c r="G12" i="5304"/>
  <c r="G13" i="5304"/>
  <c r="G14" i="5304"/>
  <c r="G15" i="5304"/>
  <c r="G16" i="5304"/>
  <c r="G17" i="5304"/>
  <c r="G18" i="5304"/>
  <c r="G19" i="5304"/>
  <c r="G20" i="5304"/>
  <c r="G21" i="5304"/>
  <c r="G22" i="5304"/>
  <c r="G23" i="5304"/>
  <c r="G24" i="5304"/>
  <c r="G25" i="5304"/>
  <c r="G26" i="5304"/>
  <c r="G27" i="5304"/>
  <c r="G28" i="5304"/>
  <c r="G29" i="5304"/>
  <c r="G30" i="5304"/>
  <c r="G31" i="5304"/>
  <c r="G32" i="5304"/>
  <c r="G33" i="5304"/>
  <c r="G34" i="5304"/>
  <c r="G35" i="5304"/>
  <c r="G36" i="5304"/>
  <c r="G37" i="5304"/>
  <c r="G38" i="5304"/>
  <c r="G39" i="5304"/>
  <c r="G40" i="5304"/>
  <c r="G41" i="5304"/>
  <c r="G42" i="5304"/>
  <c r="G43" i="5304"/>
  <c r="G44" i="5304"/>
  <c r="G45" i="5304"/>
  <c r="G46" i="5304"/>
  <c r="G47" i="5304"/>
  <c r="G48" i="5304"/>
  <c r="G49" i="5304"/>
  <c r="G50" i="5304"/>
  <c r="G51" i="5304"/>
  <c r="G52" i="5304"/>
  <c r="G53" i="5304"/>
  <c r="G54" i="5304"/>
  <c r="G2" i="5303"/>
  <c r="G3" i="5303"/>
  <c r="G4" i="5303"/>
  <c r="G5" i="5303"/>
  <c r="G6" i="5303"/>
  <c r="G7" i="5303"/>
  <c r="G8" i="5303"/>
  <c r="G9" i="5303"/>
  <c r="G10" i="5303"/>
  <c r="G11" i="5303"/>
  <c r="G12" i="5303"/>
  <c r="G13" i="5303"/>
  <c r="G14" i="5303"/>
  <c r="G15" i="5303"/>
  <c r="G16" i="5303"/>
  <c r="G17" i="5303"/>
  <c r="G18" i="5303"/>
  <c r="G19" i="5303"/>
  <c r="G20" i="5303"/>
  <c r="G21" i="5303"/>
  <c r="G22" i="5303"/>
  <c r="G23" i="5303"/>
  <c r="G24" i="5303"/>
  <c r="G25" i="5303"/>
  <c r="G26" i="5303"/>
  <c r="G27" i="5303"/>
  <c r="G28" i="5303"/>
  <c r="G29" i="5303"/>
  <c r="G30" i="5303"/>
  <c r="G31" i="5303"/>
  <c r="G32" i="5303"/>
  <c r="G33" i="5303"/>
  <c r="G34" i="5303"/>
  <c r="G35" i="5303"/>
  <c r="G36" i="5303"/>
  <c r="G37" i="5303"/>
  <c r="G38" i="5303"/>
  <c r="G39" i="5303"/>
  <c r="G40" i="5303"/>
  <c r="G41" i="5303"/>
  <c r="G42" i="5303"/>
  <c r="G43" i="5303"/>
  <c r="G44" i="5303"/>
  <c r="G45" i="5303"/>
  <c r="G46" i="5303"/>
  <c r="G47" i="5303"/>
  <c r="G48" i="5303"/>
  <c r="G49" i="5303"/>
  <c r="G50" i="5303"/>
  <c r="G51" i="5303"/>
  <c r="G52" i="5303"/>
  <c r="G53" i="5303"/>
  <c r="G54" i="5303"/>
  <c r="G2" i="5302"/>
  <c r="G3" i="5302"/>
  <c r="G4" i="5302"/>
  <c r="G5" i="5302"/>
  <c r="G6" i="5302"/>
  <c r="G7" i="5302"/>
  <c r="G8" i="5302"/>
  <c r="G9" i="5302"/>
  <c r="G10" i="5302"/>
  <c r="G11" i="5302"/>
  <c r="G12" i="5302"/>
  <c r="G13" i="5302"/>
  <c r="G14" i="5302"/>
  <c r="G15" i="5302"/>
  <c r="G16" i="5302"/>
  <c r="G17" i="5302"/>
  <c r="G18" i="5302"/>
  <c r="G19" i="5302"/>
  <c r="G20" i="5302"/>
  <c r="G21" i="5302"/>
  <c r="G22" i="5302"/>
  <c r="G23" i="5302"/>
  <c r="G24" i="5302"/>
  <c r="G25" i="5302"/>
  <c r="G26" i="5302"/>
  <c r="G27" i="5302"/>
  <c r="G28" i="5302"/>
  <c r="G29" i="5302"/>
  <c r="G30" i="5302"/>
  <c r="G31" i="5302"/>
  <c r="G32" i="5302"/>
  <c r="G33" i="5302"/>
  <c r="G34" i="5302"/>
  <c r="G35" i="5302"/>
  <c r="G36" i="5302"/>
  <c r="G37" i="5302"/>
  <c r="G38" i="5302"/>
  <c r="G39" i="5302"/>
  <c r="G40" i="5302"/>
  <c r="G41" i="5302"/>
  <c r="G42" i="5302"/>
  <c r="G43" i="5302"/>
  <c r="G44" i="5302"/>
  <c r="G45" i="5302"/>
  <c r="G46" i="5302"/>
  <c r="G47" i="5302"/>
  <c r="G48" i="5302"/>
  <c r="G49" i="5302"/>
  <c r="G50" i="5302"/>
  <c r="G51" i="5302"/>
  <c r="G52" i="5302"/>
  <c r="G53" i="5302"/>
  <c r="G54" i="5302"/>
  <c r="F2" i="5307"/>
  <c r="F3" i="5307"/>
  <c r="F4" i="5307"/>
  <c r="F5" i="5307"/>
  <c r="F6" i="5307"/>
  <c r="F7" i="5307"/>
  <c r="F8" i="5307"/>
  <c r="F9" i="5307"/>
  <c r="F10" i="5307"/>
  <c r="F11" i="5307"/>
  <c r="F12" i="5307"/>
  <c r="F13" i="5307"/>
  <c r="F14" i="5307"/>
  <c r="F15" i="5307"/>
  <c r="F16" i="5307"/>
  <c r="F17" i="5307"/>
  <c r="F18" i="5307"/>
  <c r="F19" i="5307"/>
  <c r="F20" i="5307"/>
  <c r="F21" i="5307"/>
  <c r="F22" i="5307"/>
  <c r="F23" i="5307"/>
  <c r="F24" i="5307"/>
  <c r="F25" i="5307"/>
  <c r="F26" i="5307"/>
  <c r="F27" i="5307"/>
  <c r="F28" i="5307"/>
  <c r="F29" i="5307"/>
  <c r="F30" i="5307"/>
  <c r="F31" i="5307"/>
  <c r="F32" i="5307"/>
  <c r="F33" i="5307"/>
  <c r="F34" i="5307"/>
  <c r="F35" i="5307"/>
  <c r="F36" i="5307"/>
  <c r="F37" i="5307"/>
  <c r="F38" i="5307"/>
  <c r="F39" i="5307"/>
  <c r="F40" i="5307"/>
  <c r="F41" i="5307"/>
  <c r="F42" i="5307"/>
  <c r="F43" i="5307"/>
  <c r="F44" i="5307"/>
  <c r="F45" i="5307"/>
  <c r="F46" i="5307"/>
  <c r="F47" i="5307"/>
  <c r="F48" i="5307"/>
  <c r="F49" i="5307"/>
  <c r="F50" i="5307"/>
  <c r="F51" i="5307"/>
  <c r="F52" i="5307"/>
  <c r="F53" i="5307"/>
  <c r="F54" i="5307"/>
  <c r="F2" i="5306"/>
  <c r="F3" i="5306"/>
  <c r="F4" i="5306"/>
  <c r="F5" i="5306"/>
  <c r="F6" i="5306"/>
  <c r="F7" i="5306"/>
  <c r="F8" i="5306"/>
  <c r="F9" i="5306"/>
  <c r="F10" i="5306"/>
  <c r="F11" i="5306"/>
  <c r="F12" i="5306"/>
  <c r="F13" i="5306"/>
  <c r="F14" i="5306"/>
  <c r="F15" i="5306"/>
  <c r="F16" i="5306"/>
  <c r="F17" i="5306"/>
  <c r="F18" i="5306"/>
  <c r="F19" i="5306"/>
  <c r="F20" i="5306"/>
  <c r="F21" i="5306"/>
  <c r="F22" i="5306"/>
  <c r="F23" i="5306"/>
  <c r="F24" i="5306"/>
  <c r="F25" i="5306"/>
  <c r="F26" i="5306"/>
  <c r="F27" i="5306"/>
  <c r="F28" i="5306"/>
  <c r="F29" i="5306"/>
  <c r="F30" i="5306"/>
  <c r="F31" i="5306"/>
  <c r="F32" i="5306"/>
  <c r="F33" i="5306"/>
  <c r="F34" i="5306"/>
  <c r="F35" i="5306"/>
  <c r="F36" i="5306"/>
  <c r="F37" i="5306"/>
  <c r="F38" i="5306"/>
  <c r="F39" i="5306"/>
  <c r="F40" i="5306"/>
  <c r="F41" i="5306"/>
  <c r="F42" i="5306"/>
  <c r="F43" i="5306"/>
  <c r="F44" i="5306"/>
  <c r="F45" i="5306"/>
  <c r="F46" i="5306"/>
  <c r="F47" i="5306"/>
  <c r="F48" i="5306"/>
  <c r="F49" i="5306"/>
  <c r="F50" i="5306"/>
  <c r="F51" i="5306"/>
  <c r="F52" i="5306"/>
  <c r="F53" i="5306"/>
  <c r="F54" i="5306"/>
  <c r="F2" i="5305"/>
  <c r="F3" i="5305"/>
  <c r="F4" i="5305"/>
  <c r="F5" i="5305"/>
  <c r="F6" i="5305"/>
  <c r="F7" i="5305"/>
  <c r="F8" i="5305"/>
  <c r="F9" i="5305"/>
  <c r="F10" i="5305"/>
  <c r="F11" i="5305"/>
  <c r="F12" i="5305"/>
  <c r="F13" i="5305"/>
  <c r="F14" i="5305"/>
  <c r="F15" i="5305"/>
  <c r="F16" i="5305"/>
  <c r="F17" i="5305"/>
  <c r="F18" i="5305"/>
  <c r="F19" i="5305"/>
  <c r="F20" i="5305"/>
  <c r="F21" i="5305"/>
  <c r="F22" i="5305"/>
  <c r="F23" i="5305"/>
  <c r="F24" i="5305"/>
  <c r="F25" i="5305"/>
  <c r="F26" i="5305"/>
  <c r="F27" i="5305"/>
  <c r="F28" i="5305"/>
  <c r="F29" i="5305"/>
  <c r="F30" i="5305"/>
  <c r="F31" i="5305"/>
  <c r="F32" i="5305"/>
  <c r="F33" i="5305"/>
  <c r="F34" i="5305"/>
  <c r="F35" i="5305"/>
  <c r="F36" i="5305"/>
  <c r="F37" i="5305"/>
  <c r="F38" i="5305"/>
  <c r="F39" i="5305"/>
  <c r="F40" i="5305"/>
  <c r="F41" i="5305"/>
  <c r="F42" i="5305"/>
  <c r="F43" i="5305"/>
  <c r="F44" i="5305"/>
  <c r="F45" i="5305"/>
  <c r="F46" i="5305"/>
  <c r="F47" i="5305"/>
  <c r="F48" i="5305"/>
  <c r="F49" i="5305"/>
  <c r="F50" i="5305"/>
  <c r="F51" i="5305"/>
  <c r="F52" i="5305"/>
  <c r="F53" i="5305"/>
  <c r="F54" i="5305"/>
  <c r="F2" i="5304"/>
  <c r="F3" i="5304"/>
  <c r="F4" i="5304"/>
  <c r="F5" i="5304"/>
  <c r="F6" i="5304"/>
  <c r="F7" i="5304"/>
  <c r="F8" i="5304"/>
  <c r="F9" i="5304"/>
  <c r="F10" i="5304"/>
  <c r="F11" i="5304"/>
  <c r="F12" i="5304"/>
  <c r="F13" i="5304"/>
  <c r="F14" i="5304"/>
  <c r="F15" i="5304"/>
  <c r="F16" i="5304"/>
  <c r="F17" i="5304"/>
  <c r="F18" i="5304"/>
  <c r="F19" i="5304"/>
  <c r="F20" i="5304"/>
  <c r="F21" i="5304"/>
  <c r="F22" i="5304"/>
  <c r="F23" i="5304"/>
  <c r="F24" i="5304"/>
  <c r="F25" i="5304"/>
  <c r="F26" i="5304"/>
  <c r="F27" i="5304"/>
  <c r="F28" i="5304"/>
  <c r="F29" i="5304"/>
  <c r="F30" i="5304"/>
  <c r="F31" i="5304"/>
  <c r="F32" i="5304"/>
  <c r="F33" i="5304"/>
  <c r="F34" i="5304"/>
  <c r="F35" i="5304"/>
  <c r="F36" i="5304"/>
  <c r="F37" i="5304"/>
  <c r="F38" i="5304"/>
  <c r="F39" i="5304"/>
  <c r="F40" i="5304"/>
  <c r="F41" i="5304"/>
  <c r="F42" i="5304"/>
  <c r="F43" i="5304"/>
  <c r="F44" i="5304"/>
  <c r="F45" i="5304"/>
  <c r="F46" i="5304"/>
  <c r="F47" i="5304"/>
  <c r="F48" i="5304"/>
  <c r="F49" i="5304"/>
  <c r="F50" i="5304"/>
  <c r="F51" i="5304"/>
  <c r="F52" i="5304"/>
  <c r="F53" i="5304"/>
  <c r="F54" i="5304"/>
  <c r="F2" i="5303"/>
  <c r="F3" i="5303"/>
  <c r="F4" i="5303"/>
  <c r="F5" i="5303"/>
  <c r="F6" i="5303"/>
  <c r="F7" i="5303"/>
  <c r="F8" i="5303"/>
  <c r="F9" i="5303"/>
  <c r="F10" i="5303"/>
  <c r="F11" i="5303"/>
  <c r="F12" i="5303"/>
  <c r="F13" i="5303"/>
  <c r="F14" i="5303"/>
  <c r="F15" i="5303"/>
  <c r="F16" i="5303"/>
  <c r="F17" i="5303"/>
  <c r="F18" i="5303"/>
  <c r="F19" i="5303"/>
  <c r="F20" i="5303"/>
  <c r="F21" i="5303"/>
  <c r="F22" i="5303"/>
  <c r="F23" i="5303"/>
  <c r="F24" i="5303"/>
  <c r="F25" i="5303"/>
  <c r="F26" i="5303"/>
  <c r="F27" i="5303"/>
  <c r="F28" i="5303"/>
  <c r="F29" i="5303"/>
  <c r="F30" i="5303"/>
  <c r="F31" i="5303"/>
  <c r="F32" i="5303"/>
  <c r="F33" i="5303"/>
  <c r="F34" i="5303"/>
  <c r="F35" i="5303"/>
  <c r="F36" i="5303"/>
  <c r="F37" i="5303"/>
  <c r="F38" i="5303"/>
  <c r="F39" i="5303"/>
  <c r="F40" i="5303"/>
  <c r="F41" i="5303"/>
  <c r="F42" i="5303"/>
  <c r="F43" i="5303"/>
  <c r="F44" i="5303"/>
  <c r="F45" i="5303"/>
  <c r="F46" i="5303"/>
  <c r="F47" i="5303"/>
  <c r="F48" i="5303"/>
  <c r="F49" i="5303"/>
  <c r="F50" i="5303"/>
  <c r="F51" i="5303"/>
  <c r="F52" i="5303"/>
  <c r="F53" i="5303"/>
  <c r="F54" i="5303"/>
  <c r="F2" i="5302"/>
  <c r="F3" i="5302"/>
  <c r="F4" i="5302"/>
  <c r="F5" i="5302"/>
  <c r="F6" i="5302"/>
  <c r="F7" i="5302"/>
  <c r="F8" i="5302"/>
  <c r="F9" i="5302"/>
  <c r="F10" i="5302"/>
  <c r="F11" i="5302"/>
  <c r="F12" i="5302"/>
  <c r="F13" i="5302"/>
  <c r="F14" i="5302"/>
  <c r="F15" i="5302"/>
  <c r="F16" i="5302"/>
  <c r="F17" i="5302"/>
  <c r="F18" i="5302"/>
  <c r="F19" i="5302"/>
  <c r="F20" i="5302"/>
  <c r="F21" i="5302"/>
  <c r="F22" i="5302"/>
  <c r="F23" i="5302"/>
  <c r="F24" i="5302"/>
  <c r="F25" i="5302"/>
  <c r="F26" i="5302"/>
  <c r="F27" i="5302"/>
  <c r="F28" i="5302"/>
  <c r="F29" i="5302"/>
  <c r="F30" i="5302"/>
  <c r="F31" i="5302"/>
  <c r="F32" i="5302"/>
  <c r="F33" i="5302"/>
  <c r="F34" i="5302"/>
  <c r="F35" i="5302"/>
  <c r="F36" i="5302"/>
  <c r="F37" i="5302"/>
  <c r="F38" i="5302"/>
  <c r="F39" i="5302"/>
  <c r="F40" i="5302"/>
  <c r="F41" i="5302"/>
  <c r="F42" i="5302"/>
  <c r="F43" i="5302"/>
  <c r="F44" i="5302"/>
  <c r="F45" i="5302"/>
  <c r="F46" i="5302"/>
  <c r="F47" i="5302"/>
  <c r="F48" i="5302"/>
  <c r="F49" i="5302"/>
  <c r="F50" i="5302"/>
  <c r="F51" i="5302"/>
  <c r="F52" i="5302"/>
  <c r="F53" i="5302"/>
  <c r="F54" i="5302"/>
  <c r="E2" i="5307"/>
  <c r="E3" i="5307"/>
  <c r="E4" i="5307"/>
  <c r="E5" i="5307"/>
  <c r="E6" i="5307"/>
  <c r="E7" i="5307"/>
  <c r="E8" i="5307"/>
  <c r="E9" i="5307"/>
  <c r="E10" i="5307"/>
  <c r="E11" i="5307"/>
  <c r="E12" i="5307"/>
  <c r="E13" i="5307"/>
  <c r="E14" i="5307"/>
  <c r="E15" i="5307"/>
  <c r="E16" i="5307"/>
  <c r="E17" i="5307"/>
  <c r="E18" i="5307"/>
  <c r="E19" i="5307"/>
  <c r="E20" i="5307"/>
  <c r="E21" i="5307"/>
  <c r="E22" i="5307"/>
  <c r="E23" i="5307"/>
  <c r="E24" i="5307"/>
  <c r="E25" i="5307"/>
  <c r="E26" i="5307"/>
  <c r="E27" i="5307"/>
  <c r="E28" i="5307"/>
  <c r="E29" i="5307"/>
  <c r="E30" i="5307"/>
  <c r="E31" i="5307"/>
  <c r="E32" i="5307"/>
  <c r="E33" i="5307"/>
  <c r="E34" i="5307"/>
  <c r="E35" i="5307"/>
  <c r="E36" i="5307"/>
  <c r="E37" i="5307"/>
  <c r="E38" i="5307"/>
  <c r="E39" i="5307"/>
  <c r="E40" i="5307"/>
  <c r="E41" i="5307"/>
  <c r="E42" i="5307"/>
  <c r="E43" i="5307"/>
  <c r="E44" i="5307"/>
  <c r="E45" i="5307"/>
  <c r="E46" i="5307"/>
  <c r="E47" i="5307"/>
  <c r="E48" i="5307"/>
  <c r="E49" i="5307"/>
  <c r="E50" i="5307"/>
  <c r="E51" i="5307"/>
  <c r="E52" i="5307"/>
  <c r="E53" i="5307"/>
  <c r="E54" i="5307"/>
  <c r="E2" i="5306"/>
  <c r="E3" i="5306"/>
  <c r="E4" i="5306"/>
  <c r="E5" i="5306"/>
  <c r="E6" i="5306"/>
  <c r="E7" i="5306"/>
  <c r="E8" i="5306"/>
  <c r="E9" i="5306"/>
  <c r="E10" i="5306"/>
  <c r="E11" i="5306"/>
  <c r="E12" i="5306"/>
  <c r="E13" i="5306"/>
  <c r="E14" i="5306"/>
  <c r="E15" i="5306"/>
  <c r="E16" i="5306"/>
  <c r="E17" i="5306"/>
  <c r="E18" i="5306"/>
  <c r="E19" i="5306"/>
  <c r="E20" i="5306"/>
  <c r="E21" i="5306"/>
  <c r="E22" i="5306"/>
  <c r="E23" i="5306"/>
  <c r="E24" i="5306"/>
  <c r="E25" i="5306"/>
  <c r="E26" i="5306"/>
  <c r="E27" i="5306"/>
  <c r="E28" i="5306"/>
  <c r="E29" i="5306"/>
  <c r="E30" i="5306"/>
  <c r="E31" i="5306"/>
  <c r="E32" i="5306"/>
  <c r="E33" i="5306"/>
  <c r="E34" i="5306"/>
  <c r="E35" i="5306"/>
  <c r="E36" i="5306"/>
  <c r="E37" i="5306"/>
  <c r="E38" i="5306"/>
  <c r="E39" i="5306"/>
  <c r="E40" i="5306"/>
  <c r="E41" i="5306"/>
  <c r="E42" i="5306"/>
  <c r="E43" i="5306"/>
  <c r="E44" i="5306"/>
  <c r="E45" i="5306"/>
  <c r="E46" i="5306"/>
  <c r="E47" i="5306"/>
  <c r="E48" i="5306"/>
  <c r="E49" i="5306"/>
  <c r="E50" i="5306"/>
  <c r="E51" i="5306"/>
  <c r="E52" i="5306"/>
  <c r="E53" i="5306"/>
  <c r="E54" i="5306"/>
  <c r="E2" i="5305"/>
  <c r="E3" i="5305"/>
  <c r="E4" i="5305"/>
  <c r="E5" i="5305"/>
  <c r="E6" i="5305"/>
  <c r="E7" i="5305"/>
  <c r="E8" i="5305"/>
  <c r="E9" i="5305"/>
  <c r="E10" i="5305"/>
  <c r="E11" i="5305"/>
  <c r="E12" i="5305"/>
  <c r="E13" i="5305"/>
  <c r="E14" i="5305"/>
  <c r="E15" i="5305"/>
  <c r="E16" i="5305"/>
  <c r="E17" i="5305"/>
  <c r="E18" i="5305"/>
  <c r="E19" i="5305"/>
  <c r="E20" i="5305"/>
  <c r="E21" i="5305"/>
  <c r="E22" i="5305"/>
  <c r="E23" i="5305"/>
  <c r="E24" i="5305"/>
  <c r="E25" i="5305"/>
  <c r="E26" i="5305"/>
  <c r="E27" i="5305"/>
  <c r="E28" i="5305"/>
  <c r="E29" i="5305"/>
  <c r="E30" i="5305"/>
  <c r="E31" i="5305"/>
  <c r="E32" i="5305"/>
  <c r="E33" i="5305"/>
  <c r="E34" i="5305"/>
  <c r="E35" i="5305"/>
  <c r="E36" i="5305"/>
  <c r="E37" i="5305"/>
  <c r="E38" i="5305"/>
  <c r="E39" i="5305"/>
  <c r="E40" i="5305"/>
  <c r="E41" i="5305"/>
  <c r="E42" i="5305"/>
  <c r="E43" i="5305"/>
  <c r="E44" i="5305"/>
  <c r="E45" i="5305"/>
  <c r="E46" i="5305"/>
  <c r="E47" i="5305"/>
  <c r="E48" i="5305"/>
  <c r="E49" i="5305"/>
  <c r="E50" i="5305"/>
  <c r="E51" i="5305"/>
  <c r="E52" i="5305"/>
  <c r="E53" i="5305"/>
  <c r="E54" i="5305"/>
  <c r="E2" i="5304"/>
  <c r="E3" i="5304"/>
  <c r="E4" i="5304"/>
  <c r="E5" i="5304"/>
  <c r="E6" i="5304"/>
  <c r="E7" i="5304"/>
  <c r="E8" i="5304"/>
  <c r="E9" i="5304"/>
  <c r="E10" i="5304"/>
  <c r="E11" i="5304"/>
  <c r="E12" i="5304"/>
  <c r="E13" i="5304"/>
  <c r="E14" i="5304"/>
  <c r="E15" i="5304"/>
  <c r="E16" i="5304"/>
  <c r="E17" i="5304"/>
  <c r="E18" i="5304"/>
  <c r="E19" i="5304"/>
  <c r="E20" i="5304"/>
  <c r="E21" i="5304"/>
  <c r="E22" i="5304"/>
  <c r="E23" i="5304"/>
  <c r="E24" i="5304"/>
  <c r="E25" i="5304"/>
  <c r="E26" i="5304"/>
  <c r="E27" i="5304"/>
  <c r="E28" i="5304"/>
  <c r="E29" i="5304"/>
  <c r="E30" i="5304"/>
  <c r="E31" i="5304"/>
  <c r="E32" i="5304"/>
  <c r="E33" i="5304"/>
  <c r="E34" i="5304"/>
  <c r="E35" i="5304"/>
  <c r="E36" i="5304"/>
  <c r="E37" i="5304"/>
  <c r="E38" i="5304"/>
  <c r="E39" i="5304"/>
  <c r="E40" i="5304"/>
  <c r="E41" i="5304"/>
  <c r="E42" i="5304"/>
  <c r="E43" i="5304"/>
  <c r="E44" i="5304"/>
  <c r="E45" i="5304"/>
  <c r="E46" i="5304"/>
  <c r="E47" i="5304"/>
  <c r="E48" i="5304"/>
  <c r="E49" i="5304"/>
  <c r="E50" i="5304"/>
  <c r="E51" i="5304"/>
  <c r="E52" i="5304"/>
  <c r="E53" i="5304"/>
  <c r="E54" i="5304"/>
  <c r="E2" i="5303"/>
  <c r="E3" i="5303"/>
  <c r="E4" i="5303"/>
  <c r="E5" i="5303"/>
  <c r="E6" i="5303"/>
  <c r="E7" i="5303"/>
  <c r="E8" i="5303"/>
  <c r="E9" i="5303"/>
  <c r="E10" i="5303"/>
  <c r="E11" i="5303"/>
  <c r="E12" i="5303"/>
  <c r="E13" i="5303"/>
  <c r="E14" i="5303"/>
  <c r="E15" i="5303"/>
  <c r="E16" i="5303"/>
  <c r="E17" i="5303"/>
  <c r="E18" i="5303"/>
  <c r="E19" i="5303"/>
  <c r="E20" i="5303"/>
  <c r="E21" i="5303"/>
  <c r="E22" i="5303"/>
  <c r="E23" i="5303"/>
  <c r="E24" i="5303"/>
  <c r="E25" i="5303"/>
  <c r="E26" i="5303"/>
  <c r="E27" i="5303"/>
  <c r="E28" i="5303"/>
  <c r="E29" i="5303"/>
  <c r="E30" i="5303"/>
  <c r="E31" i="5303"/>
  <c r="E32" i="5303"/>
  <c r="E33" i="5303"/>
  <c r="E34" i="5303"/>
  <c r="E35" i="5303"/>
  <c r="E36" i="5303"/>
  <c r="E37" i="5303"/>
  <c r="E38" i="5303"/>
  <c r="E39" i="5303"/>
  <c r="E40" i="5303"/>
  <c r="E41" i="5303"/>
  <c r="E42" i="5303"/>
  <c r="E43" i="5303"/>
  <c r="E44" i="5303"/>
  <c r="E45" i="5303"/>
  <c r="E46" i="5303"/>
  <c r="E47" i="5303"/>
  <c r="E48" i="5303"/>
  <c r="E49" i="5303"/>
  <c r="E50" i="5303"/>
  <c r="E51" i="5303"/>
  <c r="E52" i="5303"/>
  <c r="E53" i="5303"/>
  <c r="E54" i="5303"/>
  <c r="E2" i="5302"/>
  <c r="E3" i="5302"/>
  <c r="E4" i="5302"/>
  <c r="E5" i="5302"/>
  <c r="E6" i="5302"/>
  <c r="E7" i="5302"/>
  <c r="E8" i="5302"/>
  <c r="E9" i="5302"/>
  <c r="E10" i="5302"/>
  <c r="E11" i="5302"/>
  <c r="E12" i="5302"/>
  <c r="E13" i="5302"/>
  <c r="E14" i="5302"/>
  <c r="E15" i="5302"/>
  <c r="E16" i="5302"/>
  <c r="E17" i="5302"/>
  <c r="E18" i="5302"/>
  <c r="E19" i="5302"/>
  <c r="E20" i="5302"/>
  <c r="E21" i="5302"/>
  <c r="E22" i="5302"/>
  <c r="E23" i="5302"/>
  <c r="E24" i="5302"/>
  <c r="E25" i="5302"/>
  <c r="E26" i="5302"/>
  <c r="E27" i="5302"/>
  <c r="E28" i="5302"/>
  <c r="E29" i="5302"/>
  <c r="E30" i="5302"/>
  <c r="E31" i="5302"/>
  <c r="E32" i="5302"/>
  <c r="E33" i="5302"/>
  <c r="E34" i="5302"/>
  <c r="E35" i="5302"/>
  <c r="E36" i="5302"/>
  <c r="E37" i="5302"/>
  <c r="E38" i="5302"/>
  <c r="E39" i="5302"/>
  <c r="E40" i="5302"/>
  <c r="E41" i="5302"/>
  <c r="E42" i="5302"/>
  <c r="E43" i="5302"/>
  <c r="E44" i="5302"/>
  <c r="E45" i="5302"/>
  <c r="E46" i="5302"/>
  <c r="E47" i="5302"/>
  <c r="E48" i="5302"/>
  <c r="E49" i="5302"/>
  <c r="E50" i="5302"/>
  <c r="E51" i="5302"/>
  <c r="E52" i="5302"/>
  <c r="E53" i="5302"/>
  <c r="E54" i="5302"/>
  <c r="D2" i="5307"/>
  <c r="D3" i="5307"/>
  <c r="D4" i="5307"/>
  <c r="D5" i="5307"/>
  <c r="D6" i="5307"/>
  <c r="D7" i="5307"/>
  <c r="D8" i="5307"/>
  <c r="D9" i="5307"/>
  <c r="D10" i="5307"/>
  <c r="D11" i="5307"/>
  <c r="D12" i="5307"/>
  <c r="D13" i="5307"/>
  <c r="D14" i="5307"/>
  <c r="D15" i="5307"/>
  <c r="D16" i="5307"/>
  <c r="D17" i="5307"/>
  <c r="D18" i="5307"/>
  <c r="D19" i="5307"/>
  <c r="D20" i="5307"/>
  <c r="D21" i="5307"/>
  <c r="D22" i="5307"/>
  <c r="D23" i="5307"/>
  <c r="D24" i="5307"/>
  <c r="D25" i="5307"/>
  <c r="D26" i="5307"/>
  <c r="D27" i="5307"/>
  <c r="D28" i="5307"/>
  <c r="D29" i="5307"/>
  <c r="D30" i="5307"/>
  <c r="D31" i="5307"/>
  <c r="D32" i="5307"/>
  <c r="D33" i="5307"/>
  <c r="D34" i="5307"/>
  <c r="D35" i="5307"/>
  <c r="D36" i="5307"/>
  <c r="D37" i="5307"/>
  <c r="D38" i="5307"/>
  <c r="D39" i="5307"/>
  <c r="D40" i="5307"/>
  <c r="D41" i="5307"/>
  <c r="D42" i="5307"/>
  <c r="D43" i="5307"/>
  <c r="D44" i="5307"/>
  <c r="D45" i="5307"/>
  <c r="D46" i="5307"/>
  <c r="D47" i="5307"/>
  <c r="D48" i="5307"/>
  <c r="D49" i="5307"/>
  <c r="D50" i="5307"/>
  <c r="D51" i="5307"/>
  <c r="D52" i="5307"/>
  <c r="D53" i="5307"/>
  <c r="D54" i="5307"/>
  <c r="D2" i="5306"/>
  <c r="D3" i="5306"/>
  <c r="D4" i="5306"/>
  <c r="D5" i="5306"/>
  <c r="D6" i="5306"/>
  <c r="D7" i="5306"/>
  <c r="D8" i="5306"/>
  <c r="D9" i="5306"/>
  <c r="D10" i="5306"/>
  <c r="D11" i="5306"/>
  <c r="D12" i="5306"/>
  <c r="D13" i="5306"/>
  <c r="D14" i="5306"/>
  <c r="D15" i="5306"/>
  <c r="D16" i="5306"/>
  <c r="D17" i="5306"/>
  <c r="D18" i="5306"/>
  <c r="D19" i="5306"/>
  <c r="D20" i="5306"/>
  <c r="D21" i="5306"/>
  <c r="D22" i="5306"/>
  <c r="D23" i="5306"/>
  <c r="D24" i="5306"/>
  <c r="D25" i="5306"/>
  <c r="D26" i="5306"/>
  <c r="D27" i="5306"/>
  <c r="D28" i="5306"/>
  <c r="D29" i="5306"/>
  <c r="D30" i="5306"/>
  <c r="D31" i="5306"/>
  <c r="D32" i="5306"/>
  <c r="D33" i="5306"/>
  <c r="D34" i="5306"/>
  <c r="D35" i="5306"/>
  <c r="D36" i="5306"/>
  <c r="D37" i="5306"/>
  <c r="D38" i="5306"/>
  <c r="D39" i="5306"/>
  <c r="D40" i="5306"/>
  <c r="D41" i="5306"/>
  <c r="D42" i="5306"/>
  <c r="D43" i="5306"/>
  <c r="D44" i="5306"/>
  <c r="D45" i="5306"/>
  <c r="D46" i="5306"/>
  <c r="D47" i="5306"/>
  <c r="D48" i="5306"/>
  <c r="D49" i="5306"/>
  <c r="D50" i="5306"/>
  <c r="D51" i="5306"/>
  <c r="D52" i="5306"/>
  <c r="D53" i="5306"/>
  <c r="D54" i="5306"/>
  <c r="D2" i="5305"/>
  <c r="D3" i="5305"/>
  <c r="D4" i="5305"/>
  <c r="D5" i="5305"/>
  <c r="D6" i="5305"/>
  <c r="D7" i="5305"/>
  <c r="D8" i="5305"/>
  <c r="D9" i="5305"/>
  <c r="D10" i="5305"/>
  <c r="D11" i="5305"/>
  <c r="D12" i="5305"/>
  <c r="D13" i="5305"/>
  <c r="D14" i="5305"/>
  <c r="D15" i="5305"/>
  <c r="D16" i="5305"/>
  <c r="D17" i="5305"/>
  <c r="D18" i="5305"/>
  <c r="D19" i="5305"/>
  <c r="D20" i="5305"/>
  <c r="D21" i="5305"/>
  <c r="D22" i="5305"/>
  <c r="D23" i="5305"/>
  <c r="D24" i="5305"/>
  <c r="D25" i="5305"/>
  <c r="D26" i="5305"/>
  <c r="D27" i="5305"/>
  <c r="D28" i="5305"/>
  <c r="D29" i="5305"/>
  <c r="D30" i="5305"/>
  <c r="D31" i="5305"/>
  <c r="D32" i="5305"/>
  <c r="D33" i="5305"/>
  <c r="D34" i="5305"/>
  <c r="D35" i="5305"/>
  <c r="D36" i="5305"/>
  <c r="D37" i="5305"/>
  <c r="D38" i="5305"/>
  <c r="D39" i="5305"/>
  <c r="D40" i="5305"/>
  <c r="D41" i="5305"/>
  <c r="D42" i="5305"/>
  <c r="D43" i="5305"/>
  <c r="D44" i="5305"/>
  <c r="D45" i="5305"/>
  <c r="D46" i="5305"/>
  <c r="D47" i="5305"/>
  <c r="D48" i="5305"/>
  <c r="D49" i="5305"/>
  <c r="D50" i="5305"/>
  <c r="D51" i="5305"/>
  <c r="D52" i="5305"/>
  <c r="D53" i="5305"/>
  <c r="D54" i="5305"/>
  <c r="D2" i="5304"/>
  <c r="D3" i="5304"/>
  <c r="D4" i="5304"/>
  <c r="D5" i="5304"/>
  <c r="D6" i="5304"/>
  <c r="D7" i="5304"/>
  <c r="D8" i="5304"/>
  <c r="D9" i="5304"/>
  <c r="D10" i="5304"/>
  <c r="D11" i="5304"/>
  <c r="D12" i="5304"/>
  <c r="D13" i="5304"/>
  <c r="D14" i="5304"/>
  <c r="D15" i="5304"/>
  <c r="D16" i="5304"/>
  <c r="D17" i="5304"/>
  <c r="D18" i="5304"/>
  <c r="D19" i="5304"/>
  <c r="D20" i="5304"/>
  <c r="D21" i="5304"/>
  <c r="D22" i="5304"/>
  <c r="D23" i="5304"/>
  <c r="D24" i="5304"/>
  <c r="D25" i="5304"/>
  <c r="D26" i="5304"/>
  <c r="D27" i="5304"/>
  <c r="D28" i="5304"/>
  <c r="D29" i="5304"/>
  <c r="D30" i="5304"/>
  <c r="D31" i="5304"/>
  <c r="D32" i="5304"/>
  <c r="D33" i="5304"/>
  <c r="D34" i="5304"/>
  <c r="D35" i="5304"/>
  <c r="D36" i="5304"/>
  <c r="D37" i="5304"/>
  <c r="D38" i="5304"/>
  <c r="D39" i="5304"/>
  <c r="D40" i="5304"/>
  <c r="D41" i="5304"/>
  <c r="D42" i="5304"/>
  <c r="D43" i="5304"/>
  <c r="D44" i="5304"/>
  <c r="D45" i="5304"/>
  <c r="D46" i="5304"/>
  <c r="D47" i="5304"/>
  <c r="D48" i="5304"/>
  <c r="D49" i="5304"/>
  <c r="D50" i="5304"/>
  <c r="D51" i="5304"/>
  <c r="D52" i="5304"/>
  <c r="D53" i="5304"/>
  <c r="D54" i="5304"/>
  <c r="D2" i="5303"/>
  <c r="D3" i="5303"/>
  <c r="D4" i="5303"/>
  <c r="D5" i="5303"/>
  <c r="D6" i="5303"/>
  <c r="D7" i="5303"/>
  <c r="D8" i="5303"/>
  <c r="D9" i="5303"/>
  <c r="D10" i="5303"/>
  <c r="D11" i="5303"/>
  <c r="D12" i="5303"/>
  <c r="D13" i="5303"/>
  <c r="D14" i="5303"/>
  <c r="D15" i="5303"/>
  <c r="D16" i="5303"/>
  <c r="D17" i="5303"/>
  <c r="D18" i="5303"/>
  <c r="D19" i="5303"/>
  <c r="D20" i="5303"/>
  <c r="D21" i="5303"/>
  <c r="D22" i="5303"/>
  <c r="D23" i="5303"/>
  <c r="D24" i="5303"/>
  <c r="D25" i="5303"/>
  <c r="D26" i="5303"/>
  <c r="D27" i="5303"/>
  <c r="D28" i="5303"/>
  <c r="D29" i="5303"/>
  <c r="D30" i="5303"/>
  <c r="D31" i="5303"/>
  <c r="D32" i="5303"/>
  <c r="D33" i="5303"/>
  <c r="D34" i="5303"/>
  <c r="D35" i="5303"/>
  <c r="D36" i="5303"/>
  <c r="D37" i="5303"/>
  <c r="D38" i="5303"/>
  <c r="D39" i="5303"/>
  <c r="D40" i="5303"/>
  <c r="D41" i="5303"/>
  <c r="D42" i="5303"/>
  <c r="D43" i="5303"/>
  <c r="D44" i="5303"/>
  <c r="D45" i="5303"/>
  <c r="D46" i="5303"/>
  <c r="D47" i="5303"/>
  <c r="D48" i="5303"/>
  <c r="D49" i="5303"/>
  <c r="D50" i="5303"/>
  <c r="D51" i="5303"/>
  <c r="D52" i="5303"/>
  <c r="D53" i="5303"/>
  <c r="D54" i="5303"/>
  <c r="D2" i="5302"/>
  <c r="D3" i="5302"/>
  <c r="D4" i="5302"/>
  <c r="D5" i="5302"/>
  <c r="D6" i="5302"/>
  <c r="D7" i="5302"/>
  <c r="D8" i="5302"/>
  <c r="D9" i="5302"/>
  <c r="D10" i="5302"/>
  <c r="D11" i="5302"/>
  <c r="D12" i="5302"/>
  <c r="D13" i="5302"/>
  <c r="D14" i="5302"/>
  <c r="D15" i="5302"/>
  <c r="D16" i="5302"/>
  <c r="D17" i="5302"/>
  <c r="D18" i="5302"/>
  <c r="D19" i="5302"/>
  <c r="D20" i="5302"/>
  <c r="D21" i="5302"/>
  <c r="D22" i="5302"/>
  <c r="D23" i="5302"/>
  <c r="D24" i="5302"/>
  <c r="D25" i="5302"/>
  <c r="D26" i="5302"/>
  <c r="D27" i="5302"/>
  <c r="D28" i="5302"/>
  <c r="D29" i="5302"/>
  <c r="D30" i="5302"/>
  <c r="D31" i="5302"/>
  <c r="D32" i="5302"/>
  <c r="D33" i="5302"/>
  <c r="D34" i="5302"/>
  <c r="D35" i="5302"/>
  <c r="D36" i="5302"/>
  <c r="D37" i="5302"/>
  <c r="D38" i="5302"/>
  <c r="D39" i="5302"/>
  <c r="D40" i="5302"/>
  <c r="D41" i="5302"/>
  <c r="D42" i="5302"/>
  <c r="D43" i="5302"/>
  <c r="D44" i="5302"/>
  <c r="D45" i="5302"/>
  <c r="D46" i="5302"/>
  <c r="D47" i="5302"/>
  <c r="D48" i="5302"/>
  <c r="D49" i="5302"/>
  <c r="D50" i="5302"/>
  <c r="D51" i="5302"/>
  <c r="D52" i="5302"/>
  <c r="D53" i="5302"/>
  <c r="D54" i="5302"/>
  <c r="C2" i="5307"/>
  <c r="C3" i="5307"/>
  <c r="C4" i="5307"/>
  <c r="C5" i="5307"/>
  <c r="C6" i="5307"/>
  <c r="C7" i="5307"/>
  <c r="C8" i="5307"/>
  <c r="C9" i="5307"/>
  <c r="C10" i="5307"/>
  <c r="C11" i="5307"/>
  <c r="C12" i="5307"/>
  <c r="C13" i="5307"/>
  <c r="C14" i="5307"/>
  <c r="C15" i="5307"/>
  <c r="C16" i="5307"/>
  <c r="C17" i="5307"/>
  <c r="C18" i="5307"/>
  <c r="C19" i="5307"/>
  <c r="C20" i="5307"/>
  <c r="C21" i="5307"/>
  <c r="C22" i="5307"/>
  <c r="C23" i="5307"/>
  <c r="C24" i="5307"/>
  <c r="C25" i="5307"/>
  <c r="C26" i="5307"/>
  <c r="C27" i="5307"/>
  <c r="C28" i="5307"/>
  <c r="C29" i="5307"/>
  <c r="C30" i="5307"/>
  <c r="C31" i="5307"/>
  <c r="C32" i="5307"/>
  <c r="C33" i="5307"/>
  <c r="C34" i="5307"/>
  <c r="C35" i="5307"/>
  <c r="C36" i="5307"/>
  <c r="C37" i="5307"/>
  <c r="C38" i="5307"/>
  <c r="C39" i="5307"/>
  <c r="C40" i="5307"/>
  <c r="C41" i="5307"/>
  <c r="C42" i="5307"/>
  <c r="C43" i="5307"/>
  <c r="C44" i="5307"/>
  <c r="C45" i="5307"/>
  <c r="C46" i="5307"/>
  <c r="C47" i="5307"/>
  <c r="C48" i="5307"/>
  <c r="C49" i="5307"/>
  <c r="C50" i="5307"/>
  <c r="C51" i="5307"/>
  <c r="C52" i="5307"/>
  <c r="C53" i="5307"/>
  <c r="C54" i="5307"/>
  <c r="C2" i="5306"/>
  <c r="C3" i="5306"/>
  <c r="C4" i="5306"/>
  <c r="C5" i="5306"/>
  <c r="C6" i="5306"/>
  <c r="C7" i="5306"/>
  <c r="C8" i="5306"/>
  <c r="C9" i="5306"/>
  <c r="C10" i="5306"/>
  <c r="C11" i="5306"/>
  <c r="C12" i="5306"/>
  <c r="C13" i="5306"/>
  <c r="C14" i="5306"/>
  <c r="C15" i="5306"/>
  <c r="C16" i="5306"/>
  <c r="C17" i="5306"/>
  <c r="C18" i="5306"/>
  <c r="C19" i="5306"/>
  <c r="C20" i="5306"/>
  <c r="C21" i="5306"/>
  <c r="C22" i="5306"/>
  <c r="C23" i="5306"/>
  <c r="C24" i="5306"/>
  <c r="C25" i="5306"/>
  <c r="C26" i="5306"/>
  <c r="C27" i="5306"/>
  <c r="C28" i="5306"/>
  <c r="C29" i="5306"/>
  <c r="C30" i="5306"/>
  <c r="C31" i="5306"/>
  <c r="C32" i="5306"/>
  <c r="C33" i="5306"/>
  <c r="C34" i="5306"/>
  <c r="C35" i="5306"/>
  <c r="C36" i="5306"/>
  <c r="C37" i="5306"/>
  <c r="C38" i="5306"/>
  <c r="C39" i="5306"/>
  <c r="C40" i="5306"/>
  <c r="C41" i="5306"/>
  <c r="C42" i="5306"/>
  <c r="C43" i="5306"/>
  <c r="C44" i="5306"/>
  <c r="C45" i="5306"/>
  <c r="C46" i="5306"/>
  <c r="C47" i="5306"/>
  <c r="C48" i="5306"/>
  <c r="C49" i="5306"/>
  <c r="C50" i="5306"/>
  <c r="C51" i="5306"/>
  <c r="C52" i="5306"/>
  <c r="C53" i="5306"/>
  <c r="C54" i="5306"/>
  <c r="C2" i="5305"/>
  <c r="C3" i="5305"/>
  <c r="C4" i="5305"/>
  <c r="C5" i="5305"/>
  <c r="C6" i="5305"/>
  <c r="C7" i="5305"/>
  <c r="C8" i="5305"/>
  <c r="C9" i="5305"/>
  <c r="C10" i="5305"/>
  <c r="C11" i="5305"/>
  <c r="C12" i="5305"/>
  <c r="C13" i="5305"/>
  <c r="C14" i="5305"/>
  <c r="C15" i="5305"/>
  <c r="C16" i="5305"/>
  <c r="C17" i="5305"/>
  <c r="C18" i="5305"/>
  <c r="C19" i="5305"/>
  <c r="C20" i="5305"/>
  <c r="C21" i="5305"/>
  <c r="C22" i="5305"/>
  <c r="C23" i="5305"/>
  <c r="C24" i="5305"/>
  <c r="C25" i="5305"/>
  <c r="C26" i="5305"/>
  <c r="C27" i="5305"/>
  <c r="C28" i="5305"/>
  <c r="C29" i="5305"/>
  <c r="C30" i="5305"/>
  <c r="C31" i="5305"/>
  <c r="C32" i="5305"/>
  <c r="C33" i="5305"/>
  <c r="C34" i="5305"/>
  <c r="C35" i="5305"/>
  <c r="C36" i="5305"/>
  <c r="C37" i="5305"/>
  <c r="C38" i="5305"/>
  <c r="C39" i="5305"/>
  <c r="C40" i="5305"/>
  <c r="C41" i="5305"/>
  <c r="C42" i="5305"/>
  <c r="C43" i="5305"/>
  <c r="C44" i="5305"/>
  <c r="C45" i="5305"/>
  <c r="C46" i="5305"/>
  <c r="C47" i="5305"/>
  <c r="C48" i="5305"/>
  <c r="C49" i="5305"/>
  <c r="C50" i="5305"/>
  <c r="C51" i="5305"/>
  <c r="C52" i="5305"/>
  <c r="C53" i="5305"/>
  <c r="C54" i="5305"/>
  <c r="C2" i="5304"/>
  <c r="C3" i="5304"/>
  <c r="C4" i="5304"/>
  <c r="C5" i="5304"/>
  <c r="C6" i="5304"/>
  <c r="C7" i="5304"/>
  <c r="C8" i="5304"/>
  <c r="C9" i="5304"/>
  <c r="C10" i="5304"/>
  <c r="C11" i="5304"/>
  <c r="C12" i="5304"/>
  <c r="C13" i="5304"/>
  <c r="C14" i="5304"/>
  <c r="C15" i="5304"/>
  <c r="C16" i="5304"/>
  <c r="C17" i="5304"/>
  <c r="C18" i="5304"/>
  <c r="C19" i="5304"/>
  <c r="C20" i="5304"/>
  <c r="C21" i="5304"/>
  <c r="C22" i="5304"/>
  <c r="C23" i="5304"/>
  <c r="C24" i="5304"/>
  <c r="C25" i="5304"/>
  <c r="C26" i="5304"/>
  <c r="C27" i="5304"/>
  <c r="C28" i="5304"/>
  <c r="C29" i="5304"/>
  <c r="C30" i="5304"/>
  <c r="C31" i="5304"/>
  <c r="C32" i="5304"/>
  <c r="C33" i="5304"/>
  <c r="C34" i="5304"/>
  <c r="C35" i="5304"/>
  <c r="C36" i="5304"/>
  <c r="C37" i="5304"/>
  <c r="C38" i="5304"/>
  <c r="C39" i="5304"/>
  <c r="C40" i="5304"/>
  <c r="C41" i="5304"/>
  <c r="C42" i="5304"/>
  <c r="C43" i="5304"/>
  <c r="C44" i="5304"/>
  <c r="C45" i="5304"/>
  <c r="C46" i="5304"/>
  <c r="C47" i="5304"/>
  <c r="C48" i="5304"/>
  <c r="C49" i="5304"/>
  <c r="C50" i="5304"/>
  <c r="C51" i="5304"/>
  <c r="C52" i="5304"/>
  <c r="C53" i="5304"/>
  <c r="C54" i="5304"/>
  <c r="C2" i="5303"/>
  <c r="C3" i="5303"/>
  <c r="C4" i="5303"/>
  <c r="C5" i="5303"/>
  <c r="C6" i="5303"/>
  <c r="C7" i="5303"/>
  <c r="C8" i="5303"/>
  <c r="C9" i="5303"/>
  <c r="C10" i="5303"/>
  <c r="C11" i="5303"/>
  <c r="C12" i="5303"/>
  <c r="C13" i="5303"/>
  <c r="C14" i="5303"/>
  <c r="C15" i="5303"/>
  <c r="C16" i="5303"/>
  <c r="C17" i="5303"/>
  <c r="C18" i="5303"/>
  <c r="C19" i="5303"/>
  <c r="C20" i="5303"/>
  <c r="C21" i="5303"/>
  <c r="C22" i="5303"/>
  <c r="C23" i="5303"/>
  <c r="C24" i="5303"/>
  <c r="C25" i="5303"/>
  <c r="C26" i="5303"/>
  <c r="C27" i="5303"/>
  <c r="C28" i="5303"/>
  <c r="C29" i="5303"/>
  <c r="C30" i="5303"/>
  <c r="C31" i="5303"/>
  <c r="C32" i="5303"/>
  <c r="C33" i="5303"/>
  <c r="C34" i="5303"/>
  <c r="C35" i="5303"/>
  <c r="C36" i="5303"/>
  <c r="C37" i="5303"/>
  <c r="C38" i="5303"/>
  <c r="C39" i="5303"/>
  <c r="C40" i="5303"/>
  <c r="C41" i="5303"/>
  <c r="C42" i="5303"/>
  <c r="C43" i="5303"/>
  <c r="C44" i="5303"/>
  <c r="C45" i="5303"/>
  <c r="C46" i="5303"/>
  <c r="C47" i="5303"/>
  <c r="C48" i="5303"/>
  <c r="C49" i="5303"/>
  <c r="C50" i="5303"/>
  <c r="C51" i="5303"/>
  <c r="C52" i="5303"/>
  <c r="C53" i="5303"/>
  <c r="C54" i="5303"/>
  <c r="C2" i="5302"/>
  <c r="C3" i="5302"/>
  <c r="C4" i="5302"/>
  <c r="C5" i="5302"/>
  <c r="C6" i="5302"/>
  <c r="C7" i="5302"/>
  <c r="C8" i="5302"/>
  <c r="C9" i="5302"/>
  <c r="C10" i="5302"/>
  <c r="C11" i="5302"/>
  <c r="C12" i="5302"/>
  <c r="C13" i="5302"/>
  <c r="C14" i="5302"/>
  <c r="C15" i="5302"/>
  <c r="C16" i="5302"/>
  <c r="C17" i="5302"/>
  <c r="C18" i="5302"/>
  <c r="C19" i="5302"/>
  <c r="C20" i="5302"/>
  <c r="C21" i="5302"/>
  <c r="C22" i="5302"/>
  <c r="C23" i="5302"/>
  <c r="C24" i="5302"/>
  <c r="C25" i="5302"/>
  <c r="C26" i="5302"/>
  <c r="C27" i="5302"/>
  <c r="C28" i="5302"/>
  <c r="C29" i="5302"/>
  <c r="C30" i="5302"/>
  <c r="C31" i="5302"/>
  <c r="C32" i="5302"/>
  <c r="C33" i="5302"/>
  <c r="C34" i="5302"/>
  <c r="C35" i="5302"/>
  <c r="C36" i="5302"/>
  <c r="C37" i="5302"/>
  <c r="C38" i="5302"/>
  <c r="C39" i="5302"/>
  <c r="C40" i="5302"/>
  <c r="C41" i="5302"/>
  <c r="C42" i="5302"/>
  <c r="C43" i="5302"/>
  <c r="C44" i="5302"/>
  <c r="C45" i="5302"/>
  <c r="C46" i="5302"/>
  <c r="C47" i="5302"/>
  <c r="C48" i="5302"/>
  <c r="C49" i="5302"/>
  <c r="C50" i="5302"/>
  <c r="C51" i="5302"/>
  <c r="C52" i="5302"/>
  <c r="C53" i="5302"/>
  <c r="C54" i="5302"/>
</calcChain>
</file>

<file path=xl/connections.xml><?xml version="1.0" encoding="utf-8"?>
<connections xmlns="http://schemas.openxmlformats.org/spreadsheetml/2006/main">
  <connection id="1" name="Connection" type="4" refreshedVersion="3" background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" name="Connection1" type="4" refreshedVersion="0" background="1">
    <webPr url="http://table.finance.yahoo.com/table.csv?s=APPL&amp;a=01&amp;b=01&amp;c=2007&amp;d=08&amp;e=05&amp;f=2008&amp;g=d&amp;ignore=.csv" htmlTables="1" htmlFormat="all"/>
  </connection>
  <connection id="3" name="Connection10" type="4" refreshedVersion="0" background="1">
    <webPr url="http://table.finance.yahoo.com/table.csv?s=Enter Tickers Below&amp;a=00&amp;b=01&amp;c=2010&amp;d=05&amp;e=01&amp;f=2012&amp;g=d&amp;ignore=.csv" htmlTables="1" htmlFormat="all"/>
  </connection>
  <connection id="4" name="Connection100" type="4" refreshedVersion="0" background="1">
    <webPr url="http://table.finance.yahoo.com/table.csv?s=ACA&amp;a=00&amp;b=01&amp;c=2010&amp;d=05&amp;e=01&amp;f=2012&amp;g=d&amp;ignore=.csv" htmlTables="1" htmlFormat="all"/>
  </connection>
  <connection id="5" name="Connection101" type="4" refreshedVersion="0" background="1">
    <webPr url="http://table.finance.yahoo.com/table.csv?s=ACAI&amp;a=00&amp;b=01&amp;c=2010&amp;d=05&amp;e=01&amp;f=2012&amp;g=d&amp;ignore=.csv" htmlTables="1" htmlFormat="all"/>
  </connection>
  <connection id="6" name="Connection102" type="4" refreshedVersion="0" background="1">
    <webPr url="http://table.finance.yahoo.com/table.csv?s=ACAM&amp;a=00&amp;b=01&amp;c=2010&amp;d=05&amp;e=01&amp;f=2012&amp;g=d&amp;ignore=.csv" htmlTables="1" htmlFormat="all"/>
  </connection>
  <connection id="7" name="Connection103" type="4" refreshedVersion="0" background="1">
    <webPr url="http://table.finance.yahoo.com/table.csv?s=ACAP&amp;a=00&amp;b=01&amp;c=2010&amp;d=05&amp;e=01&amp;f=2012&amp;g=d&amp;ignore=.csv" htmlTables="1" htmlFormat="all"/>
  </connection>
  <connection id="8" name="Connection104" type="4" refreshedVersion="0" background="1">
    <webPr url="http://table.finance.yahoo.com/table.csv?s=ACLA&amp;a=00&amp;b=01&amp;c=2010&amp;d=05&amp;e=01&amp;f=2012&amp;g=d&amp;ignore=.csv" htmlTables="1" htmlFormat="all"/>
  </connection>
  <connection id="9" name="Connection105" type="4" refreshedVersion="0" background="1">
    <webPr url="http://table.finance.yahoo.com/table.csv?s=Enter Tickers Below&amp;a=00&amp;b=01&amp;c=2010&amp;d=05&amp;e=01&amp;f=2012&amp;g=d&amp;ignore=.csv" htmlTables="1" htmlFormat="all"/>
  </connection>
  <connection id="10" name="Connection106" type="4" refreshedVersion="0" background="1">
    <webPr url="http://table.finance.yahoo.com/table.csv?s=ACM_PA&amp;a=00&amp;b=01&amp;c=2010&amp;d=05&amp;e=01&amp;f=2012&amp;g=d&amp;ignore=.csv" htmlTables="1" htmlFormat="all"/>
  </connection>
  <connection id="11" name="Connection107" type="4" refreshedVersion="0" background="1">
    <webPr url="http://table.finance.yahoo.com/table.csv?s=Enter Tickers Below&amp;a=00&amp;b=01&amp;c=2010&amp;d=05&amp;e=01&amp;f=2012&amp;g=d&amp;ignore=.csv" htmlTables="1" htmlFormat="all"/>
  </connection>
  <connection id="12" name="Connection108" type="4" refreshedVersion="0" background="1">
    <webPr url="http://table.finance.yahoo.com/table.csv?s=ACBA&amp;a=00&amp;b=01&amp;c=2010&amp;d=05&amp;e=01&amp;f=2012&amp;g=d&amp;ignore=.csv" htmlTables="1" htmlFormat="all"/>
  </connection>
  <connection id="13" name="Connection109" type="4" refreshedVersion="0" background="1">
    <webPr url="http://table.finance.yahoo.com/table.csv?s=ACBAW&amp;a=00&amp;b=01&amp;c=2010&amp;d=05&amp;e=01&amp;f=2012&amp;g=d&amp;ignore=.csv" htmlTables="1" htmlFormat="all"/>
  </connection>
  <connection id="14" name="Connection11" type="4" refreshedVersion="0" background="1">
    <webPr url="http://table.finance.yahoo.com/table.csv?s=tryrty&amp;a=00&amp;b=01&amp;c=2010&amp;d=05&amp;e=01&amp;f=2012&amp;g=d&amp;ignore=.csv" htmlTables="1" htmlFormat="all"/>
  </connection>
  <connection id="15" name="Connection110" type="4" refreshedVersion="0" background="1">
    <webPr url="http://table.finance.yahoo.com/table.csv?s=ACDO&amp;a=00&amp;b=01&amp;c=2010&amp;d=05&amp;e=01&amp;f=2012&amp;g=d&amp;ignore=.csv" htmlTables="1" htmlFormat="all"/>
  </connection>
  <connection id="16" name="Connection111" type="4" refreshedVersion="0" background="1">
    <webPr url="http://table.finance.yahoo.com/table.csv?s=Enter Tickers Below&amp;a=00&amp;b=01&amp;c=2010&amp;d=05&amp;e=01&amp;f=2012&amp;g=d&amp;ignore=.csv" htmlTables="1" htmlFormat="all"/>
  </connection>
  <connection id="17" name="Connection112" type="4" refreshedVersion="0" background="1">
    <webPr url="http://table.finance.yahoo.com/table.csv?s=ACE_PA&amp;a=00&amp;b=01&amp;c=2010&amp;d=05&amp;e=01&amp;f=2012&amp;g=d&amp;ignore=.csv" htmlTables="1" htmlFormat="all"/>
  </connection>
  <connection id="18" name="Connection113" type="4" refreshedVersion="0" background="1">
    <webPr url="http://table.finance.yahoo.com/table.csv?s=ACP_P&amp;a=00&amp;b=01&amp;c=2010&amp;d=05&amp;e=01&amp;f=2012&amp;g=d&amp;ignore=.csv" htmlTables="1" htmlFormat="all"/>
  </connection>
  <connection id="19" name="Connection114" type="4" refreshedVersion="0" background="1">
    <webPr url="http://table.finance.yahoo.com/table.csv?s=ACE_PB&amp;a=00&amp;b=01&amp;c=2010&amp;d=05&amp;e=01&amp;f=2012&amp;g=d&amp;ignore=.csv" htmlTables="1" htmlFormat="all"/>
  </connection>
  <connection id="20" name="Connection115" type="4" refreshedVersion="0" background="1">
    <webPr url="http://table.finance.yahoo.com/table.csv?s=ACR&amp;a=00&amp;b=01&amp;c=2010&amp;d=05&amp;e=01&amp;f=2012&amp;g=d&amp;ignore=.csv" htmlTables="1" htmlFormat="all"/>
  </connection>
  <connection id="21" name="Connection116" type="4" refreshedVersion="0" background="1">
    <webPr url="http://table.finance.yahoo.com/table.csv?s=ACRN&amp;a=00&amp;b=01&amp;c=2010&amp;d=05&amp;e=01&amp;f=2012&amp;g=d&amp;ignore=.csv" htmlTables="1" htmlFormat="all"/>
  </connection>
  <connection id="22" name="Connection117" type="4" refreshedVersion="0" background="1">
    <webPr url="http://table.finance.yahoo.com/table.csv?s=ACS&amp;a=00&amp;b=01&amp;c=2010&amp;d=05&amp;e=01&amp;f=2012&amp;g=d&amp;ignore=.csv" htmlTables="1" htmlFormat="all"/>
  </connection>
  <connection id="23" name="Connection118" type="4" refreshedVersion="0" background="1">
    <webPr url="http://table.finance.yahoo.com/table.csv?s=ACE_PI&amp;a=00&amp;b=01&amp;c=2010&amp;d=05&amp;e=01&amp;f=2012&amp;g=d&amp;ignore=.csv" htmlTables="1" htmlFormat="all"/>
  </connection>
  <connection id="24" name="Connection119" type="4" refreshedVersion="0" background="1">
    <webPr url="http://table.finance.yahoo.com/table.csv?s=ACT_P&amp;a=00&amp;b=01&amp;c=2010&amp;d=05&amp;e=01&amp;f=2012&amp;g=d&amp;ignore=.csv" htmlTables="1" htmlFormat="all"/>
  </connection>
  <connection id="25" name="Connection12" type="4" refreshedVersion="0" background="1">
    <webPr url="http://table.finance.yahoo.com/table.csv?s=tryrty&amp;a=00&amp;b=01&amp;c=2010&amp;d=05&amp;e=01&amp;f=2012&amp;g=d&amp;ignore=.csv" htmlTables="1" htmlFormat="all"/>
  </connection>
  <connection id="26" name="Connection120" type="4" refreshedVersion="0" background="1">
    <webPr url="http://table.finance.yahoo.com/table.csv?s=ACEC&amp;a=00&amp;b=01&amp;c=2010&amp;d=05&amp;e=01&amp;f=2012&amp;g=d&amp;ignore=.csv" htmlTables="1" htmlFormat="all"/>
  </connection>
  <connection id="27" name="Connection121" type="4" refreshedVersion="0" background="1">
    <webPr url="http://table.finance.yahoo.com/table.csv?s=ACTL&amp;a=00&amp;b=01&amp;c=2010&amp;d=05&amp;e=01&amp;f=2012&amp;g=d&amp;ignore=.csv" htmlTables="1" htmlFormat="all"/>
  </connection>
  <connection id="28" name="Connection122" type="4" refreshedVersion="0" background="1">
    <webPr url="http://table.finance.yahoo.com/table.csv?s=Enter Tickers Below&amp;a=00&amp;b=01&amp;c=2010&amp;d=05&amp;e=01&amp;f=2012&amp;g=d&amp;ignore=.csv" htmlTables="1" htmlFormat="all"/>
  </connection>
  <connection id="29" name="Connection123" type="4" refreshedVersion="0" background="1">
    <webPr url="http://table.finance.yahoo.com/table.csv?s=ACF&amp;a=00&amp;b=01&amp;c=2010&amp;d=05&amp;e=01&amp;f=2012&amp;g=d&amp;ignore=.csv" htmlTables="1" htmlFormat="all"/>
  </connection>
  <connection id="30" name="Connection124" type="4" refreshedVersion="0" background="1">
    <webPr url="http://table.finance.yahoo.com/table.csv?s=ACTY&amp;a=00&amp;b=01&amp;c=2010&amp;d=05&amp;e=01&amp;f=2012&amp;g=d&amp;ignore=.csv" htmlTables="1" htmlFormat="all"/>
  </connection>
  <connection id="31" name="Connection125" type="4" refreshedVersion="0" background="1">
    <webPr url="http://table.finance.yahoo.com/table.csv?s=Enter Tickers Below&amp;a=00&amp;b=01&amp;c=2010&amp;d=05&amp;e=01&amp;f=2012&amp;g=d&amp;ignore=.csv" htmlTables="1" htmlFormat="all"/>
  </connection>
  <connection id="32" name="Connection126" type="4" refreshedVersion="0" background="1">
    <webPr url="http://table.finance.yahoo.com/table.csv?s=WMT&amp;a=00&amp;b=01&amp;c=2010&amp;d=05&amp;e=01&amp;f=2012&amp;g=d&amp;ignore=.csv" htmlTables="1" htmlFormat="all"/>
  </connection>
  <connection id="33" name="Connection127" type="4" refreshedVersion="0" background="1">
    <webPr url="http://table.finance.yahoo.com/table.csv?s=ACV__A&amp;a=00&amp;b=01&amp;c=2010&amp;d=05&amp;e=01&amp;f=2012&amp;g=d&amp;ignore=.csv" htmlTables="1" htmlFormat="all"/>
  </connection>
  <connection id="34" name="Connection128" type="4" refreshedVersion="0" background="1">
    <webPr url="http://table.finance.yahoo.com/table.csv?s=Enter Tickers Below&amp;a=00&amp;b=01&amp;c=2010&amp;d=05&amp;e=01&amp;f=2012&amp;g=d&amp;ignore=.csv" htmlTables="1" htmlFormat="all"/>
  </connection>
  <connection id="35" name="Connection129" type="4" refreshedVersion="0" background="1">
    <webPr url="http://table.finance.yahoo.com/table.csv?s=BP&amp;a=00&amp;b=01&amp;c=2010&amp;d=05&amp;e=01&amp;f=2012&amp;g=d&amp;ignore=.csv" htmlTables="1" htmlFormat="all"/>
  </connection>
  <connection id="36" name="Connection13" type="4" refreshedVersion="0" background="1">
    <webPr url="http://table.finance.yahoo.com/table.csv?s=tryrty&amp;a=00&amp;b=01&amp;c=2010&amp;d=05&amp;e=01&amp;f=2012&amp;g=d&amp;ignore=.csv" htmlTables="1" htmlFormat="all"/>
  </connection>
  <connection id="37" name="Connection130" type="4" refreshedVersion="0" background="1">
    <webPr url="http://table.finance.yahoo.com/table.csv?s=AD&amp;a=00&amp;b=01&amp;c=2010&amp;d=05&amp;e=01&amp;f=2012&amp;g=d&amp;ignore=.csv" htmlTables="1" htmlFormat="all"/>
  </connection>
  <connection id="38" name="Connection131" type="4" refreshedVersion="0" background="1">
    <webPr url="http://table.finance.yahoo.com/table.csv?s=Enter Tickers Below&amp;a=00&amp;b=01&amp;c=2010&amp;d=05&amp;e=01&amp;f=2012&amp;g=d&amp;ignore=.csv" htmlTables="1" htmlFormat="all"/>
  </connection>
  <connection id="39" name="Connection132" type="4" refreshedVersion="0" background="1">
    <webPr url="http://table.finance.yahoo.com/table.csv?s=ACLA&amp;a=00&amp;b=01&amp;c=2010&amp;d=05&amp;e=01&amp;f=2012&amp;g=d&amp;ignore=.csv" htmlTables="1" htmlFormat="all"/>
  </connection>
  <connection id="40" name="Connection133" type="4" refreshedVersion="0" background="1">
    <webPr url="http://table.finance.yahoo.com/table.csv?s=Enter Tickers Below&amp;a=00&amp;b=01&amp;c=2010&amp;d=05&amp;e=01&amp;f=2012&amp;g=d&amp;ignore=.csv" htmlTables="1" htmlFormat="all"/>
  </connection>
  <connection id="41" name="Connection134" type="4" refreshedVersion="0" background="1">
    <webPr url="http://table.finance.yahoo.com/table.csv?s=ACM_PA&amp;a=00&amp;b=01&amp;c=2010&amp;d=05&amp;e=01&amp;f=2012&amp;g=d&amp;ignore=.csv" htmlTables="1" htmlFormat="all"/>
  </connection>
  <connection id="42" name="Connection135" type="4" refreshedVersion="0" background="1">
    <webPr url="http://table.finance.yahoo.com/table.csv?s=Enter Tickers Below&amp;a=00&amp;b=01&amp;c=2010&amp;d=05&amp;e=01&amp;f=2012&amp;g=d&amp;ignore=.csv" htmlTables="1" htmlFormat="all"/>
  </connection>
  <connection id="43" name="Connection136" type="4" refreshedVersion="0" background="1">
    <webPr url="http://table.finance.yahoo.com/table.csv?s=GOOG&amp;a=05&amp;b=01&amp;c=1998&amp;d=05&amp;e=01&amp;f=2001&amp;g=w&amp;ignore=.csv" htmlTables="1" htmlFormat="all"/>
  </connection>
  <connection id="44" name="Connection137" type="4" refreshedVersion="0" background="1">
    <webPr url="http://table.finance.yahoo.com/table.csv?s=ADEX&amp;a=00&amp;b=01&amp;c=2010&amp;d=05&amp;e=01&amp;f=2012&amp;g=d&amp;ignore=.csv" htmlTables="1" htmlFormat="all"/>
  </connection>
  <connection id="45" name="Connection138" type="4" refreshedVersion="0" background="1">
    <webPr url="http://table.finance.yahoo.com/table.csv?s=GOOG&amp;a=05&amp;b=01&amp;c=1998&amp;d=05&amp;e=01&amp;f=2001&amp;g=w&amp;ignore=.csv" htmlTables="1" htmlFormat="all"/>
  </connection>
  <connection id="46" name="Connection139" type="4" refreshedVersion="0" background="1">
    <webPr url="http://table.finance.yahoo.com/table.csv?s=ADF&amp;a=00&amp;b=01&amp;c=2010&amp;d=05&amp;e=01&amp;f=2012&amp;g=d&amp;ignore=.csv" htmlTables="1" htmlFormat="all"/>
  </connection>
  <connection id="47" name="Connection14" type="4" refreshedVersion="0" background="1">
    <webPr url="http://table.finance.yahoo.com/table.csv?s=Bdsadfasdf&amp;a=00&amp;b=01&amp;c=2010&amp;d=05&amp;e=01&amp;f=2012&amp;g=d&amp;ignore=.csv" htmlTables="1" htmlFormat="all"/>
  </connection>
  <connection id="48" name="Connection140" type="4" refreshedVersion="0" background="1">
    <webPr url="http://table.finance.yahoo.com/table.csv?s=ADG&amp;a=00&amp;b=01&amp;c=2010&amp;d=05&amp;e=01&amp;f=2012&amp;g=d&amp;ignore=.csv" htmlTables="1" htmlFormat="all"/>
  </connection>
  <connection id="49" name="Connection141" type="4" refreshedVersion="0" background="1">
    <webPr url="http://table.finance.yahoo.com/table.csv?s=ACMR&amp;a=00&amp;b=01&amp;c=2010&amp;d=05&amp;e=01&amp;f=2012&amp;g=d&amp;ignore=.csv" htmlTables="1" htmlFormat="all"/>
  </connection>
  <connection id="50" name="Connection142" type="4" refreshedVersion="0" background="1">
    <webPr url="http://table.finance.yahoo.com/table.csv?s=ADH&amp;a=00&amp;b=01&amp;c=2010&amp;d=05&amp;e=01&amp;f=2012&amp;g=d&amp;ignore=.csv" htmlTables="1" htmlFormat="all"/>
  </connection>
  <connection id="51" name="Connection143" type="4" refreshedVersion="0" background="1">
    <webPr url="http://table.finance.yahoo.com/table.csv?s=Enter Tickers Below&amp;a=00&amp;b=01&amp;c=2010&amp;d=05&amp;e=01&amp;f=2012&amp;g=d&amp;ignore=.csv" htmlTables="1" htmlFormat="all"/>
  </connection>
  <connection id="52" name="Connection144" type="4" refreshedVersion="0" background="1">
    <webPr url="http://table.finance.yahoo.com/table.csv?s=ADIC&amp;a=00&amp;b=01&amp;c=2010&amp;d=05&amp;e=01&amp;f=2012&amp;g=d&amp;ignore=.csv" htmlTables="1" htmlFormat="all"/>
  </connection>
  <connection id="53" name="Connection145" type="4" refreshedVersion="0" background="1">
    <webPr url="http://table.finance.yahoo.com/table.csv?s=ADL&amp;a=00&amp;b=01&amp;c=2010&amp;d=05&amp;e=01&amp;f=2012&amp;g=d&amp;ignore=.csv" htmlTables="1" htmlFormat="all"/>
  </connection>
  <connection id="54" name="Connection146" type="4" refreshedVersion="0" background="1">
    <webPr url="http://table.finance.yahoo.com/table.csv?s=Enter Tickers Below&amp;a=00&amp;b=01&amp;c=2010&amp;d=05&amp;e=01&amp;f=2012&amp;g=d&amp;ignore=.csv" htmlTables="1" htmlFormat="all"/>
  </connection>
  <connection id="55" name="Connection147" type="4" refreshedVersion="0" background="1">
    <webPr url="http://table.finance.yahoo.com/table.csv?s=Enter Tickers Below&amp;a=00&amp;b=01&amp;c=2010&amp;d=05&amp;e=01&amp;f=2012&amp;g=d&amp;ignore=.csv" htmlTables="1" htmlFormat="all"/>
  </connection>
  <connection id="56" name="Connection148" type="4" refreshedVersion="0" background="1">
    <webPr url="http://table.finance.yahoo.com/table.csv?s=Enter Tickers Below&amp;a=00&amp;b=01&amp;c=2010&amp;d=05&amp;e=01&amp;f=2012&amp;g=d&amp;ignore=.csv" htmlTables="1" htmlFormat="all"/>
  </connection>
  <connection id="57" name="Connection149" type="4" refreshedVersion="0" background="1">
    <webPr url="http://table.finance.yahoo.com/table.csv?s=ADO&amp;a=00&amp;b=01&amp;c=2010&amp;d=05&amp;e=01&amp;f=2012&amp;g=d&amp;ignore=.csv" htmlTables="1" htmlFormat="all"/>
  </connection>
  <connection id="58" name="Connection15" type="4" refreshedVersion="0" background="1">
    <webPr url="http://table.finance.yahoo.com/table.csv?s=KRFT&amp;a=00&amp;b=01&amp;c=2010&amp;d=05&amp;e=01&amp;f=2012&amp;g=d&amp;ignore=.csv" htmlTables="1" htmlFormat="all"/>
  </connection>
  <connection id="59" name="Connection150" type="4" refreshedVersion="0" background="1">
    <webPr url="http://table.finance.yahoo.com/table.csv?s=ACP_P&amp;a=00&amp;b=01&amp;c=2010&amp;d=05&amp;e=01&amp;f=2012&amp;g=d&amp;ignore=.csv" htmlTables="1" htmlFormat="all"/>
  </connection>
  <connection id="60" name="Connection151" type="4" refreshedVersion="0" background="1">
    <webPr url="http://table.finance.yahoo.com/table.csv?s=Enter Tickers Below&amp;a=00&amp;b=01&amp;c=2010&amp;d=05&amp;e=01&amp;f=2012&amp;g=d&amp;ignore=.csv" htmlTables="1" htmlFormat="all"/>
  </connection>
  <connection id="61" name="Connection152" type="4" refreshedVersion="0" background="1">
    <webPr url="http://table.finance.yahoo.com/table.csv?s=ACR&amp;a=00&amp;b=01&amp;c=2010&amp;d=05&amp;e=01&amp;f=2012&amp;g=d&amp;ignore=.csv" htmlTables="1" htmlFormat="all"/>
  </connection>
  <connection id="62" name="Connection153" type="4" refreshedVersion="0" background="1">
    <webPr url="http://table.finance.yahoo.com/table.csv?s=ACRN&amp;a=00&amp;b=01&amp;c=2010&amp;d=05&amp;e=01&amp;f=2012&amp;g=d&amp;ignore=.csv" htmlTables="1" htmlFormat="all"/>
  </connection>
  <connection id="63" name="Connection154" type="4" refreshedVersion="0" background="1">
    <webPr url="http://table.finance.yahoo.com/table.csv?s=ACS&amp;a=00&amp;b=01&amp;c=2010&amp;d=05&amp;e=01&amp;f=2012&amp;g=d&amp;ignore=.csv" htmlTables="1" htmlFormat="all"/>
  </connection>
  <connection id="64" name="Connection155" type="4" refreshedVersion="0" background="1">
    <webPr url="http://table.finance.yahoo.com/table.csv?s=XOM&amp;a=00&amp;b=01&amp;c=2010&amp;d=05&amp;e=01&amp;f=2012&amp;g=d&amp;ignore=.csv" htmlTables="1" htmlFormat="all"/>
  </connection>
  <connection id="65" name="Connection156" type="4" refreshedVersion="0" background="1">
    <webPr url="http://table.finance.yahoo.com/table.csv?s=ACT_P&amp;a=00&amp;b=01&amp;c=2010&amp;d=05&amp;e=01&amp;f=2012&amp;g=d&amp;ignore=.csv" htmlTables="1" htmlFormat="all"/>
  </connection>
  <connection id="66" name="Connection157" type="4" refreshedVersion="0" background="1">
    <webPr url="http://table.finance.yahoo.com/table.csv?s=ADRX&amp;a=00&amp;b=01&amp;c=2010&amp;d=05&amp;e=01&amp;f=2012&amp;g=d&amp;ignore=.csv" htmlTables="1" htmlFormat="all"/>
  </connection>
  <connection id="67" name="Connection158" type="4" refreshedVersion="0" background="1">
    <webPr url="http://table.finance.yahoo.com/table.csv?s=GOOG&amp;a=00&amp;b=01&amp;c=2010&amp;d=05&amp;e=01&amp;f=2012&amp;g=d&amp;ignore=.csv" htmlTables="1" htmlFormat="all"/>
  </connection>
  <connection id="68" name="Connection159" type="4" refreshedVersion="0" background="1">
    <webPr url="http://table.finance.yahoo.com/table.csv?s=ADSC&amp;a=00&amp;b=01&amp;c=2010&amp;d=05&amp;e=01&amp;f=2012&amp;g=d&amp;ignore=.csv" htmlTables="1" htmlFormat="all"/>
  </connection>
  <connection id="69" name="Connection16" type="4" refreshedVersion="0" background="1">
    <webPr url="http://table.finance.yahoo.com/table.csv?s=tryrty&amp;a=00&amp;b=01&amp;c=2010&amp;d=05&amp;e=01&amp;f=2012&amp;g=d&amp;ignore=.csv" htmlTables="1" htmlFormat="all"/>
  </connection>
  <connection id="70" name="Connection160" type="4" refreshedVersion="0" background="1">
    <webPr url="http://table.finance.yahoo.com/table.csv?s=ACTL&amp;a=00&amp;b=01&amp;c=2010&amp;d=05&amp;e=01&amp;f=2012&amp;g=d&amp;ignore=.csv" htmlTables="1" htmlFormat="all"/>
  </connection>
  <connection id="71" name="Connection161" type="4" refreshedVersion="0" background="1">
    <webPr url="http://table.finance.yahoo.com/table.csv?s=MSFT&amp;a=00&amp;b=01&amp;c=2010&amp;d=05&amp;e=01&amp;f=2012&amp;g=d&amp;ignore=.csv" htmlTables="1" htmlFormat="all"/>
  </connection>
  <connection id="72" name="Connection162" type="4" refreshedVersion="0" background="1">
    <webPr url="http://table.finance.yahoo.com/table.csv?s=ADSTW&amp;a=00&amp;b=01&amp;c=2010&amp;d=05&amp;e=01&amp;f=2012&amp;g=d&amp;ignore=.csv" htmlTables="1" htmlFormat="all"/>
  </connection>
  <connection id="73" name="Connection163" type="4" refreshedVersion="0" background="1">
    <webPr url="http://table.finance.yahoo.com/table.csv?s=ADSX&amp;a=00&amp;b=01&amp;c=2010&amp;d=05&amp;e=01&amp;f=2012&amp;g=d&amp;ignore=.csv" htmlTables="1" htmlFormat="all"/>
  </connection>
  <connection id="74" name="Connection164" type="4" refreshedVersion="0" background="1">
    <webPr url="http://table.finance.yahoo.com/table.csv?s=ADTK&amp;a=00&amp;b=01&amp;c=2010&amp;d=05&amp;e=01&amp;f=2012&amp;g=d&amp;ignore=.csv" htmlTables="1" htmlFormat="all"/>
  </connection>
  <connection id="75" name="Connection165" type="4" refreshedVersion="0" background="1">
    <webPr url="http://table.finance.yahoo.com/table.csv?s=WMT&amp;a=00&amp;b=01&amp;c=2010&amp;d=05&amp;e=01&amp;f=2012&amp;g=d&amp;ignore=.csv" htmlTables="1" htmlFormat="all"/>
  </connection>
  <connection id="76" name="Connection166" type="4" refreshedVersion="0" background="1">
    <webPr url="http://table.finance.yahoo.com/table.csv?s=ADVNA&amp;a=00&amp;b=01&amp;c=2010&amp;d=05&amp;e=01&amp;f=2012&amp;g=d&amp;ignore=.csv" htmlTables="1" htmlFormat="all"/>
  </connection>
  <connection id="77" name="Connection167" type="4" refreshedVersion="0" background="1">
    <webPr url="http://table.finance.yahoo.com/table.csv?s=ADVNB&amp;a=00&amp;b=01&amp;c=2010&amp;d=05&amp;e=01&amp;f=2012&amp;g=d&amp;ignore=.csv" htmlTables="1" htmlFormat="all"/>
  </connection>
  <connection id="78" name="Connection168" type="4" refreshedVersion="0" background="1">
    <webPr url="http://table.finance.yahoo.com/table.csv?s=ADVP&amp;a=00&amp;b=01&amp;c=2010&amp;d=05&amp;e=01&amp;f=2012&amp;g=d&amp;ignore=.csv" htmlTables="1" htmlFormat="all"/>
  </connection>
  <connection id="79" name="Connection169" type="4" refreshedVersion="0" background="1">
    <webPr url="http://table.finance.yahoo.com/table.csv?s=ACTY&amp;a=00&amp;b=01&amp;c=2010&amp;d=05&amp;e=01&amp;f=2012&amp;g=d&amp;ignore=.csv" htmlTables="1" htmlFormat="all"/>
  </connection>
  <connection id="80" name="Connection17" type="4" refreshedVersion="0" background="1">
    <webPr url="http://table.finance.yahoo.com/table.csv?s=tryrty&amp;a=00&amp;b=01&amp;c=2010&amp;d=05&amp;e=01&amp;f=2012&amp;g=d&amp;ignore=.csv" htmlTables="1" htmlFormat="all"/>
  </connection>
  <connection id="81" name="Connection170" type="4" refreshedVersion="0" background="1">
    <webPr url="http://table.finance.yahoo.com/table.csv?s=GOOG&amp;a=00&amp;b=01&amp;c=2010&amp;d=05&amp;e=01&amp;f=2012&amp;g=d&amp;ignore=.csv" htmlTables="1" htmlFormat="all"/>
  </connection>
  <connection id="82" name="Connection171" type="4" refreshedVersion="0" background="1">
    <webPr url="http://table.finance.yahoo.com/table.csv?s=AAPL&amp;a=00&amp;b=01&amp;c=2010&amp;d=05&amp;e=01&amp;f=2012&amp;g=d&amp;ignore=.csv" htmlTables="1" htmlFormat="all"/>
  </connection>
  <connection id="83" name="Connection172" type="4" refreshedVersion="0" background="1">
    <webPr url="http://table.finance.yahoo.com/table.csv?s=ACV__A&amp;a=00&amp;b=01&amp;c=2010&amp;d=05&amp;e=01&amp;f=2012&amp;g=d&amp;ignore=.csv" htmlTables="1" htmlFormat="all"/>
  </connection>
  <connection id="84" name="Connection173" type="4" refreshedVersion="0" background="1">
    <webPr url="http://table.finance.yahoo.com/table.csv?s=jkkj&amp;a=00&amp;b=01&amp;c=2010&amp;d=05&amp;e=01&amp;f=2012&amp;g=d&amp;ignore=.csv" htmlTables="1" htmlFormat="all"/>
  </connection>
  <connection id="85" name="Connection174" type="4" refreshedVersion="0" background="1">
    <webPr url="http://table.finance.yahoo.com/table.csv?s=AEC_PA&amp;a=00&amp;b=01&amp;c=2010&amp;d=05&amp;e=01&amp;f=2012&amp;g=d&amp;ignore=.csv" htmlTables="1" htmlFormat="all"/>
  </connection>
  <connection id="86" name="Connection175" type="4" refreshedVersion="0" background="1">
    <webPr url="http://table.finance.yahoo.com/table.csv?s=AAPL&amp;a=00&amp;b=01&amp;c=2010&amp;d=05&amp;e=01&amp;f=2012&amp;g=d&amp;ignore=.csv" htmlTables="1" htmlFormat="all"/>
  </connection>
  <connection id="87" name="Connection176" type="4" refreshedVersion="0" background="1">
    <webPr url="http://table.finance.yahoo.com/table.csv?s=AD&amp;a=00&amp;b=01&amp;c=2010&amp;d=05&amp;e=01&amp;f=2012&amp;g=d&amp;ignore=.csv" htmlTables="1" htmlFormat="all"/>
  </connection>
  <connection id="88" name="Connection177" type="4" refreshedVersion="0" background="1">
    <webPr url="http://table.finance.yahoo.com/table.csv?s=AEE_PE&amp;a=00&amp;b=01&amp;c=2010&amp;d=05&amp;e=01&amp;f=2012&amp;g=d&amp;ignore=.csv" htmlTables="1" htmlFormat="all"/>
  </connection>
  <connection id="89" name="Connection178" type="4" refreshedVersion="0" background="1">
    <webPr url="http://table.finance.yahoo.com/table.csv?s=ADAM&amp;a=00&amp;b=01&amp;c=2010&amp;d=05&amp;e=01&amp;f=2012&amp;g=d&amp;ignore=.csv" htmlTables="1" htmlFormat="all"/>
  </connection>
  <connection id="90" name="Connection179" type="4" refreshedVersion="0" background="1">
    <webPr url="http://table.finance.yahoo.com/table.csv?s=BP&amp;a=00&amp;b=01&amp;c=2010&amp;d=05&amp;e=01&amp;f=2012&amp;g=d&amp;ignore=.csv" htmlTables="1" htmlFormat="all"/>
  </connection>
  <connection id="91" name="Connection18" type="4" refreshedVersion="0" background="1">
    <webPr url="http://table.finance.yahoo.com/table.csv?s=Enter Tickers Below&amp;a=00&amp;b=01&amp;c=2010&amp;d=05&amp;e=01&amp;f=2012&amp;g=d&amp;ignore=.csv" htmlTables="1" htmlFormat="all"/>
  </connection>
  <connection id="92" name="Connection180" type="4" refreshedVersion="0" background="1">
    <webPr url="http://table.finance.yahoo.com/table.csv?s=gkjkjh&amp;a=00&amp;b=01&amp;c=2010&amp;d=05&amp;e=01&amp;f=2012&amp;g=d&amp;ignore=.csv" htmlTables="1" htmlFormat="all"/>
  </connection>
  <connection id="93" name="Connection181" type="4" refreshedVersion="0" background="1">
    <webPr url="http://table.finance.yahoo.com/table.csv?s=BP&amp;a=00&amp;b=01&amp;c=2010&amp;d=05&amp;e=01&amp;f=2012&amp;g=d&amp;ignore=.csv" htmlTables="1" htmlFormat="all"/>
  </connection>
  <connection id="94" name="Connection182" type="4" refreshedVersion="0" background="1">
    <webPr url="http://table.finance.yahoo.com/table.csv?s=ADCT&amp;a=00&amp;b=01&amp;c=2010&amp;d=05&amp;e=01&amp;f=2012&amp;g=d&amp;ignore=.csv" htmlTables="1" htmlFormat="all"/>
  </connection>
  <connection id="95" name="Connection183" type="4" refreshedVersion="0" background="1">
    <webPr url="http://table.finance.yahoo.com/table.csv?s=AELA&amp;a=00&amp;b=01&amp;c=2010&amp;d=05&amp;e=01&amp;f=2012&amp;g=d&amp;ignore=.csv" htmlTables="1" htmlFormat="all"/>
  </connection>
  <connection id="96" name="Connection184" type="4" refreshedVersion="0" background="1">
    <webPr url="http://table.finance.yahoo.com/table.csv?s=ADEX&amp;a=00&amp;b=01&amp;c=2010&amp;d=05&amp;e=01&amp;f=2012&amp;g=d&amp;ignore=.csv" htmlTables="1" htmlFormat="all"/>
  </connection>
  <connection id="97" name="Connection185" type="4" refreshedVersion="0" background="1">
    <webPr url="http://table.finance.yahoo.com/table.csv?s=AEMLW&amp;a=00&amp;b=01&amp;c=2010&amp;d=05&amp;e=01&amp;f=2012&amp;g=d&amp;ignore=.csv" htmlTables="1" htmlFormat="all"/>
  </connection>
  <connection id="98" name="Connection186" type="4" refreshedVersion="0" background="1">
    <webPr url="http://table.finance.yahoo.com/table.csv?s=AEN&amp;a=00&amp;b=01&amp;c=2010&amp;d=05&amp;e=01&amp;f=2012&amp;g=d&amp;ignore=.csv" htmlTables="1" htmlFormat="all"/>
  </connection>
  <connection id="99" name="Connection187" type="4" refreshedVersion="0" background="1">
    <webPr url="http://table.finance.yahoo.com/table.csv?s=AEOS&amp;a=00&amp;b=01&amp;c=2010&amp;d=05&amp;e=01&amp;f=2012&amp;g=d&amp;ignore=.csv" htmlTables="1" htmlFormat="all"/>
  </connection>
  <connection id="100" name="Connection188" type="4" refreshedVersion="0" background="1">
    <webPr url="http://table.finance.yahoo.com/table.csv?s=ssfsf&amp;a=00&amp;b=01&amp;c=2010&amp;d=05&amp;e=01&amp;f=2012&amp;g=d&amp;ignore=.csv" htmlTables="1" htmlFormat="all"/>
  </connection>
  <connection id="101" name="Connection189" type="4" refreshedVersion="0" background="1">
    <webPr url="http://table.finance.yahoo.com/table.csv?s=AEP_PA&amp;a=00&amp;b=01&amp;c=2010&amp;d=05&amp;e=01&amp;f=2012&amp;g=d&amp;ignore=.csv" htmlTables="1" htmlFormat="all"/>
  </connection>
  <connection id="102" name="Connection19" type="4" refreshedVersion="0" background="1">
    <webPr url="http://table.finance.yahoo.com/table.csv?s=AAA&amp;a=00&amp;b=01&amp;c=2010&amp;d=05&amp;e=01&amp;f=2012&amp;g=d&amp;ignore=.csv" htmlTables="1" htmlFormat="all"/>
  </connection>
  <connection id="103" name="Connection190" type="4" refreshedVersion="0" background="1">
    <webPr url="http://table.finance.yahoo.com/table.csv?s=ADG&amp;a=00&amp;b=01&amp;c=2010&amp;d=05&amp;e=01&amp;f=2012&amp;g=d&amp;ignore=.csv" htmlTables="1" htmlFormat="all"/>
  </connection>
  <connection id="104" name="Connection191" type="4" refreshedVersion="0" background="1">
    <webPr url="http://table.finance.yahoo.com/table.csv?s=IBM&amp;a=00&amp;b=01&amp;c=2010&amp;d=05&amp;e=01&amp;f=2012&amp;g=d&amp;ignore=.csv" htmlTables="1" htmlFormat="all"/>
  </connection>
  <connection id="105" name="Connection192" type="4" refreshedVersion="0" background="1">
    <webPr url="http://table.finance.yahoo.com/table.csv?s=ADH&amp;a=00&amp;b=01&amp;c=2010&amp;d=05&amp;e=01&amp;f=2012&amp;g=d&amp;ignore=.csv" htmlTables="1" htmlFormat="all"/>
  </connection>
  <connection id="106" name="Connection193" type="4" refreshedVersion="0" background="1">
    <webPr url="http://table.finance.yahoo.com/table.csv?s=AERTA&amp;a=00&amp;b=01&amp;c=2010&amp;d=05&amp;e=01&amp;f=2012&amp;g=d&amp;ignore=.csv" htmlTables="1" htmlFormat="all"/>
  </connection>
  <connection id="107" name="Connection194" type="4" refreshedVersion="0" background="1">
    <webPr url="http://table.finance.yahoo.com/table.csv?s=lkjlj&amp;a=00&amp;b=01&amp;c=2010&amp;d=05&amp;e=01&amp;f=2012&amp;g=d&amp;ignore=.csv" htmlTables="1" htmlFormat="all"/>
  </connection>
  <connection id="108" name="Connection195" type="4" refreshedVersion="0" background="1">
    <webPr url="http://table.finance.yahoo.com/table.csv?s=AES_PC&amp;a=00&amp;b=01&amp;c=2010&amp;d=05&amp;e=01&amp;f=2012&amp;g=d&amp;ignore=.csv" htmlTables="1" htmlFormat="all"/>
  </connection>
  <connection id="109" name="Connection196" type="4" refreshedVersion="0" background="1">
    <webPr url="http://table.finance.yahoo.com/table.csv?s=AESP&amp;a=00&amp;b=01&amp;c=2010&amp;d=05&amp;e=01&amp;f=2012&amp;g=d&amp;ignore=.csv" htmlTables="1" htmlFormat="all"/>
  </connection>
  <connection id="110" name="Connection197" type="4" refreshedVersion="0" background="1">
    <webPr url="http://table.finance.yahoo.com/table.csv?s=ADIC&amp;a=00&amp;b=01&amp;c=2010&amp;d=05&amp;e=01&amp;f=2012&amp;g=d&amp;ignore=.csv" htmlTables="1" htmlFormat="all"/>
  </connection>
  <connection id="111" name="Connection198" type="4" refreshedVersion="0" background="1">
    <webPr url="http://table.finance.yahoo.com/table.csv?s=AETC&amp;a=00&amp;b=01&amp;c=2010&amp;d=05&amp;e=01&amp;f=2012&amp;g=d&amp;ignore=.csv" htmlTables="1" htmlFormat="all"/>
  </connection>
  <connection id="112" name="Connection199" type="4" refreshedVersion="0" background="1">
    <webPr url="http://table.finance.yahoo.com/table.csv?s=AETH&amp;a=00&amp;b=01&amp;c=2010&amp;d=05&amp;e=01&amp;f=2012&amp;g=d&amp;ignore=.csv" htmlTables="1" htmlFormat="all"/>
  </connection>
  <connection id="113" name="Connection2" type="4" refreshedVersion="0" background="1">
    <webPr url="http://table.finance.yahoo.com/table.csv?s=aaple&amp;a=00&amp;b=01&amp;c=2010&amp;d=05&amp;e=01&amp;f=2012&amp;g=m&amp;ignore=.csv" htmlTables="1" htmlFormat="all"/>
  </connection>
  <connection id="114" name="Connection20" type="4" refreshedVersion="0" background="1">
    <webPr url="http://table.finance.yahoo.com/table.csv?s=AABC&amp;a=00&amp;b=01&amp;c=2010&amp;d=05&amp;e=01&amp;f=2012&amp;g=d&amp;ignore=.csv" htmlTables="1" htmlFormat="all"/>
  </connection>
  <connection id="115" name="Connection200" type="4" refreshedVersion="0" background="1">
    <webPr url="http://table.finance.yahoo.com/table.csv?s=ADL&amp;a=00&amp;b=01&amp;c=2010&amp;d=05&amp;e=01&amp;f=2012&amp;g=d&amp;ignore=.csv" htmlTables="1" htmlFormat="all"/>
  </connection>
  <connection id="116" name="Connection201" type="4" refreshedVersion="0" background="1">
    <webPr url="http://table.finance.yahoo.com/table.csv?s=lkjlj&amp;a=00&amp;b=01&amp;c=2010&amp;d=05&amp;e=01&amp;f=2012&amp;g=d&amp;ignore=.csv" htmlTables="1" htmlFormat="all"/>
  </connection>
  <connection id="117" name="Connection202" type="4" refreshedVersion="0" background="1">
    <webPr url="http://table.finance.yahoo.com/table.csv?s=ADLR&amp;a=00&amp;b=01&amp;c=2010&amp;d=05&amp;e=01&amp;f=2012&amp;g=d&amp;ignore=.csv" htmlTables="1" htmlFormat="all"/>
  </connection>
  <connection id="118" name="Connection203" type="4" refreshedVersion="0" background="1">
    <webPr url="http://table.finance.yahoo.com/table.csv?s=AFBC&amp;a=00&amp;b=01&amp;c=2010&amp;d=05&amp;e=01&amp;f=2012&amp;g=d&amp;ignore=.csv" htmlTables="1" htmlFormat="all"/>
  </connection>
  <connection id="119" name="Connection204" type="4" refreshedVersion="0" background="1">
    <webPr url="http://table.finance.yahoo.com/table.csv?s=AFBK&amp;a=00&amp;b=01&amp;c=2010&amp;d=05&amp;e=01&amp;f=2012&amp;g=d&amp;ignore=.csv" htmlTables="1" htmlFormat="all"/>
  </connection>
  <connection id="120" name="Connection205" type="4" refreshedVersion="0" background="1">
    <webPr url="http://table.finance.yahoo.com/table.csv?s=AFBKW&amp;a=00&amp;b=01&amp;c=2010&amp;d=05&amp;e=01&amp;f=2012&amp;g=d&amp;ignore=.csv" htmlTables="1" htmlFormat="all"/>
  </connection>
  <connection id="121" name="Connection206" type="4" refreshedVersion="0" background="1">
    <webPr url="http://table.finance.yahoo.com/table.csv?s=lkjlj&amp;a=00&amp;b=01&amp;c=2010&amp;d=05&amp;e=01&amp;f=2012&amp;g=d&amp;ignore=.csv" htmlTables="1" htmlFormat="all"/>
  </connection>
  <connection id="122" name="Connection207" type="4" refreshedVersion="0" background="1">
    <webPr url="http://table.finance.yahoo.com/table.csv?s=ADO&amp;a=00&amp;b=01&amp;c=2010&amp;d=05&amp;e=01&amp;f=2012&amp;g=d&amp;ignore=.csv" htmlTables="1" htmlFormat="all"/>
  </connection>
  <connection id="123" name="Connection208" type="4" refreshedVersion="0" background="1">
    <webPr url="http://table.finance.yahoo.com/table.csv?s=AFCI&amp;a=00&amp;b=01&amp;c=2010&amp;d=05&amp;e=01&amp;f=2012&amp;g=d&amp;ignore=.csv" htmlTables="1" htmlFormat="all"/>
  </connection>
  <connection id="124" name="Connection209" type="4" refreshedVersion="0" background="1">
    <webPr url="http://table.finance.yahoo.com/table.csv?s=AFCO&amp;a=00&amp;b=01&amp;c=2010&amp;d=05&amp;e=01&amp;f=2012&amp;g=d&amp;ignore=.csv" htmlTables="1" htmlFormat="all"/>
  </connection>
  <connection id="125" name="Connection21" type="4" refreshedVersion="0" background="1">
    <webPr url="http://table.finance.yahoo.com/table.csv?s=Enter Tickers Below&amp;a=00&amp;b=01&amp;c=2010&amp;d=05&amp;e=01&amp;f=2012&amp;g=d&amp;ignore=.csv" htmlTables="1" htmlFormat="all"/>
  </connection>
  <connection id="126" name="Connection210" type="4" refreshedVersion="0" background="1">
    <webPr url="http://table.finance.yahoo.com/table.csv?s=lkjlj&amp;a=00&amp;b=01&amp;c=2010&amp;d=05&amp;e=01&amp;f=2012&amp;g=d&amp;ignore=.csv" htmlTables="1" htmlFormat="all"/>
  </connection>
  <connection id="127" name="Connection211" type="4" refreshedVersion="0" background="1">
    <webPr url="http://table.finance.yahoo.com/table.csv?s=samir&amp;a=00&amp;b=01&amp;c=2010&amp;d=05&amp;e=01&amp;f=2012&amp;g=d&amp;ignore=.csv" htmlTables="1" htmlFormat="all"/>
  </connection>
  <connection id="128" name="Connection212" type="4" refreshedVersion="0" background="1">
    <webPr url="http://table.finance.yahoo.com/table.csv?s=AFG_PT&amp;a=00&amp;b=01&amp;c=2010&amp;d=05&amp;e=01&amp;f=2012&amp;g=d&amp;ignore=.csv" htmlTables="1" htmlFormat="all"/>
  </connection>
  <connection id="129" name="Connection213" type="4" refreshedVersion="0" background="1">
    <webPr url="http://table.finance.yahoo.com/table.csv?s=ssfsf&amp;a=00&amp;b=01&amp;c=2010&amp;d=05&amp;e=01&amp;f=2012&amp;g=d&amp;ignore=.csv" htmlTables="1" htmlFormat="all"/>
  </connection>
  <connection id="130" name="Connection214" type="4" refreshedVersion="0" background="1">
    <webPr url="http://table.finance.yahoo.com/table.csv?s=samir&amp;a=00&amp;b=01&amp;c=2010&amp;d=05&amp;e=01&amp;f=2012&amp;g=d&amp;ignore=.csv" htmlTables="1" htmlFormat="all"/>
  </connection>
  <connection id="131" name="Connection215" type="4" refreshedVersion="0" background="1">
    <webPr url="http://table.finance.yahoo.com/table.csv?s=ssfsf&amp;a=00&amp;b=01&amp;c=2010&amp;d=05&amp;e=01&amp;f=2012&amp;g=d&amp;ignore=.csv" htmlTables="1" htmlFormat="all"/>
  </connection>
  <connection id="132" name="Connection216" type="4" refreshedVersion="0" background="1">
    <webPr url="http://table.finance.yahoo.com/table.csv?s=lkjl&amp;a=00&amp;b=01&amp;c=2010&amp;d=05&amp;e=01&amp;f=2012&amp;g=d&amp;ignore=.csv" htmlTables="1" htmlFormat="all"/>
  </connection>
  <connection id="133" name="Connection217" type="4" refreshedVersion="0" background="1">
    <webPr url="http://table.finance.yahoo.com/table.csv?s=AFREZ&amp;a=00&amp;b=01&amp;c=2010&amp;d=05&amp;e=01&amp;f=2012&amp;g=d&amp;ignore=.csv" htmlTables="1" htmlFormat="all"/>
  </connection>
  <connection id="134" name="Connection218" type="4" refreshedVersion="0" background="1">
    <webPr url="http://table.finance.yahoo.com/table.csv?s=kljlkj&amp;a=00&amp;b=01&amp;c=2010&amp;d=05&amp;e=01&amp;f=2012&amp;g=d&amp;ignore=.csv" htmlTables="1" htmlFormat="all"/>
  </connection>
  <connection id="135" name="Connection219" type="4" refreshedVersion="0" background="1">
    <webPr url="http://table.finance.yahoo.com/table.csv?s=ADRX&amp;a=00&amp;b=01&amp;c=2010&amp;d=05&amp;e=01&amp;f=2012&amp;g=d&amp;ignore=.csv" htmlTables="1" htmlFormat="all"/>
  </connection>
  <connection id="136" name="Connection22" type="4" refreshedVersion="0" background="1">
    <webPr url="http://table.finance.yahoo.com/table.csv?s=AACB&amp;a=00&amp;b=01&amp;c=2010&amp;d=05&amp;e=01&amp;f=2012&amp;g=d&amp;ignore=.csv" htmlTables="1" htmlFormat="all"/>
  </connection>
  <connection id="137" name="Connection220" type="4" refreshedVersion="0" background="1">
    <webPr url="http://table.finance.yahoo.com/table.csv?s=AGC_PA&amp;a=00&amp;b=01&amp;c=2010&amp;d=05&amp;e=01&amp;f=2012&amp;g=d&amp;ignore=.csv" htmlTables="1" htmlFormat="all"/>
  </connection>
  <connection id="138" name="Connection221" type="4" refreshedVersion="0" background="1">
    <webPr url="http://table.finance.yahoo.com/table.csv?s=AGC_PB&amp;a=00&amp;b=01&amp;c=2010&amp;d=05&amp;e=01&amp;f=2012&amp;g=d&amp;ignore=.csv" htmlTables="1" htmlFormat="all"/>
  </connection>
  <connection id="139" name="Connection222" type="4" refreshedVersion="0" background="1">
    <webPr url="http://table.finance.yahoo.com/table.csv?s=NONE&amp;a=00&amp;b=01&amp;c=2001&amp;d=05&amp;e=01&amp;f=2001&amp;g=m&amp;ignore=.csv" htmlTables="1" htmlFormat="all"/>
  </connection>
  <connection id="140" name="Connection223" type="4" refreshedVersion="0" background="1">
    <webPr url="http://table.finance.yahoo.com/table.csv?s=gkjkjh&amp;a=00&amp;b=01&amp;c=2010&amp;d=05&amp;e=01&amp;f=2012&amp;g=d&amp;ignore=.csv" htmlTables="1" htmlFormat="all"/>
  </connection>
  <connection id="141" name="Connection224" type="4" refreshedVersion="0" background="1">
    <webPr url="http://table.finance.yahoo.com/table.csv?s=AGE&amp;a=00&amp;b=01&amp;c=2010&amp;d=05&amp;e=01&amp;f=2012&amp;g=d&amp;ignore=.csv" htmlTables="1" htmlFormat="all"/>
  </connection>
  <connection id="142" name="Connection225" type="4" refreshedVersion="0" background="1">
    <webPr url="http://table.finance.yahoo.com/table.csv?s=NONE&amp;a=00&amp;b=01&amp;c=2001&amp;d=05&amp;e=01&amp;f=2001&amp;g=m&amp;ignore=.csv" htmlTables="1" htmlFormat="all"/>
  </connection>
  <connection id="143" name="Connection226" type="4" refreshedVersion="0" background="1">
    <webPr url="http://table.finance.yahoo.com/table.csv?s=ADSC&amp;a=00&amp;b=01&amp;c=2010&amp;d=05&amp;e=01&amp;f=2012&amp;g=d&amp;ignore=.csv" htmlTables="1" htmlFormat="all"/>
  </connection>
  <connection id="144" name="Connection227" type="4" refreshedVersion="0" background="1">
    <webPr url="http://table.finance.yahoo.com/table.csv?s=AGH&amp;a=00&amp;b=01&amp;c=2010&amp;d=05&amp;e=01&amp;f=2012&amp;g=d&amp;ignore=.csv" htmlTables="1" htmlFormat="all"/>
  </connection>
  <connection id="145" name="Connection228" type="4" refreshedVersion="0" background="1">
    <webPr url="http://table.finance.yahoo.com/table.csv?s=AGI&amp;a=00&amp;b=01&amp;c=2010&amp;d=05&amp;e=01&amp;f=2012&amp;g=d&amp;ignore=.csv" htmlTables="1" htmlFormat="all"/>
  </connection>
  <connection id="146" name="Connection229" type="4" refreshedVersion="0" background="1">
    <webPr url="http://table.finance.yahoo.com/table.csv?s=AGII&amp;a=00&amp;b=01&amp;c=2010&amp;d=05&amp;e=01&amp;f=2012&amp;g=d&amp;ignore=.csv" htmlTables="1" htmlFormat="all"/>
  </connection>
  <connection id="147" name="Connection23" type="4" refreshedVersion="0" background="1">
    <webPr url="http://table.finance.yahoo.com/table.csv?s=AACE&amp;a=00&amp;b=01&amp;c=2010&amp;d=05&amp;e=01&amp;f=2012&amp;g=d&amp;ignore=.csv" htmlTables="1" htmlFormat="all"/>
  </connection>
  <connection id="148" name="Connection230" type="4" refreshedVersion="0" background="1">
    <webPr url="http://table.finance.yahoo.com/table.csv?s=AGIL&amp;a=00&amp;b=01&amp;c=2010&amp;d=05&amp;e=01&amp;f=2012&amp;g=d&amp;ignore=.csv" htmlTables="1" htmlFormat="all"/>
  </connection>
  <connection id="149" name="Connection231" type="4" refreshedVersion="0" background="1">
    <webPr url="http://table.finance.yahoo.com/table.csv?s=AGIX&amp;a=00&amp;b=01&amp;c=2010&amp;d=05&amp;e=01&amp;f=2012&amp;g=d&amp;ignore=.csv" htmlTables="1" htmlFormat="all"/>
  </connection>
  <connection id="150" name="Connection232" type="4" refreshedVersion="0" background="1">
    <webPr url="http://table.finance.yahoo.com/table.csv?s=AGL&amp;a=00&amp;b=01&amp;c=2010&amp;d=05&amp;e=01&amp;f=2012&amp;g=d&amp;ignore=.csv" htmlTables="1" htmlFormat="all"/>
  </connection>
  <connection id="151" name="Connection233" type="4" refreshedVersion="0" background="1">
    <webPr url="http://table.finance.yahoo.com/table.csv?s=XX&amp;a=00&amp;b=01&amp;c=2001&amp;d=05&amp;e=01&amp;f=2001&amp;g=m&amp;ignore=.csv" htmlTables="1" htmlFormat="all"/>
  </connection>
  <connection id="152" name="Connection234" type="4" refreshedVersion="0" background="1">
    <webPr url="http://table.finance.yahoo.com/table.csv?s=ssfsf&amp;a=00&amp;b=01&amp;c=2010&amp;d=05&amp;e=01&amp;f=2012&amp;g=d&amp;ignore=.csv" htmlTables="1" htmlFormat="all"/>
  </connection>
  <connection id="153" name="Connection235" type="4" refreshedVersion="0" background="1">
    <webPr url="http://table.finance.yahoo.com/table.csv?s=AGM__A&amp;a=00&amp;b=01&amp;c=2010&amp;d=05&amp;e=01&amp;f=2012&amp;g=d&amp;ignore=.csv" htmlTables="1" htmlFormat="all"/>
  </connection>
  <connection id="154" name="Connection236" type="4" refreshedVersion="0" background="1">
    <webPr url="http://table.finance.yahoo.com/table.csv?s=XX&amp;a=00&amp;b=01&amp;c=2001&amp;d=05&amp;e=01&amp;f=2001&amp;g=m&amp;ignore=.csv" htmlTables="1" htmlFormat="all"/>
  </connection>
  <connection id="155" name="Connection237" type="4" refreshedVersion="0" background="1">
    <webPr url="http://table.finance.yahoo.com/table.csv?s=kljlkj&amp;a=00&amp;b=01&amp;c=2010&amp;d=05&amp;e=01&amp;f=2012&amp;g=d&amp;ignore=.csv" htmlTables="1" htmlFormat="all"/>
  </connection>
  <connection id="156" name="Connection238" type="4" refreshedVersion="0" background="1">
    <webPr url="http://table.finance.yahoo.com/table.csv?s=AGNT&amp;a=00&amp;b=01&amp;c=2010&amp;d=05&amp;e=01&amp;f=2012&amp;g=d&amp;ignore=.csv" htmlTables="1" htmlFormat="all"/>
  </connection>
  <connection id="157" name="Connection239" type="4" refreshedVersion="0" background="1">
    <webPr url="http://table.finance.yahoo.com/table.csv?s=XX&amp;a=00&amp;b=01&amp;c=2001&amp;d=05&amp;e=01&amp;f=2001&amp;g=m&amp;ignore=.csv" htmlTables="1" htmlFormat="all"/>
  </connection>
  <connection id="158" name="Connection24" type="4" refreshedVersion="0" background="1">
    <webPr url="http://table.finance.yahoo.com/table.csv?s=AAG_PT&amp;a=00&amp;b=01&amp;c=2010&amp;d=05&amp;e=01&amp;f=2012&amp;g=d&amp;ignore=.csv" htmlTables="1" htmlFormat="all"/>
  </connection>
  <connection id="159" name="Connection240" type="4" refreshedVersion="0" background="1">
    <webPr url="http://table.finance.yahoo.com/table.csv?s=ADSTW&amp;a=00&amp;b=01&amp;c=2010&amp;d=05&amp;e=01&amp;f=2012&amp;g=d&amp;ignore=.csv" htmlTables="1" htmlFormat="all"/>
  </connection>
  <connection id="160" name="Connection241" type="4" refreshedVersion="0" background="1">
    <webPr url="http://table.finance.yahoo.com/table.csv?s=AGR__A&amp;a=00&amp;b=01&amp;c=2010&amp;d=05&amp;e=01&amp;f=2012&amp;g=d&amp;ignore=.csv" htmlTables="1" htmlFormat="all"/>
  </connection>
  <connection id="161" name="Connection242" type="4" refreshedVersion="0" background="1">
    <webPr url="http://table.finance.yahoo.com/table.csv?s=XX&amp;a=00&amp;b=01&amp;c=2001&amp;d=05&amp;e=01&amp;f=2001&amp;g=m&amp;ignore=.csv" htmlTables="1" htmlFormat="all"/>
  </connection>
  <connection id="162" name="Connection243" type="4" refreshedVersion="0" background="1">
    <webPr url="http://table.finance.yahoo.com/table.csv?s=AGR__B&amp;a=00&amp;b=01&amp;c=2010&amp;d=05&amp;e=01&amp;f=2012&amp;g=d&amp;ignore=.csv" htmlTables="1" htmlFormat="all"/>
  </connection>
  <connection id="163" name="Connection244" type="4" refreshedVersion="0" background="1">
    <webPr url="http://table.finance.yahoo.com/table.csv?s=ADSX&amp;a=00&amp;b=01&amp;c=2010&amp;d=05&amp;e=01&amp;f=2012&amp;g=d&amp;ignore=.csv" htmlTables="1" htmlFormat="all"/>
  </connection>
  <connection id="164" name="Connection245" type="4" refreshedVersion="0" background="1">
    <webPr url="http://table.finance.yahoo.com/table.csv?s=AGU_P&amp;a=00&amp;b=01&amp;c=2010&amp;d=05&amp;e=01&amp;f=2012&amp;g=d&amp;ignore=.csv" htmlTables="1" htmlFormat="all"/>
  </connection>
  <connection id="165" name="Connection246" type="4" refreshedVersion="0" background="1">
    <webPr url="http://table.finance.yahoo.com/table.csv?s=XX&amp;a=00&amp;b=01&amp;c=2001&amp;d=05&amp;e=01&amp;f=2001&amp;g=m&amp;ignore=.csv" htmlTables="1" htmlFormat="all"/>
  </connection>
  <connection id="166" name="Connection247" type="4" refreshedVersion="0" background="1">
    <webPr url="http://table.finance.yahoo.com/table.csv?s=AGY&amp;a=00&amp;b=01&amp;c=2010&amp;d=05&amp;e=01&amp;f=2012&amp;g=d&amp;ignore=.csv" htmlTables="1" htmlFormat="all"/>
  </connection>
  <connection id="167" name="Connection248" type="4" refreshedVersion="0" background="1">
    <webPr url="http://table.finance.yahoo.com/table.csv?s=ADTK&amp;a=00&amp;b=01&amp;c=2010&amp;d=05&amp;e=01&amp;f=2012&amp;g=d&amp;ignore=.csv" htmlTables="1" htmlFormat="all"/>
  </connection>
  <connection id="168" name="Connection249" type="4" refreshedVersion="0" background="1">
    <webPr url="http://table.finance.yahoo.com/table.csv?s=gkjkjh&amp;a=00&amp;b=01&amp;c=2010&amp;d=05&amp;e=01&amp;f=2012&amp;g=d&amp;ignore=.csv" htmlTables="1" htmlFormat="all"/>
  </connection>
  <connection id="169" name="Connection25" type="4" refreshedVersion="0" background="1">
    <webPr url="http://table.finance.yahoo.com/table.csv?s=Enter Tickers Below&amp;a=00&amp;b=01&amp;c=2010&amp;d=05&amp;e=01&amp;f=2012&amp;g=d&amp;ignore=.csv" htmlTables="1" htmlFormat="all"/>
  </connection>
  <connection id="170" name="Connection250" type="4" refreshedVersion="0" background="1">
    <webPr url="http://table.finance.yahoo.com/table.csv?s=XX&amp;a=00&amp;b=01&amp;c=2001&amp;d=05&amp;e=01&amp;f=2001&amp;g=m&amp;ignore=.csv" htmlTables="1" htmlFormat="all"/>
  </connection>
  <connection id="171" name="Connection251" type="4" refreshedVersion="0" background="1">
    <webPr url="http://table.finance.yahoo.com/table.csv?s=AHG&amp;a=00&amp;b=01&amp;c=2010&amp;d=05&amp;e=01&amp;f=2012&amp;g=d&amp;ignore=.csv" htmlTables="1" htmlFormat="all"/>
  </connection>
  <connection id="172" name="Connection252" type="4" refreshedVersion="0" background="1">
    <webPr url="http://table.finance.yahoo.com/table.csv?s=AHI&amp;a=00&amp;b=01&amp;c=2010&amp;d=05&amp;e=01&amp;f=2012&amp;g=d&amp;ignore=.csv" htmlTables="1" htmlFormat="all"/>
  </connection>
  <connection id="173" name="Connection253" type="4" refreshedVersion="0" background="1">
    <webPr url="http://table.finance.yahoo.com/table.csv?s=AHLS&amp;a=00&amp;b=01&amp;c=2010&amp;d=05&amp;e=01&amp;f=2012&amp;g=d&amp;ignore=.csv" htmlTables="1" htmlFormat="all"/>
  </connection>
  <connection id="174" name="Connection254" type="4" refreshedVersion="0" background="1">
    <webPr url="http://table.finance.yahoo.com/table.csv?s=XX&amp;a=00&amp;b=01&amp;c=2001&amp;d=05&amp;e=01&amp;f=2001&amp;g=m&amp;ignore=.csv" htmlTables="1" htmlFormat="all"/>
  </connection>
  <connection id="175" name="Connection255" type="4" refreshedVersion="0" background="1">
    <webPr url="http://table.finance.yahoo.com/table.csv?s=AHM&amp;a=00&amp;b=01&amp;c=2010&amp;d=05&amp;e=01&amp;f=2012&amp;g=d&amp;ignore=.csv" htmlTables="1" htmlFormat="all"/>
  </connection>
  <connection id="176" name="Connection256" type="4" refreshedVersion="0" background="1">
    <webPr url="http://table.finance.yahoo.com/table.csv?s=AHMH&amp;a=00&amp;b=01&amp;c=2010&amp;d=05&amp;e=01&amp;f=2012&amp;g=d&amp;ignore=.csv" htmlTables="1" htmlFormat="all"/>
  </connection>
  <connection id="177" name="Connection257" type="4" refreshedVersion="0" background="1">
    <webPr url="http://table.finance.yahoo.com/table.csv?s=AHN&amp;a=00&amp;b=01&amp;c=2010&amp;d=05&amp;e=01&amp;f=2012&amp;g=d&amp;ignore=.csv" htmlTables="1" htmlFormat="all"/>
  </connection>
  <connection id="178" name="Connection258" type="4" refreshedVersion="0" background="1">
    <webPr url="http://table.finance.yahoo.com/table.csv?s=AHO&amp;a=00&amp;b=01&amp;c=2010&amp;d=05&amp;e=01&amp;f=2012&amp;g=d&amp;ignore=.csv" htmlTables="1" htmlFormat="all"/>
  </connection>
  <connection id="179" name="Connection259" type="4" refreshedVersion="0" background="1">
    <webPr url="http://table.finance.yahoo.com/table.csv?s=ADVNA&amp;a=00&amp;b=01&amp;c=2010&amp;d=05&amp;e=01&amp;f=2012&amp;g=d&amp;ignore=.csv" htmlTables="1" htmlFormat="all"/>
  </connection>
  <connection id="180" name="Connection26" type="4" refreshedVersion="0" background="1">
    <webPr url="http://table.finance.yahoo.com/table.csv?s=Enter Tickers Below&amp;a=00&amp;b=01&amp;c=2010&amp;d=05&amp;e=01&amp;f=2012&amp;g=d&amp;ignore=.csv" htmlTables="1" htmlFormat="all"/>
  </connection>
  <connection id="181" name="Connection260" type="4" refreshedVersion="0" background="1">
    <webPr url="http://table.finance.yahoo.com/table.csv?s=AHR&amp;a=00&amp;b=01&amp;c=2010&amp;d=05&amp;e=01&amp;f=2012&amp;g=d&amp;ignore=.csv" htmlTables="1" htmlFormat="all"/>
  </connection>
  <connection id="182" name="Connection261" type="4" refreshedVersion="0" background="1">
    <webPr url="http://table.finance.yahoo.com/table.csv?s=GOOG&amp;a=00&amp;b=01&amp;c=2001&amp;d=05&amp;e=01&amp;f=2001&amp;g=m&amp;ignore=.csv" htmlTables="1" htmlFormat="all"/>
  </connection>
  <connection id="183" name="Connection262" type="4" refreshedVersion="0" background="1">
    <webPr url="http://table.finance.yahoo.com/table.csv?s=ADVNB&amp;a=00&amp;b=01&amp;c=2010&amp;d=05&amp;e=01&amp;f=2012&amp;g=d&amp;ignore=.csv" htmlTables="1" htmlFormat="all"/>
  </connection>
  <connection id="184" name="Connection263" type="4" refreshedVersion="0" background="1">
    <webPr url="http://table.finance.yahoo.com/table.csv?s=APPL&amp;a=00&amp;b=01&amp;c=2001&amp;d=05&amp;e=01&amp;f=2001&amp;g=m&amp;ignore=.csv" htmlTables="1" htmlFormat="all"/>
  </connection>
  <connection id="185" name="Connection264" type="4" refreshedVersion="0" background="1">
    <webPr url="http://table.finance.yahoo.com/table.csv?s=ADVP&amp;a=00&amp;b=01&amp;c=2010&amp;d=05&amp;e=01&amp;f=2012&amp;g=d&amp;ignore=.csv" htmlTables="1" htmlFormat="all"/>
  </connection>
  <connection id="186" name="Connection265" type="4" refreshedVersion="0" background="1">
    <webPr url="http://table.finance.yahoo.com/table.csv?s=ssfsf&amp;a=00&amp;b=01&amp;c=2010&amp;d=05&amp;e=01&amp;f=2012&amp;g=d&amp;ignore=.csv" htmlTables="1" htmlFormat="all"/>
  </connection>
  <connection id="187" name="Connection266" type="4" refreshedVersion="0" background="1">
    <webPr url="http://table.finance.yahoo.com/table.csv?s=AIB&amp;a=00&amp;b=01&amp;c=2010&amp;d=05&amp;e=01&amp;f=2012&amp;g=d&amp;ignore=.csv" htmlTables="1" htmlFormat="all"/>
  </connection>
  <connection id="188" name="Connection267" type="4" refreshedVersion="0" background="1">
    <webPr url="http://table.finance.yahoo.com/table.csv?s=AICX&amp;a=00&amp;b=01&amp;c=2010&amp;d=05&amp;e=01&amp;f=2012&amp;g=d&amp;ignore=.csv" htmlTables="1" htmlFormat="all"/>
  </connection>
  <connection id="189" name="Connection268" type="4" refreshedVersion="0" background="1">
    <webPr url="http://table.finance.yahoo.com/table.csv?s=kljlkj&amp;a=00&amp;b=01&amp;c=2010&amp;d=05&amp;e=01&amp;f=2012&amp;g=d&amp;ignore=.csv" htmlTables="1" htmlFormat="all"/>
  </connection>
  <connection id="190" name="Connection269" type="4" refreshedVersion="0" background="1">
    <webPr url="http://table.finance.yahoo.com/table.csv?s=AIH&amp;a=00&amp;b=01&amp;c=2010&amp;d=05&amp;e=01&amp;f=2012&amp;g=d&amp;ignore=.csv" htmlTables="1" htmlFormat="all"/>
  </connection>
  <connection id="191" name="Connection27" type="4" refreshedVersion="0" background="1">
    <webPr url="http://table.finance.yahoo.com/table.csv?s=Enter Tickers Below&amp;a=00&amp;b=01&amp;c=2010&amp;d=05&amp;e=01&amp;f=2012&amp;g=d&amp;ignore=.csv" htmlTables="1" htmlFormat="all"/>
  </connection>
  <connection id="192" name="Connection270" type="4" refreshedVersion="0" background="1">
    <webPr url="http://table.finance.yahoo.com/table.csv?s=AII&amp;a=00&amp;b=01&amp;c=2010&amp;d=05&amp;e=01&amp;f=2012&amp;g=d&amp;ignore=.csv" htmlTables="1" htmlFormat="all"/>
  </connection>
  <connection id="193" name="Connection271" type="4" refreshedVersion="0" background="1">
    <webPr url="http://table.finance.yahoo.com/table.csv?s=AIJ&amp;a=00&amp;b=01&amp;c=2010&amp;d=05&amp;e=01&amp;f=2012&amp;g=d&amp;ignore=.csv" htmlTables="1" htmlFormat="all"/>
  </connection>
  <connection id="194" name="Connection272" type="4" refreshedVersion="0" background="1">
    <webPr url="http://table.finance.yahoo.com/table.csv?s=AIK&amp;a=00&amp;b=01&amp;c=2010&amp;d=05&amp;e=01&amp;f=2012&amp;g=d&amp;ignore=.csv" htmlTables="1" htmlFormat="all"/>
  </connection>
  <connection id="195" name="Connection273" type="4" refreshedVersion="0" background="1">
    <webPr url="http://table.finance.yahoo.com/table.csv?s=gkjkjh&amp;a=00&amp;b=01&amp;c=2010&amp;d=05&amp;e=01&amp;f=2012&amp;g=d&amp;ignore=.csv" htmlTables="1" htmlFormat="all"/>
  </connection>
  <connection id="196" name="Connection274" type="4" refreshedVersion="0" background="1">
    <webPr url="http://table.finance.yahoo.com/table.csv?s=ssfsf&amp;a=00&amp;b=01&amp;c=2010&amp;d=05&amp;e=01&amp;f=2012&amp;g=d&amp;ignore=.csv" htmlTables="1" htmlFormat="all"/>
  </connection>
  <connection id="197" name="Connection275" type="4" refreshedVersion="0" background="1">
    <webPr url="http://table.finance.yahoo.com/table.csv?s=kljlkj&amp;a=00&amp;b=01&amp;c=2010&amp;d=05&amp;e=01&amp;f=2012&amp;g=d&amp;ignore=.csv" htmlTables="1" htmlFormat="all"/>
  </connection>
  <connection id="198" name="Connection276" type="4" refreshedVersion="0" background="1">
    <webPr url="http://table.finance.yahoo.com/table.csv?s=AINN&amp;a=00&amp;b=01&amp;c=2010&amp;d=05&amp;e=01&amp;f=2012&amp;g=d&amp;ignore=.csv" htmlTables="1" htmlFormat="all"/>
  </connection>
  <connection id="199" name="Connection277" type="4" refreshedVersion="0" background="1">
    <webPr url="http://table.finance.yahoo.com/table.csv?s=AIP&amp;a=00&amp;b=01&amp;c=2010&amp;d=05&amp;e=01&amp;f=2012&amp;g=d&amp;ignore=.csv" htmlTables="1" htmlFormat="all"/>
  </connection>
  <connection id="200" name="Connection278" type="4" refreshedVersion="0" background="1">
    <webPr url="http://table.finance.yahoo.com/table.csv?s=AEC_PA&amp;a=00&amp;b=01&amp;c=2010&amp;d=05&amp;e=01&amp;f=2012&amp;g=d&amp;ignore=.csv" htmlTables="1" htmlFormat="all"/>
  </connection>
  <connection id="201" name="Connection279" type="4" refreshedVersion="0" background="1">
    <webPr url="http://table.finance.yahoo.com/table.csv?s=AIQT&amp;a=00&amp;b=01&amp;c=2010&amp;d=05&amp;e=01&amp;f=2012&amp;g=d&amp;ignore=.csv" htmlTables="1" htmlFormat="all"/>
  </connection>
  <connection id="202" name="Connection28" type="4" refreshedVersion="0" background="1">
    <webPr url="http://table.finance.yahoo.com/table.csv?s=AANB&amp;a=00&amp;b=01&amp;c=2010&amp;d=05&amp;e=01&amp;f=2012&amp;g=d&amp;ignore=.csv" htmlTables="1" htmlFormat="all"/>
  </connection>
  <connection id="203" name="Connection280" type="4" refreshedVersion="0" background="1">
    <webPr url="http://table.finance.yahoo.com/table.csv?s=AIQTW&amp;a=00&amp;b=01&amp;c=2010&amp;d=05&amp;e=01&amp;f=2012&amp;g=d&amp;ignore=.csv" htmlTables="1" htmlFormat="all"/>
  </connection>
  <connection id="204" name="Connection281" type="4" refreshedVersion="0" background="1">
    <webPr url="http://table.finance.yahoo.com/table.csv?s=gkjkjh&amp;a=00&amp;b=01&amp;c=2010&amp;d=05&amp;e=01&amp;f=2012&amp;g=d&amp;ignore=.csv" htmlTables="1" htmlFormat="all"/>
  </connection>
  <connection id="205" name="Connection282" type="4" refreshedVersion="0" background="1">
    <webPr url="http://table.finance.yahoo.com/table.csv?s=ssfsf&amp;a=00&amp;b=01&amp;c=2010&amp;d=05&amp;e=01&amp;f=2012&amp;g=d&amp;ignore=.csv" htmlTables="1" htmlFormat="all"/>
  </connection>
  <connection id="206" name="Connection283" type="4" refreshedVersion="0" background="1">
    <webPr url="http://table.finance.yahoo.com/table.csv?s=AIRN&amp;a=00&amp;b=01&amp;c=2010&amp;d=05&amp;e=01&amp;f=2012&amp;g=d&amp;ignore=.csv" htmlTables="1" htmlFormat="all"/>
  </connection>
  <connection id="207" name="Connection284" type="4" refreshedVersion="0" background="1">
    <webPr url="http://table.finance.yahoo.com/table.csv?s=AEE_PE&amp;a=00&amp;b=01&amp;c=2010&amp;d=05&amp;e=01&amp;f=2012&amp;g=d&amp;ignore=.csv" htmlTables="1" htmlFormat="all"/>
  </connection>
  <connection id="208" name="Connection285" type="4" refreshedVersion="0" background="1">
    <webPr url="http://table.finance.yahoo.com/table.csv?s=kljlkj&amp;a=00&amp;b=01&amp;c=2010&amp;d=05&amp;e=01&amp;f=2012&amp;g=d&amp;ignore=.csv" htmlTables="1" htmlFormat="all"/>
  </connection>
  <connection id="209" name="Connection286" type="4" refreshedVersion="0" background="1">
    <webPr url="http://table.finance.yahoo.com/table.csv?s=gkjkjh&amp;a=00&amp;b=01&amp;c=2010&amp;d=05&amp;e=01&amp;f=2012&amp;g=d&amp;ignore=.csv" htmlTables="1" htmlFormat="all"/>
  </connection>
  <connection id="210" name="Connection287" type="4" refreshedVersion="0" background="1">
    <webPr url="http://table.finance.yahoo.com/table.csv?s=AIV_PC&amp;a=00&amp;b=01&amp;c=2010&amp;d=05&amp;e=01&amp;f=2012&amp;g=d&amp;ignore=.csv" htmlTables="1" htmlFormat="all"/>
  </connection>
  <connection id="211" name="Connection288" type="4" refreshedVersion="0" background="1">
    <webPr url="http://table.finance.yahoo.com/table.csv?s=AIV_PD&amp;a=00&amp;b=01&amp;c=2010&amp;d=05&amp;e=01&amp;f=2012&amp;g=d&amp;ignore=.csv" htmlTables="1" htmlFormat="all"/>
  </connection>
  <connection id="212" name="Connection289" type="4" refreshedVersion="0" background="1">
    <webPr url="http://table.finance.yahoo.com/table.csv?s=AIV_PG&amp;a=00&amp;b=01&amp;c=2010&amp;d=05&amp;e=01&amp;f=2012&amp;g=d&amp;ignore=.csv" htmlTables="1" htmlFormat="all"/>
  </connection>
  <connection id="213" name="Connection29" type="4" refreshedVersion="0" background="1">
    <webPr url="http://table.finance.yahoo.com/table.csv?s=Enter Tickers Below&amp;a=00&amp;b=01&amp;c=2010&amp;d=05&amp;e=01&amp;f=2012&amp;g=d&amp;ignore=.csv" htmlTables="1" htmlFormat="all"/>
  </connection>
  <connection id="214" name="Connection290" type="4" refreshedVersion="0" background="1">
    <webPr url="http://table.finance.yahoo.com/table.csv?s=AIV_PH&amp;a=00&amp;b=01&amp;c=2010&amp;d=05&amp;e=01&amp;f=2012&amp;g=d&amp;ignore=.csv" htmlTables="1" htmlFormat="all"/>
  </connection>
  <connection id="215" name="Connection291" type="4" refreshedVersion="0" background="1">
    <webPr url="http://table.finance.yahoo.com/table.csv?s=AIV_PP&amp;a=00&amp;b=01&amp;c=2010&amp;d=05&amp;e=01&amp;f=2012&amp;g=d&amp;ignore=.csv" htmlTables="1" htmlFormat="all"/>
  </connection>
  <connection id="216" name="Connection292" type="4" refreshedVersion="0" background="1">
    <webPr url="http://table.finance.yahoo.com/table.csv?s=AIV_PQ&amp;a=00&amp;b=01&amp;c=2010&amp;d=05&amp;e=01&amp;f=2012&amp;g=d&amp;ignore=.csv" htmlTables="1" htmlFormat="all"/>
  </connection>
  <connection id="217" name="Connection293" type="4" refreshedVersion="0" background="1">
    <webPr url="http://table.finance.yahoo.com/table.csv?s=AIV_PR&amp;a=00&amp;b=01&amp;c=2010&amp;d=05&amp;e=01&amp;f=2012&amp;g=d&amp;ignore=.csv" htmlTables="1" htmlFormat="all"/>
  </connection>
  <connection id="218" name="Connection294" type="4" refreshedVersion="0" background="1">
    <webPr url="http://table.finance.yahoo.com/table.csv?s=ssfsf&amp;a=00&amp;b=01&amp;c=2010&amp;d=05&amp;e=01&amp;f=2012&amp;g=d&amp;ignore=.csv" htmlTables="1" htmlFormat="all"/>
  </connection>
  <connection id="219" name="Connection295" type="4" refreshedVersion="0" background="1">
    <webPr url="http://table.finance.yahoo.com/table.csv?s=kljlkj&amp;a=00&amp;b=01&amp;c=2010&amp;d=05&amp;e=01&amp;f=2012&amp;g=d&amp;ignore=.csv" htmlTables="1" htmlFormat="all"/>
  </connection>
  <connection id="220" name="Connection296" type="4" refreshedVersion="0" background="1">
    <webPr url="http://table.finance.yahoo.com/table.csv?s=AJC&amp;a=00&amp;b=01&amp;c=2010&amp;d=05&amp;e=01&amp;f=2012&amp;g=d&amp;ignore=.csv" htmlTables="1" htmlFormat="all"/>
  </connection>
  <connection id="221" name="Connection297" type="4" refreshedVersion="0" background="1">
    <webPr url="http://table.finance.yahoo.com/table.csv?s=gkjkjh&amp;a=00&amp;b=01&amp;c=2010&amp;d=05&amp;e=01&amp;f=2012&amp;g=d&amp;ignore=.csv" htmlTables="1" htmlFormat="all"/>
  </connection>
  <connection id="222" name="Connection298" type="4" refreshedVersion="0" background="1">
    <webPr url="http://table.finance.yahoo.com/table.csv?s=AELA&amp;a=00&amp;b=01&amp;c=2010&amp;d=05&amp;e=01&amp;f=2012&amp;g=d&amp;ignore=.csv" htmlTables="1" htmlFormat="all"/>
  </connection>
  <connection id="223" name="Connection299" type="4" refreshedVersion="0" background="1">
    <webPr url="http://table.finance.yahoo.com/table.csv?s=AKB&amp;a=00&amp;b=01&amp;c=2010&amp;d=05&amp;e=01&amp;f=2012&amp;g=d&amp;ignore=.csv" htmlTables="1" htmlFormat="all"/>
  </connection>
  <connection id="224" name="Connection3" type="4" refreshedVersion="0" background="1">
    <webPr url="http://table.finance.yahoo.com/table.csv?s=GSPC&amp;a=01&amp;b=01&amp;c=2007&amp;d=08&amp;e=05&amp;f=2008&amp;g=d&amp;ignore=.csv" htmlTables="1" htmlFormat="all"/>
  </connection>
  <connection id="225" name="Connection30" type="4" refreshedVersion="0" background="1">
    <webPr url="http://table.finance.yahoo.com/table.csv?s=Enter Tickers Below&amp;a=00&amp;b=01&amp;c=2010&amp;d=05&amp;e=01&amp;f=2012&amp;g=d&amp;ignore=.csv" htmlTables="1" htmlFormat="all"/>
  </connection>
  <connection id="226" name="Connection300" type="4" refreshedVersion="0" background="1">
    <webPr url="http://table.finance.yahoo.com/table.csv?s=AKC&amp;a=00&amp;b=01&amp;c=2010&amp;d=05&amp;e=01&amp;f=2012&amp;g=d&amp;ignore=.csv" htmlTables="1" htmlFormat="all"/>
  </connection>
  <connection id="227" name="Connection301" type="4" refreshedVersion="0" background="1">
    <webPr url="http://table.finance.yahoo.com/table.csv?s=AKLM&amp;a=00&amp;b=01&amp;c=2010&amp;d=05&amp;e=01&amp;f=2012&amp;g=d&amp;ignore=.csv" htmlTables="1" htmlFormat="all"/>
  </connection>
  <connection id="228" name="Connection302" type="4" refreshedVersion="0" background="1">
    <webPr url="http://table.finance.yahoo.com/table.csv?s=AKO__A&amp;a=00&amp;b=01&amp;c=2010&amp;d=05&amp;e=01&amp;f=2012&amp;g=d&amp;ignore=.csv" htmlTables="1" htmlFormat="all"/>
  </connection>
  <connection id="229" name="Connection303" type="4" refreshedVersion="0" background="1">
    <webPr url="http://table.finance.yahoo.com/table.csv?s=AKO__B&amp;a=00&amp;b=01&amp;c=2010&amp;d=05&amp;e=01&amp;f=2012&amp;g=d&amp;ignore=.csv" htmlTables="1" htmlFormat="all"/>
  </connection>
  <connection id="230" name="Connection304" type="4" refreshedVersion="0" background="1">
    <webPr url="http://table.finance.yahoo.com/table.csv?s=ssfsf&amp;a=00&amp;b=01&amp;c=2010&amp;d=05&amp;e=01&amp;f=2012&amp;g=d&amp;ignore=.csv" htmlTables="1" htmlFormat="all"/>
  </connection>
  <connection id="231" name="Connection305" type="4" refreshedVersion="0" background="1">
    <webPr url="http://table.finance.yahoo.com/table.csv?s=AEMLW&amp;a=00&amp;b=01&amp;c=2010&amp;d=05&amp;e=01&amp;f=2012&amp;g=d&amp;ignore=.csv" htmlTables="1" htmlFormat="all"/>
  </connection>
  <connection id="232" name="Connection306" type="4" refreshedVersion="0" background="1">
    <webPr url="http://table.finance.yahoo.com/table.csv?s=kljlkj&amp;a=00&amp;b=01&amp;c=2010&amp;d=05&amp;e=01&amp;f=2012&amp;g=d&amp;ignore=.csv" htmlTables="1" htmlFormat="all"/>
  </connection>
  <connection id="233" name="Connection307" type="4" refreshedVersion="0" background="1">
    <webPr url="http://table.finance.yahoo.com/table.csv?s=AKSY&amp;a=00&amp;b=01&amp;c=2010&amp;d=05&amp;e=01&amp;f=2012&amp;g=d&amp;ignore=.csv" htmlTables="1" htmlFormat="all"/>
  </connection>
  <connection id="234" name="Connection308" type="4" refreshedVersion="0" background="1">
    <webPr url="http://table.finance.yahoo.com/table.csv?s=AEOS&amp;a=00&amp;b=01&amp;c=2010&amp;d=05&amp;e=01&amp;f=2012&amp;g=d&amp;ignore=.csv" htmlTables="1" htmlFormat="all"/>
  </connection>
  <connection id="235" name="Connection309" type="4" refreshedVersion="0" background="1">
    <webPr url="http://table.finance.yahoo.com/table.csv?s=gkjkjh&amp;a=00&amp;b=01&amp;c=2010&amp;d=05&amp;e=01&amp;f=2012&amp;g=d&amp;ignore=.csv" htmlTables="1" htmlFormat="all"/>
  </connection>
  <connection id="236" name="Connection31" type="4" refreshedVersion="0" background="1">
    <webPr url="http://table.finance.yahoo.com/table.csv?s=ABGX&amp;a=00&amp;b=01&amp;c=2010&amp;d=05&amp;e=01&amp;f=2012&amp;g=d&amp;ignore=.csv" htmlTables="1" htmlFormat="all"/>
  </connection>
  <connection id="237" name="Connection310" type="4" refreshedVersion="0" background="1">
    <webPr url="http://table.finance.yahoo.com/table.csv?s=ALA&amp;a=00&amp;b=01&amp;c=2010&amp;d=05&amp;e=01&amp;f=2012&amp;g=d&amp;ignore=.csv" htmlTables="1" htmlFormat="all"/>
  </connection>
  <connection id="238" name="Connection311" type="4" refreshedVersion="0" background="1">
    <webPr url="http://table.finance.yahoo.com/table.csv?s=ALAB&amp;a=00&amp;b=01&amp;c=2010&amp;d=05&amp;e=01&amp;f=2012&amp;g=d&amp;ignore=.csv" htmlTables="1" htmlFormat="all"/>
  </connection>
  <connection id="239" name="Connection312" type="4" refreshedVersion="0" background="1">
    <webPr url="http://table.finance.yahoo.com/table.csv?s=AEP_PA&amp;a=00&amp;b=01&amp;c=2010&amp;d=05&amp;e=01&amp;f=2012&amp;g=d&amp;ignore=.csv" htmlTables="1" htmlFormat="all"/>
  </connection>
  <connection id="240" name="Connection313" type="4" refreshedVersion="0" background="1">
    <webPr url="http://table.finance.yahoo.com/table.csv?s=ALAO&amp;a=00&amp;b=01&amp;c=2010&amp;d=05&amp;e=01&amp;f=2012&amp;g=d&amp;ignore=.csv" htmlTables="1" htmlFormat="all"/>
  </connection>
  <connection id="241" name="Connection314" type="4" refreshedVersion="0" background="1">
    <webPr url="http://table.finance.yahoo.com/table.csv?s=ssfsf&amp;a=00&amp;b=01&amp;c=2010&amp;d=05&amp;e=01&amp;f=2012&amp;g=d&amp;ignore=.csv" htmlTables="1" htmlFormat="all"/>
  </connection>
  <connection id="242" name="Connection315" type="4" refreshedVersion="0" background="1">
    <webPr url="http://table.finance.yahoo.com/table.csv?s=kljlkj&amp;a=00&amp;b=01&amp;c=2010&amp;d=05&amp;e=01&amp;f=2012&amp;g=d&amp;ignore=.csv" htmlTables="1" htmlFormat="all"/>
  </connection>
  <connection id="243" name="Connection316" type="4" refreshedVersion="0" background="1">
    <webPr url="http://table.finance.yahoo.com/table.csv?s=gkjkjh&amp;a=00&amp;b=01&amp;c=2010&amp;d=05&amp;e=01&amp;f=2012&amp;g=d&amp;ignore=.csv" htmlTables="1" htmlFormat="all"/>
  </connection>
  <connection id="244" name="Connection317" type="4" refreshedVersion="0" background="1">
    <webPr url="http://table.finance.yahoo.com/table.csv?s=AERTA&amp;a=00&amp;b=01&amp;c=2010&amp;d=05&amp;e=01&amp;f=2012&amp;g=d&amp;ignore=.csv" htmlTables="1" htmlFormat="all"/>
  </connection>
  <connection id="245" name="Connection318" type="4" refreshedVersion="0" background="1">
    <webPr url="http://table.finance.yahoo.com/table.csv?s=ssfsf&amp;a=00&amp;b=01&amp;c=2010&amp;d=05&amp;e=01&amp;f=2012&amp;g=d&amp;ignore=.csv" htmlTables="1" htmlFormat="all"/>
  </connection>
  <connection id="246" name="Connection319" type="4" refreshedVersion="0" background="1">
    <webPr url="http://table.finance.yahoo.com/table.csv?s=AES_PC&amp;a=00&amp;b=01&amp;c=2010&amp;d=05&amp;e=01&amp;f=2012&amp;g=d&amp;ignore=.csv" htmlTables="1" htmlFormat="all"/>
  </connection>
  <connection id="247" name="Connection32" type="4" refreshedVersion="0" background="1">
    <webPr url="http://table.finance.yahoo.com/table.csv?s=AAR&amp;a=00&amp;b=01&amp;c=2010&amp;d=05&amp;e=01&amp;f=2012&amp;g=d&amp;ignore=.csv" htmlTables="1" htmlFormat="all"/>
  </connection>
  <connection id="248" name="Connection320" type="4" refreshedVersion="0" background="1">
    <webPr url="http://table.finance.yahoo.com/table.csv?s=ALDN&amp;a=00&amp;b=01&amp;c=2010&amp;d=05&amp;e=01&amp;f=2012&amp;g=d&amp;ignore=.csv" htmlTables="1" htmlFormat="all"/>
  </connection>
  <connection id="249" name="Connection321" type="4" refreshedVersion="0" background="1">
    <webPr url="http://table.finance.yahoo.com/table.csv?s=AESP&amp;a=00&amp;b=01&amp;c=2010&amp;d=05&amp;e=01&amp;f=2012&amp;g=d&amp;ignore=.csv" htmlTables="1" htmlFormat="all"/>
  </connection>
  <connection id="250" name="Connection322" type="4" refreshedVersion="0" background="1">
    <webPr url="http://table.finance.yahoo.com/table.csv?s=ALE_P&amp;a=00&amp;b=01&amp;c=2010&amp;d=05&amp;e=01&amp;f=2012&amp;g=d&amp;ignore=.csv" htmlTables="1" htmlFormat="all"/>
  </connection>
  <connection id="251" name="Connection323" type="4" refreshedVersion="0" background="1">
    <webPr url="http://table.finance.yahoo.com/table.csv?s=kljlkj&amp;a=00&amp;b=01&amp;c=2010&amp;d=05&amp;e=01&amp;f=2012&amp;g=d&amp;ignore=.csv" htmlTables="1" htmlFormat="all"/>
  </connection>
  <connection id="252" name="Connection324" type="4" refreshedVersion="0" background="1">
    <webPr url="http://table.finance.yahoo.com/table.csv?s=AETC&amp;a=00&amp;b=01&amp;c=2010&amp;d=05&amp;e=01&amp;f=2012&amp;g=d&amp;ignore=.csv" htmlTables="1" htmlFormat="all"/>
  </connection>
  <connection id="253" name="Connection325" type="4" refreshedVersion="0" background="1">
    <webPr url="http://table.finance.yahoo.com/table.csv?s=ALFC&amp;a=00&amp;b=01&amp;c=2010&amp;d=05&amp;e=01&amp;f=2012&amp;g=d&amp;ignore=.csv" htmlTables="1" htmlFormat="all"/>
  </connection>
  <connection id="254" name="Connection326" type="4" refreshedVersion="0" background="1">
    <webPr url="http://table.finance.yahoo.com/table.csv?s=AETH&amp;a=00&amp;b=01&amp;c=2010&amp;d=05&amp;e=01&amp;f=2012&amp;g=d&amp;ignore=.csv" htmlTables="1" htmlFormat="all"/>
  </connection>
  <connection id="255" name="Connection327" type="4" refreshedVersion="0" background="1">
    <webPr url="http://table.finance.yahoo.com/table.csv?s=gkjkjh&amp;a=00&amp;b=01&amp;c=2010&amp;d=05&amp;e=01&amp;f=2012&amp;g=d&amp;ignore=.csv" htmlTables="1" htmlFormat="all"/>
  </connection>
  <connection id="256" name="Connection328" type="4" refreshedVersion="0" background="1">
    <webPr url="http://table.finance.yahoo.com/table.csv?s=ssfsf&amp;a=00&amp;b=01&amp;c=2010&amp;d=05&amp;e=01&amp;f=2012&amp;g=d&amp;ignore=.csv" htmlTables="1" htmlFormat="all"/>
  </connection>
  <connection id="257" name="Connection329" type="4" refreshedVersion="0" background="1">
    <webPr url="http://table.finance.yahoo.com/table.csv?s=ALGX&amp;a=00&amp;b=01&amp;c=2010&amp;d=05&amp;e=01&amp;f=2012&amp;g=d&amp;ignore=.csv" htmlTables="1" htmlFormat="all"/>
  </connection>
  <connection id="258" name="Connection33" type="4" refreshedVersion="0" background="1">
    <webPr url="http://table.finance.yahoo.com/table.csv?s=AATK&amp;a=00&amp;b=01&amp;c=2010&amp;d=05&amp;e=01&amp;f=2012&amp;g=d&amp;ignore=.csv" htmlTables="1" htmlFormat="all"/>
  </connection>
  <connection id="259" name="Connection330" type="4" refreshedVersion="0" background="1">
    <webPr url="http://table.finance.yahoo.com/table.csv?s=ALHY&amp;a=00&amp;b=01&amp;c=2010&amp;d=05&amp;e=01&amp;f=2012&amp;g=d&amp;ignore=.csv" htmlTables="1" htmlFormat="all"/>
  </connection>
  <connection id="260" name="Connection331" type="4" refreshedVersion="0" background="1">
    <webPr url="http://table.finance.yahoo.com/table.csv?s=ALI&amp;a=00&amp;b=01&amp;c=2010&amp;d=05&amp;e=01&amp;f=2012&amp;g=d&amp;ignore=.csv" htmlTables="1" htmlFormat="all"/>
  </connection>
  <connection id="261" name="Connection332" type="4" refreshedVersion="0" background="1">
    <webPr url="http://table.finance.yahoo.com/table.csv?s=kljlkj&amp;a=00&amp;b=01&amp;c=2010&amp;d=05&amp;e=01&amp;f=2012&amp;g=d&amp;ignore=.csv" htmlTables="1" htmlFormat="all"/>
  </connection>
  <connection id="262" name="Connection333" type="4" refreshedVersion="0" background="1">
    <webPr url="http://table.finance.yahoo.com/table.csv?s=AFBC&amp;a=00&amp;b=01&amp;c=2010&amp;d=05&amp;e=01&amp;f=2012&amp;g=d&amp;ignore=.csv" htmlTables="1" htmlFormat="all"/>
  </connection>
  <connection id="263" name="Connection334" type="4" refreshedVersion="0" background="1">
    <webPr url="http://table.finance.yahoo.com/table.csv?s=AFBK&amp;a=00&amp;b=01&amp;c=2010&amp;d=05&amp;e=01&amp;f=2012&amp;g=d&amp;ignore=.csv" htmlTables="1" htmlFormat="all"/>
  </connection>
  <connection id="264" name="Connection335" type="4" refreshedVersion="0" background="1">
    <webPr url="http://table.finance.yahoo.com/table.csv?s=AFBKW&amp;a=00&amp;b=01&amp;c=2010&amp;d=05&amp;e=01&amp;f=2012&amp;g=d&amp;ignore=.csv" htmlTables="1" htmlFormat="all"/>
  </connection>
  <connection id="265" name="Connection336" type="4" refreshedVersion="0" background="1">
    <webPr url="http://table.finance.yahoo.com/table.csv?s=ALLE&amp;a=00&amp;b=01&amp;c=2010&amp;d=05&amp;e=01&amp;f=2012&amp;g=d&amp;ignore=.csv" htmlTables="1" htmlFormat="all"/>
  </connection>
  <connection id="266" name="Connection337" type="4" refreshedVersion="0" background="1">
    <webPr url="http://table.finance.yahoo.com/table.csv?s=ALLEP&amp;a=00&amp;b=01&amp;c=2010&amp;d=05&amp;e=01&amp;f=2012&amp;g=d&amp;ignore=.csv" htmlTables="1" htmlFormat="all"/>
  </connection>
  <connection id="267" name="Connection338" type="4" refreshedVersion="0" background="1">
    <webPr url="http://table.finance.yahoo.com/table.csv?s=ALM&amp;a=00&amp;b=01&amp;c=2010&amp;d=05&amp;e=01&amp;f=2012&amp;g=d&amp;ignore=.csv" htmlTables="1" htmlFormat="all"/>
  </connection>
  <connection id="268" name="Connection339" type="4" refreshedVersion="0" background="1">
    <webPr url="http://table.finance.yahoo.com/table.csv?s=gkjkjh&amp;a=00&amp;b=01&amp;c=2010&amp;d=05&amp;e=01&amp;f=2012&amp;g=d&amp;ignore=.csv" htmlTables="1" htmlFormat="all"/>
  </connection>
  <connection id="269" name="Connection34" type="4" refreshedVersion="0" background="1">
    <webPr url="http://table.finance.yahoo.com/table.csv?s=AAUK&amp;a=00&amp;b=01&amp;c=2010&amp;d=05&amp;e=01&amp;f=2012&amp;g=d&amp;ignore=.csv" htmlTables="1" htmlFormat="all"/>
  </connection>
  <connection id="270" name="Connection340" type="4" refreshedVersion="0" background="1">
    <webPr url="http://table.finance.yahoo.com/table.csv?s=ALN_PD&amp;a=00&amp;b=01&amp;c=2010&amp;d=05&amp;e=01&amp;f=2012&amp;g=d&amp;ignore=.csv" htmlTables="1" htmlFormat="all"/>
  </connection>
  <connection id="271" name="Connection341" type="4" refreshedVersion="0" background="1">
    <webPr url="http://table.finance.yahoo.com/table.csv?s=ssfsf&amp;a=00&amp;b=01&amp;c=2010&amp;d=05&amp;e=01&amp;f=2012&amp;g=d&amp;ignore=.csv" htmlTables="1" htmlFormat="all"/>
  </connection>
  <connection id="272" name="Connection342" type="4" refreshedVersion="0" background="1">
    <webPr url="http://table.finance.yahoo.com/table.csv?s=ALO&amp;a=00&amp;b=01&amp;c=2010&amp;d=05&amp;e=01&amp;f=2012&amp;g=d&amp;ignore=.csv" htmlTables="1" htmlFormat="all"/>
  </connection>
  <connection id="273" name="Connection343" type="4" refreshedVersion="0" background="1">
    <webPr url="http://table.finance.yahoo.com/table.csv?s=AFCI&amp;a=00&amp;b=01&amp;c=2010&amp;d=05&amp;e=01&amp;f=2012&amp;g=d&amp;ignore=.csv" htmlTables="1" htmlFormat="all"/>
  </connection>
  <connection id="274" name="Connection344" type="4" refreshedVersion="0" background="1">
    <webPr url="http://table.finance.yahoo.com/table.csv?s=AFCO&amp;a=00&amp;b=01&amp;c=2010&amp;d=05&amp;e=01&amp;f=2012&amp;g=d&amp;ignore=.csv" htmlTables="1" htmlFormat="all"/>
  </connection>
  <connection id="275" name="Connection345" type="4" refreshedVersion="0" background="1">
    <webPr url="http://table.finance.yahoo.com/table.csv?s=ALOY&amp;a=00&amp;b=01&amp;c=2010&amp;d=05&amp;e=01&amp;f=2012&amp;g=d&amp;ignore=.csv" htmlTables="1" htmlFormat="all"/>
  </connection>
  <connection id="276" name="Connection346" type="4" refreshedVersion="0" background="1">
    <webPr url="http://table.finance.yahoo.com/table.csv?s=ALP_PN&amp;a=00&amp;b=01&amp;c=2010&amp;d=05&amp;e=01&amp;f=2012&amp;g=d&amp;ignore=.csv" htmlTables="1" htmlFormat="all"/>
  </connection>
  <connection id="277" name="Connection347" type="4" refreshedVersion="0" background="1">
    <webPr url="http://table.finance.yahoo.com/table.csv?s=ALP_PO&amp;a=00&amp;b=01&amp;c=2010&amp;d=05&amp;e=01&amp;f=2012&amp;g=d&amp;ignore=.csv" htmlTables="1" htmlFormat="all"/>
  </connection>
  <connection id="278" name="Connection348" type="4" refreshedVersion="0" background="1">
    <webPr url="http://table.finance.yahoo.com/table.csv?s=ALPH&amp;a=00&amp;b=01&amp;c=2010&amp;d=05&amp;e=01&amp;f=2012&amp;g=d&amp;ignore=.csv" htmlTables="1" htmlFormat="all"/>
  </connection>
  <connection id="279" name="Connection349" type="4" refreshedVersion="0" background="1">
    <webPr url="http://table.finance.yahoo.com/table.csv?s=kljlkj&amp;a=00&amp;b=01&amp;c=2010&amp;d=05&amp;e=01&amp;f=2012&amp;g=d&amp;ignore=.csv" htmlTables="1" htmlFormat="all"/>
  </connection>
  <connection id="280" name="Connection35" type="4" refreshedVersion="0" background="1">
    <webPr url="http://table.finance.yahoo.com/table.csv?s=Enter Tickers Below&amp;a=00&amp;b=01&amp;c=2010&amp;d=05&amp;e=01&amp;f=2012&amp;g=d&amp;ignore=.csv" htmlTables="1" htmlFormat="all"/>
  </connection>
  <connection id="281" name="Connection350" type="4" refreshedVersion="0" background="1">
    <webPr url="http://table.finance.yahoo.com/table.csv?s=gkjkjh&amp;a=00&amp;b=01&amp;c=2010&amp;d=05&amp;e=01&amp;f=2012&amp;g=d&amp;ignore=.csv" htmlTables="1" htmlFormat="all"/>
  </connection>
  <connection id="282" name="Connection351" type="4" refreshedVersion="0" background="1">
    <webPr url="http://table.finance.yahoo.com/table.csv?s=AFG_PT&amp;a=00&amp;b=01&amp;c=2010&amp;d=05&amp;e=01&amp;f=2012&amp;g=d&amp;ignore=.csv" htmlTables="1" htmlFormat="all"/>
  </connection>
  <connection id="283" name="Connection352" type="4" refreshedVersion="0" background="1">
    <webPr url="http://table.finance.yahoo.com/table.csv?s=ssfsf&amp;a=00&amp;b=01&amp;c=2010&amp;d=05&amp;e=01&amp;f=2012&amp;g=d&amp;ignore=.csv" htmlTables="1" htmlFormat="all"/>
  </connection>
  <connection id="284" name="Connection353" type="4" refreshedVersion="0" background="1">
    <webPr url="http://table.finance.yahoo.com/table.csv?s=kljlkj&amp;a=00&amp;b=01&amp;c=2010&amp;d=05&amp;e=01&amp;f=2012&amp;g=d&amp;ignore=.csv" htmlTables="1" htmlFormat="all"/>
  </connection>
  <connection id="285" name="Connection354" type="4" refreshedVersion="0" background="1">
    <webPr url="http://table.finance.yahoo.com/table.csv?s=gkjkjh&amp;a=00&amp;b=01&amp;c=2010&amp;d=05&amp;e=01&amp;f=2012&amp;g=d&amp;ignore=.csv" htmlTables="1" htmlFormat="all"/>
  </connection>
  <connection id="286" name="Connection355" type="4" refreshedVersion="0" background="1">
    <webPr url="http://table.finance.yahoo.com/table.csv?s=ssfsf&amp;a=00&amp;b=01&amp;c=2010&amp;d=05&amp;e=01&amp;f=2012&amp;g=d&amp;ignore=.csv" htmlTables="1" htmlFormat="all"/>
  </connection>
  <connection id="287" name="Connection356" type="4" refreshedVersion="0" background="1">
    <webPr url="http://table.finance.yahoo.com/table.csv?s=AFREZ&amp;a=00&amp;b=01&amp;c=2010&amp;d=05&amp;e=01&amp;f=2012&amp;g=d&amp;ignore=.csv" htmlTables="1" htmlFormat="all"/>
  </connection>
  <connection id="288" name="Connection357" type="4" refreshedVersion="0" background="1">
    <webPr url="http://table.finance.yahoo.com/table.csv?s=kljlkj&amp;a=00&amp;b=01&amp;c=2010&amp;d=05&amp;e=01&amp;f=2012&amp;g=d&amp;ignore=.csv" htmlTables="1" htmlFormat="all"/>
  </connection>
  <connection id="289" name="Connection358" type="4" refreshedVersion="0" background="1">
    <webPr url="http://table.finance.yahoo.com/table.csv?s=AGAM&amp;a=00&amp;b=01&amp;c=2010&amp;d=05&amp;e=01&amp;f=2012&amp;g=d&amp;ignore=.csv" htmlTables="1" htmlFormat="all"/>
  </connection>
  <connection id="290" name="Connection359" type="4" refreshedVersion="0" background="1">
    <webPr url="http://table.finance.yahoo.com/table.csv?s=AGC_PA&amp;a=00&amp;b=01&amp;c=2010&amp;d=05&amp;e=01&amp;f=2012&amp;g=d&amp;ignore=.csv" htmlTables="1" htmlFormat="all"/>
  </connection>
  <connection id="291" name="Connection36" type="4" refreshedVersion="0" background="1">
    <webPr url="http://table.finance.yahoo.com/table.csv?s=ABANP&amp;a=00&amp;b=01&amp;c=2010&amp;d=05&amp;e=01&amp;f=2012&amp;g=d&amp;ignore=.csv" htmlTables="1" htmlFormat="all"/>
  </connection>
  <connection id="292" name="Connection360" type="4" refreshedVersion="0" background="1">
    <webPr url="http://table.finance.yahoo.com/table.csv?s=AGC_PB&amp;a=00&amp;b=01&amp;c=2010&amp;d=05&amp;e=01&amp;f=2012&amp;g=d&amp;ignore=.csv" htmlTables="1" htmlFormat="all"/>
  </connection>
  <connection id="293" name="Connection361" type="4" refreshedVersion="0" background="1">
    <webPr url="http://table.finance.yahoo.com/table.csv?s=gkjkjh&amp;a=00&amp;b=01&amp;c=2010&amp;d=05&amp;e=01&amp;f=2012&amp;g=d&amp;ignore=.csv" htmlTables="1" htmlFormat="all"/>
  </connection>
  <connection id="294" name="Connection362" type="4" refreshedVersion="0" background="1">
    <webPr url="http://table.finance.yahoo.com/table.csv?s=AGE&amp;a=00&amp;b=01&amp;c=2010&amp;d=05&amp;e=01&amp;f=2012&amp;g=d&amp;ignore=.csv" htmlTables="1" htmlFormat="all"/>
  </connection>
  <connection id="295" name="Connection363" type="4" refreshedVersion="0" background="1">
    <webPr url="http://table.finance.yahoo.com/table.csv?s=ssfsf&amp;a=00&amp;b=01&amp;c=2010&amp;d=05&amp;e=01&amp;f=2012&amp;g=d&amp;ignore=.csv" htmlTables="1" htmlFormat="all"/>
  </connection>
  <connection id="296" name="Connection364" type="4" refreshedVersion="0" background="1">
    <webPr url="http://table.finance.yahoo.com/table.csv?s=AGH&amp;a=00&amp;b=01&amp;c=2010&amp;d=05&amp;e=01&amp;f=2012&amp;g=d&amp;ignore=.csv" htmlTables="1" htmlFormat="all"/>
  </connection>
  <connection id="297" name="Connection365" type="4" refreshedVersion="0" background="1">
    <webPr url="http://table.finance.yahoo.com/table.csv?s=AGI&amp;a=00&amp;b=01&amp;c=2010&amp;d=05&amp;e=01&amp;f=2012&amp;g=d&amp;ignore=.csv" htmlTables="1" htmlFormat="all"/>
  </connection>
  <connection id="298" name="Connection366" type="4" refreshedVersion="0" background="1">
    <webPr url="http://table.finance.yahoo.com/table.csv?s=AMB_PA&amp;a=00&amp;b=01&amp;c=2010&amp;d=05&amp;e=01&amp;f=2012&amp;g=d&amp;ignore=.csv" htmlTables="1" htmlFormat="all"/>
  </connection>
  <connection id="299" name="Connection367" type="4" refreshedVersion="0" background="1">
    <webPr url="http://table.finance.yahoo.com/table.csv?s=AGII&amp;a=00&amp;b=01&amp;c=2010&amp;d=05&amp;e=01&amp;f=2012&amp;g=d&amp;ignore=.csv" htmlTables="1" htmlFormat="all"/>
  </connection>
  <connection id="300" name="Connection368" type="4" refreshedVersion="0" background="1">
    <webPr url="http://table.finance.yahoo.com/table.csv?s=AMBKW&amp;a=00&amp;b=01&amp;c=2010&amp;d=05&amp;e=01&amp;f=2012&amp;g=d&amp;ignore=.csv" htmlTables="1" htmlFormat="all"/>
  </connection>
  <connection id="301" name="Connection369" type="4" refreshedVersion="0" background="1">
    <webPr url="http://table.finance.yahoo.com/table.csv?s=AMC&amp;a=00&amp;b=01&amp;c=2010&amp;d=05&amp;e=01&amp;f=2012&amp;g=d&amp;ignore=.csv" htmlTables="1" htmlFormat="all"/>
  </connection>
  <connection id="302" name="Connection37" type="4" refreshedVersion="0" background="1">
    <webPr url="http://table.finance.yahoo.com/table.csv?s=Enter Tickers Below&amp;a=00&amp;b=01&amp;c=2010&amp;d=05&amp;e=01&amp;f=2012&amp;g=d&amp;ignore=.csv" htmlTables="1" htmlFormat="all"/>
  </connection>
  <connection id="303" name="Connection370" type="4" refreshedVersion="0" background="1">
    <webPr url="http://table.finance.yahoo.com/table.csv?s=AGIL&amp;a=00&amp;b=01&amp;c=2010&amp;d=05&amp;e=01&amp;f=2012&amp;g=d&amp;ignore=.csv" htmlTables="1" htmlFormat="all"/>
  </connection>
  <connection id="304" name="Connection371" type="4" refreshedVersion="0" background="1">
    <webPr url="http://table.finance.yahoo.com/table.csv?s=AMCE&amp;a=00&amp;b=01&amp;c=2010&amp;d=05&amp;e=01&amp;f=2012&amp;g=d&amp;ignore=.csv" htmlTables="1" htmlFormat="all"/>
  </connection>
  <connection id="305" name="Connection372" type="4" refreshedVersion="0" background="1">
    <webPr url="http://table.finance.yahoo.com/table.csv?s=AGIX&amp;a=00&amp;b=01&amp;c=2010&amp;d=05&amp;e=01&amp;f=2012&amp;g=d&amp;ignore=.csv" htmlTables="1" htmlFormat="all"/>
  </connection>
  <connection id="306" name="Connection373" type="4" refreshedVersion="0" background="1">
    <webPr url="http://table.finance.yahoo.com/table.csv?s=AGL&amp;a=00&amp;b=01&amp;c=2010&amp;d=05&amp;e=01&amp;f=2012&amp;g=d&amp;ignore=.csv" htmlTables="1" htmlFormat="all"/>
  </connection>
  <connection id="307" name="Connection374" type="4" refreshedVersion="0" background="1">
    <webPr url="http://table.finance.yahoo.com/table.csv?s=kljlkj&amp;a=00&amp;b=01&amp;c=2010&amp;d=05&amp;e=01&amp;f=2012&amp;g=d&amp;ignore=.csv" htmlTables="1" htmlFormat="all"/>
  </connection>
  <connection id="308" name="Connection375" type="4" refreshedVersion="0" background="1">
    <webPr url="http://table.finance.yahoo.com/table.csv?s=AGM__A&amp;a=00&amp;b=01&amp;c=2010&amp;d=05&amp;e=01&amp;f=2012&amp;g=d&amp;ignore=.csv" htmlTables="1" htmlFormat="all"/>
  </connection>
  <connection id="309" name="Connection376" type="4" refreshedVersion="0" background="1">
    <webPr url="http://table.finance.yahoo.com/table.csv?s=gkjkjh&amp;a=00&amp;b=01&amp;c=2010&amp;d=05&amp;e=01&amp;f=2012&amp;g=d&amp;ignore=.csv" htmlTables="1" htmlFormat="all"/>
  </connection>
  <connection id="310" name="Connection377" type="4" refreshedVersion="0" background="1">
    <webPr url="http://table.finance.yahoo.com/table.csv?s=AGNT&amp;a=00&amp;b=01&amp;c=2010&amp;d=05&amp;e=01&amp;f=2012&amp;g=d&amp;ignore=.csv" htmlTables="1" htmlFormat="all"/>
  </connection>
  <connection id="311" name="Connection378" type="4" refreshedVersion="0" background="1">
    <webPr url="http://table.finance.yahoo.com/table.csv?s=ssfsf&amp;a=00&amp;b=01&amp;c=2010&amp;d=05&amp;e=01&amp;f=2012&amp;g=d&amp;ignore=.csv" htmlTables="1" htmlFormat="all"/>
  </connection>
  <connection id="312" name="Connection379" type="4" refreshedVersion="0" background="1">
    <webPr url="http://table.finance.yahoo.com/table.csv?s=AGR__A&amp;a=00&amp;b=01&amp;c=2010&amp;d=05&amp;e=01&amp;f=2012&amp;g=d&amp;ignore=.csv" htmlTables="1" htmlFormat="all"/>
  </connection>
  <connection id="313" name="Connection38" type="4" refreshedVersion="0" background="1">
    <webPr url="http://table.finance.yahoo.com/table.csv?s=ABJ&amp;a=00&amp;b=01&amp;c=2010&amp;d=05&amp;e=01&amp;f=2012&amp;g=d&amp;ignore=.csv" htmlTables="1" htmlFormat="all"/>
  </connection>
  <connection id="314" name="Connection380" type="4" refreshedVersion="0" background="1">
    <webPr url="http://table.finance.yahoo.com/table.csv?s=AGR__B&amp;a=00&amp;b=01&amp;c=2010&amp;d=05&amp;e=01&amp;f=2012&amp;g=d&amp;ignore=.csv" htmlTables="1" htmlFormat="all"/>
  </connection>
  <connection id="315" name="Connection381" type="4" refreshedVersion="0" background="1">
    <webPr url="http://table.finance.yahoo.com/table.csv?s=kljlkj&amp;a=00&amp;b=01&amp;c=2010&amp;d=05&amp;e=01&amp;f=2012&amp;g=d&amp;ignore=.csv" htmlTables="1" htmlFormat="all"/>
  </connection>
  <connection id="316" name="Connection382" type="4" refreshedVersion="0" background="1">
    <webPr url="http://table.finance.yahoo.com/table.csv?s=AGU_P&amp;a=00&amp;b=01&amp;c=2010&amp;d=05&amp;e=01&amp;f=2012&amp;g=d&amp;ignore=.csv" htmlTables="1" htmlFormat="all"/>
  </connection>
  <connection id="317" name="Connection383" type="4" refreshedVersion="0" background="1">
    <webPr url="http://table.finance.yahoo.com/table.csv?s=AGY&amp;a=00&amp;b=01&amp;c=2010&amp;d=05&amp;e=01&amp;f=2012&amp;g=d&amp;ignore=.csv" htmlTables="1" htmlFormat="all"/>
  </connection>
  <connection id="318" name="Connection384" type="4" refreshedVersion="0" background="1">
    <webPr url="http://table.finance.yahoo.com/table.csv?s=gkjkjh&amp;a=00&amp;b=01&amp;c=2010&amp;d=05&amp;e=01&amp;f=2012&amp;g=d&amp;ignore=.csv" htmlTables="1" htmlFormat="all"/>
  </connection>
  <connection id="319" name="Connection385" type="4" refreshedVersion="0" background="1">
    <webPr url="http://table.finance.yahoo.com/table.csv?s=ssfsf&amp;a=00&amp;b=01&amp;c=2010&amp;d=05&amp;e=01&amp;f=2012&amp;g=d&amp;ignore=.csv" htmlTables="1" htmlFormat="all"/>
  </connection>
  <connection id="320" name="Connection386" type="4" refreshedVersion="0" background="1">
    <webPr url="http://table.finance.yahoo.com/table.csv?s=AHG&amp;a=00&amp;b=01&amp;c=2010&amp;d=05&amp;e=01&amp;f=2012&amp;g=d&amp;ignore=.csv" htmlTables="1" htmlFormat="all"/>
  </connection>
  <connection id="321" name="Connection387" type="4" refreshedVersion="0" background="1">
    <webPr url="http://table.finance.yahoo.com/table.csv?s=AHI&amp;a=00&amp;b=01&amp;c=2010&amp;d=05&amp;e=01&amp;f=2012&amp;g=d&amp;ignore=.csv" htmlTables="1" htmlFormat="all"/>
  </connection>
  <connection id="322" name="Connection388" type="4" refreshedVersion="0" background="1">
    <webPr url="http://table.finance.yahoo.com/table.csv?s=AHLS&amp;a=00&amp;b=01&amp;c=2010&amp;d=05&amp;e=01&amp;f=2012&amp;g=d&amp;ignore=.csv" htmlTables="1" htmlFormat="all"/>
  </connection>
  <connection id="323" name="Connection389" type="4" refreshedVersion="0" background="1">
    <webPr url="http://table.finance.yahoo.com/table.csv?s=AHM&amp;a=00&amp;b=01&amp;c=2010&amp;d=05&amp;e=01&amp;f=2012&amp;g=d&amp;ignore=.csv" htmlTables="1" htmlFormat="all"/>
  </connection>
  <connection id="324" name="Connection39" type="4" refreshedVersion="0" background="1">
    <webPr url="http://table.finance.yahoo.com/table.csv?s=ABBK&amp;a=00&amp;b=01&amp;c=2010&amp;d=05&amp;e=01&amp;f=2012&amp;g=d&amp;ignore=.csv" htmlTables="1" htmlFormat="all"/>
  </connection>
  <connection id="325" name="Connection390" type="4" refreshedVersion="0" background="1">
    <webPr url="http://table.finance.yahoo.com/table.csv?s=AHMH&amp;a=00&amp;b=01&amp;c=2010&amp;d=05&amp;e=01&amp;f=2012&amp;g=d&amp;ignore=.csv" htmlTables="1" htmlFormat="all"/>
  </connection>
  <connection id="326" name="Connection391" type="4" refreshedVersion="0" background="1">
    <webPr url="http://table.finance.yahoo.com/table.csv?s=AHN&amp;a=00&amp;b=01&amp;c=2010&amp;d=05&amp;e=01&amp;f=2012&amp;g=d&amp;ignore=.csv" htmlTables="1" htmlFormat="all"/>
  </connection>
  <connection id="327" name="Connection392" type="4" refreshedVersion="0" background="1">
    <webPr url="http://table.finance.yahoo.com/table.csv?s=AHO&amp;a=00&amp;b=01&amp;c=2010&amp;d=05&amp;e=01&amp;f=2012&amp;g=d&amp;ignore=.csv" htmlTables="1" htmlFormat="all"/>
  </connection>
  <connection id="328" name="Connection393" type="4" refreshedVersion="0" background="1">
    <webPr url="http://table.finance.yahoo.com/table.csv?s=kljlkj&amp;a=00&amp;b=01&amp;c=2010&amp;d=05&amp;e=01&amp;f=2012&amp;g=d&amp;ignore=.csv" htmlTables="1" htmlFormat="all"/>
  </connection>
  <connection id="329" name="Connection394" type="4" refreshedVersion="0" background="1">
    <webPr url="http://table.finance.yahoo.com/table.csv?s=AHR&amp;a=00&amp;b=01&amp;c=2010&amp;d=05&amp;e=01&amp;f=2012&amp;g=d&amp;ignore=.csv" htmlTables="1" htmlFormat="all"/>
  </connection>
  <connection id="330" name="Connection395" type="4" refreshedVersion="0" background="1">
    <webPr url="http://table.finance.yahoo.com/table.csv?s=gkjkjh&amp;a=00&amp;b=01&amp;c=2010&amp;d=05&amp;e=01&amp;f=2012&amp;g=d&amp;ignore=.csv" htmlTables="1" htmlFormat="all"/>
  </connection>
  <connection id="331" name="Connection396" type="4" refreshedVersion="0" background="1">
    <webPr url="http://table.finance.yahoo.com/table.csv?s=ssfsf&amp;a=00&amp;b=01&amp;c=2010&amp;d=05&amp;e=01&amp;f=2012&amp;g=d&amp;ignore=.csv" htmlTables="1" htmlFormat="all"/>
  </connection>
  <connection id="332" name="Connection397" type="4" refreshedVersion="0" background="1">
    <webPr url="http://table.finance.yahoo.com/table.csv?s=kljlkj&amp;a=00&amp;b=01&amp;c=2010&amp;d=05&amp;e=01&amp;f=2012&amp;g=d&amp;ignore=.csv" htmlTables="1" htmlFormat="all"/>
  </connection>
  <connection id="333" name="Connection398" type="4" refreshedVersion="0" background="1">
    <webPr url="http://table.finance.yahoo.com/table.csv?s=AIB&amp;a=00&amp;b=01&amp;c=2010&amp;d=05&amp;e=01&amp;f=2012&amp;g=d&amp;ignore=.csv" htmlTables="1" htmlFormat="all"/>
  </connection>
  <connection id="334" name="Connection399" type="4" refreshedVersion="0" background="1">
    <webPr url="http://table.finance.yahoo.com/table.csv?s=AICX&amp;a=00&amp;b=01&amp;c=2010&amp;d=05&amp;e=01&amp;f=2012&amp;g=d&amp;ignore=.csv" htmlTables="1" htmlFormat="all"/>
  </connection>
  <connection id="335" name="Connection4" type="4" refreshedVersion="0" background="1">
    <webPr url="http://table.finance.yahoo.com/table.csv?s=&amp;a=00&amp;b=01&amp;c=2010&amp;d=05&amp;e=01&amp;f=2012&amp;g=m&amp;ignore=.csv" htmlTables="1" htmlFormat="all"/>
  </connection>
  <connection id="336" name="Connection40" type="4" refreshedVersion="0" background="1">
    <webPr url="http://table.finance.yahoo.com/table.csv?s=ABBKP&amp;a=00&amp;b=01&amp;c=2010&amp;d=05&amp;e=01&amp;f=2012&amp;g=d&amp;ignore=.csv" htmlTables="1" htmlFormat="all"/>
  </connection>
  <connection id="337" name="Connection400" type="4" refreshedVersion="0" background="1">
    <webPr url="http://table.finance.yahoo.com/table.csv?s=errr&amp;a=00&amp;b=01&amp;c=2010&amp;d=05&amp;e=01&amp;f=2012&amp;g=d&amp;ignore=.csv" htmlTables="1" htmlFormat="all"/>
  </connection>
  <connection id="338" name="Connection401" type="4" refreshedVersion="0" background="1">
    <webPr url="http://table.finance.yahoo.com/table.csv?s=AIH&amp;a=00&amp;b=01&amp;c=2010&amp;d=05&amp;e=01&amp;f=2012&amp;g=d&amp;ignore=.csv" htmlTables="1" htmlFormat="all"/>
  </connection>
  <connection id="339" name="Connection402" type="4" refreshedVersion="0" background="1">
    <webPr url="http://table.finance.yahoo.com/table.csv?s=AII&amp;a=00&amp;b=01&amp;c=2010&amp;d=05&amp;e=01&amp;f=2012&amp;g=d&amp;ignore=.csv" htmlTables="1" htmlFormat="all"/>
  </connection>
  <connection id="340" name="Connection403" type="4" refreshedVersion="0" background="1">
    <webPr url="http://table.finance.yahoo.com/table.csv?s=AIJ&amp;a=00&amp;b=01&amp;c=2010&amp;d=05&amp;e=01&amp;f=2012&amp;g=d&amp;ignore=.csv" htmlTables="1" htmlFormat="all"/>
  </connection>
  <connection id="341" name="Connection404" type="4" refreshedVersion="0" background="1">
    <webPr url="http://table.finance.yahoo.com/table.csv?s=AIK&amp;a=00&amp;b=01&amp;c=2010&amp;d=05&amp;e=01&amp;f=2012&amp;g=d&amp;ignore=.csv" htmlTables="1" htmlFormat="all"/>
  </connection>
  <connection id="342" name="Connection405" type="4" refreshedVersion="0" background="1">
    <webPr url="http://table.finance.yahoo.com/table.csv?s=gkjkjh&amp;a=00&amp;b=01&amp;c=2010&amp;d=05&amp;e=01&amp;f=2012&amp;g=d&amp;ignore=.csv" htmlTables="1" htmlFormat="all"/>
  </connection>
  <connection id="343" name="Connection406" type="4" refreshedVersion="0" background="1">
    <webPr url="http://table.finance.yahoo.com/table.csv?s=ssfsf&amp;a=00&amp;b=01&amp;c=2010&amp;d=05&amp;e=01&amp;f=2012&amp;g=d&amp;ignore=.csv" htmlTables="1" htmlFormat="all"/>
  </connection>
  <connection id="344" name="Connection407" type="4" refreshedVersion="0" background="1">
    <webPr url="http://table.finance.yahoo.com/table.csv?s=kljlkj&amp;a=00&amp;b=01&amp;c=2010&amp;d=05&amp;e=01&amp;f=2012&amp;g=d&amp;ignore=.csv" htmlTables="1" htmlFormat="all"/>
  </connection>
  <connection id="345" name="Connection408" type="4" refreshedVersion="0" background="1">
    <webPr url="http://table.finance.yahoo.com/table.csv?s=AINN&amp;a=00&amp;b=01&amp;c=2010&amp;d=05&amp;e=01&amp;f=2012&amp;g=d&amp;ignore=.csv" htmlTables="1" htmlFormat="all"/>
  </connection>
  <connection id="346" name="Connection409" type="4" refreshedVersion="0" background="1">
    <webPr url="http://table.finance.yahoo.com/table.csv?s=AIP&amp;a=00&amp;b=01&amp;c=2010&amp;d=05&amp;e=01&amp;f=2012&amp;g=d&amp;ignore=.csv" htmlTables="1" htmlFormat="all"/>
  </connection>
  <connection id="347" name="Connection41" type="4" refreshedVersion="0" background="1">
    <webPr url="http://table.finance.yahoo.com/table.csv?s=ABK&amp;a=00&amp;b=01&amp;c=2010&amp;d=05&amp;e=01&amp;f=2012&amp;g=d&amp;ignore=.csv" htmlTables="1" htmlFormat="all"/>
  </connection>
  <connection id="348" name="Connection410" type="4" refreshedVersion="0" background="1">
    <webPr url="http://table.finance.yahoo.com/table.csv?s=gkjkjh&amp;a=00&amp;b=01&amp;c=2010&amp;d=05&amp;e=01&amp;f=2012&amp;g=d&amp;ignore=.csv" htmlTables="1" htmlFormat="all"/>
  </connection>
  <connection id="349" name="Connection411" type="4" refreshedVersion="0" background="1">
    <webPr url="http://table.finance.yahoo.com/table.csv?s=AIQT&amp;a=00&amp;b=01&amp;c=2010&amp;d=05&amp;e=01&amp;f=2012&amp;g=d&amp;ignore=.csv" htmlTables="1" htmlFormat="all"/>
  </connection>
  <connection id="350" name="Connection412" type="4" refreshedVersion="0" background="1">
    <webPr url="http://table.finance.yahoo.com/table.csv?s=AIQTW&amp;a=00&amp;b=01&amp;c=2010&amp;d=05&amp;e=01&amp;f=2012&amp;g=d&amp;ignore=.csv" htmlTables="1" htmlFormat="all"/>
  </connection>
  <connection id="351" name="Connection413" type="4" refreshedVersion="0" background="1">
    <webPr url="http://table.finance.yahoo.com/table.csv?s=ssfsf&amp;a=00&amp;b=01&amp;c=2010&amp;d=05&amp;e=01&amp;f=2012&amp;g=d&amp;ignore=.csv" htmlTables="1" htmlFormat="all"/>
  </connection>
  <connection id="352" name="Connection414" type="4" refreshedVersion="0" background="1">
    <webPr url="http://table.finance.yahoo.com/table.csv?s=kljlkj&amp;a=00&amp;b=01&amp;c=2010&amp;d=05&amp;e=01&amp;f=2012&amp;g=d&amp;ignore=.csv" htmlTables="1" htmlFormat="all"/>
  </connection>
  <connection id="353" name="Connection415" type="4" refreshedVersion="0" background="1">
    <webPr url="http://table.finance.yahoo.com/table.csv?s=AIRN&amp;a=00&amp;b=01&amp;c=2010&amp;d=05&amp;e=01&amp;f=2012&amp;g=d&amp;ignore=.csv" htmlTables="1" htmlFormat="all"/>
  </connection>
  <connection id="354" name="Connection416" type="4" refreshedVersion="0" background="1">
    <webPr url="http://table.finance.yahoo.com/table.csv?s=errors&amp;a=00&amp;b=01&amp;c=2010&amp;d=05&amp;e=01&amp;f=2012&amp;g=d&amp;ignore=.csv" htmlTables="1" htmlFormat="all"/>
  </connection>
  <connection id="355" name="Connection417" type="4" refreshedVersion="0" background="1">
    <webPr url="http://table.finance.yahoo.com/table.csv?s=errors&amp;a=00&amp;b=01&amp;c=2010&amp;d=05&amp;e=01&amp;f=2012&amp;g=d&amp;ignore=.csv" htmlTables="1" htmlFormat="all"/>
  </connection>
  <connection id="356" name="Connection418" type="4" refreshedVersion="0" background="1">
    <webPr url="http://table.finance.yahoo.com/table.csv?s=errors&amp;a=00&amp;b=01&amp;c=2010&amp;d=05&amp;e=01&amp;f=2012&amp;g=d&amp;ignore=.csv" htmlTables="1" htmlFormat="all"/>
  </connection>
  <connection id="357" name="Connection419" type="4" refreshedVersion="0" background="1">
    <webPr url="http://table.finance.yahoo.com/table.csv?s=AIV_PC&amp;a=00&amp;b=01&amp;c=2010&amp;d=05&amp;e=01&amp;f=2012&amp;g=d&amp;ignore=.csv" htmlTables="1" htmlFormat="all"/>
  </connection>
  <connection id="358" name="Connection42" type="4" refreshedVersion="0" background="1">
    <webPr url="http://table.finance.yahoo.com/table.csv?s=ABL&amp;a=00&amp;b=01&amp;c=2010&amp;d=05&amp;e=01&amp;f=2012&amp;g=d&amp;ignore=.csv" htmlTables="1" htmlFormat="all"/>
  </connection>
  <connection id="359" name="Connection420" type="4" refreshedVersion="0" background="1">
    <webPr url="http://table.finance.yahoo.com/table.csv?s=AIV_PD&amp;a=00&amp;b=01&amp;c=2010&amp;d=05&amp;e=01&amp;f=2012&amp;g=d&amp;ignore=.csv" htmlTables="1" htmlFormat="all"/>
  </connection>
  <connection id="360" name="Connection421" type="4" refreshedVersion="0" background="1">
    <webPr url="http://table.finance.yahoo.com/table.csv?s=AIV_PG&amp;a=00&amp;b=01&amp;c=2010&amp;d=05&amp;e=01&amp;f=2012&amp;g=d&amp;ignore=.csv" htmlTables="1" htmlFormat="all"/>
  </connection>
  <connection id="361" name="Connection422" type="4" refreshedVersion="0" background="1">
    <webPr url="http://table.finance.yahoo.com/table.csv?s=AIV_PH&amp;a=00&amp;b=01&amp;c=2010&amp;d=05&amp;e=01&amp;f=2012&amp;g=d&amp;ignore=.csv" htmlTables="1" htmlFormat="all"/>
  </connection>
  <connection id="362" name="Connection423" type="4" refreshedVersion="0" background="1">
    <webPr url="http://table.finance.yahoo.com/table.csv?s=AIV_PP&amp;a=00&amp;b=01&amp;c=2010&amp;d=05&amp;e=01&amp;f=2012&amp;g=d&amp;ignore=.csv" htmlTables="1" htmlFormat="all"/>
  </connection>
  <connection id="363" name="Connection424" type="4" refreshedVersion="0" background="1">
    <webPr url="http://table.finance.yahoo.com/table.csv?s=AIV_PQ&amp;a=00&amp;b=01&amp;c=2010&amp;d=05&amp;e=01&amp;f=2012&amp;g=d&amp;ignore=.csv" htmlTables="1" htmlFormat="all"/>
  </connection>
  <connection id="364" name="Connection425" type="4" refreshedVersion="0" background="1">
    <webPr url="http://table.finance.yahoo.com/table.csv?s=AIV_PR&amp;a=00&amp;b=01&amp;c=2010&amp;d=05&amp;e=01&amp;f=2012&amp;g=d&amp;ignore=.csv" htmlTables="1" htmlFormat="all"/>
  </connection>
  <connection id="365" name="Connection426" type="4" refreshedVersion="0" background="1">
    <webPr url="http://table.finance.yahoo.com/table.csv?s=errors&amp;a=00&amp;b=01&amp;c=2010&amp;d=05&amp;e=01&amp;f=2012&amp;g=d&amp;ignore=.csv" htmlTables="1" htmlFormat="all"/>
  </connection>
  <connection id="366" name="Connection427" type="4" refreshedVersion="0" background="1">
    <webPr url="http://table.finance.yahoo.com/table.csv?s=errors&amp;a=00&amp;b=01&amp;c=2010&amp;d=05&amp;e=01&amp;f=2012&amp;g=d&amp;ignore=.csv" htmlTables="1" htmlFormat="all"/>
  </connection>
  <connection id="367" name="Connection428" type="4" refreshedVersion="0" background="1">
    <webPr url="http://table.finance.yahoo.com/table.csv?s=AJC&amp;a=00&amp;b=01&amp;c=2010&amp;d=05&amp;e=01&amp;f=2012&amp;g=d&amp;ignore=.csv" htmlTables="1" htmlFormat="all"/>
  </connection>
  <connection id="368" name="Connection429" type="4" refreshedVersion="0" background="1">
    <webPr url="http://table.finance.yahoo.com/table.csv?s=errors&amp;a=00&amp;b=01&amp;c=2010&amp;d=05&amp;e=01&amp;f=2012&amp;g=d&amp;ignore=.csv" htmlTables="1" htmlFormat="all"/>
  </connection>
  <connection id="369" name="Connection43" type="4" refreshedVersion="0" background="1">
    <webPr url="http://table.finance.yahoo.com/table.csv?s=Enter Tickers Below&amp;a=00&amp;b=01&amp;c=2010&amp;d=05&amp;e=01&amp;f=2012&amp;g=d&amp;ignore=.csv" htmlTables="1" htmlFormat="all"/>
  </connection>
  <connection id="370" name="Connection430" type="4" refreshedVersion="0" background="1">
    <webPr url="http://table.finance.yahoo.com/table.csv?s=errors&amp;a=00&amp;b=01&amp;c=2010&amp;d=05&amp;e=01&amp;f=2012&amp;g=d&amp;ignore=.csv" htmlTables="1" htmlFormat="all"/>
  </connection>
  <connection id="371" name="Connection431" type="4" refreshedVersion="0" background="1">
    <webPr url="http://table.finance.yahoo.com/table.csv?s=AKB&amp;a=00&amp;b=01&amp;c=2010&amp;d=05&amp;e=01&amp;f=2012&amp;g=d&amp;ignore=.csv" htmlTables="1" htmlFormat="all"/>
  </connection>
  <connection id="372" name="Connection432" type="4" refreshedVersion="0" background="1">
    <webPr url="http://table.finance.yahoo.com/table.csv?s=AKC&amp;a=00&amp;b=01&amp;c=2010&amp;d=05&amp;e=01&amp;f=2012&amp;g=d&amp;ignore=.csv" htmlTables="1" htmlFormat="all"/>
  </connection>
  <connection id="373" name="Connection433" type="4" refreshedVersion="0" background="1">
    <webPr url="http://table.finance.yahoo.com/table.csv?s=AKLM&amp;a=00&amp;b=01&amp;c=2010&amp;d=05&amp;e=01&amp;f=2012&amp;g=d&amp;ignore=.csv" htmlTables="1" htmlFormat="all"/>
  </connection>
  <connection id="374" name="Connection434" type="4" refreshedVersion="0" background="1">
    <webPr url="http://table.finance.yahoo.com/table.csv?s=AKO__A&amp;a=00&amp;b=01&amp;c=2010&amp;d=05&amp;e=01&amp;f=2012&amp;g=d&amp;ignore=.csv" htmlTables="1" htmlFormat="all"/>
  </connection>
  <connection id="375" name="Connection435" type="4" refreshedVersion="0" background="1">
    <webPr url="http://table.finance.yahoo.com/table.csv?s=AKO__B&amp;a=00&amp;b=01&amp;c=2010&amp;d=05&amp;e=01&amp;f=2012&amp;g=d&amp;ignore=.csv" htmlTables="1" htmlFormat="all"/>
  </connection>
  <connection id="376" name="Connection436" type="4" refreshedVersion="0" background="1">
    <webPr url="http://table.finance.yahoo.com/table.csv?s=errors&amp;a=00&amp;b=01&amp;c=2010&amp;d=05&amp;e=01&amp;f=2012&amp;g=d&amp;ignore=.csv" htmlTables="1" htmlFormat="all"/>
  </connection>
  <connection id="377" name="Connection437" type="4" refreshedVersion="0" background="1">
    <webPr url="http://table.finance.yahoo.com/table.csv?s=errors&amp;a=00&amp;b=01&amp;c=2010&amp;d=05&amp;e=01&amp;f=2012&amp;g=d&amp;ignore=.csv" htmlTables="1" htmlFormat="all"/>
  </connection>
  <connection id="378" name="Connection438" type="4" refreshedVersion="0" background="1">
    <webPr url="http://table.finance.yahoo.com/table.csv?s=hjkk&amp;a=00&amp;b=01&amp;c=2010&amp;d=05&amp;e=01&amp;f=2012&amp;g=d&amp;ignore=.csv" htmlTables="1" htmlFormat="all"/>
  </connection>
  <connection id="379" name="Connection439" type="4" refreshedVersion="0" background="1">
    <webPr url="http://table.finance.yahoo.com/table.csv?s=AKSY&amp;a=00&amp;b=01&amp;c=2010&amp;d=05&amp;e=01&amp;f=2012&amp;g=d&amp;ignore=.csv" htmlTables="1" htmlFormat="all"/>
  </connection>
  <connection id="380" name="Connection44" type="4" refreshedVersion="0" background="1">
    <webPr url="http://table.finance.yahoo.com/table.csv?s=Enter Tickers Below&amp;a=00&amp;b=01&amp;c=2010&amp;d=05&amp;e=01&amp;f=2012&amp;g=d&amp;ignore=.csv" htmlTables="1" htmlFormat="all"/>
  </connection>
  <connection id="381" name="Connection440" type="4" refreshedVersion="0" background="1">
    <webPr url="http://table.finance.yahoo.com/table.csv?s=errors&amp;a=00&amp;b=01&amp;c=2010&amp;d=05&amp;e=01&amp;f=2012&amp;g=d&amp;ignore=.csv" htmlTables="1" htmlFormat="all"/>
  </connection>
  <connection id="382" name="Connection441" type="4" refreshedVersion="0" background="1">
    <webPr url="http://table.finance.yahoo.com/table.csv?s=hjkk&amp;a=00&amp;b=01&amp;c=2010&amp;d=05&amp;e=01&amp;f=2012&amp;g=d&amp;ignore=.csv" htmlTables="1" htmlFormat="all"/>
  </connection>
  <connection id="383" name="Connection442" type="4" refreshedVersion="0" background="1">
    <webPr url="http://table.finance.yahoo.com/table.csv?s=ALA&amp;a=00&amp;b=01&amp;c=2010&amp;d=05&amp;e=01&amp;f=2012&amp;g=d&amp;ignore=.csv" htmlTables="1" htmlFormat="all"/>
  </connection>
  <connection id="384" name="Connection443" type="4" refreshedVersion="0" background="1">
    <webPr url="http://table.finance.yahoo.com/table.csv?s=ALAB&amp;a=00&amp;b=01&amp;c=2010&amp;d=05&amp;e=01&amp;f=2012&amp;g=d&amp;ignore=.csv" htmlTables="1" htmlFormat="all"/>
  </connection>
  <connection id="385" name="Connection444" type="4" refreshedVersion="0" background="1">
    <webPr url="http://table.finance.yahoo.com/table.csv?s=errors&amp;a=00&amp;b=01&amp;c=2010&amp;d=05&amp;e=01&amp;f=2012&amp;g=d&amp;ignore=.csv" htmlTables="1" htmlFormat="all"/>
  </connection>
  <connection id="386" name="Connection445" type="4" refreshedVersion="0" background="1">
    <webPr url="http://table.finance.yahoo.com/table.csv?s=ALAO&amp;a=00&amp;b=01&amp;c=2010&amp;d=05&amp;e=01&amp;f=2012&amp;g=d&amp;ignore=.csv" htmlTables="1" htmlFormat="all"/>
  </connection>
  <connection id="387" name="Connection446" type="4" refreshedVersion="0" background="1">
    <webPr url="http://table.finance.yahoo.com/table.csv?s=hjkk&amp;a=00&amp;b=01&amp;c=2010&amp;d=05&amp;e=01&amp;f=2012&amp;g=d&amp;ignore=.csv" htmlTables="1" htmlFormat="all"/>
  </connection>
  <connection id="388" name="Connection447" type="4" refreshedVersion="0" background="1">
    <webPr url="http://table.finance.yahoo.com/table.csv?s=errors&amp;a=00&amp;b=01&amp;c=2010&amp;d=05&amp;e=01&amp;f=2012&amp;g=d&amp;ignore=.csv" htmlTables="1" htmlFormat="all"/>
  </connection>
  <connection id="389" name="Connection448" type="4" refreshedVersion="0" background="1">
    <webPr url="http://table.finance.yahoo.com/table.csv?s=ALCD&amp;a=00&amp;b=01&amp;c=2010&amp;d=05&amp;e=01&amp;f=2012&amp;g=d&amp;ignore=.csv" htmlTables="1" htmlFormat="all"/>
  </connection>
  <connection id="390" name="Connection449" type="4" refreshedVersion="0" background="1">
    <webPr url="http://table.finance.yahoo.com/table.csv?s=hjkk&amp;a=00&amp;b=01&amp;c=2010&amp;d=05&amp;e=01&amp;f=2012&amp;g=d&amp;ignore=.csv" htmlTables="1" htmlFormat="all"/>
  </connection>
  <connection id="391" name="Connection45" type="4" refreshedVersion="0" background="1">
    <webPr url="http://table.finance.yahoo.com/table.csv?s=ABCX&amp;a=00&amp;b=01&amp;c=2010&amp;d=05&amp;e=01&amp;f=2012&amp;g=d&amp;ignore=.csv" htmlTables="1" htmlFormat="all"/>
  </connection>
  <connection id="392" name="Connection450" type="4" refreshedVersion="0" background="1">
    <webPr url="http://table.finance.yahoo.com/table.csv?s=errors&amp;a=00&amp;b=01&amp;c=2010&amp;d=05&amp;e=01&amp;f=2012&amp;g=d&amp;ignore=.csv" htmlTables="1" htmlFormat="all"/>
  </connection>
  <connection id="393" name="Connection451" type="4" refreshedVersion="0" background="1">
    <webPr url="http://table.finance.yahoo.com/table.csv?s=hjkk&amp;a=00&amp;b=01&amp;c=2010&amp;d=05&amp;e=01&amp;f=2012&amp;g=d&amp;ignore=.csv" htmlTables="1" htmlFormat="all"/>
  </connection>
  <connection id="394" name="Connection452" type="4" refreshedVersion="0" background="1">
    <webPr url="http://table.finance.yahoo.com/table.csv?s=ALDN&amp;a=00&amp;b=01&amp;c=2010&amp;d=05&amp;e=01&amp;f=2012&amp;g=d&amp;ignore=.csv" htmlTables="1" htmlFormat="all"/>
  </connection>
  <connection id="395" name="Connection453" type="4" refreshedVersion="0" background="1">
    <webPr url="http://table.finance.yahoo.com/table.csv?s=errors&amp;a=00&amp;b=01&amp;c=2010&amp;d=05&amp;e=01&amp;f=2012&amp;g=d&amp;ignore=.csv" htmlTables="1" htmlFormat="all"/>
  </connection>
  <connection id="396" name="Connection454" type="4" refreshedVersion="0" background="1">
    <webPr url="http://table.finance.yahoo.com/table.csv?s=ALE_P&amp;a=00&amp;b=01&amp;c=2010&amp;d=05&amp;e=01&amp;f=2012&amp;g=d&amp;ignore=.csv" htmlTables="1" htmlFormat="all"/>
  </connection>
  <connection id="397" name="Connection455" type="4" refreshedVersion="0" background="1">
    <webPr url="http://table.finance.yahoo.com/table.csv?s=hjkk&amp;a=00&amp;b=01&amp;c=2010&amp;d=05&amp;e=01&amp;f=2012&amp;g=d&amp;ignore=.csv" htmlTables="1" htmlFormat="all"/>
  </connection>
  <connection id="398" name="Connection456" type="4" refreshedVersion="0" background="1">
    <webPr url="http://table.finance.yahoo.com/table.csv?s=errors&amp;a=00&amp;b=01&amp;c=2010&amp;d=05&amp;e=01&amp;f=2012&amp;g=d&amp;ignore=.csv" htmlTables="1" htmlFormat="all"/>
  </connection>
  <connection id="399" name="Connection457" type="4" refreshedVersion="0" background="1">
    <webPr url="http://table.finance.yahoo.com/table.csv?s=ALFC&amp;a=00&amp;b=01&amp;c=2010&amp;d=05&amp;e=01&amp;f=2012&amp;g=d&amp;ignore=.csv" htmlTables="1" htmlFormat="all"/>
  </connection>
  <connection id="400" name="Connection458" type="4" refreshedVersion="0" background="1">
    <webPr url="http://table.finance.yahoo.com/table.csv?s=hjkk&amp;a=00&amp;b=01&amp;c=2010&amp;d=05&amp;e=01&amp;f=2012&amp;g=d&amp;ignore=.csv" htmlTables="1" htmlFormat="all"/>
  </connection>
  <connection id="401" name="Connection459" type="4" refreshedVersion="0" background="1">
    <webPr url="http://table.finance.yahoo.com/table.csv?s=errors&amp;a=00&amp;b=01&amp;c=2010&amp;d=05&amp;e=01&amp;f=2012&amp;g=d&amp;ignore=.csv" htmlTables="1" htmlFormat="all"/>
  </connection>
  <connection id="402" name="Connection46" type="4" refreshedVersion="0" background="1">
    <webPr url="http://table.finance.yahoo.com/table.csv?s=ABER&amp;a=00&amp;b=01&amp;c=2010&amp;d=05&amp;e=01&amp;f=2012&amp;g=d&amp;ignore=.csv" htmlTables="1" htmlFormat="all"/>
  </connection>
  <connection id="403" name="Connection460" type="4" refreshedVersion="0" background="1">
    <webPr url="http://table.finance.yahoo.com/table.csv?s=hjkk&amp;a=00&amp;b=01&amp;c=2010&amp;d=05&amp;e=01&amp;f=2012&amp;g=d&amp;ignore=.csv" htmlTables="1" htmlFormat="all"/>
  </connection>
  <connection id="404" name="Connection461" type="4" refreshedVersion="0" background="1">
    <webPr url="http://table.finance.yahoo.com/table.csv?s=ALGX&amp;a=00&amp;b=01&amp;c=2010&amp;d=05&amp;e=01&amp;f=2012&amp;g=d&amp;ignore=.csv" htmlTables="1" htmlFormat="all"/>
  </connection>
  <connection id="405" name="Connection462" type="4" refreshedVersion="0" background="1">
    <webPr url="http://table.finance.yahoo.com/table.csv?s=ALHY&amp;a=00&amp;b=01&amp;c=2010&amp;d=05&amp;e=01&amp;f=2012&amp;g=d&amp;ignore=.csv" htmlTables="1" htmlFormat="all"/>
  </connection>
  <connection id="406" name="Connection463" type="4" refreshedVersion="0" background="1">
    <webPr url="http://table.finance.yahoo.com/table.csv?s=ALI&amp;a=00&amp;b=01&amp;c=2010&amp;d=05&amp;e=01&amp;f=2012&amp;g=d&amp;ignore=.csv" htmlTables="1" htmlFormat="all"/>
  </connection>
  <connection id="407" name="Connection464" type="4" refreshedVersion="0" background="1">
    <webPr url="http://table.finance.yahoo.com/table.csv?s=kkr&amp;a=00&amp;b=01&amp;c=2010&amp;d=05&amp;e=01&amp;f=2012&amp;g=d&amp;ignore=.csv" htmlTables="1" htmlFormat="all"/>
  </connection>
  <connection id="408" name="Connection465" type="4" refreshedVersion="0" background="1">
    <webPr url="http://table.finance.yahoo.com/table.csv?s=hjkk&amp;a=00&amp;b=01&amp;c=2010&amp;d=05&amp;e=01&amp;f=2012&amp;g=d&amp;ignore=.csv" htmlTables="1" htmlFormat="all"/>
  </connection>
  <connection id="409" name="Connection466" type="4" refreshedVersion="0" background="1">
    <webPr url="http://table.finance.yahoo.com/table.csv?s=KO&amp;a=00&amp;b=01&amp;c=2010&amp;d=05&amp;e=01&amp;f=2012&amp;g=d&amp;ignore=.csv" htmlTables="1" htmlFormat="all"/>
  </connection>
  <connection id="410" name="Connection467" type="4" refreshedVersion="0" background="1">
    <webPr url="http://table.finance.yahoo.com/table.csv?s=hjkk&amp;a=00&amp;b=01&amp;c=2010&amp;d=05&amp;e=01&amp;f=2012&amp;g=d&amp;ignore=.csv" htmlTables="1" htmlFormat="all"/>
  </connection>
  <connection id="411" name="Connection468" type="4" refreshedVersion="0" background="1">
    <webPr url="http://table.finance.yahoo.com/table.csv?s=ALLE&amp;a=00&amp;b=01&amp;c=2010&amp;d=05&amp;e=01&amp;f=2012&amp;g=d&amp;ignore=.csv" htmlTables="1" htmlFormat="all"/>
  </connection>
  <connection id="412" name="Connection469" type="4" refreshedVersion="0" background="1">
    <webPr url="http://table.finance.yahoo.com/table.csv?s=ALLEP&amp;a=00&amp;b=01&amp;c=2010&amp;d=05&amp;e=01&amp;f=2012&amp;g=d&amp;ignore=.csv" htmlTables="1" htmlFormat="all"/>
  </connection>
  <connection id="413" name="Connection47" type="4" refreshedVersion="0" background="1">
    <webPr url="http://table.finance.yahoo.com/table.csv?s=ABF&amp;a=00&amp;b=01&amp;c=2010&amp;d=05&amp;e=01&amp;f=2012&amp;g=d&amp;ignore=.csv" htmlTables="1" htmlFormat="all"/>
  </connection>
  <connection id="414" name="Connection470" type="4" refreshedVersion="0" background="1">
    <webPr url="http://table.finance.yahoo.com/table.csv?s=ALM&amp;a=00&amp;b=01&amp;c=2010&amp;d=05&amp;e=01&amp;f=2012&amp;g=d&amp;ignore=.csv" htmlTables="1" htmlFormat="all"/>
  </connection>
  <connection id="415" name="Connection471" type="4" refreshedVersion="0" background="1">
    <webPr url="http://table.finance.yahoo.com/table.csv?s=hjkk&amp;a=00&amp;b=01&amp;c=2010&amp;d=05&amp;e=01&amp;f=2012&amp;g=d&amp;ignore=.csv" htmlTables="1" htmlFormat="all"/>
  </connection>
  <connection id="416" name="Connection472" type="4" refreshedVersion="0" background="1">
    <webPr url="http://table.finance.yahoo.com/table.csv?s=ALN_PD&amp;a=00&amp;b=01&amp;c=2010&amp;d=05&amp;e=01&amp;f=2012&amp;g=d&amp;ignore=.csv" htmlTables="1" htmlFormat="all"/>
  </connection>
  <connection id="417" name="Connection473" type="4" refreshedVersion="0" background="1">
    <webPr url="http://table.finance.yahoo.com/table.csv?s=hjkk&amp;a=00&amp;b=01&amp;c=2010&amp;d=05&amp;e=01&amp;f=2012&amp;g=d&amp;ignore=.csv" htmlTables="1" htmlFormat="all"/>
  </connection>
  <connection id="418" name="Connection474" type="4" refreshedVersion="0" background="1">
    <webPr url="http://table.finance.yahoo.com/table.csv?s=ALO&amp;a=00&amp;b=01&amp;c=2010&amp;d=05&amp;e=01&amp;f=2012&amp;g=d&amp;ignore=.csv" htmlTables="1" htmlFormat="all"/>
  </connection>
  <connection id="419" name="Connection475" type="4" refreshedVersion="0" background="1">
    <webPr url="http://table.finance.yahoo.com/table.csv?s=hjkk&amp;a=00&amp;b=01&amp;c=2010&amp;d=05&amp;e=01&amp;f=2012&amp;g=d&amp;ignore=.csv" htmlTables="1" htmlFormat="all"/>
  </connection>
  <connection id="420" name="Connection476" type="4" refreshedVersion="0" background="1">
    <webPr url="http://table.finance.yahoo.com/table.csv?s=hjkk&amp;a=00&amp;b=01&amp;c=2010&amp;d=05&amp;e=01&amp;f=2012&amp;g=d&amp;ignore=.csv" htmlTables="1" htmlFormat="all"/>
  </connection>
  <connection id="421" name="Connection477" type="4" refreshedVersion="0" background="1">
    <webPr url="http://table.finance.yahoo.com/table.csv?s=ALOY&amp;a=00&amp;b=01&amp;c=2010&amp;d=05&amp;e=01&amp;f=2012&amp;g=d&amp;ignore=.csv" htmlTables="1" htmlFormat="all"/>
  </connection>
  <connection id="422" name="Connection478" type="4" refreshedVersion="0" background="1">
    <webPr url="http://table.finance.yahoo.com/table.csv?s=ALP_PN&amp;a=00&amp;b=01&amp;c=2010&amp;d=05&amp;e=01&amp;f=2012&amp;g=d&amp;ignore=.csv" htmlTables="1" htmlFormat="all"/>
  </connection>
  <connection id="423" name="Connection479" type="4" refreshedVersion="0" background="1">
    <webPr url="http://table.finance.yahoo.com/table.csv?s=ALP_PO&amp;a=00&amp;b=01&amp;c=2010&amp;d=05&amp;e=01&amp;f=2012&amp;g=d&amp;ignore=.csv" htmlTables="1" htmlFormat="all"/>
  </connection>
  <connection id="424" name="Connection48" type="4" refreshedVersion="0" background="1">
    <webPr url="http://table.finance.yahoo.com/table.csv?s=ABFI&amp;a=00&amp;b=01&amp;c=2010&amp;d=05&amp;e=01&amp;f=2012&amp;g=d&amp;ignore=.csv" htmlTables="1" htmlFormat="all"/>
  </connection>
  <connection id="425" name="Connection480" type="4" refreshedVersion="0" background="1">
    <webPr url="http://table.finance.yahoo.com/table.csv?s=ALPH&amp;a=00&amp;b=01&amp;c=2010&amp;d=05&amp;e=01&amp;f=2012&amp;g=d&amp;ignore=.csv" htmlTables="1" htmlFormat="all"/>
  </connection>
  <connection id="426" name="Connection481" type="4" refreshedVersion="0" background="1">
    <webPr url="http://table.finance.yahoo.com/table.csv?s=hjkk&amp;a=00&amp;b=01&amp;c=2010&amp;d=05&amp;e=01&amp;f=2012&amp;g=d&amp;ignore=.csv" htmlTables="1" htmlFormat="all"/>
  </connection>
  <connection id="427" name="Connection482" type="4" refreshedVersion="0" background="1">
    <webPr url="http://table.finance.yahoo.com/table.csv?s=saad&amp;a=00&amp;b=01&amp;c=2010&amp;d=05&amp;e=01&amp;f=2012&amp;g=d&amp;ignore=.csv" htmlTables="1" htmlFormat="all"/>
  </connection>
  <connection id="428" name="Connection483" type="4" refreshedVersion="0" background="1">
    <webPr url="http://table.finance.yahoo.com/table.csv?s=saddasdas&amp;a=00&amp;b=01&amp;c=2010&amp;d=05&amp;e=01&amp;f=2012&amp;g=d&amp;ignore=.csv" htmlTables="1" htmlFormat="all"/>
  </connection>
  <connection id="429" name="Connection484" type="4" refreshedVersion="0" background="1">
    <webPr url="http://table.finance.yahoo.com/table.csv?s=KRK&amp;a=00&amp;b=01&amp;c=2010&amp;d=05&amp;e=01&amp;f=2012&amp;g=d&amp;ignore=.csv" htmlTables="1" htmlFormat="all"/>
  </connection>
  <connection id="430" name="Connection485" type="4" refreshedVersion="0" background="1">
    <webPr url="http://table.finance.yahoo.com/table.csv?s=asawew&amp;a=00&amp;b=01&amp;c=2010&amp;d=05&amp;e=01&amp;f=2012&amp;g=d&amp;ignore=.csv" htmlTables="1" htmlFormat="all"/>
  </connection>
  <connection id="431" name="Connection486" type="4" refreshedVersion="0" background="1">
    <webPr url="http://table.finance.yahoo.com/table.csv?s=KRK&amp;a=00&amp;b=01&amp;c=2010&amp;d=05&amp;e=01&amp;f=2012&amp;g=d&amp;ignore=.csv" htmlTables="1" htmlFormat="all"/>
  </connection>
  <connection id="432" name="Connection487" type="4" refreshedVersion="0" background="1">
    <webPr url="http://table.finance.yahoo.com/table.csv?s=KRK&amp;a=00&amp;b=01&amp;c=2010&amp;d=05&amp;e=01&amp;f=2012&amp;g=d&amp;ignore=.csv" htmlTables="1" htmlFormat="all"/>
  </connection>
  <connection id="433" name="Connection488" type="4" refreshedVersion="0" background="1">
    <webPr url="http://table.finance.yahoo.com/table.csv?s=KRK&amp;a=00&amp;b=01&amp;c=2010&amp;d=05&amp;e=01&amp;f=2012&amp;g=d&amp;ignore=.csv" htmlTables="1" htmlFormat="all"/>
  </connection>
  <connection id="434" name="Connection489" type="4" refreshedVersion="0" background="1">
    <webPr url="http://table.finance.yahoo.com/table.csv?s=kj&amp;a=00&amp;b=01&amp;c=2010&amp;d=05&amp;e=01&amp;f=2012&amp;g=d&amp;ignore=.csv" htmlTables="1" htmlFormat="all"/>
  </connection>
  <connection id="435" name="Connection49" type="4" refreshedVersion="0" background="1">
    <webPr url="http://table.finance.yahoo.com/table.csv?s=Enter Tickers Below&amp;a=00&amp;b=01&amp;c=2010&amp;d=05&amp;e=01&amp;f=2012&amp;g=d&amp;ignore=.csv" htmlTables="1" htmlFormat="all"/>
  </connection>
  <connection id="436" name="Connection490" type="4" refreshedVersion="0" background="1">
    <webPr url="http://table.finance.yahoo.com/table.csv?s=WMT&amp;a=00&amp;b=01&amp;c=2010&amp;d=05&amp;e=01&amp;f=2012&amp;g=d&amp;ignore=.csv" htmlTables="1" htmlFormat="all"/>
  </connection>
  <connection id="437" name="Connection491" type="4" refreshedVersion="0" background="1">
    <webPr url="http://table.finance.yahoo.com/table.csv?s=WMT&amp;a=00&amp;b=01&amp;c=2010&amp;d=05&amp;e=01&amp;f=2012&amp;g=d&amp;ignore=.csv" htmlTables="1" htmlFormat="all"/>
  </connection>
  <connection id="438" name="Connection492" type="4" refreshedVersion="0" background="1">
    <webPr url="http://table.finance.yahoo.com/table.csv?s=hjghj&amp;a=00&amp;b=01&amp;c=2010&amp;d=05&amp;e=01&amp;f=2012&amp;g=d&amp;ignore=.csv" htmlTables="1" htmlFormat="all"/>
  </connection>
  <connection id="439" name="Connection493" type="4" refreshedVersion="0" background="1">
    <webPr url="http://table.finance.yahoo.com/table.csv?s=asdfasdasd&amp;a=00&amp;b=01&amp;c=2010&amp;d=05&amp;e=01&amp;f=2012&amp;g=d&amp;ignore=.csv" htmlTables="1" htmlFormat="all"/>
  </connection>
  <connection id="440" name="Connection494" type="4" refreshedVersion="0" background="1">
    <webPr url="http://table.finance.yahoo.com/table.csv?s=kkr&amp;a=00&amp;b=01&amp;c=2010&amp;d=05&amp;e=01&amp;f=2012&amp;g=d&amp;ignore=.csv" htmlTables="1" htmlFormat="all"/>
  </connection>
  <connection id="441" name="Connection495" type="4" refreshedVersion="0" background="1">
    <webPr url="http://table.finance.yahoo.com/table.csv?s=kjhkjjk&amp;a=00&amp;b=01&amp;c=2010&amp;d=05&amp;e=01&amp;f=2012&amp;g=d&amp;ignore=.csv" htmlTables="1" htmlFormat="all"/>
  </connection>
  <connection id="442" name="Connection496" type="4" refreshedVersion="0" background="1">
    <webPr url="http://table.finance.yahoo.com/table.csv?s=lkkljljklljkkjlk&amp;a=00&amp;b=01&amp;c=2010&amp;d=05&amp;e=01&amp;f=2012&amp;g=d&amp;ignore=.csv" htmlTables="1" htmlFormat="all"/>
  </connection>
  <connection id="443" name="Connection497" type="4" refreshedVersion="0" background="1">
    <webPr url="http://table.finance.yahoo.com/table.csv?s=kkr&amp;a=00&amp;b=01&amp;c=2010&amp;d=05&amp;e=01&amp;f=2012&amp;g=d&amp;ignore=.csv" htmlTables="1" htmlFormat="all"/>
  </connection>
  <connection id="444" name="Connection498" type="4" refreshedVersion="0" background="1">
    <webPr url="http://table.finance.yahoo.com/table.csv?s=AMB_PA&amp;a=00&amp;b=01&amp;c=2010&amp;d=05&amp;e=01&amp;f=2012&amp;g=d&amp;ignore=.csv" htmlTables="1" htmlFormat="all"/>
  </connection>
  <connection id="445" name="Connection499" type="4" refreshedVersion="0" background="1">
    <webPr url="http://table.finance.yahoo.com/table.csv?s=KO&amp;a=00&amp;b=01&amp;c=2010&amp;d=05&amp;e=01&amp;f=2012&amp;g=d&amp;ignore=.csv" htmlTables="1" htmlFormat="all"/>
  </connection>
  <connection id="446" name="Connection5" type="4" refreshedVersion="0" background="1">
    <webPr url="http://table.finance.yahoo.com/table.csv?s=&amp;a=00&amp;b=01&amp;c=2010&amp;d=05&amp;e=01&amp;f=2012&amp;g=m&amp;ignore=.csv" htmlTables="1" htmlFormat="all"/>
  </connection>
  <connection id="447" name="Connection50" type="4" refreshedVersion="0" background="1">
    <webPr url="http://table.finance.yahoo.com/table.csv?s=ABMCW&amp;a=00&amp;b=01&amp;c=2010&amp;d=05&amp;e=01&amp;f=2012&amp;g=d&amp;ignore=.csv" htmlTables="1" htmlFormat="all"/>
  </connection>
  <connection id="448" name="Connection500" type="4" refreshedVersion="0" background="1">
    <webPr url="http://table.finance.yahoo.com/table.csv?s=AMBKW&amp;a=00&amp;b=01&amp;c=2010&amp;d=05&amp;e=01&amp;f=2012&amp;g=d&amp;ignore=.csv" htmlTables="1" htmlFormat="all"/>
  </connection>
  <connection id="449" name="Connection501" type="4" refreshedVersion="0" background="1">
    <webPr url="http://table.finance.yahoo.com/table.csv?s=AMC&amp;a=00&amp;b=01&amp;c=2010&amp;d=05&amp;e=01&amp;f=2012&amp;g=d&amp;ignore=.csv" htmlTables="1" htmlFormat="all"/>
  </connection>
  <connection id="450" name="Connection502" type="4" refreshedVersion="0" background="1">
    <webPr url="http://table.finance.yahoo.com/table.csv?s=WMT&amp;a=00&amp;b=01&amp;c=2010&amp;d=05&amp;e=01&amp;f=2012&amp;g=d&amp;ignore=.csv" htmlTables="1" htmlFormat="all"/>
  </connection>
  <connection id="451" name="Connection503" type="4" refreshedVersion="0" background="1">
    <webPr url="http://table.finance.yahoo.com/table.csv?s=AMCE&amp;a=00&amp;b=01&amp;c=2010&amp;d=05&amp;e=01&amp;f=2012&amp;g=d&amp;ignore=.csv" htmlTables="1" htmlFormat="all"/>
  </connection>
  <connection id="452" name="Connection504" type="4" refreshedVersion="0" background="1">
    <webPr url="http://table.finance.yahoo.com/table.csv?s=kkr&amp;a=00&amp;b=01&amp;c=2010&amp;d=05&amp;e=01&amp;f=2012&amp;g=d&amp;ignore=.csv" htmlTables="1" htmlFormat="all"/>
  </connection>
  <connection id="453" name="Connection505" type="4" refreshedVersion="0" background="1">
    <webPr url="http://table.finance.yahoo.com/table.csv?s=KO&amp;a=00&amp;b=01&amp;c=2010&amp;d=05&amp;e=01&amp;f=2012&amp;g=d&amp;ignore=.csv" htmlTables="1" htmlFormat="all"/>
  </connection>
  <connection id="454" name="Connection506" type="4" refreshedVersion="0" background="1">
    <webPr url="http://table.finance.yahoo.com/table.csv?s=WMT&amp;a=00&amp;b=01&amp;c=2010&amp;d=05&amp;e=01&amp;f=2012&amp;g=d&amp;ignore=.csv" htmlTables="1" htmlFormat="all"/>
  </connection>
  <connection id="455" name="Connection507" type="4" refreshedVersion="0" background="1">
    <webPr url="http://table.finance.yahoo.com/table.csv?s=kkr&amp;a=00&amp;b=01&amp;c=2010&amp;d=05&amp;e=01&amp;f=2012&amp;g=d&amp;ignore=.csv" htmlTables="1" htmlFormat="all"/>
  </connection>
  <connection id="456" name="Connection508" type="4" refreshedVersion="0" background="1">
    <webPr url="http://table.finance.yahoo.com/table.csv?s=KO&amp;a=00&amp;b=01&amp;c=2010&amp;d=05&amp;e=01&amp;f=2012&amp;g=d&amp;ignore=.csv" htmlTables="1" htmlFormat="all"/>
  </connection>
  <connection id="457" name="Connection509" type="4" refreshedVersion="0" background="1">
    <webPr url="http://table.finance.yahoo.com/table.csv?s=WMT&amp;a=00&amp;b=01&amp;c=2010&amp;d=05&amp;e=01&amp;f=2012&amp;g=d&amp;ignore=.csv" htmlTables="1" htmlFormat="all"/>
  </connection>
  <connection id="458" name="Connection51" type="4" refreshedVersion="0" background="1">
    <webPr url="http://table.finance.yahoo.com/table.csv?s=ABGX&amp;a=00&amp;b=01&amp;c=2010&amp;d=05&amp;e=01&amp;f=2012&amp;g=d&amp;ignore=.csv" htmlTables="1" htmlFormat="all"/>
  </connection>
  <connection id="459" name="Connection510" type="4" refreshedVersion="0" background="1">
    <webPr url="http://table.finance.yahoo.com/table.csv?s=kkr&amp;a=00&amp;b=01&amp;c=2010&amp;d=05&amp;e=01&amp;f=2012&amp;g=d&amp;ignore=.csv" htmlTables="1" htmlFormat="all"/>
  </connection>
  <connection id="460" name="Connection511" type="4" refreshedVersion="0" background="1">
    <webPr url="http://table.finance.yahoo.com/table.csv?s=WMT&amp;a=00&amp;b=01&amp;c=2010&amp;d=05&amp;e=01&amp;f=2012&amp;g=d&amp;ignore=.csv" htmlTables="1" htmlFormat="all"/>
  </connection>
  <connection id="461" name="Connection512" type="4" refreshedVersion="0" background="1">
    <webPr url="http://table.finance.yahoo.com/table.csv?s=KKR&amp;a=00&amp;b=01&amp;c=2010&amp;d=05&amp;e=01&amp;f=2012&amp;g=d&amp;ignore=.csv" htmlTables="1" htmlFormat="all"/>
  </connection>
  <connection id="462" name="Connection513" type="4" refreshedVersion="0" background="1">
    <webPr url="http://table.finance.yahoo.com/table.csv?s=KO&amp;a=00&amp;b=01&amp;c=2010&amp;d=05&amp;e=01&amp;f=2012&amp;g=d&amp;ignore=.csv" htmlTables="1" htmlFormat="all"/>
  </connection>
  <connection id="463" name="Connection514" type="4" refreshedVersion="0" background="1">
    <webPr url="http://table.finance.yahoo.com/table.csv?s=GM&amp;a=00&amp;b=01&amp;c=2010&amp;d=05&amp;e=01&amp;f=2012&amp;g=d&amp;ignore=.csv" htmlTables="1" htmlFormat="all"/>
  </connection>
  <connection id="464" name="Connection515" type="4" refreshedVersion="0" background="1">
    <webPr url="http://table.finance.yahoo.com/table.csv?s=GM&amp;a=00&amp;b=01&amp;c=2010&amp;d=05&amp;e=01&amp;f=2012&amp;g=d&amp;ignore=.csv" htmlTables="1" htmlFormat="all"/>
  </connection>
  <connection id="465" name="Connection516" type="4" refreshedVersion="0" background="1">
    <webPr url="http://table.finance.yahoo.com/table.csv?s=GOOG&amp;a=00&amp;b=01&amp;c=2010&amp;d=05&amp;e=01&amp;f=2012&amp;g=d&amp;ignore=.csv" htmlTables="1" htmlFormat="all"/>
  </connection>
  <connection id="466" name="Connection517" type="4" refreshedVersion="0" background="1">
    <webPr url="http://table.finance.yahoo.com/table.csv?s=YHOO&amp;a=00&amp;b=01&amp;c=2010&amp;d=05&amp;e=01&amp;f=2012&amp;g=d&amp;ignore=.csv" htmlTables="1" htmlFormat="all"/>
  </connection>
  <connection id="467" name="Connection518" type="4" refreshedVersion="0" background="1">
    <webPr url="http://table.finance.yahoo.com/table.csv?s=MSFT&amp;a=00&amp;b=01&amp;c=2010&amp;d=05&amp;e=01&amp;f=2012&amp;g=d&amp;ignore=.csv" htmlTables="1" htmlFormat="all"/>
  </connection>
  <connection id="468" name="Connection519" type="4" refreshedVersion="0" background="1">
    <webPr url="http://table.finance.yahoo.com/table.csv?s=BP&amp;a=00&amp;b=01&amp;c=2010&amp;d=05&amp;e=01&amp;f=2012&amp;g=d&amp;ignore=.csv" htmlTables="1" htmlFormat="all"/>
  </connection>
  <connection id="469" name="Connection52" type="4" refreshedVersion="0" background="1">
    <webPr url="http://table.finance.yahoo.com/table.csv?s=Enter Tickers Below&amp;a=00&amp;b=01&amp;c=2010&amp;d=05&amp;e=01&amp;f=2012&amp;g=d&amp;ignore=.csv" htmlTables="1" htmlFormat="all"/>
  </connection>
  <connection id="470" name="Connection520" type="4" refreshedVersion="0" background="1">
    <webPr url="http://table.finance.yahoo.com/table.csv?s=XOM&amp;a=00&amp;b=01&amp;c=2010&amp;d=05&amp;e=01&amp;f=2012&amp;g=d&amp;ignore=.csv" htmlTables="1" htmlFormat="all"/>
  </connection>
  <connection id="471" name="Connection521" type="4" refreshedVersion="0" background="1">
    <webPr url="http://table.finance.yahoo.com/table.csv?s=C&amp;a=00&amp;b=01&amp;c=2010&amp;d=05&amp;e=01&amp;f=2012&amp;g=d&amp;ignore=.csv" htmlTables="1" htmlFormat="all"/>
  </connection>
  <connection id="472" name="Connection522" type="4" refreshedVersion="0" background="1">
    <webPr url="http://table.finance.yahoo.com/table.csv?s=PSX&amp;a=00&amp;b=01&amp;c=2010&amp;d=05&amp;e=01&amp;f=2012&amp;g=d&amp;ignore=.csv" htmlTables="1" htmlFormat="all"/>
  </connection>
  <connection id="473" name="Connection523" type="4" refreshedVersion="0" background="1">
    <webPr url="http://ichart.finance.yahoo.com/table.csv?s=dfsdfs&amp;a=00&amp;b=01&amp;c=2010&amp;d=05&amp;e=01&amp;f=2012&amp;g=d&amp;ignore=.csv" htmlTables="1" htmlFormat="all"/>
  </connection>
  <connection id="474" name="Connection524" type="4" refreshedVersion="0" background="1">
    <webPr url="http://ichart.finance.yahoo.com/table.csv?s=jhg&amp;a=00&amp;b=01&amp;c=2010&amp;d=05&amp;e=01&amp;f=2012&amp;g=d&amp;ignore=.csv" htmlTables="1" htmlFormat="all"/>
  </connection>
  <connection id="475" name="Connection525" type="4" refreshedVersion="0" background="1">
    <webPr url="http://ichart.finance.yahoo.com/table.csv?s=dfsdfs&amp;a=00&amp;b=01&amp;c=2010&amp;d=05&amp;e=01&amp;f=2012&amp;g=d&amp;ignore=.csv" htmlTables="1" htmlFormat="all"/>
  </connection>
  <connection id="476" name="Connection526" type="4" refreshedVersion="0" background="1">
    <webPr url="http://ichart.finance.yahoo.com/table.csv?s=jhg&amp;a=00&amp;b=01&amp;c=2010&amp;d=05&amp;e=01&amp;f=2012&amp;g=d&amp;ignore=.csv" htmlTables="1" htmlFormat="all"/>
  </connection>
  <connection id="477" name="Connection527" type="4" refreshedVersion="0" background="1">
    <webPr url="http://ichart.finance.yahoo.com/table.csv?s=dfsdfs&amp;a=00&amp;b=01&amp;c=2010&amp;d=05&amp;e=01&amp;f=2012&amp;g=d&amp;ignore=.csv" htmlTables="1" htmlFormat="all"/>
  </connection>
  <connection id="478" name="Connection528" type="4" refreshedVersion="0" background="1">
    <webPr url="http://ichart.finance.yahoo.com/table.csv?s=jhg&amp;a=00&amp;b=01&amp;c=2010&amp;d=05&amp;e=01&amp;f=2012&amp;g=d&amp;ignore=.csv" htmlTables="1" htmlFormat="all"/>
  </connection>
  <connection id="479" name="Connection529" type="4" refreshedVersion="0" background="1">
    <webPr url="http://ichart.finance.yahoo.com/table.csv?s=dfsdfs&amp;a=00&amp;b=01&amp;c=2010&amp;d=05&amp;e=01&amp;f=2012&amp;g=d&amp;ignore=.csv" htmlTables="1" htmlFormat="all"/>
  </connection>
  <connection id="480" name="Connection53" type="4" refreshedVersion="0" background="1">
    <webPr url="http://table.finance.yahoo.com/table.csv?s=ABN&amp;a=00&amp;b=01&amp;c=2010&amp;d=05&amp;e=01&amp;f=2012&amp;g=d&amp;ignore=.csv" htmlTables="1" htmlFormat="all"/>
  </connection>
  <connection id="481" name="Connection530" type="4" refreshedVersion="0" background="1">
    <webPr url="http://ichart.finance.yahoo.com/table.csv?s=jhg&amp;a=00&amp;b=01&amp;c=2010&amp;d=05&amp;e=01&amp;f=2012&amp;g=d&amp;ignore=.csv" htmlTables="1" htmlFormat="all"/>
  </connection>
  <connection id="482" name="Connection531" type="4" refreshedVersion="0" background="1">
    <webPr url="http://ichart.finance.yahoo.com/table.csv?s=jhg&amp;a=00&amp;b=01&amp;c=2010&amp;d=05&amp;e=01&amp;f=2012&amp;g=d&amp;ignore=.csv" htmlTables="1" htmlFormat="all"/>
  </connection>
  <connection id="483" name="Connection532" type="4" refreshedVersion="0" background="1">
    <webPr url="http://ichart.finance.yahoo.com/table.csv?s=jhg&amp;a=00&amp;b=01&amp;c=2010&amp;d=05&amp;e=01&amp;f=2012&amp;g=d&amp;ignore=.csv" htmlTables="1" htmlFormat="all"/>
  </connection>
  <connection id="484" name="Connection533" type="4" refreshedVersion="0" background="1">
    <webPr url="http://ichart.finance.yahoo.com/table.csv?s=jhg&amp;a=00&amp;b=01&amp;c=2010&amp;d=05&amp;e=01&amp;f=2012&amp;g=d&amp;ignore=.csv" htmlTables="1" htmlFormat="all"/>
  </connection>
  <connection id="485" name="Connection534" type="4" refreshedVersion="0" background="1">
    <webPr url="http://ichart.finance.yahoo.com/table.csv?s=jhg&amp;a=00&amp;b=01&amp;c=2010&amp;d=05&amp;e=01&amp;f=2012&amp;g=d&amp;ignore=.csv" htmlTables="1" htmlFormat="all"/>
  </connection>
  <connection id="486" name="Connection535" type="4" refreshedVersion="0" background="1">
    <webPr url="http://ichart.finance.yahoo.com/table.csv?s=jhg&amp;a=00&amp;b=01&amp;c=2010&amp;d=05&amp;e=01&amp;f=2012&amp;g=d&amp;ignore=.csv" htmlTables="1" htmlFormat="all"/>
  </connection>
  <connection id="487" name="Connection536" type="4" refreshedVersion="0" background="1">
    <webPr url="http://ichart.finance.yahoo.com/table.csv?s=jhg&amp;a=00&amp;b=01&amp;c=2010&amp;d=05&amp;e=01&amp;f=2012&amp;g=d&amp;ignore=.csv" htmlTables="1" htmlFormat="all"/>
  </connection>
  <connection id="488" name="Connection537" type="4" refreshedVersion="0" background="1">
    <webPr url="http://ichart.finance.yahoo.com/table.csv?s=dfsdfs&amp;a=00&amp;b=01&amp;c=2010&amp;d=05&amp;e=01&amp;f=2012&amp;g=d&amp;ignore=.csv" htmlTables="1" htmlFormat="all"/>
  </connection>
  <connection id="489" name="Connection538" type="4" refreshedVersion="0" background="1">
    <webPr url="http://ichart.finance.yahoo.com/table.csv?s=jhg&amp;a=00&amp;b=01&amp;c=2010&amp;d=05&amp;e=01&amp;f=2012&amp;g=d&amp;ignore=.csv" htmlTables="1" htmlFormat="all"/>
  </connection>
  <connection id="490" name="Connection539" type="4" refreshedVersion="0" background="1">
    <webPr url="http://ichart.finance.yahoo.com/table.csv?s=dfsdfs&amp;a=00&amp;b=01&amp;c=2010&amp;d=05&amp;e=01&amp;f=2012&amp;g=d&amp;ignore=.csv" htmlTables="1" htmlFormat="all"/>
  </connection>
  <connection id="491" name="Connection54" type="4" refreshedVersion="0" background="1">
    <webPr url="http://table.finance.yahoo.com/table.csv?s=ABJ&amp;a=00&amp;b=01&amp;c=2010&amp;d=05&amp;e=01&amp;f=2012&amp;g=d&amp;ignore=.csv" htmlTables="1" htmlFormat="all"/>
  </connection>
  <connection id="492" name="Connection540" type="4" refreshedVersion="0" background="1">
    <webPr url="http://ichart.finance.yahoo.com/table.csv?s=jhg&amp;a=00&amp;b=01&amp;c=2010&amp;d=05&amp;e=01&amp;f=2012&amp;g=d&amp;ignore=.csv" htmlTables="1" htmlFormat="all"/>
  </connection>
  <connection id="493" name="Connection541" type="4" refreshedVersion="0" background="1">
    <webPr url="http://ichart.finance.yahoo.com/table.csv?s=dfsdfs&amp;a=00&amp;b=01&amp;c=2010&amp;d=05&amp;e=01&amp;f=2012&amp;g=d&amp;ignore=.csv" htmlTables="1" htmlFormat="all"/>
  </connection>
  <connection id="494" name="Connection542" type="4" refreshedVersion="0" background="1">
    <webPr url="http://ichart.finance.yahoo.com/table.csv?s=jhg&amp;a=00&amp;b=01&amp;c=2010&amp;d=05&amp;e=01&amp;f=2012&amp;g=d&amp;ignore=.csv" htmlTables="1" htmlFormat="all"/>
  </connection>
  <connection id="495" name="Connection543" type="4" refreshedVersion="0" background="1">
    <webPr url="http://ichart.finance.yahoo.com/table.csv?s=dfsdfs&amp;a=00&amp;b=01&amp;c=2010&amp;d=05&amp;e=01&amp;f=2012&amp;g=d&amp;ignore=.csv" htmlTables="1" htmlFormat="all"/>
  </connection>
  <connection id="496" name="Connection544" type="4" refreshedVersion="0" background="1">
    <webPr url="http://ichart.finance.yahoo.com/table.csv?s=jhg&amp;a=00&amp;b=01&amp;c=2010&amp;d=05&amp;e=01&amp;f=2012&amp;g=d&amp;ignore=.csv" htmlTables="1" htmlFormat="all"/>
  </connection>
  <connection id="497" name="Connection545" type="4" refreshedVersion="0" background="1">
    <webPr url="http://ichart.finance.yahoo.com/table.csv?s=dfsdfs&amp;a=00&amp;b=01&amp;c=2010&amp;d=05&amp;e=01&amp;f=2012&amp;g=d&amp;ignore=.csv" htmlTables="1" htmlFormat="all"/>
  </connection>
  <connection id="498" name="Connection546" type="4" refreshedVersion="0" background="1">
    <webPr url="http://ichart.finance.yahoo.com/table.csv?s=jhg&amp;a=00&amp;b=01&amp;c=2010&amp;d=05&amp;e=01&amp;f=2012&amp;g=d&amp;ignore=.csv" htmlTables="1" htmlFormat="all"/>
  </connection>
  <connection id="499" name="Connection547" type="4" refreshedVersion="0" background="1">
    <webPr url="http://ichart.finance.yahoo.com/table.csv?s=dfsdfs&amp;a=00&amp;b=01&amp;c=2010&amp;d=05&amp;e=01&amp;f=2012&amp;g=d&amp;ignore=.csv" htmlTables="1" htmlFormat="all"/>
  </connection>
  <connection id="500" name="Connection548" type="4" refreshedVersion="0" background="1">
    <webPr url="http://ichart.finance.yahoo.com/table.csv?s=jhg&amp;a=00&amp;b=01&amp;c=2010&amp;d=05&amp;e=01&amp;f=2012&amp;g=d&amp;ignore=.csv" htmlTables="1" htmlFormat="all"/>
  </connection>
  <connection id="501" name="Connection549" type="4" refreshedVersion="0" background="1">
    <webPr url="http://ichart.finance.yahoo.com/table.csv?s=jhg&amp;a=00&amp;b=01&amp;c=2010&amp;d=05&amp;e=01&amp;f=2012&amp;g=d&amp;ignore=.csv" htmlTables="1" htmlFormat="all"/>
  </connection>
  <connection id="502" name="Connection55" type="4" refreshedVersion="0" background="1">
    <webPr url="http://table.finance.yahoo.com/table.csv?s=ABK&amp;a=00&amp;b=01&amp;c=2010&amp;d=05&amp;e=01&amp;f=2012&amp;g=d&amp;ignore=.csv" htmlTables="1" htmlFormat="all"/>
  </connection>
  <connection id="503" name="Connection550" type="4" refreshedVersion="5" background="1" saveData="1">
    <webPr xl2000="1" url="http://ichart.finance.yahoo.com/table.csv?s=AAPL&amp;a=06&amp;b=01&amp;c=2014&amp;d=08&amp;e=15&amp;f=2014&amp;g=d&amp;ignore=.csv" htmlTables="1" htmlFormat="all"/>
  </connection>
  <connection id="504" name="Connection5501" type="4" refreshedVersion="5" background="1" saveData="1">
    <webPr xl2000="1" url="http://ichart.finance.yahoo.com/table.csv?s=AAPL&amp;a=06&amp;b=01&amp;c=2014&amp;d=08&amp;e=15&amp;f=2014&amp;g=d&amp;ignore=.csv" htmlTables="1" htmlFormat="all"/>
  </connection>
  <connection id="505" name="Connection5502" type="4" refreshedVersion="5" background="1" saveData="1">
    <webPr xl2000="1" url="http://ichart.finance.yahoo.com/table.csv?s=AAPL&amp;a=06&amp;b=01&amp;c=2014&amp;d=08&amp;e=15&amp;f=2014&amp;g=d&amp;ignore=.csv" htmlTables="1" htmlFormat="all"/>
  </connection>
  <connection id="506" name="Connection5503" type="4" refreshedVersion="5" background="1" saveData="1">
    <webPr xl2000="1" url="http://ichart.finance.yahoo.com/table.csv?s=AAPL&amp;a=06&amp;b=01&amp;c=2014&amp;d=08&amp;e=15&amp;f=2014&amp;g=d&amp;ignore=.csv" htmlTables="1" htmlFormat="all"/>
  </connection>
  <connection id="507" name="Connection5504" type="4" refreshedVersion="5" background="1" saveData="1">
    <webPr xl2000="1" url="http://ichart.finance.yahoo.com/table.csv?s=AAPL&amp;a=06&amp;b=01&amp;c=2014&amp;d=08&amp;e=15&amp;f=2014&amp;g=d&amp;ignore=.csv" htmlTables="1" htmlFormat="all"/>
  </connection>
  <connection id="508" name="Connection5505" type="4" refreshedVersion="5" background="1" saveData="1">
    <webPr xl2000="1" url="http://ichart.finance.yahoo.com/table.csv?s=AAPL&amp;a=06&amp;b=01&amp;c=2014&amp;d=08&amp;e=15&amp;f=2014&amp;g=d&amp;ignore=.csv" htmlTables="1" htmlFormat="all"/>
  </connection>
  <connection id="509" name="Connection5506" type="4" refreshedVersion="5" background="1" saveData="1">
    <webPr xl2000="1" url="http://ichart.finance.yahoo.com/table.csv?s=AAPL&amp;a=06&amp;b=01&amp;c=2014&amp;d=08&amp;e=15&amp;f=2014&amp;g=d&amp;ignore=.csv" htmlTables="1" htmlFormat="all"/>
  </connection>
  <connection id="510" name="Connection551" type="4" refreshedVersion="5" background="1" saveData="1">
    <webPr xl2000="1" url="http://ichart.finance.yahoo.com/table.csv?s=ABBV&amp;a=06&amp;b=01&amp;c=2014&amp;d=08&amp;e=15&amp;f=2014&amp;g=d&amp;ignore=.csv" htmlTables="1" htmlFormat="all"/>
  </connection>
  <connection id="511" name="Connection552" type="4" refreshedVersion="5" background="1" saveData="1">
    <webPr xl2000="1" url="http://ichart.finance.yahoo.com/table.csv?s=ABT&amp;a=06&amp;b=01&amp;c=2014&amp;d=08&amp;e=15&amp;f=2014&amp;g=d&amp;ignore=.csv" htmlTables="1" htmlFormat="all"/>
  </connection>
  <connection id="512" name="Connection553" type="4" refreshedVersion="0" background="1">
    <webPr url="http://ichart.finance.yahoo.com/table.csv?s=dfsdfs&amp;a=00&amp;b=01&amp;c=2010&amp;d=05&amp;e=01&amp;f=2012&amp;g=d&amp;ignore=.csv" htmlTables="1" htmlFormat="all"/>
  </connection>
  <connection id="513" name="Connection554" type="4" refreshedVersion="0" background="1">
    <webPr url="http://ichart.finance.yahoo.com/table.csv?s=dfsdfs&amp;a=00&amp;b=01&amp;c=2010&amp;d=05&amp;e=01&amp;f=2012&amp;g=d&amp;ignore=.csv" htmlTables="1" htmlFormat="all"/>
  </connection>
  <connection id="514" name="Connection555" type="4" refreshedVersion="0" background="1">
    <webPr url="http://ichart.finance.yahoo.com/table.csv?s=jhg&amp;a=00&amp;b=01&amp;c=2010&amp;d=05&amp;e=01&amp;f=2012&amp;g=d&amp;ignore=.csv" htmlTables="1" htmlFormat="all"/>
  </connection>
  <connection id="515" name="Connection556" type="4" refreshedVersion="0" background="1">
    <webPr url="http://ichart.finance.yahoo.com/table.csv?s=jhg&amp;a=00&amp;b=01&amp;c=2010&amp;d=05&amp;e=01&amp;f=2012&amp;g=d&amp;ignore=.csv" htmlTables="1" htmlFormat="all"/>
  </connection>
  <connection id="516" name="Connection557" type="4" refreshedVersion="0" background="1">
    <webPr url="http://ichart.finance.yahoo.com/table.csv?s=dfsdfs&amp;a=00&amp;b=01&amp;c=2010&amp;d=05&amp;e=01&amp;f=2012&amp;g=d&amp;ignore=.csv" htmlTables="1" htmlFormat="all"/>
  </connection>
  <connection id="517" name="Connection558" type="4" refreshedVersion="0" background="1">
    <webPr url="http://ichart.finance.yahoo.com/table.csv?s=jhg&amp;a=00&amp;b=01&amp;c=2010&amp;d=05&amp;e=01&amp;f=2012&amp;g=d&amp;ignore=.csv" htmlTables="1" htmlFormat="all"/>
  </connection>
  <connection id="518" name="Connection559" type="4" refreshedVersion="0" background="1">
    <webPr url="http://ichart.finance.yahoo.com/table.csv?s=dfsdfs&amp;a=00&amp;b=01&amp;c=2010&amp;d=05&amp;e=01&amp;f=2012&amp;g=d&amp;ignore=.csv" htmlTables="1" htmlFormat="all"/>
  </connection>
  <connection id="519" name="Connection56" type="4" refreshedVersion="0" background="1">
    <webPr url="http://table.finance.yahoo.com/table.csv?s=ABN_PA&amp;a=00&amp;b=01&amp;c=2010&amp;d=05&amp;e=01&amp;f=2012&amp;g=d&amp;ignore=.csv" htmlTables="1" htmlFormat="all"/>
  </connection>
  <connection id="520" name="Connection560" type="4" refreshedVersion="0" background="1">
    <webPr url="http://ichart.finance.yahoo.com/table.csv?s=jhg&amp;a=00&amp;b=01&amp;c=2010&amp;d=05&amp;e=01&amp;f=2012&amp;g=d&amp;ignore=.csv" htmlTables="1" htmlFormat="all"/>
  </connection>
  <connection id="521" name="Connection561" type="4" refreshedVersion="0" background="1">
    <webPr url="http://ichart.finance.yahoo.com/table.csv?s=dfsdfs&amp;a=00&amp;b=01&amp;c=2010&amp;d=05&amp;e=01&amp;f=2012&amp;g=d&amp;ignore=.csv" htmlTables="1" htmlFormat="all"/>
  </connection>
  <connection id="522" name="Connection562" type="4" refreshedVersion="0" background="1">
    <webPr url="http://ichart.finance.yahoo.com/table.csv?s=jhg&amp;a=00&amp;b=01&amp;c=2010&amp;d=05&amp;e=01&amp;f=2012&amp;g=d&amp;ignore=.csv" htmlTables="1" htmlFormat="all"/>
  </connection>
  <connection id="523" name="Connection563" type="4" refreshedVersion="0" background="1">
    <webPr url="http://ichart.finance.yahoo.com/table.csv?s=dfsdfs&amp;a=00&amp;b=01&amp;c=2010&amp;d=05&amp;e=01&amp;f=2012&amp;g=d&amp;ignore=.csv" htmlTables="1" htmlFormat="all"/>
  </connection>
  <connection id="524" name="Connection564" type="4" refreshedVersion="0" background="1">
    <webPr url="http://ichart.finance.yahoo.com/table.csv?s=jhg&amp;a=00&amp;b=01&amp;c=2010&amp;d=05&amp;e=01&amp;f=2012&amp;g=d&amp;ignore=.csv" htmlTables="1" htmlFormat="all"/>
  </connection>
  <connection id="525" name="Connection565" type="4" refreshedVersion="0" background="1">
    <webPr url="http://ichart.finance.yahoo.com/table.csv?s=dfsdfs&amp;a=00&amp;b=01&amp;c=2010&amp;d=05&amp;e=01&amp;f=2012&amp;g=d&amp;ignore=.csv" htmlTables="1" htmlFormat="all"/>
  </connection>
  <connection id="526" name="Connection566" type="4" refreshedVersion="0" background="1">
    <webPr url="http://ichart.finance.yahoo.com/table.csv?s=jhg&amp;a=00&amp;b=01&amp;c=2010&amp;d=05&amp;e=01&amp;f=2012&amp;g=d&amp;ignore=.csv" htmlTables="1" htmlFormat="all"/>
  </connection>
  <connection id="527" name="Connection567" type="4" refreshedVersion="0" background="1">
    <webPr url="http://ichart.finance.yahoo.com/table.csv?s=dfsdfs&amp;a=00&amp;b=01&amp;c=2010&amp;d=05&amp;e=01&amp;f=2012&amp;g=d&amp;ignore=.csv" htmlTables="1" htmlFormat="all"/>
  </connection>
  <connection id="528" name="Connection568" type="4" refreshedVersion="0" background="1">
    <webPr url="http://ichart.finance.yahoo.com/table.csv?s=jhg&amp;a=00&amp;b=01&amp;c=2010&amp;d=05&amp;e=01&amp;f=2012&amp;g=d&amp;ignore=.csv" htmlTables="1" htmlFormat="all"/>
  </connection>
  <connection id="529" name="Connection569" type="4" refreshedVersion="5" background="1" saveData="1">
    <webPr xl2000="1" url="http://ichart.finance.yahoo.com/table.csv?s=ACN&amp;a=06&amp;b=01&amp;c=2014&amp;d=08&amp;e=15&amp;f=2014&amp;g=d&amp;ignore=.csv" htmlTables="1" htmlFormat="all"/>
  </connection>
  <connection id="530" name="Connection57" type="4" refreshedVersion="0" background="1">
    <webPr url="http://table.finance.yahoo.com/table.csv?s=ABN_PB&amp;a=00&amp;b=01&amp;c=2010&amp;d=05&amp;e=01&amp;f=2012&amp;g=d&amp;ignore=.csv" htmlTables="1" htmlFormat="all"/>
  </connection>
  <connection id="531" name="Connection570" type="4" refreshedVersion="5" background="1" saveData="1">
    <webPr xl2000="1" url="http://ichart.finance.yahoo.com/table.csv?s=AIG&amp;a=06&amp;b=01&amp;c=2014&amp;d=08&amp;e=15&amp;f=2014&amp;g=d&amp;ignore=.csv" htmlTables="1" htmlFormat="all"/>
  </connection>
  <connection id="532" name="Connection571" type="4" refreshedVersion="5" background="1" saveData="1">
    <webPr xl2000="1" url="http://ichart.finance.yahoo.com/table.csv?s=ALL&amp;a=06&amp;b=01&amp;c=2014&amp;d=08&amp;e=15&amp;f=2014&amp;g=d&amp;ignore=.csv" htmlTables="1" htmlFormat="all"/>
  </connection>
  <connection id="533" name="Connection572" type="4" refreshedVersion="5" background="1" saveData="1">
    <webPr xl2000="1" url="http://ichart.finance.yahoo.com/table.csv?s=AMGN&amp;a=06&amp;b=01&amp;c=2014&amp;d=08&amp;e=15&amp;f=2014&amp;g=d&amp;ignore=.csv" htmlTables="1" htmlFormat="all"/>
  </connection>
  <connection id="534" name="Connection573" type="4" refreshedVersion="5" background="1" saveData="1">
    <webPr xl2000="1" url="http://ichart.finance.yahoo.com/table.csv?s=AMZN&amp;a=06&amp;b=01&amp;c=2014&amp;d=08&amp;e=15&amp;f=2014&amp;g=d&amp;ignore=.csv" htmlTables="1" htmlFormat="all"/>
  </connection>
  <connection id="535" name="Connection574" type="4" refreshedVersion="5" background="1" saveData="1">
    <webPr xl2000="1" url="http://ichart.finance.yahoo.com/table.csv?s=APA&amp;a=06&amp;b=01&amp;c=2014&amp;d=08&amp;e=15&amp;f=2014&amp;g=d&amp;ignore=.csv" htmlTables="1" htmlFormat="all"/>
  </connection>
  <connection id="536" name="Connection575" type="4" refreshedVersion="5" background="1" saveData="1">
    <webPr xl2000="1" url="http://ichart.finance.yahoo.com/table.csv?s=APC&amp;a=06&amp;b=01&amp;c=2014&amp;d=08&amp;e=15&amp;f=2014&amp;g=d&amp;ignore=.csv" htmlTables="1" htmlFormat="all"/>
  </connection>
  <connection id="537" name="Connection576" type="4" refreshedVersion="5" background="1" saveData="1">
    <webPr xl2000="1" url="http://ichart.finance.yahoo.com/table.csv?s=AXP&amp;a=06&amp;b=01&amp;c=2014&amp;d=08&amp;e=15&amp;f=2014&amp;g=d&amp;ignore=.csv" htmlTables="1" htmlFormat="all"/>
  </connection>
  <connection id="538" name="Connection577" type="4" refreshedVersion="5" background="1" saveData="1">
    <webPr xl2000="1" url="http://ichart.finance.yahoo.com/table.csv?s=BA&amp;a=06&amp;b=01&amp;c=2014&amp;d=08&amp;e=15&amp;f=2014&amp;g=d&amp;ignore=.csv" htmlTables="1" htmlFormat="all"/>
  </connection>
  <connection id="539" name="Connection578" type="4" refreshedVersion="5" background="1" saveData="1">
    <webPr xl2000="1" url="http://ichart.finance.yahoo.com/table.csv?s=BAC&amp;a=06&amp;b=01&amp;c=2014&amp;d=08&amp;e=15&amp;f=2014&amp;g=d&amp;ignore=.csv" htmlTables="1" htmlFormat="all"/>
  </connection>
  <connection id="540" name="Connection579" type="4" refreshedVersion="5" background="1" saveData="1">
    <webPr xl2000="1" url="http://ichart.finance.yahoo.com/table.csv?s=BAX&amp;a=06&amp;b=01&amp;c=2014&amp;d=08&amp;e=15&amp;f=2014&amp;g=d&amp;ignore=.csv" htmlTables="1" htmlFormat="all"/>
  </connection>
  <connection id="541" name="Connection58" type="4" refreshedVersion="0" background="1">
    <webPr url="http://table.finance.yahoo.com/table.csv?s=ABP&amp;a=00&amp;b=01&amp;c=2010&amp;d=05&amp;e=01&amp;f=2012&amp;g=d&amp;ignore=.csv" htmlTables="1" htmlFormat="all"/>
  </connection>
  <connection id="542" name="Connection580" type="4" refreshedVersion="5" background="1" saveData="1">
    <webPr xl2000="1" url="http://ichart.finance.yahoo.com/table.csv?s=BIIB&amp;a=06&amp;b=01&amp;c=2014&amp;d=08&amp;e=15&amp;f=2014&amp;g=d&amp;ignore=.csv" htmlTables="1" htmlFormat="all"/>
  </connection>
  <connection id="543" name="Connection581" type="4" refreshedVersion="5" background="1" saveData="1">
    <webPr xl2000="1" url="http://ichart.finance.yahoo.com/table.csv?s=BK&amp;a=06&amp;b=01&amp;c=2014&amp;d=08&amp;e=15&amp;f=2014&amp;g=d&amp;ignore=.csv" htmlTables="1" htmlFormat="all"/>
  </connection>
  <connection id="544" name="Connection582" type="4" refreshedVersion="5" background="1" saveData="1">
    <webPr xl2000="1" url="http://ichart.finance.yahoo.com/table.csv?s=BMY&amp;a=06&amp;b=01&amp;c=2014&amp;d=08&amp;e=15&amp;f=2014&amp;g=d&amp;ignore=.csv" htmlTables="1" htmlFormat="all"/>
  </connection>
  <connection id="545" name="Connection583" type="4" refreshedVersion="5" background="1" saveData="1">
    <webPr xl2000="1" url="http://ichart.finance.yahoo.com/table.csv?s=BRK-B&amp;a=06&amp;b=01&amp;c=2014&amp;d=08&amp;e=15&amp;f=2014&amp;g=d&amp;ignore=.csv" htmlTables="1" htmlFormat="all"/>
  </connection>
  <connection id="546" name="Connection584" type="4" refreshedVersion="5" background="1" saveData="1">
    <webPr xl2000="1" url="http://ichart.finance.yahoo.com/table.csv?s=C&amp;a=06&amp;b=01&amp;c=2014&amp;d=08&amp;e=15&amp;f=2014&amp;g=d&amp;ignore=.csv" htmlTables="1" htmlFormat="all"/>
  </connection>
  <connection id="547" name="Connection585" type="4" refreshedVersion="5" background="1" saveData="1">
    <webPr xl2000="1" url="http://ichart.finance.yahoo.com/table.csv?s=CAT&amp;a=06&amp;b=01&amp;c=2014&amp;d=08&amp;e=15&amp;f=2014&amp;g=d&amp;ignore=.csv" htmlTables="1" htmlFormat="all"/>
  </connection>
  <connection id="548" name="Connection586" type="4" refreshedVersion="5" background="1" saveData="1">
    <webPr xl2000="1" url="http://ichart.finance.yahoo.com/table.csv?s=CL&amp;a=06&amp;b=01&amp;c=2014&amp;d=08&amp;e=15&amp;f=2014&amp;g=d&amp;ignore=.csv" htmlTables="1" htmlFormat="all"/>
  </connection>
  <connection id="549" name="Connection587" type="4" refreshedVersion="5" background="1" saveData="1">
    <webPr xl2000="1" url="http://ichart.finance.yahoo.com/table.csv?s=CMCSA&amp;a=06&amp;b=01&amp;c=2014&amp;d=08&amp;e=15&amp;f=2014&amp;g=d&amp;ignore=.csv" htmlTables="1" htmlFormat="all"/>
  </connection>
  <connection id="550" name="Connection588" type="4" refreshedVersion="5" background="1" saveData="1">
    <webPr xl2000="1" url="http://ichart.finance.yahoo.com/table.csv?s=COF&amp;a=06&amp;b=01&amp;c=2014&amp;d=08&amp;e=15&amp;f=2014&amp;g=d&amp;ignore=.csv" htmlTables="1" htmlFormat="all"/>
  </connection>
  <connection id="551" name="Connection589" type="4" refreshedVersion="5" background="1" saveData="1">
    <webPr xl2000="1" url="http://ichart.finance.yahoo.com/table.csv?s=COP&amp;a=06&amp;b=01&amp;c=2014&amp;d=08&amp;e=15&amp;f=2014&amp;g=d&amp;ignore=.csv" htmlTables="1" htmlFormat="all"/>
  </connection>
  <connection id="552" name="Connection59" type="4" refreshedVersion="0" background="1">
    <webPr url="http://table.finance.yahoo.com/table.csv?s=Enter Tickers Below&amp;a=00&amp;b=01&amp;c=2010&amp;d=05&amp;e=01&amp;f=2012&amp;g=d&amp;ignore=.csv" htmlTables="1" htmlFormat="all"/>
  </connection>
  <connection id="553" name="Connection590" type="4" refreshedVersion="5" background="1" saveData="1">
    <webPr xl2000="1" url="http://ichart.finance.yahoo.com/table.csv?s=COST&amp;a=06&amp;b=01&amp;c=2014&amp;d=08&amp;e=15&amp;f=2014&amp;g=d&amp;ignore=.csv" htmlTables="1" htmlFormat="all"/>
  </connection>
  <connection id="554" name="Connection591" type="4" refreshedVersion="5" background="1" saveData="1">
    <webPr xl2000="1" url="http://ichart.finance.yahoo.com/table.csv?s=CSCO&amp;a=06&amp;b=01&amp;c=2014&amp;d=08&amp;e=15&amp;f=2014&amp;g=d&amp;ignore=.csv" htmlTables="1" htmlFormat="all"/>
  </connection>
  <connection id="555" name="Connection592" type="4" refreshedVersion="5" background="1" saveData="1">
    <webPr xl2000="1" url="http://ichart.finance.yahoo.com/table.csv?s=CVS&amp;a=06&amp;b=01&amp;c=2014&amp;d=08&amp;e=15&amp;f=2014&amp;g=d&amp;ignore=.csv" htmlTables="1" htmlFormat="all"/>
  </connection>
  <connection id="556" name="Connection593" type="4" refreshedVersion="5" background="1" saveData="1">
    <webPr xl2000="1" url="http://ichart.finance.yahoo.com/table.csv?s=CVX&amp;a=06&amp;b=01&amp;c=2014&amp;d=08&amp;e=15&amp;f=2014&amp;g=d&amp;ignore=.csv" htmlTables="1" htmlFormat="all"/>
  </connection>
  <connection id="557" name="Connection594" type="4" refreshedVersion="5" background="1" saveData="1">
    <webPr xl2000="1" url="http://ichart.finance.yahoo.com/table.csv?s=DD&amp;a=06&amp;b=01&amp;c=2014&amp;d=08&amp;e=15&amp;f=2014&amp;g=d&amp;ignore=.csv" htmlTables="1" htmlFormat="all"/>
  </connection>
  <connection id="558" name="Connection595" type="4" refreshedVersion="5" background="1" saveData="1">
    <webPr xl2000="1" url="http://ichart.finance.yahoo.com/table.csv?s=DIS&amp;a=06&amp;b=01&amp;c=2014&amp;d=08&amp;e=15&amp;f=2014&amp;g=d&amp;ignore=.csv" htmlTables="1" htmlFormat="all"/>
  </connection>
  <connection id="559" name="Connection596" type="4" refreshedVersion="5" background="1" saveData="1">
    <webPr xl2000="1" url="http://ichart.finance.yahoo.com/table.csv?s=DOW&amp;a=06&amp;b=01&amp;c=2014&amp;d=08&amp;e=15&amp;f=2014&amp;g=d&amp;ignore=.csv" htmlTables="1" htmlFormat="all"/>
  </connection>
  <connection id="560" name="Connection597" type="4" refreshedVersion="5" background="1" saveData="1">
    <webPr xl2000="1" url="http://ichart.finance.yahoo.com/table.csv?s=DVN&amp;a=06&amp;b=01&amp;c=2014&amp;d=08&amp;e=15&amp;f=2014&amp;g=d&amp;ignore=.csv" htmlTables="1" htmlFormat="all"/>
  </connection>
  <connection id="561" name="Connection598" type="4" refreshedVersion="5" background="1" saveData="1">
    <webPr xl2000="1" url="http://ichart.finance.yahoo.com/table.csv?s=EBAY&amp;a=06&amp;b=01&amp;c=2014&amp;d=08&amp;e=15&amp;f=2014&amp;g=d&amp;ignore=.csv" htmlTables="1" htmlFormat="all"/>
  </connection>
  <connection id="562" name="Connection599" type="4" refreshedVersion="5" background="1" saveData="1">
    <webPr xl2000="1" url="http://ichart.finance.yahoo.com/table.csv?s=EMC&amp;a=06&amp;b=01&amp;c=2014&amp;d=08&amp;e=15&amp;f=2014&amp;g=d&amp;ignore=.csv" htmlTables="1" htmlFormat="all"/>
  </connection>
  <connection id="563" name="Connection6" type="4" refreshedVersion="0" background="1">
    <webPr url="http://table.finance.yahoo.com/table.csv?s=&amp;a=00&amp;b=01&amp;c=2010&amp;d=05&amp;e=01&amp;f=2012&amp;g=m&amp;ignore=.csv" htmlTables="1" htmlFormat="all"/>
  </connection>
  <connection id="564" name="Connection60" type="4" refreshedVersion="0" background="1">
    <webPr url="http://table.finance.yahoo.com/table.csv?s=ABMCW&amp;a=00&amp;b=01&amp;c=2010&amp;d=05&amp;e=01&amp;f=2012&amp;g=d&amp;ignore=.csv" htmlTables="1" htmlFormat="all"/>
  </connection>
  <connection id="565" name="Connection600" type="4" refreshedVersion="5" background="1" saveData="1">
    <webPr xl2000="1" url="http://ichart.finance.yahoo.com/table.csv?s=EMR&amp;a=06&amp;b=01&amp;c=2014&amp;d=08&amp;e=15&amp;f=2014&amp;g=d&amp;ignore=.csv" htmlTables="1" htmlFormat="all"/>
  </connection>
  <connection id="566" name="Connection601" type="4" refreshedVersion="5" background="1" saveData="1">
    <webPr xl2000="1" url="http://ichart.finance.yahoo.com/table.csv?s=EXC&amp;a=06&amp;b=01&amp;c=2014&amp;d=08&amp;e=15&amp;f=2014&amp;g=d&amp;ignore=.csv" htmlTables="1" htmlFormat="all"/>
  </connection>
  <connection id="567" name="Connection602" type="4" refreshedVersion="5" background="1" saveData="1">
    <webPr xl2000="1" url="http://ichart.finance.yahoo.com/table.csv?s=F&amp;a=06&amp;b=01&amp;c=2014&amp;d=08&amp;e=15&amp;f=2014&amp;g=d&amp;ignore=.csv" htmlTables="1" htmlFormat="all"/>
  </connection>
  <connection id="568" name="Connection603" type="4" refreshedVersion="5" background="1" saveData="1">
    <webPr xl2000="1" url="http://ichart.finance.yahoo.com/table.csv?s=FB&amp;a=06&amp;b=01&amp;c=2014&amp;d=08&amp;e=15&amp;f=2014&amp;g=d&amp;ignore=.csv" htmlTables="1" htmlFormat="all"/>
  </connection>
  <connection id="569" name="Connection604" type="4" refreshedVersion="5" background="1" saveData="1">
    <webPr xl2000="1" url="http://ichart.finance.yahoo.com/table.csv?s=FCX&amp;a=06&amp;b=01&amp;c=2014&amp;d=08&amp;e=15&amp;f=2014&amp;g=d&amp;ignore=.csv" htmlTables="1" htmlFormat="all"/>
  </connection>
  <connection id="570" name="Connection605" type="4" refreshedVersion="5" background="1" saveData="1">
    <webPr xl2000="1" url="http://ichart.finance.yahoo.com/table.csv?s=FDX&amp;a=06&amp;b=01&amp;c=2014&amp;d=08&amp;e=15&amp;f=2014&amp;g=d&amp;ignore=.csv" htmlTables="1" htmlFormat="all"/>
  </connection>
  <connection id="571" name="Connection606" type="4" refreshedVersion="5" background="1" saveData="1">
    <webPr xl2000="1" url="http://ichart.finance.yahoo.com/table.csv?s=FOXA&amp;a=06&amp;b=01&amp;c=2014&amp;d=08&amp;e=15&amp;f=2014&amp;g=d&amp;ignore=.csv" htmlTables="1" htmlFormat="all"/>
  </connection>
  <connection id="572" name="Connection607" type="4" refreshedVersion="5" background="1" saveData="1">
    <webPr xl2000="1" url="http://ichart.finance.yahoo.com/table.csv?s=GD&amp;a=06&amp;b=01&amp;c=2014&amp;d=08&amp;e=15&amp;f=2014&amp;g=d&amp;ignore=.csv" htmlTables="1" htmlFormat="all"/>
  </connection>
  <connection id="573" name="Connection608" type="4" refreshedVersion="5" background="1" saveData="1">
    <webPr xl2000="1" url="http://ichart.finance.yahoo.com/table.csv?s=GE&amp;a=06&amp;b=01&amp;c=2014&amp;d=08&amp;e=15&amp;f=2014&amp;g=d&amp;ignore=.csv" htmlTables="1" htmlFormat="all"/>
  </connection>
  <connection id="574" name="Connection609" type="4" refreshedVersion="5" background="1" saveData="1">
    <webPr xl2000="1" url="http://ichart.finance.yahoo.com/table.csv?s=GILD&amp;a=06&amp;b=01&amp;c=2014&amp;d=08&amp;e=15&amp;f=2014&amp;g=d&amp;ignore=.csv" htmlTables="1" htmlFormat="all"/>
  </connection>
  <connection id="575" name="Connection61" type="4" refreshedVersion="0" background="1">
    <webPr url="http://table.finance.yahoo.com/table.csv?s=ABRI&amp;a=00&amp;b=01&amp;c=2010&amp;d=05&amp;e=01&amp;f=2012&amp;g=d&amp;ignore=.csv" htmlTables="1" htmlFormat="all"/>
  </connection>
  <connection id="576" name="Connection610" type="4" refreshedVersion="5" background="1" saveData="1">
    <webPr xl2000="1" url="http://ichart.finance.yahoo.com/table.csv?s=GM&amp;a=06&amp;b=01&amp;c=2014&amp;d=08&amp;e=15&amp;f=2014&amp;g=d&amp;ignore=.csv" htmlTables="1" htmlFormat="all"/>
  </connection>
  <connection id="577" name="Connection611" type="4" refreshedVersion="5" background="1" saveData="1">
    <webPr xl2000="1" url="http://ichart.finance.yahoo.com/table.csv?s=GOOG&amp;a=06&amp;b=01&amp;c=2014&amp;d=08&amp;e=15&amp;f=2014&amp;g=d&amp;ignore=.csv" htmlTables="1" htmlFormat="all"/>
  </connection>
  <connection id="578" name="Connection612" type="4" refreshedVersion="5" background="1" saveData="1">
    <webPr xl2000="1" url="http://ichart.finance.yahoo.com/table.csv?s=GOOGL&amp;a=06&amp;b=01&amp;c=2014&amp;d=08&amp;e=15&amp;f=2014&amp;g=d&amp;ignore=.csv" htmlTables="1" htmlFormat="all"/>
  </connection>
  <connection id="579" name="Connection613" type="4" refreshedVersion="5" background="1" saveData="1">
    <webPr xl2000="1" url="http://ichart.finance.yahoo.com/table.csv?s=GS&amp;a=06&amp;b=01&amp;c=2014&amp;d=08&amp;e=15&amp;f=2014&amp;g=d&amp;ignore=.csv" htmlTables="1" htmlFormat="all"/>
  </connection>
  <connection id="580" name="Connection614" type="4" refreshedVersion="5" background="1" saveData="1">
    <webPr xl2000="1" url="http://ichart.finance.yahoo.com/table.csv?s=HAL&amp;a=06&amp;b=01&amp;c=2014&amp;d=08&amp;e=15&amp;f=2014&amp;g=d&amp;ignore=.csv" htmlTables="1" htmlFormat="all"/>
  </connection>
  <connection id="581" name="Connection615" type="4" refreshedVersion="5" background="1" saveData="1">
    <webPr xl2000="1" url="http://ichart.finance.yahoo.com/table.csv?s=HD&amp;a=06&amp;b=01&amp;c=2014&amp;d=08&amp;e=15&amp;f=2014&amp;g=d&amp;ignore=.csv" htmlTables="1" htmlFormat="all"/>
  </connection>
  <connection id="582" name="Connection616" type="4" refreshedVersion="5" background="1" saveData="1">
    <webPr xl2000="1" url="http://ichart.finance.yahoo.com/table.csv?s=HON&amp;a=06&amp;b=01&amp;c=2014&amp;d=08&amp;e=15&amp;f=2014&amp;g=d&amp;ignore=.csv" htmlTables="1" htmlFormat="all"/>
  </connection>
  <connection id="583" name="Connection617" type="4" refreshedVersion="5" background="1" saveData="1">
    <webPr xl2000="1" url="http://ichart.finance.yahoo.com/table.csv?s=HPQ&amp;a=06&amp;b=01&amp;c=2014&amp;d=08&amp;e=15&amp;f=2014&amp;g=d&amp;ignore=.csv" htmlTables="1" htmlFormat="all"/>
  </connection>
  <connection id="584" name="Connection618" type="4" refreshedVersion="5" background="1" saveData="1">
    <webPr xl2000="1" url="http://ichart.finance.yahoo.com/table.csv?s=IBM&amp;a=06&amp;b=01&amp;c=2014&amp;d=08&amp;e=15&amp;f=2014&amp;g=d&amp;ignore=.csv" htmlTables="1" htmlFormat="all"/>
  </connection>
  <connection id="585" name="Connection619" type="4" refreshedVersion="5" background="1" saveData="1">
    <webPr xl2000="1" url="http://ichart.finance.yahoo.com/table.csv?s=INTC&amp;a=06&amp;b=01&amp;c=2014&amp;d=08&amp;e=15&amp;f=2014&amp;g=d&amp;ignore=.csv" htmlTables="1" htmlFormat="all"/>
  </connection>
  <connection id="586" name="Connection62" type="4" refreshedVersion="0" background="1">
    <webPr url="http://table.finance.yahoo.com/table.csv?s=ABN&amp;a=00&amp;b=01&amp;c=2010&amp;d=05&amp;e=01&amp;f=2012&amp;g=d&amp;ignore=.csv" htmlTables="1" htmlFormat="all"/>
  </connection>
  <connection id="587" name="Connection620" type="4" refreshedVersion="5" background="1" saveData="1">
    <webPr xl2000="1" url="http://ichart.finance.yahoo.com/table.csv?s=JNJ&amp;a=06&amp;b=01&amp;c=2014&amp;d=08&amp;e=15&amp;f=2014&amp;g=d&amp;ignore=.csv" htmlTables="1" htmlFormat="all"/>
  </connection>
  <connection id="588" name="Connection621" type="4" refreshedVersion="5" background="1" saveData="1">
    <webPr xl2000="1" url="http://ichart.finance.yahoo.com/table.csv?s=JPM&amp;a=06&amp;b=01&amp;c=2014&amp;d=08&amp;e=15&amp;f=2014&amp;g=d&amp;ignore=.csv" htmlTables="1" htmlFormat="all"/>
  </connection>
  <connection id="589" name="Connection622" type="4" refreshedVersion="5" background="1" saveData="1">
    <webPr xl2000="1" url="http://ichart.finance.yahoo.com/table.csv?s=KO&amp;a=06&amp;b=01&amp;c=2014&amp;d=08&amp;e=15&amp;f=2014&amp;g=d&amp;ignore=.csv" htmlTables="1" htmlFormat="all"/>
  </connection>
  <connection id="590" name="Connection623" type="4" refreshedVersion="5" background="1" saveData="1">
    <webPr xl2000="1" url="http://ichart.finance.yahoo.com/table.csv?s=LLY&amp;a=06&amp;b=01&amp;c=2014&amp;d=08&amp;e=15&amp;f=2014&amp;g=d&amp;ignore=.csv" htmlTables="1" htmlFormat="all"/>
  </connection>
  <connection id="591" name="Connection624" type="4" refreshedVersion="5" background="1" saveData="1">
    <webPr xl2000="1" url="http://ichart.finance.yahoo.com/table.csv?s=LMT&amp;a=06&amp;b=01&amp;c=2014&amp;d=08&amp;e=15&amp;f=2014&amp;g=d&amp;ignore=.csv" htmlTables="1" htmlFormat="all"/>
  </connection>
  <connection id="592" name="Connection625" type="4" refreshedVersion="5" background="1" saveData="1">
    <webPr xl2000="1" url="http://ichart.finance.yahoo.com/table.csv?s=LOW&amp;a=06&amp;b=01&amp;c=2014&amp;d=08&amp;e=15&amp;f=2014&amp;g=d&amp;ignore=.csv" htmlTables="1" htmlFormat="all"/>
  </connection>
  <connection id="593" name="Connection626" type="4" refreshedVersion="5" background="1" saveData="1">
    <webPr xl2000="1" url="http://ichart.finance.yahoo.com/table.csv?s=MA&amp;a=06&amp;b=01&amp;c=2014&amp;d=08&amp;e=15&amp;f=2014&amp;g=d&amp;ignore=.csv" htmlTables="1" htmlFormat="all"/>
  </connection>
  <connection id="594" name="Connection627" type="4" refreshedVersion="5" background="1" saveData="1">
    <webPr xl2000="1" url="http://ichart.finance.yahoo.com/table.csv?s=MCD&amp;a=06&amp;b=01&amp;c=2014&amp;d=08&amp;e=15&amp;f=2014&amp;g=d&amp;ignore=.csv" htmlTables="1" htmlFormat="all"/>
  </connection>
  <connection id="595" name="Connection628" type="4" refreshedVersion="5" background="1" saveData="1">
    <webPr xl2000="1" url="http://ichart.finance.yahoo.com/table.csv?s=MDLZ&amp;a=06&amp;b=01&amp;c=2014&amp;d=08&amp;e=15&amp;f=2014&amp;g=d&amp;ignore=.csv" htmlTables="1" htmlFormat="all"/>
  </connection>
  <connection id="596" name="Connection629" type="4" refreshedVersion="5" background="1" saveData="1">
    <webPr xl2000="1" url="http://ichart.finance.yahoo.com/table.csv?s=MDT&amp;a=06&amp;b=01&amp;c=2014&amp;d=08&amp;e=15&amp;f=2014&amp;g=d&amp;ignore=.csv" htmlTables="1" htmlFormat="all"/>
  </connection>
  <connection id="597" name="Connection63" type="4" refreshedVersion="0" background="1">
    <webPr url="http://table.finance.yahoo.com/table.csv?s=ABN_PA&amp;a=00&amp;b=01&amp;c=2010&amp;d=05&amp;e=01&amp;f=2012&amp;g=d&amp;ignore=.csv" htmlTables="1" htmlFormat="all"/>
  </connection>
  <connection id="598" name="Connection630" type="4" refreshedVersion="5" background="1" saveData="1">
    <webPr xl2000="1" url="http://ichart.finance.yahoo.com/table.csv?s=MET&amp;a=06&amp;b=01&amp;c=2014&amp;d=08&amp;e=15&amp;f=2014&amp;g=d&amp;ignore=.csv" htmlTables="1" htmlFormat="all"/>
  </connection>
  <connection id="599" name="Connection631" type="4" refreshedVersion="5" background="1" saveData="1">
    <webPr xl2000="1" url="http://ichart.finance.yahoo.com/table.csv?s=MMM&amp;a=06&amp;b=01&amp;c=2014&amp;d=08&amp;e=15&amp;f=2014&amp;g=d&amp;ignore=.csv" htmlTables="1" htmlFormat="all"/>
  </connection>
  <connection id="600" name="Connection632" type="4" refreshedVersion="5" background="1" saveData="1">
    <webPr xl2000="1" url="http://ichart.finance.yahoo.com/table.csv?s=MO&amp;a=06&amp;b=01&amp;c=2014&amp;d=08&amp;e=15&amp;f=2014&amp;g=d&amp;ignore=.csv" htmlTables="1" htmlFormat="all"/>
  </connection>
  <connection id="601" name="Connection633" type="4" refreshedVersion="5" background="1" saveData="1">
    <webPr xl2000="1" url="http://ichart.finance.yahoo.com/table.csv?s=MON&amp;a=06&amp;b=01&amp;c=2014&amp;d=08&amp;e=15&amp;f=2014&amp;g=d&amp;ignore=.csv" htmlTables="1" htmlFormat="all"/>
  </connection>
  <connection id="602" name="Connection634" type="4" refreshedVersion="5" background="1" saveData="1">
    <webPr xl2000="1" url="http://ichart.finance.yahoo.com/table.csv?s=MRK&amp;a=06&amp;b=01&amp;c=2014&amp;d=08&amp;e=15&amp;f=2014&amp;g=d&amp;ignore=.csv" htmlTables="1" htmlFormat="all"/>
  </connection>
  <connection id="603" name="Connection635" type="4" refreshedVersion="5" background="1" saveData="1">
    <webPr xl2000="1" url="http://ichart.finance.yahoo.com/table.csv?s=MS&amp;a=06&amp;b=01&amp;c=2014&amp;d=08&amp;e=15&amp;f=2014&amp;g=d&amp;ignore=.csv" htmlTables="1" htmlFormat="all"/>
  </connection>
  <connection id="604" name="Connection636" type="4" refreshedVersion="5" background="1" saveData="1">
    <webPr xl2000="1" url="http://ichart.finance.yahoo.com/table.csv?s=MSFT&amp;a=06&amp;b=01&amp;c=2014&amp;d=08&amp;e=15&amp;f=2014&amp;g=d&amp;ignore=.csv" htmlTables="1" htmlFormat="all"/>
  </connection>
  <connection id="605" name="Connection637" type="4" refreshedVersion="5" background="1" saveData="1">
    <webPr xl2000="1" url="http://ichart.finance.yahoo.com/table.csv?s=NKE&amp;a=06&amp;b=01&amp;c=2014&amp;d=08&amp;e=15&amp;f=2014&amp;g=d&amp;ignore=.csv" htmlTables="1" htmlFormat="all"/>
  </connection>
  <connection id="606" name="Connection638" type="4" refreshedVersion="5" background="1" saveData="1">
    <webPr xl2000="1" url="http://ichart.finance.yahoo.com/table.csv?s=NOV&amp;a=06&amp;b=01&amp;c=2014&amp;d=08&amp;e=15&amp;f=2014&amp;g=d&amp;ignore=.csv" htmlTables="1" htmlFormat="all"/>
  </connection>
  <connection id="607" name="Connection639" type="4" refreshedVersion="5" background="1" saveData="1">
    <webPr xl2000="1" url="http://ichart.finance.yahoo.com/table.csv?s=NSC&amp;a=06&amp;b=01&amp;c=2014&amp;d=08&amp;e=15&amp;f=2014&amp;g=d&amp;ignore=.csv" htmlTables="1" htmlFormat="all"/>
  </connection>
  <connection id="608" name="Connection64" type="4" refreshedVersion="0" background="1">
    <webPr url="http://table.finance.yahoo.com/table.csv?s=ABN_PB&amp;a=00&amp;b=01&amp;c=2010&amp;d=05&amp;e=01&amp;f=2012&amp;g=d&amp;ignore=.csv" htmlTables="1" htmlFormat="all"/>
  </connection>
  <connection id="609" name="Connection640" type="4" refreshedVersion="5" background="1" saveData="1">
    <webPr xl2000="1" url="http://ichart.finance.yahoo.com/table.csv?s=ORCL&amp;a=06&amp;b=01&amp;c=2014&amp;d=08&amp;e=15&amp;f=2014&amp;g=d&amp;ignore=.csv" htmlTables="1" htmlFormat="all"/>
  </connection>
  <connection id="610" name="Connection641" type="4" refreshedVersion="5" background="1" saveData="1">
    <webPr xl2000="1" url="http://ichart.finance.yahoo.com/table.csv?s=OXY&amp;a=06&amp;b=01&amp;c=2014&amp;d=08&amp;e=15&amp;f=2014&amp;g=d&amp;ignore=.csv" htmlTables="1" htmlFormat="all"/>
  </connection>
  <connection id="611" name="Connection642" type="4" refreshedVersion="5" background="1" saveData="1">
    <webPr xl2000="1" url="http://ichart.finance.yahoo.com/table.csv?s=PEP&amp;a=06&amp;b=01&amp;c=2014&amp;d=08&amp;e=15&amp;f=2014&amp;g=d&amp;ignore=.csv" htmlTables="1" htmlFormat="all"/>
  </connection>
  <connection id="612" name="Connection643" type="4" refreshedVersion="5" background="1" saveData="1">
    <webPr xl2000="1" url="http://ichart.finance.yahoo.com/table.csv?s=PFE&amp;a=06&amp;b=01&amp;c=2014&amp;d=08&amp;e=15&amp;f=2014&amp;g=d&amp;ignore=.csv" htmlTables="1" htmlFormat="all"/>
  </connection>
  <connection id="613" name="Connection644" type="4" refreshedVersion="5" background="1" saveData="1">
    <webPr xl2000="1" url="http://ichart.finance.yahoo.com/table.csv?s=PG&amp;a=06&amp;b=01&amp;c=2014&amp;d=08&amp;e=15&amp;f=2014&amp;g=d&amp;ignore=.csv" htmlTables="1" htmlFormat="all"/>
  </connection>
  <connection id="614" name="Connection645" type="4" refreshedVersion="5" background="1" saveData="1">
    <webPr xl2000="1" url="http://ichart.finance.yahoo.com/table.csv?s=PM&amp;a=06&amp;b=01&amp;c=2014&amp;d=08&amp;e=15&amp;f=2014&amp;g=d&amp;ignore=.csv" htmlTables="1" htmlFormat="all"/>
  </connection>
  <connection id="615" name="Connection646" type="4" refreshedVersion="5" background="1" saveData="1">
    <webPr xl2000="1" url="http://ichart.finance.yahoo.com/table.csv?s=QCOM&amp;a=06&amp;b=01&amp;c=2014&amp;d=08&amp;e=15&amp;f=2014&amp;g=d&amp;ignore=.csv" htmlTables="1" htmlFormat="all"/>
  </connection>
  <connection id="616" name="Connection647" type="4" refreshedVersion="5" background="1" saveData="1">
    <webPr xl2000="1" url="http://ichart.finance.yahoo.com/table.csv?s=RTN&amp;a=06&amp;b=01&amp;c=2014&amp;d=08&amp;e=15&amp;f=2014&amp;g=d&amp;ignore=.csv" htmlTables="1" htmlFormat="all"/>
  </connection>
  <connection id="617" name="Connection648" type="4" refreshedVersion="5" background="1" saveData="1">
    <webPr xl2000="1" url="http://ichart.finance.yahoo.com/table.csv?s=SBUX&amp;a=06&amp;b=01&amp;c=2014&amp;d=08&amp;e=15&amp;f=2014&amp;g=d&amp;ignore=.csv" htmlTables="1" htmlFormat="all"/>
  </connection>
  <connection id="618" name="Connection649" type="4" refreshedVersion="5" background="1" saveData="1">
    <webPr xl2000="1" url="http://ichart.finance.yahoo.com/table.csv?s=SLB&amp;a=06&amp;b=01&amp;c=2014&amp;d=08&amp;e=15&amp;f=2014&amp;g=d&amp;ignore=.csv" htmlTables="1" htmlFormat="all"/>
  </connection>
  <connection id="619" name="Connection65" type="4" refreshedVersion="0" background="1">
    <webPr url="http://table.finance.yahoo.com/table.csv?s=ABP&amp;a=00&amp;b=01&amp;c=2010&amp;d=05&amp;e=01&amp;f=2012&amp;g=d&amp;ignore=.csv" htmlTables="1" htmlFormat="all"/>
  </connection>
  <connection id="620" name="Connection650" type="4" refreshedVersion="5" background="1" saveData="1">
    <webPr xl2000="1" url="http://ichart.finance.yahoo.com/table.csv?s=SO&amp;a=06&amp;b=01&amp;c=2014&amp;d=08&amp;e=15&amp;f=2014&amp;g=d&amp;ignore=.csv" htmlTables="1" htmlFormat="all"/>
  </connection>
  <connection id="621" name="Connection651" type="4" refreshedVersion="5" background="1" saveData="1">
    <webPr xl2000="1" url="http://ichart.finance.yahoo.com/table.csv?s=SPG&amp;a=06&amp;b=01&amp;c=2014&amp;d=08&amp;e=15&amp;f=2014&amp;g=d&amp;ignore=.csv" htmlTables="1" htmlFormat="all"/>
  </connection>
  <connection id="622" name="Connection652" type="4" refreshedVersion="5" background="1" saveData="1">
    <webPr xl2000="1" url="http://ichart.finance.yahoo.com/table.csv?s=T&amp;a=06&amp;b=01&amp;c=2014&amp;d=08&amp;e=15&amp;f=2014&amp;g=d&amp;ignore=.csv" htmlTables="1" htmlFormat="all"/>
  </connection>
  <connection id="623" name="Connection653" type="4" refreshedVersion="5" background="1" saveData="1">
    <webPr xl2000="1" url="http://ichart.finance.yahoo.com/table.csv?s=TGT&amp;a=06&amp;b=01&amp;c=2014&amp;d=08&amp;e=15&amp;f=2014&amp;g=d&amp;ignore=.csv" htmlTables="1" htmlFormat="all"/>
  </connection>
  <connection id="624" name="Connection654" type="4" refreshedVersion="5" background="1" saveData="1">
    <webPr xl2000="1" url="http://ichart.finance.yahoo.com/table.csv?s=TWX&amp;a=06&amp;b=01&amp;c=2014&amp;d=08&amp;e=15&amp;f=2014&amp;g=d&amp;ignore=.csv" htmlTables="1" htmlFormat="all"/>
  </connection>
  <connection id="625" name="Connection655" type="4" refreshedVersion="5" background="1" saveData="1">
    <webPr xl2000="1" url="http://ichart.finance.yahoo.com/table.csv?s=TXN&amp;a=06&amp;b=01&amp;c=2014&amp;d=08&amp;e=15&amp;f=2014&amp;g=d&amp;ignore=.csv" htmlTables="1" htmlFormat="all"/>
  </connection>
  <connection id="626" name="Connection656" type="4" refreshedVersion="5" background="1" saveData="1">
    <webPr xl2000="1" url="http://ichart.finance.yahoo.com/table.csv?s=UNH&amp;a=06&amp;b=01&amp;c=2014&amp;d=08&amp;e=15&amp;f=2014&amp;g=d&amp;ignore=.csv" htmlTables="1" htmlFormat="all"/>
  </connection>
  <connection id="627" name="Connection657" type="4" refreshedVersion="5" background="1" saveData="1">
    <webPr xl2000="1" url="http://ichart.finance.yahoo.com/table.csv?s=UNP&amp;a=06&amp;b=01&amp;c=2014&amp;d=08&amp;e=15&amp;f=2014&amp;g=d&amp;ignore=.csv" htmlTables="1" htmlFormat="all"/>
  </connection>
  <connection id="628" name="Connection658" type="4" refreshedVersion="5" background="1" saveData="1">
    <webPr xl2000="1" url="http://ichart.finance.yahoo.com/table.csv?s=UPS&amp;a=06&amp;b=01&amp;c=2014&amp;d=08&amp;e=15&amp;f=2014&amp;g=d&amp;ignore=.csv" htmlTables="1" htmlFormat="all"/>
  </connection>
  <connection id="629" name="Connection659" type="4" refreshedVersion="5" background="1" saveData="1">
    <webPr xl2000="1" url="http://ichart.finance.yahoo.com/table.csv?s=USB&amp;a=06&amp;b=01&amp;c=2014&amp;d=08&amp;e=15&amp;f=2014&amp;g=d&amp;ignore=.csv" htmlTables="1" htmlFormat="all"/>
  </connection>
  <connection id="630" name="Connection66" type="4" refreshedVersion="0" background="1">
    <webPr url="http://table.finance.yahoo.com/table.csv?s=ABRX&amp;a=00&amp;b=01&amp;c=2010&amp;d=05&amp;e=01&amp;f=2012&amp;g=d&amp;ignore=.csv" htmlTables="1" htmlFormat="all"/>
  </connection>
  <connection id="631" name="Connection660" type="4" refreshedVersion="5" background="1" saveData="1">
    <webPr xl2000="1" url="http://ichart.finance.yahoo.com/table.csv?s=UTX&amp;a=06&amp;b=01&amp;c=2014&amp;d=08&amp;e=15&amp;f=2014&amp;g=d&amp;ignore=.csv" htmlTables="1" htmlFormat="all"/>
  </connection>
  <connection id="632" name="Connection661" type="4" refreshedVersion="5" background="1" saveData="1">
    <webPr xl2000="1" url="http://ichart.finance.yahoo.com/table.csv?s=V&amp;a=06&amp;b=01&amp;c=2014&amp;d=08&amp;e=15&amp;f=2014&amp;g=d&amp;ignore=.csv" htmlTables="1" htmlFormat="all"/>
  </connection>
  <connection id="633" name="Connection662" type="4" refreshedVersion="5" background="1" saveData="1">
    <webPr xl2000="1" url="http://ichart.finance.yahoo.com/table.csv?s=VZ&amp;a=06&amp;b=01&amp;c=2014&amp;d=08&amp;e=15&amp;f=2014&amp;g=d&amp;ignore=.csv" htmlTables="1" htmlFormat="all"/>
  </connection>
  <connection id="634" name="Connection663" type="4" refreshedVersion="5" background="1" saveData="1">
    <webPr xl2000="1" url="http://ichart.finance.yahoo.com/table.csv?s=WAG&amp;a=06&amp;b=01&amp;c=2014&amp;d=08&amp;e=15&amp;f=2014&amp;g=d&amp;ignore=.csv" htmlTables="1" htmlFormat="all"/>
  </connection>
  <connection id="635" name="Connection664" type="4" refreshedVersion="5" background="1" saveData="1">
    <webPr xl2000="1" url="http://ichart.finance.yahoo.com/table.csv?s=WFC&amp;a=06&amp;b=01&amp;c=2014&amp;d=08&amp;e=15&amp;f=2014&amp;g=d&amp;ignore=.csv" htmlTables="1" htmlFormat="all"/>
  </connection>
  <connection id="636" name="Connection665" type="4" refreshedVersion="5" background="1" saveData="1">
    <webPr xl2000="1" url="http://ichart.finance.yahoo.com/table.csv?s=WMT&amp;a=06&amp;b=01&amp;c=2014&amp;d=08&amp;e=15&amp;f=2014&amp;g=d&amp;ignore=.csv" htmlTables="1" htmlFormat="all"/>
  </connection>
  <connection id="637" name="Connection67" type="4" refreshedVersion="0" background="1">
    <webPr url="http://table.finance.yahoo.com/table.csv?s=ABRI&amp;a=00&amp;b=01&amp;c=2010&amp;d=05&amp;e=01&amp;f=2012&amp;g=d&amp;ignore=.csv" htmlTables="1" htmlFormat="all"/>
  </connection>
  <connection id="638" name="Connection68" type="4" refreshedVersion="0" background="1">
    <webPr url="http://table.finance.yahoo.com/table.csv?s=ABRX&amp;a=00&amp;b=01&amp;c=2010&amp;d=05&amp;e=01&amp;f=2012&amp;g=d&amp;ignore=.csv" htmlTables="1" htmlFormat="all"/>
  </connection>
  <connection id="639" name="Connection69" type="4" refreshedVersion="0" background="1">
    <webPr url="http://table.finance.yahoo.com/table.csv?s=ABS&amp;a=00&amp;b=01&amp;c=2010&amp;d=05&amp;e=01&amp;f=2012&amp;g=d&amp;ignore=.csv" htmlTables="1" htmlFormat="all"/>
  </connection>
  <connection id="640" name="Connection7" type="4" refreshedVersion="0" background="1">
    <webPr url="http://table.finance.yahoo.com/table.csv?s=&amp;a=00&amp;b=01&amp;c=2010&amp;d=05&amp;e=01&amp;f=2012&amp;g=m&amp;ignore=.csv" htmlTables="1" htmlFormat="all"/>
  </connection>
  <connection id="641" name="Connection70" type="4" refreshedVersion="0" background="1">
    <webPr url="http://table.finance.yahoo.com/table.csv?s=ABS&amp;a=00&amp;b=01&amp;c=2010&amp;d=05&amp;e=01&amp;f=2012&amp;g=d&amp;ignore=.csv" htmlTables="1" htmlFormat="all"/>
  </connection>
  <connection id="642" name="Connection71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3" name="Connection72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4" name="Connection73" type="4" refreshedVersion="0" background="1">
    <webPr url="http://table.finance.yahoo.com/table.csv?s=ABV__C&amp;a=00&amp;b=01&amp;c=2010&amp;d=05&amp;e=01&amp;f=2012&amp;g=d&amp;ignore=.csv" htmlTables="1" htmlFormat="all"/>
  </connection>
  <connection id="645" name="Connection74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6" name="Connection75" type="4" refreshedVersion="0" background="1">
    <webPr url="http://table.finance.yahoo.com/table.csv?s=ABW_PA&amp;a=00&amp;b=01&amp;c=2010&amp;d=05&amp;e=01&amp;f=2012&amp;g=d&amp;ignore=.csv" htmlTables="1" htmlFormat="all"/>
  </connection>
  <connection id="647" name="Connection76" type="4" refreshedVersion="0" background="1">
    <webPr url="http://table.finance.yahoo.com/table.csv?s=ABV__C&amp;a=00&amp;b=01&amp;c=2010&amp;d=05&amp;e=01&amp;f=2012&amp;g=d&amp;ignore=.csv" htmlTables="1" htmlFormat="all"/>
  </connection>
  <connection id="648" name="Connection77" type="4" refreshedVersion="0" background="1">
    <webPr url="http://table.finance.yahoo.com/table.csv?s=ABY&amp;a=00&amp;b=01&amp;c=2010&amp;d=05&amp;e=01&amp;f=2012&amp;g=d&amp;ignore=.csv" htmlTables="1" htmlFormat="all"/>
  </connection>
  <connection id="649" name="Connection78" type="4" refreshedVersion="0" background="1">
    <webPr url="http://table.finance.yahoo.com/table.csv?s=AC&amp;a=00&amp;b=01&amp;c=2010&amp;d=05&amp;e=01&amp;f=2012&amp;g=d&amp;ignore=.csv" htmlTables="1" htmlFormat="all"/>
  </connection>
  <connection id="650" name="Connection79" type="4" refreshedVersion="0" background="1">
    <webPr url="http://table.finance.yahoo.com/table.csv?s=ACA&amp;a=00&amp;b=01&amp;c=2010&amp;d=05&amp;e=01&amp;f=2012&amp;g=d&amp;ignore=.csv" htmlTables="1" htmlFormat="all"/>
  </connection>
  <connection id="651" name="Connection8" type="4" refreshedVersion="0" background="1">
    <webPr url="http://table.finance.yahoo.com/table.csv?s=&amp;a=00&amp;b=01&amp;c=2010&amp;d=05&amp;e=01&amp;f=2012&amp;g=m&amp;ignore=.csv" htmlTables="1" htmlFormat="all"/>
  </connection>
  <connection id="652" name="Connection80" type="4" refreshedVersion="0" background="1">
    <webPr url="http://table.finance.yahoo.com/table.csv?s=ACAI&amp;a=00&amp;b=01&amp;c=2010&amp;d=05&amp;e=01&amp;f=2012&amp;g=d&amp;ignore=.csv" htmlTables="1" htmlFormat="all"/>
  </connection>
  <connection id="653" name="Connection81" type="4" refreshedVersion="0" background="1">
    <webPr url="http://table.finance.yahoo.com/table.csv?s=ACAM&amp;a=00&amp;b=01&amp;c=2010&amp;d=05&amp;e=01&amp;f=2012&amp;g=d&amp;ignore=.csv" htmlTables="1" htmlFormat="all"/>
  </connection>
  <connection id="654" name="Connection82" type="4" refreshedVersion="0" background="1">
    <webPr url="http://table.finance.yahoo.com/table.csv?s=ACAP&amp;a=00&amp;b=01&amp;c=2010&amp;d=05&amp;e=01&amp;f=2012&amp;g=d&amp;ignore=.csv" htmlTables="1" htmlFormat="all"/>
  </connection>
  <connection id="655" name="Connection83" type="4" refreshedVersion="0" background="1">
    <webPr url="http://table.finance.yahoo.com/table.csv?s=Enter Tickers Below&amp;a=00&amp;b=01&amp;c=2010&amp;d=05&amp;e=01&amp;f=2012&amp;g=d&amp;ignore=.csv" htmlTables="1" htmlFormat="all"/>
  </connection>
  <connection id="656" name="Connection84" type="4" refreshedVersion="0" background="1">
    <webPr url="http://table.finance.yahoo.com/table.csv?s=ABW_PA&amp;a=00&amp;b=01&amp;c=2010&amp;d=05&amp;e=01&amp;f=2012&amp;g=d&amp;ignore=.csv" htmlTables="1" htmlFormat="all"/>
  </connection>
  <connection id="657" name="Connection85" type="4" refreshedVersion="0" background="1">
    <webPr url="http://table.finance.yahoo.com/table.csv?s=ACBA&amp;a=00&amp;b=01&amp;c=2010&amp;d=05&amp;e=01&amp;f=2012&amp;g=d&amp;ignore=.csv" htmlTables="1" htmlFormat="all"/>
  </connection>
  <connection id="658" name="Connection86" type="4" refreshedVersion="0" background="1">
    <webPr url="http://table.finance.yahoo.com/table.csv?s=ACBAW&amp;a=00&amp;b=01&amp;c=2010&amp;d=05&amp;e=01&amp;f=2012&amp;g=d&amp;ignore=.csv" htmlTables="1" htmlFormat="all"/>
  </connection>
  <connection id="659" name="Connection87" type="4" refreshedVersion="0" background="1">
    <webPr url="http://table.finance.yahoo.com/table.csv?s=ACDO&amp;a=00&amp;b=01&amp;c=2010&amp;d=05&amp;e=01&amp;f=2012&amp;g=d&amp;ignore=.csv" htmlTables="1" htmlFormat="all"/>
  </connection>
  <connection id="660" name="Connection88" type="4" refreshedVersion="0" background="1">
    <webPr url="http://table.finance.yahoo.com/table.csv?s=Enter Tickers Below&amp;a=00&amp;b=01&amp;c=2010&amp;d=05&amp;e=01&amp;f=2012&amp;g=d&amp;ignore=.csv" htmlTables="1" htmlFormat="all"/>
  </connection>
  <connection id="661" name="Connection89" type="4" refreshedVersion="0" background="1">
    <webPr url="http://table.finance.yahoo.com/table.csv?s=ACE_PA&amp;a=00&amp;b=01&amp;c=2010&amp;d=05&amp;e=01&amp;f=2012&amp;g=d&amp;ignore=.csv" htmlTables="1" htmlFormat="all"/>
  </connection>
  <connection id="662" name="Connection9" type="4" refreshedVersion="0" background="1">
    <webPr url="http://table.finance.yahoo.com/table.csv?s=Enter Tickers Below&amp;a=00&amp;b=01&amp;c=2010&amp;d=05&amp;e=01&amp;f=2012&amp;g=d&amp;ignore=.csv" htmlTables="1" htmlFormat="all"/>
  </connection>
  <connection id="663" name="Connection90" type="4" refreshedVersion="0" background="1">
    <webPr url="http://table.finance.yahoo.com/table.csv?s=ACE_PB&amp;a=00&amp;b=01&amp;c=2010&amp;d=05&amp;e=01&amp;f=2012&amp;g=d&amp;ignore=.csv" htmlTables="1" htmlFormat="all"/>
  </connection>
  <connection id="664" name="Connection91" type="4" refreshedVersion="0" background="1">
    <webPr url="http://table.finance.yahoo.com/table.csv?s=ACE_PI&amp;a=00&amp;b=01&amp;c=2010&amp;d=05&amp;e=01&amp;f=2012&amp;g=d&amp;ignore=.csv" htmlTables="1" htmlFormat="all"/>
  </connection>
  <connection id="665" name="Connection92" type="4" refreshedVersion="0" background="1">
    <webPr url="http://table.finance.yahoo.com/table.csv?s=ACEC&amp;a=00&amp;b=01&amp;c=2010&amp;d=05&amp;e=01&amp;f=2012&amp;g=d&amp;ignore=.csv" htmlTables="1" htmlFormat="all"/>
  </connection>
  <connection id="666" name="Connection93" type="4" refreshedVersion="0" background="1">
    <webPr url="http://table.finance.yahoo.com/table.csv?s=^GSPC&amp;a=05&amp;b=01&amp;c=1998&amp;d=05&amp;e=01&amp;f=2001&amp;g=m&amp;ignore=.csv" htmlTables="1" htmlFormat="all"/>
  </connection>
  <connection id="667" name="Connection94" type="4" refreshedVersion="0" background="1">
    <webPr url="http://table.finance.yahoo.com/table.csv?s=^GSPC&amp;a=05&amp;b=01&amp;c=1998&amp;d=05&amp;e=01&amp;f=2001&amp;g=m&amp;ignore=.csv" htmlTables="1" htmlFormat="all"/>
  </connection>
  <connection id="668" name="Connection95" type="4" refreshedVersion="0" background="1">
    <webPr url="http://table.finance.yahoo.com/table.csv?s=^GSPC&amp;a=05&amp;b=01&amp;c=1998&amp;d=05&amp;e=01&amp;f=2001&amp;g=m&amp;ignore=.csv" htmlTables="1" htmlFormat="all"/>
  </connection>
  <connection id="669" name="Connection96" type="4" refreshedVersion="0" background="1">
    <webPr url="http://table.finance.yahoo.com/table.csv?s=^GSPC&amp;a=05&amp;b=01&amp;c=1998&amp;d=05&amp;e=01&amp;f=2001&amp;g=m&amp;ignore=.csv" htmlTables="1" htmlFormat="all"/>
  </connection>
  <connection id="670" name="Connection97" type="4" refreshedVersion="0" background="1">
    <webPr url="http://table.finance.yahoo.com/table.csv?s=ABY&amp;a=00&amp;b=01&amp;c=2010&amp;d=05&amp;e=01&amp;f=2012&amp;g=d&amp;ignore=.csv" htmlTables="1" htmlFormat="all"/>
  </connection>
  <connection id="671" name="Connection98" type="4" refreshedVersion="0" background="1">
    <webPr url="http://table.finance.yahoo.com/table.csv?s=ACF&amp;a=00&amp;b=01&amp;c=2010&amp;d=05&amp;e=01&amp;f=2012&amp;g=d&amp;ignore=.csv" htmlTables="1" htmlFormat="all"/>
  </connection>
  <connection id="672" name="Connection99" type="4" refreshedVersion="0" background="1">
    <webPr url="http://table.finance.yahoo.com/table.csv?s=AC&amp;a=00&amp;b=01&amp;c=2010&amp;d=05&amp;e=01&amp;f=2012&amp;g=d&amp;ignore=.csv" htmlTables="1" htmlFormat="all"/>
  </connection>
</connections>
</file>

<file path=xl/sharedStrings.xml><?xml version="1.0" encoding="utf-8"?>
<sst xmlns="http://schemas.openxmlformats.org/spreadsheetml/2006/main" count="1633" uniqueCount="234">
  <si>
    <t>Date</t>
  </si>
  <si>
    <t>Open</t>
  </si>
  <si>
    <t>High</t>
  </si>
  <si>
    <t>Low</t>
  </si>
  <si>
    <t>Close</t>
  </si>
  <si>
    <t>Volume</t>
  </si>
  <si>
    <t>Adj Close</t>
  </si>
  <si>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</si>
  <si>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</si>
  <si>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</si>
  <si>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</si>
  <si>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</si>
  <si>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</si>
  <si>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</si>
  <si>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</si>
  <si>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</si>
  <si>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</si>
  <si>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</si>
  <si>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</si>
  <si>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</si>
  <si>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</si>
  <si>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</si>
  <si>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WMT</t>
  </si>
  <si>
    <t>Stock Quotes for WMT</t>
  </si>
  <si>
    <t>The VBA for this spreadsheet is viewable and editable</t>
  </si>
  <si>
    <t>Collate Data stacks Close, Open, High, Low, Adjusted Close</t>
  </si>
  <si>
    <t>MSFT</t>
  </si>
  <si>
    <t>Stock Quotes for MSFT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</si>
  <si>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</si>
  <si>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</si>
  <si>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</si>
  <si>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</si>
  <si>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Contact me for custom spreadsheets</t>
  </si>
  <si>
    <t>Failed for These Tickers</t>
  </si>
  <si>
    <t>C</t>
  </si>
  <si>
    <t>AAPL</t>
  </si>
  <si>
    <t>Stock Quotes for C</t>
  </si>
  <si>
    <t>Stock Quotes for AAPL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</si>
  <si>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</si>
  <si>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</si>
  <si>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</si>
  <si>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ABT</t>
  </si>
  <si>
    <t>ACN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</si>
  <si>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</si>
  <si>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</si>
  <si>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</si>
  <si>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</si>
  <si>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</si>
  <si>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</si>
  <si>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</si>
  <si>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</si>
  <si>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</si>
  <si>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BK</t>
  </si>
  <si>
    <t>BMY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</si>
  <si>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</si>
  <si>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</si>
  <si>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</si>
  <si>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</si>
  <si>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</si>
  <si>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</si>
  <si>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</si>
  <si>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</si>
  <si>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</si>
  <si>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</si>
  <si>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</si>
  <si>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</si>
  <si>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</si>
  <si>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</si>
  <si>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</si>
  <si>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</si>
  <si>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</si>
  <si>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</si>
  <si>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FCX</t>
  </si>
  <si>
    <t>FDX</t>
  </si>
  <si>
    <t>GD</t>
  </si>
  <si>
    <t>GE</t>
  </si>
  <si>
    <t>GILD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</si>
  <si>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</si>
  <si>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</si>
  <si>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</si>
  <si>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</si>
  <si>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</si>
  <si>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</si>
  <si>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</si>
  <si>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</si>
  <si>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</si>
  <si>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</si>
  <si>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</si>
  <si>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</si>
  <si>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</si>
  <si>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</si>
  <si>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</si>
  <si>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</si>
  <si>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</si>
  <si>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</si>
  <si>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</si>
  <si>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</si>
  <si>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</si>
  <si>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</si>
  <si>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</si>
  <si>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</si>
  <si>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</si>
  <si>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</si>
  <si>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</si>
  <si>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</si>
  <si>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</si>
  <si>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</si>
  <si>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</si>
  <si>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</si>
  <si>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</si>
  <si>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</si>
  <si>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</si>
  <si>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</si>
  <si>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</si>
  <si>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</si>
  <si>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</si>
  <si>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</si>
  <si>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</si>
  <si>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</si>
  <si>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</si>
  <si>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</si>
  <si>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</si>
  <si>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</si>
  <si>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</si>
  <si>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</si>
  <si>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</si>
  <si>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</si>
  <si>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WAG</t>
  </si>
  <si>
    <t>WFC</t>
  </si>
  <si>
    <t>Stock Quotes for ABT</t>
  </si>
  <si>
    <t>Stock Quotes for ACN</t>
  </si>
  <si>
    <t>Stock Quotes for ALL</t>
  </si>
  <si>
    <t>Stock Quotes for AMGN</t>
  </si>
  <si>
    <t>Stock Quotes for AMZN</t>
  </si>
  <si>
    <t>Stock Quotes for APA</t>
  </si>
  <si>
    <t>Stock Quotes for APC</t>
  </si>
  <si>
    <t>Stock Quotes for AXP</t>
  </si>
  <si>
    <t>Stock Quotes for BA</t>
  </si>
  <si>
    <t>Stock Quotes for BAC</t>
  </si>
  <si>
    <t>Stock Quotes for BAX</t>
  </si>
  <si>
    <t>Stock Quotes for BK</t>
  </si>
  <si>
    <t>Stock Quotes for BMY</t>
  </si>
  <si>
    <t>BRK-B</t>
  </si>
  <si>
    <t>Stock Quotes for BRK-B</t>
  </si>
  <si>
    <t>Stock Quotes for CAT</t>
  </si>
  <si>
    <t>Stock Quotes for CL</t>
  </si>
  <si>
    <t>Stock Quotes for CMCSA</t>
  </si>
  <si>
    <t>Stock Quotes for COF</t>
  </si>
  <si>
    <t>Stock Quotes for COP</t>
  </si>
  <si>
    <t>Stock Quotes for COST</t>
  </si>
  <si>
    <t>Stock Quotes for CSCO</t>
  </si>
  <si>
    <t>Stock Quotes for CVS</t>
  </si>
  <si>
    <t>Stock Quotes for CVX</t>
  </si>
  <si>
    <t>Stock Quotes for DD</t>
  </si>
  <si>
    <t>Stock Quotes for DIS</t>
  </si>
  <si>
    <t>Stock Quotes for DOW</t>
  </si>
  <si>
    <t>Stock Quotes for DVN</t>
  </si>
  <si>
    <t>Stock Quotes for EBAY</t>
  </si>
  <si>
    <t>Stock Quotes for EMC</t>
  </si>
  <si>
    <t>Stock Quotes for EMR</t>
  </si>
  <si>
    <t>Stock Quotes for EXC</t>
  </si>
  <si>
    <t>Stock Quotes for F</t>
  </si>
  <si>
    <t>Stock Quotes for FCX</t>
  </si>
  <si>
    <t>Stock Quotes for FDX</t>
  </si>
  <si>
    <t>Stock Quotes for GD</t>
  </si>
  <si>
    <t>Stock Quotes for GE</t>
  </si>
  <si>
    <t>Stock Quotes for GILD</t>
  </si>
  <si>
    <t>Stock Quotes for GOOG</t>
  </si>
  <si>
    <t>Stock Quotes for GS</t>
  </si>
  <si>
    <t>Stock Quotes for HAL</t>
  </si>
  <si>
    <t>Stock Quotes for HD</t>
  </si>
  <si>
    <t>Stock Quotes for HON</t>
  </si>
  <si>
    <t>Stock Quotes for HPQ</t>
  </si>
  <si>
    <t>Stock Quotes for IBM</t>
  </si>
  <si>
    <t>Stock Quotes for INTC</t>
  </si>
  <si>
    <t>Stock Quotes for JNJ</t>
  </si>
  <si>
    <t>Stock Quotes for JPM</t>
  </si>
  <si>
    <t>Stock Quotes for KO</t>
  </si>
  <si>
    <t>Stock Quotes for LLY</t>
  </si>
  <si>
    <t>Stock Quotes for LMT</t>
  </si>
  <si>
    <t>Stock Quotes for LOW</t>
  </si>
  <si>
    <t>Stock Quotes for MA</t>
  </si>
  <si>
    <t>Stock Quotes for MCD</t>
  </si>
  <si>
    <t>Stock Quotes for MDLZ</t>
  </si>
  <si>
    <t>Stock Quotes for MDT</t>
  </si>
  <si>
    <t>Stock Quotes for MET</t>
  </si>
  <si>
    <t>Stock Quotes for MMM</t>
  </si>
  <si>
    <t>Stock Quotes for MO</t>
  </si>
  <si>
    <t>Stock Quotes for MON</t>
  </si>
  <si>
    <t>Stock Quotes for MRK</t>
  </si>
  <si>
    <t>Stock Quotes for MS</t>
  </si>
  <si>
    <t>Stock Quotes for NKE</t>
  </si>
  <si>
    <t>Stock Quotes for NOV</t>
  </si>
  <si>
    <t>Stock Quotes for NSC</t>
  </si>
  <si>
    <t>Stock Quotes for ORCL</t>
  </si>
  <si>
    <t>Stock Quotes for OXY</t>
  </si>
  <si>
    <t>Stock Quotes for PEP</t>
  </si>
  <si>
    <t>Stock Quotes for PFE</t>
  </si>
  <si>
    <t>Stock Quotes for PG</t>
  </si>
  <si>
    <t>Stock Quotes for PM</t>
  </si>
  <si>
    <t>Stock Quotes for QCOM</t>
  </si>
  <si>
    <t>Stock Quotes for RTN</t>
  </si>
  <si>
    <t>Stock Quotes for SBUX</t>
  </si>
  <si>
    <t>Stock Quotes for SLB</t>
  </si>
  <si>
    <t>Stock Quotes for SO</t>
  </si>
  <si>
    <t>Stock Quotes for SPG</t>
  </si>
  <si>
    <t>Stock Quotes for T</t>
  </si>
  <si>
    <t>Stock Quotes for TGT</t>
  </si>
  <si>
    <t>Stock Quotes for TWX</t>
  </si>
  <si>
    <t>Stock Quotes for TXN</t>
  </si>
  <si>
    <t>Stock Quotes for UNH</t>
  </si>
  <si>
    <t>Stock Quotes for UNP</t>
  </si>
  <si>
    <t>Stock Quotes for UPS</t>
  </si>
  <si>
    <t>Stock Quotes for USB</t>
  </si>
  <si>
    <t>Stock Quotes for UTX</t>
  </si>
  <si>
    <t>Stock Quotes for V</t>
  </si>
  <si>
    <t>Stock Quotes for VZ</t>
  </si>
  <si>
    <t>Stock Quotes for WAG</t>
  </si>
  <si>
    <t>Stock Quotes for WFC</t>
  </si>
  <si>
    <t>BIIB</t>
  </si>
  <si>
    <t>C:\Users\Dan\Documents\CLASSWORK\Machine Learning\MLProject3\S&amp;P100\components\</t>
  </si>
  <si>
    <t>Stock Quotes for BIIB</t>
  </si>
  <si>
    <t>ABBV</t>
  </si>
  <si>
    <t>AIG</t>
  </si>
  <si>
    <t>FB</t>
  </si>
  <si>
    <t>FOXA</t>
  </si>
  <si>
    <t>GM</t>
  </si>
  <si>
    <t>GOOGL</t>
  </si>
  <si>
    <t>Stock Quotes for ABBV</t>
  </si>
  <si>
    <t>Stock Quotes for AIG</t>
  </si>
  <si>
    <t>Stock Quotes for FB</t>
  </si>
  <si>
    <t>Stock Quotes for FOXA</t>
  </si>
  <si>
    <t>Stock Quotes for GM</t>
  </si>
  <si>
    <t>Stock Quotes for GOOGL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</si>
</sst>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9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1" fillId="5" borderId="5" xfId="1" applyFill="1" applyBorder="1" applyAlignment="1" applyProtection="1"/>
    <xf numFmtId="0" fontId="0" fillId="5" borderId="6" xfId="0" applyFont="1" applyFill="1" applyBorder="1" applyAlignment="1"/>
    <xf numFmtId="164" fontId="0" fillId="0" borderId="0" xfId="0" applyNumberFormat="1"/>
    <xf numFmtId="164" fontId="0" fillId="2" borderId="4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0" fontId="0" fillId="4" borderId="8" xfId="0" applyFont="1" applyFill="1" applyBorder="1" applyAlignment="1"/>
    <xf numFmtId="0" fontId="0" fillId="3" borderId="9" xfId="0" applyFill="1" applyBorder="1"/>
    <xf numFmtId="0" fontId="2" fillId="3" borderId="7" xfId="0" applyFont="1" applyFill="1" applyBorder="1" applyAlignment="1"/>
    <xf numFmtId="0" fontId="0" fillId="3" borderId="8" xfId="0" applyFill="1" applyBorder="1"/>
    <xf numFmtId="0" fontId="2" fillId="3" borderId="10" xfId="0" applyNumberFormat="1" applyFont="1" applyFill="1" applyBorder="1"/>
    <xf numFmtId="0" fontId="0" fillId="4" borderId="9" xfId="0" applyFont="1" applyFill="1" applyBorder="1" applyAlignment="1"/>
    <xf numFmtId="0" fontId="9" fillId="4" borderId="4" xfId="0" applyFont="1" applyFill="1" applyBorder="1"/>
    <xf numFmtId="49" fontId="0" fillId="4" borderId="8" xfId="0" applyNumberFormat="1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onnections" Target="connection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H$4" lockText="1" noThreeD="1"/>
</file>

<file path=xl/ctrlProps/ctrlProp3.xml><?xml version="1.0" encoding="utf-8"?>
<formControlPr xmlns="http://schemas.microsoft.com/office/spreadsheetml/2009/9/main" objectType="CheckBox" checked="Checked" fmlaLink="H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50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5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5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52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5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53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53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" connectionId="53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" connectionId="53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5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" connectionId="53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53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" connectionId="53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" connectionId="54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" connectionId="54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" connectionId="5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" connectionId="5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" connectionId="5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" connectionId="5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" connectionId="5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54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5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" connectionId="55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5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" connectionId="55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" connectionId="55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" connectionId="55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" connectionId="5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" connectionId="5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" connectionId="5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" connectionId="5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" connectionId="5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" connectionId="5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" connectionId="56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" connectionId="56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" connectionId="5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" connectionId="5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" connectionId="56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" connectionId="56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" connectionId="57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" connectionId="57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" connectionId="5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" connectionId="5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" connectionId="5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" connectionId="5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" connectionId="57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" connectionId="57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" connectionId="57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" connectionId="58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" connectionId="58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" connectionId="5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" connectionId="58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" connectionId="5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" connectionId="58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" connectionId="58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" connectionId="58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" connectionId="58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" connectionId="59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" connectionId="59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" connectionId="59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" connectionId="59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" connectionId="59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" connectionId="59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" connectionId="59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" connectionId="59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" connectionId="59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" connectionId="60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" connectionId="60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" connectionId="60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" connectionId="60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" connectionId="60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" connectionId="60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1" connectionId="60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" connectionId="60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" connectionId="60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" connectionId="61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" connectionId="61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" connectionId="61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" connectionId="61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" connectionId="61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" connectionId="61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" connectionId="6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" connectionId="6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" connectionId="61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" connectionId="62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" connectionId="62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" connectionId="62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" connectionId="62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" connectionId="62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1" connectionId="62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" connectionId="6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" connectionId="62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" connectionId="62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" connectionId="62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" connectionId="6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" connectionId="6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1" connectionId="6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" connectionId="6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" connectionId="6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1" connectionId="6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" connectionId="50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" connectionId="50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" connectionId="50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" connectionId="50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" connectionId="50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" connectionId="50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7"/>
  <sheetViews>
    <sheetView showGridLines="0" tabSelected="1" topLeftCell="B1" zoomScaleNormal="100" workbookViewId="0">
      <selection activeCell="K26" sqref="K26"/>
    </sheetView>
  </sheetViews>
  <sheetFormatPr defaultRowHeight="15.75" customHeight="1" x14ac:dyDescent="0.25"/>
  <cols>
    <col min="1" max="1" width="18.7109375" style="37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 x14ac:dyDescent="0.55000000000000004">
      <c r="A1" s="2" t="s">
        <v>7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8</v>
      </c>
      <c r="B2" s="1"/>
      <c r="D2" s="1"/>
      <c r="E2" s="1"/>
      <c r="F2" s="1"/>
      <c r="G2" s="27"/>
      <c r="H2" s="28"/>
      <c r="I2" s="29"/>
      <c r="J2" s="30" t="s">
        <v>30</v>
      </c>
      <c r="K2" s="31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32" t="s">
        <v>31</v>
      </c>
      <c r="K3" s="33"/>
    </row>
    <row r="4" spans="1:12" ht="15.75" customHeight="1" x14ac:dyDescent="0.25">
      <c r="A4" s="15" t="s">
        <v>11</v>
      </c>
      <c r="B4" s="16"/>
      <c r="C4" s="4"/>
      <c r="F4" s="4"/>
      <c r="G4" s="4"/>
      <c r="H4" s="22" t="b">
        <v>1</v>
      </c>
      <c r="I4" s="4"/>
      <c r="J4"/>
    </row>
    <row r="5" spans="1:12" ht="15.75" customHeight="1" x14ac:dyDescent="0.25">
      <c r="A5" s="17" t="s">
        <v>12</v>
      </c>
      <c r="B5" s="35">
        <v>41821</v>
      </c>
      <c r="C5" s="9"/>
      <c r="F5" s="9"/>
      <c r="H5" s="25" t="b">
        <v>1</v>
      </c>
      <c r="I5" s="9"/>
      <c r="J5"/>
    </row>
    <row r="6" spans="1:12" ht="15.75" customHeight="1" x14ac:dyDescent="0.25">
      <c r="A6" s="17" t="s">
        <v>13</v>
      </c>
      <c r="B6" s="35">
        <v>41897</v>
      </c>
      <c r="C6" s="9"/>
      <c r="F6" s="9"/>
      <c r="G6" s="9"/>
      <c r="H6" s="9"/>
      <c r="I6" s="9"/>
      <c r="J6"/>
    </row>
    <row r="7" spans="1:12" ht="15.75" customHeight="1" x14ac:dyDescent="0.25">
      <c r="A7" s="17" t="s">
        <v>9</v>
      </c>
      <c r="B7" s="20" t="s">
        <v>10</v>
      </c>
      <c r="C7" s="9"/>
      <c r="F7" s="9"/>
      <c r="G7" s="9"/>
      <c r="H7" s="23"/>
      <c r="I7" s="9"/>
      <c r="J7"/>
    </row>
    <row r="8" spans="1:12" ht="15.75" customHeight="1" x14ac:dyDescent="0.25">
      <c r="A8" s="17"/>
      <c r="B8" s="24" t="s">
        <v>220</v>
      </c>
      <c r="C8" s="9"/>
      <c r="F8" s="9"/>
      <c r="G8" s="9"/>
      <c r="H8" s="9"/>
      <c r="I8" s="9"/>
      <c r="J8"/>
    </row>
    <row r="9" spans="1:12" ht="15.75" customHeight="1" thickBot="1" x14ac:dyDescent="0.3">
      <c r="A9" s="18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3"/>
      <c r="F10" s="9"/>
      <c r="G10" s="9"/>
      <c r="H10" s="9"/>
      <c r="I10" s="9"/>
      <c r="J10" s="45" t="s">
        <v>33</v>
      </c>
      <c r="L10" s="43" t="s">
        <v>38</v>
      </c>
    </row>
    <row r="11" spans="1:12" ht="15.75" customHeight="1" x14ac:dyDescent="0.25">
      <c r="A11" s="40" t="s">
        <v>14</v>
      </c>
      <c r="C11" s="3" t="s">
        <v>15</v>
      </c>
      <c r="F11" s="9"/>
      <c r="G11" s="9"/>
      <c r="H11" s="9"/>
      <c r="I11" s="9"/>
      <c r="J11"/>
      <c r="L11" s="44" t="s">
        <v>35</v>
      </c>
    </row>
    <row r="12" spans="1:12" ht="15.75" customHeight="1" x14ac:dyDescent="0.25">
      <c r="A12" s="26" t="s">
        <v>35</v>
      </c>
      <c r="C12" s="3" t="s">
        <v>16</v>
      </c>
      <c r="E12" s="7"/>
      <c r="F12" s="9"/>
      <c r="G12" s="9"/>
      <c r="H12" s="9"/>
      <c r="I12" s="9"/>
      <c r="J12"/>
      <c r="L12" s="44" t="s">
        <v>222</v>
      </c>
    </row>
    <row r="13" spans="1:12" ht="15.75" customHeight="1" x14ac:dyDescent="0.25">
      <c r="A13" s="41" t="s">
        <v>222</v>
      </c>
      <c r="C13" s="3" t="s">
        <v>17</v>
      </c>
      <c r="E13" s="5"/>
      <c r="F13" s="9"/>
      <c r="G13" s="9"/>
      <c r="H13" s="9"/>
      <c r="I13" s="9"/>
      <c r="J13"/>
      <c r="L13" s="44" t="s">
        <v>41</v>
      </c>
    </row>
    <row r="14" spans="1:12" ht="15.75" customHeight="1" x14ac:dyDescent="0.25">
      <c r="A14" s="47" t="s">
        <v>41</v>
      </c>
      <c r="B14" s="9"/>
      <c r="C14" s="19" t="s">
        <v>18</v>
      </c>
      <c r="D14" s="10"/>
      <c r="E14" s="11"/>
      <c r="F14" s="11"/>
      <c r="G14" s="11"/>
      <c r="H14" s="11"/>
      <c r="I14" s="11"/>
      <c r="J14"/>
      <c r="L14" s="44" t="s">
        <v>42</v>
      </c>
    </row>
    <row r="15" spans="1:12" ht="15.75" customHeight="1" x14ac:dyDescent="0.25">
      <c r="A15" s="41" t="s">
        <v>42</v>
      </c>
      <c r="D15" s="6"/>
      <c r="J15"/>
      <c r="L15" s="44" t="s">
        <v>223</v>
      </c>
    </row>
    <row r="16" spans="1:12" ht="15.75" customHeight="1" x14ac:dyDescent="0.25">
      <c r="A16" s="41" t="s">
        <v>223</v>
      </c>
      <c r="C16" s="3" t="s">
        <v>19</v>
      </c>
      <c r="J16"/>
      <c r="L16" s="44" t="s">
        <v>43</v>
      </c>
    </row>
    <row r="17" spans="1:12" ht="15.75" customHeight="1" x14ac:dyDescent="0.25">
      <c r="A17" s="41" t="s">
        <v>43</v>
      </c>
      <c r="C17" s="3" t="s">
        <v>20</v>
      </c>
      <c r="J17"/>
      <c r="L17" s="44" t="s">
        <v>44</v>
      </c>
    </row>
    <row r="18" spans="1:12" ht="15.75" customHeight="1" x14ac:dyDescent="0.25">
      <c r="A18" s="41" t="s">
        <v>44</v>
      </c>
      <c r="C18" s="3" t="s">
        <v>21</v>
      </c>
      <c r="J18"/>
      <c r="K18" s="19"/>
      <c r="L18" s="44" t="s">
        <v>45</v>
      </c>
    </row>
    <row r="19" spans="1:12" ht="15.75" customHeight="1" x14ac:dyDescent="0.25">
      <c r="A19" s="48" t="s">
        <v>45</v>
      </c>
      <c r="C19" s="10"/>
      <c r="D19" s="10"/>
      <c r="E19" s="11"/>
      <c r="F19" s="11"/>
      <c r="G19" s="11"/>
      <c r="H19" s="11"/>
      <c r="I19" s="11"/>
      <c r="J19"/>
      <c r="L19" s="44" t="s">
        <v>46</v>
      </c>
    </row>
    <row r="20" spans="1:12" ht="15.75" customHeight="1" x14ac:dyDescent="0.25">
      <c r="A20" s="41" t="s">
        <v>46</v>
      </c>
      <c r="C20" s="3" t="s">
        <v>25</v>
      </c>
      <c r="D20" s="12"/>
      <c r="E20" s="12"/>
      <c r="F20" s="12"/>
      <c r="G20" s="12"/>
      <c r="H20" s="12"/>
      <c r="I20" s="12"/>
      <c r="J20"/>
      <c r="L20" s="44" t="s">
        <v>47</v>
      </c>
    </row>
    <row r="21" spans="1:12" ht="15.75" customHeight="1" x14ac:dyDescent="0.25">
      <c r="A21" s="41" t="s">
        <v>47</v>
      </c>
      <c r="C21" s="3" t="s">
        <v>29</v>
      </c>
      <c r="D21" s="12"/>
      <c r="E21" s="12"/>
      <c r="F21" s="12"/>
      <c r="G21" s="12"/>
      <c r="H21" s="12"/>
      <c r="I21" s="12"/>
      <c r="J21"/>
      <c r="L21" s="44" t="s">
        <v>48</v>
      </c>
    </row>
    <row r="22" spans="1:12" ht="15.75" customHeight="1" x14ac:dyDescent="0.25">
      <c r="A22" s="41" t="s">
        <v>48</v>
      </c>
      <c r="D22" s="13"/>
      <c r="E22" s="14"/>
      <c r="F22" s="14"/>
      <c r="G22" s="14"/>
      <c r="H22" s="14"/>
      <c r="I22" s="14"/>
      <c r="J22" s="19"/>
      <c r="L22" s="44" t="s">
        <v>49</v>
      </c>
    </row>
    <row r="23" spans="1:12" ht="15.75" customHeight="1" x14ac:dyDescent="0.25">
      <c r="A23" s="41" t="s">
        <v>49</v>
      </c>
      <c r="B23" s="10"/>
      <c r="C23" s="3" t="s">
        <v>24</v>
      </c>
      <c r="D23" s="8"/>
      <c r="E23" s="8"/>
      <c r="F23" s="8"/>
      <c r="G23" s="8"/>
      <c r="H23" s="8"/>
      <c r="I23" s="8"/>
      <c r="J23" s="19"/>
      <c r="L23" s="44" t="s">
        <v>50</v>
      </c>
    </row>
    <row r="24" spans="1:12" ht="15.75" customHeight="1" x14ac:dyDescent="0.25">
      <c r="A24" s="41" t="s">
        <v>50</v>
      </c>
      <c r="B24" s="10"/>
      <c r="C24" s="12" t="s">
        <v>28</v>
      </c>
      <c r="D24" s="8"/>
      <c r="E24" s="8"/>
      <c r="F24" s="8"/>
      <c r="G24" s="8"/>
      <c r="H24" s="8"/>
      <c r="I24" s="8"/>
      <c r="J24" s="19"/>
      <c r="L24" s="44" t="s">
        <v>51</v>
      </c>
    </row>
    <row r="25" spans="1:12" ht="15.75" customHeight="1" x14ac:dyDescent="0.25">
      <c r="A25" s="41" t="s">
        <v>51</v>
      </c>
      <c r="B25" s="11"/>
      <c r="C25" s="3" t="s">
        <v>40</v>
      </c>
      <c r="J25" s="19"/>
      <c r="L25" s="44" t="s">
        <v>219</v>
      </c>
    </row>
    <row r="26" spans="1:12" ht="15.75" customHeight="1" x14ac:dyDescent="0.25">
      <c r="A26" s="41" t="s">
        <v>219</v>
      </c>
      <c r="B26" s="11"/>
      <c r="C26" s="3" t="s">
        <v>39</v>
      </c>
      <c r="J26" s="19"/>
      <c r="L26" s="44" t="s">
        <v>52</v>
      </c>
    </row>
    <row r="27" spans="1:12" ht="15.75" customHeight="1" x14ac:dyDescent="0.25">
      <c r="A27" s="41" t="s">
        <v>52</v>
      </c>
      <c r="B27" s="11"/>
      <c r="C27" s="8" t="s">
        <v>32</v>
      </c>
      <c r="D27" s="8"/>
      <c r="E27" s="8"/>
      <c r="F27" s="8"/>
      <c r="G27" s="8"/>
      <c r="H27" s="8"/>
      <c r="I27" s="8"/>
      <c r="J27" s="19"/>
      <c r="L27" s="44" t="s">
        <v>53</v>
      </c>
    </row>
    <row r="28" spans="1:12" ht="15.75" customHeight="1" x14ac:dyDescent="0.25">
      <c r="A28" s="41" t="s">
        <v>53</v>
      </c>
      <c r="B28" s="11"/>
      <c r="C28" s="8"/>
      <c r="D28" s="8"/>
      <c r="E28" s="8"/>
      <c r="F28" s="8"/>
      <c r="G28" s="8"/>
      <c r="H28" s="8"/>
      <c r="I28" s="8"/>
      <c r="J28" s="19"/>
      <c r="L28" s="44" t="s">
        <v>142</v>
      </c>
    </row>
    <row r="29" spans="1:12" ht="15.75" customHeight="1" x14ac:dyDescent="0.25">
      <c r="A29" s="41" t="s">
        <v>142</v>
      </c>
      <c r="B29" s="11"/>
      <c r="C29" s="8"/>
      <c r="D29" s="8"/>
      <c r="E29" s="8"/>
      <c r="F29" s="8"/>
      <c r="G29" s="8"/>
      <c r="H29" s="8"/>
      <c r="I29" s="8"/>
      <c r="J29" s="19"/>
      <c r="L29" s="44" t="s">
        <v>34</v>
      </c>
    </row>
    <row r="30" spans="1:12" ht="15.75" customHeight="1" x14ac:dyDescent="0.25">
      <c r="A30" s="41" t="s">
        <v>34</v>
      </c>
      <c r="J30" s="19"/>
      <c r="L30" s="44" t="s">
        <v>54</v>
      </c>
    </row>
    <row r="31" spans="1:12" ht="15.75" customHeight="1" x14ac:dyDescent="0.25">
      <c r="A31" s="41" t="s">
        <v>54</v>
      </c>
      <c r="J31" s="19"/>
      <c r="L31" s="44" t="s">
        <v>55</v>
      </c>
    </row>
    <row r="32" spans="1:12" ht="15.75" customHeight="1" x14ac:dyDescent="0.25">
      <c r="A32" s="41" t="s">
        <v>55</v>
      </c>
      <c r="J32" s="19"/>
      <c r="L32" s="44" t="s">
        <v>56</v>
      </c>
    </row>
    <row r="33" spans="1:12" ht="15.75" customHeight="1" x14ac:dyDescent="0.25">
      <c r="A33" s="41" t="s">
        <v>56</v>
      </c>
      <c r="J33" s="19"/>
      <c r="L33" s="44" t="s">
        <v>57</v>
      </c>
    </row>
    <row r="34" spans="1:12" ht="15.75" customHeight="1" x14ac:dyDescent="0.25">
      <c r="A34" s="41" t="s">
        <v>57</v>
      </c>
      <c r="J34" s="19"/>
      <c r="L34" s="44" t="s">
        <v>58</v>
      </c>
    </row>
    <row r="35" spans="1:12" ht="15.75" customHeight="1" x14ac:dyDescent="0.25">
      <c r="A35" s="41" t="s">
        <v>58</v>
      </c>
      <c r="J35" s="19"/>
      <c r="L35" s="44" t="s">
        <v>59</v>
      </c>
    </row>
    <row r="36" spans="1:12" ht="15.75" customHeight="1" x14ac:dyDescent="0.25">
      <c r="A36" s="41" t="s">
        <v>59</v>
      </c>
      <c r="J36" s="19"/>
      <c r="L36" s="44" t="s">
        <v>60</v>
      </c>
    </row>
    <row r="37" spans="1:12" ht="15.75" customHeight="1" x14ac:dyDescent="0.25">
      <c r="A37" s="41" t="s">
        <v>60</v>
      </c>
      <c r="J37" s="19"/>
      <c r="L37" s="44" t="s">
        <v>61</v>
      </c>
    </row>
    <row r="38" spans="1:12" ht="15.75" customHeight="1" x14ac:dyDescent="0.25">
      <c r="A38" s="41" t="s">
        <v>61</v>
      </c>
      <c r="J38" s="19"/>
      <c r="L38" s="44" t="s">
        <v>62</v>
      </c>
    </row>
    <row r="39" spans="1:12" ht="15.75" customHeight="1" x14ac:dyDescent="0.25">
      <c r="A39" s="41" t="s">
        <v>62</v>
      </c>
      <c r="J39" s="19"/>
      <c r="L39" s="44" t="s">
        <v>63</v>
      </c>
    </row>
    <row r="40" spans="1:12" ht="15.75" customHeight="1" x14ac:dyDescent="0.25">
      <c r="A40" s="41" t="s">
        <v>63</v>
      </c>
      <c r="J40" s="19"/>
      <c r="L40" s="44" t="s">
        <v>64</v>
      </c>
    </row>
    <row r="41" spans="1:12" ht="15.75" customHeight="1" x14ac:dyDescent="0.25">
      <c r="A41" s="41" t="s">
        <v>64</v>
      </c>
      <c r="J41" s="19"/>
      <c r="L41" s="44" t="s">
        <v>65</v>
      </c>
    </row>
    <row r="42" spans="1:12" ht="15.75" customHeight="1" x14ac:dyDescent="0.25">
      <c r="A42" s="41" t="s">
        <v>65</v>
      </c>
      <c r="J42" s="19"/>
      <c r="L42" s="44" t="s">
        <v>66</v>
      </c>
    </row>
    <row r="43" spans="1:12" ht="15.75" customHeight="1" x14ac:dyDescent="0.25">
      <c r="A43" s="41" t="s">
        <v>66</v>
      </c>
      <c r="J43" s="19"/>
      <c r="L43" s="44" t="s">
        <v>67</v>
      </c>
    </row>
    <row r="44" spans="1:12" ht="15.75" customHeight="1" x14ac:dyDescent="0.25">
      <c r="A44" s="41" t="s">
        <v>67</v>
      </c>
      <c r="J44" s="19"/>
      <c r="L44" s="44" t="s">
        <v>68</v>
      </c>
    </row>
    <row r="45" spans="1:12" ht="15.75" customHeight="1" x14ac:dyDescent="0.25">
      <c r="A45" s="41" t="s">
        <v>68</v>
      </c>
      <c r="L45" s="44" t="s">
        <v>69</v>
      </c>
    </row>
    <row r="46" spans="1:12" ht="15.75" customHeight="1" x14ac:dyDescent="0.25">
      <c r="A46" s="41" t="s">
        <v>69</v>
      </c>
      <c r="L46" s="44" t="s">
        <v>70</v>
      </c>
    </row>
    <row r="47" spans="1:12" ht="15.75" customHeight="1" x14ac:dyDescent="0.25">
      <c r="A47" s="41" t="s">
        <v>70</v>
      </c>
      <c r="L47" s="44" t="s">
        <v>71</v>
      </c>
    </row>
    <row r="48" spans="1:12" ht="15.75" customHeight="1" x14ac:dyDescent="0.25">
      <c r="A48" s="41" t="s">
        <v>71</v>
      </c>
      <c r="L48" s="44" t="s">
        <v>224</v>
      </c>
    </row>
    <row r="49" spans="1:12" ht="15.75" customHeight="1" x14ac:dyDescent="0.25">
      <c r="A49" s="41" t="s">
        <v>224</v>
      </c>
      <c r="L49" s="44" t="s">
        <v>72</v>
      </c>
    </row>
    <row r="50" spans="1:12" ht="15.75" customHeight="1" x14ac:dyDescent="0.25">
      <c r="A50" s="41" t="s">
        <v>72</v>
      </c>
      <c r="L50" s="44" t="s">
        <v>73</v>
      </c>
    </row>
    <row r="51" spans="1:12" ht="15.75" customHeight="1" x14ac:dyDescent="0.25">
      <c r="A51" s="41" t="s">
        <v>73</v>
      </c>
      <c r="L51" s="44" t="s">
        <v>225</v>
      </c>
    </row>
    <row r="52" spans="1:12" ht="15.75" customHeight="1" x14ac:dyDescent="0.25">
      <c r="A52" s="41" t="s">
        <v>225</v>
      </c>
      <c r="L52" s="44" t="s">
        <v>74</v>
      </c>
    </row>
    <row r="53" spans="1:12" ht="15.75" customHeight="1" x14ac:dyDescent="0.25">
      <c r="A53" s="41" t="s">
        <v>74</v>
      </c>
      <c r="L53" s="44" t="s">
        <v>75</v>
      </c>
    </row>
    <row r="54" spans="1:12" ht="15.75" customHeight="1" x14ac:dyDescent="0.25">
      <c r="A54" s="41" t="s">
        <v>75</v>
      </c>
      <c r="L54" s="44" t="s">
        <v>76</v>
      </c>
    </row>
    <row r="55" spans="1:12" ht="15.75" customHeight="1" x14ac:dyDescent="0.25">
      <c r="A55" s="41" t="s">
        <v>76</v>
      </c>
      <c r="L55" s="44" t="s">
        <v>226</v>
      </c>
    </row>
    <row r="56" spans="1:12" ht="15.75" customHeight="1" x14ac:dyDescent="0.25">
      <c r="A56" s="41" t="s">
        <v>226</v>
      </c>
      <c r="L56" s="44" t="s">
        <v>77</v>
      </c>
    </row>
    <row r="57" spans="1:12" ht="15.75" customHeight="1" x14ac:dyDescent="0.25">
      <c r="A57" s="41" t="s">
        <v>77</v>
      </c>
      <c r="L57" s="44" t="s">
        <v>227</v>
      </c>
    </row>
    <row r="58" spans="1:12" ht="15.75" customHeight="1" x14ac:dyDescent="0.25">
      <c r="A58" s="41" t="s">
        <v>227</v>
      </c>
      <c r="L58" s="44" t="s">
        <v>78</v>
      </c>
    </row>
    <row r="59" spans="1:12" ht="15.75" customHeight="1" x14ac:dyDescent="0.25">
      <c r="A59" s="41" t="s">
        <v>78</v>
      </c>
      <c r="L59" s="44" t="s">
        <v>79</v>
      </c>
    </row>
    <row r="60" spans="1:12" ht="15.75" customHeight="1" x14ac:dyDescent="0.25">
      <c r="A60" s="41" t="s">
        <v>79</v>
      </c>
      <c r="L60" s="44" t="s">
        <v>80</v>
      </c>
    </row>
    <row r="61" spans="1:12" ht="15.75" customHeight="1" x14ac:dyDescent="0.25">
      <c r="A61" s="41" t="s">
        <v>80</v>
      </c>
      <c r="L61" s="44" t="s">
        <v>81</v>
      </c>
    </row>
    <row r="62" spans="1:12" ht="15.75" customHeight="1" x14ac:dyDescent="0.25">
      <c r="A62" s="41" t="s">
        <v>81</v>
      </c>
      <c r="L62" s="44" t="s">
        <v>82</v>
      </c>
    </row>
    <row r="63" spans="1:12" ht="15.75" customHeight="1" x14ac:dyDescent="0.25">
      <c r="A63" s="41" t="s">
        <v>82</v>
      </c>
      <c r="L63" s="44" t="s">
        <v>83</v>
      </c>
    </row>
    <row r="64" spans="1:12" ht="15.75" customHeight="1" x14ac:dyDescent="0.25">
      <c r="A64" s="41" t="s">
        <v>83</v>
      </c>
      <c r="L64" s="44" t="s">
        <v>84</v>
      </c>
    </row>
    <row r="65" spans="1:12" ht="15.75" customHeight="1" x14ac:dyDescent="0.25">
      <c r="A65" s="41" t="s">
        <v>84</v>
      </c>
      <c r="L65" s="44" t="s">
        <v>85</v>
      </c>
    </row>
    <row r="66" spans="1:12" ht="15.75" customHeight="1" x14ac:dyDescent="0.25">
      <c r="A66" s="41" t="s">
        <v>85</v>
      </c>
      <c r="L66" s="44" t="s">
        <v>86</v>
      </c>
    </row>
    <row r="67" spans="1:12" ht="15.75" customHeight="1" x14ac:dyDescent="0.25">
      <c r="A67" s="41" t="s">
        <v>86</v>
      </c>
      <c r="L67" s="44" t="s">
        <v>87</v>
      </c>
    </row>
    <row r="68" spans="1:12" ht="15.75" customHeight="1" x14ac:dyDescent="0.25">
      <c r="A68" s="41" t="s">
        <v>87</v>
      </c>
      <c r="L68" s="44" t="s">
        <v>88</v>
      </c>
    </row>
    <row r="69" spans="1:12" ht="15.75" customHeight="1" x14ac:dyDescent="0.25">
      <c r="A69" s="41" t="s">
        <v>88</v>
      </c>
      <c r="L69" s="44" t="s">
        <v>89</v>
      </c>
    </row>
    <row r="70" spans="1:12" ht="15.75" customHeight="1" x14ac:dyDescent="0.25">
      <c r="A70" s="41" t="s">
        <v>89</v>
      </c>
      <c r="L70" s="44" t="s">
        <v>90</v>
      </c>
    </row>
    <row r="71" spans="1:12" ht="15.75" customHeight="1" x14ac:dyDescent="0.25">
      <c r="A71" s="41" t="s">
        <v>90</v>
      </c>
      <c r="L71" s="44" t="s">
        <v>91</v>
      </c>
    </row>
    <row r="72" spans="1:12" ht="15.75" customHeight="1" x14ac:dyDescent="0.25">
      <c r="A72" s="41" t="s">
        <v>91</v>
      </c>
      <c r="L72" s="44" t="s">
        <v>92</v>
      </c>
    </row>
    <row r="73" spans="1:12" ht="15.75" customHeight="1" x14ac:dyDescent="0.25">
      <c r="A73" s="41" t="s">
        <v>92</v>
      </c>
      <c r="L73" s="44" t="s">
        <v>93</v>
      </c>
    </row>
    <row r="74" spans="1:12" ht="15.75" customHeight="1" x14ac:dyDescent="0.25">
      <c r="A74" s="41" t="s">
        <v>93</v>
      </c>
      <c r="L74" s="44" t="s">
        <v>94</v>
      </c>
    </row>
    <row r="75" spans="1:12" ht="15.75" customHeight="1" x14ac:dyDescent="0.25">
      <c r="A75" s="41" t="s">
        <v>94</v>
      </c>
      <c r="L75" s="44" t="s">
        <v>95</v>
      </c>
    </row>
    <row r="76" spans="1:12" ht="15.75" customHeight="1" x14ac:dyDescent="0.25">
      <c r="A76" s="41" t="s">
        <v>95</v>
      </c>
      <c r="L76" s="44" t="s">
        <v>96</v>
      </c>
    </row>
    <row r="77" spans="1:12" ht="15.75" customHeight="1" x14ac:dyDescent="0.25">
      <c r="A77" s="41" t="s">
        <v>96</v>
      </c>
      <c r="L77" s="44" t="s">
        <v>97</v>
      </c>
    </row>
    <row r="78" spans="1:12" ht="15.75" customHeight="1" x14ac:dyDescent="0.25">
      <c r="A78" s="41" t="s">
        <v>97</v>
      </c>
      <c r="L78" s="44" t="s">
        <v>98</v>
      </c>
    </row>
    <row r="79" spans="1:12" ht="15.75" customHeight="1" x14ac:dyDescent="0.25">
      <c r="A79" s="41" t="s">
        <v>98</v>
      </c>
      <c r="L79" s="44" t="s">
        <v>99</v>
      </c>
    </row>
    <row r="80" spans="1:12" ht="15.75" customHeight="1" x14ac:dyDescent="0.25">
      <c r="A80" s="41" t="s">
        <v>99</v>
      </c>
      <c r="L80" s="44" t="s">
        <v>100</v>
      </c>
    </row>
    <row r="81" spans="1:12" ht="15.75" customHeight="1" x14ac:dyDescent="0.25">
      <c r="A81" s="41" t="s">
        <v>100</v>
      </c>
      <c r="L81" s="44" t="s">
        <v>26</v>
      </c>
    </row>
    <row r="82" spans="1:12" ht="15.75" customHeight="1" x14ac:dyDescent="0.25">
      <c r="A82" s="41" t="s">
        <v>26</v>
      </c>
      <c r="L82" s="44" t="s">
        <v>101</v>
      </c>
    </row>
    <row r="83" spans="1:12" ht="15.75" customHeight="1" x14ac:dyDescent="0.25">
      <c r="A83" s="41" t="s">
        <v>101</v>
      </c>
      <c r="L83" s="44" t="s">
        <v>102</v>
      </c>
    </row>
    <row r="84" spans="1:12" ht="15.75" customHeight="1" x14ac:dyDescent="0.25">
      <c r="A84" s="41" t="s">
        <v>102</v>
      </c>
      <c r="L84" s="44" t="s">
        <v>103</v>
      </c>
    </row>
    <row r="85" spans="1:12" ht="15.75" customHeight="1" x14ac:dyDescent="0.25">
      <c r="A85" s="41" t="s">
        <v>103</v>
      </c>
      <c r="L85" s="44" t="s">
        <v>104</v>
      </c>
    </row>
    <row r="86" spans="1:12" ht="15.75" customHeight="1" x14ac:dyDescent="0.25">
      <c r="A86" s="41" t="s">
        <v>104</v>
      </c>
      <c r="L86" s="44" t="s">
        <v>105</v>
      </c>
    </row>
    <row r="87" spans="1:12" ht="15.75" customHeight="1" x14ac:dyDescent="0.25">
      <c r="A87" s="41" t="s">
        <v>105</v>
      </c>
      <c r="L87" s="44" t="s">
        <v>106</v>
      </c>
    </row>
    <row r="88" spans="1:12" ht="15.75" customHeight="1" x14ac:dyDescent="0.25">
      <c r="A88" s="41" t="s">
        <v>106</v>
      </c>
      <c r="L88" s="44" t="s">
        <v>107</v>
      </c>
    </row>
    <row r="89" spans="1:12" ht="15.75" customHeight="1" x14ac:dyDescent="0.25">
      <c r="A89" s="41" t="s">
        <v>107</v>
      </c>
      <c r="L89" s="44" t="s">
        <v>108</v>
      </c>
    </row>
    <row r="90" spans="1:12" ht="15.75" customHeight="1" x14ac:dyDescent="0.25">
      <c r="A90" s="41" t="s">
        <v>108</v>
      </c>
      <c r="L90" s="44" t="s">
        <v>109</v>
      </c>
    </row>
    <row r="91" spans="1:12" ht="15.75" customHeight="1" x14ac:dyDescent="0.25">
      <c r="A91" s="41" t="s">
        <v>109</v>
      </c>
      <c r="L91" s="44" t="s">
        <v>110</v>
      </c>
    </row>
    <row r="92" spans="1:12" ht="15.75" customHeight="1" x14ac:dyDescent="0.25">
      <c r="A92" s="41" t="s">
        <v>110</v>
      </c>
      <c r="L92" s="44" t="s">
        <v>111</v>
      </c>
    </row>
    <row r="93" spans="1:12" ht="15.75" customHeight="1" x14ac:dyDescent="0.25">
      <c r="A93" s="41" t="s">
        <v>111</v>
      </c>
      <c r="L93" s="44" t="s">
        <v>112</v>
      </c>
    </row>
    <row r="94" spans="1:12" ht="15.75" customHeight="1" x14ac:dyDescent="0.25">
      <c r="A94" s="41" t="s">
        <v>112</v>
      </c>
      <c r="L94" s="44" t="s">
        <v>113</v>
      </c>
    </row>
    <row r="95" spans="1:12" ht="15.75" customHeight="1" x14ac:dyDescent="0.25">
      <c r="A95" s="41" t="s">
        <v>113</v>
      </c>
      <c r="L95" s="44" t="s">
        <v>114</v>
      </c>
    </row>
    <row r="96" spans="1:12" ht="15.75" customHeight="1" x14ac:dyDescent="0.25">
      <c r="A96" s="41" t="s">
        <v>114</v>
      </c>
      <c r="L96" s="44" t="s">
        <v>115</v>
      </c>
    </row>
    <row r="97" spans="1:12" ht="15.75" customHeight="1" x14ac:dyDescent="0.25">
      <c r="A97" s="41" t="s">
        <v>115</v>
      </c>
      <c r="L97" s="44" t="s">
        <v>116</v>
      </c>
    </row>
    <row r="98" spans="1:12" ht="15.75" customHeight="1" x14ac:dyDescent="0.25">
      <c r="A98" s="41" t="s">
        <v>116</v>
      </c>
      <c r="L98" s="44" t="s">
        <v>117</v>
      </c>
    </row>
    <row r="99" spans="1:12" ht="15.75" customHeight="1" x14ac:dyDescent="0.25">
      <c r="A99" s="41" t="s">
        <v>117</v>
      </c>
      <c r="L99" s="44" t="s">
        <v>118</v>
      </c>
    </row>
    <row r="100" spans="1:12" ht="15.75" customHeight="1" x14ac:dyDescent="0.25">
      <c r="A100" s="41" t="s">
        <v>118</v>
      </c>
      <c r="L100" s="44" t="s">
        <v>119</v>
      </c>
    </row>
    <row r="101" spans="1:12" ht="15.75" customHeight="1" x14ac:dyDescent="0.25">
      <c r="A101" s="41" t="s">
        <v>119</v>
      </c>
      <c r="L101" s="44" t="s">
        <v>120</v>
      </c>
    </row>
    <row r="102" spans="1:12" ht="15.75" customHeight="1" x14ac:dyDescent="0.25">
      <c r="A102" s="41" t="s">
        <v>120</v>
      </c>
      <c r="L102" s="44" t="s">
        <v>121</v>
      </c>
    </row>
    <row r="103" spans="1:12" ht="15.75" customHeight="1" x14ac:dyDescent="0.25">
      <c r="A103" s="41" t="s">
        <v>121</v>
      </c>
      <c r="L103" s="44" t="s">
        <v>122</v>
      </c>
    </row>
    <row r="104" spans="1:12" ht="15.75" customHeight="1" x14ac:dyDescent="0.25">
      <c r="A104" s="41" t="s">
        <v>122</v>
      </c>
      <c r="L104" s="44" t="s">
        <v>123</v>
      </c>
    </row>
    <row r="105" spans="1:12" ht="15.75" customHeight="1" x14ac:dyDescent="0.25">
      <c r="A105" s="41" t="s">
        <v>123</v>
      </c>
      <c r="L105" s="44" t="s">
        <v>124</v>
      </c>
    </row>
    <row r="106" spans="1:12" ht="15.75" customHeight="1" x14ac:dyDescent="0.25">
      <c r="A106" s="41" t="s">
        <v>124</v>
      </c>
      <c r="L106" s="44" t="s">
        <v>125</v>
      </c>
    </row>
    <row r="107" spans="1:12" ht="15.75" customHeight="1" x14ac:dyDescent="0.25">
      <c r="A107" s="41" t="s">
        <v>125</v>
      </c>
      <c r="L107" s="44" t="s">
        <v>126</v>
      </c>
    </row>
    <row r="108" spans="1:12" ht="15.75" customHeight="1" x14ac:dyDescent="0.25">
      <c r="A108" s="41" t="s">
        <v>126</v>
      </c>
      <c r="L108" s="44" t="s">
        <v>127</v>
      </c>
    </row>
    <row r="109" spans="1:12" ht="15.75" customHeight="1" x14ac:dyDescent="0.25">
      <c r="A109" s="41" t="s">
        <v>127</v>
      </c>
      <c r="L109" s="44" t="s">
        <v>128</v>
      </c>
    </row>
    <row r="110" spans="1:12" ht="15.75" customHeight="1" thickBot="1" x14ac:dyDescent="0.3">
      <c r="A110" s="41" t="s">
        <v>128</v>
      </c>
      <c r="L110" s="42" t="s">
        <v>22</v>
      </c>
    </row>
    <row r="111" spans="1:12" ht="15.75" customHeight="1" thickBot="1" x14ac:dyDescent="0.3">
      <c r="A111" s="46" t="s">
        <v>22</v>
      </c>
      <c r="L111" s="42"/>
    </row>
    <row r="112" spans="1:12" ht="15.75" customHeight="1" thickBot="1" x14ac:dyDescent="0.3">
      <c r="A112" s="38"/>
      <c r="L112" s="42"/>
    </row>
    <row r="113" spans="1:1" ht="15.75" customHeight="1" x14ac:dyDescent="0.25">
      <c r="A113" s="39"/>
    </row>
    <row r="114" spans="1:1" ht="15.75" customHeight="1" x14ac:dyDescent="0.25">
      <c r="A114" s="39"/>
    </row>
    <row r="115" spans="1:1" ht="15.75" customHeight="1" x14ac:dyDescent="0.25">
      <c r="A115" s="39"/>
    </row>
    <row r="116" spans="1:1" ht="15.75" customHeight="1" x14ac:dyDescent="0.25">
      <c r="A116" s="39"/>
    </row>
    <row r="117" spans="1:1" ht="15.75" customHeight="1" x14ac:dyDescent="0.25">
      <c r="A117" s="39"/>
    </row>
    <row r="118" spans="1:1" ht="15.75" customHeight="1" x14ac:dyDescent="0.25">
      <c r="A118" s="39"/>
    </row>
    <row r="119" spans="1:1" ht="15.75" customHeight="1" x14ac:dyDescent="0.25">
      <c r="A119" s="39"/>
    </row>
    <row r="120" spans="1:1" ht="15.75" customHeight="1" x14ac:dyDescent="0.25">
      <c r="A120" s="39"/>
    </row>
    <row r="121" spans="1:1" ht="15.75" customHeight="1" x14ac:dyDescent="0.25">
      <c r="A121" s="39"/>
    </row>
    <row r="122" spans="1:1" ht="15.75" customHeight="1" x14ac:dyDescent="0.25">
      <c r="A122" s="39"/>
    </row>
    <row r="123" spans="1:1" ht="15.75" customHeight="1" x14ac:dyDescent="0.25">
      <c r="A123" s="39"/>
    </row>
    <row r="124" spans="1:1" ht="15.75" customHeight="1" x14ac:dyDescent="0.25">
      <c r="A124" s="39"/>
    </row>
    <row r="125" spans="1:1" ht="15.75" customHeight="1" x14ac:dyDescent="0.25">
      <c r="A125" s="39"/>
    </row>
    <row r="126" spans="1:1" ht="15.75" customHeight="1" x14ac:dyDescent="0.25">
      <c r="A126" s="39"/>
    </row>
    <row r="127" spans="1:1" ht="15.75" customHeight="1" x14ac:dyDescent="0.25">
      <c r="A127" s="39"/>
    </row>
    <row r="128" spans="1:1" ht="15.75" customHeight="1" x14ac:dyDescent="0.25">
      <c r="A128" s="39"/>
    </row>
    <row r="129" spans="1:1" ht="15.75" customHeight="1" x14ac:dyDescent="0.25">
      <c r="A129" s="39"/>
    </row>
    <row r="130" spans="1:1" ht="15.75" customHeight="1" x14ac:dyDescent="0.25">
      <c r="A130" s="39"/>
    </row>
    <row r="131" spans="1:1" ht="15.75" customHeight="1" x14ac:dyDescent="0.25">
      <c r="A131" s="39"/>
    </row>
    <row r="132" spans="1:1" ht="15.75" customHeight="1" x14ac:dyDescent="0.25">
      <c r="A132" s="39"/>
    </row>
    <row r="133" spans="1:1" ht="15.75" customHeight="1" x14ac:dyDescent="0.25">
      <c r="A133" s="39"/>
    </row>
    <row r="134" spans="1:1" ht="15.75" customHeight="1" x14ac:dyDescent="0.25">
      <c r="A134" s="39"/>
    </row>
    <row r="135" spans="1:1" ht="15.75" customHeight="1" x14ac:dyDescent="0.25">
      <c r="A135" s="39"/>
    </row>
    <row r="136" spans="1:1" ht="15.75" customHeight="1" x14ac:dyDescent="0.25">
      <c r="A136" s="39"/>
    </row>
    <row r="137" spans="1:1" ht="15.75" customHeight="1" x14ac:dyDescent="0.25">
      <c r="A137" s="39"/>
    </row>
    <row r="138" spans="1:1" ht="15.75" customHeight="1" x14ac:dyDescent="0.25">
      <c r="A138" s="39"/>
    </row>
    <row r="139" spans="1:1" ht="15.75" customHeight="1" x14ac:dyDescent="0.25">
      <c r="A139" s="39"/>
    </row>
    <row r="140" spans="1:1" ht="15.75" customHeight="1" x14ac:dyDescent="0.25">
      <c r="A140" s="39"/>
    </row>
    <row r="141" spans="1:1" ht="15.75" customHeight="1" x14ac:dyDescent="0.25">
      <c r="A141" s="39"/>
    </row>
    <row r="142" spans="1:1" ht="15.75" customHeight="1" x14ac:dyDescent="0.25">
      <c r="A142" s="39"/>
    </row>
    <row r="143" spans="1:1" ht="15.75" customHeight="1" x14ac:dyDescent="0.25">
      <c r="A143" s="39"/>
    </row>
    <row r="144" spans="1:1" ht="15.75" customHeight="1" x14ac:dyDescent="0.25">
      <c r="A144" s="39"/>
    </row>
    <row r="145" spans="1:1" ht="15.75" customHeight="1" x14ac:dyDescent="0.25">
      <c r="A145" s="39"/>
    </row>
    <row r="146" spans="1:1" ht="15.75" customHeight="1" x14ac:dyDescent="0.25">
      <c r="A146" s="39"/>
    </row>
    <row r="147" spans="1:1" ht="15.75" customHeight="1" x14ac:dyDescent="0.25">
      <c r="A147" s="39"/>
    </row>
    <row r="148" spans="1:1" ht="15.75" customHeight="1" x14ac:dyDescent="0.25">
      <c r="A148" s="39"/>
    </row>
    <row r="149" spans="1:1" ht="15.75" customHeight="1" x14ac:dyDescent="0.25">
      <c r="A149" s="39"/>
    </row>
    <row r="150" spans="1:1" ht="15.75" customHeight="1" x14ac:dyDescent="0.25">
      <c r="A150" s="39"/>
    </row>
    <row r="151" spans="1:1" ht="15.75" customHeight="1" x14ac:dyDescent="0.25">
      <c r="A151" s="39"/>
    </row>
    <row r="152" spans="1:1" ht="15.75" customHeight="1" x14ac:dyDescent="0.25">
      <c r="A152" s="39"/>
    </row>
    <row r="153" spans="1:1" ht="15.75" customHeight="1" x14ac:dyDescent="0.25">
      <c r="A153" s="39"/>
    </row>
    <row r="154" spans="1:1" ht="15.75" customHeight="1" x14ac:dyDescent="0.25">
      <c r="A154" s="39"/>
    </row>
    <row r="155" spans="1:1" ht="15.75" customHeight="1" x14ac:dyDescent="0.25">
      <c r="A155" s="39"/>
    </row>
    <row r="156" spans="1:1" ht="15.75" customHeight="1" x14ac:dyDescent="0.25">
      <c r="A156" s="39"/>
    </row>
    <row r="157" spans="1:1" ht="15.75" customHeight="1" x14ac:dyDescent="0.25">
      <c r="A157" s="39"/>
    </row>
    <row r="158" spans="1:1" ht="15.75" customHeight="1" x14ac:dyDescent="0.25">
      <c r="A158" s="39"/>
    </row>
    <row r="159" spans="1:1" ht="15.75" customHeight="1" x14ac:dyDescent="0.25">
      <c r="A159" s="39"/>
    </row>
    <row r="160" spans="1:1" ht="15.75" customHeight="1" x14ac:dyDescent="0.25">
      <c r="A160" s="39"/>
    </row>
    <row r="161" spans="1:1" ht="15.75" customHeight="1" x14ac:dyDescent="0.25">
      <c r="A161" s="39"/>
    </row>
    <row r="162" spans="1:1" ht="15.75" customHeight="1" x14ac:dyDescent="0.25">
      <c r="A162" s="39"/>
    </row>
    <row r="163" spans="1:1" ht="15.75" customHeight="1" x14ac:dyDescent="0.25">
      <c r="A163" s="39"/>
    </row>
    <row r="164" spans="1:1" ht="15.75" customHeight="1" x14ac:dyDescent="0.25">
      <c r="A164" s="39"/>
    </row>
    <row r="165" spans="1:1" ht="15.75" customHeight="1" x14ac:dyDescent="0.25">
      <c r="A165" s="39"/>
    </row>
    <row r="166" spans="1:1" ht="15.75" customHeight="1" x14ac:dyDescent="0.25">
      <c r="A166" s="39"/>
    </row>
    <row r="167" spans="1:1" ht="15.75" customHeight="1" x14ac:dyDescent="0.25">
      <c r="A167" s="39"/>
    </row>
    <row r="168" spans="1:1" ht="15.75" customHeight="1" x14ac:dyDescent="0.25">
      <c r="A168" s="39"/>
    </row>
    <row r="169" spans="1:1" ht="15.75" customHeight="1" x14ac:dyDescent="0.25">
      <c r="A169" s="39"/>
    </row>
    <row r="170" spans="1:1" ht="15.75" customHeight="1" x14ac:dyDescent="0.25">
      <c r="A170" s="39"/>
    </row>
    <row r="171" spans="1:1" ht="15.75" customHeight="1" x14ac:dyDescent="0.25">
      <c r="A171" s="39"/>
    </row>
    <row r="172" spans="1:1" ht="15.75" customHeight="1" x14ac:dyDescent="0.25">
      <c r="A172" s="39"/>
    </row>
    <row r="173" spans="1:1" ht="15.75" customHeight="1" x14ac:dyDescent="0.25">
      <c r="A173" s="39"/>
    </row>
    <row r="174" spans="1:1" ht="15.75" customHeight="1" x14ac:dyDescent="0.25">
      <c r="A174" s="39"/>
    </row>
    <row r="175" spans="1:1" ht="15.75" customHeight="1" x14ac:dyDescent="0.25">
      <c r="A175" s="39"/>
    </row>
    <row r="176" spans="1:1" ht="15.75" customHeight="1" x14ac:dyDescent="0.25">
      <c r="A176" s="39"/>
    </row>
    <row r="177" spans="1:1" ht="15.75" customHeight="1" x14ac:dyDescent="0.25">
      <c r="A177" s="39"/>
    </row>
    <row r="178" spans="1:1" ht="15.75" customHeight="1" x14ac:dyDescent="0.25">
      <c r="A178" s="39"/>
    </row>
    <row r="179" spans="1:1" ht="15.75" customHeight="1" x14ac:dyDescent="0.25">
      <c r="A179" s="39"/>
    </row>
    <row r="180" spans="1:1" ht="15.75" customHeight="1" x14ac:dyDescent="0.25">
      <c r="A180" s="39"/>
    </row>
    <row r="181" spans="1:1" ht="15.75" customHeight="1" x14ac:dyDescent="0.25">
      <c r="A181" s="39"/>
    </row>
    <row r="182" spans="1:1" ht="15.75" customHeight="1" x14ac:dyDescent="0.25">
      <c r="A182" s="39"/>
    </row>
    <row r="183" spans="1:1" ht="15.75" customHeight="1" x14ac:dyDescent="0.25">
      <c r="A183" s="39"/>
    </row>
    <row r="184" spans="1:1" ht="15.75" customHeight="1" x14ac:dyDescent="0.25">
      <c r="A184" s="39"/>
    </row>
    <row r="185" spans="1:1" ht="15.75" customHeight="1" x14ac:dyDescent="0.25">
      <c r="A185" s="39"/>
    </row>
    <row r="186" spans="1:1" ht="15.75" customHeight="1" x14ac:dyDescent="0.25">
      <c r="A186" s="39"/>
    </row>
    <row r="187" spans="1:1" ht="15.75" customHeight="1" x14ac:dyDescent="0.25">
      <c r="A187" s="39"/>
    </row>
    <row r="188" spans="1:1" ht="15.75" customHeight="1" x14ac:dyDescent="0.25">
      <c r="A188" s="39"/>
    </row>
    <row r="189" spans="1:1" ht="15.75" customHeight="1" x14ac:dyDescent="0.25">
      <c r="A189" s="39"/>
    </row>
    <row r="190" spans="1:1" ht="15.75" customHeight="1" x14ac:dyDescent="0.25">
      <c r="A190" s="39"/>
    </row>
    <row r="191" spans="1:1" ht="15.75" customHeight="1" x14ac:dyDescent="0.25">
      <c r="A191" s="39"/>
    </row>
    <row r="192" spans="1:1" ht="15.75" customHeight="1" x14ac:dyDescent="0.25">
      <c r="A192" s="39"/>
    </row>
    <row r="193" spans="1:1" ht="15.75" customHeight="1" x14ac:dyDescent="0.25">
      <c r="A193" s="39"/>
    </row>
    <row r="194" spans="1:1" ht="15.75" customHeight="1" x14ac:dyDescent="0.25">
      <c r="A194" s="39"/>
    </row>
    <row r="195" spans="1:1" ht="15.75" customHeight="1" x14ac:dyDescent="0.25">
      <c r="A195" s="39"/>
    </row>
    <row r="196" spans="1:1" ht="15.75" customHeight="1" x14ac:dyDescent="0.25">
      <c r="A196" s="39"/>
    </row>
    <row r="197" spans="1:1" ht="15.75" customHeight="1" x14ac:dyDescent="0.25">
      <c r="A197" s="39"/>
    </row>
    <row r="198" spans="1:1" ht="15.75" customHeight="1" x14ac:dyDescent="0.25">
      <c r="A198" s="39"/>
    </row>
    <row r="199" spans="1:1" ht="15.75" customHeight="1" x14ac:dyDescent="0.25">
      <c r="A199" s="39"/>
    </row>
    <row r="200" spans="1:1" ht="15.75" customHeight="1" x14ac:dyDescent="0.25">
      <c r="A200" s="39"/>
    </row>
    <row r="201" spans="1:1" ht="15.75" customHeight="1" x14ac:dyDescent="0.25">
      <c r="A201" s="39"/>
    </row>
    <row r="202" spans="1:1" ht="15.75" customHeight="1" x14ac:dyDescent="0.25">
      <c r="A202" s="39"/>
    </row>
    <row r="203" spans="1:1" ht="15.75" customHeight="1" x14ac:dyDescent="0.25">
      <c r="A203" s="39"/>
    </row>
    <row r="204" spans="1:1" ht="15.75" customHeight="1" x14ac:dyDescent="0.25">
      <c r="A204" s="39"/>
    </row>
    <row r="205" spans="1:1" ht="15.75" customHeight="1" x14ac:dyDescent="0.25">
      <c r="A205" s="39"/>
    </row>
    <row r="206" spans="1:1" ht="15.75" customHeight="1" x14ac:dyDescent="0.25">
      <c r="A206" s="39"/>
    </row>
    <row r="207" spans="1:1" ht="15.75" customHeight="1" x14ac:dyDescent="0.25">
      <c r="A207" s="39"/>
    </row>
    <row r="208" spans="1:1" ht="15.75" customHeight="1" x14ac:dyDescent="0.25">
      <c r="A208" s="39"/>
    </row>
    <row r="209" spans="1:1" ht="15.75" customHeight="1" x14ac:dyDescent="0.25">
      <c r="A209" s="39"/>
    </row>
    <row r="210" spans="1:1" ht="15.75" customHeight="1" x14ac:dyDescent="0.25">
      <c r="A210" s="39"/>
    </row>
    <row r="211" spans="1:1" ht="15.75" customHeight="1" x14ac:dyDescent="0.25">
      <c r="A211" s="39"/>
    </row>
    <row r="212" spans="1:1" ht="15.75" customHeight="1" x14ac:dyDescent="0.25">
      <c r="A212" s="39"/>
    </row>
    <row r="213" spans="1:1" ht="15.75" customHeight="1" x14ac:dyDescent="0.25">
      <c r="A213" s="39"/>
    </row>
    <row r="214" spans="1:1" ht="15.75" customHeight="1" x14ac:dyDescent="0.25">
      <c r="A214" s="39"/>
    </row>
    <row r="215" spans="1:1" ht="15.75" customHeight="1" x14ac:dyDescent="0.25">
      <c r="A215" s="39"/>
    </row>
    <row r="216" spans="1:1" ht="15.75" customHeight="1" x14ac:dyDescent="0.25">
      <c r="A216" s="39"/>
    </row>
    <row r="217" spans="1:1" ht="15.75" customHeight="1" x14ac:dyDescent="0.25">
      <c r="A217" s="39"/>
    </row>
    <row r="218" spans="1:1" ht="15.75" customHeight="1" x14ac:dyDescent="0.25">
      <c r="A218" s="39"/>
    </row>
    <row r="219" spans="1:1" ht="15.75" customHeight="1" x14ac:dyDescent="0.25">
      <c r="A219" s="39"/>
    </row>
    <row r="220" spans="1:1" ht="15.75" customHeight="1" x14ac:dyDescent="0.25">
      <c r="A220" s="39"/>
    </row>
    <row r="221" spans="1:1" ht="15.75" customHeight="1" x14ac:dyDescent="0.25">
      <c r="A221" s="39"/>
    </row>
    <row r="222" spans="1:1" ht="15.75" customHeight="1" x14ac:dyDescent="0.25">
      <c r="A222" s="39"/>
    </row>
    <row r="223" spans="1:1" ht="15.75" customHeight="1" x14ac:dyDescent="0.25">
      <c r="A223" s="39"/>
    </row>
    <row r="224" spans="1:1" ht="15.75" customHeight="1" x14ac:dyDescent="0.25">
      <c r="A224" s="39"/>
    </row>
    <row r="225" spans="1:1" ht="15.75" customHeight="1" x14ac:dyDescent="0.25">
      <c r="A225" s="39"/>
    </row>
    <row r="226" spans="1:1" ht="15.75" customHeight="1" x14ac:dyDescent="0.25">
      <c r="A226" s="39"/>
    </row>
    <row r="227" spans="1:1" ht="15.75" customHeight="1" x14ac:dyDescent="0.25">
      <c r="A227" s="39"/>
    </row>
    <row r="228" spans="1:1" ht="15.75" customHeight="1" x14ac:dyDescent="0.25">
      <c r="A228" s="39"/>
    </row>
    <row r="229" spans="1:1" ht="15.75" customHeight="1" x14ac:dyDescent="0.25">
      <c r="A229" s="39"/>
    </row>
    <row r="230" spans="1:1" ht="15.75" customHeight="1" x14ac:dyDescent="0.25">
      <c r="A230" s="39"/>
    </row>
    <row r="231" spans="1:1" ht="15.75" customHeight="1" x14ac:dyDescent="0.25">
      <c r="A231" s="39"/>
    </row>
    <row r="232" spans="1:1" ht="15.75" customHeight="1" x14ac:dyDescent="0.25">
      <c r="A232" s="39"/>
    </row>
    <row r="233" spans="1:1" ht="15.75" customHeight="1" x14ac:dyDescent="0.25">
      <c r="A233" s="39"/>
    </row>
    <row r="234" spans="1:1" ht="15.75" customHeight="1" x14ac:dyDescent="0.25">
      <c r="A234" s="39"/>
    </row>
    <row r="235" spans="1:1" ht="15.75" customHeight="1" x14ac:dyDescent="0.25">
      <c r="A235" s="39"/>
    </row>
    <row r="236" spans="1:1" ht="15.75" customHeight="1" x14ac:dyDescent="0.25">
      <c r="A236" s="39"/>
    </row>
    <row r="237" spans="1:1" ht="15.75" customHeight="1" x14ac:dyDescent="0.25">
      <c r="A237" s="39"/>
    </row>
    <row r="238" spans="1:1" ht="15.75" customHeight="1" x14ac:dyDescent="0.25">
      <c r="A238" s="39"/>
    </row>
    <row r="239" spans="1:1" ht="15.75" customHeight="1" x14ac:dyDescent="0.25">
      <c r="A239" s="39"/>
    </row>
    <row r="240" spans="1:1" ht="15.75" customHeight="1" x14ac:dyDescent="0.25">
      <c r="A240" s="39"/>
    </row>
    <row r="241" spans="1:1" ht="15.75" customHeight="1" x14ac:dyDescent="0.25">
      <c r="A241" s="39"/>
    </row>
    <row r="242" spans="1:1" ht="15.75" customHeight="1" x14ac:dyDescent="0.25">
      <c r="A242" s="39"/>
    </row>
    <row r="243" spans="1:1" ht="15.75" customHeight="1" x14ac:dyDescent="0.25">
      <c r="A243" s="39"/>
    </row>
    <row r="244" spans="1:1" ht="15.75" customHeight="1" x14ac:dyDescent="0.25">
      <c r="A244" s="39"/>
    </row>
    <row r="245" spans="1:1" ht="15.75" customHeight="1" x14ac:dyDescent="0.25">
      <c r="A245" s="39"/>
    </row>
    <row r="246" spans="1:1" ht="15.75" customHeight="1" x14ac:dyDescent="0.25">
      <c r="A246" s="39"/>
    </row>
    <row r="247" spans="1:1" ht="15.75" customHeight="1" x14ac:dyDescent="0.25">
      <c r="A247" s="39"/>
    </row>
    <row r="248" spans="1:1" ht="15.75" customHeight="1" x14ac:dyDescent="0.25">
      <c r="A248" s="39"/>
    </row>
    <row r="249" spans="1:1" ht="15.75" customHeight="1" x14ac:dyDescent="0.25">
      <c r="A249" s="39"/>
    </row>
    <row r="250" spans="1:1" ht="15.75" customHeight="1" x14ac:dyDescent="0.25">
      <c r="A250" s="39"/>
    </row>
    <row r="251" spans="1:1" ht="15.75" customHeight="1" x14ac:dyDescent="0.25">
      <c r="A251" s="39"/>
    </row>
    <row r="252" spans="1:1" ht="15.75" customHeight="1" x14ac:dyDescent="0.25">
      <c r="A252" s="39"/>
    </row>
    <row r="253" spans="1:1" ht="15.75" customHeight="1" x14ac:dyDescent="0.25">
      <c r="A253" s="39"/>
    </row>
    <row r="254" spans="1:1" ht="15.75" customHeight="1" x14ac:dyDescent="0.25">
      <c r="A254" s="39"/>
    </row>
    <row r="255" spans="1:1" ht="15.75" customHeight="1" x14ac:dyDescent="0.25">
      <c r="A255" s="39"/>
    </row>
    <row r="256" spans="1:1" ht="15.75" customHeight="1" x14ac:dyDescent="0.25">
      <c r="A256" s="39"/>
    </row>
    <row r="257" spans="1:1" ht="15.75" customHeight="1" x14ac:dyDescent="0.25">
      <c r="A257" s="39"/>
    </row>
    <row r="258" spans="1:1" ht="15.75" customHeight="1" x14ac:dyDescent="0.25">
      <c r="A258" s="39"/>
    </row>
    <row r="259" spans="1:1" ht="15.75" customHeight="1" x14ac:dyDescent="0.25">
      <c r="A259" s="39"/>
    </row>
    <row r="260" spans="1:1" ht="15.75" customHeight="1" x14ac:dyDescent="0.25">
      <c r="A260" s="39"/>
    </row>
    <row r="261" spans="1:1" ht="15.75" customHeight="1" x14ac:dyDescent="0.25">
      <c r="A261" s="39"/>
    </row>
    <row r="262" spans="1:1" ht="15.75" customHeight="1" x14ac:dyDescent="0.25">
      <c r="A262" s="39"/>
    </row>
    <row r="263" spans="1:1" ht="15.75" customHeight="1" x14ac:dyDescent="0.25">
      <c r="A263" s="39"/>
    </row>
    <row r="264" spans="1:1" ht="15.75" customHeight="1" x14ac:dyDescent="0.25">
      <c r="A264" s="39"/>
    </row>
    <row r="265" spans="1:1" ht="15.75" customHeight="1" x14ac:dyDescent="0.25">
      <c r="A265" s="39"/>
    </row>
    <row r="266" spans="1:1" ht="15.75" customHeight="1" x14ac:dyDescent="0.25">
      <c r="A266" s="39"/>
    </row>
    <row r="267" spans="1:1" ht="15.75" customHeight="1" x14ac:dyDescent="0.25">
      <c r="A267" s="39"/>
    </row>
    <row r="268" spans="1:1" ht="15.75" customHeight="1" x14ac:dyDescent="0.25">
      <c r="A268" s="39"/>
    </row>
    <row r="269" spans="1:1" ht="15.75" customHeight="1" x14ac:dyDescent="0.25">
      <c r="A269" s="39"/>
    </row>
    <row r="270" spans="1:1" ht="15.75" customHeight="1" x14ac:dyDescent="0.25">
      <c r="A270" s="39"/>
    </row>
    <row r="271" spans="1:1" ht="15.75" customHeight="1" x14ac:dyDescent="0.25">
      <c r="A271" s="39"/>
    </row>
    <row r="272" spans="1:1" ht="15.75" customHeight="1" x14ac:dyDescent="0.25">
      <c r="A272" s="39"/>
    </row>
    <row r="273" spans="1:1" ht="15.75" customHeight="1" x14ac:dyDescent="0.25">
      <c r="A273" s="39"/>
    </row>
    <row r="274" spans="1:1" ht="15.75" customHeight="1" x14ac:dyDescent="0.25">
      <c r="A274" s="39"/>
    </row>
    <row r="275" spans="1:1" ht="15.75" customHeight="1" x14ac:dyDescent="0.25">
      <c r="A275" s="39"/>
    </row>
    <row r="276" spans="1:1" ht="15.75" customHeight="1" x14ac:dyDescent="0.25">
      <c r="A276" s="39"/>
    </row>
    <row r="277" spans="1:1" ht="15.75" customHeight="1" x14ac:dyDescent="0.25">
      <c r="A277" s="39"/>
    </row>
    <row r="278" spans="1:1" ht="15.75" customHeight="1" x14ac:dyDescent="0.25">
      <c r="A278" s="39"/>
    </row>
    <row r="279" spans="1:1" ht="15.75" customHeight="1" x14ac:dyDescent="0.25">
      <c r="A279" s="39"/>
    </row>
    <row r="280" spans="1:1" ht="15.75" customHeight="1" x14ac:dyDescent="0.25">
      <c r="A280" s="39"/>
    </row>
    <row r="281" spans="1:1" ht="15.75" customHeight="1" x14ac:dyDescent="0.25">
      <c r="A281" s="39"/>
    </row>
    <row r="282" spans="1:1" ht="15.75" customHeight="1" x14ac:dyDescent="0.25">
      <c r="A282" s="39"/>
    </row>
    <row r="283" spans="1:1" ht="15.75" customHeight="1" x14ac:dyDescent="0.25">
      <c r="A283" s="39"/>
    </row>
    <row r="284" spans="1:1" ht="15.75" customHeight="1" x14ac:dyDescent="0.25">
      <c r="A284" s="39"/>
    </row>
    <row r="285" spans="1:1" ht="15.75" customHeight="1" x14ac:dyDescent="0.25">
      <c r="A285" s="39"/>
    </row>
    <row r="286" spans="1:1" ht="15.75" customHeight="1" x14ac:dyDescent="0.25">
      <c r="A286" s="39"/>
    </row>
    <row r="287" spans="1:1" ht="15.75" customHeight="1" x14ac:dyDescent="0.25">
      <c r="A287" s="39"/>
    </row>
    <row r="288" spans="1:1" ht="15.75" customHeight="1" x14ac:dyDescent="0.25">
      <c r="A288" s="39"/>
    </row>
    <row r="289" spans="1:1" ht="15.75" customHeight="1" x14ac:dyDescent="0.25">
      <c r="A289" s="39"/>
    </row>
    <row r="290" spans="1:1" ht="15.75" customHeight="1" x14ac:dyDescent="0.25">
      <c r="A290" s="39"/>
    </row>
    <row r="291" spans="1:1" ht="15.75" customHeight="1" x14ac:dyDescent="0.25">
      <c r="A291" s="39"/>
    </row>
    <row r="292" spans="1:1" ht="15.75" customHeight="1" x14ac:dyDescent="0.25">
      <c r="A292" s="39"/>
    </row>
    <row r="293" spans="1:1" ht="15.75" customHeight="1" x14ac:dyDescent="0.25">
      <c r="A293" s="39"/>
    </row>
    <row r="294" spans="1:1" ht="15.75" customHeight="1" x14ac:dyDescent="0.25">
      <c r="A294" s="39"/>
    </row>
    <row r="295" spans="1:1" ht="15.75" customHeight="1" x14ac:dyDescent="0.25">
      <c r="A295" s="39"/>
    </row>
    <row r="296" spans="1:1" ht="15.75" customHeight="1" x14ac:dyDescent="0.25">
      <c r="A296" s="39"/>
    </row>
    <row r="297" spans="1:1" ht="15.75" customHeight="1" x14ac:dyDescent="0.25">
      <c r="A297" s="39"/>
    </row>
    <row r="298" spans="1:1" ht="15.75" customHeight="1" x14ac:dyDescent="0.25">
      <c r="A298" s="39"/>
    </row>
    <row r="299" spans="1:1" ht="15.75" customHeight="1" x14ac:dyDescent="0.25">
      <c r="A299" s="39"/>
    </row>
    <row r="300" spans="1:1" ht="15.75" customHeight="1" x14ac:dyDescent="0.25">
      <c r="A300" s="39"/>
    </row>
    <row r="301" spans="1:1" ht="15.75" customHeight="1" x14ac:dyDescent="0.25">
      <c r="A301" s="39"/>
    </row>
    <row r="302" spans="1:1" ht="15.75" customHeight="1" x14ac:dyDescent="0.25">
      <c r="A302" s="39"/>
    </row>
    <row r="303" spans="1:1" ht="15.75" customHeight="1" x14ac:dyDescent="0.25">
      <c r="A303" s="39"/>
    </row>
    <row r="304" spans="1:1" ht="15.75" customHeight="1" x14ac:dyDescent="0.25">
      <c r="A304" s="39"/>
    </row>
    <row r="305" spans="1:1" ht="15.75" customHeight="1" x14ac:dyDescent="0.25">
      <c r="A305" s="39"/>
    </row>
    <row r="306" spans="1:1" ht="15.75" customHeight="1" x14ac:dyDescent="0.25">
      <c r="A306" s="39"/>
    </row>
    <row r="307" spans="1:1" ht="15.75" customHeight="1" x14ac:dyDescent="0.25">
      <c r="A307" s="39"/>
    </row>
    <row r="308" spans="1:1" ht="15.75" customHeight="1" x14ac:dyDescent="0.25">
      <c r="A308" s="39"/>
    </row>
    <row r="309" spans="1:1" ht="15.75" customHeight="1" x14ac:dyDescent="0.25">
      <c r="A309" s="39"/>
    </row>
    <row r="310" spans="1:1" ht="15.75" customHeight="1" x14ac:dyDescent="0.25">
      <c r="A310" s="39"/>
    </row>
    <row r="311" spans="1:1" ht="15.75" customHeight="1" x14ac:dyDescent="0.25">
      <c r="A311" s="39"/>
    </row>
    <row r="312" spans="1:1" ht="15.75" customHeight="1" x14ac:dyDescent="0.25">
      <c r="A312" s="39"/>
    </row>
    <row r="313" spans="1:1" ht="15.75" customHeight="1" x14ac:dyDescent="0.25">
      <c r="A313" s="39"/>
    </row>
    <row r="314" spans="1:1" ht="15.75" customHeight="1" x14ac:dyDescent="0.25">
      <c r="A314" s="39"/>
    </row>
    <row r="315" spans="1:1" ht="15.75" customHeight="1" x14ac:dyDescent="0.25">
      <c r="A315" s="39"/>
    </row>
    <row r="316" spans="1:1" ht="15.75" customHeight="1" x14ac:dyDescent="0.25">
      <c r="A316" s="39"/>
    </row>
    <row r="317" spans="1:1" ht="15.75" customHeight="1" x14ac:dyDescent="0.25">
      <c r="A317" s="39"/>
    </row>
    <row r="318" spans="1:1" ht="15.75" customHeight="1" x14ac:dyDescent="0.25">
      <c r="A318" s="39"/>
    </row>
    <row r="319" spans="1:1" ht="15.75" customHeight="1" x14ac:dyDescent="0.25">
      <c r="A319" s="39"/>
    </row>
    <row r="320" spans="1:1" ht="15.75" customHeight="1" x14ac:dyDescent="0.25">
      <c r="A320" s="39"/>
    </row>
    <row r="321" spans="1:1" ht="15.75" customHeight="1" x14ac:dyDescent="0.25">
      <c r="A321" s="39"/>
    </row>
    <row r="322" spans="1:1" ht="15.75" customHeight="1" x14ac:dyDescent="0.25">
      <c r="A322" s="39"/>
    </row>
    <row r="323" spans="1:1" ht="15.75" customHeight="1" x14ac:dyDescent="0.25">
      <c r="A323" s="39"/>
    </row>
    <row r="324" spans="1:1" ht="15.75" customHeight="1" x14ac:dyDescent="0.25">
      <c r="A324" s="39"/>
    </row>
    <row r="325" spans="1:1" ht="15.75" customHeight="1" x14ac:dyDescent="0.25">
      <c r="A325" s="39"/>
    </row>
    <row r="326" spans="1:1" ht="15.75" customHeight="1" x14ac:dyDescent="0.25">
      <c r="A326" s="39"/>
    </row>
    <row r="327" spans="1:1" ht="15.75" customHeight="1" x14ac:dyDescent="0.25">
      <c r="A327" s="39"/>
    </row>
    <row r="328" spans="1:1" ht="15.75" customHeight="1" x14ac:dyDescent="0.25">
      <c r="A328" s="39"/>
    </row>
    <row r="329" spans="1:1" ht="15.75" customHeight="1" x14ac:dyDescent="0.25">
      <c r="A329" s="39"/>
    </row>
    <row r="330" spans="1:1" ht="15.75" customHeight="1" x14ac:dyDescent="0.25">
      <c r="A330" s="39"/>
    </row>
    <row r="331" spans="1:1" ht="15.75" customHeight="1" x14ac:dyDescent="0.25">
      <c r="A331" s="39"/>
    </row>
    <row r="332" spans="1:1" ht="15.75" customHeight="1" x14ac:dyDescent="0.25">
      <c r="A332" s="39"/>
    </row>
    <row r="333" spans="1:1" ht="15.75" customHeight="1" x14ac:dyDescent="0.25">
      <c r="A333" s="39"/>
    </row>
    <row r="334" spans="1:1" ht="15.75" customHeight="1" x14ac:dyDescent="0.25">
      <c r="A334" s="39"/>
    </row>
    <row r="335" spans="1:1" ht="15.75" customHeight="1" x14ac:dyDescent="0.25">
      <c r="A335" s="39"/>
    </row>
    <row r="336" spans="1:1" ht="15.75" customHeight="1" x14ac:dyDescent="0.25">
      <c r="A336" s="39"/>
    </row>
    <row r="337" spans="1:1" ht="15.75" customHeight="1" x14ac:dyDescent="0.25">
      <c r="A337" s="39"/>
    </row>
    <row r="338" spans="1:1" ht="15.75" customHeight="1" x14ac:dyDescent="0.25">
      <c r="A338" s="39"/>
    </row>
    <row r="339" spans="1:1" ht="15.75" customHeight="1" x14ac:dyDescent="0.25">
      <c r="A339" s="39"/>
    </row>
    <row r="340" spans="1:1" ht="15.75" customHeight="1" x14ac:dyDescent="0.25">
      <c r="A340" s="39"/>
    </row>
    <row r="341" spans="1:1" ht="15.75" customHeight="1" x14ac:dyDescent="0.25">
      <c r="A341" s="39"/>
    </row>
    <row r="342" spans="1:1" ht="15.75" customHeight="1" x14ac:dyDescent="0.25">
      <c r="A342" s="39"/>
    </row>
    <row r="343" spans="1:1" ht="15.75" customHeight="1" x14ac:dyDescent="0.25">
      <c r="A343" s="39"/>
    </row>
    <row r="344" spans="1:1" ht="15.75" customHeight="1" x14ac:dyDescent="0.25">
      <c r="A344" s="39"/>
    </row>
    <row r="345" spans="1:1" ht="15.75" customHeight="1" x14ac:dyDescent="0.25">
      <c r="A345" s="39"/>
    </row>
    <row r="346" spans="1:1" ht="15.75" customHeight="1" x14ac:dyDescent="0.25">
      <c r="A346" s="39"/>
    </row>
    <row r="347" spans="1:1" ht="15.75" customHeight="1" x14ac:dyDescent="0.25">
      <c r="A347" s="39"/>
    </row>
    <row r="348" spans="1:1" ht="15.75" customHeight="1" x14ac:dyDescent="0.25">
      <c r="A348" s="39"/>
    </row>
    <row r="349" spans="1:1" ht="15.75" customHeight="1" x14ac:dyDescent="0.25">
      <c r="A349" s="39"/>
    </row>
    <row r="350" spans="1:1" ht="15.75" customHeight="1" x14ac:dyDescent="0.25">
      <c r="A350" s="39"/>
    </row>
    <row r="351" spans="1:1" ht="15.75" customHeight="1" x14ac:dyDescent="0.25">
      <c r="A351" s="39"/>
    </row>
    <row r="352" spans="1:1" ht="15.75" customHeight="1" x14ac:dyDescent="0.25">
      <c r="A352" s="39"/>
    </row>
    <row r="353" spans="1:1" ht="15.75" customHeight="1" x14ac:dyDescent="0.25">
      <c r="A353" s="39"/>
    </row>
    <row r="354" spans="1:1" ht="15.75" customHeight="1" x14ac:dyDescent="0.25">
      <c r="A354" s="39"/>
    </row>
    <row r="355" spans="1:1" ht="15.75" customHeight="1" x14ac:dyDescent="0.25">
      <c r="A355" s="39"/>
    </row>
    <row r="356" spans="1:1" ht="15.75" customHeight="1" x14ac:dyDescent="0.25">
      <c r="A356" s="39"/>
    </row>
    <row r="357" spans="1:1" ht="15.75" customHeight="1" x14ac:dyDescent="0.25">
      <c r="A357" s="39"/>
    </row>
    <row r="358" spans="1:1" ht="15.75" customHeight="1" x14ac:dyDescent="0.25">
      <c r="A358" s="39"/>
    </row>
    <row r="359" spans="1:1" ht="15.75" customHeight="1" x14ac:dyDescent="0.25">
      <c r="A359" s="39"/>
    </row>
    <row r="360" spans="1:1" ht="15.75" customHeight="1" x14ac:dyDescent="0.25">
      <c r="A360" s="39"/>
    </row>
    <row r="361" spans="1:1" ht="15.75" customHeight="1" x14ac:dyDescent="0.25">
      <c r="A361" s="39"/>
    </row>
    <row r="362" spans="1:1" ht="15.75" customHeight="1" x14ac:dyDescent="0.25">
      <c r="A362" s="39"/>
    </row>
    <row r="363" spans="1:1" ht="15.75" customHeight="1" x14ac:dyDescent="0.25">
      <c r="A363" s="39"/>
    </row>
    <row r="364" spans="1:1" ht="15.75" customHeight="1" x14ac:dyDescent="0.25">
      <c r="A364" s="39"/>
    </row>
    <row r="365" spans="1:1" ht="15.75" customHeight="1" x14ac:dyDescent="0.25">
      <c r="A365" s="39"/>
    </row>
    <row r="366" spans="1:1" ht="15.75" customHeight="1" x14ac:dyDescent="0.25">
      <c r="A366" s="39"/>
    </row>
    <row r="367" spans="1:1" ht="15.75" customHeight="1" x14ac:dyDescent="0.25">
      <c r="A367" s="39"/>
    </row>
    <row r="368" spans="1:1" ht="15.75" customHeight="1" x14ac:dyDescent="0.25">
      <c r="A368" s="39"/>
    </row>
    <row r="369" spans="1:1" ht="15.75" customHeight="1" x14ac:dyDescent="0.25">
      <c r="A369" s="39"/>
    </row>
    <row r="370" spans="1:1" ht="15.75" customHeight="1" x14ac:dyDescent="0.25">
      <c r="A370" s="39"/>
    </row>
    <row r="371" spans="1:1" ht="15.75" customHeight="1" x14ac:dyDescent="0.25">
      <c r="A371" s="39"/>
    </row>
    <row r="372" spans="1:1" ht="15.75" customHeight="1" x14ac:dyDescent="0.25">
      <c r="A372" s="39"/>
    </row>
    <row r="373" spans="1:1" ht="15.75" customHeight="1" x14ac:dyDescent="0.25">
      <c r="A373" s="39"/>
    </row>
    <row r="374" spans="1:1" ht="15.75" customHeight="1" x14ac:dyDescent="0.25">
      <c r="A374" s="39"/>
    </row>
    <row r="375" spans="1:1" ht="15.75" customHeight="1" x14ac:dyDescent="0.25">
      <c r="A375" s="39"/>
    </row>
    <row r="376" spans="1:1" ht="15.75" customHeight="1" x14ac:dyDescent="0.25">
      <c r="A376" s="39"/>
    </row>
    <row r="377" spans="1:1" ht="15.75" customHeight="1" x14ac:dyDescent="0.25">
      <c r="A377" s="39"/>
    </row>
    <row r="378" spans="1:1" ht="15.75" customHeight="1" x14ac:dyDescent="0.25">
      <c r="A378" s="39"/>
    </row>
    <row r="379" spans="1:1" ht="15.75" customHeight="1" x14ac:dyDescent="0.25">
      <c r="A379" s="39"/>
    </row>
    <row r="380" spans="1:1" ht="15.75" customHeight="1" x14ac:dyDescent="0.25">
      <c r="A380" s="39"/>
    </row>
    <row r="381" spans="1:1" ht="15.75" customHeight="1" x14ac:dyDescent="0.25">
      <c r="A381" s="39"/>
    </row>
    <row r="382" spans="1:1" ht="15.75" customHeight="1" x14ac:dyDescent="0.25">
      <c r="A382" s="39"/>
    </row>
    <row r="383" spans="1:1" ht="15.75" customHeight="1" x14ac:dyDescent="0.25">
      <c r="A383" s="39"/>
    </row>
    <row r="384" spans="1:1" ht="15.75" customHeight="1" x14ac:dyDescent="0.25">
      <c r="A384" s="39"/>
    </row>
    <row r="385" spans="1:1" ht="15.75" customHeight="1" x14ac:dyDescent="0.25">
      <c r="A385" s="39"/>
    </row>
    <row r="386" spans="1:1" ht="15.75" customHeight="1" x14ac:dyDescent="0.25">
      <c r="A386" s="39"/>
    </row>
    <row r="387" spans="1:1" ht="15.75" customHeight="1" x14ac:dyDescent="0.25">
      <c r="A387" s="39"/>
    </row>
    <row r="388" spans="1:1" ht="15.75" customHeight="1" x14ac:dyDescent="0.25">
      <c r="A388" s="39"/>
    </row>
    <row r="389" spans="1:1" ht="15.75" customHeight="1" x14ac:dyDescent="0.25">
      <c r="A389" s="39"/>
    </row>
    <row r="390" spans="1:1" ht="15.75" customHeight="1" x14ac:dyDescent="0.25">
      <c r="A390" s="39"/>
    </row>
    <row r="391" spans="1:1" ht="15.75" customHeight="1" x14ac:dyDescent="0.25">
      <c r="A391" s="39"/>
    </row>
    <row r="392" spans="1:1" ht="15.75" customHeight="1" x14ac:dyDescent="0.25">
      <c r="A392" s="39"/>
    </row>
    <row r="393" spans="1:1" ht="15.75" customHeight="1" x14ac:dyDescent="0.25">
      <c r="A393" s="39"/>
    </row>
    <row r="394" spans="1:1" ht="15.75" customHeight="1" x14ac:dyDescent="0.25">
      <c r="A394" s="39"/>
    </row>
    <row r="395" spans="1:1" ht="15.75" customHeight="1" x14ac:dyDescent="0.25">
      <c r="A395" s="39"/>
    </row>
    <row r="396" spans="1:1" ht="15.75" customHeight="1" x14ac:dyDescent="0.25">
      <c r="A396" s="39"/>
    </row>
    <row r="397" spans="1:1" ht="15.75" customHeight="1" x14ac:dyDescent="0.25">
      <c r="A397" s="39"/>
    </row>
    <row r="398" spans="1:1" ht="15.75" customHeight="1" x14ac:dyDescent="0.25">
      <c r="A398" s="39"/>
    </row>
    <row r="399" spans="1:1" ht="15.75" customHeight="1" x14ac:dyDescent="0.25">
      <c r="A399" s="39"/>
    </row>
    <row r="400" spans="1:1" ht="15.75" customHeight="1" x14ac:dyDescent="0.25">
      <c r="A400" s="39"/>
    </row>
    <row r="401" spans="1:1" ht="15.75" customHeight="1" x14ac:dyDescent="0.25">
      <c r="A401" s="39"/>
    </row>
    <row r="402" spans="1:1" ht="15.75" customHeight="1" x14ac:dyDescent="0.25">
      <c r="A402" s="39"/>
    </row>
    <row r="403" spans="1:1" ht="15.75" customHeight="1" x14ac:dyDescent="0.25">
      <c r="A403" s="39"/>
    </row>
    <row r="404" spans="1:1" ht="15.75" customHeight="1" x14ac:dyDescent="0.25">
      <c r="A404" s="39"/>
    </row>
    <row r="405" spans="1:1" ht="15.75" customHeight="1" x14ac:dyDescent="0.25">
      <c r="A405" s="39"/>
    </row>
    <row r="406" spans="1:1" ht="15.75" customHeight="1" x14ac:dyDescent="0.25">
      <c r="A406" s="39"/>
    </row>
    <row r="407" spans="1:1" ht="15.75" customHeight="1" x14ac:dyDescent="0.25">
      <c r="A407" s="39"/>
    </row>
    <row r="408" spans="1:1" ht="15.75" customHeight="1" x14ac:dyDescent="0.25">
      <c r="A408" s="39"/>
    </row>
    <row r="409" spans="1:1" ht="15.75" customHeight="1" x14ac:dyDescent="0.25">
      <c r="A409" s="39"/>
    </row>
    <row r="410" spans="1:1" ht="15.75" customHeight="1" x14ac:dyDescent="0.25">
      <c r="A410" s="39"/>
    </row>
    <row r="411" spans="1:1" ht="15.75" customHeight="1" x14ac:dyDescent="0.25">
      <c r="A411" s="39"/>
    </row>
    <row r="412" spans="1:1" ht="15.75" customHeight="1" x14ac:dyDescent="0.25">
      <c r="A412" s="39"/>
    </row>
    <row r="413" spans="1:1" ht="15.75" customHeight="1" x14ac:dyDescent="0.25">
      <c r="A413" s="39"/>
    </row>
    <row r="414" spans="1:1" ht="15.75" customHeight="1" x14ac:dyDescent="0.25">
      <c r="A414" s="39"/>
    </row>
    <row r="415" spans="1:1" ht="15.75" customHeight="1" x14ac:dyDescent="0.25">
      <c r="A415" s="39"/>
    </row>
    <row r="416" spans="1:1" ht="15.75" customHeight="1" x14ac:dyDescent="0.25">
      <c r="A416" s="39"/>
    </row>
    <row r="417" spans="1:1" ht="15.75" customHeight="1" x14ac:dyDescent="0.25">
      <c r="A417" s="39"/>
    </row>
    <row r="418" spans="1:1" ht="15.75" customHeight="1" x14ac:dyDescent="0.25">
      <c r="A418" s="39"/>
    </row>
    <row r="419" spans="1:1" ht="15.75" customHeight="1" x14ac:dyDescent="0.25">
      <c r="A419" s="39"/>
    </row>
    <row r="420" spans="1:1" ht="15.75" customHeight="1" x14ac:dyDescent="0.25">
      <c r="A420" s="39"/>
    </row>
    <row r="421" spans="1:1" ht="15.75" customHeight="1" x14ac:dyDescent="0.25">
      <c r="A421" s="39"/>
    </row>
    <row r="422" spans="1:1" ht="15.75" customHeight="1" x14ac:dyDescent="0.25">
      <c r="A422" s="39"/>
    </row>
    <row r="423" spans="1:1" ht="15.75" customHeight="1" x14ac:dyDescent="0.25">
      <c r="A423" s="39"/>
    </row>
    <row r="424" spans="1:1" ht="15.75" customHeight="1" x14ac:dyDescent="0.25">
      <c r="A424" s="39"/>
    </row>
    <row r="425" spans="1:1" ht="15.75" customHeight="1" x14ac:dyDescent="0.25">
      <c r="A425" s="39"/>
    </row>
    <row r="426" spans="1:1" ht="15.75" customHeight="1" x14ac:dyDescent="0.25">
      <c r="A426" s="39"/>
    </row>
    <row r="427" spans="1:1" ht="15.75" customHeight="1" x14ac:dyDescent="0.25">
      <c r="A427" s="39"/>
    </row>
    <row r="428" spans="1:1" ht="15.75" customHeight="1" x14ac:dyDescent="0.25">
      <c r="A428" s="39"/>
    </row>
    <row r="429" spans="1:1" ht="15.75" customHeight="1" x14ac:dyDescent="0.25">
      <c r="A429" s="39"/>
    </row>
    <row r="430" spans="1:1" ht="15.75" customHeight="1" x14ac:dyDescent="0.25">
      <c r="A430" s="39"/>
    </row>
    <row r="431" spans="1:1" ht="15.75" customHeight="1" x14ac:dyDescent="0.25">
      <c r="A431" s="39"/>
    </row>
    <row r="432" spans="1:1" ht="15.75" customHeight="1" x14ac:dyDescent="0.25">
      <c r="A432" s="39"/>
    </row>
    <row r="433" spans="1:1" ht="15.75" customHeight="1" x14ac:dyDescent="0.25">
      <c r="A433" s="39"/>
    </row>
    <row r="434" spans="1:1" ht="15.75" customHeight="1" x14ac:dyDescent="0.25">
      <c r="A434" s="39"/>
    </row>
    <row r="435" spans="1:1" ht="15.75" customHeight="1" x14ac:dyDescent="0.25">
      <c r="A435" s="39"/>
    </row>
    <row r="436" spans="1:1" ht="15.75" customHeight="1" x14ac:dyDescent="0.25">
      <c r="A436" s="39"/>
    </row>
    <row r="437" spans="1:1" ht="15.75" customHeight="1" x14ac:dyDescent="0.25">
      <c r="A437" s="39"/>
    </row>
    <row r="438" spans="1:1" ht="15.75" customHeight="1" x14ac:dyDescent="0.25">
      <c r="A438" s="39"/>
    </row>
    <row r="439" spans="1:1" ht="15.75" customHeight="1" x14ac:dyDescent="0.25">
      <c r="A439" s="39"/>
    </row>
    <row r="440" spans="1:1" ht="15.75" customHeight="1" x14ac:dyDescent="0.25">
      <c r="A440" s="39"/>
    </row>
    <row r="441" spans="1:1" ht="15.75" customHeight="1" x14ac:dyDescent="0.25">
      <c r="A441" s="39"/>
    </row>
    <row r="442" spans="1:1" ht="15.75" customHeight="1" x14ac:dyDescent="0.25">
      <c r="A442" s="39"/>
    </row>
    <row r="443" spans="1:1" ht="15.75" customHeight="1" x14ac:dyDescent="0.25">
      <c r="A443" s="39"/>
    </row>
    <row r="444" spans="1:1" ht="15.75" customHeight="1" x14ac:dyDescent="0.25">
      <c r="A444" s="39"/>
    </row>
    <row r="445" spans="1:1" ht="15.75" customHeight="1" x14ac:dyDescent="0.25">
      <c r="A445" s="39"/>
    </row>
    <row r="446" spans="1:1" ht="15.75" customHeight="1" x14ac:dyDescent="0.25">
      <c r="A446" s="39"/>
    </row>
    <row r="447" spans="1:1" ht="15.75" customHeight="1" x14ac:dyDescent="0.25">
      <c r="A447" s="39"/>
    </row>
    <row r="448" spans="1:1" ht="15.75" customHeight="1" x14ac:dyDescent="0.25">
      <c r="A448" s="39"/>
    </row>
    <row r="449" spans="1:1" ht="15.75" customHeight="1" x14ac:dyDescent="0.25">
      <c r="A449" s="39"/>
    </row>
    <row r="450" spans="1:1" ht="15.75" customHeight="1" x14ac:dyDescent="0.25">
      <c r="A450" s="39"/>
    </row>
    <row r="451" spans="1:1" ht="15.75" customHeight="1" x14ac:dyDescent="0.25">
      <c r="A451" s="39"/>
    </row>
    <row r="452" spans="1:1" ht="15.75" customHeight="1" x14ac:dyDescent="0.25">
      <c r="A452" s="39"/>
    </row>
    <row r="453" spans="1:1" ht="15.75" customHeight="1" x14ac:dyDescent="0.25">
      <c r="A453" s="39"/>
    </row>
    <row r="454" spans="1:1" ht="15.75" customHeight="1" x14ac:dyDescent="0.25">
      <c r="A454" s="39"/>
    </row>
    <row r="455" spans="1:1" ht="15.75" customHeight="1" x14ac:dyDescent="0.25">
      <c r="A455" s="39"/>
    </row>
    <row r="456" spans="1:1" ht="15.75" customHeight="1" x14ac:dyDescent="0.25">
      <c r="A456" s="39"/>
    </row>
    <row r="457" spans="1:1" ht="15.75" customHeight="1" x14ac:dyDescent="0.25">
      <c r="A457" s="39"/>
    </row>
    <row r="458" spans="1:1" ht="15.75" customHeight="1" x14ac:dyDescent="0.25">
      <c r="A458" s="39"/>
    </row>
    <row r="459" spans="1:1" ht="15.75" customHeight="1" x14ac:dyDescent="0.25">
      <c r="A459" s="39"/>
    </row>
    <row r="460" spans="1:1" ht="15.75" customHeight="1" x14ac:dyDescent="0.25">
      <c r="A460" s="39"/>
    </row>
    <row r="461" spans="1:1" ht="15.75" customHeight="1" x14ac:dyDescent="0.25">
      <c r="A461" s="39"/>
    </row>
    <row r="462" spans="1:1" ht="15.75" customHeight="1" x14ac:dyDescent="0.25">
      <c r="A462" s="39"/>
    </row>
    <row r="463" spans="1:1" ht="15.75" customHeight="1" x14ac:dyDescent="0.25">
      <c r="A463" s="39"/>
    </row>
    <row r="464" spans="1:1" ht="15.75" customHeight="1" x14ac:dyDescent="0.25">
      <c r="A464" s="39"/>
    </row>
    <row r="465" spans="1:1" ht="15.75" customHeight="1" x14ac:dyDescent="0.25">
      <c r="A465" s="39"/>
    </row>
    <row r="466" spans="1:1" ht="15.75" customHeight="1" x14ac:dyDescent="0.25">
      <c r="A466" s="39"/>
    </row>
    <row r="467" spans="1:1" ht="15.75" customHeight="1" x14ac:dyDescent="0.25">
      <c r="A467" s="39"/>
    </row>
    <row r="468" spans="1:1" ht="15.75" customHeight="1" x14ac:dyDescent="0.25">
      <c r="A468" s="39"/>
    </row>
    <row r="469" spans="1:1" ht="15.75" customHeight="1" x14ac:dyDescent="0.25">
      <c r="A469" s="39"/>
    </row>
    <row r="470" spans="1:1" ht="15.75" customHeight="1" x14ac:dyDescent="0.25">
      <c r="A470" s="39"/>
    </row>
    <row r="471" spans="1:1" ht="15.75" customHeight="1" x14ac:dyDescent="0.25">
      <c r="A471" s="39"/>
    </row>
    <row r="472" spans="1:1" ht="15.75" customHeight="1" x14ac:dyDescent="0.25">
      <c r="A472" s="39"/>
    </row>
    <row r="473" spans="1:1" ht="15.75" customHeight="1" x14ac:dyDescent="0.25">
      <c r="A473" s="39"/>
    </row>
    <row r="474" spans="1:1" ht="15.75" customHeight="1" x14ac:dyDescent="0.25">
      <c r="A474" s="39"/>
    </row>
    <row r="475" spans="1:1" ht="15.75" customHeight="1" x14ac:dyDescent="0.25">
      <c r="A475" s="39"/>
    </row>
    <row r="476" spans="1:1" ht="15.75" customHeight="1" x14ac:dyDescent="0.25">
      <c r="A476" s="39"/>
    </row>
    <row r="477" spans="1:1" ht="15.75" customHeight="1" x14ac:dyDescent="0.25">
      <c r="A477" s="39"/>
    </row>
    <row r="478" spans="1:1" ht="15.75" customHeight="1" x14ac:dyDescent="0.25">
      <c r="A478" s="39"/>
    </row>
    <row r="479" spans="1:1" ht="15.75" customHeight="1" x14ac:dyDescent="0.25">
      <c r="A479" s="39"/>
    </row>
    <row r="480" spans="1:1" ht="15.75" customHeight="1" x14ac:dyDescent="0.25">
      <c r="A480" s="39"/>
    </row>
    <row r="481" spans="1:1" ht="15.75" customHeight="1" x14ac:dyDescent="0.25">
      <c r="A481" s="39"/>
    </row>
    <row r="482" spans="1:1" ht="15.75" customHeight="1" x14ac:dyDescent="0.25">
      <c r="A482" s="39"/>
    </row>
    <row r="483" spans="1:1" ht="15.75" customHeight="1" x14ac:dyDescent="0.25">
      <c r="A483" s="39"/>
    </row>
    <row r="484" spans="1:1" ht="15.75" customHeight="1" x14ac:dyDescent="0.25">
      <c r="A484" s="39"/>
    </row>
    <row r="485" spans="1:1" ht="15.75" customHeight="1" x14ac:dyDescent="0.25">
      <c r="A485" s="39"/>
    </row>
    <row r="486" spans="1:1" ht="15.75" customHeight="1" x14ac:dyDescent="0.25">
      <c r="A486" s="39"/>
    </row>
    <row r="487" spans="1:1" ht="15.75" customHeight="1" x14ac:dyDescent="0.25">
      <c r="A487" s="39"/>
    </row>
    <row r="488" spans="1:1" ht="15.75" customHeight="1" x14ac:dyDescent="0.25">
      <c r="A488" s="39"/>
    </row>
    <row r="489" spans="1:1" ht="15.75" customHeight="1" x14ac:dyDescent="0.25">
      <c r="A489" s="39"/>
    </row>
    <row r="490" spans="1:1" ht="15.75" customHeight="1" x14ac:dyDescent="0.25">
      <c r="A490" s="39"/>
    </row>
    <row r="491" spans="1:1" ht="15.75" customHeight="1" x14ac:dyDescent="0.25">
      <c r="A491" s="39"/>
    </row>
    <row r="492" spans="1:1" ht="15.75" customHeight="1" x14ac:dyDescent="0.25">
      <c r="A492" s="39"/>
    </row>
    <row r="493" spans="1:1" ht="15.75" customHeight="1" x14ac:dyDescent="0.25">
      <c r="A493" s="39"/>
    </row>
    <row r="494" spans="1:1" ht="15.75" customHeight="1" x14ac:dyDescent="0.25">
      <c r="A494" s="39"/>
    </row>
    <row r="495" spans="1:1" ht="15.75" customHeight="1" x14ac:dyDescent="0.25">
      <c r="A495" s="39"/>
    </row>
    <row r="496" spans="1:1" ht="15.75" customHeight="1" x14ac:dyDescent="0.25">
      <c r="A496" s="39"/>
    </row>
    <row r="497" spans="1:1" ht="15.75" customHeight="1" x14ac:dyDescent="0.25">
      <c r="A497" s="39"/>
    </row>
    <row r="498" spans="1:1" ht="15.75" customHeight="1" x14ac:dyDescent="0.25">
      <c r="A498" s="39"/>
    </row>
    <row r="499" spans="1:1" ht="15.75" customHeight="1" x14ac:dyDescent="0.25">
      <c r="A499" s="39"/>
    </row>
    <row r="500" spans="1:1" ht="15.75" customHeight="1" x14ac:dyDescent="0.25">
      <c r="A500" s="39"/>
    </row>
    <row r="501" spans="1:1" ht="15.75" customHeight="1" x14ac:dyDescent="0.25">
      <c r="A501" s="39"/>
    </row>
    <row r="502" spans="1:1" ht="15.75" customHeight="1" x14ac:dyDescent="0.25">
      <c r="A502" s="39"/>
    </row>
    <row r="503" spans="1:1" ht="15.75" customHeight="1" x14ac:dyDescent="0.25">
      <c r="A503" s="39"/>
    </row>
    <row r="504" spans="1:1" ht="15.75" customHeight="1" x14ac:dyDescent="0.25">
      <c r="A504" s="39"/>
    </row>
    <row r="505" spans="1:1" ht="15.75" customHeight="1" x14ac:dyDescent="0.25">
      <c r="A505" s="39"/>
    </row>
    <row r="506" spans="1:1" ht="15.75" customHeight="1" x14ac:dyDescent="0.25">
      <c r="A506" s="39"/>
    </row>
    <row r="507" spans="1:1" ht="15.75" customHeight="1" x14ac:dyDescent="0.25">
      <c r="A507" s="39"/>
    </row>
    <row r="508" spans="1:1" ht="15.75" customHeight="1" x14ac:dyDescent="0.25">
      <c r="A508" s="39"/>
    </row>
    <row r="509" spans="1:1" ht="15.75" customHeight="1" x14ac:dyDescent="0.25">
      <c r="A509" s="39"/>
    </row>
    <row r="510" spans="1:1" ht="15.75" customHeight="1" x14ac:dyDescent="0.25">
      <c r="A510" s="39"/>
    </row>
    <row r="511" spans="1:1" ht="15.75" customHeight="1" x14ac:dyDescent="0.25">
      <c r="A511" s="39"/>
    </row>
    <row r="512" spans="1:1" ht="15.75" customHeight="1" x14ac:dyDescent="0.25">
      <c r="A512" s="39"/>
    </row>
    <row r="513" spans="1:1" ht="15.75" customHeight="1" x14ac:dyDescent="0.25">
      <c r="A513" s="39"/>
    </row>
    <row r="514" spans="1:1" ht="15.75" customHeight="1" x14ac:dyDescent="0.25">
      <c r="A514" s="39"/>
    </row>
    <row r="515" spans="1:1" ht="15.75" customHeight="1" x14ac:dyDescent="0.25">
      <c r="A515" s="39"/>
    </row>
    <row r="516" spans="1:1" ht="15.75" customHeight="1" x14ac:dyDescent="0.25">
      <c r="A516" s="39"/>
    </row>
    <row r="517" spans="1:1" ht="15.75" customHeight="1" x14ac:dyDescent="0.25">
      <c r="A517" s="39"/>
    </row>
    <row r="518" spans="1:1" ht="15.75" customHeight="1" x14ac:dyDescent="0.25">
      <c r="A518" s="39"/>
    </row>
    <row r="519" spans="1:1" ht="15.75" customHeight="1" x14ac:dyDescent="0.25">
      <c r="A519" s="39"/>
    </row>
    <row r="520" spans="1:1" ht="15.75" customHeight="1" x14ac:dyDescent="0.25">
      <c r="A520" s="39"/>
    </row>
    <row r="521" spans="1:1" ht="15.75" customHeight="1" x14ac:dyDescent="0.25">
      <c r="A521" s="39"/>
    </row>
    <row r="522" spans="1:1" ht="15.75" customHeight="1" x14ac:dyDescent="0.25">
      <c r="A522" s="39"/>
    </row>
    <row r="523" spans="1:1" ht="15.75" customHeight="1" x14ac:dyDescent="0.25">
      <c r="A523" s="39"/>
    </row>
    <row r="524" spans="1:1" ht="15.75" customHeight="1" x14ac:dyDescent="0.25">
      <c r="A524" s="39"/>
    </row>
    <row r="525" spans="1:1" ht="15.75" customHeight="1" x14ac:dyDescent="0.25">
      <c r="A525" s="39"/>
    </row>
    <row r="526" spans="1:1" ht="15.75" customHeight="1" x14ac:dyDescent="0.25">
      <c r="A526" s="39"/>
    </row>
    <row r="527" spans="1:1" ht="15.75" customHeight="1" x14ac:dyDescent="0.25">
      <c r="A527" s="39"/>
    </row>
    <row r="528" spans="1:1" ht="15.75" customHeight="1" x14ac:dyDescent="0.25">
      <c r="A528" s="39"/>
    </row>
    <row r="529" spans="1:1" ht="15.75" customHeight="1" x14ac:dyDescent="0.25">
      <c r="A529" s="39"/>
    </row>
    <row r="530" spans="1:1" ht="15.75" customHeight="1" x14ac:dyDescent="0.25">
      <c r="A530" s="39"/>
    </row>
    <row r="531" spans="1:1" ht="15.75" customHeight="1" x14ac:dyDescent="0.25">
      <c r="A531" s="39"/>
    </row>
    <row r="532" spans="1:1" ht="15.75" customHeight="1" x14ac:dyDescent="0.25">
      <c r="A532" s="39"/>
    </row>
    <row r="533" spans="1:1" ht="15.75" customHeight="1" x14ac:dyDescent="0.25">
      <c r="A533" s="39"/>
    </row>
    <row r="534" spans="1:1" ht="15.75" customHeight="1" x14ac:dyDescent="0.25">
      <c r="A534" s="39"/>
    </row>
    <row r="535" spans="1:1" ht="15.75" customHeight="1" x14ac:dyDescent="0.25">
      <c r="A535" s="39"/>
    </row>
    <row r="536" spans="1:1" ht="15.75" customHeight="1" x14ac:dyDescent="0.25">
      <c r="A536" s="39"/>
    </row>
    <row r="537" spans="1:1" ht="15.75" customHeight="1" x14ac:dyDescent="0.25">
      <c r="A537" s="39"/>
    </row>
    <row r="538" spans="1:1" ht="15.75" customHeight="1" x14ac:dyDescent="0.25">
      <c r="A538" s="39"/>
    </row>
    <row r="539" spans="1:1" ht="15.75" customHeight="1" x14ac:dyDescent="0.25">
      <c r="A539" s="39"/>
    </row>
    <row r="540" spans="1:1" ht="15.75" customHeight="1" x14ac:dyDescent="0.25">
      <c r="A540" s="39"/>
    </row>
    <row r="541" spans="1:1" ht="15.75" customHeight="1" x14ac:dyDescent="0.25">
      <c r="A541" s="39"/>
    </row>
    <row r="542" spans="1:1" ht="15.75" customHeight="1" x14ac:dyDescent="0.25">
      <c r="A542" s="39"/>
    </row>
    <row r="543" spans="1:1" ht="15.75" customHeight="1" x14ac:dyDescent="0.25">
      <c r="A543" s="39"/>
    </row>
    <row r="544" spans="1:1" ht="15.75" customHeight="1" x14ac:dyDescent="0.25">
      <c r="A544" s="39"/>
    </row>
    <row r="545" spans="1:1" ht="15.75" customHeight="1" x14ac:dyDescent="0.25">
      <c r="A545" s="39"/>
    </row>
    <row r="546" spans="1:1" ht="15.75" customHeight="1" x14ac:dyDescent="0.25">
      <c r="A546" s="39"/>
    </row>
    <row r="547" spans="1:1" ht="15.75" customHeight="1" x14ac:dyDescent="0.25">
      <c r="A547" s="39"/>
    </row>
    <row r="548" spans="1:1" ht="15.75" customHeight="1" x14ac:dyDescent="0.25">
      <c r="A548" s="39"/>
    </row>
    <row r="549" spans="1:1" ht="15.75" customHeight="1" x14ac:dyDescent="0.25">
      <c r="A549" s="39"/>
    </row>
    <row r="550" spans="1:1" ht="15.75" customHeight="1" x14ac:dyDescent="0.25">
      <c r="A550" s="39"/>
    </row>
    <row r="551" spans="1:1" ht="15.75" customHeight="1" x14ac:dyDescent="0.25">
      <c r="A551" s="39"/>
    </row>
    <row r="552" spans="1:1" ht="15.75" customHeight="1" x14ac:dyDescent="0.25">
      <c r="A552" s="39"/>
    </row>
    <row r="553" spans="1:1" ht="15.75" customHeight="1" x14ac:dyDescent="0.25">
      <c r="A553" s="39"/>
    </row>
    <row r="554" spans="1:1" ht="15.75" customHeight="1" x14ac:dyDescent="0.25">
      <c r="A554" s="39"/>
    </row>
    <row r="555" spans="1:1" ht="15.75" customHeight="1" x14ac:dyDescent="0.25">
      <c r="A555" s="39"/>
    </row>
    <row r="556" spans="1:1" ht="15.75" customHeight="1" x14ac:dyDescent="0.25">
      <c r="A556" s="39"/>
    </row>
    <row r="557" spans="1:1" ht="15.75" customHeight="1" x14ac:dyDescent="0.25">
      <c r="A557" s="39"/>
    </row>
    <row r="558" spans="1:1" ht="15.75" customHeight="1" x14ac:dyDescent="0.25">
      <c r="A558" s="39"/>
    </row>
    <row r="559" spans="1:1" ht="15.75" customHeight="1" x14ac:dyDescent="0.25">
      <c r="A559" s="39"/>
    </row>
    <row r="560" spans="1:1" ht="15.75" customHeight="1" x14ac:dyDescent="0.25">
      <c r="A560" s="39"/>
    </row>
    <row r="561" spans="1:1" ht="15.75" customHeight="1" x14ac:dyDescent="0.25">
      <c r="A561" s="39"/>
    </row>
    <row r="562" spans="1:1" ht="15.75" customHeight="1" x14ac:dyDescent="0.25">
      <c r="A562" s="39"/>
    </row>
    <row r="563" spans="1:1" ht="15.75" customHeight="1" x14ac:dyDescent="0.25">
      <c r="A563" s="39"/>
    </row>
    <row r="564" spans="1:1" ht="15.75" customHeight="1" x14ac:dyDescent="0.25">
      <c r="A564" s="39"/>
    </row>
    <row r="565" spans="1:1" ht="15.75" customHeight="1" x14ac:dyDescent="0.25">
      <c r="A565" s="39"/>
    </row>
    <row r="566" spans="1:1" ht="15.75" customHeight="1" x14ac:dyDescent="0.25">
      <c r="A566" s="39"/>
    </row>
    <row r="567" spans="1:1" ht="15.75" customHeight="1" x14ac:dyDescent="0.25">
      <c r="A567" s="39"/>
    </row>
    <row r="568" spans="1:1" ht="15.75" customHeight="1" x14ac:dyDescent="0.25">
      <c r="A568" s="39"/>
    </row>
    <row r="569" spans="1:1" ht="15.75" customHeight="1" x14ac:dyDescent="0.25">
      <c r="A569" s="39"/>
    </row>
    <row r="570" spans="1:1" ht="15.75" customHeight="1" x14ac:dyDescent="0.25">
      <c r="A570" s="39"/>
    </row>
    <row r="571" spans="1:1" ht="15.75" customHeight="1" x14ac:dyDescent="0.25">
      <c r="A571" s="39"/>
    </row>
    <row r="572" spans="1:1" ht="15.75" customHeight="1" x14ac:dyDescent="0.25">
      <c r="A572" s="39"/>
    </row>
    <row r="573" spans="1:1" ht="15.75" customHeight="1" x14ac:dyDescent="0.25">
      <c r="A573" s="39"/>
    </row>
    <row r="574" spans="1:1" ht="15.75" customHeight="1" x14ac:dyDescent="0.25">
      <c r="A574" s="39"/>
    </row>
    <row r="575" spans="1:1" ht="15.75" customHeight="1" x14ac:dyDescent="0.25">
      <c r="A575" s="39"/>
    </row>
    <row r="576" spans="1:1" ht="15.75" customHeight="1" x14ac:dyDescent="0.25">
      <c r="A576" s="39"/>
    </row>
    <row r="577" spans="1:1" ht="15.75" customHeight="1" x14ac:dyDescent="0.25">
      <c r="A577" s="39"/>
    </row>
    <row r="578" spans="1:1" ht="15.75" customHeight="1" x14ac:dyDescent="0.25">
      <c r="A578" s="39"/>
    </row>
    <row r="579" spans="1:1" ht="15.75" customHeight="1" x14ac:dyDescent="0.25">
      <c r="A579" s="39"/>
    </row>
    <row r="580" spans="1:1" ht="15.75" customHeight="1" x14ac:dyDescent="0.25">
      <c r="A580" s="39"/>
    </row>
    <row r="581" spans="1:1" ht="15.75" customHeight="1" x14ac:dyDescent="0.25">
      <c r="A581" s="39"/>
    </row>
    <row r="582" spans="1:1" ht="15.75" customHeight="1" x14ac:dyDescent="0.25">
      <c r="A582" s="39"/>
    </row>
    <row r="583" spans="1:1" ht="15.75" customHeight="1" x14ac:dyDescent="0.25">
      <c r="A583" s="39"/>
    </row>
    <row r="584" spans="1:1" ht="15.75" customHeight="1" x14ac:dyDescent="0.25">
      <c r="A584" s="39"/>
    </row>
    <row r="585" spans="1:1" ht="15.75" customHeight="1" x14ac:dyDescent="0.25">
      <c r="A585" s="39"/>
    </row>
    <row r="586" spans="1:1" ht="15.75" customHeight="1" x14ac:dyDescent="0.25">
      <c r="A586" s="39"/>
    </row>
    <row r="587" spans="1:1" ht="15.75" customHeight="1" x14ac:dyDescent="0.25">
      <c r="A587" s="39"/>
    </row>
    <row r="588" spans="1:1" ht="15.75" customHeight="1" x14ac:dyDescent="0.25">
      <c r="A588" s="39"/>
    </row>
    <row r="589" spans="1:1" ht="15.75" customHeight="1" x14ac:dyDescent="0.25">
      <c r="A589" s="39"/>
    </row>
    <row r="590" spans="1:1" ht="15.75" customHeight="1" x14ac:dyDescent="0.25">
      <c r="A590" s="39"/>
    </row>
    <row r="591" spans="1:1" ht="15.75" customHeight="1" x14ac:dyDescent="0.25">
      <c r="A591" s="39"/>
    </row>
    <row r="592" spans="1:1" ht="15.75" customHeight="1" x14ac:dyDescent="0.25">
      <c r="A592" s="39"/>
    </row>
    <row r="593" spans="1:1" ht="15.75" customHeight="1" x14ac:dyDescent="0.25">
      <c r="A593" s="39"/>
    </row>
    <row r="594" spans="1:1" ht="15.75" customHeight="1" x14ac:dyDescent="0.25">
      <c r="A594" s="39"/>
    </row>
    <row r="595" spans="1:1" ht="15.75" customHeight="1" x14ac:dyDescent="0.25">
      <c r="A595" s="39"/>
    </row>
    <row r="596" spans="1:1" ht="15.75" customHeight="1" x14ac:dyDescent="0.25">
      <c r="A596" s="39"/>
    </row>
    <row r="597" spans="1:1" ht="15.75" customHeight="1" x14ac:dyDescent="0.25">
      <c r="A597" s="39"/>
    </row>
    <row r="598" spans="1:1" ht="15.75" customHeight="1" x14ac:dyDescent="0.25">
      <c r="A598" s="39"/>
    </row>
    <row r="599" spans="1:1" ht="15.75" customHeight="1" x14ac:dyDescent="0.25">
      <c r="A599" s="39"/>
    </row>
    <row r="600" spans="1:1" ht="15.75" customHeight="1" x14ac:dyDescent="0.25">
      <c r="A600" s="39"/>
    </row>
    <row r="601" spans="1:1" ht="15.75" customHeight="1" x14ac:dyDescent="0.25">
      <c r="A601" s="39"/>
    </row>
    <row r="602" spans="1:1" ht="15.75" customHeight="1" x14ac:dyDescent="0.25">
      <c r="A602" s="39"/>
    </row>
    <row r="603" spans="1:1" ht="15.75" customHeight="1" x14ac:dyDescent="0.25">
      <c r="A603" s="39"/>
    </row>
    <row r="604" spans="1:1" ht="15.75" customHeight="1" x14ac:dyDescent="0.25">
      <c r="A604" s="39"/>
    </row>
    <row r="605" spans="1:1" ht="15.75" customHeight="1" x14ac:dyDescent="0.25">
      <c r="A605" s="39"/>
    </row>
    <row r="606" spans="1:1" ht="15.75" customHeight="1" x14ac:dyDescent="0.25">
      <c r="A606" s="39"/>
    </row>
    <row r="607" spans="1:1" ht="15.75" customHeight="1" x14ac:dyDescent="0.25">
      <c r="A607" s="39"/>
    </row>
    <row r="608" spans="1:1" ht="15.75" customHeight="1" x14ac:dyDescent="0.25">
      <c r="A608" s="39"/>
    </row>
    <row r="609" spans="1:1" ht="15.75" customHeight="1" x14ac:dyDescent="0.25">
      <c r="A609" s="39"/>
    </row>
    <row r="610" spans="1:1" ht="15.75" customHeight="1" x14ac:dyDescent="0.25">
      <c r="A610" s="39"/>
    </row>
    <row r="611" spans="1:1" ht="15.75" customHeight="1" x14ac:dyDescent="0.25">
      <c r="A611" s="39"/>
    </row>
    <row r="612" spans="1:1" ht="15.75" customHeight="1" x14ac:dyDescent="0.25">
      <c r="A612" s="39"/>
    </row>
    <row r="613" spans="1:1" ht="15.75" customHeight="1" x14ac:dyDescent="0.25">
      <c r="A613" s="39"/>
    </row>
    <row r="614" spans="1:1" ht="15.75" customHeight="1" x14ac:dyDescent="0.25">
      <c r="A614" s="39"/>
    </row>
    <row r="615" spans="1:1" ht="15.75" customHeight="1" x14ac:dyDescent="0.25">
      <c r="A615" s="39"/>
    </row>
    <row r="616" spans="1:1" ht="15.75" customHeight="1" x14ac:dyDescent="0.25">
      <c r="A616" s="39"/>
    </row>
    <row r="617" spans="1:1" ht="15.75" customHeight="1" x14ac:dyDescent="0.25">
      <c r="A617" s="39"/>
    </row>
    <row r="618" spans="1:1" ht="15.75" customHeight="1" x14ac:dyDescent="0.25">
      <c r="A618" s="39"/>
    </row>
    <row r="619" spans="1:1" ht="15.75" customHeight="1" x14ac:dyDescent="0.25">
      <c r="A619" s="39"/>
    </row>
    <row r="620" spans="1:1" ht="15.75" customHeight="1" x14ac:dyDescent="0.25">
      <c r="A620" s="39"/>
    </row>
    <row r="621" spans="1:1" ht="15.75" customHeight="1" x14ac:dyDescent="0.25">
      <c r="A621" s="39"/>
    </row>
    <row r="622" spans="1:1" ht="15.75" customHeight="1" x14ac:dyDescent="0.25">
      <c r="A622" s="39"/>
    </row>
    <row r="623" spans="1:1" ht="15.75" customHeight="1" x14ac:dyDescent="0.25">
      <c r="A623" s="39"/>
    </row>
    <row r="624" spans="1:1" ht="15.75" customHeight="1" x14ac:dyDescent="0.25">
      <c r="A624" s="39"/>
    </row>
    <row r="625" spans="1:1" ht="15.75" customHeight="1" x14ac:dyDescent="0.25">
      <c r="A625" s="39"/>
    </row>
    <row r="626" spans="1:1" ht="15.75" customHeight="1" x14ac:dyDescent="0.25">
      <c r="A626" s="39"/>
    </row>
    <row r="627" spans="1:1" ht="15.75" customHeight="1" x14ac:dyDescent="0.25">
      <c r="A627" s="39"/>
    </row>
    <row r="628" spans="1:1" ht="15.75" customHeight="1" x14ac:dyDescent="0.25">
      <c r="A628" s="39"/>
    </row>
    <row r="629" spans="1:1" ht="15.75" customHeight="1" x14ac:dyDescent="0.25">
      <c r="A629" s="39"/>
    </row>
    <row r="630" spans="1:1" ht="15.75" customHeight="1" x14ac:dyDescent="0.25">
      <c r="A630" s="39"/>
    </row>
    <row r="631" spans="1:1" ht="15.75" customHeight="1" x14ac:dyDescent="0.25">
      <c r="A631" s="39"/>
    </row>
    <row r="632" spans="1:1" ht="15.75" customHeight="1" x14ac:dyDescent="0.25">
      <c r="A632" s="39"/>
    </row>
    <row r="633" spans="1:1" ht="15.75" customHeight="1" x14ac:dyDescent="0.25">
      <c r="A633" s="39"/>
    </row>
    <row r="634" spans="1:1" ht="15.75" customHeight="1" x14ac:dyDescent="0.25">
      <c r="A634" s="39"/>
    </row>
    <row r="635" spans="1:1" ht="15.75" customHeight="1" x14ac:dyDescent="0.25">
      <c r="A635" s="39"/>
    </row>
    <row r="636" spans="1:1" ht="15.75" customHeight="1" x14ac:dyDescent="0.25">
      <c r="A636" s="39"/>
    </row>
    <row r="637" spans="1:1" ht="15.75" customHeight="1" x14ac:dyDescent="0.25">
      <c r="A637" s="39"/>
    </row>
    <row r="638" spans="1:1" ht="15.75" customHeight="1" x14ac:dyDescent="0.25">
      <c r="A638" s="39"/>
    </row>
    <row r="639" spans="1:1" ht="15.75" customHeight="1" x14ac:dyDescent="0.25">
      <c r="A639" s="39"/>
    </row>
    <row r="640" spans="1:1" ht="15.75" customHeight="1" x14ac:dyDescent="0.25">
      <c r="A640" s="39"/>
    </row>
    <row r="641" spans="1:1" ht="15.75" customHeight="1" x14ac:dyDescent="0.25">
      <c r="A641" s="39"/>
    </row>
    <row r="642" spans="1:1" ht="15.75" customHeight="1" x14ac:dyDescent="0.25">
      <c r="A642" s="39"/>
    </row>
    <row r="643" spans="1:1" ht="15.75" customHeight="1" x14ac:dyDescent="0.25">
      <c r="A643" s="39"/>
    </row>
    <row r="644" spans="1:1" ht="15.75" customHeight="1" x14ac:dyDescent="0.25">
      <c r="A644" s="39"/>
    </row>
    <row r="645" spans="1:1" ht="15.75" customHeight="1" x14ac:dyDescent="0.25">
      <c r="A645" s="39"/>
    </row>
    <row r="646" spans="1:1" ht="15.75" customHeight="1" x14ac:dyDescent="0.25">
      <c r="A646" s="39"/>
    </row>
    <row r="647" spans="1:1" ht="15.75" customHeight="1" x14ac:dyDescent="0.25">
      <c r="A647" s="39"/>
    </row>
    <row r="648" spans="1:1" ht="15.75" customHeight="1" x14ac:dyDescent="0.25">
      <c r="A648" s="39"/>
    </row>
    <row r="649" spans="1:1" ht="15.75" customHeight="1" x14ac:dyDescent="0.25">
      <c r="A649" s="39"/>
    </row>
    <row r="650" spans="1:1" ht="15.75" customHeight="1" x14ac:dyDescent="0.25">
      <c r="A650" s="39"/>
    </row>
    <row r="651" spans="1:1" ht="15.75" customHeight="1" x14ac:dyDescent="0.25">
      <c r="A651" s="39"/>
    </row>
    <row r="652" spans="1:1" ht="15.75" customHeight="1" x14ac:dyDescent="0.25">
      <c r="A652" s="39"/>
    </row>
    <row r="653" spans="1:1" ht="15.75" customHeight="1" x14ac:dyDescent="0.25">
      <c r="A653" s="39"/>
    </row>
    <row r="654" spans="1:1" ht="15.75" customHeight="1" x14ac:dyDescent="0.25">
      <c r="A654" s="39"/>
    </row>
    <row r="655" spans="1:1" ht="15.75" customHeight="1" x14ac:dyDescent="0.25">
      <c r="A655" s="39"/>
    </row>
    <row r="656" spans="1:1" ht="15.75" customHeight="1" x14ac:dyDescent="0.25">
      <c r="A656" s="39"/>
    </row>
    <row r="657" spans="1:1" ht="15.75" customHeight="1" x14ac:dyDescent="0.25">
      <c r="A657" s="39"/>
    </row>
    <row r="658" spans="1:1" ht="15.75" customHeight="1" x14ac:dyDescent="0.25">
      <c r="A658" s="39"/>
    </row>
    <row r="659" spans="1:1" ht="15.75" customHeight="1" x14ac:dyDescent="0.25">
      <c r="A659" s="39"/>
    </row>
    <row r="660" spans="1:1" ht="15.75" customHeight="1" x14ac:dyDescent="0.25">
      <c r="A660" s="39"/>
    </row>
    <row r="661" spans="1:1" ht="15.75" customHeight="1" x14ac:dyDescent="0.25">
      <c r="A661" s="39"/>
    </row>
    <row r="662" spans="1:1" ht="15.75" customHeight="1" x14ac:dyDescent="0.25">
      <c r="A662" s="39"/>
    </row>
    <row r="663" spans="1:1" ht="15.75" customHeight="1" x14ac:dyDescent="0.25">
      <c r="A663" s="39"/>
    </row>
    <row r="664" spans="1:1" ht="15.75" customHeight="1" x14ac:dyDescent="0.25">
      <c r="A664" s="39"/>
    </row>
    <row r="665" spans="1:1" ht="15.75" customHeight="1" x14ac:dyDescent="0.25">
      <c r="A665" s="39"/>
    </row>
    <row r="666" spans="1:1" ht="15.75" customHeight="1" x14ac:dyDescent="0.25">
      <c r="A666" s="39"/>
    </row>
    <row r="667" spans="1:1" ht="15.75" customHeight="1" x14ac:dyDescent="0.25">
      <c r="A667" s="39"/>
    </row>
    <row r="668" spans="1:1" ht="15.75" customHeight="1" x14ac:dyDescent="0.25">
      <c r="A668" s="39"/>
    </row>
    <row r="669" spans="1:1" ht="15.75" customHeight="1" x14ac:dyDescent="0.25">
      <c r="A669" s="39"/>
    </row>
    <row r="670" spans="1:1" ht="15.75" customHeight="1" x14ac:dyDescent="0.25">
      <c r="A670" s="39"/>
    </row>
    <row r="671" spans="1:1" ht="15.75" customHeight="1" x14ac:dyDescent="0.25">
      <c r="A671" s="39"/>
    </row>
    <row r="672" spans="1:1" ht="15.75" customHeight="1" x14ac:dyDescent="0.25">
      <c r="A672" s="39"/>
    </row>
    <row r="673" spans="1:1" ht="15.75" customHeight="1" x14ac:dyDescent="0.25">
      <c r="A673" s="39"/>
    </row>
    <row r="674" spans="1:1" ht="15.75" customHeight="1" x14ac:dyDescent="0.25">
      <c r="A674" s="39"/>
    </row>
    <row r="675" spans="1:1" ht="15.75" customHeight="1" x14ac:dyDescent="0.25">
      <c r="A675" s="39"/>
    </row>
    <row r="676" spans="1:1" ht="15.75" customHeight="1" x14ac:dyDescent="0.25">
      <c r="A676" s="39"/>
    </row>
    <row r="677" spans="1:1" ht="15.75" customHeight="1" x14ac:dyDescent="0.25">
      <c r="A677" s="39"/>
    </row>
    <row r="678" spans="1:1" ht="15.75" customHeight="1" x14ac:dyDescent="0.25">
      <c r="A678" s="39"/>
    </row>
    <row r="679" spans="1:1" ht="15.75" customHeight="1" x14ac:dyDescent="0.25">
      <c r="A679" s="39"/>
    </row>
    <row r="680" spans="1:1" ht="15.75" customHeight="1" x14ac:dyDescent="0.25">
      <c r="A680" s="39"/>
    </row>
    <row r="681" spans="1:1" ht="15.75" customHeight="1" x14ac:dyDescent="0.25">
      <c r="A681" s="39"/>
    </row>
    <row r="682" spans="1:1" ht="15.75" customHeight="1" x14ac:dyDescent="0.25">
      <c r="A682" s="39"/>
    </row>
    <row r="683" spans="1:1" ht="15.75" customHeight="1" x14ac:dyDescent="0.25">
      <c r="A683" s="39"/>
    </row>
    <row r="684" spans="1:1" ht="15.75" customHeight="1" x14ac:dyDescent="0.25">
      <c r="A684" s="39"/>
    </row>
    <row r="685" spans="1:1" ht="15.75" customHeight="1" x14ac:dyDescent="0.25">
      <c r="A685" s="39"/>
    </row>
    <row r="686" spans="1:1" ht="15.75" customHeight="1" x14ac:dyDescent="0.25">
      <c r="A686" s="39"/>
    </row>
    <row r="687" spans="1:1" ht="15.75" customHeight="1" x14ac:dyDescent="0.25">
      <c r="A687" s="39"/>
    </row>
    <row r="688" spans="1:1" ht="15.75" customHeight="1" x14ac:dyDescent="0.25">
      <c r="A688" s="39"/>
    </row>
    <row r="689" spans="1:1" ht="15.75" customHeight="1" x14ac:dyDescent="0.25">
      <c r="A689" s="39"/>
    </row>
    <row r="690" spans="1:1" ht="15.75" customHeight="1" x14ac:dyDescent="0.25">
      <c r="A690" s="39"/>
    </row>
    <row r="691" spans="1:1" ht="15.75" customHeight="1" x14ac:dyDescent="0.25">
      <c r="A691" s="39"/>
    </row>
    <row r="692" spans="1:1" ht="15.75" customHeight="1" x14ac:dyDescent="0.25">
      <c r="A692" s="39"/>
    </row>
    <row r="693" spans="1:1" ht="15.75" customHeight="1" x14ac:dyDescent="0.25">
      <c r="A693" s="39"/>
    </row>
    <row r="694" spans="1:1" ht="15.75" customHeight="1" x14ac:dyDescent="0.25">
      <c r="A694" s="39"/>
    </row>
    <row r="695" spans="1:1" ht="15.75" customHeight="1" x14ac:dyDescent="0.25">
      <c r="A695" s="39"/>
    </row>
    <row r="696" spans="1:1" ht="15.75" customHeight="1" x14ac:dyDescent="0.25">
      <c r="A696" s="39"/>
    </row>
    <row r="697" spans="1:1" ht="15.75" customHeight="1" x14ac:dyDescent="0.25">
      <c r="A697" s="39"/>
    </row>
    <row r="698" spans="1:1" ht="15.75" customHeight="1" x14ac:dyDescent="0.25">
      <c r="A698" s="39"/>
    </row>
    <row r="699" spans="1:1" ht="15.75" customHeight="1" x14ac:dyDescent="0.25">
      <c r="A699" s="39"/>
    </row>
    <row r="700" spans="1:1" ht="15.75" customHeight="1" x14ac:dyDescent="0.25">
      <c r="A700" s="39"/>
    </row>
    <row r="701" spans="1:1" ht="15.75" customHeight="1" x14ac:dyDescent="0.25">
      <c r="A701" s="39"/>
    </row>
    <row r="702" spans="1:1" ht="15.75" customHeight="1" x14ac:dyDescent="0.25">
      <c r="A702" s="39"/>
    </row>
    <row r="703" spans="1:1" ht="15.75" customHeight="1" x14ac:dyDescent="0.25">
      <c r="A703" s="39"/>
    </row>
    <row r="704" spans="1:1" ht="15.75" customHeight="1" x14ac:dyDescent="0.25">
      <c r="A704" s="39"/>
    </row>
    <row r="705" spans="1:1" ht="15.75" customHeight="1" x14ac:dyDescent="0.25">
      <c r="A705" s="39"/>
    </row>
    <row r="706" spans="1:1" ht="15.75" customHeight="1" x14ac:dyDescent="0.25">
      <c r="A706" s="39"/>
    </row>
    <row r="707" spans="1:1" ht="15.75" customHeight="1" x14ac:dyDescent="0.25">
      <c r="A707" s="39"/>
    </row>
    <row r="708" spans="1:1" ht="15.75" customHeight="1" x14ac:dyDescent="0.25">
      <c r="A708" s="39"/>
    </row>
    <row r="709" spans="1:1" ht="15.75" customHeight="1" x14ac:dyDescent="0.25">
      <c r="A709" s="39"/>
    </row>
    <row r="710" spans="1:1" ht="15.75" customHeight="1" x14ac:dyDescent="0.25">
      <c r="A710" s="39"/>
    </row>
    <row r="711" spans="1:1" ht="15.75" customHeight="1" x14ac:dyDescent="0.25">
      <c r="A711" s="39"/>
    </row>
    <row r="712" spans="1:1" ht="15.75" customHeight="1" x14ac:dyDescent="0.25">
      <c r="A712" s="39"/>
    </row>
    <row r="713" spans="1:1" ht="15.75" customHeight="1" x14ac:dyDescent="0.25">
      <c r="A713" s="39"/>
    </row>
    <row r="714" spans="1:1" ht="15.75" customHeight="1" x14ac:dyDescent="0.25">
      <c r="A714" s="39"/>
    </row>
    <row r="715" spans="1:1" ht="15.75" customHeight="1" x14ac:dyDescent="0.25">
      <c r="A715" s="39"/>
    </row>
    <row r="716" spans="1:1" ht="15.75" customHeight="1" x14ac:dyDescent="0.25">
      <c r="A716" s="39"/>
    </row>
    <row r="717" spans="1:1" ht="15.75" customHeight="1" x14ac:dyDescent="0.25">
      <c r="A717" s="39"/>
    </row>
    <row r="718" spans="1:1" ht="15.75" customHeight="1" x14ac:dyDescent="0.25">
      <c r="A718" s="39"/>
    </row>
    <row r="719" spans="1:1" ht="15.75" customHeight="1" x14ac:dyDescent="0.25">
      <c r="A719" s="39"/>
    </row>
    <row r="720" spans="1:1" ht="15.75" customHeight="1" x14ac:dyDescent="0.25">
      <c r="A720" s="39"/>
    </row>
    <row r="721" spans="1:1" ht="15.75" customHeight="1" x14ac:dyDescent="0.25">
      <c r="A721" s="39"/>
    </row>
    <row r="722" spans="1:1" ht="15.75" customHeight="1" x14ac:dyDescent="0.25">
      <c r="A722" s="39"/>
    </row>
    <row r="723" spans="1:1" ht="15.75" customHeight="1" x14ac:dyDescent="0.25">
      <c r="A723" s="39"/>
    </row>
    <row r="724" spans="1:1" ht="15.75" customHeight="1" x14ac:dyDescent="0.25">
      <c r="A724" s="39"/>
    </row>
    <row r="725" spans="1:1" ht="15.75" customHeight="1" x14ac:dyDescent="0.25">
      <c r="A725" s="39"/>
    </row>
    <row r="726" spans="1:1" ht="15.75" customHeight="1" x14ac:dyDescent="0.25">
      <c r="A726" s="39"/>
    </row>
    <row r="727" spans="1:1" ht="15.75" customHeight="1" x14ac:dyDescent="0.25">
      <c r="A727" s="39"/>
    </row>
    <row r="728" spans="1:1" ht="15.75" customHeight="1" x14ac:dyDescent="0.25">
      <c r="A728" s="39"/>
    </row>
    <row r="729" spans="1:1" ht="15.75" customHeight="1" x14ac:dyDescent="0.25">
      <c r="A729" s="39"/>
    </row>
    <row r="730" spans="1:1" ht="15.75" customHeight="1" x14ac:dyDescent="0.25">
      <c r="A730" s="39"/>
    </row>
    <row r="731" spans="1:1" ht="15.75" customHeight="1" x14ac:dyDescent="0.25">
      <c r="A731" s="39"/>
    </row>
    <row r="732" spans="1:1" ht="15.75" customHeight="1" x14ac:dyDescent="0.25">
      <c r="A732" s="39"/>
    </row>
    <row r="733" spans="1:1" ht="15.75" customHeight="1" x14ac:dyDescent="0.25">
      <c r="A733" s="39"/>
    </row>
    <row r="734" spans="1:1" ht="15.75" customHeight="1" x14ac:dyDescent="0.25">
      <c r="A734" s="39"/>
    </row>
    <row r="735" spans="1:1" ht="15.75" customHeight="1" x14ac:dyDescent="0.25">
      <c r="A735" s="39"/>
    </row>
    <row r="736" spans="1:1" ht="15.75" customHeight="1" x14ac:dyDescent="0.25">
      <c r="A736" s="39"/>
    </row>
    <row r="737" spans="1:1" ht="15.75" customHeight="1" x14ac:dyDescent="0.25">
      <c r="A737" s="39"/>
    </row>
    <row r="738" spans="1:1" ht="15.75" customHeight="1" x14ac:dyDescent="0.25">
      <c r="A738" s="39"/>
    </row>
    <row r="739" spans="1:1" ht="15.75" customHeight="1" x14ac:dyDescent="0.25">
      <c r="A739" s="39"/>
    </row>
    <row r="740" spans="1:1" ht="15.75" customHeight="1" x14ac:dyDescent="0.25">
      <c r="A740" s="39"/>
    </row>
    <row r="741" spans="1:1" ht="15.75" customHeight="1" x14ac:dyDescent="0.25">
      <c r="A741" s="39"/>
    </row>
    <row r="742" spans="1:1" ht="15.75" customHeight="1" x14ac:dyDescent="0.25">
      <c r="A742" s="39"/>
    </row>
    <row r="743" spans="1:1" ht="15.75" customHeight="1" x14ac:dyDescent="0.25">
      <c r="A743" s="39"/>
    </row>
    <row r="744" spans="1:1" ht="15.75" customHeight="1" x14ac:dyDescent="0.25">
      <c r="A744" s="39"/>
    </row>
    <row r="745" spans="1:1" ht="15.75" customHeight="1" x14ac:dyDescent="0.25">
      <c r="A745" s="39"/>
    </row>
    <row r="746" spans="1:1" ht="15.75" customHeight="1" x14ac:dyDescent="0.25">
      <c r="A746" s="39"/>
    </row>
    <row r="747" spans="1:1" ht="15.75" customHeight="1" x14ac:dyDescent="0.25">
      <c r="A747" s="39"/>
    </row>
    <row r="748" spans="1:1" ht="15.75" customHeight="1" x14ac:dyDescent="0.25">
      <c r="A748" s="39"/>
    </row>
    <row r="749" spans="1:1" ht="15.75" customHeight="1" x14ac:dyDescent="0.25">
      <c r="A749" s="39"/>
    </row>
    <row r="750" spans="1:1" ht="15.75" customHeight="1" x14ac:dyDescent="0.25">
      <c r="A750" s="39"/>
    </row>
    <row r="751" spans="1:1" ht="15.75" customHeight="1" x14ac:dyDescent="0.25">
      <c r="A751" s="39"/>
    </row>
    <row r="752" spans="1:1" ht="15.75" customHeight="1" x14ac:dyDescent="0.25">
      <c r="A752" s="39"/>
    </row>
    <row r="753" spans="1:1" ht="15.75" customHeight="1" x14ac:dyDescent="0.25">
      <c r="A753" s="39"/>
    </row>
    <row r="754" spans="1:1" ht="15.75" customHeight="1" x14ac:dyDescent="0.25">
      <c r="A754" s="39"/>
    </row>
    <row r="755" spans="1:1" ht="15.75" customHeight="1" x14ac:dyDescent="0.25">
      <c r="A755" s="39"/>
    </row>
    <row r="756" spans="1:1" ht="15.75" customHeight="1" x14ac:dyDescent="0.25">
      <c r="A756" s="39"/>
    </row>
    <row r="757" spans="1:1" ht="15.75" customHeight="1" x14ac:dyDescent="0.25">
      <c r="A757" s="39"/>
    </row>
    <row r="758" spans="1:1" ht="15.75" customHeight="1" x14ac:dyDescent="0.25">
      <c r="A758" s="39"/>
    </row>
    <row r="759" spans="1:1" ht="15.75" customHeight="1" x14ac:dyDescent="0.25">
      <c r="A759" s="39"/>
    </row>
    <row r="760" spans="1:1" ht="15.75" customHeight="1" x14ac:dyDescent="0.25">
      <c r="A760" s="39"/>
    </row>
    <row r="761" spans="1:1" ht="15.75" customHeight="1" x14ac:dyDescent="0.25">
      <c r="A761" s="39"/>
    </row>
    <row r="762" spans="1:1" ht="15.75" customHeight="1" x14ac:dyDescent="0.25">
      <c r="A762" s="39"/>
    </row>
    <row r="763" spans="1:1" ht="15.75" customHeight="1" x14ac:dyDescent="0.25">
      <c r="A763" s="39"/>
    </row>
    <row r="764" spans="1:1" ht="15.75" customHeight="1" x14ac:dyDescent="0.25">
      <c r="A764" s="39"/>
    </row>
    <row r="765" spans="1:1" ht="15.75" customHeight="1" x14ac:dyDescent="0.25">
      <c r="A765" s="39"/>
    </row>
    <row r="766" spans="1:1" ht="15.75" customHeight="1" x14ac:dyDescent="0.25">
      <c r="A766" s="39"/>
    </row>
    <row r="767" spans="1:1" ht="15.75" customHeight="1" x14ac:dyDescent="0.25">
      <c r="A767" s="39"/>
    </row>
    <row r="768" spans="1:1" ht="15.75" customHeight="1" x14ac:dyDescent="0.25">
      <c r="A768" s="39"/>
    </row>
    <row r="769" spans="1:1" ht="15.75" customHeight="1" x14ac:dyDescent="0.25">
      <c r="A769" s="39"/>
    </row>
    <row r="770" spans="1:1" ht="15.75" customHeight="1" x14ac:dyDescent="0.25">
      <c r="A770" s="39"/>
    </row>
    <row r="771" spans="1:1" ht="15.75" customHeight="1" x14ac:dyDescent="0.25">
      <c r="A771" s="39"/>
    </row>
    <row r="772" spans="1:1" ht="15.75" customHeight="1" x14ac:dyDescent="0.25">
      <c r="A772" s="39"/>
    </row>
    <row r="773" spans="1:1" ht="15.75" customHeight="1" x14ac:dyDescent="0.25">
      <c r="A773" s="39"/>
    </row>
    <row r="774" spans="1:1" ht="15.75" customHeight="1" x14ac:dyDescent="0.25">
      <c r="A774" s="39"/>
    </row>
    <row r="775" spans="1:1" ht="15.75" customHeight="1" x14ac:dyDescent="0.25">
      <c r="A775" s="39"/>
    </row>
    <row r="776" spans="1:1" ht="15.75" customHeight="1" x14ac:dyDescent="0.25">
      <c r="A776" s="39"/>
    </row>
    <row r="777" spans="1:1" ht="15.75" customHeight="1" x14ac:dyDescent="0.25">
      <c r="A777" s="39"/>
    </row>
    <row r="778" spans="1:1" ht="15.75" customHeight="1" x14ac:dyDescent="0.25">
      <c r="A778" s="39"/>
    </row>
    <row r="779" spans="1:1" ht="15.75" customHeight="1" x14ac:dyDescent="0.25">
      <c r="A779" s="39"/>
    </row>
    <row r="780" spans="1:1" ht="15.75" customHeight="1" x14ac:dyDescent="0.25">
      <c r="A780" s="39"/>
    </row>
    <row r="781" spans="1:1" ht="15.75" customHeight="1" x14ac:dyDescent="0.25">
      <c r="A781" s="39"/>
    </row>
    <row r="782" spans="1:1" ht="15.75" customHeight="1" x14ac:dyDescent="0.25">
      <c r="A782" s="39"/>
    </row>
    <row r="783" spans="1:1" ht="15.75" customHeight="1" x14ac:dyDescent="0.25">
      <c r="A783" s="39"/>
    </row>
    <row r="784" spans="1:1" ht="15.75" customHeight="1" x14ac:dyDescent="0.25">
      <c r="A784" s="39"/>
    </row>
    <row r="785" spans="1:1" ht="15.75" customHeight="1" x14ac:dyDescent="0.25">
      <c r="A785" s="39"/>
    </row>
    <row r="786" spans="1:1" ht="15.75" customHeight="1" x14ac:dyDescent="0.25">
      <c r="A786" s="39"/>
    </row>
    <row r="787" spans="1:1" ht="15.75" customHeight="1" x14ac:dyDescent="0.25">
      <c r="A787" s="39"/>
    </row>
    <row r="788" spans="1:1" ht="15.75" customHeight="1" x14ac:dyDescent="0.25">
      <c r="A788" s="39"/>
    </row>
    <row r="789" spans="1:1" ht="15.75" customHeight="1" x14ac:dyDescent="0.25">
      <c r="A789" s="39"/>
    </row>
    <row r="790" spans="1:1" ht="15.75" customHeight="1" x14ac:dyDescent="0.25">
      <c r="A790" s="39"/>
    </row>
    <row r="791" spans="1:1" ht="15.75" customHeight="1" x14ac:dyDescent="0.25">
      <c r="A791" s="39"/>
    </row>
    <row r="792" spans="1:1" ht="15.75" customHeight="1" x14ac:dyDescent="0.25">
      <c r="A792" s="39"/>
    </row>
    <row r="793" spans="1:1" ht="15.75" customHeight="1" x14ac:dyDescent="0.25">
      <c r="A793" s="39"/>
    </row>
    <row r="794" spans="1:1" ht="15.75" customHeight="1" x14ac:dyDescent="0.25">
      <c r="A794" s="39"/>
    </row>
    <row r="795" spans="1:1" ht="15.75" customHeight="1" x14ac:dyDescent="0.25">
      <c r="A795" s="39"/>
    </row>
    <row r="796" spans="1:1" ht="15.75" customHeight="1" x14ac:dyDescent="0.25">
      <c r="A796" s="39"/>
    </row>
    <row r="797" spans="1:1" ht="15.75" customHeight="1" x14ac:dyDescent="0.25">
      <c r="A797" s="39"/>
    </row>
    <row r="798" spans="1:1" ht="15.75" customHeight="1" x14ac:dyDescent="0.25">
      <c r="A798" s="39"/>
    </row>
    <row r="799" spans="1:1" ht="15.75" customHeight="1" x14ac:dyDescent="0.25">
      <c r="A799" s="39"/>
    </row>
    <row r="800" spans="1:1" ht="15.75" customHeight="1" x14ac:dyDescent="0.25">
      <c r="A800" s="39"/>
    </row>
    <row r="801" spans="1:1" ht="15.75" customHeight="1" x14ac:dyDescent="0.25">
      <c r="A801" s="39"/>
    </row>
    <row r="802" spans="1:1" ht="15.75" customHeight="1" x14ac:dyDescent="0.25">
      <c r="A802" s="39"/>
    </row>
    <row r="803" spans="1:1" ht="15.75" customHeight="1" x14ac:dyDescent="0.25">
      <c r="A803" s="39"/>
    </row>
    <row r="804" spans="1:1" ht="15.75" customHeight="1" x14ac:dyDescent="0.25">
      <c r="A804" s="39"/>
    </row>
    <row r="805" spans="1:1" ht="15.75" customHeight="1" x14ac:dyDescent="0.25">
      <c r="A805" s="39"/>
    </row>
    <row r="806" spans="1:1" ht="15.75" customHeight="1" x14ac:dyDescent="0.25">
      <c r="A806" s="39"/>
    </row>
    <row r="807" spans="1:1" ht="15.75" customHeight="1" x14ac:dyDescent="0.25">
      <c r="A807" s="39"/>
    </row>
    <row r="808" spans="1:1" ht="15.75" customHeight="1" x14ac:dyDescent="0.25">
      <c r="A808" s="39"/>
    </row>
    <row r="809" spans="1:1" ht="15.75" customHeight="1" x14ac:dyDescent="0.25">
      <c r="A809" s="39"/>
    </row>
    <row r="810" spans="1:1" ht="15.75" customHeight="1" x14ac:dyDescent="0.25">
      <c r="A810" s="39"/>
    </row>
    <row r="811" spans="1:1" ht="15.75" customHeight="1" x14ac:dyDescent="0.25">
      <c r="A811" s="39"/>
    </row>
    <row r="812" spans="1:1" ht="15.75" customHeight="1" x14ac:dyDescent="0.25">
      <c r="A812" s="39"/>
    </row>
    <row r="813" spans="1:1" ht="15.75" customHeight="1" x14ac:dyDescent="0.25">
      <c r="A813" s="39"/>
    </row>
    <row r="814" spans="1:1" ht="15.75" customHeight="1" x14ac:dyDescent="0.25">
      <c r="A814" s="39"/>
    </row>
    <row r="815" spans="1:1" ht="15.75" customHeight="1" x14ac:dyDescent="0.25">
      <c r="A815" s="39"/>
    </row>
    <row r="816" spans="1:1" ht="15.75" customHeight="1" x14ac:dyDescent="0.25">
      <c r="A816" s="39"/>
    </row>
    <row r="817" spans="1:1" ht="15.75" customHeight="1" x14ac:dyDescent="0.25">
      <c r="A817" s="39"/>
    </row>
    <row r="818" spans="1:1" ht="15.75" customHeight="1" x14ac:dyDescent="0.25">
      <c r="A818" s="39"/>
    </row>
    <row r="819" spans="1:1" ht="15.75" customHeight="1" x14ac:dyDescent="0.25">
      <c r="A819" s="39"/>
    </row>
    <row r="820" spans="1:1" ht="15.75" customHeight="1" x14ac:dyDescent="0.25">
      <c r="A820" s="39"/>
    </row>
    <row r="821" spans="1:1" ht="15.75" customHeight="1" x14ac:dyDescent="0.25">
      <c r="A821" s="39"/>
    </row>
    <row r="822" spans="1:1" ht="15.75" customHeight="1" x14ac:dyDescent="0.25">
      <c r="A822" s="39"/>
    </row>
    <row r="823" spans="1:1" ht="15.75" customHeight="1" x14ac:dyDescent="0.25">
      <c r="A823" s="39"/>
    </row>
    <row r="824" spans="1:1" ht="15.75" customHeight="1" x14ac:dyDescent="0.25">
      <c r="A824" s="39"/>
    </row>
    <row r="825" spans="1:1" ht="15.75" customHeight="1" x14ac:dyDescent="0.25">
      <c r="A825" s="39"/>
    </row>
    <row r="826" spans="1:1" ht="15.75" customHeight="1" x14ac:dyDescent="0.25">
      <c r="A826" s="39"/>
    </row>
    <row r="827" spans="1:1" ht="15.75" customHeight="1" x14ac:dyDescent="0.25">
      <c r="A827" s="39"/>
    </row>
    <row r="828" spans="1:1" ht="15.75" customHeight="1" x14ac:dyDescent="0.25">
      <c r="A828" s="39"/>
    </row>
    <row r="829" spans="1:1" ht="15.75" customHeight="1" x14ac:dyDescent="0.25">
      <c r="A829" s="39"/>
    </row>
    <row r="830" spans="1:1" ht="15.75" customHeight="1" x14ac:dyDescent="0.25">
      <c r="A830" s="39"/>
    </row>
    <row r="831" spans="1:1" ht="15.75" customHeight="1" x14ac:dyDescent="0.25">
      <c r="A831" s="39"/>
    </row>
    <row r="832" spans="1:1" ht="15.75" customHeight="1" x14ac:dyDescent="0.25">
      <c r="A832" s="39"/>
    </row>
    <row r="833" spans="1:1" ht="15.75" customHeight="1" x14ac:dyDescent="0.25">
      <c r="A833" s="39"/>
    </row>
    <row r="834" spans="1:1" ht="15.75" customHeight="1" x14ac:dyDescent="0.25">
      <c r="A834" s="39"/>
    </row>
    <row r="835" spans="1:1" ht="15.75" customHeight="1" x14ac:dyDescent="0.25">
      <c r="A835" s="39"/>
    </row>
    <row r="836" spans="1:1" ht="15.75" customHeight="1" x14ac:dyDescent="0.25">
      <c r="A836" s="39"/>
    </row>
    <row r="837" spans="1:1" ht="15.75" customHeight="1" x14ac:dyDescent="0.25">
      <c r="A837" s="39"/>
    </row>
    <row r="838" spans="1:1" ht="15.75" customHeight="1" x14ac:dyDescent="0.25">
      <c r="A838" s="39"/>
    </row>
    <row r="839" spans="1:1" ht="15.75" customHeight="1" x14ac:dyDescent="0.25">
      <c r="A839" s="39"/>
    </row>
    <row r="840" spans="1:1" ht="15.75" customHeight="1" x14ac:dyDescent="0.25">
      <c r="A840" s="39"/>
    </row>
    <row r="841" spans="1:1" ht="15.75" customHeight="1" x14ac:dyDescent="0.25">
      <c r="A841" s="39"/>
    </row>
    <row r="842" spans="1:1" ht="15.75" customHeight="1" x14ac:dyDescent="0.25">
      <c r="A842" s="39"/>
    </row>
    <row r="843" spans="1:1" ht="15.75" customHeight="1" x14ac:dyDescent="0.25">
      <c r="A843" s="39"/>
    </row>
    <row r="844" spans="1:1" ht="15.75" customHeight="1" x14ac:dyDescent="0.25">
      <c r="A844" s="39"/>
    </row>
    <row r="845" spans="1:1" ht="15.75" customHeight="1" x14ac:dyDescent="0.25">
      <c r="A845" s="39"/>
    </row>
    <row r="846" spans="1:1" ht="15.75" customHeight="1" x14ac:dyDescent="0.25">
      <c r="A846" s="39"/>
    </row>
    <row r="847" spans="1:1" ht="15.75" customHeight="1" x14ac:dyDescent="0.25">
      <c r="A847" s="39"/>
    </row>
    <row r="848" spans="1:1" ht="15.75" customHeight="1" x14ac:dyDescent="0.25">
      <c r="A848" s="39"/>
    </row>
    <row r="849" spans="1:1" ht="15.75" customHeight="1" x14ac:dyDescent="0.25">
      <c r="A849" s="39"/>
    </row>
    <row r="850" spans="1:1" ht="15.75" customHeight="1" x14ac:dyDescent="0.25">
      <c r="A850" s="39"/>
    </row>
    <row r="851" spans="1:1" ht="15.75" customHeight="1" x14ac:dyDescent="0.25">
      <c r="A851" s="39"/>
    </row>
    <row r="852" spans="1:1" ht="15.75" customHeight="1" x14ac:dyDescent="0.25">
      <c r="A852" s="39"/>
    </row>
    <row r="853" spans="1:1" ht="15.75" customHeight="1" x14ac:dyDescent="0.25">
      <c r="A853" s="39"/>
    </row>
    <row r="854" spans="1:1" ht="15.75" customHeight="1" x14ac:dyDescent="0.25">
      <c r="A854" s="39"/>
    </row>
    <row r="855" spans="1:1" ht="15.75" customHeight="1" x14ac:dyDescent="0.25">
      <c r="A855" s="39"/>
    </row>
    <row r="856" spans="1:1" ht="15.75" customHeight="1" x14ac:dyDescent="0.25">
      <c r="A856" s="39"/>
    </row>
    <row r="857" spans="1:1" ht="15.75" customHeight="1" x14ac:dyDescent="0.25">
      <c r="A857" s="39"/>
    </row>
    <row r="858" spans="1:1" ht="15.75" customHeight="1" x14ac:dyDescent="0.25">
      <c r="A858" s="39"/>
    </row>
    <row r="859" spans="1:1" ht="15.75" customHeight="1" x14ac:dyDescent="0.25">
      <c r="A859" s="39"/>
    </row>
    <row r="860" spans="1:1" ht="15.75" customHeight="1" x14ac:dyDescent="0.25">
      <c r="A860" s="39"/>
    </row>
    <row r="861" spans="1:1" ht="15.75" customHeight="1" x14ac:dyDescent="0.25">
      <c r="A861" s="39"/>
    </row>
    <row r="862" spans="1:1" ht="15.75" customHeight="1" x14ac:dyDescent="0.25">
      <c r="A862" s="39"/>
    </row>
    <row r="863" spans="1:1" ht="15.75" customHeight="1" x14ac:dyDescent="0.25">
      <c r="A863" s="39"/>
    </row>
    <row r="864" spans="1:1" ht="15.75" customHeight="1" x14ac:dyDescent="0.25">
      <c r="A864" s="39"/>
    </row>
    <row r="865" spans="1:1" ht="15.75" customHeight="1" x14ac:dyDescent="0.25">
      <c r="A865" s="39"/>
    </row>
    <row r="866" spans="1:1" ht="15.75" customHeight="1" x14ac:dyDescent="0.25">
      <c r="A866" s="39"/>
    </row>
    <row r="867" spans="1:1" ht="15.75" customHeight="1" x14ac:dyDescent="0.25">
      <c r="A867" s="39"/>
    </row>
    <row r="868" spans="1:1" ht="15.75" customHeight="1" x14ac:dyDescent="0.25">
      <c r="A868" s="39"/>
    </row>
    <row r="869" spans="1:1" ht="15.75" customHeight="1" x14ac:dyDescent="0.25">
      <c r="A869" s="39"/>
    </row>
    <row r="870" spans="1:1" ht="15.75" customHeight="1" x14ac:dyDescent="0.25">
      <c r="A870" s="39"/>
    </row>
    <row r="871" spans="1:1" ht="15.75" customHeight="1" x14ac:dyDescent="0.25">
      <c r="A871" s="39"/>
    </row>
    <row r="872" spans="1:1" ht="15.75" customHeight="1" x14ac:dyDescent="0.25">
      <c r="A872" s="39"/>
    </row>
    <row r="873" spans="1:1" ht="15.75" customHeight="1" x14ac:dyDescent="0.25">
      <c r="A873" s="39"/>
    </row>
    <row r="874" spans="1:1" ht="15.75" customHeight="1" x14ac:dyDescent="0.25">
      <c r="A874" s="39"/>
    </row>
    <row r="875" spans="1:1" ht="15.75" customHeight="1" x14ac:dyDescent="0.25">
      <c r="A875" s="39"/>
    </row>
    <row r="876" spans="1:1" ht="15.75" customHeight="1" x14ac:dyDescent="0.25">
      <c r="A876" s="39"/>
    </row>
    <row r="877" spans="1:1" ht="15.75" customHeight="1" x14ac:dyDescent="0.25">
      <c r="A877" s="39"/>
    </row>
    <row r="878" spans="1:1" ht="15.75" customHeight="1" x14ac:dyDescent="0.25">
      <c r="A878" s="39"/>
    </row>
    <row r="879" spans="1:1" ht="15.75" customHeight="1" x14ac:dyDescent="0.25">
      <c r="A879" s="39"/>
    </row>
    <row r="880" spans="1:1" ht="15.75" customHeight="1" x14ac:dyDescent="0.25">
      <c r="A880" s="39"/>
    </row>
    <row r="881" spans="1:1" ht="15.75" customHeight="1" x14ac:dyDescent="0.25">
      <c r="A881" s="39"/>
    </row>
    <row r="882" spans="1:1" ht="15.75" customHeight="1" x14ac:dyDescent="0.25">
      <c r="A882" s="39"/>
    </row>
    <row r="883" spans="1:1" ht="15.75" customHeight="1" x14ac:dyDescent="0.25">
      <c r="A883" s="39"/>
    </row>
    <row r="884" spans="1:1" ht="15.75" customHeight="1" x14ac:dyDescent="0.25">
      <c r="A884" s="39"/>
    </row>
    <row r="885" spans="1:1" ht="15.75" customHeight="1" x14ac:dyDescent="0.25">
      <c r="A885" s="39"/>
    </row>
    <row r="886" spans="1:1" ht="15.75" customHeight="1" x14ac:dyDescent="0.25">
      <c r="A886" s="39"/>
    </row>
    <row r="887" spans="1:1" ht="15.75" customHeight="1" x14ac:dyDescent="0.25">
      <c r="A887" s="39"/>
    </row>
    <row r="888" spans="1:1" ht="15.75" customHeight="1" x14ac:dyDescent="0.25">
      <c r="A888" s="39"/>
    </row>
    <row r="889" spans="1:1" ht="15.75" customHeight="1" x14ac:dyDescent="0.25">
      <c r="A889" s="39"/>
    </row>
    <row r="890" spans="1:1" ht="15.75" customHeight="1" x14ac:dyDescent="0.25">
      <c r="A890" s="39"/>
    </row>
    <row r="891" spans="1:1" ht="15.75" customHeight="1" x14ac:dyDescent="0.25">
      <c r="A891" s="39"/>
    </row>
    <row r="892" spans="1:1" ht="15.75" customHeight="1" x14ac:dyDescent="0.25">
      <c r="A892" s="39"/>
    </row>
    <row r="893" spans="1:1" ht="15.75" customHeight="1" x14ac:dyDescent="0.25">
      <c r="A893" s="39"/>
    </row>
    <row r="894" spans="1:1" ht="15.75" customHeight="1" x14ac:dyDescent="0.25">
      <c r="A894" s="39"/>
    </row>
    <row r="895" spans="1:1" ht="15.75" customHeight="1" x14ac:dyDescent="0.25">
      <c r="A895" s="39"/>
    </row>
    <row r="896" spans="1:1" ht="15.75" customHeight="1" x14ac:dyDescent="0.25">
      <c r="A896" s="39"/>
    </row>
    <row r="897" spans="1:1" ht="15.75" customHeight="1" x14ac:dyDescent="0.25">
      <c r="A897" s="39"/>
    </row>
    <row r="898" spans="1:1" ht="15.75" customHeight="1" x14ac:dyDescent="0.25">
      <c r="A898" s="39"/>
    </row>
    <row r="899" spans="1:1" ht="15.75" customHeight="1" x14ac:dyDescent="0.25">
      <c r="A899" s="39"/>
    </row>
    <row r="900" spans="1:1" ht="15.75" customHeight="1" x14ac:dyDescent="0.25">
      <c r="A900" s="39"/>
    </row>
    <row r="901" spans="1:1" ht="15.75" customHeight="1" x14ac:dyDescent="0.25">
      <c r="A901" s="39"/>
    </row>
    <row r="902" spans="1:1" ht="15.75" customHeight="1" x14ac:dyDescent="0.25">
      <c r="A902" s="39"/>
    </row>
    <row r="903" spans="1:1" ht="15.75" customHeight="1" x14ac:dyDescent="0.25">
      <c r="A903" s="39"/>
    </row>
    <row r="904" spans="1:1" ht="15.75" customHeight="1" x14ac:dyDescent="0.25">
      <c r="A904" s="39"/>
    </row>
    <row r="905" spans="1:1" ht="15.75" customHeight="1" x14ac:dyDescent="0.25">
      <c r="A905" s="39"/>
    </row>
    <row r="906" spans="1:1" ht="15.75" customHeight="1" x14ac:dyDescent="0.25">
      <c r="A906" s="39"/>
    </row>
    <row r="907" spans="1:1" ht="15.75" customHeight="1" x14ac:dyDescent="0.25">
      <c r="A907" s="39"/>
    </row>
    <row r="908" spans="1:1" ht="15.75" customHeight="1" x14ac:dyDescent="0.25">
      <c r="A908" s="39"/>
    </row>
    <row r="909" spans="1:1" ht="15.75" customHeight="1" x14ac:dyDescent="0.25">
      <c r="A909" s="39"/>
    </row>
    <row r="910" spans="1:1" ht="15.75" customHeight="1" x14ac:dyDescent="0.25">
      <c r="A910" s="39"/>
    </row>
    <row r="911" spans="1:1" ht="15.75" customHeight="1" x14ac:dyDescent="0.25">
      <c r="A911" s="39"/>
    </row>
    <row r="912" spans="1:1" ht="15.75" customHeight="1" x14ac:dyDescent="0.25">
      <c r="A912" s="39"/>
    </row>
    <row r="913" spans="1:1" ht="15.75" customHeight="1" x14ac:dyDescent="0.25">
      <c r="A913" s="39"/>
    </row>
    <row r="914" spans="1:1" ht="15.75" customHeight="1" x14ac:dyDescent="0.25">
      <c r="A914" s="39"/>
    </row>
    <row r="915" spans="1:1" ht="15.75" customHeight="1" x14ac:dyDescent="0.25">
      <c r="A915" s="39"/>
    </row>
    <row r="916" spans="1:1" ht="15.75" customHeight="1" x14ac:dyDescent="0.25">
      <c r="A916" s="39"/>
    </row>
    <row r="917" spans="1:1" ht="15.75" customHeight="1" x14ac:dyDescent="0.25">
      <c r="A917" s="39"/>
    </row>
    <row r="918" spans="1:1" ht="15.75" customHeight="1" x14ac:dyDescent="0.25">
      <c r="A918" s="39"/>
    </row>
    <row r="919" spans="1:1" ht="15.75" customHeight="1" x14ac:dyDescent="0.25">
      <c r="A919" s="39"/>
    </row>
    <row r="920" spans="1:1" ht="15.75" customHeight="1" x14ac:dyDescent="0.25">
      <c r="A920" s="39"/>
    </row>
    <row r="921" spans="1:1" ht="15.75" customHeight="1" x14ac:dyDescent="0.25">
      <c r="A921" s="39"/>
    </row>
    <row r="922" spans="1:1" ht="15.75" customHeight="1" x14ac:dyDescent="0.25">
      <c r="A922" s="39"/>
    </row>
    <row r="923" spans="1:1" ht="15.75" customHeight="1" x14ac:dyDescent="0.25">
      <c r="A923" s="39"/>
    </row>
    <row r="924" spans="1:1" ht="15.75" customHeight="1" x14ac:dyDescent="0.25">
      <c r="A924" s="39"/>
    </row>
    <row r="925" spans="1:1" ht="15.75" customHeight="1" x14ac:dyDescent="0.25">
      <c r="A925" s="39"/>
    </row>
    <row r="926" spans="1:1" ht="15.75" customHeight="1" x14ac:dyDescent="0.25">
      <c r="A926" s="39"/>
    </row>
    <row r="927" spans="1:1" ht="15.75" customHeight="1" x14ac:dyDescent="0.25">
      <c r="A927" s="39"/>
    </row>
    <row r="928" spans="1:1" ht="15.75" customHeight="1" x14ac:dyDescent="0.25">
      <c r="A928" s="39"/>
    </row>
    <row r="929" spans="1:1" ht="15.75" customHeight="1" x14ac:dyDescent="0.25">
      <c r="A929" s="39"/>
    </row>
    <row r="930" spans="1:1" ht="15.75" customHeight="1" x14ac:dyDescent="0.25">
      <c r="A930" s="39"/>
    </row>
    <row r="931" spans="1:1" ht="15.75" customHeight="1" x14ac:dyDescent="0.25">
      <c r="A931" s="39"/>
    </row>
    <row r="932" spans="1:1" ht="15.75" customHeight="1" x14ac:dyDescent="0.25">
      <c r="A932" s="39"/>
    </row>
    <row r="933" spans="1:1" ht="15.75" customHeight="1" x14ac:dyDescent="0.25">
      <c r="A933" s="39"/>
    </row>
    <row r="934" spans="1:1" ht="15.75" customHeight="1" x14ac:dyDescent="0.25">
      <c r="A934" s="39"/>
    </row>
    <row r="935" spans="1:1" ht="15.75" customHeight="1" x14ac:dyDescent="0.25">
      <c r="A935" s="39"/>
    </row>
    <row r="936" spans="1:1" ht="15.75" customHeight="1" x14ac:dyDescent="0.25">
      <c r="A936" s="39"/>
    </row>
    <row r="937" spans="1:1" ht="15.75" customHeight="1" x14ac:dyDescent="0.25">
      <c r="A937" s="39"/>
    </row>
    <row r="938" spans="1:1" ht="15.75" customHeight="1" x14ac:dyDescent="0.25">
      <c r="A938" s="39"/>
    </row>
    <row r="939" spans="1:1" ht="15.75" customHeight="1" x14ac:dyDescent="0.25">
      <c r="A939" s="39"/>
    </row>
    <row r="940" spans="1:1" ht="15.75" customHeight="1" x14ac:dyDescent="0.25">
      <c r="A940" s="39"/>
    </row>
    <row r="941" spans="1:1" ht="15.75" customHeight="1" x14ac:dyDescent="0.25">
      <c r="A941" s="39"/>
    </row>
    <row r="942" spans="1:1" ht="15.75" customHeight="1" x14ac:dyDescent="0.25">
      <c r="A942" s="39"/>
    </row>
    <row r="943" spans="1:1" ht="15.75" customHeight="1" x14ac:dyDescent="0.25">
      <c r="A943" s="39"/>
    </row>
    <row r="944" spans="1:1" ht="15.75" customHeight="1" x14ac:dyDescent="0.25">
      <c r="A944" s="39"/>
    </row>
    <row r="945" spans="1:1" ht="15.75" customHeight="1" x14ac:dyDescent="0.25">
      <c r="A945" s="39"/>
    </row>
    <row r="946" spans="1:1" ht="15.75" customHeight="1" x14ac:dyDescent="0.25">
      <c r="A946" s="39"/>
    </row>
    <row r="947" spans="1:1" ht="15.75" customHeight="1" x14ac:dyDescent="0.25">
      <c r="A947" s="39"/>
    </row>
    <row r="948" spans="1:1" ht="15.75" customHeight="1" x14ac:dyDescent="0.25">
      <c r="A948" s="39"/>
    </row>
    <row r="949" spans="1:1" ht="15.75" customHeight="1" x14ac:dyDescent="0.25">
      <c r="A949" s="39"/>
    </row>
    <row r="950" spans="1:1" ht="15.75" customHeight="1" x14ac:dyDescent="0.25">
      <c r="A950" s="39"/>
    </row>
    <row r="951" spans="1:1" ht="15.75" customHeight="1" x14ac:dyDescent="0.25">
      <c r="A951" s="39"/>
    </row>
    <row r="952" spans="1:1" ht="15.75" customHeight="1" x14ac:dyDescent="0.25">
      <c r="A952" s="39"/>
    </row>
    <row r="953" spans="1:1" ht="15.75" customHeight="1" x14ac:dyDescent="0.25">
      <c r="A953" s="39"/>
    </row>
    <row r="954" spans="1:1" ht="15.75" customHeight="1" x14ac:dyDescent="0.25">
      <c r="A954" s="39"/>
    </row>
    <row r="955" spans="1:1" ht="15.75" customHeight="1" x14ac:dyDescent="0.25">
      <c r="A955" s="39"/>
    </row>
    <row r="956" spans="1:1" ht="15.75" customHeight="1" x14ac:dyDescent="0.25">
      <c r="A956" s="39"/>
    </row>
    <row r="957" spans="1:1" ht="15.75" customHeight="1" x14ac:dyDescent="0.25">
      <c r="A957" s="39"/>
    </row>
    <row r="958" spans="1:1" ht="15.75" customHeight="1" x14ac:dyDescent="0.25">
      <c r="A958" s="39"/>
    </row>
    <row r="959" spans="1:1" ht="15.75" customHeight="1" x14ac:dyDescent="0.25">
      <c r="A959" s="39"/>
    </row>
    <row r="960" spans="1:1" ht="15.75" customHeight="1" x14ac:dyDescent="0.25">
      <c r="A960" s="39"/>
    </row>
    <row r="961" spans="1:1" ht="15.75" customHeight="1" x14ac:dyDescent="0.25">
      <c r="A961" s="39"/>
    </row>
    <row r="962" spans="1:1" ht="15.75" customHeight="1" x14ac:dyDescent="0.25">
      <c r="A962" s="39"/>
    </row>
    <row r="963" spans="1:1" ht="15.75" customHeight="1" x14ac:dyDescent="0.25">
      <c r="A963" s="39"/>
    </row>
    <row r="964" spans="1:1" ht="15.75" customHeight="1" x14ac:dyDescent="0.25">
      <c r="A964" s="39"/>
    </row>
    <row r="965" spans="1:1" ht="15.75" customHeight="1" x14ac:dyDescent="0.25">
      <c r="A965" s="39"/>
    </row>
    <row r="966" spans="1:1" ht="15.75" customHeight="1" x14ac:dyDescent="0.25">
      <c r="A966" s="39"/>
    </row>
    <row r="967" spans="1:1" ht="15.75" customHeight="1" x14ac:dyDescent="0.25">
      <c r="A967" s="39"/>
    </row>
    <row r="968" spans="1:1" ht="15.75" customHeight="1" x14ac:dyDescent="0.25">
      <c r="A968" s="39"/>
    </row>
    <row r="969" spans="1:1" ht="15.75" customHeight="1" x14ac:dyDescent="0.25">
      <c r="A969" s="39"/>
    </row>
    <row r="970" spans="1:1" ht="15.75" customHeight="1" x14ac:dyDescent="0.25">
      <c r="A970" s="39"/>
    </row>
    <row r="971" spans="1:1" ht="15.75" customHeight="1" x14ac:dyDescent="0.25">
      <c r="A971" s="39"/>
    </row>
    <row r="972" spans="1:1" ht="15.75" customHeight="1" x14ac:dyDescent="0.25">
      <c r="A972" s="39"/>
    </row>
    <row r="973" spans="1:1" ht="15.75" customHeight="1" x14ac:dyDescent="0.25">
      <c r="A973" s="39"/>
    </row>
    <row r="974" spans="1:1" ht="15.75" customHeight="1" x14ac:dyDescent="0.25">
      <c r="A974" s="39"/>
    </row>
    <row r="975" spans="1:1" ht="15.75" customHeight="1" x14ac:dyDescent="0.25">
      <c r="A975" s="39"/>
    </row>
    <row r="976" spans="1:1" ht="15.75" customHeight="1" x14ac:dyDescent="0.25">
      <c r="A976" s="39"/>
    </row>
    <row r="977" spans="1:1" ht="15.75" customHeight="1" x14ac:dyDescent="0.25">
      <c r="A977" s="39"/>
    </row>
    <row r="978" spans="1:1" ht="15.75" customHeight="1" x14ac:dyDescent="0.25">
      <c r="A978" s="39"/>
    </row>
    <row r="979" spans="1:1" ht="15.75" customHeight="1" x14ac:dyDescent="0.25">
      <c r="A979" s="39"/>
    </row>
    <row r="980" spans="1:1" ht="15.75" customHeight="1" x14ac:dyDescent="0.25">
      <c r="A980" s="39"/>
    </row>
    <row r="981" spans="1:1" ht="15.75" customHeight="1" x14ac:dyDescent="0.25">
      <c r="A981" s="39"/>
    </row>
    <row r="982" spans="1:1" ht="15.75" customHeight="1" x14ac:dyDescent="0.25">
      <c r="A982" s="39"/>
    </row>
    <row r="983" spans="1:1" ht="15.75" customHeight="1" x14ac:dyDescent="0.25">
      <c r="A983" s="39"/>
    </row>
    <row r="984" spans="1:1" ht="15.75" customHeight="1" x14ac:dyDescent="0.25">
      <c r="A984" s="39"/>
    </row>
    <row r="985" spans="1:1" ht="15.75" customHeight="1" x14ac:dyDescent="0.25">
      <c r="A985" s="39"/>
    </row>
    <row r="986" spans="1:1" ht="15.75" customHeight="1" x14ac:dyDescent="0.25">
      <c r="A986" s="39"/>
    </row>
    <row r="987" spans="1:1" ht="15.75" customHeight="1" x14ac:dyDescent="0.25">
      <c r="A987" s="39"/>
    </row>
    <row r="988" spans="1:1" ht="15.75" customHeight="1" x14ac:dyDescent="0.25">
      <c r="A988" s="39"/>
    </row>
    <row r="989" spans="1:1" ht="15.75" customHeight="1" x14ac:dyDescent="0.25">
      <c r="A989" s="39"/>
    </row>
    <row r="990" spans="1:1" ht="15.75" customHeight="1" x14ac:dyDescent="0.25">
      <c r="A990" s="39"/>
    </row>
    <row r="991" spans="1:1" ht="15.75" customHeight="1" x14ac:dyDescent="0.25">
      <c r="A991" s="39"/>
    </row>
    <row r="992" spans="1:1" ht="15.75" customHeight="1" x14ac:dyDescent="0.25">
      <c r="A992" s="39"/>
    </row>
    <row r="993" spans="1:1" ht="15.75" customHeight="1" x14ac:dyDescent="0.25">
      <c r="A993" s="39"/>
    </row>
    <row r="994" spans="1:1" ht="15.75" customHeight="1" x14ac:dyDescent="0.25">
      <c r="A994" s="39"/>
    </row>
    <row r="995" spans="1:1" ht="15.75" customHeight="1" x14ac:dyDescent="0.25">
      <c r="A995" s="39"/>
    </row>
    <row r="996" spans="1:1" ht="15.75" customHeight="1" x14ac:dyDescent="0.25">
      <c r="A996" s="39"/>
    </row>
    <row r="997" spans="1:1" ht="15.75" customHeight="1" x14ac:dyDescent="0.25">
      <c r="A997" s="39"/>
    </row>
    <row r="998" spans="1:1" ht="15.75" customHeight="1" x14ac:dyDescent="0.25">
      <c r="A998" s="39"/>
    </row>
    <row r="999" spans="1:1" ht="15.75" customHeight="1" x14ac:dyDescent="0.25">
      <c r="A999" s="39"/>
    </row>
    <row r="1000" spans="1:1" ht="15.75" customHeight="1" x14ac:dyDescent="0.25">
      <c r="A1000" s="39"/>
    </row>
    <row r="1001" spans="1:1" ht="15.75" customHeight="1" x14ac:dyDescent="0.25">
      <c r="A1001" s="39"/>
    </row>
    <row r="1002" spans="1:1" ht="15.75" customHeight="1" x14ac:dyDescent="0.25">
      <c r="A1002" s="39"/>
    </row>
    <row r="1003" spans="1:1" ht="15.75" customHeight="1" x14ac:dyDescent="0.25">
      <c r="A1003" s="39"/>
    </row>
    <row r="1004" spans="1:1" ht="15.75" customHeight="1" x14ac:dyDescent="0.25">
      <c r="A1004" s="39"/>
    </row>
    <row r="1005" spans="1:1" ht="15.75" customHeight="1" x14ac:dyDescent="0.25">
      <c r="A1005" s="39"/>
    </row>
    <row r="1006" spans="1:1" ht="15.75" customHeight="1" x14ac:dyDescent="0.25">
      <c r="A1006" s="39"/>
    </row>
    <row r="1007" spans="1:1" ht="15.75" customHeight="1" x14ac:dyDescent="0.25">
      <c r="A1007" s="39"/>
    </row>
    <row r="1008" spans="1:1" ht="15.75" customHeight="1" x14ac:dyDescent="0.25">
      <c r="A1008" s="39"/>
    </row>
    <row r="1009" spans="1:1" ht="15.75" customHeight="1" x14ac:dyDescent="0.25">
      <c r="A1009" s="39"/>
    </row>
    <row r="1010" spans="1:1" ht="15.75" customHeight="1" x14ac:dyDescent="0.25">
      <c r="A1010" s="39"/>
    </row>
    <row r="1011" spans="1:1" ht="15.75" customHeight="1" x14ac:dyDescent="0.25">
      <c r="A1011" s="39"/>
    </row>
    <row r="1012" spans="1:1" ht="15.75" customHeight="1" x14ac:dyDescent="0.25">
      <c r="A1012" s="39"/>
    </row>
    <row r="1013" spans="1:1" ht="15.75" customHeight="1" x14ac:dyDescent="0.25">
      <c r="A1013" s="39"/>
    </row>
    <row r="1014" spans="1:1" ht="15.75" customHeight="1" x14ac:dyDescent="0.25">
      <c r="A1014" s="39"/>
    </row>
    <row r="1015" spans="1:1" ht="15.75" customHeight="1" x14ac:dyDescent="0.25">
      <c r="A1015" s="39"/>
    </row>
    <row r="1016" spans="1:1" ht="15.75" customHeight="1" x14ac:dyDescent="0.25">
      <c r="A1016" s="39"/>
    </row>
    <row r="1017" spans="1:1" ht="15.75" customHeight="1" x14ac:dyDescent="0.25">
      <c r="A1017" s="39"/>
    </row>
    <row r="1018" spans="1:1" ht="15.75" customHeight="1" x14ac:dyDescent="0.25">
      <c r="A1018" s="39"/>
    </row>
    <row r="1019" spans="1:1" ht="15.75" customHeight="1" x14ac:dyDescent="0.25">
      <c r="A1019" s="39"/>
    </row>
    <row r="1020" spans="1:1" ht="15.75" customHeight="1" x14ac:dyDescent="0.25">
      <c r="A1020" s="39"/>
    </row>
    <row r="1021" spans="1:1" ht="15.75" customHeight="1" x14ac:dyDescent="0.25">
      <c r="A1021" s="39"/>
    </row>
    <row r="1022" spans="1:1" ht="15.75" customHeight="1" x14ac:dyDescent="0.25">
      <c r="A1022" s="39"/>
    </row>
    <row r="1023" spans="1:1" ht="15.75" customHeight="1" x14ac:dyDescent="0.25">
      <c r="A1023" s="39"/>
    </row>
    <row r="1024" spans="1:1" ht="15.75" customHeight="1" x14ac:dyDescent="0.25">
      <c r="A1024" s="39"/>
    </row>
    <row r="1025" spans="1:1" ht="15.75" customHeight="1" x14ac:dyDescent="0.25">
      <c r="A1025" s="39"/>
    </row>
    <row r="1026" spans="1:1" ht="15.75" customHeight="1" x14ac:dyDescent="0.25">
      <c r="A1026" s="39"/>
    </row>
    <row r="1027" spans="1:1" ht="15.75" customHeight="1" x14ac:dyDescent="0.25">
      <c r="A1027" s="39"/>
    </row>
    <row r="1028" spans="1:1" ht="15.75" customHeight="1" x14ac:dyDescent="0.25">
      <c r="A1028" s="39"/>
    </row>
    <row r="1029" spans="1:1" ht="15.75" customHeight="1" x14ac:dyDescent="0.25">
      <c r="A1029" s="39"/>
    </row>
    <row r="1030" spans="1:1" ht="15.75" customHeight="1" x14ac:dyDescent="0.25">
      <c r="A1030" s="39"/>
    </row>
    <row r="1031" spans="1:1" ht="15.75" customHeight="1" x14ac:dyDescent="0.25">
      <c r="A1031" s="39"/>
    </row>
    <row r="1032" spans="1:1" ht="15.75" customHeight="1" x14ac:dyDescent="0.25">
      <c r="A1032" s="39"/>
    </row>
    <row r="1033" spans="1:1" ht="15.75" customHeight="1" x14ac:dyDescent="0.25">
      <c r="A1033" s="39"/>
    </row>
    <row r="1034" spans="1:1" ht="15.75" customHeight="1" x14ac:dyDescent="0.25">
      <c r="A1034" s="39"/>
    </row>
    <row r="1035" spans="1:1" ht="15.75" customHeight="1" x14ac:dyDescent="0.25">
      <c r="A1035" s="39"/>
    </row>
    <row r="1036" spans="1:1" ht="15.75" customHeight="1" x14ac:dyDescent="0.25">
      <c r="A1036" s="39"/>
    </row>
    <row r="1037" spans="1:1" ht="15.75" customHeight="1" x14ac:dyDescent="0.25">
      <c r="A1037" s="39"/>
    </row>
    <row r="1038" spans="1:1" ht="15.75" customHeight="1" x14ac:dyDescent="0.25">
      <c r="A1038" s="39"/>
    </row>
    <row r="1039" spans="1:1" ht="15.75" customHeight="1" x14ac:dyDescent="0.25">
      <c r="A1039" s="39"/>
    </row>
    <row r="1040" spans="1:1" ht="15.75" customHeight="1" x14ac:dyDescent="0.25">
      <c r="A1040" s="39"/>
    </row>
    <row r="1041" spans="1:1" ht="15.75" customHeight="1" x14ac:dyDescent="0.25">
      <c r="A1041" s="39"/>
    </row>
    <row r="1042" spans="1:1" ht="15.75" customHeight="1" x14ac:dyDescent="0.25">
      <c r="A1042" s="39"/>
    </row>
    <row r="1043" spans="1:1" ht="15.75" customHeight="1" x14ac:dyDescent="0.25">
      <c r="A1043" s="39"/>
    </row>
    <row r="1044" spans="1:1" ht="15.75" customHeight="1" x14ac:dyDescent="0.25">
      <c r="A1044" s="39"/>
    </row>
    <row r="1045" spans="1:1" ht="15.75" customHeight="1" x14ac:dyDescent="0.25">
      <c r="A1045" s="39"/>
    </row>
    <row r="1046" spans="1:1" ht="15.75" customHeight="1" x14ac:dyDescent="0.25">
      <c r="A1046" s="39"/>
    </row>
    <row r="1047" spans="1:1" ht="15.75" customHeight="1" x14ac:dyDescent="0.25">
      <c r="A1047" s="39"/>
    </row>
    <row r="1048" spans="1:1" ht="15.75" customHeight="1" x14ac:dyDescent="0.25">
      <c r="A1048" s="39"/>
    </row>
    <row r="1049" spans="1:1" ht="15.75" customHeight="1" x14ac:dyDescent="0.25">
      <c r="A1049" s="39"/>
    </row>
    <row r="1050" spans="1:1" ht="15.75" customHeight="1" x14ac:dyDescent="0.25">
      <c r="A1050" s="39"/>
    </row>
    <row r="1051" spans="1:1" ht="15.75" customHeight="1" x14ac:dyDescent="0.25">
      <c r="A1051" s="39"/>
    </row>
    <row r="1052" spans="1:1" ht="15.75" customHeight="1" x14ac:dyDescent="0.25">
      <c r="A1052" s="39"/>
    </row>
    <row r="1053" spans="1:1" ht="15.75" customHeight="1" x14ac:dyDescent="0.25">
      <c r="A1053" s="39"/>
    </row>
    <row r="1054" spans="1:1" ht="15.75" customHeight="1" x14ac:dyDescent="0.25">
      <c r="A1054" s="39"/>
    </row>
    <row r="1055" spans="1:1" ht="15.75" customHeight="1" x14ac:dyDescent="0.25">
      <c r="A1055" s="39"/>
    </row>
    <row r="1056" spans="1:1" ht="15.75" customHeight="1" x14ac:dyDescent="0.25">
      <c r="A1056" s="39"/>
    </row>
    <row r="1057" spans="1:1" ht="15.75" customHeight="1" x14ac:dyDescent="0.25">
      <c r="A1057" s="39"/>
    </row>
    <row r="1058" spans="1:1" ht="15.75" customHeight="1" x14ac:dyDescent="0.25">
      <c r="A1058" s="39"/>
    </row>
    <row r="1059" spans="1:1" ht="15.75" customHeight="1" x14ac:dyDescent="0.25">
      <c r="A1059" s="39"/>
    </row>
    <row r="1060" spans="1:1" ht="15.75" customHeight="1" x14ac:dyDescent="0.25">
      <c r="A1060" s="39"/>
    </row>
    <row r="1061" spans="1:1" ht="15.75" customHeight="1" x14ac:dyDescent="0.25">
      <c r="A1061" s="39"/>
    </row>
    <row r="1062" spans="1:1" ht="15.75" customHeight="1" x14ac:dyDescent="0.25">
      <c r="A1062" s="39"/>
    </row>
    <row r="1063" spans="1:1" ht="15.75" customHeight="1" x14ac:dyDescent="0.25">
      <c r="A1063" s="39"/>
    </row>
    <row r="1064" spans="1:1" ht="15.75" customHeight="1" x14ac:dyDescent="0.25">
      <c r="A1064" s="39"/>
    </row>
    <row r="1065" spans="1:1" ht="15.75" customHeight="1" x14ac:dyDescent="0.25">
      <c r="A1065" s="39"/>
    </row>
    <row r="1066" spans="1:1" ht="15.75" customHeight="1" x14ac:dyDescent="0.25">
      <c r="A1066" s="39"/>
    </row>
    <row r="1067" spans="1:1" ht="15.75" customHeight="1" x14ac:dyDescent="0.25">
      <c r="A1067" s="39"/>
    </row>
    <row r="1068" spans="1:1" ht="15.75" customHeight="1" x14ac:dyDescent="0.25">
      <c r="A1068" s="39"/>
    </row>
    <row r="1069" spans="1:1" ht="15.75" customHeight="1" x14ac:dyDescent="0.25">
      <c r="A1069" s="39"/>
    </row>
    <row r="1070" spans="1:1" ht="15.75" customHeight="1" x14ac:dyDescent="0.25">
      <c r="A1070" s="39"/>
    </row>
    <row r="1071" spans="1:1" ht="15.75" customHeight="1" x14ac:dyDescent="0.25">
      <c r="A1071" s="39"/>
    </row>
    <row r="1072" spans="1:1" ht="15.75" customHeight="1" x14ac:dyDescent="0.25">
      <c r="A1072" s="39"/>
    </row>
    <row r="1073" spans="1:1" ht="15.75" customHeight="1" x14ac:dyDescent="0.25">
      <c r="A1073" s="39"/>
    </row>
    <row r="1074" spans="1:1" ht="15.75" customHeight="1" x14ac:dyDescent="0.25">
      <c r="A1074" s="39"/>
    </row>
    <row r="1075" spans="1:1" ht="15.75" customHeight="1" x14ac:dyDescent="0.25">
      <c r="A1075" s="39"/>
    </row>
    <row r="1076" spans="1:1" ht="15.75" customHeight="1" x14ac:dyDescent="0.25">
      <c r="A1076" s="39"/>
    </row>
    <row r="1077" spans="1:1" ht="15.75" customHeight="1" x14ac:dyDescent="0.25">
      <c r="A1077" s="39"/>
    </row>
    <row r="1078" spans="1:1" ht="15.75" customHeight="1" x14ac:dyDescent="0.25">
      <c r="A1078" s="39"/>
    </row>
    <row r="1079" spans="1:1" ht="15.75" customHeight="1" x14ac:dyDescent="0.25">
      <c r="A1079" s="39"/>
    </row>
    <row r="1080" spans="1:1" ht="15.75" customHeight="1" x14ac:dyDescent="0.25">
      <c r="A1080" s="39"/>
    </row>
    <row r="1081" spans="1:1" ht="15.75" customHeight="1" x14ac:dyDescent="0.25">
      <c r="A1081" s="39"/>
    </row>
    <row r="1082" spans="1:1" ht="15.75" customHeight="1" x14ac:dyDescent="0.25">
      <c r="A1082" s="39"/>
    </row>
    <row r="1083" spans="1:1" ht="15.75" customHeight="1" x14ac:dyDescent="0.25">
      <c r="A1083" s="39"/>
    </row>
    <row r="1084" spans="1:1" ht="15.75" customHeight="1" x14ac:dyDescent="0.25">
      <c r="A1084" s="39"/>
    </row>
    <row r="1085" spans="1:1" ht="15.75" customHeight="1" x14ac:dyDescent="0.25">
      <c r="A1085" s="39"/>
    </row>
    <row r="1086" spans="1:1" ht="15.75" customHeight="1" x14ac:dyDescent="0.25">
      <c r="A1086" s="39"/>
    </row>
    <row r="1087" spans="1:1" ht="15.75" customHeight="1" x14ac:dyDescent="0.25">
      <c r="A1087" s="39"/>
    </row>
    <row r="1088" spans="1:1" ht="15.75" customHeight="1" x14ac:dyDescent="0.25">
      <c r="A1088" s="39"/>
    </row>
    <row r="1089" spans="1:1" ht="15.75" customHeight="1" x14ac:dyDescent="0.25">
      <c r="A1089" s="39"/>
    </row>
    <row r="1090" spans="1:1" ht="15.75" customHeight="1" x14ac:dyDescent="0.25">
      <c r="A1090" s="39"/>
    </row>
    <row r="1091" spans="1:1" ht="15.75" customHeight="1" x14ac:dyDescent="0.25">
      <c r="A1091" s="39"/>
    </row>
    <row r="1092" spans="1:1" ht="15.75" customHeight="1" x14ac:dyDescent="0.25">
      <c r="A1092" s="39"/>
    </row>
    <row r="1093" spans="1:1" ht="15.75" customHeight="1" x14ac:dyDescent="0.25">
      <c r="A1093" s="39"/>
    </row>
    <row r="1094" spans="1:1" ht="15.75" customHeight="1" x14ac:dyDescent="0.25">
      <c r="A1094" s="39"/>
    </row>
    <row r="1095" spans="1:1" ht="15.75" customHeight="1" x14ac:dyDescent="0.25">
      <c r="A1095" s="39"/>
    </row>
    <row r="1096" spans="1:1" ht="15.75" customHeight="1" x14ac:dyDescent="0.25">
      <c r="A1096" s="39"/>
    </row>
    <row r="1097" spans="1:1" ht="15.75" customHeight="1" x14ac:dyDescent="0.25">
      <c r="A1097" s="39"/>
    </row>
    <row r="1098" spans="1:1" ht="15.75" customHeight="1" x14ac:dyDescent="0.25">
      <c r="A1098" s="39"/>
    </row>
    <row r="1099" spans="1:1" ht="15.75" customHeight="1" x14ac:dyDescent="0.25">
      <c r="A1099" s="39"/>
    </row>
    <row r="1100" spans="1:1" ht="15.75" customHeight="1" x14ac:dyDescent="0.25">
      <c r="A1100" s="39"/>
    </row>
    <row r="1101" spans="1:1" ht="15.75" customHeight="1" x14ac:dyDescent="0.25">
      <c r="A1101" s="39"/>
    </row>
    <row r="1102" spans="1:1" ht="15.75" customHeight="1" x14ac:dyDescent="0.25">
      <c r="A1102" s="39"/>
    </row>
    <row r="1103" spans="1:1" ht="15.75" customHeight="1" x14ac:dyDescent="0.25">
      <c r="A1103" s="39"/>
    </row>
    <row r="1104" spans="1:1" ht="15.75" customHeight="1" x14ac:dyDescent="0.25">
      <c r="A1104" s="39"/>
    </row>
    <row r="1105" spans="1:1" ht="15.75" customHeight="1" x14ac:dyDescent="0.25">
      <c r="A1105" s="39"/>
    </row>
    <row r="1106" spans="1:1" ht="15.75" customHeight="1" x14ac:dyDescent="0.25">
      <c r="A1106" s="39"/>
    </row>
    <row r="1107" spans="1:1" ht="15.75" customHeight="1" x14ac:dyDescent="0.25">
      <c r="A1107" s="39"/>
    </row>
    <row r="1108" spans="1:1" ht="15.75" customHeight="1" x14ac:dyDescent="0.25">
      <c r="A1108" s="39"/>
    </row>
    <row r="1109" spans="1:1" ht="15.75" customHeight="1" x14ac:dyDescent="0.25">
      <c r="A1109" s="39"/>
    </row>
    <row r="1110" spans="1:1" ht="15.75" customHeight="1" x14ac:dyDescent="0.25">
      <c r="A1110" s="39"/>
    </row>
    <row r="1111" spans="1:1" ht="15.75" customHeight="1" x14ac:dyDescent="0.25">
      <c r="A1111" s="39"/>
    </row>
    <row r="1112" spans="1:1" ht="15.75" customHeight="1" x14ac:dyDescent="0.25">
      <c r="A1112" s="39"/>
    </row>
    <row r="1113" spans="1:1" ht="15.75" customHeight="1" x14ac:dyDescent="0.25">
      <c r="A1113" s="39"/>
    </row>
    <row r="1114" spans="1:1" ht="15.75" customHeight="1" x14ac:dyDescent="0.25">
      <c r="A1114" s="39"/>
    </row>
    <row r="1115" spans="1:1" ht="15.75" customHeight="1" x14ac:dyDescent="0.25">
      <c r="A1115" s="39"/>
    </row>
    <row r="1116" spans="1:1" ht="15.75" customHeight="1" x14ac:dyDescent="0.25">
      <c r="A1116" s="39"/>
    </row>
    <row r="1117" spans="1:1" ht="15.75" customHeight="1" x14ac:dyDescent="0.25">
      <c r="A1117" s="39"/>
    </row>
    <row r="1118" spans="1:1" ht="15.75" customHeight="1" x14ac:dyDescent="0.25">
      <c r="A1118" s="39"/>
    </row>
    <row r="1119" spans="1:1" ht="15.75" customHeight="1" x14ac:dyDescent="0.25">
      <c r="A1119" s="39"/>
    </row>
    <row r="1120" spans="1:1" ht="15.75" customHeight="1" x14ac:dyDescent="0.25">
      <c r="A1120" s="39"/>
    </row>
    <row r="1121" spans="1:1" ht="15.75" customHeight="1" x14ac:dyDescent="0.25">
      <c r="A1121" s="39"/>
    </row>
    <row r="1122" spans="1:1" ht="15.75" customHeight="1" x14ac:dyDescent="0.25">
      <c r="A1122" s="39"/>
    </row>
    <row r="1123" spans="1:1" ht="15.75" customHeight="1" x14ac:dyDescent="0.25">
      <c r="A1123" s="39"/>
    </row>
    <row r="1124" spans="1:1" ht="15.75" customHeight="1" x14ac:dyDescent="0.25">
      <c r="A1124" s="39"/>
    </row>
    <row r="1125" spans="1:1" ht="15.75" customHeight="1" x14ac:dyDescent="0.25">
      <c r="A1125" s="39"/>
    </row>
    <row r="1126" spans="1:1" ht="15.75" customHeight="1" x14ac:dyDescent="0.25">
      <c r="A1126" s="39"/>
    </row>
    <row r="1127" spans="1:1" ht="15.75" customHeight="1" x14ac:dyDescent="0.25">
      <c r="A1127" s="39"/>
    </row>
    <row r="1128" spans="1:1" ht="15.75" customHeight="1" x14ac:dyDescent="0.25">
      <c r="A1128" s="39"/>
    </row>
    <row r="1129" spans="1:1" ht="15.75" customHeight="1" x14ac:dyDescent="0.25">
      <c r="A1129" s="39"/>
    </row>
    <row r="1130" spans="1:1" ht="15.75" customHeight="1" x14ac:dyDescent="0.25">
      <c r="A1130" s="39"/>
    </row>
    <row r="1131" spans="1:1" ht="15.75" customHeight="1" x14ac:dyDescent="0.25">
      <c r="A1131" s="39"/>
    </row>
    <row r="1132" spans="1:1" ht="15.75" customHeight="1" x14ac:dyDescent="0.25">
      <c r="A1132" s="39"/>
    </row>
    <row r="1133" spans="1:1" ht="15.75" customHeight="1" x14ac:dyDescent="0.25">
      <c r="A1133" s="39"/>
    </row>
    <row r="1134" spans="1:1" ht="15.75" customHeight="1" x14ac:dyDescent="0.25">
      <c r="A1134" s="39"/>
    </row>
    <row r="1135" spans="1:1" ht="15.75" customHeight="1" x14ac:dyDescent="0.25">
      <c r="A1135" s="39"/>
    </row>
    <row r="1136" spans="1:1" ht="15.75" customHeight="1" x14ac:dyDescent="0.25">
      <c r="A1136" s="39"/>
    </row>
    <row r="1137" spans="1:1" ht="15.75" customHeight="1" x14ac:dyDescent="0.25">
      <c r="A1137" s="39"/>
    </row>
    <row r="1138" spans="1:1" ht="15.75" customHeight="1" x14ac:dyDescent="0.25">
      <c r="A1138" s="39"/>
    </row>
    <row r="1139" spans="1:1" ht="15.75" customHeight="1" x14ac:dyDescent="0.25">
      <c r="A1139" s="39"/>
    </row>
    <row r="1140" spans="1:1" ht="15.75" customHeight="1" x14ac:dyDescent="0.25">
      <c r="A1140" s="39"/>
    </row>
    <row r="1141" spans="1:1" ht="15.75" customHeight="1" x14ac:dyDescent="0.25">
      <c r="A1141" s="39"/>
    </row>
    <row r="1142" spans="1:1" ht="15.75" customHeight="1" x14ac:dyDescent="0.25">
      <c r="A1142" s="39"/>
    </row>
    <row r="1143" spans="1:1" ht="15.75" customHeight="1" x14ac:dyDescent="0.25">
      <c r="A1143" s="39"/>
    </row>
    <row r="1144" spans="1:1" ht="15.75" customHeight="1" x14ac:dyDescent="0.25">
      <c r="A1144" s="39"/>
    </row>
    <row r="1145" spans="1:1" ht="15.75" customHeight="1" x14ac:dyDescent="0.25">
      <c r="A1145" s="39"/>
    </row>
    <row r="1146" spans="1:1" ht="15.75" customHeight="1" x14ac:dyDescent="0.25">
      <c r="A1146" s="39"/>
    </row>
    <row r="1147" spans="1:1" ht="15.75" customHeight="1" x14ac:dyDescent="0.25">
      <c r="A1147" s="39"/>
    </row>
    <row r="1148" spans="1:1" ht="15.75" customHeight="1" x14ac:dyDescent="0.25">
      <c r="A1148" s="39"/>
    </row>
    <row r="1149" spans="1:1" ht="15.75" customHeight="1" x14ac:dyDescent="0.25">
      <c r="A1149" s="39"/>
    </row>
    <row r="1150" spans="1:1" ht="15.75" customHeight="1" x14ac:dyDescent="0.25">
      <c r="A1150" s="39"/>
    </row>
    <row r="1151" spans="1:1" ht="15.75" customHeight="1" x14ac:dyDescent="0.25">
      <c r="A1151" s="39"/>
    </row>
    <row r="1152" spans="1:1" ht="15.75" customHeight="1" x14ac:dyDescent="0.25">
      <c r="A1152" s="39"/>
    </row>
    <row r="1153" spans="1:1" ht="15.75" customHeight="1" x14ac:dyDescent="0.25">
      <c r="A1153" s="39"/>
    </row>
    <row r="1154" spans="1:1" ht="15.75" customHeight="1" x14ac:dyDescent="0.25">
      <c r="A1154" s="39"/>
    </row>
    <row r="1155" spans="1:1" ht="15.75" customHeight="1" x14ac:dyDescent="0.25">
      <c r="A1155" s="39"/>
    </row>
    <row r="1156" spans="1:1" ht="15.75" customHeight="1" x14ac:dyDescent="0.25">
      <c r="A1156" s="39"/>
    </row>
    <row r="1157" spans="1:1" ht="15.75" customHeight="1" x14ac:dyDescent="0.25">
      <c r="A1157" s="39"/>
    </row>
    <row r="1158" spans="1:1" ht="15.75" customHeight="1" x14ac:dyDescent="0.25">
      <c r="A1158" s="39"/>
    </row>
    <row r="1159" spans="1:1" ht="15.75" customHeight="1" x14ac:dyDescent="0.25">
      <c r="A1159" s="39"/>
    </row>
    <row r="1160" spans="1:1" ht="15.75" customHeight="1" x14ac:dyDescent="0.25">
      <c r="A1160" s="39"/>
    </row>
    <row r="1161" spans="1:1" ht="15.75" customHeight="1" x14ac:dyDescent="0.25">
      <c r="A1161" s="39"/>
    </row>
    <row r="1162" spans="1:1" ht="15.75" customHeight="1" x14ac:dyDescent="0.25">
      <c r="A1162" s="39"/>
    </row>
    <row r="1163" spans="1:1" ht="15.75" customHeight="1" x14ac:dyDescent="0.25">
      <c r="A1163" s="39"/>
    </row>
    <row r="1164" spans="1:1" ht="15.75" customHeight="1" x14ac:dyDescent="0.25">
      <c r="A1164" s="39"/>
    </row>
    <row r="1165" spans="1:1" ht="15.75" customHeight="1" x14ac:dyDescent="0.25">
      <c r="A1165" s="39"/>
    </row>
    <row r="1166" spans="1:1" ht="15.75" customHeight="1" x14ac:dyDescent="0.25">
      <c r="A1166" s="39"/>
    </row>
    <row r="1167" spans="1:1" ht="15.75" customHeight="1" x14ac:dyDescent="0.25">
      <c r="A1167" s="39"/>
    </row>
    <row r="1168" spans="1:1" ht="15.75" customHeight="1" x14ac:dyDescent="0.25">
      <c r="A1168" s="39"/>
    </row>
    <row r="1169" spans="1:1" ht="15.75" customHeight="1" x14ac:dyDescent="0.25">
      <c r="A1169" s="39"/>
    </row>
    <row r="1170" spans="1:1" ht="15.75" customHeight="1" x14ac:dyDescent="0.25">
      <c r="A1170" s="39"/>
    </row>
    <row r="1171" spans="1:1" ht="15.75" customHeight="1" x14ac:dyDescent="0.25">
      <c r="A1171" s="39"/>
    </row>
    <row r="1172" spans="1:1" ht="15.75" customHeight="1" x14ac:dyDescent="0.25">
      <c r="A1172" s="39"/>
    </row>
    <row r="1173" spans="1:1" ht="15.75" customHeight="1" x14ac:dyDescent="0.25">
      <c r="A1173" s="39"/>
    </row>
    <row r="1174" spans="1:1" ht="15.75" customHeight="1" x14ac:dyDescent="0.25">
      <c r="A1174" s="39"/>
    </row>
    <row r="1175" spans="1:1" ht="15.75" customHeight="1" x14ac:dyDescent="0.25">
      <c r="A1175" s="39"/>
    </row>
    <row r="1176" spans="1:1" ht="15.75" customHeight="1" x14ac:dyDescent="0.25">
      <c r="A1176" s="39"/>
    </row>
    <row r="1177" spans="1:1" ht="15.75" customHeight="1" x14ac:dyDescent="0.25">
      <c r="A1177" s="39"/>
    </row>
    <row r="1178" spans="1:1" ht="15.75" customHeight="1" x14ac:dyDescent="0.25">
      <c r="A1178" s="39"/>
    </row>
    <row r="1179" spans="1:1" ht="15.75" customHeight="1" x14ac:dyDescent="0.25">
      <c r="A1179" s="39"/>
    </row>
    <row r="1180" spans="1:1" ht="15.75" customHeight="1" x14ac:dyDescent="0.25">
      <c r="A1180" s="39"/>
    </row>
    <row r="1181" spans="1:1" ht="15.75" customHeight="1" x14ac:dyDescent="0.25">
      <c r="A1181" s="39"/>
    </row>
    <row r="1182" spans="1:1" ht="15.75" customHeight="1" x14ac:dyDescent="0.25">
      <c r="A1182" s="39"/>
    </row>
    <row r="1183" spans="1:1" ht="15.75" customHeight="1" x14ac:dyDescent="0.25">
      <c r="A1183" s="39"/>
    </row>
    <row r="1184" spans="1:1" ht="15.75" customHeight="1" x14ac:dyDescent="0.25">
      <c r="A1184" s="39"/>
    </row>
    <row r="1185" spans="1:1" ht="15.75" customHeight="1" x14ac:dyDescent="0.25">
      <c r="A1185" s="39"/>
    </row>
    <row r="1186" spans="1:1" ht="15.75" customHeight="1" x14ac:dyDescent="0.25">
      <c r="A1186" s="39"/>
    </row>
    <row r="1187" spans="1:1" ht="15.75" customHeight="1" x14ac:dyDescent="0.25">
      <c r="A1187" s="39"/>
    </row>
    <row r="1188" spans="1:1" ht="15.75" customHeight="1" x14ac:dyDescent="0.25">
      <c r="A1188" s="39"/>
    </row>
    <row r="1189" spans="1:1" ht="15.75" customHeight="1" x14ac:dyDescent="0.25">
      <c r="A1189" s="39"/>
    </row>
    <row r="1190" spans="1:1" ht="15.75" customHeight="1" x14ac:dyDescent="0.25">
      <c r="A1190" s="39"/>
    </row>
    <row r="1191" spans="1:1" ht="15.75" customHeight="1" x14ac:dyDescent="0.25">
      <c r="A1191" s="39"/>
    </row>
    <row r="1192" spans="1:1" ht="15.75" customHeight="1" x14ac:dyDescent="0.25">
      <c r="A1192" s="39"/>
    </row>
    <row r="1193" spans="1:1" ht="15.75" customHeight="1" x14ac:dyDescent="0.25">
      <c r="A1193" s="39"/>
    </row>
    <row r="1194" spans="1:1" ht="15.75" customHeight="1" x14ac:dyDescent="0.25">
      <c r="A1194" s="39"/>
    </row>
    <row r="1195" spans="1:1" ht="15.75" customHeight="1" x14ac:dyDescent="0.25">
      <c r="A1195" s="39"/>
    </row>
    <row r="1196" spans="1:1" ht="15.75" customHeight="1" x14ac:dyDescent="0.25">
      <c r="A1196" s="39"/>
    </row>
    <row r="1197" spans="1:1" ht="15.75" customHeight="1" x14ac:dyDescent="0.25">
      <c r="A1197" s="39"/>
    </row>
    <row r="1198" spans="1:1" ht="15.75" customHeight="1" x14ac:dyDescent="0.25">
      <c r="A1198" s="39"/>
    </row>
    <row r="1199" spans="1:1" ht="15.75" customHeight="1" x14ac:dyDescent="0.25">
      <c r="A1199" s="39"/>
    </row>
    <row r="1200" spans="1:1" ht="15.75" customHeight="1" x14ac:dyDescent="0.25">
      <c r="A1200" s="39"/>
    </row>
    <row r="1201" spans="1:1" ht="15.75" customHeight="1" x14ac:dyDescent="0.25">
      <c r="A1201" s="39"/>
    </row>
    <row r="1202" spans="1:1" ht="15.75" customHeight="1" x14ac:dyDescent="0.25">
      <c r="A1202" s="39"/>
    </row>
    <row r="1203" spans="1:1" ht="15.75" customHeight="1" x14ac:dyDescent="0.25">
      <c r="A1203" s="39"/>
    </row>
    <row r="1204" spans="1:1" ht="15.75" customHeight="1" x14ac:dyDescent="0.25">
      <c r="A1204" s="39"/>
    </row>
    <row r="1205" spans="1:1" ht="15.75" customHeight="1" x14ac:dyDescent="0.25">
      <c r="A1205" s="39"/>
    </row>
    <row r="1206" spans="1:1" ht="15.75" customHeight="1" x14ac:dyDescent="0.25">
      <c r="A1206" s="39"/>
    </row>
    <row r="1207" spans="1:1" ht="15.75" customHeight="1" x14ac:dyDescent="0.25">
      <c r="A1207" s="39"/>
    </row>
    <row r="1208" spans="1:1" ht="15.75" customHeight="1" x14ac:dyDescent="0.25">
      <c r="A1208" s="39"/>
    </row>
    <row r="1209" spans="1:1" ht="15.75" customHeight="1" x14ac:dyDescent="0.25">
      <c r="A1209" s="39"/>
    </row>
    <row r="1210" spans="1:1" ht="15.75" customHeight="1" x14ac:dyDescent="0.25">
      <c r="A1210" s="39"/>
    </row>
    <row r="1211" spans="1:1" ht="15.75" customHeight="1" x14ac:dyDescent="0.25">
      <c r="A1211" s="39"/>
    </row>
    <row r="1212" spans="1:1" ht="15.75" customHeight="1" x14ac:dyDescent="0.25">
      <c r="A1212" s="39"/>
    </row>
    <row r="1213" spans="1:1" ht="15.75" customHeight="1" x14ac:dyDescent="0.25">
      <c r="A1213" s="39"/>
    </row>
    <row r="1214" spans="1:1" ht="15.75" customHeight="1" x14ac:dyDescent="0.25">
      <c r="A1214" s="39"/>
    </row>
    <row r="1215" spans="1:1" ht="15.75" customHeight="1" x14ac:dyDescent="0.25">
      <c r="A1215" s="39"/>
    </row>
    <row r="1216" spans="1:1" ht="15.75" customHeight="1" x14ac:dyDescent="0.25">
      <c r="A1216" s="39"/>
    </row>
    <row r="1217" spans="1:1" ht="15.75" customHeight="1" x14ac:dyDescent="0.25">
      <c r="A1217" s="39"/>
    </row>
    <row r="1218" spans="1:1" ht="15.75" customHeight="1" x14ac:dyDescent="0.25">
      <c r="A1218" s="39"/>
    </row>
    <row r="1219" spans="1:1" ht="15.75" customHeight="1" x14ac:dyDescent="0.25">
      <c r="A1219" s="39"/>
    </row>
    <row r="1220" spans="1:1" ht="15.75" customHeight="1" x14ac:dyDescent="0.25">
      <c r="A1220" s="39"/>
    </row>
    <row r="1221" spans="1:1" ht="15.75" customHeight="1" x14ac:dyDescent="0.25">
      <c r="A1221" s="39"/>
    </row>
    <row r="1222" spans="1:1" ht="15.75" customHeight="1" x14ac:dyDescent="0.25">
      <c r="A1222" s="39"/>
    </row>
    <row r="1223" spans="1:1" ht="15.75" customHeight="1" x14ac:dyDescent="0.25">
      <c r="A1223" s="39"/>
    </row>
    <row r="1224" spans="1:1" ht="15.75" customHeight="1" x14ac:dyDescent="0.25">
      <c r="A1224" s="39"/>
    </row>
    <row r="1225" spans="1:1" ht="15.75" customHeight="1" x14ac:dyDescent="0.25">
      <c r="A1225" s="39"/>
    </row>
    <row r="1226" spans="1:1" ht="15.75" customHeight="1" x14ac:dyDescent="0.25">
      <c r="A1226" s="39"/>
    </row>
    <row r="1227" spans="1:1" ht="15.75" customHeight="1" x14ac:dyDescent="0.25">
      <c r="A1227" s="39"/>
    </row>
    <row r="1228" spans="1:1" ht="15.75" customHeight="1" x14ac:dyDescent="0.25">
      <c r="A1228" s="39"/>
    </row>
    <row r="1229" spans="1:1" ht="15.75" customHeight="1" x14ac:dyDescent="0.25">
      <c r="A1229" s="39"/>
    </row>
    <row r="1230" spans="1:1" ht="15.75" customHeight="1" x14ac:dyDescent="0.25">
      <c r="A1230" s="39"/>
    </row>
    <row r="1231" spans="1:1" ht="15.75" customHeight="1" x14ac:dyDescent="0.25">
      <c r="A1231" s="39"/>
    </row>
    <row r="1232" spans="1:1" ht="15.75" customHeight="1" x14ac:dyDescent="0.25">
      <c r="A1232" s="39"/>
    </row>
    <row r="1233" spans="1:1" ht="15.75" customHeight="1" x14ac:dyDescent="0.25">
      <c r="A1233" s="39"/>
    </row>
    <row r="1234" spans="1:1" ht="15.75" customHeight="1" x14ac:dyDescent="0.25">
      <c r="A1234" s="39"/>
    </row>
    <row r="1235" spans="1:1" ht="15.75" customHeight="1" x14ac:dyDescent="0.25">
      <c r="A1235" s="39"/>
    </row>
    <row r="1236" spans="1:1" ht="15.75" customHeight="1" x14ac:dyDescent="0.25">
      <c r="A1236" s="39"/>
    </row>
    <row r="1237" spans="1:1" ht="15.75" customHeight="1" x14ac:dyDescent="0.25">
      <c r="A1237" s="39"/>
    </row>
    <row r="1238" spans="1:1" ht="15.75" customHeight="1" x14ac:dyDescent="0.25">
      <c r="A1238" s="39"/>
    </row>
    <row r="1239" spans="1:1" ht="15.75" customHeight="1" x14ac:dyDescent="0.25">
      <c r="A1239" s="39"/>
    </row>
    <row r="1240" spans="1:1" ht="15.75" customHeight="1" x14ac:dyDescent="0.25">
      <c r="A1240" s="39"/>
    </row>
    <row r="1241" spans="1:1" ht="15.75" customHeight="1" x14ac:dyDescent="0.25">
      <c r="A1241" s="39"/>
    </row>
    <row r="1242" spans="1:1" ht="15.75" customHeight="1" x14ac:dyDescent="0.25">
      <c r="A1242" s="39"/>
    </row>
    <row r="1243" spans="1:1" ht="15.75" customHeight="1" x14ac:dyDescent="0.25">
      <c r="A1243" s="39"/>
    </row>
    <row r="1244" spans="1:1" ht="15.75" customHeight="1" x14ac:dyDescent="0.25">
      <c r="A1244" s="39"/>
    </row>
    <row r="1245" spans="1:1" ht="15.75" customHeight="1" x14ac:dyDescent="0.25">
      <c r="A1245" s="39"/>
    </row>
    <row r="1246" spans="1:1" ht="15.75" customHeight="1" x14ac:dyDescent="0.25">
      <c r="A1246" s="39"/>
    </row>
    <row r="1247" spans="1:1" ht="15.75" customHeight="1" x14ac:dyDescent="0.25">
      <c r="A1247" s="39"/>
    </row>
    <row r="1248" spans="1:1" ht="15.75" customHeight="1" x14ac:dyDescent="0.25">
      <c r="A1248" s="39"/>
    </row>
    <row r="1249" spans="1:1" ht="15.75" customHeight="1" x14ac:dyDescent="0.25">
      <c r="A1249" s="39"/>
    </row>
    <row r="1250" spans="1:1" ht="15.75" customHeight="1" x14ac:dyDescent="0.25">
      <c r="A1250" s="39"/>
    </row>
    <row r="1251" spans="1:1" ht="15.75" customHeight="1" x14ac:dyDescent="0.25">
      <c r="A1251" s="39"/>
    </row>
    <row r="1252" spans="1:1" ht="15.75" customHeight="1" x14ac:dyDescent="0.25">
      <c r="A1252" s="39"/>
    </row>
    <row r="1253" spans="1:1" ht="15.75" customHeight="1" x14ac:dyDescent="0.25">
      <c r="A1253" s="39"/>
    </row>
    <row r="1254" spans="1:1" ht="15.75" customHeight="1" x14ac:dyDescent="0.25">
      <c r="A1254" s="39"/>
    </row>
    <row r="1255" spans="1:1" ht="15.75" customHeight="1" x14ac:dyDescent="0.25">
      <c r="A1255" s="39"/>
    </row>
    <row r="1256" spans="1:1" ht="15.75" customHeight="1" x14ac:dyDescent="0.25">
      <c r="A1256" s="39"/>
    </row>
    <row r="1257" spans="1:1" ht="15.75" customHeight="1" x14ac:dyDescent="0.25">
      <c r="A1257" s="39"/>
    </row>
    <row r="1258" spans="1:1" ht="15.75" customHeight="1" x14ac:dyDescent="0.25">
      <c r="A1258" s="39"/>
    </row>
    <row r="1259" spans="1:1" ht="15.75" customHeight="1" x14ac:dyDescent="0.25">
      <c r="A1259" s="39"/>
    </row>
    <row r="1260" spans="1:1" ht="15.75" customHeight="1" x14ac:dyDescent="0.25">
      <c r="A1260" s="39"/>
    </row>
    <row r="1261" spans="1:1" ht="15.75" customHeight="1" x14ac:dyDescent="0.25">
      <c r="A1261" s="39"/>
    </row>
    <row r="1262" spans="1:1" ht="15.75" customHeight="1" x14ac:dyDescent="0.25">
      <c r="A1262" s="39"/>
    </row>
    <row r="1263" spans="1:1" ht="15.75" customHeight="1" x14ac:dyDescent="0.25">
      <c r="A1263" s="39"/>
    </row>
    <row r="1264" spans="1:1" ht="15.75" customHeight="1" x14ac:dyDescent="0.25">
      <c r="A1264" s="39"/>
    </row>
    <row r="1265" spans="1:1" ht="15.75" customHeight="1" x14ac:dyDescent="0.25">
      <c r="A1265" s="39"/>
    </row>
    <row r="1266" spans="1:1" ht="15.75" customHeight="1" x14ac:dyDescent="0.25">
      <c r="A1266" s="39"/>
    </row>
    <row r="1267" spans="1:1" ht="15.75" customHeight="1" x14ac:dyDescent="0.25">
      <c r="A1267" s="39"/>
    </row>
    <row r="1268" spans="1:1" ht="15.75" customHeight="1" x14ac:dyDescent="0.25">
      <c r="A1268" s="39"/>
    </row>
    <row r="1269" spans="1:1" ht="15.75" customHeight="1" x14ac:dyDescent="0.25">
      <c r="A1269" s="39"/>
    </row>
    <row r="1270" spans="1:1" ht="15.75" customHeight="1" x14ac:dyDescent="0.25">
      <c r="A1270" s="39"/>
    </row>
    <row r="1271" spans="1:1" ht="15.75" customHeight="1" x14ac:dyDescent="0.25">
      <c r="A1271" s="39"/>
    </row>
    <row r="1272" spans="1:1" ht="15.75" customHeight="1" x14ac:dyDescent="0.25">
      <c r="A1272" s="39"/>
    </row>
    <row r="1273" spans="1:1" ht="15.75" customHeight="1" x14ac:dyDescent="0.25">
      <c r="A1273" s="39"/>
    </row>
    <row r="1274" spans="1:1" ht="15.75" customHeight="1" x14ac:dyDescent="0.25">
      <c r="A1274" s="39"/>
    </row>
    <row r="1275" spans="1:1" ht="15.75" customHeight="1" x14ac:dyDescent="0.25">
      <c r="A1275" s="39"/>
    </row>
    <row r="1276" spans="1:1" ht="15.75" customHeight="1" x14ac:dyDescent="0.25">
      <c r="A1276" s="39"/>
    </row>
    <row r="1277" spans="1:1" ht="15.75" customHeight="1" x14ac:dyDescent="0.25">
      <c r="A1277" s="39"/>
    </row>
    <row r="1278" spans="1:1" ht="15.75" customHeight="1" x14ac:dyDescent="0.25">
      <c r="A1278" s="39"/>
    </row>
    <row r="1279" spans="1:1" ht="15.75" customHeight="1" x14ac:dyDescent="0.25">
      <c r="A1279" s="39"/>
    </row>
    <row r="1280" spans="1:1" ht="15.75" customHeight="1" x14ac:dyDescent="0.25">
      <c r="A1280" s="39"/>
    </row>
    <row r="1281" spans="1:1" ht="15.75" customHeight="1" x14ac:dyDescent="0.25">
      <c r="A1281" s="39"/>
    </row>
    <row r="1282" spans="1:1" ht="15.75" customHeight="1" x14ac:dyDescent="0.25">
      <c r="A1282" s="39"/>
    </row>
    <row r="1283" spans="1:1" ht="15.75" customHeight="1" x14ac:dyDescent="0.25">
      <c r="A1283" s="39"/>
    </row>
    <row r="1284" spans="1:1" ht="15.75" customHeight="1" x14ac:dyDescent="0.25">
      <c r="A1284" s="39"/>
    </row>
    <row r="1285" spans="1:1" ht="15.75" customHeight="1" x14ac:dyDescent="0.25">
      <c r="A1285" s="39"/>
    </row>
    <row r="1286" spans="1:1" ht="15.75" customHeight="1" x14ac:dyDescent="0.25">
      <c r="A1286" s="39"/>
    </row>
    <row r="1287" spans="1:1" ht="15.75" customHeight="1" x14ac:dyDescent="0.25">
      <c r="A1287" s="39"/>
    </row>
    <row r="1288" spans="1:1" ht="15.75" customHeight="1" x14ac:dyDescent="0.25">
      <c r="A1288" s="39"/>
    </row>
    <row r="1289" spans="1:1" ht="15.75" customHeight="1" x14ac:dyDescent="0.25">
      <c r="A1289" s="39"/>
    </row>
    <row r="1290" spans="1:1" ht="15.75" customHeight="1" x14ac:dyDescent="0.25">
      <c r="A1290" s="39"/>
    </row>
    <row r="1291" spans="1:1" ht="15.75" customHeight="1" x14ac:dyDescent="0.25">
      <c r="A1291" s="39"/>
    </row>
    <row r="1292" spans="1:1" ht="15.75" customHeight="1" x14ac:dyDescent="0.25">
      <c r="A1292" s="39"/>
    </row>
    <row r="1293" spans="1:1" ht="15.75" customHeight="1" x14ac:dyDescent="0.25">
      <c r="A1293" s="39"/>
    </row>
    <row r="1294" spans="1:1" ht="15.75" customHeight="1" x14ac:dyDescent="0.25">
      <c r="A1294" s="39"/>
    </row>
    <row r="1295" spans="1:1" ht="15.75" customHeight="1" x14ac:dyDescent="0.25">
      <c r="A1295" s="39"/>
    </row>
    <row r="1296" spans="1:1" ht="15.75" customHeight="1" x14ac:dyDescent="0.25">
      <c r="A1296" s="39"/>
    </row>
    <row r="1297" spans="1:1" ht="15.75" customHeight="1" x14ac:dyDescent="0.25">
      <c r="A1297" s="39"/>
    </row>
    <row r="1298" spans="1:1" ht="15.75" customHeight="1" x14ac:dyDescent="0.25">
      <c r="A1298" s="39"/>
    </row>
    <row r="1299" spans="1:1" ht="15.75" customHeight="1" x14ac:dyDescent="0.25">
      <c r="A1299" s="39"/>
    </row>
    <row r="1300" spans="1:1" ht="15.75" customHeight="1" x14ac:dyDescent="0.25">
      <c r="A1300" s="39"/>
    </row>
    <row r="1301" spans="1:1" ht="15.75" customHeight="1" x14ac:dyDescent="0.25">
      <c r="A1301" s="39"/>
    </row>
    <row r="1302" spans="1:1" ht="15.75" customHeight="1" x14ac:dyDescent="0.25">
      <c r="A1302" s="39"/>
    </row>
    <row r="1303" spans="1:1" ht="15.75" customHeight="1" x14ac:dyDescent="0.25">
      <c r="A1303" s="39"/>
    </row>
    <row r="1304" spans="1:1" ht="15.75" customHeight="1" x14ac:dyDescent="0.25">
      <c r="A1304" s="39"/>
    </row>
    <row r="1305" spans="1:1" ht="15.75" customHeight="1" x14ac:dyDescent="0.25">
      <c r="A1305" s="39"/>
    </row>
    <row r="1306" spans="1:1" ht="15.75" customHeight="1" x14ac:dyDescent="0.25">
      <c r="A1306" s="39"/>
    </row>
    <row r="1307" spans="1:1" ht="15.75" customHeight="1" x14ac:dyDescent="0.25">
      <c r="A1307" s="39"/>
    </row>
    <row r="1308" spans="1:1" ht="15.75" customHeight="1" x14ac:dyDescent="0.25">
      <c r="A1308" s="39"/>
    </row>
    <row r="1309" spans="1:1" ht="15.75" customHeight="1" x14ac:dyDescent="0.25">
      <c r="A1309" s="39"/>
    </row>
    <row r="1310" spans="1:1" ht="15.75" customHeight="1" x14ac:dyDescent="0.25">
      <c r="A1310" s="39"/>
    </row>
    <row r="1311" spans="1:1" ht="15.75" customHeight="1" x14ac:dyDescent="0.25">
      <c r="A1311" s="39"/>
    </row>
    <row r="1312" spans="1:1" ht="15.75" customHeight="1" x14ac:dyDescent="0.25">
      <c r="A1312" s="39"/>
    </row>
    <row r="1313" spans="1:1" ht="15.75" customHeight="1" x14ac:dyDescent="0.25">
      <c r="A1313" s="39"/>
    </row>
    <row r="1314" spans="1:1" ht="15.75" customHeight="1" x14ac:dyDescent="0.25">
      <c r="A1314" s="39"/>
    </row>
    <row r="1315" spans="1:1" ht="15.75" customHeight="1" x14ac:dyDescent="0.25">
      <c r="A1315" s="39"/>
    </row>
    <row r="1316" spans="1:1" ht="15.75" customHeight="1" x14ac:dyDescent="0.25">
      <c r="A1316" s="39"/>
    </row>
    <row r="1317" spans="1:1" ht="15.75" customHeight="1" x14ac:dyDescent="0.25">
      <c r="A1317" s="39"/>
    </row>
    <row r="1318" spans="1:1" ht="15.75" customHeight="1" x14ac:dyDescent="0.25">
      <c r="A1318" s="39"/>
    </row>
    <row r="1319" spans="1:1" ht="15.75" customHeight="1" x14ac:dyDescent="0.25">
      <c r="A1319" s="39"/>
    </row>
    <row r="1320" spans="1:1" ht="15.75" customHeight="1" x14ac:dyDescent="0.25">
      <c r="A1320" s="39"/>
    </row>
    <row r="1321" spans="1:1" ht="15.75" customHeight="1" x14ac:dyDescent="0.25">
      <c r="A1321" s="39"/>
    </row>
    <row r="1322" spans="1:1" ht="15.75" customHeight="1" x14ac:dyDescent="0.25">
      <c r="A1322" s="39"/>
    </row>
    <row r="1323" spans="1:1" ht="15.75" customHeight="1" x14ac:dyDescent="0.25">
      <c r="A1323" s="39"/>
    </row>
    <row r="1324" spans="1:1" ht="15.75" customHeight="1" x14ac:dyDescent="0.25">
      <c r="A1324" s="39"/>
    </row>
    <row r="1325" spans="1:1" ht="15.75" customHeight="1" x14ac:dyDescent="0.25">
      <c r="A1325" s="39"/>
    </row>
    <row r="1326" spans="1:1" ht="15.75" customHeight="1" x14ac:dyDescent="0.25">
      <c r="A1326" s="39"/>
    </row>
    <row r="1327" spans="1:1" ht="15.75" customHeight="1" x14ac:dyDescent="0.25">
      <c r="A1327" s="39"/>
    </row>
    <row r="1328" spans="1:1" ht="15.75" customHeight="1" x14ac:dyDescent="0.25">
      <c r="A1328" s="39"/>
    </row>
    <row r="1329" spans="1:1" ht="15.75" customHeight="1" x14ac:dyDescent="0.25">
      <c r="A1329" s="39"/>
    </row>
    <row r="1330" spans="1:1" ht="15.75" customHeight="1" x14ac:dyDescent="0.25">
      <c r="A1330" s="39"/>
    </row>
    <row r="1331" spans="1:1" ht="15.75" customHeight="1" x14ac:dyDescent="0.25">
      <c r="A1331" s="39"/>
    </row>
    <row r="1332" spans="1:1" ht="15.75" customHeight="1" x14ac:dyDescent="0.25">
      <c r="A1332" s="39"/>
    </row>
    <row r="1333" spans="1:1" ht="15.75" customHeight="1" x14ac:dyDescent="0.25">
      <c r="A1333" s="39"/>
    </row>
    <row r="1334" spans="1:1" ht="15.75" customHeight="1" x14ac:dyDescent="0.25">
      <c r="A1334" s="39"/>
    </row>
    <row r="1335" spans="1:1" ht="15.75" customHeight="1" x14ac:dyDescent="0.25">
      <c r="A1335" s="39"/>
    </row>
    <row r="1336" spans="1:1" ht="15.75" customHeight="1" x14ac:dyDescent="0.25">
      <c r="A1336" s="39"/>
    </row>
    <row r="1337" spans="1:1" ht="15.75" customHeight="1" x14ac:dyDescent="0.25">
      <c r="A1337" s="39"/>
    </row>
    <row r="1338" spans="1:1" ht="15.75" customHeight="1" x14ac:dyDescent="0.25">
      <c r="A1338" s="39"/>
    </row>
    <row r="1339" spans="1:1" ht="15.75" customHeight="1" x14ac:dyDescent="0.25">
      <c r="A1339" s="39"/>
    </row>
    <row r="1340" spans="1:1" ht="15.75" customHeight="1" x14ac:dyDescent="0.25">
      <c r="A1340" s="39"/>
    </row>
    <row r="1341" spans="1:1" ht="15.75" customHeight="1" x14ac:dyDescent="0.25">
      <c r="A1341" s="39"/>
    </row>
    <row r="1342" spans="1:1" ht="15.75" customHeight="1" x14ac:dyDescent="0.25">
      <c r="A1342" s="39"/>
    </row>
    <row r="1343" spans="1:1" ht="15.75" customHeight="1" x14ac:dyDescent="0.25">
      <c r="A1343" s="39"/>
    </row>
    <row r="1344" spans="1:1" ht="15.75" customHeight="1" x14ac:dyDescent="0.25">
      <c r="A1344" s="39"/>
    </row>
    <row r="1345" spans="1:1" ht="15.75" customHeight="1" x14ac:dyDescent="0.25">
      <c r="A1345" s="39"/>
    </row>
    <row r="1346" spans="1:1" ht="15.75" customHeight="1" x14ac:dyDescent="0.25">
      <c r="A1346" s="39"/>
    </row>
    <row r="1347" spans="1:1" ht="15.75" customHeight="1" x14ac:dyDescent="0.25">
      <c r="A1347" s="39"/>
    </row>
    <row r="1348" spans="1:1" ht="15.75" customHeight="1" x14ac:dyDescent="0.25">
      <c r="A1348" s="39"/>
    </row>
    <row r="1349" spans="1:1" ht="15.75" customHeight="1" x14ac:dyDescent="0.25">
      <c r="A1349" s="39"/>
    </row>
    <row r="1350" spans="1:1" ht="15.75" customHeight="1" x14ac:dyDescent="0.25">
      <c r="A1350" s="39"/>
    </row>
    <row r="1351" spans="1:1" ht="15.75" customHeight="1" x14ac:dyDescent="0.25">
      <c r="A1351" s="39"/>
    </row>
    <row r="1352" spans="1:1" ht="15.75" customHeight="1" x14ac:dyDescent="0.25">
      <c r="A1352" s="39"/>
    </row>
    <row r="1353" spans="1:1" ht="15.75" customHeight="1" x14ac:dyDescent="0.25">
      <c r="A1353" s="39"/>
    </row>
    <row r="1354" spans="1:1" ht="15.75" customHeight="1" x14ac:dyDescent="0.25">
      <c r="A1354" s="39"/>
    </row>
    <row r="1355" spans="1:1" ht="15.75" customHeight="1" x14ac:dyDescent="0.25">
      <c r="A1355" s="39"/>
    </row>
    <row r="1356" spans="1:1" ht="15.75" customHeight="1" x14ac:dyDescent="0.25">
      <c r="A1356" s="39"/>
    </row>
    <row r="1357" spans="1:1" ht="15.75" customHeight="1" x14ac:dyDescent="0.25">
      <c r="A1357" s="39"/>
    </row>
    <row r="1358" spans="1:1" ht="15.75" customHeight="1" x14ac:dyDescent="0.25">
      <c r="A1358" s="39"/>
    </row>
    <row r="1359" spans="1:1" ht="15.75" customHeight="1" x14ac:dyDescent="0.25">
      <c r="A1359" s="39"/>
    </row>
    <row r="1360" spans="1:1" ht="15.75" customHeight="1" x14ac:dyDescent="0.25">
      <c r="A1360" s="39"/>
    </row>
    <row r="1361" spans="1:1" ht="15.75" customHeight="1" x14ac:dyDescent="0.25">
      <c r="A1361" s="39"/>
    </row>
    <row r="1362" spans="1:1" ht="15.75" customHeight="1" x14ac:dyDescent="0.25">
      <c r="A1362" s="39"/>
    </row>
    <row r="1363" spans="1:1" ht="15.75" customHeight="1" x14ac:dyDescent="0.25">
      <c r="A1363" s="39"/>
    </row>
    <row r="1364" spans="1:1" ht="15.75" customHeight="1" x14ac:dyDescent="0.25">
      <c r="A1364" s="39"/>
    </row>
    <row r="1365" spans="1:1" ht="15.75" customHeight="1" x14ac:dyDescent="0.25">
      <c r="A1365" s="39"/>
    </row>
    <row r="1366" spans="1:1" ht="15.75" customHeight="1" x14ac:dyDescent="0.25">
      <c r="A1366" s="39"/>
    </row>
    <row r="1367" spans="1:1" ht="15.75" customHeight="1" x14ac:dyDescent="0.25">
      <c r="A1367" s="39"/>
    </row>
    <row r="1368" spans="1:1" ht="15.75" customHeight="1" x14ac:dyDescent="0.25">
      <c r="A1368" s="39"/>
    </row>
    <row r="1369" spans="1:1" ht="15.75" customHeight="1" x14ac:dyDescent="0.25">
      <c r="A1369" s="39"/>
    </row>
    <row r="1370" spans="1:1" ht="15.75" customHeight="1" x14ac:dyDescent="0.25">
      <c r="A1370" s="39"/>
    </row>
    <row r="1371" spans="1:1" ht="15.75" customHeight="1" x14ac:dyDescent="0.25">
      <c r="A1371" s="39"/>
    </row>
    <row r="1372" spans="1:1" ht="15.75" customHeight="1" x14ac:dyDescent="0.25">
      <c r="A1372" s="39"/>
    </row>
    <row r="1373" spans="1:1" ht="15.75" customHeight="1" x14ac:dyDescent="0.25">
      <c r="A1373" s="39"/>
    </row>
    <row r="1374" spans="1:1" ht="15.75" customHeight="1" x14ac:dyDescent="0.25">
      <c r="A1374" s="39"/>
    </row>
    <row r="1375" spans="1:1" ht="15.75" customHeight="1" x14ac:dyDescent="0.25">
      <c r="A1375" s="39"/>
    </row>
    <row r="1376" spans="1:1" ht="15.75" customHeight="1" x14ac:dyDescent="0.25">
      <c r="A1376" s="39"/>
    </row>
    <row r="1377" spans="1:1" ht="15.75" customHeight="1" x14ac:dyDescent="0.25">
      <c r="A1377" s="39"/>
    </row>
    <row r="1378" spans="1:1" ht="15.75" customHeight="1" x14ac:dyDescent="0.25">
      <c r="A1378" s="39"/>
    </row>
    <row r="1379" spans="1:1" ht="15.75" customHeight="1" x14ac:dyDescent="0.25">
      <c r="A1379" s="39"/>
    </row>
    <row r="1380" spans="1:1" ht="15.75" customHeight="1" x14ac:dyDescent="0.25">
      <c r="A1380" s="39"/>
    </row>
    <row r="1381" spans="1:1" ht="15.75" customHeight="1" x14ac:dyDescent="0.25">
      <c r="A1381" s="39"/>
    </row>
    <row r="1382" spans="1:1" ht="15.75" customHeight="1" x14ac:dyDescent="0.25">
      <c r="A1382" s="39"/>
    </row>
    <row r="1383" spans="1:1" ht="15.75" customHeight="1" x14ac:dyDescent="0.25">
      <c r="A1383" s="39"/>
    </row>
    <row r="1384" spans="1:1" ht="15.75" customHeight="1" x14ac:dyDescent="0.25">
      <c r="A1384" s="39"/>
    </row>
    <row r="1385" spans="1:1" ht="15.75" customHeight="1" x14ac:dyDescent="0.25">
      <c r="A1385" s="39"/>
    </row>
    <row r="1386" spans="1:1" ht="15.75" customHeight="1" x14ac:dyDescent="0.25">
      <c r="A1386" s="39"/>
    </row>
    <row r="1387" spans="1:1" ht="15.75" customHeight="1" x14ac:dyDescent="0.25">
      <c r="A1387" s="39"/>
    </row>
    <row r="1388" spans="1:1" ht="15.75" customHeight="1" x14ac:dyDescent="0.25">
      <c r="A1388" s="39"/>
    </row>
    <row r="1389" spans="1:1" ht="15.75" customHeight="1" x14ac:dyDescent="0.25">
      <c r="A1389" s="39"/>
    </row>
    <row r="1390" spans="1:1" ht="15.75" customHeight="1" x14ac:dyDescent="0.25">
      <c r="A1390" s="39"/>
    </row>
    <row r="1391" spans="1:1" ht="15.75" customHeight="1" x14ac:dyDescent="0.25">
      <c r="A1391" s="39"/>
    </row>
    <row r="1392" spans="1:1" ht="15.75" customHeight="1" x14ac:dyDescent="0.25">
      <c r="A1392" s="39"/>
    </row>
    <row r="1393" spans="1:1" ht="15.75" customHeight="1" x14ac:dyDescent="0.25">
      <c r="A1393" s="39"/>
    </row>
    <row r="1394" spans="1:1" ht="15.75" customHeight="1" x14ac:dyDescent="0.25">
      <c r="A1394" s="39"/>
    </row>
    <row r="1395" spans="1:1" ht="15.75" customHeight="1" x14ac:dyDescent="0.25">
      <c r="A1395" s="39"/>
    </row>
    <row r="1396" spans="1:1" ht="15.75" customHeight="1" x14ac:dyDescent="0.25">
      <c r="A1396" s="39"/>
    </row>
    <row r="1397" spans="1:1" ht="15.75" customHeight="1" x14ac:dyDescent="0.25">
      <c r="A1397" s="39"/>
    </row>
    <row r="1398" spans="1:1" ht="15.75" customHeight="1" x14ac:dyDescent="0.25">
      <c r="A1398" s="39"/>
    </row>
    <row r="1399" spans="1:1" ht="15.75" customHeight="1" x14ac:dyDescent="0.25">
      <c r="A1399" s="39"/>
    </row>
    <row r="1400" spans="1:1" ht="15.75" customHeight="1" x14ac:dyDescent="0.25">
      <c r="A1400" s="39"/>
    </row>
    <row r="1401" spans="1:1" ht="15.75" customHeight="1" x14ac:dyDescent="0.25">
      <c r="A1401" s="39"/>
    </row>
    <row r="1402" spans="1:1" ht="15.75" customHeight="1" x14ac:dyDescent="0.25">
      <c r="A1402" s="39"/>
    </row>
    <row r="1403" spans="1:1" ht="15.75" customHeight="1" x14ac:dyDescent="0.25">
      <c r="A1403" s="39"/>
    </row>
    <row r="1404" spans="1:1" ht="15.75" customHeight="1" x14ac:dyDescent="0.25">
      <c r="A1404" s="39"/>
    </row>
    <row r="1405" spans="1:1" ht="15.75" customHeight="1" x14ac:dyDescent="0.25">
      <c r="A1405" s="39"/>
    </row>
    <row r="1406" spans="1:1" ht="15.75" customHeight="1" x14ac:dyDescent="0.25">
      <c r="A1406" s="39"/>
    </row>
    <row r="1407" spans="1:1" ht="15.75" customHeight="1" x14ac:dyDescent="0.25">
      <c r="A1407" s="39"/>
    </row>
    <row r="1408" spans="1:1" ht="15.75" customHeight="1" x14ac:dyDescent="0.25">
      <c r="A1408" s="39"/>
    </row>
    <row r="1409" spans="1:1" ht="15.75" customHeight="1" x14ac:dyDescent="0.25">
      <c r="A1409" s="39"/>
    </row>
    <row r="1410" spans="1:1" ht="15.75" customHeight="1" x14ac:dyDescent="0.25">
      <c r="A1410" s="39"/>
    </row>
    <row r="1411" spans="1:1" ht="15.75" customHeight="1" x14ac:dyDescent="0.25">
      <c r="A1411" s="39"/>
    </row>
    <row r="1412" spans="1:1" ht="15.75" customHeight="1" x14ac:dyDescent="0.25">
      <c r="A1412" s="39"/>
    </row>
    <row r="1413" spans="1:1" ht="15.75" customHeight="1" x14ac:dyDescent="0.25">
      <c r="A1413" s="39"/>
    </row>
    <row r="1414" spans="1:1" ht="15.75" customHeight="1" x14ac:dyDescent="0.25">
      <c r="A1414" s="39"/>
    </row>
    <row r="1415" spans="1:1" ht="15.75" customHeight="1" x14ac:dyDescent="0.25">
      <c r="A1415" s="39"/>
    </row>
    <row r="1416" spans="1:1" ht="15.75" customHeight="1" x14ac:dyDescent="0.25">
      <c r="A1416" s="39"/>
    </row>
    <row r="1417" spans="1:1" ht="15.75" customHeight="1" x14ac:dyDescent="0.25">
      <c r="A1417" s="39"/>
    </row>
    <row r="1418" spans="1:1" ht="15.75" customHeight="1" x14ac:dyDescent="0.25">
      <c r="A1418" s="39"/>
    </row>
    <row r="1419" spans="1:1" ht="15.75" customHeight="1" x14ac:dyDescent="0.25">
      <c r="A1419" s="39"/>
    </row>
    <row r="1420" spans="1:1" ht="15.75" customHeight="1" x14ac:dyDescent="0.25">
      <c r="A1420" s="39"/>
    </row>
    <row r="1421" spans="1:1" ht="15.75" customHeight="1" x14ac:dyDescent="0.25">
      <c r="A1421" s="39"/>
    </row>
    <row r="1422" spans="1:1" ht="15.75" customHeight="1" x14ac:dyDescent="0.25">
      <c r="A1422" s="39"/>
    </row>
    <row r="1423" spans="1:1" ht="15.75" customHeight="1" x14ac:dyDescent="0.25">
      <c r="A1423" s="39"/>
    </row>
    <row r="1424" spans="1:1" ht="15.75" customHeight="1" x14ac:dyDescent="0.25">
      <c r="A1424" s="39"/>
    </row>
    <row r="1425" spans="1:1" ht="15.75" customHeight="1" x14ac:dyDescent="0.25">
      <c r="A1425" s="39"/>
    </row>
    <row r="1426" spans="1:1" ht="15.75" customHeight="1" x14ac:dyDescent="0.25">
      <c r="A1426" s="39"/>
    </row>
    <row r="1427" spans="1:1" ht="15.75" customHeight="1" x14ac:dyDescent="0.25">
      <c r="A1427" s="39"/>
    </row>
    <row r="1428" spans="1:1" ht="15.75" customHeight="1" x14ac:dyDescent="0.25">
      <c r="A1428" s="39"/>
    </row>
    <row r="1429" spans="1:1" ht="15.75" customHeight="1" x14ac:dyDescent="0.25">
      <c r="A1429" s="39"/>
    </row>
    <row r="1430" spans="1:1" ht="15.75" customHeight="1" x14ac:dyDescent="0.25">
      <c r="A1430" s="39"/>
    </row>
    <row r="1431" spans="1:1" ht="15.75" customHeight="1" x14ac:dyDescent="0.25">
      <c r="A1431" s="39"/>
    </row>
    <row r="1432" spans="1:1" ht="15.75" customHeight="1" x14ac:dyDescent="0.25">
      <c r="A1432" s="39"/>
    </row>
    <row r="1433" spans="1:1" ht="15.75" customHeight="1" x14ac:dyDescent="0.25">
      <c r="A1433" s="39"/>
    </row>
    <row r="1434" spans="1:1" ht="15.75" customHeight="1" x14ac:dyDescent="0.25">
      <c r="A1434" s="39"/>
    </row>
    <row r="1435" spans="1:1" ht="15.75" customHeight="1" x14ac:dyDescent="0.25">
      <c r="A1435" s="39"/>
    </row>
    <row r="1436" spans="1:1" ht="15.75" customHeight="1" x14ac:dyDescent="0.25">
      <c r="A1436" s="39"/>
    </row>
    <row r="1437" spans="1:1" ht="15.75" customHeight="1" x14ac:dyDescent="0.25">
      <c r="A1437" s="39"/>
    </row>
    <row r="1438" spans="1:1" ht="15.75" customHeight="1" x14ac:dyDescent="0.25">
      <c r="A1438" s="39"/>
    </row>
    <row r="1439" spans="1:1" ht="15.75" customHeight="1" x14ac:dyDescent="0.25">
      <c r="A1439" s="39"/>
    </row>
    <row r="1440" spans="1:1" ht="15.75" customHeight="1" x14ac:dyDescent="0.25">
      <c r="A1440" s="39"/>
    </row>
    <row r="1441" spans="1:1" ht="15.75" customHeight="1" x14ac:dyDescent="0.25">
      <c r="A1441" s="39"/>
    </row>
    <row r="1442" spans="1:1" ht="15.75" customHeight="1" x14ac:dyDescent="0.25">
      <c r="A1442" s="39"/>
    </row>
    <row r="1443" spans="1:1" ht="15.75" customHeight="1" x14ac:dyDescent="0.25">
      <c r="A1443" s="39"/>
    </row>
    <row r="1444" spans="1:1" ht="15.75" customHeight="1" x14ac:dyDescent="0.25">
      <c r="A1444" s="39"/>
    </row>
    <row r="1445" spans="1:1" ht="15.75" customHeight="1" x14ac:dyDescent="0.25">
      <c r="A1445" s="39"/>
    </row>
    <row r="1446" spans="1:1" ht="15.75" customHeight="1" x14ac:dyDescent="0.25">
      <c r="A1446" s="39"/>
    </row>
    <row r="1447" spans="1:1" ht="15.75" customHeight="1" x14ac:dyDescent="0.25">
      <c r="A1447" s="39"/>
    </row>
    <row r="1448" spans="1:1" ht="15.75" customHeight="1" x14ac:dyDescent="0.25">
      <c r="A1448" s="39"/>
    </row>
    <row r="1449" spans="1:1" ht="15.75" customHeight="1" x14ac:dyDescent="0.25">
      <c r="A1449" s="39"/>
    </row>
    <row r="1450" spans="1:1" ht="15.75" customHeight="1" x14ac:dyDescent="0.25">
      <c r="A1450" s="39"/>
    </row>
    <row r="1451" spans="1:1" ht="15.75" customHeight="1" x14ac:dyDescent="0.25">
      <c r="A1451" s="39"/>
    </row>
    <row r="1452" spans="1:1" ht="15.75" customHeight="1" x14ac:dyDescent="0.25">
      <c r="A1452" s="39"/>
    </row>
    <row r="1453" spans="1:1" ht="15.75" customHeight="1" x14ac:dyDescent="0.25">
      <c r="A1453" s="39"/>
    </row>
    <row r="1454" spans="1:1" ht="15.75" customHeight="1" x14ac:dyDescent="0.25">
      <c r="A1454" s="39"/>
    </row>
    <row r="1455" spans="1:1" ht="15.75" customHeight="1" x14ac:dyDescent="0.25">
      <c r="A1455" s="39"/>
    </row>
    <row r="1456" spans="1:1" ht="15.75" customHeight="1" x14ac:dyDescent="0.25">
      <c r="A1456" s="39"/>
    </row>
    <row r="1457" spans="1:1" ht="15.75" customHeight="1" x14ac:dyDescent="0.25">
      <c r="A1457" s="39"/>
    </row>
    <row r="1458" spans="1:1" ht="15.75" customHeight="1" x14ac:dyDescent="0.25">
      <c r="A1458" s="39"/>
    </row>
    <row r="1459" spans="1:1" ht="15.75" customHeight="1" x14ac:dyDescent="0.25">
      <c r="A1459" s="39"/>
    </row>
    <row r="1460" spans="1:1" ht="15.75" customHeight="1" x14ac:dyDescent="0.25">
      <c r="A1460" s="39"/>
    </row>
    <row r="1461" spans="1:1" ht="15.75" customHeight="1" x14ac:dyDescent="0.25">
      <c r="A1461" s="39"/>
    </row>
    <row r="1462" spans="1:1" ht="15.75" customHeight="1" x14ac:dyDescent="0.25">
      <c r="A1462" s="39"/>
    </row>
    <row r="1463" spans="1:1" ht="15.75" customHeight="1" x14ac:dyDescent="0.25">
      <c r="A1463" s="39"/>
    </row>
    <row r="1464" spans="1:1" ht="15.75" customHeight="1" x14ac:dyDescent="0.25">
      <c r="A1464" s="39"/>
    </row>
    <row r="1465" spans="1:1" ht="15.75" customHeight="1" x14ac:dyDescent="0.25">
      <c r="A1465" s="39"/>
    </row>
    <row r="1466" spans="1:1" ht="15.75" customHeight="1" x14ac:dyDescent="0.25">
      <c r="A1466" s="39"/>
    </row>
    <row r="1467" spans="1:1" ht="15.75" customHeight="1" x14ac:dyDescent="0.25">
      <c r="A1467" s="39"/>
    </row>
    <row r="1468" spans="1:1" ht="15.75" customHeight="1" x14ac:dyDescent="0.25">
      <c r="A1468" s="39"/>
    </row>
    <row r="1469" spans="1:1" ht="15.75" customHeight="1" x14ac:dyDescent="0.25">
      <c r="A1469" s="39"/>
    </row>
    <row r="1470" spans="1:1" ht="15.75" customHeight="1" x14ac:dyDescent="0.25">
      <c r="A1470" s="39"/>
    </row>
    <row r="1471" spans="1:1" ht="15.75" customHeight="1" x14ac:dyDescent="0.25">
      <c r="A1471" s="39"/>
    </row>
    <row r="1472" spans="1:1" ht="15.75" customHeight="1" x14ac:dyDescent="0.25">
      <c r="A1472" s="39"/>
    </row>
    <row r="1473" spans="1:1" ht="15.75" customHeight="1" x14ac:dyDescent="0.25">
      <c r="A1473" s="39"/>
    </row>
    <row r="1474" spans="1:1" ht="15.75" customHeight="1" x14ac:dyDescent="0.25">
      <c r="A1474" s="39"/>
    </row>
    <row r="1475" spans="1:1" ht="15.75" customHeight="1" x14ac:dyDescent="0.25">
      <c r="A1475" s="39"/>
    </row>
    <row r="1476" spans="1:1" ht="15.75" customHeight="1" x14ac:dyDescent="0.25">
      <c r="A1476" s="39"/>
    </row>
    <row r="1477" spans="1:1" ht="15.75" customHeight="1" x14ac:dyDescent="0.25">
      <c r="A1477" s="39"/>
    </row>
    <row r="1478" spans="1:1" ht="15.75" customHeight="1" x14ac:dyDescent="0.25">
      <c r="A1478" s="39"/>
    </row>
    <row r="1479" spans="1:1" ht="15.75" customHeight="1" x14ac:dyDescent="0.25">
      <c r="A1479" s="39"/>
    </row>
    <row r="1480" spans="1:1" ht="15.75" customHeight="1" x14ac:dyDescent="0.25">
      <c r="A1480" s="39"/>
    </row>
    <row r="1481" spans="1:1" ht="15.75" customHeight="1" x14ac:dyDescent="0.25">
      <c r="A1481" s="39"/>
    </row>
    <row r="1482" spans="1:1" ht="15.75" customHeight="1" x14ac:dyDescent="0.25">
      <c r="A1482" s="39"/>
    </row>
    <row r="1483" spans="1:1" ht="15.75" customHeight="1" x14ac:dyDescent="0.25">
      <c r="A1483" s="39"/>
    </row>
    <row r="1484" spans="1:1" ht="15.75" customHeight="1" x14ac:dyDescent="0.25">
      <c r="A1484" s="39"/>
    </row>
    <row r="1485" spans="1:1" ht="15.75" customHeight="1" x14ac:dyDescent="0.25">
      <c r="A1485" s="39"/>
    </row>
    <row r="1486" spans="1:1" ht="15.75" customHeight="1" x14ac:dyDescent="0.25">
      <c r="A1486" s="39"/>
    </row>
    <row r="1487" spans="1:1" ht="15.75" customHeight="1" x14ac:dyDescent="0.25">
      <c r="A1487" s="39"/>
    </row>
    <row r="1488" spans="1:1" ht="15.75" customHeight="1" x14ac:dyDescent="0.25">
      <c r="A1488" s="39"/>
    </row>
    <row r="1489" spans="1:1" ht="15.75" customHeight="1" x14ac:dyDescent="0.25">
      <c r="A1489" s="39"/>
    </row>
    <row r="1490" spans="1:1" ht="15.75" customHeight="1" x14ac:dyDescent="0.25">
      <c r="A1490" s="39"/>
    </row>
    <row r="1491" spans="1:1" ht="15.75" customHeight="1" x14ac:dyDescent="0.25">
      <c r="A1491" s="39"/>
    </row>
    <row r="1492" spans="1:1" ht="15.75" customHeight="1" x14ac:dyDescent="0.25">
      <c r="A1492" s="39"/>
    </row>
    <row r="1493" spans="1:1" ht="15.75" customHeight="1" x14ac:dyDescent="0.25">
      <c r="A1493" s="39"/>
    </row>
    <row r="1494" spans="1:1" ht="15.75" customHeight="1" x14ac:dyDescent="0.25">
      <c r="A1494" s="39"/>
    </row>
    <row r="1495" spans="1:1" ht="15.75" customHeight="1" x14ac:dyDescent="0.25">
      <c r="A1495" s="39"/>
    </row>
    <row r="1496" spans="1:1" ht="15.75" customHeight="1" x14ac:dyDescent="0.25">
      <c r="A1496" s="39"/>
    </row>
    <row r="1497" spans="1:1" ht="15.75" customHeight="1" x14ac:dyDescent="0.25">
      <c r="A1497" s="39"/>
    </row>
    <row r="1498" spans="1:1" ht="15.75" customHeight="1" x14ac:dyDescent="0.25">
      <c r="A1498" s="39"/>
    </row>
    <row r="1499" spans="1:1" ht="15.75" customHeight="1" x14ac:dyDescent="0.25">
      <c r="A1499" s="39"/>
    </row>
    <row r="1500" spans="1:1" ht="15.75" customHeight="1" x14ac:dyDescent="0.25">
      <c r="A1500" s="39"/>
    </row>
    <row r="1501" spans="1:1" ht="15.75" customHeight="1" x14ac:dyDescent="0.25">
      <c r="A1501" s="39"/>
    </row>
    <row r="1502" spans="1:1" ht="15.75" customHeight="1" x14ac:dyDescent="0.25">
      <c r="A1502" s="39"/>
    </row>
    <row r="1503" spans="1:1" ht="15.75" customHeight="1" x14ac:dyDescent="0.25">
      <c r="A1503" s="39"/>
    </row>
    <row r="1504" spans="1:1" ht="15.75" customHeight="1" x14ac:dyDescent="0.25">
      <c r="A1504" s="39"/>
    </row>
    <row r="1505" spans="1:1" ht="15.75" customHeight="1" x14ac:dyDescent="0.25">
      <c r="A1505" s="39"/>
    </row>
    <row r="1506" spans="1:1" ht="15.75" customHeight="1" x14ac:dyDescent="0.25">
      <c r="A1506" s="39"/>
    </row>
    <row r="1507" spans="1:1" ht="15.75" customHeight="1" x14ac:dyDescent="0.25">
      <c r="A1507" s="39"/>
    </row>
    <row r="1508" spans="1:1" ht="15.75" customHeight="1" x14ac:dyDescent="0.25">
      <c r="A1508" s="39"/>
    </row>
    <row r="1509" spans="1:1" ht="15.75" customHeight="1" x14ac:dyDescent="0.25">
      <c r="A1509" s="39"/>
    </row>
    <row r="1510" spans="1:1" ht="15.75" customHeight="1" x14ac:dyDescent="0.25">
      <c r="A1510" s="39"/>
    </row>
    <row r="1511" spans="1:1" ht="15.75" customHeight="1" x14ac:dyDescent="0.25">
      <c r="A1511" s="39"/>
    </row>
    <row r="1512" spans="1:1" ht="15.75" customHeight="1" x14ac:dyDescent="0.25">
      <c r="A1512" s="39"/>
    </row>
    <row r="1513" spans="1:1" ht="15.75" customHeight="1" x14ac:dyDescent="0.25">
      <c r="A1513" s="39"/>
    </row>
    <row r="1514" spans="1:1" ht="15.75" customHeight="1" x14ac:dyDescent="0.25">
      <c r="A1514" s="39"/>
    </row>
    <row r="1515" spans="1:1" ht="15.75" customHeight="1" x14ac:dyDescent="0.25">
      <c r="A1515" s="39"/>
    </row>
    <row r="1516" spans="1:1" ht="15.75" customHeight="1" x14ac:dyDescent="0.25">
      <c r="A1516" s="39"/>
    </row>
    <row r="1517" spans="1:1" ht="15.75" customHeight="1" x14ac:dyDescent="0.25">
      <c r="A1517" s="39"/>
    </row>
    <row r="1518" spans="1:1" ht="15.75" customHeight="1" x14ac:dyDescent="0.25">
      <c r="A1518" s="39"/>
    </row>
    <row r="1519" spans="1:1" ht="15.75" customHeight="1" x14ac:dyDescent="0.25">
      <c r="A1519" s="39"/>
    </row>
    <row r="1520" spans="1:1" ht="15.75" customHeight="1" x14ac:dyDescent="0.25">
      <c r="A1520" s="39"/>
    </row>
    <row r="1521" spans="1:1" ht="15.75" customHeight="1" x14ac:dyDescent="0.25">
      <c r="A1521" s="39"/>
    </row>
    <row r="1522" spans="1:1" ht="15.75" customHeight="1" x14ac:dyDescent="0.25">
      <c r="A1522" s="39"/>
    </row>
    <row r="1523" spans="1:1" ht="15.75" customHeight="1" x14ac:dyDescent="0.25">
      <c r="A1523" s="39"/>
    </row>
    <row r="1524" spans="1:1" ht="15.75" customHeight="1" x14ac:dyDescent="0.25">
      <c r="A1524" s="39"/>
    </row>
    <row r="1525" spans="1:1" ht="15.75" customHeight="1" x14ac:dyDescent="0.25">
      <c r="A1525" s="39"/>
    </row>
    <row r="1526" spans="1:1" ht="15.75" customHeight="1" x14ac:dyDescent="0.25">
      <c r="A1526" s="39"/>
    </row>
    <row r="1527" spans="1:1" ht="15.75" customHeight="1" x14ac:dyDescent="0.25">
      <c r="A1527" s="39"/>
    </row>
    <row r="1528" spans="1:1" ht="15.75" customHeight="1" x14ac:dyDescent="0.25">
      <c r="A1528" s="39"/>
    </row>
    <row r="1529" spans="1:1" ht="15.75" customHeight="1" x14ac:dyDescent="0.25">
      <c r="A1529" s="39"/>
    </row>
    <row r="1530" spans="1:1" ht="15.75" customHeight="1" x14ac:dyDescent="0.25">
      <c r="A1530" s="39"/>
    </row>
    <row r="1531" spans="1:1" ht="15.75" customHeight="1" x14ac:dyDescent="0.25">
      <c r="A1531" s="39"/>
    </row>
    <row r="1532" spans="1:1" ht="15.75" customHeight="1" x14ac:dyDescent="0.25">
      <c r="A1532" s="39"/>
    </row>
    <row r="1533" spans="1:1" ht="15.75" customHeight="1" x14ac:dyDescent="0.25">
      <c r="A1533" s="39"/>
    </row>
    <row r="1534" spans="1:1" ht="15.75" customHeight="1" x14ac:dyDescent="0.25">
      <c r="A1534" s="39"/>
    </row>
    <row r="1535" spans="1:1" ht="15.75" customHeight="1" x14ac:dyDescent="0.25">
      <c r="A1535" s="39"/>
    </row>
    <row r="1536" spans="1:1" ht="15.75" customHeight="1" x14ac:dyDescent="0.25">
      <c r="A1536" s="39"/>
    </row>
    <row r="1537" spans="1:1" ht="15.75" customHeight="1" x14ac:dyDescent="0.25">
      <c r="A1537" s="39"/>
    </row>
    <row r="1538" spans="1:1" ht="15.75" customHeight="1" x14ac:dyDescent="0.25">
      <c r="A1538" s="39"/>
    </row>
    <row r="1539" spans="1:1" ht="15.75" customHeight="1" x14ac:dyDescent="0.25">
      <c r="A1539" s="39"/>
    </row>
    <row r="1540" spans="1:1" ht="15.75" customHeight="1" x14ac:dyDescent="0.25">
      <c r="A1540" s="39"/>
    </row>
    <row r="1541" spans="1:1" ht="15.75" customHeight="1" x14ac:dyDescent="0.25">
      <c r="A1541" s="39"/>
    </row>
    <row r="1542" spans="1:1" ht="15.75" customHeight="1" x14ac:dyDescent="0.25">
      <c r="A1542" s="39"/>
    </row>
    <row r="1543" spans="1:1" ht="15.75" customHeight="1" x14ac:dyDescent="0.25">
      <c r="A1543" s="39"/>
    </row>
    <row r="1544" spans="1:1" ht="15.75" customHeight="1" x14ac:dyDescent="0.25">
      <c r="A1544" s="39"/>
    </row>
    <row r="1545" spans="1:1" ht="15.75" customHeight="1" x14ac:dyDescent="0.25">
      <c r="A1545" s="39"/>
    </row>
    <row r="1546" spans="1:1" ht="15.75" customHeight="1" x14ac:dyDescent="0.25">
      <c r="A1546" s="39"/>
    </row>
    <row r="1547" spans="1:1" ht="15.75" customHeight="1" x14ac:dyDescent="0.25">
      <c r="A1547" s="39"/>
    </row>
    <row r="1548" spans="1:1" ht="15.75" customHeight="1" x14ac:dyDescent="0.25">
      <c r="A1548" s="39"/>
    </row>
    <row r="1549" spans="1:1" ht="15.75" customHeight="1" x14ac:dyDescent="0.25">
      <c r="A1549" s="39"/>
    </row>
    <row r="1550" spans="1:1" ht="15.75" customHeight="1" x14ac:dyDescent="0.25">
      <c r="A1550" s="39"/>
    </row>
    <row r="1551" spans="1:1" ht="15.75" customHeight="1" x14ac:dyDescent="0.25">
      <c r="A1551" s="39"/>
    </row>
    <row r="1552" spans="1:1" ht="15.75" customHeight="1" x14ac:dyDescent="0.25">
      <c r="A1552" s="39"/>
    </row>
    <row r="1553" spans="1:1" ht="15.75" customHeight="1" x14ac:dyDescent="0.25">
      <c r="A1553" s="39"/>
    </row>
    <row r="1554" spans="1:1" ht="15.75" customHeight="1" x14ac:dyDescent="0.25">
      <c r="A1554" s="39"/>
    </row>
    <row r="1555" spans="1:1" ht="15.75" customHeight="1" x14ac:dyDescent="0.25">
      <c r="A1555" s="39"/>
    </row>
    <row r="1556" spans="1:1" ht="15.75" customHeight="1" x14ac:dyDescent="0.25">
      <c r="A1556" s="39"/>
    </row>
    <row r="1557" spans="1:1" ht="15.75" customHeight="1" x14ac:dyDescent="0.25">
      <c r="A1557" s="39"/>
    </row>
    <row r="1558" spans="1:1" ht="15.75" customHeight="1" x14ac:dyDescent="0.25">
      <c r="A1558" s="39"/>
    </row>
    <row r="1559" spans="1:1" ht="15.75" customHeight="1" x14ac:dyDescent="0.25">
      <c r="A1559" s="39"/>
    </row>
    <row r="1560" spans="1:1" ht="15.75" customHeight="1" x14ac:dyDescent="0.25">
      <c r="A1560" s="39"/>
    </row>
    <row r="1561" spans="1:1" ht="15.75" customHeight="1" x14ac:dyDescent="0.25">
      <c r="A1561" s="39"/>
    </row>
    <row r="1562" spans="1:1" ht="15.75" customHeight="1" x14ac:dyDescent="0.25">
      <c r="A1562" s="39"/>
    </row>
    <row r="1563" spans="1:1" ht="15.75" customHeight="1" x14ac:dyDescent="0.25">
      <c r="A1563" s="39"/>
    </row>
    <row r="1564" spans="1:1" ht="15.75" customHeight="1" x14ac:dyDescent="0.25">
      <c r="A1564" s="39"/>
    </row>
    <row r="1565" spans="1:1" ht="15.75" customHeight="1" x14ac:dyDescent="0.25">
      <c r="A1565" s="39"/>
    </row>
    <row r="1566" spans="1:1" ht="15.75" customHeight="1" x14ac:dyDescent="0.25">
      <c r="A1566" s="39"/>
    </row>
    <row r="1567" spans="1:1" ht="15.75" customHeight="1" x14ac:dyDescent="0.25">
      <c r="A1567" s="39"/>
    </row>
    <row r="1568" spans="1:1" ht="15.75" customHeight="1" x14ac:dyDescent="0.25">
      <c r="A1568" s="39"/>
    </row>
    <row r="1569" spans="1:1" ht="15.75" customHeight="1" x14ac:dyDescent="0.25">
      <c r="A1569" s="39"/>
    </row>
    <row r="1570" spans="1:1" ht="15.75" customHeight="1" x14ac:dyDescent="0.25">
      <c r="A1570" s="39"/>
    </row>
    <row r="1571" spans="1:1" ht="15.75" customHeight="1" x14ac:dyDescent="0.25">
      <c r="A1571" s="39"/>
    </row>
    <row r="1572" spans="1:1" ht="15.75" customHeight="1" x14ac:dyDescent="0.25">
      <c r="A1572" s="39"/>
    </row>
    <row r="1573" spans="1:1" ht="15.75" customHeight="1" x14ac:dyDescent="0.25">
      <c r="A1573" s="39"/>
    </row>
    <row r="1574" spans="1:1" ht="15.75" customHeight="1" x14ac:dyDescent="0.25">
      <c r="A1574" s="39"/>
    </row>
    <row r="1575" spans="1:1" ht="15.75" customHeight="1" x14ac:dyDescent="0.25">
      <c r="A1575" s="39"/>
    </row>
    <row r="1576" spans="1:1" ht="15.75" customHeight="1" x14ac:dyDescent="0.25">
      <c r="A1576" s="39"/>
    </row>
    <row r="1577" spans="1:1" ht="15.75" customHeight="1" x14ac:dyDescent="0.25">
      <c r="A1577" s="39"/>
    </row>
    <row r="1578" spans="1:1" ht="15.75" customHeight="1" x14ac:dyDescent="0.25">
      <c r="A1578" s="39"/>
    </row>
    <row r="1579" spans="1:1" ht="15.75" customHeight="1" x14ac:dyDescent="0.25">
      <c r="A1579" s="39"/>
    </row>
    <row r="1580" spans="1:1" ht="15.75" customHeight="1" x14ac:dyDescent="0.25">
      <c r="A1580" s="39"/>
    </row>
    <row r="1581" spans="1:1" ht="15.75" customHeight="1" x14ac:dyDescent="0.25">
      <c r="A1581" s="39"/>
    </row>
    <row r="1582" spans="1:1" ht="15.75" customHeight="1" x14ac:dyDescent="0.25">
      <c r="A1582" s="39"/>
    </row>
    <row r="1583" spans="1:1" ht="15.75" customHeight="1" x14ac:dyDescent="0.25">
      <c r="A1583" s="39"/>
    </row>
    <row r="1584" spans="1:1" ht="15.75" customHeight="1" x14ac:dyDescent="0.25">
      <c r="A1584" s="39"/>
    </row>
    <row r="1585" spans="1:1" ht="15.75" customHeight="1" x14ac:dyDescent="0.25">
      <c r="A1585" s="39"/>
    </row>
    <row r="1586" spans="1:1" ht="15.75" customHeight="1" x14ac:dyDescent="0.25">
      <c r="A1586" s="39"/>
    </row>
    <row r="1587" spans="1:1" ht="15.75" customHeight="1" x14ac:dyDescent="0.25">
      <c r="A1587" s="39"/>
    </row>
    <row r="1588" spans="1:1" ht="15.75" customHeight="1" x14ac:dyDescent="0.25">
      <c r="A1588" s="39"/>
    </row>
    <row r="1589" spans="1:1" ht="15.75" customHeight="1" x14ac:dyDescent="0.25">
      <c r="A1589" s="39"/>
    </row>
    <row r="1590" spans="1:1" ht="15.75" customHeight="1" x14ac:dyDescent="0.25">
      <c r="A1590" s="39"/>
    </row>
    <row r="1591" spans="1:1" ht="15.75" customHeight="1" x14ac:dyDescent="0.25">
      <c r="A1591" s="39"/>
    </row>
    <row r="1592" spans="1:1" ht="15.75" customHeight="1" x14ac:dyDescent="0.25">
      <c r="A1592" s="39"/>
    </row>
    <row r="1593" spans="1:1" ht="15.75" customHeight="1" x14ac:dyDescent="0.25">
      <c r="A1593" s="39"/>
    </row>
    <row r="1594" spans="1:1" ht="15.75" customHeight="1" x14ac:dyDescent="0.25">
      <c r="A1594" s="39"/>
    </row>
    <row r="1595" spans="1:1" ht="15.75" customHeight="1" x14ac:dyDescent="0.25">
      <c r="A1595" s="39"/>
    </row>
    <row r="1596" spans="1:1" ht="15.75" customHeight="1" x14ac:dyDescent="0.25">
      <c r="A1596" s="39"/>
    </row>
    <row r="1597" spans="1:1" ht="15.75" customHeight="1" x14ac:dyDescent="0.25">
      <c r="A1597" s="39"/>
    </row>
    <row r="1598" spans="1:1" ht="15.75" customHeight="1" x14ac:dyDescent="0.25">
      <c r="A1598" s="39"/>
    </row>
    <row r="1599" spans="1:1" ht="15.75" customHeight="1" x14ac:dyDescent="0.25">
      <c r="A1599" s="39"/>
    </row>
    <row r="1600" spans="1:1" ht="15.75" customHeight="1" x14ac:dyDescent="0.25">
      <c r="A1600" s="39"/>
    </row>
    <row r="1601" spans="1:1" ht="15.75" customHeight="1" x14ac:dyDescent="0.25">
      <c r="A1601" s="39"/>
    </row>
    <row r="1602" spans="1:1" ht="15.75" customHeight="1" x14ac:dyDescent="0.25">
      <c r="A1602" s="39"/>
    </row>
    <row r="1603" spans="1:1" ht="15.75" customHeight="1" x14ac:dyDescent="0.25">
      <c r="A1603" s="39"/>
    </row>
    <row r="1604" spans="1:1" ht="15.75" customHeight="1" x14ac:dyDescent="0.25">
      <c r="A1604" s="39"/>
    </row>
    <row r="1605" spans="1:1" ht="15.75" customHeight="1" x14ac:dyDescent="0.25">
      <c r="A1605" s="39"/>
    </row>
    <row r="1606" spans="1:1" ht="15.75" customHeight="1" x14ac:dyDescent="0.25">
      <c r="A1606" s="39"/>
    </row>
    <row r="1607" spans="1:1" ht="15.75" customHeight="1" x14ac:dyDescent="0.25">
      <c r="A1607" s="39"/>
    </row>
    <row r="1608" spans="1:1" ht="15.75" customHeight="1" x14ac:dyDescent="0.25">
      <c r="A1608" s="39"/>
    </row>
    <row r="1609" spans="1:1" ht="15.75" customHeight="1" x14ac:dyDescent="0.25">
      <c r="A1609" s="39"/>
    </row>
    <row r="1610" spans="1:1" ht="15.75" customHeight="1" x14ac:dyDescent="0.25">
      <c r="A1610" s="39"/>
    </row>
    <row r="1611" spans="1:1" ht="15.75" customHeight="1" x14ac:dyDescent="0.25">
      <c r="A1611" s="39"/>
    </row>
    <row r="1612" spans="1:1" ht="15.75" customHeight="1" x14ac:dyDescent="0.25">
      <c r="A1612" s="39"/>
    </row>
    <row r="1613" spans="1:1" ht="15.75" customHeight="1" x14ac:dyDescent="0.25">
      <c r="A1613" s="39"/>
    </row>
    <row r="1614" spans="1:1" ht="15.75" customHeight="1" x14ac:dyDescent="0.25">
      <c r="A1614" s="39"/>
    </row>
    <row r="1615" spans="1:1" ht="15.75" customHeight="1" x14ac:dyDescent="0.25">
      <c r="A1615" s="39"/>
    </row>
    <row r="1616" spans="1:1" ht="15.75" customHeight="1" x14ac:dyDescent="0.25">
      <c r="A1616" s="39"/>
    </row>
    <row r="1617" spans="1:1" ht="15.75" customHeight="1" x14ac:dyDescent="0.25">
      <c r="A1617" s="39"/>
    </row>
    <row r="1618" spans="1:1" ht="15.75" customHeight="1" x14ac:dyDescent="0.25">
      <c r="A1618" s="39"/>
    </row>
    <row r="1619" spans="1:1" ht="15.75" customHeight="1" x14ac:dyDescent="0.25">
      <c r="A1619" s="39"/>
    </row>
    <row r="1620" spans="1:1" ht="15.75" customHeight="1" x14ac:dyDescent="0.25">
      <c r="A1620" s="39"/>
    </row>
    <row r="1621" spans="1:1" ht="15.75" customHeight="1" x14ac:dyDescent="0.25">
      <c r="A1621" s="39"/>
    </row>
    <row r="1622" spans="1:1" ht="15.75" customHeight="1" x14ac:dyDescent="0.25">
      <c r="A1622" s="39"/>
    </row>
    <row r="1623" spans="1:1" ht="15.75" customHeight="1" x14ac:dyDescent="0.25">
      <c r="A1623" s="39"/>
    </row>
    <row r="1624" spans="1:1" ht="15.75" customHeight="1" x14ac:dyDescent="0.25">
      <c r="A1624" s="39"/>
    </row>
    <row r="1625" spans="1:1" ht="15.75" customHeight="1" x14ac:dyDescent="0.25">
      <c r="A1625" s="39"/>
    </row>
    <row r="1626" spans="1:1" ht="15.75" customHeight="1" x14ac:dyDescent="0.25">
      <c r="A1626" s="39"/>
    </row>
    <row r="1627" spans="1:1" ht="15.75" customHeight="1" x14ac:dyDescent="0.25">
      <c r="A1627" s="39"/>
    </row>
    <row r="1628" spans="1:1" ht="15.75" customHeight="1" x14ac:dyDescent="0.25">
      <c r="A1628" s="39"/>
    </row>
    <row r="1629" spans="1:1" ht="15.75" customHeight="1" x14ac:dyDescent="0.25">
      <c r="A1629" s="39"/>
    </row>
    <row r="1630" spans="1:1" ht="15.75" customHeight="1" x14ac:dyDescent="0.25">
      <c r="A1630" s="39"/>
    </row>
    <row r="1631" spans="1:1" ht="15.75" customHeight="1" x14ac:dyDescent="0.25">
      <c r="A1631" s="39"/>
    </row>
    <row r="1632" spans="1:1" ht="15.75" customHeight="1" x14ac:dyDescent="0.25">
      <c r="A1632" s="39"/>
    </row>
    <row r="1633" spans="1:1" ht="15.75" customHeight="1" x14ac:dyDescent="0.25">
      <c r="A1633" s="39"/>
    </row>
    <row r="1634" spans="1:1" ht="15.75" customHeight="1" x14ac:dyDescent="0.25">
      <c r="A1634" s="39"/>
    </row>
    <row r="1635" spans="1:1" ht="15.75" customHeight="1" x14ac:dyDescent="0.25">
      <c r="A1635" s="39"/>
    </row>
    <row r="1636" spans="1:1" ht="15.75" customHeight="1" x14ac:dyDescent="0.25">
      <c r="A1636" s="39"/>
    </row>
    <row r="1637" spans="1:1" ht="15.75" customHeight="1" x14ac:dyDescent="0.25">
      <c r="A1637" s="39"/>
    </row>
    <row r="1638" spans="1:1" ht="15.75" customHeight="1" x14ac:dyDescent="0.25">
      <c r="A1638" s="39"/>
    </row>
    <row r="1639" spans="1:1" ht="15.75" customHeight="1" x14ac:dyDescent="0.25">
      <c r="A1639" s="39"/>
    </row>
    <row r="1640" spans="1:1" ht="15.75" customHeight="1" x14ac:dyDescent="0.25">
      <c r="A1640" s="39"/>
    </row>
    <row r="1641" spans="1:1" ht="15.75" customHeight="1" x14ac:dyDescent="0.25">
      <c r="A1641" s="39"/>
    </row>
    <row r="1642" spans="1:1" ht="15.75" customHeight="1" x14ac:dyDescent="0.25">
      <c r="A1642" s="39"/>
    </row>
    <row r="1643" spans="1:1" ht="15.75" customHeight="1" x14ac:dyDescent="0.25">
      <c r="A1643" s="39"/>
    </row>
    <row r="1644" spans="1:1" ht="15.75" customHeight="1" x14ac:dyDescent="0.25">
      <c r="A1644" s="39"/>
    </row>
    <row r="1645" spans="1:1" ht="15.75" customHeight="1" x14ac:dyDescent="0.25">
      <c r="A1645" s="39"/>
    </row>
    <row r="1646" spans="1:1" ht="15.75" customHeight="1" x14ac:dyDescent="0.25">
      <c r="A1646" s="39"/>
    </row>
    <row r="1647" spans="1:1" ht="15.75" customHeight="1" x14ac:dyDescent="0.25">
      <c r="A1647" s="39"/>
    </row>
    <row r="1648" spans="1:1" ht="15.75" customHeight="1" x14ac:dyDescent="0.25">
      <c r="A1648" s="39"/>
    </row>
    <row r="1649" spans="1:1" ht="15.75" customHeight="1" x14ac:dyDescent="0.25">
      <c r="A1649" s="39"/>
    </row>
    <row r="1650" spans="1:1" ht="15.75" customHeight="1" x14ac:dyDescent="0.25">
      <c r="A1650" s="39"/>
    </row>
    <row r="1651" spans="1:1" ht="15.75" customHeight="1" x14ac:dyDescent="0.25">
      <c r="A1651" s="39"/>
    </row>
    <row r="1652" spans="1:1" ht="15.75" customHeight="1" x14ac:dyDescent="0.25">
      <c r="A1652" s="39"/>
    </row>
    <row r="1653" spans="1:1" ht="15.75" customHeight="1" x14ac:dyDescent="0.25">
      <c r="A1653" s="39"/>
    </row>
    <row r="1654" spans="1:1" ht="15.75" customHeight="1" x14ac:dyDescent="0.25">
      <c r="A1654" s="39"/>
    </row>
    <row r="1655" spans="1:1" ht="15.75" customHeight="1" x14ac:dyDescent="0.25">
      <c r="A1655" s="39"/>
    </row>
    <row r="1656" spans="1:1" ht="15.75" customHeight="1" x14ac:dyDescent="0.25">
      <c r="A1656" s="39"/>
    </row>
    <row r="1657" spans="1:1" ht="15.75" customHeight="1" x14ac:dyDescent="0.25">
      <c r="A1657" s="39"/>
    </row>
    <row r="1658" spans="1:1" ht="15.75" customHeight="1" x14ac:dyDescent="0.25">
      <c r="A1658" s="39"/>
    </row>
    <row r="1659" spans="1:1" ht="15.75" customHeight="1" x14ac:dyDescent="0.25">
      <c r="A1659" s="39"/>
    </row>
    <row r="1660" spans="1:1" ht="15.75" customHeight="1" x14ac:dyDescent="0.25">
      <c r="A1660" s="39"/>
    </row>
    <row r="1661" spans="1:1" ht="15.75" customHeight="1" x14ac:dyDescent="0.25">
      <c r="A1661" s="39"/>
    </row>
    <row r="1662" spans="1:1" ht="15.75" customHeight="1" x14ac:dyDescent="0.25">
      <c r="A1662" s="39"/>
    </row>
    <row r="1663" spans="1:1" ht="15.75" customHeight="1" x14ac:dyDescent="0.25">
      <c r="A1663" s="39"/>
    </row>
    <row r="1664" spans="1:1" ht="15.75" customHeight="1" x14ac:dyDescent="0.25">
      <c r="A1664" s="39"/>
    </row>
    <row r="1665" spans="1:1" ht="15.75" customHeight="1" x14ac:dyDescent="0.25">
      <c r="A1665" s="39"/>
    </row>
    <row r="1666" spans="1:1" ht="15.75" customHeight="1" x14ac:dyDescent="0.25">
      <c r="A1666" s="39"/>
    </row>
    <row r="1667" spans="1:1" ht="15.75" customHeight="1" x14ac:dyDescent="0.25">
      <c r="A1667" s="39"/>
    </row>
    <row r="1668" spans="1:1" ht="15.75" customHeight="1" x14ac:dyDescent="0.25">
      <c r="A1668" s="39"/>
    </row>
    <row r="1669" spans="1:1" ht="15.75" customHeight="1" x14ac:dyDescent="0.25">
      <c r="A1669" s="39"/>
    </row>
    <row r="1670" spans="1:1" ht="15.75" customHeight="1" x14ac:dyDescent="0.25">
      <c r="A1670" s="39"/>
    </row>
    <row r="1671" spans="1:1" ht="15.75" customHeight="1" x14ac:dyDescent="0.25">
      <c r="A1671" s="39"/>
    </row>
    <row r="1672" spans="1:1" ht="15.75" customHeight="1" x14ac:dyDescent="0.25">
      <c r="A1672" s="39"/>
    </row>
    <row r="1673" spans="1:1" ht="15.75" customHeight="1" x14ac:dyDescent="0.25">
      <c r="A1673" s="39"/>
    </row>
    <row r="1674" spans="1:1" ht="15.75" customHeight="1" x14ac:dyDescent="0.25">
      <c r="A1674" s="39"/>
    </row>
    <row r="1675" spans="1:1" ht="15.75" customHeight="1" x14ac:dyDescent="0.25">
      <c r="A1675" s="39"/>
    </row>
    <row r="1676" spans="1:1" ht="15.75" customHeight="1" x14ac:dyDescent="0.25">
      <c r="A1676" s="39"/>
    </row>
    <row r="1677" spans="1:1" ht="15.75" customHeight="1" x14ac:dyDescent="0.25">
      <c r="A1677" s="39"/>
    </row>
    <row r="1678" spans="1:1" ht="15.75" customHeight="1" x14ac:dyDescent="0.25">
      <c r="A1678" s="39"/>
    </row>
    <row r="1679" spans="1:1" ht="15.75" customHeight="1" x14ac:dyDescent="0.25">
      <c r="A1679" s="39"/>
    </row>
    <row r="1680" spans="1:1" ht="15.75" customHeight="1" x14ac:dyDescent="0.25">
      <c r="A1680" s="39"/>
    </row>
    <row r="1681" spans="1:1" ht="15.75" customHeight="1" x14ac:dyDescent="0.25">
      <c r="A1681" s="39"/>
    </row>
    <row r="1682" spans="1:1" ht="15.75" customHeight="1" x14ac:dyDescent="0.25">
      <c r="A1682" s="39"/>
    </row>
    <row r="1683" spans="1:1" ht="15.75" customHeight="1" x14ac:dyDescent="0.25">
      <c r="A1683" s="39"/>
    </row>
    <row r="1684" spans="1:1" ht="15.75" customHeight="1" x14ac:dyDescent="0.25">
      <c r="A1684" s="39"/>
    </row>
    <row r="1685" spans="1:1" ht="15.75" customHeight="1" x14ac:dyDescent="0.25">
      <c r="A1685" s="39"/>
    </row>
    <row r="1686" spans="1:1" ht="15.75" customHeight="1" x14ac:dyDescent="0.25">
      <c r="A1686" s="39"/>
    </row>
    <row r="1687" spans="1:1" ht="15.75" customHeight="1" x14ac:dyDescent="0.25">
      <c r="A1687" s="39"/>
    </row>
    <row r="1688" spans="1:1" ht="15.75" customHeight="1" x14ac:dyDescent="0.25">
      <c r="A1688" s="39"/>
    </row>
    <row r="1689" spans="1:1" ht="15.75" customHeight="1" x14ac:dyDescent="0.25">
      <c r="A1689" s="39"/>
    </row>
    <row r="1690" spans="1:1" ht="15.75" customHeight="1" x14ac:dyDescent="0.25">
      <c r="A1690" s="39"/>
    </row>
    <row r="1691" spans="1:1" ht="15.75" customHeight="1" x14ac:dyDescent="0.25">
      <c r="A1691" s="39"/>
    </row>
    <row r="1692" spans="1:1" ht="15.75" customHeight="1" x14ac:dyDescent="0.25">
      <c r="A1692" s="39"/>
    </row>
    <row r="1693" spans="1:1" ht="15.75" customHeight="1" x14ac:dyDescent="0.25">
      <c r="A1693" s="39"/>
    </row>
    <row r="1694" spans="1:1" ht="15.75" customHeight="1" x14ac:dyDescent="0.25">
      <c r="A1694" s="39"/>
    </row>
    <row r="1695" spans="1:1" ht="15.75" customHeight="1" x14ac:dyDescent="0.25">
      <c r="A1695" s="39"/>
    </row>
    <row r="1696" spans="1:1" ht="15.75" customHeight="1" x14ac:dyDescent="0.25">
      <c r="A1696" s="39"/>
    </row>
    <row r="1697" spans="1:1" ht="15.75" customHeight="1" x14ac:dyDescent="0.25">
      <c r="A1697" s="39"/>
    </row>
    <row r="1698" spans="1:1" ht="15.75" customHeight="1" x14ac:dyDescent="0.25">
      <c r="A1698" s="39"/>
    </row>
    <row r="1699" spans="1:1" ht="15.75" customHeight="1" x14ac:dyDescent="0.25">
      <c r="A1699" s="39"/>
    </row>
    <row r="1700" spans="1:1" ht="15.75" customHeight="1" x14ac:dyDescent="0.25">
      <c r="A1700" s="39"/>
    </row>
    <row r="1701" spans="1:1" ht="15.75" customHeight="1" x14ac:dyDescent="0.25">
      <c r="A1701" s="39"/>
    </row>
    <row r="1702" spans="1:1" ht="15.75" customHeight="1" x14ac:dyDescent="0.25">
      <c r="A1702" s="39"/>
    </row>
    <row r="1703" spans="1:1" ht="15.75" customHeight="1" x14ac:dyDescent="0.25">
      <c r="A1703" s="39"/>
    </row>
    <row r="1704" spans="1:1" ht="15.75" customHeight="1" x14ac:dyDescent="0.25">
      <c r="A1704" s="39"/>
    </row>
    <row r="1705" spans="1:1" ht="15.75" customHeight="1" x14ac:dyDescent="0.25">
      <c r="A1705" s="39"/>
    </row>
    <row r="1706" spans="1:1" ht="15.75" customHeight="1" x14ac:dyDescent="0.25">
      <c r="A1706" s="39"/>
    </row>
    <row r="1707" spans="1:1" ht="15.75" customHeight="1" x14ac:dyDescent="0.25">
      <c r="A1707" s="39"/>
    </row>
    <row r="1708" spans="1:1" ht="15.75" customHeight="1" x14ac:dyDescent="0.25">
      <c r="A1708" s="39"/>
    </row>
    <row r="1709" spans="1:1" ht="15.75" customHeight="1" x14ac:dyDescent="0.25">
      <c r="A1709" s="39"/>
    </row>
    <row r="1710" spans="1:1" ht="15.75" customHeight="1" x14ac:dyDescent="0.25">
      <c r="A1710" s="39"/>
    </row>
    <row r="1711" spans="1:1" ht="15.75" customHeight="1" x14ac:dyDescent="0.25">
      <c r="A1711" s="39"/>
    </row>
    <row r="1712" spans="1:1" ht="15.75" customHeight="1" x14ac:dyDescent="0.25">
      <c r="A1712" s="39"/>
    </row>
    <row r="1713" spans="1:1" ht="15.75" customHeight="1" x14ac:dyDescent="0.25">
      <c r="A1713" s="39"/>
    </row>
    <row r="1714" spans="1:1" ht="15.75" customHeight="1" x14ac:dyDescent="0.25">
      <c r="A1714" s="39"/>
    </row>
    <row r="1715" spans="1:1" ht="15.75" customHeight="1" x14ac:dyDescent="0.25">
      <c r="A1715" s="39"/>
    </row>
    <row r="1716" spans="1:1" ht="15.75" customHeight="1" x14ac:dyDescent="0.25">
      <c r="A1716" s="39"/>
    </row>
    <row r="1717" spans="1:1" ht="15.75" customHeight="1" x14ac:dyDescent="0.25">
      <c r="A1717" s="39"/>
    </row>
    <row r="1718" spans="1:1" ht="15.75" customHeight="1" x14ac:dyDescent="0.25">
      <c r="A1718" s="39"/>
    </row>
    <row r="1719" spans="1:1" ht="15.75" customHeight="1" x14ac:dyDescent="0.25">
      <c r="A1719" s="39"/>
    </row>
    <row r="1720" spans="1:1" ht="15.75" customHeight="1" x14ac:dyDescent="0.25">
      <c r="A1720" s="39"/>
    </row>
    <row r="1721" spans="1:1" ht="15.75" customHeight="1" x14ac:dyDescent="0.25">
      <c r="A1721" s="39"/>
    </row>
    <row r="1722" spans="1:1" ht="15.75" customHeight="1" x14ac:dyDescent="0.25">
      <c r="A1722" s="39"/>
    </row>
    <row r="1723" spans="1:1" ht="15.75" customHeight="1" x14ac:dyDescent="0.25">
      <c r="A1723" s="39"/>
    </row>
    <row r="1724" spans="1:1" ht="15.75" customHeight="1" x14ac:dyDescent="0.25">
      <c r="A1724" s="39"/>
    </row>
    <row r="1725" spans="1:1" ht="15.75" customHeight="1" x14ac:dyDescent="0.25">
      <c r="A1725" s="39"/>
    </row>
    <row r="1726" spans="1:1" ht="15.75" customHeight="1" x14ac:dyDescent="0.25">
      <c r="A1726" s="39"/>
    </row>
    <row r="1727" spans="1:1" ht="15.75" customHeight="1" x14ac:dyDescent="0.25">
      <c r="A1727" s="39"/>
    </row>
    <row r="1728" spans="1:1" ht="15.75" customHeight="1" x14ac:dyDescent="0.25">
      <c r="A1728" s="39"/>
    </row>
    <row r="1729" spans="1:1" ht="15.75" customHeight="1" x14ac:dyDescent="0.25">
      <c r="A1729" s="39"/>
    </row>
    <row r="1730" spans="1:1" ht="15.75" customHeight="1" x14ac:dyDescent="0.25">
      <c r="A1730" s="39"/>
    </row>
    <row r="1731" spans="1:1" ht="15.75" customHeight="1" x14ac:dyDescent="0.25">
      <c r="A1731" s="39"/>
    </row>
    <row r="1732" spans="1:1" ht="15.75" customHeight="1" x14ac:dyDescent="0.25">
      <c r="A1732" s="39"/>
    </row>
    <row r="1733" spans="1:1" ht="15.75" customHeight="1" x14ac:dyDescent="0.25">
      <c r="A1733" s="39"/>
    </row>
    <row r="1734" spans="1:1" ht="15.75" customHeight="1" x14ac:dyDescent="0.25">
      <c r="A1734" s="39"/>
    </row>
    <row r="1735" spans="1:1" ht="15.75" customHeight="1" x14ac:dyDescent="0.25">
      <c r="A1735" s="39"/>
    </row>
    <row r="1736" spans="1:1" ht="15.75" customHeight="1" x14ac:dyDescent="0.25">
      <c r="A1736" s="39"/>
    </row>
    <row r="1737" spans="1:1" ht="15.75" customHeight="1" x14ac:dyDescent="0.25">
      <c r="A1737" s="39"/>
    </row>
    <row r="1738" spans="1:1" ht="15.75" customHeight="1" x14ac:dyDescent="0.25">
      <c r="A1738" s="39"/>
    </row>
    <row r="1739" spans="1:1" ht="15.75" customHeight="1" x14ac:dyDescent="0.25">
      <c r="A1739" s="39"/>
    </row>
    <row r="1740" spans="1:1" ht="15.75" customHeight="1" x14ac:dyDescent="0.25">
      <c r="A1740" s="39"/>
    </row>
    <row r="1741" spans="1:1" ht="15.75" customHeight="1" x14ac:dyDescent="0.25">
      <c r="A1741" s="39"/>
    </row>
    <row r="1742" spans="1:1" ht="15.75" customHeight="1" x14ac:dyDescent="0.25">
      <c r="A1742" s="39"/>
    </row>
    <row r="1743" spans="1:1" ht="15.75" customHeight="1" x14ac:dyDescent="0.25">
      <c r="A1743" s="39"/>
    </row>
    <row r="1744" spans="1:1" ht="15.75" customHeight="1" x14ac:dyDescent="0.25">
      <c r="A1744" s="39"/>
    </row>
    <row r="1745" spans="1:1" ht="15.75" customHeight="1" x14ac:dyDescent="0.25">
      <c r="A1745" s="39"/>
    </row>
    <row r="1746" spans="1:1" ht="15.75" customHeight="1" x14ac:dyDescent="0.25">
      <c r="A1746" s="39"/>
    </row>
    <row r="1747" spans="1:1" ht="15.75" customHeight="1" x14ac:dyDescent="0.25">
      <c r="A1747" s="39"/>
    </row>
    <row r="1748" spans="1:1" ht="15.75" customHeight="1" x14ac:dyDescent="0.25">
      <c r="A1748" s="39"/>
    </row>
    <row r="1749" spans="1:1" ht="15.75" customHeight="1" x14ac:dyDescent="0.25">
      <c r="A1749" s="39"/>
    </row>
    <row r="1750" spans="1:1" ht="15.75" customHeight="1" x14ac:dyDescent="0.25">
      <c r="A1750" s="39"/>
    </row>
    <row r="1751" spans="1:1" ht="15.75" customHeight="1" x14ac:dyDescent="0.25">
      <c r="A1751" s="39"/>
    </row>
    <row r="1752" spans="1:1" ht="15.75" customHeight="1" x14ac:dyDescent="0.25">
      <c r="A1752" s="39"/>
    </row>
    <row r="1753" spans="1:1" ht="15.75" customHeight="1" x14ac:dyDescent="0.25">
      <c r="A1753" s="39"/>
    </row>
    <row r="1754" spans="1:1" ht="15.75" customHeight="1" x14ac:dyDescent="0.25">
      <c r="A1754" s="39"/>
    </row>
    <row r="1755" spans="1:1" ht="15.75" customHeight="1" x14ac:dyDescent="0.25">
      <c r="A1755" s="39"/>
    </row>
    <row r="1756" spans="1:1" ht="15.75" customHeight="1" x14ac:dyDescent="0.25">
      <c r="A1756" s="39"/>
    </row>
    <row r="1757" spans="1:1" ht="15.75" customHeight="1" x14ac:dyDescent="0.25">
      <c r="A1757" s="39"/>
    </row>
    <row r="1758" spans="1:1" ht="15.75" customHeight="1" x14ac:dyDescent="0.25">
      <c r="A1758" s="39"/>
    </row>
    <row r="1759" spans="1:1" ht="15.75" customHeight="1" x14ac:dyDescent="0.25">
      <c r="A1759" s="39"/>
    </row>
    <row r="1760" spans="1:1" ht="15.75" customHeight="1" x14ac:dyDescent="0.25">
      <c r="A1760" s="39"/>
    </row>
    <row r="1761" spans="1:1" ht="15.75" customHeight="1" x14ac:dyDescent="0.25">
      <c r="A1761" s="39"/>
    </row>
    <row r="1762" spans="1:1" ht="15.75" customHeight="1" x14ac:dyDescent="0.25">
      <c r="A1762" s="39"/>
    </row>
    <row r="1763" spans="1:1" ht="15.75" customHeight="1" x14ac:dyDescent="0.25">
      <c r="A1763" s="39"/>
    </row>
    <row r="1764" spans="1:1" ht="15.75" customHeight="1" x14ac:dyDescent="0.25">
      <c r="A1764" s="39"/>
    </row>
    <row r="1765" spans="1:1" ht="15.75" customHeight="1" x14ac:dyDescent="0.25">
      <c r="A1765" s="39"/>
    </row>
    <row r="1766" spans="1:1" ht="15.75" customHeight="1" x14ac:dyDescent="0.25">
      <c r="A1766" s="39"/>
    </row>
    <row r="1767" spans="1:1" ht="15.75" customHeight="1" x14ac:dyDescent="0.25">
      <c r="A1767" s="39"/>
    </row>
    <row r="1768" spans="1:1" ht="15.75" customHeight="1" x14ac:dyDescent="0.25">
      <c r="A1768" s="39"/>
    </row>
    <row r="1769" spans="1:1" ht="15.75" customHeight="1" x14ac:dyDescent="0.25">
      <c r="A1769" s="39"/>
    </row>
    <row r="1770" spans="1:1" ht="15.75" customHeight="1" x14ac:dyDescent="0.25">
      <c r="A1770" s="39"/>
    </row>
    <row r="1771" spans="1:1" ht="15.75" customHeight="1" x14ac:dyDescent="0.25">
      <c r="A1771" s="39"/>
    </row>
    <row r="1772" spans="1:1" ht="15.75" customHeight="1" x14ac:dyDescent="0.25">
      <c r="A1772" s="39"/>
    </row>
    <row r="1773" spans="1:1" ht="15.75" customHeight="1" x14ac:dyDescent="0.25">
      <c r="A1773" s="39"/>
    </row>
    <row r="1774" spans="1:1" ht="15.75" customHeight="1" x14ac:dyDescent="0.25">
      <c r="A1774" s="39"/>
    </row>
    <row r="1775" spans="1:1" ht="15.75" customHeight="1" x14ac:dyDescent="0.25">
      <c r="A1775" s="39"/>
    </row>
    <row r="1776" spans="1:1" ht="15.75" customHeight="1" x14ac:dyDescent="0.25">
      <c r="A1776" s="39"/>
    </row>
    <row r="1777" spans="1:1" ht="15.75" customHeight="1" x14ac:dyDescent="0.25">
      <c r="A1777" s="39"/>
    </row>
    <row r="1778" spans="1:1" ht="15.75" customHeight="1" x14ac:dyDescent="0.25">
      <c r="A1778" s="39"/>
    </row>
    <row r="1779" spans="1:1" ht="15.75" customHeight="1" x14ac:dyDescent="0.25">
      <c r="A1779" s="39"/>
    </row>
    <row r="1780" spans="1:1" ht="15.75" customHeight="1" x14ac:dyDescent="0.25">
      <c r="A1780" s="39"/>
    </row>
    <row r="1781" spans="1:1" ht="15.75" customHeight="1" x14ac:dyDescent="0.25">
      <c r="A1781" s="39"/>
    </row>
    <row r="1782" spans="1:1" ht="15.75" customHeight="1" x14ac:dyDescent="0.25">
      <c r="A1782" s="39"/>
    </row>
    <row r="1783" spans="1:1" ht="15.75" customHeight="1" x14ac:dyDescent="0.25">
      <c r="A1783" s="39"/>
    </row>
    <row r="1784" spans="1:1" ht="15.75" customHeight="1" x14ac:dyDescent="0.25">
      <c r="A1784" s="39"/>
    </row>
    <row r="1785" spans="1:1" ht="15.75" customHeight="1" x14ac:dyDescent="0.25">
      <c r="A1785" s="39"/>
    </row>
    <row r="1786" spans="1:1" ht="15.75" customHeight="1" x14ac:dyDescent="0.25">
      <c r="A1786" s="39"/>
    </row>
    <row r="1787" spans="1:1" ht="15.75" customHeight="1" x14ac:dyDescent="0.25">
      <c r="A1787" s="39"/>
    </row>
    <row r="1788" spans="1:1" ht="15.75" customHeight="1" x14ac:dyDescent="0.25">
      <c r="A1788" s="39"/>
    </row>
    <row r="1789" spans="1:1" ht="15.75" customHeight="1" x14ac:dyDescent="0.25">
      <c r="A1789" s="39"/>
    </row>
    <row r="1790" spans="1:1" ht="15.75" customHeight="1" x14ac:dyDescent="0.25">
      <c r="A1790" s="39"/>
    </row>
    <row r="1791" spans="1:1" ht="15.75" customHeight="1" x14ac:dyDescent="0.25">
      <c r="A1791" s="39"/>
    </row>
    <row r="1792" spans="1:1" ht="15.75" customHeight="1" x14ac:dyDescent="0.25">
      <c r="A1792" s="39"/>
    </row>
    <row r="1793" spans="1:1" ht="15.75" customHeight="1" x14ac:dyDescent="0.25">
      <c r="A1793" s="39"/>
    </row>
    <row r="1794" spans="1:1" ht="15.75" customHeight="1" x14ac:dyDescent="0.25">
      <c r="A1794" s="39"/>
    </row>
    <row r="1795" spans="1:1" ht="15.75" customHeight="1" x14ac:dyDescent="0.25">
      <c r="A1795" s="39"/>
    </row>
    <row r="1796" spans="1:1" ht="15.75" customHeight="1" x14ac:dyDescent="0.25">
      <c r="A1796" s="39"/>
    </row>
    <row r="1797" spans="1:1" ht="15.75" customHeight="1" x14ac:dyDescent="0.25">
      <c r="A1797" s="39"/>
    </row>
    <row r="1798" spans="1:1" ht="15.75" customHeight="1" x14ac:dyDescent="0.25">
      <c r="A1798" s="39"/>
    </row>
    <row r="1799" spans="1:1" ht="15.75" customHeight="1" x14ac:dyDescent="0.25">
      <c r="A1799" s="39"/>
    </row>
    <row r="1800" spans="1:1" ht="15.75" customHeight="1" x14ac:dyDescent="0.25">
      <c r="A1800" s="39"/>
    </row>
    <row r="1801" spans="1:1" ht="15.75" customHeight="1" x14ac:dyDescent="0.25">
      <c r="A1801" s="39"/>
    </row>
    <row r="1802" spans="1:1" ht="15.75" customHeight="1" x14ac:dyDescent="0.25">
      <c r="A1802" s="39"/>
    </row>
    <row r="1803" spans="1:1" ht="15.75" customHeight="1" x14ac:dyDescent="0.25">
      <c r="A1803" s="39"/>
    </row>
    <row r="1804" spans="1:1" ht="15.75" customHeight="1" x14ac:dyDescent="0.25">
      <c r="A1804" s="39"/>
    </row>
    <row r="1805" spans="1:1" ht="15.75" customHeight="1" x14ac:dyDescent="0.25">
      <c r="A1805" s="39"/>
    </row>
    <row r="1806" spans="1:1" ht="15.75" customHeight="1" x14ac:dyDescent="0.25">
      <c r="A1806" s="39"/>
    </row>
    <row r="1807" spans="1:1" ht="15.75" customHeight="1" x14ac:dyDescent="0.25">
      <c r="A1807" s="39"/>
    </row>
    <row r="1808" spans="1:1" ht="15.75" customHeight="1" x14ac:dyDescent="0.25">
      <c r="A1808" s="39"/>
    </row>
    <row r="1809" spans="1:1" ht="15.75" customHeight="1" x14ac:dyDescent="0.25">
      <c r="A1809" s="39"/>
    </row>
    <row r="1810" spans="1:1" ht="15.75" customHeight="1" x14ac:dyDescent="0.25">
      <c r="A1810" s="39"/>
    </row>
    <row r="1811" spans="1:1" ht="15.75" customHeight="1" x14ac:dyDescent="0.25">
      <c r="A1811" s="39"/>
    </row>
    <row r="1812" spans="1:1" ht="15.75" customHeight="1" x14ac:dyDescent="0.25">
      <c r="A1812" s="39"/>
    </row>
    <row r="1813" spans="1:1" ht="15.75" customHeight="1" x14ac:dyDescent="0.25">
      <c r="A1813" s="39"/>
    </row>
    <row r="1814" spans="1:1" ht="15.75" customHeight="1" x14ac:dyDescent="0.25">
      <c r="A1814" s="39"/>
    </row>
    <row r="1815" spans="1:1" ht="15.75" customHeight="1" x14ac:dyDescent="0.25">
      <c r="A1815" s="39"/>
    </row>
    <row r="1816" spans="1:1" ht="15.75" customHeight="1" x14ac:dyDescent="0.25">
      <c r="A1816" s="39"/>
    </row>
    <row r="1817" spans="1:1" ht="15.75" customHeight="1" x14ac:dyDescent="0.25">
      <c r="A1817" s="39"/>
    </row>
    <row r="1818" spans="1:1" ht="15.75" customHeight="1" x14ac:dyDescent="0.25">
      <c r="A1818" s="39"/>
    </row>
    <row r="1819" spans="1:1" ht="15.75" customHeight="1" x14ac:dyDescent="0.25">
      <c r="A1819" s="39"/>
    </row>
    <row r="1820" spans="1:1" ht="15.75" customHeight="1" x14ac:dyDescent="0.25">
      <c r="A1820" s="39"/>
    </row>
    <row r="1821" spans="1:1" ht="15.75" customHeight="1" x14ac:dyDescent="0.25">
      <c r="A1821" s="39"/>
    </row>
    <row r="1822" spans="1:1" ht="15.75" customHeight="1" x14ac:dyDescent="0.25">
      <c r="A1822" s="39"/>
    </row>
    <row r="1823" spans="1:1" ht="15.75" customHeight="1" x14ac:dyDescent="0.25">
      <c r="A1823" s="39"/>
    </row>
    <row r="1824" spans="1:1" ht="15.75" customHeight="1" x14ac:dyDescent="0.25">
      <c r="A1824" s="39"/>
    </row>
    <row r="1825" spans="1:1" ht="15.75" customHeight="1" x14ac:dyDescent="0.25">
      <c r="A1825" s="39"/>
    </row>
    <row r="1826" spans="1:1" ht="15.75" customHeight="1" x14ac:dyDescent="0.25">
      <c r="A1826" s="39"/>
    </row>
    <row r="1827" spans="1:1" ht="15.75" customHeight="1" x14ac:dyDescent="0.25">
      <c r="A1827" s="39"/>
    </row>
    <row r="1828" spans="1:1" ht="15.75" customHeight="1" x14ac:dyDescent="0.25">
      <c r="A1828" s="39"/>
    </row>
    <row r="1829" spans="1:1" ht="15.75" customHeight="1" x14ac:dyDescent="0.25">
      <c r="A1829" s="39"/>
    </row>
    <row r="1830" spans="1:1" ht="15.75" customHeight="1" x14ac:dyDescent="0.25">
      <c r="A1830" s="39"/>
    </row>
    <row r="1831" spans="1:1" ht="15.75" customHeight="1" x14ac:dyDescent="0.25">
      <c r="A1831" s="39"/>
    </row>
    <row r="1832" spans="1:1" ht="15.75" customHeight="1" x14ac:dyDescent="0.25">
      <c r="A1832" s="39"/>
    </row>
    <row r="1833" spans="1:1" ht="15.75" customHeight="1" x14ac:dyDescent="0.25">
      <c r="A1833" s="39"/>
    </row>
    <row r="1834" spans="1:1" ht="15.75" customHeight="1" x14ac:dyDescent="0.25">
      <c r="A1834" s="39"/>
    </row>
    <row r="1835" spans="1:1" ht="15.75" customHeight="1" x14ac:dyDescent="0.25">
      <c r="A1835" s="39"/>
    </row>
    <row r="1836" spans="1:1" ht="15.75" customHeight="1" x14ac:dyDescent="0.25">
      <c r="A1836" s="39"/>
    </row>
    <row r="1837" spans="1:1" ht="15.75" customHeight="1" x14ac:dyDescent="0.25">
      <c r="A1837" s="39"/>
    </row>
    <row r="1838" spans="1:1" ht="15.75" customHeight="1" x14ac:dyDescent="0.25">
      <c r="A1838" s="39"/>
    </row>
    <row r="1839" spans="1:1" ht="15.75" customHeight="1" x14ac:dyDescent="0.25">
      <c r="A1839" s="39"/>
    </row>
    <row r="1840" spans="1:1" ht="15.75" customHeight="1" x14ac:dyDescent="0.25">
      <c r="A1840" s="39"/>
    </row>
    <row r="1841" spans="1:1" ht="15.75" customHeight="1" x14ac:dyDescent="0.25">
      <c r="A1841" s="39"/>
    </row>
    <row r="1842" spans="1:1" ht="15.75" customHeight="1" x14ac:dyDescent="0.25">
      <c r="A1842" s="39"/>
    </row>
    <row r="1843" spans="1:1" ht="15.75" customHeight="1" x14ac:dyDescent="0.25">
      <c r="A1843" s="39"/>
    </row>
    <row r="1844" spans="1:1" ht="15.75" customHeight="1" x14ac:dyDescent="0.25">
      <c r="A1844" s="39"/>
    </row>
    <row r="1845" spans="1:1" ht="15.75" customHeight="1" x14ac:dyDescent="0.25">
      <c r="A1845" s="39"/>
    </row>
    <row r="1846" spans="1:1" ht="15.75" customHeight="1" x14ac:dyDescent="0.25">
      <c r="A1846" s="39"/>
    </row>
    <row r="1847" spans="1:1" ht="15.75" customHeight="1" x14ac:dyDescent="0.25">
      <c r="A1847" s="39"/>
    </row>
    <row r="1848" spans="1:1" ht="15.75" customHeight="1" x14ac:dyDescent="0.25">
      <c r="A1848" s="39"/>
    </row>
    <row r="1849" spans="1:1" ht="15.75" customHeight="1" x14ac:dyDescent="0.25">
      <c r="A1849" s="39"/>
    </row>
    <row r="1850" spans="1:1" ht="15.75" customHeight="1" x14ac:dyDescent="0.25">
      <c r="A1850" s="39"/>
    </row>
    <row r="1851" spans="1:1" ht="15.75" customHeight="1" x14ac:dyDescent="0.25">
      <c r="A1851" s="39"/>
    </row>
    <row r="1852" spans="1:1" ht="15.75" customHeight="1" x14ac:dyDescent="0.25">
      <c r="A1852" s="39"/>
    </row>
    <row r="1853" spans="1:1" ht="15.75" customHeight="1" x14ac:dyDescent="0.25">
      <c r="A1853" s="39"/>
    </row>
    <row r="1854" spans="1:1" ht="15.75" customHeight="1" x14ac:dyDescent="0.25">
      <c r="A1854" s="39"/>
    </row>
    <row r="1855" spans="1:1" ht="15.75" customHeight="1" x14ac:dyDescent="0.25">
      <c r="A1855" s="39"/>
    </row>
    <row r="1856" spans="1:1" ht="15.75" customHeight="1" x14ac:dyDescent="0.25">
      <c r="A1856" s="39"/>
    </row>
    <row r="1857" spans="1:1" ht="15.75" customHeight="1" x14ac:dyDescent="0.25">
      <c r="A1857" s="39"/>
    </row>
    <row r="1858" spans="1:1" ht="15.75" customHeight="1" x14ac:dyDescent="0.25">
      <c r="A1858" s="39"/>
    </row>
    <row r="1859" spans="1:1" ht="15.75" customHeight="1" x14ac:dyDescent="0.25">
      <c r="A1859" s="39"/>
    </row>
    <row r="1860" spans="1:1" ht="15.75" customHeight="1" x14ac:dyDescent="0.25">
      <c r="A1860" s="39"/>
    </row>
    <row r="1861" spans="1:1" ht="15.75" customHeight="1" x14ac:dyDescent="0.25">
      <c r="A1861" s="39"/>
    </row>
    <row r="1862" spans="1:1" ht="15.75" customHeight="1" x14ac:dyDescent="0.25">
      <c r="A1862" s="39"/>
    </row>
    <row r="1863" spans="1:1" ht="15.75" customHeight="1" x14ac:dyDescent="0.25">
      <c r="A1863" s="39"/>
    </row>
    <row r="1864" spans="1:1" ht="15.75" customHeight="1" x14ac:dyDescent="0.25">
      <c r="A1864" s="39"/>
    </row>
    <row r="1865" spans="1:1" ht="15.75" customHeight="1" x14ac:dyDescent="0.25">
      <c r="A1865" s="39"/>
    </row>
    <row r="1866" spans="1:1" ht="15.75" customHeight="1" x14ac:dyDescent="0.25">
      <c r="A1866" s="39"/>
    </row>
    <row r="1867" spans="1:1" ht="15.75" customHeight="1" x14ac:dyDescent="0.25">
      <c r="A1867" s="39"/>
    </row>
    <row r="1868" spans="1:1" ht="15.75" customHeight="1" x14ac:dyDescent="0.25">
      <c r="A1868" s="39"/>
    </row>
    <row r="1869" spans="1:1" ht="15.75" customHeight="1" x14ac:dyDescent="0.25">
      <c r="A1869" s="39"/>
    </row>
    <row r="1870" spans="1:1" ht="15.75" customHeight="1" x14ac:dyDescent="0.25">
      <c r="A1870" s="39"/>
    </row>
    <row r="1871" spans="1:1" ht="15.75" customHeight="1" x14ac:dyDescent="0.25">
      <c r="A1871" s="39"/>
    </row>
    <row r="1872" spans="1:1" ht="15.75" customHeight="1" x14ac:dyDescent="0.25">
      <c r="A1872" s="39"/>
    </row>
    <row r="1873" spans="1:1" ht="15.75" customHeight="1" x14ac:dyDescent="0.25">
      <c r="A1873" s="39"/>
    </row>
    <row r="1874" spans="1:1" ht="15.75" customHeight="1" x14ac:dyDescent="0.25">
      <c r="A1874" s="39"/>
    </row>
    <row r="1875" spans="1:1" ht="15.75" customHeight="1" x14ac:dyDescent="0.25">
      <c r="A1875" s="39"/>
    </row>
    <row r="1876" spans="1:1" ht="15.75" customHeight="1" x14ac:dyDescent="0.25">
      <c r="A1876" s="39"/>
    </row>
    <row r="1877" spans="1:1" ht="15.75" customHeight="1" x14ac:dyDescent="0.25">
      <c r="A1877" s="39"/>
    </row>
    <row r="1878" spans="1:1" ht="15.75" customHeight="1" x14ac:dyDescent="0.25">
      <c r="A1878" s="39"/>
    </row>
    <row r="1879" spans="1:1" ht="15.75" customHeight="1" x14ac:dyDescent="0.25">
      <c r="A1879" s="39"/>
    </row>
    <row r="1880" spans="1:1" ht="15.75" customHeight="1" x14ac:dyDescent="0.25">
      <c r="A1880" s="39"/>
    </row>
    <row r="1881" spans="1:1" ht="15.75" customHeight="1" x14ac:dyDescent="0.25">
      <c r="A1881" s="39"/>
    </row>
    <row r="1882" spans="1:1" ht="15.75" customHeight="1" x14ac:dyDescent="0.25">
      <c r="A1882" s="39"/>
    </row>
    <row r="1883" spans="1:1" ht="15.75" customHeight="1" x14ac:dyDescent="0.25">
      <c r="A1883" s="39"/>
    </row>
    <row r="1884" spans="1:1" ht="15.75" customHeight="1" x14ac:dyDescent="0.25">
      <c r="A1884" s="39"/>
    </row>
    <row r="1885" spans="1:1" ht="15.75" customHeight="1" x14ac:dyDescent="0.25">
      <c r="A1885" s="39"/>
    </row>
    <row r="1886" spans="1:1" ht="15.75" customHeight="1" x14ac:dyDescent="0.25">
      <c r="A1886" s="39"/>
    </row>
    <row r="1887" spans="1:1" ht="15.75" customHeight="1" x14ac:dyDescent="0.25">
      <c r="A1887" s="39"/>
    </row>
    <row r="1888" spans="1:1" ht="15.75" customHeight="1" x14ac:dyDescent="0.25">
      <c r="A1888" s="39"/>
    </row>
    <row r="1889" spans="1:1" ht="15.75" customHeight="1" x14ac:dyDescent="0.25">
      <c r="A1889" s="39"/>
    </row>
    <row r="1890" spans="1:1" ht="15.75" customHeight="1" x14ac:dyDescent="0.25">
      <c r="A1890" s="39"/>
    </row>
    <row r="1891" spans="1:1" ht="15.75" customHeight="1" x14ac:dyDescent="0.25">
      <c r="A1891" s="39"/>
    </row>
    <row r="1892" spans="1:1" ht="15.75" customHeight="1" x14ac:dyDescent="0.25">
      <c r="A1892" s="39"/>
    </row>
    <row r="1893" spans="1:1" ht="15.75" customHeight="1" x14ac:dyDescent="0.25">
      <c r="A1893" s="39"/>
    </row>
    <row r="1894" spans="1:1" ht="15.75" customHeight="1" x14ac:dyDescent="0.25">
      <c r="A1894" s="39"/>
    </row>
    <row r="1895" spans="1:1" ht="15.75" customHeight="1" x14ac:dyDescent="0.25">
      <c r="A1895" s="39"/>
    </row>
    <row r="1896" spans="1:1" ht="15.75" customHeight="1" x14ac:dyDescent="0.25">
      <c r="A1896" s="39"/>
    </row>
    <row r="1897" spans="1:1" ht="15.75" customHeight="1" x14ac:dyDescent="0.25">
      <c r="A1897" s="39"/>
    </row>
    <row r="1898" spans="1:1" ht="15.75" customHeight="1" x14ac:dyDescent="0.25">
      <c r="A1898" s="39"/>
    </row>
    <row r="1899" spans="1:1" ht="15.75" customHeight="1" x14ac:dyDescent="0.25">
      <c r="A1899" s="39"/>
    </row>
    <row r="1900" spans="1:1" ht="15.75" customHeight="1" x14ac:dyDescent="0.25">
      <c r="A1900" s="39"/>
    </row>
    <row r="1901" spans="1:1" ht="15.75" customHeight="1" x14ac:dyDescent="0.25">
      <c r="A1901" s="39"/>
    </row>
    <row r="1902" spans="1:1" ht="15.75" customHeight="1" x14ac:dyDescent="0.25">
      <c r="A1902" s="39"/>
    </row>
    <row r="1903" spans="1:1" ht="15.75" customHeight="1" x14ac:dyDescent="0.25">
      <c r="A1903" s="39"/>
    </row>
    <row r="1904" spans="1:1" ht="15.75" customHeight="1" x14ac:dyDescent="0.25">
      <c r="A1904" s="39"/>
    </row>
    <row r="1905" spans="1:1" ht="15.75" customHeight="1" x14ac:dyDescent="0.25">
      <c r="A1905" s="39"/>
    </row>
    <row r="1906" spans="1:1" ht="15.75" customHeight="1" x14ac:dyDescent="0.25">
      <c r="A1906" s="39"/>
    </row>
    <row r="1907" spans="1:1" ht="15.75" customHeight="1" x14ac:dyDescent="0.25">
      <c r="A1907" s="39"/>
    </row>
    <row r="1908" spans="1:1" ht="15.75" customHeight="1" x14ac:dyDescent="0.25">
      <c r="A1908" s="39"/>
    </row>
    <row r="1909" spans="1:1" ht="15.75" customHeight="1" x14ac:dyDescent="0.25">
      <c r="A1909" s="39"/>
    </row>
    <row r="1910" spans="1:1" ht="15.75" customHeight="1" x14ac:dyDescent="0.25">
      <c r="A1910" s="39"/>
    </row>
    <row r="1911" spans="1:1" ht="15.75" customHeight="1" x14ac:dyDescent="0.25">
      <c r="A1911" s="39"/>
    </row>
    <row r="1912" spans="1:1" ht="15.75" customHeight="1" x14ac:dyDescent="0.25">
      <c r="A1912" s="39"/>
    </row>
    <row r="1913" spans="1:1" ht="15.75" customHeight="1" x14ac:dyDescent="0.25">
      <c r="A1913" s="39"/>
    </row>
    <row r="1914" spans="1:1" ht="15.75" customHeight="1" x14ac:dyDescent="0.25">
      <c r="A1914" s="39"/>
    </row>
    <row r="1915" spans="1:1" ht="15.75" customHeight="1" x14ac:dyDescent="0.25">
      <c r="A1915" s="39"/>
    </row>
    <row r="1916" spans="1:1" ht="15.75" customHeight="1" x14ac:dyDescent="0.25">
      <c r="A1916" s="39"/>
    </row>
    <row r="1917" spans="1:1" ht="15.75" customHeight="1" x14ac:dyDescent="0.25">
      <c r="A1917" s="39"/>
    </row>
    <row r="1918" spans="1:1" ht="15.75" customHeight="1" x14ac:dyDescent="0.25">
      <c r="A1918" s="39"/>
    </row>
    <row r="1919" spans="1:1" ht="15.75" customHeight="1" x14ac:dyDescent="0.25">
      <c r="A1919" s="39"/>
    </row>
    <row r="1920" spans="1:1" ht="15.75" customHeight="1" x14ac:dyDescent="0.25">
      <c r="A1920" s="39"/>
    </row>
    <row r="1921" spans="1:1" ht="15.75" customHeight="1" x14ac:dyDescent="0.25">
      <c r="A1921" s="39"/>
    </row>
    <row r="1922" spans="1:1" ht="15.75" customHeight="1" x14ac:dyDescent="0.25">
      <c r="A1922" s="39"/>
    </row>
    <row r="1923" spans="1:1" ht="15.75" customHeight="1" x14ac:dyDescent="0.25">
      <c r="A1923" s="39"/>
    </row>
    <row r="1924" spans="1:1" ht="15.75" customHeight="1" x14ac:dyDescent="0.25">
      <c r="A1924" s="39"/>
    </row>
    <row r="1925" spans="1:1" ht="15.75" customHeight="1" x14ac:dyDescent="0.25">
      <c r="A1925" s="39"/>
    </row>
    <row r="1926" spans="1:1" ht="15.75" customHeight="1" x14ac:dyDescent="0.25">
      <c r="A1926" s="39"/>
    </row>
    <row r="1927" spans="1:1" ht="15.75" customHeight="1" x14ac:dyDescent="0.25">
      <c r="A1927" s="39"/>
    </row>
    <row r="1928" spans="1:1" ht="15.75" customHeight="1" x14ac:dyDescent="0.25">
      <c r="A1928" s="39"/>
    </row>
    <row r="1929" spans="1:1" ht="15.75" customHeight="1" x14ac:dyDescent="0.25">
      <c r="A1929" s="39"/>
    </row>
    <row r="1930" spans="1:1" ht="15.75" customHeight="1" x14ac:dyDescent="0.25">
      <c r="A1930" s="39"/>
    </row>
    <row r="1931" spans="1:1" ht="15.75" customHeight="1" x14ac:dyDescent="0.25">
      <c r="A1931" s="39"/>
    </row>
    <row r="1932" spans="1:1" ht="15.75" customHeight="1" x14ac:dyDescent="0.25">
      <c r="A1932" s="39"/>
    </row>
    <row r="1933" spans="1:1" ht="15.75" customHeight="1" x14ac:dyDescent="0.25">
      <c r="A1933" s="39"/>
    </row>
    <row r="1934" spans="1:1" ht="15.75" customHeight="1" x14ac:dyDescent="0.25">
      <c r="A1934" s="39"/>
    </row>
    <row r="1935" spans="1:1" ht="15.75" customHeight="1" x14ac:dyDescent="0.25">
      <c r="A1935" s="39"/>
    </row>
    <row r="1936" spans="1:1" ht="15.75" customHeight="1" x14ac:dyDescent="0.25">
      <c r="A1936" s="39"/>
    </row>
    <row r="1937" spans="1:1" ht="15.75" customHeight="1" x14ac:dyDescent="0.25">
      <c r="A1937" s="39"/>
    </row>
    <row r="1938" spans="1:1" ht="15.75" customHeight="1" x14ac:dyDescent="0.25">
      <c r="A1938" s="39"/>
    </row>
    <row r="1939" spans="1:1" ht="15.75" customHeight="1" x14ac:dyDescent="0.25">
      <c r="A1939" s="39"/>
    </row>
    <row r="1940" spans="1:1" ht="15.75" customHeight="1" x14ac:dyDescent="0.25">
      <c r="A1940" s="39"/>
    </row>
    <row r="1941" spans="1:1" ht="15.75" customHeight="1" x14ac:dyDescent="0.25">
      <c r="A1941" s="39"/>
    </row>
    <row r="1942" spans="1:1" ht="15.75" customHeight="1" x14ac:dyDescent="0.25">
      <c r="A1942" s="39"/>
    </row>
    <row r="1943" spans="1:1" ht="15.75" customHeight="1" x14ac:dyDescent="0.25">
      <c r="A1943" s="39"/>
    </row>
    <row r="1944" spans="1:1" ht="15.75" customHeight="1" x14ac:dyDescent="0.25">
      <c r="A1944" s="39"/>
    </row>
    <row r="1945" spans="1:1" ht="15.75" customHeight="1" x14ac:dyDescent="0.25">
      <c r="A1945" s="39"/>
    </row>
    <row r="1946" spans="1:1" ht="15.75" customHeight="1" x14ac:dyDescent="0.25">
      <c r="A1946" s="39"/>
    </row>
    <row r="1947" spans="1:1" ht="15.75" customHeight="1" x14ac:dyDescent="0.25">
      <c r="A1947" s="39"/>
    </row>
    <row r="1948" spans="1:1" ht="15.75" customHeight="1" x14ac:dyDescent="0.25">
      <c r="A1948" s="39"/>
    </row>
    <row r="1949" spans="1:1" ht="15.75" customHeight="1" x14ac:dyDescent="0.25">
      <c r="A1949" s="39"/>
    </row>
    <row r="1950" spans="1:1" ht="15.75" customHeight="1" x14ac:dyDescent="0.25">
      <c r="A1950" s="39"/>
    </row>
    <row r="1951" spans="1:1" ht="15.75" customHeight="1" x14ac:dyDescent="0.25">
      <c r="A1951" s="39"/>
    </row>
    <row r="1952" spans="1:1" ht="15.75" customHeight="1" x14ac:dyDescent="0.25">
      <c r="A1952" s="39"/>
    </row>
    <row r="1953" spans="1:1" ht="15.75" customHeight="1" x14ac:dyDescent="0.25">
      <c r="A1953" s="39"/>
    </row>
    <row r="1954" spans="1:1" ht="15.75" customHeight="1" x14ac:dyDescent="0.25">
      <c r="A1954" s="39"/>
    </row>
    <row r="1955" spans="1:1" ht="15.75" customHeight="1" x14ac:dyDescent="0.25">
      <c r="A1955" s="39"/>
    </row>
    <row r="1956" spans="1:1" ht="15.75" customHeight="1" x14ac:dyDescent="0.25">
      <c r="A1956" s="39"/>
    </row>
    <row r="1957" spans="1:1" ht="15.75" customHeight="1" x14ac:dyDescent="0.25">
      <c r="A1957" s="39"/>
    </row>
    <row r="1958" spans="1:1" ht="15.75" customHeight="1" x14ac:dyDescent="0.25">
      <c r="A1958" s="39"/>
    </row>
    <row r="1959" spans="1:1" ht="15.75" customHeight="1" x14ac:dyDescent="0.25">
      <c r="A1959" s="39"/>
    </row>
    <row r="1960" spans="1:1" ht="15.75" customHeight="1" x14ac:dyDescent="0.25">
      <c r="A1960" s="39"/>
    </row>
    <row r="1961" spans="1:1" ht="15.75" customHeight="1" x14ac:dyDescent="0.25">
      <c r="A1961" s="39"/>
    </row>
    <row r="1962" spans="1:1" ht="15.75" customHeight="1" x14ac:dyDescent="0.25">
      <c r="A1962" s="39"/>
    </row>
    <row r="1963" spans="1:1" ht="15.75" customHeight="1" x14ac:dyDescent="0.25">
      <c r="A1963" s="39"/>
    </row>
    <row r="1964" spans="1:1" ht="15.75" customHeight="1" x14ac:dyDescent="0.25">
      <c r="A1964" s="39"/>
    </row>
    <row r="1965" spans="1:1" ht="15.75" customHeight="1" x14ac:dyDescent="0.25">
      <c r="A1965" s="39"/>
    </row>
    <row r="1966" spans="1:1" ht="15.75" customHeight="1" x14ac:dyDescent="0.25">
      <c r="A1966" s="39"/>
    </row>
    <row r="1967" spans="1:1" ht="15.75" customHeight="1" x14ac:dyDescent="0.25">
      <c r="A1967" s="39"/>
    </row>
    <row r="1968" spans="1:1" ht="15.75" customHeight="1" x14ac:dyDescent="0.25">
      <c r="A1968" s="39"/>
    </row>
    <row r="1969" spans="1:1" ht="15.75" customHeight="1" x14ac:dyDescent="0.25">
      <c r="A1969" s="39"/>
    </row>
    <row r="1970" spans="1:1" ht="15.75" customHeight="1" x14ac:dyDescent="0.25">
      <c r="A1970" s="39"/>
    </row>
    <row r="1971" spans="1:1" ht="15.75" customHeight="1" x14ac:dyDescent="0.25">
      <c r="A1971" s="39"/>
    </row>
    <row r="1972" spans="1:1" ht="15.75" customHeight="1" x14ac:dyDescent="0.25">
      <c r="A1972" s="39"/>
    </row>
    <row r="1973" spans="1:1" ht="15.75" customHeight="1" x14ac:dyDescent="0.25">
      <c r="A1973" s="39"/>
    </row>
    <row r="1974" spans="1:1" ht="15.75" customHeight="1" x14ac:dyDescent="0.25">
      <c r="A1974" s="39"/>
    </row>
    <row r="1975" spans="1:1" ht="15.75" customHeight="1" x14ac:dyDescent="0.25">
      <c r="A1975" s="39"/>
    </row>
    <row r="1976" spans="1:1" ht="15.75" customHeight="1" x14ac:dyDescent="0.25">
      <c r="A1976" s="39"/>
    </row>
    <row r="1977" spans="1:1" ht="15.75" customHeight="1" x14ac:dyDescent="0.25">
      <c r="A1977" s="39"/>
    </row>
    <row r="1978" spans="1:1" ht="15.75" customHeight="1" x14ac:dyDescent="0.25">
      <c r="A1978" s="39"/>
    </row>
    <row r="1979" spans="1:1" ht="15.75" customHeight="1" x14ac:dyDescent="0.25">
      <c r="A1979" s="39"/>
    </row>
    <row r="1980" spans="1:1" ht="15.75" customHeight="1" x14ac:dyDescent="0.25">
      <c r="A1980" s="39"/>
    </row>
    <row r="1981" spans="1:1" ht="15.75" customHeight="1" x14ac:dyDescent="0.25">
      <c r="A1981" s="39"/>
    </row>
    <row r="1982" spans="1:1" ht="15.75" customHeight="1" x14ac:dyDescent="0.25">
      <c r="A1982" s="39"/>
    </row>
    <row r="1983" spans="1:1" ht="15.75" customHeight="1" x14ac:dyDescent="0.25">
      <c r="A1983" s="39"/>
    </row>
    <row r="1984" spans="1:1" ht="15.75" customHeight="1" x14ac:dyDescent="0.25">
      <c r="A1984" s="39"/>
    </row>
    <row r="1985" spans="1:1" ht="15.75" customHeight="1" x14ac:dyDescent="0.25">
      <c r="A1985" s="39"/>
    </row>
    <row r="1986" spans="1:1" ht="15.75" customHeight="1" x14ac:dyDescent="0.25">
      <c r="A1986" s="39"/>
    </row>
    <row r="1987" spans="1:1" ht="15.75" customHeight="1" x14ac:dyDescent="0.25">
      <c r="A1987" s="39"/>
    </row>
    <row r="1988" spans="1:1" ht="15.75" customHeight="1" x14ac:dyDescent="0.25">
      <c r="A1988" s="39"/>
    </row>
    <row r="1989" spans="1:1" ht="15.75" customHeight="1" x14ac:dyDescent="0.25">
      <c r="A1989" s="39"/>
    </row>
    <row r="1990" spans="1:1" ht="15.75" customHeight="1" x14ac:dyDescent="0.25">
      <c r="A1990" s="39"/>
    </row>
    <row r="1991" spans="1:1" ht="15.75" customHeight="1" x14ac:dyDescent="0.25">
      <c r="A1991" s="39"/>
    </row>
    <row r="1992" spans="1:1" ht="15.75" customHeight="1" x14ac:dyDescent="0.25">
      <c r="A1992" s="39"/>
    </row>
    <row r="1993" spans="1:1" ht="15.75" customHeight="1" x14ac:dyDescent="0.25">
      <c r="A1993" s="39"/>
    </row>
    <row r="1994" spans="1:1" ht="15.75" customHeight="1" x14ac:dyDescent="0.25">
      <c r="A1994" s="39"/>
    </row>
    <row r="1995" spans="1:1" ht="15.75" customHeight="1" x14ac:dyDescent="0.25">
      <c r="A1995" s="39"/>
    </row>
    <row r="1996" spans="1:1" ht="15.75" customHeight="1" x14ac:dyDescent="0.25">
      <c r="A1996" s="39"/>
    </row>
    <row r="1997" spans="1:1" ht="15.75" customHeight="1" x14ac:dyDescent="0.25">
      <c r="A1997" s="39"/>
    </row>
    <row r="1998" spans="1:1" ht="15.75" customHeight="1" x14ac:dyDescent="0.25">
      <c r="A1998" s="39"/>
    </row>
    <row r="1999" spans="1:1" ht="15.75" customHeight="1" x14ac:dyDescent="0.25">
      <c r="A1999" s="39"/>
    </row>
    <row r="2000" spans="1:1" ht="15.75" customHeight="1" x14ac:dyDescent="0.25">
      <c r="A2000" s="39"/>
    </row>
    <row r="2001" spans="1:1" ht="15.75" customHeight="1" x14ac:dyDescent="0.25">
      <c r="A2001" s="39"/>
    </row>
    <row r="2002" spans="1:1" ht="15.75" customHeight="1" x14ac:dyDescent="0.25">
      <c r="A2002" s="39"/>
    </row>
    <row r="2003" spans="1:1" ht="15.75" customHeight="1" x14ac:dyDescent="0.25">
      <c r="A2003" s="39"/>
    </row>
    <row r="2004" spans="1:1" ht="15.75" customHeight="1" x14ac:dyDescent="0.25">
      <c r="A2004" s="39"/>
    </row>
    <row r="2005" spans="1:1" ht="15.75" customHeight="1" x14ac:dyDescent="0.25">
      <c r="A2005" s="39"/>
    </row>
    <row r="2006" spans="1:1" ht="15.75" customHeight="1" x14ac:dyDescent="0.25">
      <c r="A2006" s="39"/>
    </row>
    <row r="2007" spans="1:1" ht="15.75" customHeight="1" x14ac:dyDescent="0.25">
      <c r="A2007" s="39"/>
    </row>
    <row r="2008" spans="1:1" ht="15.75" customHeight="1" x14ac:dyDescent="0.25">
      <c r="A2008" s="39"/>
    </row>
    <row r="2009" spans="1:1" ht="15.75" customHeight="1" x14ac:dyDescent="0.25">
      <c r="A2009" s="39"/>
    </row>
    <row r="2010" spans="1:1" ht="15.75" customHeight="1" x14ac:dyDescent="0.25">
      <c r="A2010" s="39"/>
    </row>
    <row r="2011" spans="1:1" ht="15.75" customHeight="1" x14ac:dyDescent="0.25">
      <c r="A2011" s="39"/>
    </row>
    <row r="2012" spans="1:1" ht="15.75" customHeight="1" x14ac:dyDescent="0.25">
      <c r="A2012" s="39"/>
    </row>
    <row r="2013" spans="1:1" ht="15.75" customHeight="1" x14ac:dyDescent="0.25">
      <c r="A2013" s="39"/>
    </row>
    <row r="2014" spans="1:1" ht="15.75" customHeight="1" x14ac:dyDescent="0.25">
      <c r="A2014" s="39"/>
    </row>
    <row r="2015" spans="1:1" ht="15.75" customHeight="1" x14ac:dyDescent="0.25">
      <c r="A2015" s="39"/>
    </row>
    <row r="2016" spans="1:1" ht="15.75" customHeight="1" x14ac:dyDescent="0.25">
      <c r="A2016" s="39"/>
    </row>
    <row r="2017" spans="1:1" ht="15.75" customHeight="1" x14ac:dyDescent="0.25">
      <c r="A2017" s="39"/>
    </row>
    <row r="2018" spans="1:1" ht="15.75" customHeight="1" x14ac:dyDescent="0.25">
      <c r="A2018" s="39"/>
    </row>
    <row r="2019" spans="1:1" ht="15.75" customHeight="1" x14ac:dyDescent="0.25">
      <c r="A2019" s="39"/>
    </row>
    <row r="2020" spans="1:1" ht="15.75" customHeight="1" x14ac:dyDescent="0.25">
      <c r="A2020" s="39"/>
    </row>
    <row r="2021" spans="1:1" ht="15.75" customHeight="1" x14ac:dyDescent="0.25">
      <c r="A2021" s="39"/>
    </row>
    <row r="2022" spans="1:1" ht="15.75" customHeight="1" x14ac:dyDescent="0.25">
      <c r="A2022" s="39"/>
    </row>
    <row r="2023" spans="1:1" ht="15.75" customHeight="1" x14ac:dyDescent="0.25">
      <c r="A2023" s="39"/>
    </row>
    <row r="2024" spans="1:1" ht="15.75" customHeight="1" x14ac:dyDescent="0.25">
      <c r="A2024" s="39"/>
    </row>
    <row r="2025" spans="1:1" ht="15.75" customHeight="1" x14ac:dyDescent="0.25">
      <c r="A2025" s="39"/>
    </row>
    <row r="2026" spans="1:1" ht="15.75" customHeight="1" x14ac:dyDescent="0.25">
      <c r="A2026" s="39"/>
    </row>
    <row r="2027" spans="1:1" ht="15.75" customHeight="1" x14ac:dyDescent="0.25">
      <c r="A2027" s="39"/>
    </row>
    <row r="2028" spans="1:1" ht="15.75" customHeight="1" x14ac:dyDescent="0.25">
      <c r="A2028" s="39"/>
    </row>
    <row r="2029" spans="1:1" ht="15.75" customHeight="1" x14ac:dyDescent="0.25">
      <c r="A2029" s="39"/>
    </row>
    <row r="2030" spans="1:1" ht="15.75" customHeight="1" x14ac:dyDescent="0.25">
      <c r="A2030" s="39"/>
    </row>
    <row r="2031" spans="1:1" ht="15.75" customHeight="1" x14ac:dyDescent="0.25">
      <c r="A2031" s="39"/>
    </row>
    <row r="2032" spans="1:1" ht="15.75" customHeight="1" x14ac:dyDescent="0.25">
      <c r="A2032" s="39"/>
    </row>
    <row r="2033" spans="1:1" ht="15.75" customHeight="1" x14ac:dyDescent="0.25">
      <c r="A2033" s="39"/>
    </row>
    <row r="2034" spans="1:1" ht="15.75" customHeight="1" x14ac:dyDescent="0.25">
      <c r="A2034" s="39"/>
    </row>
    <row r="2035" spans="1:1" ht="15.75" customHeight="1" x14ac:dyDescent="0.25">
      <c r="A2035" s="39"/>
    </row>
    <row r="2036" spans="1:1" ht="15.75" customHeight="1" x14ac:dyDescent="0.25">
      <c r="A2036" s="39"/>
    </row>
    <row r="2037" spans="1:1" ht="15.75" customHeight="1" x14ac:dyDescent="0.25">
      <c r="A2037" s="39"/>
    </row>
    <row r="2038" spans="1:1" ht="15.75" customHeight="1" x14ac:dyDescent="0.25">
      <c r="A2038" s="39"/>
    </row>
    <row r="2039" spans="1:1" ht="15.75" customHeight="1" x14ac:dyDescent="0.25">
      <c r="A2039" s="39"/>
    </row>
    <row r="2040" spans="1:1" ht="15.75" customHeight="1" x14ac:dyDescent="0.25">
      <c r="A2040" s="39"/>
    </row>
    <row r="2041" spans="1:1" ht="15.75" customHeight="1" x14ac:dyDescent="0.25">
      <c r="A2041" s="39"/>
    </row>
    <row r="2042" spans="1:1" ht="15.75" customHeight="1" x14ac:dyDescent="0.25">
      <c r="A2042" s="39"/>
    </row>
    <row r="2043" spans="1:1" ht="15.75" customHeight="1" x14ac:dyDescent="0.25">
      <c r="A2043" s="39"/>
    </row>
    <row r="2044" spans="1:1" ht="15.75" customHeight="1" x14ac:dyDescent="0.25">
      <c r="A2044" s="39"/>
    </row>
    <row r="2045" spans="1:1" ht="15.75" customHeight="1" x14ac:dyDescent="0.25">
      <c r="A2045" s="39"/>
    </row>
    <row r="2046" spans="1:1" ht="15.75" customHeight="1" x14ac:dyDescent="0.25">
      <c r="A2046" s="39"/>
    </row>
    <row r="2047" spans="1:1" ht="15.75" customHeight="1" x14ac:dyDescent="0.25">
      <c r="A2047" s="39"/>
    </row>
    <row r="2048" spans="1:1" ht="15.75" customHeight="1" x14ac:dyDescent="0.25">
      <c r="A2048" s="39"/>
    </row>
    <row r="2049" spans="1:1" ht="15.75" customHeight="1" x14ac:dyDescent="0.25">
      <c r="A2049" s="39"/>
    </row>
    <row r="2050" spans="1:1" ht="15.75" customHeight="1" x14ac:dyDescent="0.25">
      <c r="A2050" s="39"/>
    </row>
    <row r="2051" spans="1:1" ht="15.75" customHeight="1" x14ac:dyDescent="0.25">
      <c r="A2051" s="39"/>
    </row>
    <row r="2052" spans="1:1" ht="15.75" customHeight="1" x14ac:dyDescent="0.25">
      <c r="A2052" s="39"/>
    </row>
    <row r="2053" spans="1:1" ht="15.75" customHeight="1" x14ac:dyDescent="0.25">
      <c r="A2053" s="39"/>
    </row>
    <row r="2054" spans="1:1" ht="15.75" customHeight="1" x14ac:dyDescent="0.25">
      <c r="A2054" s="39"/>
    </row>
    <row r="2055" spans="1:1" ht="15.75" customHeight="1" x14ac:dyDescent="0.25">
      <c r="A2055" s="39"/>
    </row>
    <row r="2056" spans="1:1" ht="15.75" customHeight="1" x14ac:dyDescent="0.25">
      <c r="A2056" s="39"/>
    </row>
    <row r="2057" spans="1:1" ht="15.75" customHeight="1" x14ac:dyDescent="0.25">
      <c r="A2057" s="39"/>
    </row>
    <row r="2058" spans="1:1" ht="15.75" customHeight="1" x14ac:dyDescent="0.25">
      <c r="A2058" s="39"/>
    </row>
    <row r="2059" spans="1:1" ht="15.75" customHeight="1" x14ac:dyDescent="0.25">
      <c r="A2059" s="39"/>
    </row>
    <row r="2060" spans="1:1" ht="15.75" customHeight="1" x14ac:dyDescent="0.25">
      <c r="A2060" s="39"/>
    </row>
    <row r="2061" spans="1:1" ht="15.75" customHeight="1" x14ac:dyDescent="0.25">
      <c r="A2061" s="39"/>
    </row>
    <row r="2062" spans="1:1" ht="15.75" customHeight="1" x14ac:dyDescent="0.25">
      <c r="A2062" s="39"/>
    </row>
    <row r="2063" spans="1:1" ht="15.75" customHeight="1" x14ac:dyDescent="0.25">
      <c r="A2063" s="39"/>
    </row>
    <row r="2064" spans="1:1" ht="15.75" customHeight="1" x14ac:dyDescent="0.25">
      <c r="A2064" s="39"/>
    </row>
    <row r="2065" spans="1:1" ht="15.75" customHeight="1" x14ac:dyDescent="0.25">
      <c r="A2065" s="39"/>
    </row>
    <row r="2066" spans="1:1" ht="15.75" customHeight="1" x14ac:dyDescent="0.25">
      <c r="A2066" s="39"/>
    </row>
    <row r="2067" spans="1:1" ht="15.75" customHeight="1" x14ac:dyDescent="0.25">
      <c r="A2067" s="39"/>
    </row>
    <row r="2068" spans="1:1" ht="15.75" customHeight="1" x14ac:dyDescent="0.25">
      <c r="A2068" s="39"/>
    </row>
    <row r="2069" spans="1:1" ht="15.75" customHeight="1" x14ac:dyDescent="0.25">
      <c r="A2069" s="39"/>
    </row>
    <row r="2070" spans="1:1" ht="15.75" customHeight="1" x14ac:dyDescent="0.25">
      <c r="A2070" s="39"/>
    </row>
    <row r="2071" spans="1:1" ht="15.75" customHeight="1" x14ac:dyDescent="0.25">
      <c r="A2071" s="39"/>
    </row>
    <row r="2072" spans="1:1" ht="15.75" customHeight="1" x14ac:dyDescent="0.25">
      <c r="A2072" s="39"/>
    </row>
    <row r="2073" spans="1:1" ht="15.75" customHeight="1" x14ac:dyDescent="0.25">
      <c r="A2073" s="39"/>
    </row>
    <row r="2074" spans="1:1" ht="15.75" customHeight="1" x14ac:dyDescent="0.25">
      <c r="A2074" s="39"/>
    </row>
    <row r="2075" spans="1:1" ht="15.75" customHeight="1" x14ac:dyDescent="0.25">
      <c r="A2075" s="39"/>
    </row>
    <row r="2076" spans="1:1" ht="15.75" customHeight="1" x14ac:dyDescent="0.25">
      <c r="A2076" s="39"/>
    </row>
    <row r="2077" spans="1:1" ht="15.75" customHeight="1" x14ac:dyDescent="0.25">
      <c r="A2077" s="39"/>
    </row>
    <row r="2078" spans="1:1" ht="15.75" customHeight="1" x14ac:dyDescent="0.25">
      <c r="A2078" s="39"/>
    </row>
    <row r="2079" spans="1:1" ht="15.75" customHeight="1" x14ac:dyDescent="0.25">
      <c r="A2079" s="39"/>
    </row>
    <row r="2080" spans="1:1" ht="15.75" customHeight="1" x14ac:dyDescent="0.25">
      <c r="A2080" s="39"/>
    </row>
    <row r="2081" spans="1:1" ht="15.75" customHeight="1" x14ac:dyDescent="0.25">
      <c r="A2081" s="39"/>
    </row>
    <row r="2082" spans="1:1" ht="15.75" customHeight="1" x14ac:dyDescent="0.25">
      <c r="A2082" s="39"/>
    </row>
    <row r="2083" spans="1:1" ht="15.75" customHeight="1" x14ac:dyDescent="0.25">
      <c r="A2083" s="39"/>
    </row>
    <row r="2084" spans="1:1" ht="15.75" customHeight="1" x14ac:dyDescent="0.25">
      <c r="A2084" s="39"/>
    </row>
    <row r="2085" spans="1:1" ht="15.75" customHeight="1" x14ac:dyDescent="0.25">
      <c r="A2085" s="39"/>
    </row>
    <row r="2086" spans="1:1" ht="15.75" customHeight="1" x14ac:dyDescent="0.25">
      <c r="A2086" s="39"/>
    </row>
    <row r="2087" spans="1:1" ht="15.75" customHeight="1" x14ac:dyDescent="0.25">
      <c r="A2087" s="39"/>
    </row>
    <row r="2088" spans="1:1" ht="15.75" customHeight="1" x14ac:dyDescent="0.25">
      <c r="A2088" s="39"/>
    </row>
    <row r="2089" spans="1:1" ht="15.75" customHeight="1" x14ac:dyDescent="0.25">
      <c r="A2089" s="39"/>
    </row>
    <row r="2090" spans="1:1" ht="15.75" customHeight="1" x14ac:dyDescent="0.25">
      <c r="A2090" s="39"/>
    </row>
    <row r="2091" spans="1:1" ht="15.75" customHeight="1" x14ac:dyDescent="0.25">
      <c r="A2091" s="39"/>
    </row>
    <row r="2092" spans="1:1" ht="15.75" customHeight="1" x14ac:dyDescent="0.25">
      <c r="A2092" s="39"/>
    </row>
    <row r="2093" spans="1:1" ht="15.75" customHeight="1" x14ac:dyDescent="0.25">
      <c r="A2093" s="39"/>
    </row>
    <row r="2094" spans="1:1" ht="15.75" customHeight="1" x14ac:dyDescent="0.25">
      <c r="A2094" s="39"/>
    </row>
    <row r="2095" spans="1:1" ht="15.75" customHeight="1" x14ac:dyDescent="0.25">
      <c r="A2095" s="39"/>
    </row>
    <row r="2096" spans="1:1" ht="15.75" customHeight="1" x14ac:dyDescent="0.25">
      <c r="A2096" s="39"/>
    </row>
    <row r="2097" spans="1:1" ht="15.75" customHeight="1" x14ac:dyDescent="0.25">
      <c r="A2097" s="39"/>
    </row>
    <row r="2098" spans="1:1" ht="15.75" customHeight="1" x14ac:dyDescent="0.25">
      <c r="A2098" s="39"/>
    </row>
    <row r="2099" spans="1:1" ht="15.75" customHeight="1" x14ac:dyDescent="0.25">
      <c r="A2099" s="39"/>
    </row>
    <row r="2100" spans="1:1" ht="15.75" customHeight="1" x14ac:dyDescent="0.25">
      <c r="A2100" s="39"/>
    </row>
    <row r="2101" spans="1:1" ht="15.75" customHeight="1" x14ac:dyDescent="0.25">
      <c r="A2101" s="39"/>
    </row>
    <row r="2102" spans="1:1" ht="15.75" customHeight="1" x14ac:dyDescent="0.25">
      <c r="A2102" s="39"/>
    </row>
    <row r="2103" spans="1:1" ht="15.75" customHeight="1" x14ac:dyDescent="0.25">
      <c r="A2103" s="39"/>
    </row>
    <row r="2104" spans="1:1" ht="15.75" customHeight="1" x14ac:dyDescent="0.25">
      <c r="A2104" s="39"/>
    </row>
    <row r="2105" spans="1:1" ht="15.75" customHeight="1" x14ac:dyDescent="0.25">
      <c r="A2105" s="39"/>
    </row>
    <row r="2106" spans="1:1" ht="15.75" customHeight="1" x14ac:dyDescent="0.25">
      <c r="A2106" s="39"/>
    </row>
    <row r="2107" spans="1:1" ht="15.75" customHeight="1" x14ac:dyDescent="0.25">
      <c r="A2107" s="39"/>
    </row>
    <row r="2108" spans="1:1" ht="15.75" customHeight="1" x14ac:dyDescent="0.25">
      <c r="A2108" s="39"/>
    </row>
    <row r="2109" spans="1:1" ht="15.75" customHeight="1" x14ac:dyDescent="0.25">
      <c r="A2109" s="39"/>
    </row>
    <row r="2110" spans="1:1" ht="15.75" customHeight="1" x14ac:dyDescent="0.25">
      <c r="A2110" s="39"/>
    </row>
    <row r="2111" spans="1:1" ht="15.75" customHeight="1" x14ac:dyDescent="0.25">
      <c r="A2111" s="39"/>
    </row>
    <row r="2112" spans="1:1" ht="15.75" customHeight="1" x14ac:dyDescent="0.25">
      <c r="A2112" s="39"/>
    </row>
    <row r="2113" spans="1:1" ht="15.75" customHeight="1" x14ac:dyDescent="0.25">
      <c r="A2113" s="39"/>
    </row>
    <row r="2114" spans="1:1" ht="15.75" customHeight="1" x14ac:dyDescent="0.25">
      <c r="A2114" s="39"/>
    </row>
    <row r="2115" spans="1:1" ht="15.75" customHeight="1" x14ac:dyDescent="0.25">
      <c r="A2115" s="39"/>
    </row>
    <row r="2116" spans="1:1" ht="15.75" customHeight="1" x14ac:dyDescent="0.25">
      <c r="A2116" s="39"/>
    </row>
    <row r="2117" spans="1:1" ht="15.75" customHeight="1" x14ac:dyDescent="0.25">
      <c r="A2117" s="39"/>
    </row>
    <row r="2118" spans="1:1" ht="15.75" customHeight="1" x14ac:dyDescent="0.25">
      <c r="A2118" s="39"/>
    </row>
    <row r="2119" spans="1:1" ht="15.75" customHeight="1" x14ac:dyDescent="0.25">
      <c r="A2119" s="39"/>
    </row>
    <row r="2120" spans="1:1" ht="15.75" customHeight="1" x14ac:dyDescent="0.25">
      <c r="A2120" s="39"/>
    </row>
    <row r="2121" spans="1:1" ht="15.75" customHeight="1" x14ac:dyDescent="0.25">
      <c r="A2121" s="39"/>
    </row>
    <row r="2122" spans="1:1" ht="15.75" customHeight="1" x14ac:dyDescent="0.25">
      <c r="A2122" s="39"/>
    </row>
    <row r="2123" spans="1:1" ht="15.75" customHeight="1" x14ac:dyDescent="0.25">
      <c r="A2123" s="39"/>
    </row>
    <row r="2124" spans="1:1" ht="15.75" customHeight="1" x14ac:dyDescent="0.25">
      <c r="A2124" s="39"/>
    </row>
    <row r="2125" spans="1:1" ht="15.75" customHeight="1" x14ac:dyDescent="0.25">
      <c r="A2125" s="39"/>
    </row>
    <row r="2126" spans="1:1" ht="15.75" customHeight="1" x14ac:dyDescent="0.25">
      <c r="A2126" s="39"/>
    </row>
    <row r="2127" spans="1:1" ht="15.75" customHeight="1" x14ac:dyDescent="0.25">
      <c r="A2127" s="39"/>
    </row>
    <row r="2128" spans="1:1" ht="15.75" customHeight="1" x14ac:dyDescent="0.25">
      <c r="A2128" s="39"/>
    </row>
    <row r="2129" spans="1:1" ht="15.75" customHeight="1" x14ac:dyDescent="0.25">
      <c r="A2129" s="39"/>
    </row>
    <row r="2130" spans="1:1" ht="15.75" customHeight="1" x14ac:dyDescent="0.25">
      <c r="A2130" s="39"/>
    </row>
    <row r="2131" spans="1:1" ht="15.75" customHeight="1" x14ac:dyDescent="0.25">
      <c r="A2131" s="39"/>
    </row>
    <row r="2132" spans="1:1" ht="15.75" customHeight="1" x14ac:dyDescent="0.25">
      <c r="A2132" s="39"/>
    </row>
    <row r="2133" spans="1:1" ht="15.75" customHeight="1" x14ac:dyDescent="0.25">
      <c r="A2133" s="39"/>
    </row>
    <row r="2134" spans="1:1" ht="15.75" customHeight="1" x14ac:dyDescent="0.25">
      <c r="A2134" s="39"/>
    </row>
    <row r="2135" spans="1:1" ht="15.75" customHeight="1" x14ac:dyDescent="0.25">
      <c r="A2135" s="39"/>
    </row>
    <row r="2136" spans="1:1" ht="15.75" customHeight="1" x14ac:dyDescent="0.25">
      <c r="A2136" s="39"/>
    </row>
    <row r="2137" spans="1:1" ht="15.75" customHeight="1" x14ac:dyDescent="0.25">
      <c r="A2137" s="39"/>
    </row>
    <row r="2138" spans="1:1" ht="15.75" customHeight="1" x14ac:dyDescent="0.25">
      <c r="A2138" s="39"/>
    </row>
    <row r="2139" spans="1:1" ht="15.75" customHeight="1" x14ac:dyDescent="0.25">
      <c r="A2139" s="39"/>
    </row>
    <row r="2140" spans="1:1" ht="15.75" customHeight="1" x14ac:dyDescent="0.25">
      <c r="A2140" s="39"/>
    </row>
    <row r="2141" spans="1:1" ht="15.75" customHeight="1" x14ac:dyDescent="0.25">
      <c r="A2141" s="39"/>
    </row>
    <row r="2142" spans="1:1" ht="15.75" customHeight="1" x14ac:dyDescent="0.25">
      <c r="A2142" s="39"/>
    </row>
    <row r="2143" spans="1:1" ht="15.75" customHeight="1" x14ac:dyDescent="0.25">
      <c r="A2143" s="39"/>
    </row>
    <row r="2144" spans="1:1" ht="15.75" customHeight="1" x14ac:dyDescent="0.25">
      <c r="A2144" s="39"/>
    </row>
    <row r="2145" spans="1:1" ht="15.75" customHeight="1" x14ac:dyDescent="0.25">
      <c r="A2145" s="39"/>
    </row>
    <row r="2146" spans="1:1" ht="15.75" customHeight="1" x14ac:dyDescent="0.25">
      <c r="A2146" s="39"/>
    </row>
    <row r="2147" spans="1:1" ht="15.75" customHeight="1" x14ac:dyDescent="0.25">
      <c r="A2147" s="39"/>
    </row>
    <row r="2148" spans="1:1" ht="15.75" customHeight="1" x14ac:dyDescent="0.25">
      <c r="A2148" s="39"/>
    </row>
    <row r="2149" spans="1:1" ht="15.75" customHeight="1" x14ac:dyDescent="0.25">
      <c r="A2149" s="39"/>
    </row>
    <row r="2150" spans="1:1" ht="15.75" customHeight="1" x14ac:dyDescent="0.25">
      <c r="A2150" s="39"/>
    </row>
    <row r="2151" spans="1:1" ht="15.75" customHeight="1" x14ac:dyDescent="0.25">
      <c r="A2151" s="39"/>
    </row>
    <row r="2152" spans="1:1" ht="15.75" customHeight="1" x14ac:dyDescent="0.25">
      <c r="A2152" s="39"/>
    </row>
    <row r="2153" spans="1:1" ht="15.75" customHeight="1" x14ac:dyDescent="0.25">
      <c r="A2153" s="39"/>
    </row>
    <row r="2154" spans="1:1" ht="15.75" customHeight="1" x14ac:dyDescent="0.25">
      <c r="A2154" s="39"/>
    </row>
    <row r="2155" spans="1:1" ht="15.75" customHeight="1" x14ac:dyDescent="0.25">
      <c r="A2155" s="39"/>
    </row>
    <row r="2156" spans="1:1" ht="15.75" customHeight="1" x14ac:dyDescent="0.25">
      <c r="A2156" s="39"/>
    </row>
    <row r="2157" spans="1:1" ht="15.75" customHeight="1" x14ac:dyDescent="0.25">
      <c r="A2157" s="39"/>
    </row>
    <row r="2158" spans="1:1" ht="15.75" customHeight="1" x14ac:dyDescent="0.25">
      <c r="A2158" s="39"/>
    </row>
    <row r="2159" spans="1:1" ht="15.75" customHeight="1" x14ac:dyDescent="0.25">
      <c r="A2159" s="39"/>
    </row>
    <row r="2160" spans="1:1" ht="15.75" customHeight="1" x14ac:dyDescent="0.25">
      <c r="A2160" s="39"/>
    </row>
    <row r="2161" spans="1:1" ht="15.75" customHeight="1" x14ac:dyDescent="0.25">
      <c r="A2161" s="39"/>
    </row>
    <row r="2162" spans="1:1" ht="15.75" customHeight="1" x14ac:dyDescent="0.25">
      <c r="A2162" s="39"/>
    </row>
    <row r="2163" spans="1:1" ht="15.75" customHeight="1" x14ac:dyDescent="0.25">
      <c r="A2163" s="39"/>
    </row>
    <row r="2164" spans="1:1" ht="15.75" customHeight="1" x14ac:dyDescent="0.25">
      <c r="A2164" s="39"/>
    </row>
    <row r="2165" spans="1:1" ht="15.75" customHeight="1" x14ac:dyDescent="0.25">
      <c r="A2165" s="39"/>
    </row>
    <row r="2166" spans="1:1" ht="15.75" customHeight="1" x14ac:dyDescent="0.25">
      <c r="A2166" s="39"/>
    </row>
    <row r="2167" spans="1:1" ht="15.75" customHeight="1" x14ac:dyDescent="0.25">
      <c r="A2167" s="39"/>
    </row>
    <row r="2168" spans="1:1" ht="15.75" customHeight="1" x14ac:dyDescent="0.25">
      <c r="A2168" s="39"/>
    </row>
    <row r="2169" spans="1:1" ht="15.75" customHeight="1" x14ac:dyDescent="0.25">
      <c r="A2169" s="39"/>
    </row>
    <row r="2170" spans="1:1" ht="15.75" customHeight="1" x14ac:dyDescent="0.25">
      <c r="A2170" s="39"/>
    </row>
    <row r="2171" spans="1:1" ht="15.75" customHeight="1" x14ac:dyDescent="0.25">
      <c r="A2171" s="39"/>
    </row>
    <row r="2172" spans="1:1" ht="15.75" customHeight="1" x14ac:dyDescent="0.25">
      <c r="A2172" s="39"/>
    </row>
    <row r="2173" spans="1:1" ht="15.75" customHeight="1" x14ac:dyDescent="0.25">
      <c r="A2173" s="39"/>
    </row>
    <row r="2174" spans="1:1" ht="15.75" customHeight="1" x14ac:dyDescent="0.25">
      <c r="A2174" s="39"/>
    </row>
    <row r="2175" spans="1:1" ht="15.75" customHeight="1" x14ac:dyDescent="0.25">
      <c r="A2175" s="39"/>
    </row>
    <row r="2176" spans="1:1" ht="15.75" customHeight="1" x14ac:dyDescent="0.25">
      <c r="A2176" s="39"/>
    </row>
    <row r="2177" spans="1:1" ht="15.75" customHeight="1" x14ac:dyDescent="0.25">
      <c r="A2177" s="39"/>
    </row>
    <row r="2178" spans="1:1" ht="15.75" customHeight="1" x14ac:dyDescent="0.25">
      <c r="A2178" s="39"/>
    </row>
    <row r="2179" spans="1:1" ht="15.75" customHeight="1" x14ac:dyDescent="0.25">
      <c r="A2179" s="39"/>
    </row>
    <row r="2180" spans="1:1" ht="15.75" customHeight="1" x14ac:dyDescent="0.25">
      <c r="A2180" s="39"/>
    </row>
    <row r="2181" spans="1:1" ht="15.75" customHeight="1" x14ac:dyDescent="0.25">
      <c r="A2181" s="39"/>
    </row>
    <row r="2182" spans="1:1" ht="15.75" customHeight="1" x14ac:dyDescent="0.25">
      <c r="A2182" s="39"/>
    </row>
    <row r="2183" spans="1:1" ht="15.75" customHeight="1" x14ac:dyDescent="0.25">
      <c r="A2183" s="39"/>
    </row>
    <row r="2184" spans="1:1" ht="15.75" customHeight="1" x14ac:dyDescent="0.25">
      <c r="A2184" s="39"/>
    </row>
    <row r="2185" spans="1:1" ht="15.75" customHeight="1" x14ac:dyDescent="0.25">
      <c r="A2185" s="39"/>
    </row>
    <row r="2186" spans="1:1" ht="15.75" customHeight="1" x14ac:dyDescent="0.25">
      <c r="A2186" s="39"/>
    </row>
    <row r="2187" spans="1:1" ht="15.75" customHeight="1" x14ac:dyDescent="0.25">
      <c r="A2187" s="39"/>
    </row>
    <row r="2188" spans="1:1" ht="15.75" customHeight="1" x14ac:dyDescent="0.25">
      <c r="A2188" s="39"/>
    </row>
    <row r="2189" spans="1:1" ht="15.75" customHeight="1" x14ac:dyDescent="0.25">
      <c r="A2189" s="39"/>
    </row>
    <row r="2190" spans="1:1" ht="15.75" customHeight="1" x14ac:dyDescent="0.25">
      <c r="A2190" s="39"/>
    </row>
    <row r="2191" spans="1:1" ht="15.75" customHeight="1" x14ac:dyDescent="0.25">
      <c r="A2191" s="39"/>
    </row>
    <row r="2192" spans="1:1" ht="15.75" customHeight="1" x14ac:dyDescent="0.25">
      <c r="A2192" s="39"/>
    </row>
    <row r="2193" spans="1:1" ht="15.75" customHeight="1" x14ac:dyDescent="0.25">
      <c r="A2193" s="39"/>
    </row>
    <row r="2194" spans="1:1" ht="15.75" customHeight="1" x14ac:dyDescent="0.25">
      <c r="A2194" s="39"/>
    </row>
    <row r="2195" spans="1:1" ht="15.75" customHeight="1" x14ac:dyDescent="0.25">
      <c r="A2195" s="39"/>
    </row>
    <row r="2196" spans="1:1" ht="15.75" customHeight="1" x14ac:dyDescent="0.25">
      <c r="A2196" s="39"/>
    </row>
    <row r="2197" spans="1:1" ht="15.75" customHeight="1" x14ac:dyDescent="0.25">
      <c r="A2197" s="39"/>
    </row>
    <row r="2198" spans="1:1" ht="15.75" customHeight="1" x14ac:dyDescent="0.25">
      <c r="A2198" s="39"/>
    </row>
    <row r="2199" spans="1:1" ht="15.75" customHeight="1" x14ac:dyDescent="0.25">
      <c r="A2199" s="39"/>
    </row>
    <row r="2200" spans="1:1" ht="15.75" customHeight="1" x14ac:dyDescent="0.25">
      <c r="A2200" s="39"/>
    </row>
    <row r="2201" spans="1:1" ht="15.75" customHeight="1" x14ac:dyDescent="0.25">
      <c r="A2201" s="39"/>
    </row>
    <row r="2202" spans="1:1" ht="15.75" customHeight="1" x14ac:dyDescent="0.25">
      <c r="A2202" s="39"/>
    </row>
    <row r="2203" spans="1:1" ht="15.75" customHeight="1" x14ac:dyDescent="0.25">
      <c r="A2203" s="39"/>
    </row>
    <row r="2204" spans="1:1" ht="15.75" customHeight="1" x14ac:dyDescent="0.25">
      <c r="A2204" s="39"/>
    </row>
    <row r="2205" spans="1:1" ht="15.75" customHeight="1" x14ac:dyDescent="0.25">
      <c r="A2205" s="39"/>
    </row>
    <row r="2206" spans="1:1" ht="15.75" customHeight="1" x14ac:dyDescent="0.25">
      <c r="A2206" s="39"/>
    </row>
    <row r="2207" spans="1:1" ht="15.75" customHeight="1" x14ac:dyDescent="0.25">
      <c r="A2207" s="39"/>
    </row>
    <row r="2208" spans="1:1" ht="15.75" customHeight="1" x14ac:dyDescent="0.25">
      <c r="A2208" s="39"/>
    </row>
    <row r="2209" spans="1:1" ht="15.75" customHeight="1" x14ac:dyDescent="0.25">
      <c r="A2209" s="39"/>
    </row>
    <row r="2210" spans="1:1" ht="15.75" customHeight="1" x14ac:dyDescent="0.25">
      <c r="A2210" s="39"/>
    </row>
    <row r="2211" spans="1:1" ht="15.75" customHeight="1" x14ac:dyDescent="0.25">
      <c r="A2211" s="39"/>
    </row>
    <row r="2212" spans="1:1" ht="15.75" customHeight="1" x14ac:dyDescent="0.25">
      <c r="A2212" s="39"/>
    </row>
    <row r="2213" spans="1:1" ht="15.75" customHeight="1" x14ac:dyDescent="0.25">
      <c r="A2213" s="39"/>
    </row>
    <row r="2214" spans="1:1" ht="15.75" customHeight="1" x14ac:dyDescent="0.25">
      <c r="A2214" s="39"/>
    </row>
    <row r="2215" spans="1:1" ht="15.75" customHeight="1" x14ac:dyDescent="0.25">
      <c r="A2215" s="39"/>
    </row>
    <row r="2216" spans="1:1" ht="15.75" customHeight="1" x14ac:dyDescent="0.25">
      <c r="A2216" s="39"/>
    </row>
    <row r="2217" spans="1:1" ht="15.75" customHeight="1" x14ac:dyDescent="0.25">
      <c r="A2217" s="39"/>
    </row>
    <row r="2218" spans="1:1" ht="15.75" customHeight="1" x14ac:dyDescent="0.25">
      <c r="A2218" s="39"/>
    </row>
    <row r="2219" spans="1:1" ht="15.75" customHeight="1" x14ac:dyDescent="0.25">
      <c r="A2219" s="39"/>
    </row>
    <row r="2220" spans="1:1" ht="15.75" customHeight="1" x14ac:dyDescent="0.25">
      <c r="A2220" s="39"/>
    </row>
    <row r="2221" spans="1:1" ht="15.75" customHeight="1" x14ac:dyDescent="0.25">
      <c r="A2221" s="39"/>
    </row>
    <row r="2222" spans="1:1" ht="15.75" customHeight="1" x14ac:dyDescent="0.25">
      <c r="A2222" s="39"/>
    </row>
    <row r="2223" spans="1:1" ht="15.75" customHeight="1" x14ac:dyDescent="0.25">
      <c r="A2223" s="39"/>
    </row>
    <row r="2224" spans="1:1" ht="15.75" customHeight="1" x14ac:dyDescent="0.25">
      <c r="A2224" s="39"/>
    </row>
    <row r="2225" spans="1:1" ht="15.75" customHeight="1" x14ac:dyDescent="0.25">
      <c r="A2225" s="39"/>
    </row>
    <row r="2226" spans="1:1" ht="15.75" customHeight="1" x14ac:dyDescent="0.25">
      <c r="A2226" s="39"/>
    </row>
    <row r="2227" spans="1:1" ht="15.75" customHeight="1" x14ac:dyDescent="0.25">
      <c r="A2227" s="39"/>
    </row>
    <row r="2228" spans="1:1" ht="15.75" customHeight="1" x14ac:dyDescent="0.25">
      <c r="A2228" s="39"/>
    </row>
    <row r="2229" spans="1:1" ht="15.75" customHeight="1" x14ac:dyDescent="0.25">
      <c r="A2229" s="39"/>
    </row>
    <row r="2230" spans="1:1" ht="15.75" customHeight="1" x14ac:dyDescent="0.25">
      <c r="A2230" s="39"/>
    </row>
    <row r="2231" spans="1:1" ht="15.75" customHeight="1" x14ac:dyDescent="0.25">
      <c r="A2231" s="39"/>
    </row>
    <row r="2232" spans="1:1" ht="15.75" customHeight="1" x14ac:dyDescent="0.25">
      <c r="A2232" s="39"/>
    </row>
    <row r="2233" spans="1:1" ht="15.75" customHeight="1" x14ac:dyDescent="0.25">
      <c r="A2233" s="39"/>
    </row>
    <row r="2234" spans="1:1" ht="15.75" customHeight="1" x14ac:dyDescent="0.25">
      <c r="A2234" s="39"/>
    </row>
    <row r="2235" spans="1:1" ht="15.75" customHeight="1" x14ac:dyDescent="0.25">
      <c r="A2235" s="39"/>
    </row>
    <row r="2236" spans="1:1" ht="15.75" customHeight="1" x14ac:dyDescent="0.25">
      <c r="A2236" s="39"/>
    </row>
    <row r="2237" spans="1:1" ht="15.75" customHeight="1" x14ac:dyDescent="0.25">
      <c r="A2237" s="39"/>
    </row>
    <row r="2238" spans="1:1" ht="15.75" customHeight="1" x14ac:dyDescent="0.25">
      <c r="A2238" s="39"/>
    </row>
    <row r="2239" spans="1:1" ht="15.75" customHeight="1" x14ac:dyDescent="0.25">
      <c r="A2239" s="39"/>
    </row>
    <row r="2240" spans="1:1" ht="15.75" customHeight="1" x14ac:dyDescent="0.25">
      <c r="A2240" s="39"/>
    </row>
    <row r="2241" spans="1:1" ht="15.75" customHeight="1" x14ac:dyDescent="0.25">
      <c r="A2241" s="39"/>
    </row>
    <row r="2242" spans="1:1" ht="15.75" customHeight="1" x14ac:dyDescent="0.25">
      <c r="A2242" s="39"/>
    </row>
    <row r="2243" spans="1:1" ht="15.75" customHeight="1" x14ac:dyDescent="0.25">
      <c r="A2243" s="39"/>
    </row>
    <row r="2244" spans="1:1" ht="15.75" customHeight="1" x14ac:dyDescent="0.25">
      <c r="A2244" s="39"/>
    </row>
    <row r="2245" spans="1:1" ht="15.75" customHeight="1" x14ac:dyDescent="0.25">
      <c r="A2245" s="39"/>
    </row>
    <row r="2246" spans="1:1" ht="15.75" customHeight="1" x14ac:dyDescent="0.25">
      <c r="A2246" s="39"/>
    </row>
    <row r="2247" spans="1:1" ht="15.75" customHeight="1" x14ac:dyDescent="0.25">
      <c r="A2247" s="39"/>
    </row>
    <row r="2248" spans="1:1" ht="15.75" customHeight="1" x14ac:dyDescent="0.25">
      <c r="A2248" s="39"/>
    </row>
    <row r="2249" spans="1:1" ht="15.75" customHeight="1" x14ac:dyDescent="0.25">
      <c r="A2249" s="39"/>
    </row>
    <row r="2250" spans="1:1" ht="15.75" customHeight="1" x14ac:dyDescent="0.25">
      <c r="A2250" s="39"/>
    </row>
    <row r="2251" spans="1:1" ht="15.75" customHeight="1" x14ac:dyDescent="0.25">
      <c r="A2251" s="39"/>
    </row>
    <row r="2252" spans="1:1" ht="15.75" customHeight="1" x14ac:dyDescent="0.25">
      <c r="A2252" s="39"/>
    </row>
    <row r="2253" spans="1:1" ht="15.75" customHeight="1" x14ac:dyDescent="0.25">
      <c r="A2253" s="39"/>
    </row>
    <row r="2254" spans="1:1" ht="15.75" customHeight="1" x14ac:dyDescent="0.25">
      <c r="A2254" s="39"/>
    </row>
    <row r="2255" spans="1:1" ht="15.75" customHeight="1" x14ac:dyDescent="0.25">
      <c r="A2255" s="39"/>
    </row>
    <row r="2256" spans="1:1" ht="15.75" customHeight="1" x14ac:dyDescent="0.25">
      <c r="A2256" s="39"/>
    </row>
    <row r="2257" spans="1:1" ht="15.75" customHeight="1" x14ac:dyDescent="0.25">
      <c r="A2257" s="39"/>
    </row>
    <row r="2258" spans="1:1" ht="15.75" customHeight="1" x14ac:dyDescent="0.25">
      <c r="A2258" s="39"/>
    </row>
    <row r="2259" spans="1:1" ht="15.75" customHeight="1" x14ac:dyDescent="0.25">
      <c r="A2259" s="39"/>
    </row>
    <row r="2260" spans="1:1" ht="15.75" customHeight="1" x14ac:dyDescent="0.25">
      <c r="A2260" s="39"/>
    </row>
    <row r="2261" spans="1:1" ht="15.75" customHeight="1" x14ac:dyDescent="0.25">
      <c r="A2261" s="39"/>
    </row>
    <row r="2262" spans="1:1" ht="15.75" customHeight="1" x14ac:dyDescent="0.25">
      <c r="A2262" s="39"/>
    </row>
    <row r="2263" spans="1:1" ht="15.75" customHeight="1" x14ac:dyDescent="0.25">
      <c r="A2263" s="39"/>
    </row>
    <row r="2264" spans="1:1" ht="15.75" customHeight="1" x14ac:dyDescent="0.25">
      <c r="A2264" s="39"/>
    </row>
    <row r="2265" spans="1:1" ht="15.75" customHeight="1" x14ac:dyDescent="0.25">
      <c r="A2265" s="39"/>
    </row>
    <row r="2266" spans="1:1" ht="15.75" customHeight="1" x14ac:dyDescent="0.25">
      <c r="A2266" s="39"/>
    </row>
    <row r="2267" spans="1:1" ht="15.75" customHeight="1" x14ac:dyDescent="0.25">
      <c r="A2267" s="39"/>
    </row>
    <row r="2268" spans="1:1" ht="15.75" customHeight="1" x14ac:dyDescent="0.25">
      <c r="A2268" s="39"/>
    </row>
    <row r="2269" spans="1:1" ht="15.75" customHeight="1" x14ac:dyDescent="0.25">
      <c r="A2269" s="39"/>
    </row>
    <row r="2270" spans="1:1" ht="15.75" customHeight="1" x14ac:dyDescent="0.25">
      <c r="A2270" s="39"/>
    </row>
    <row r="2271" spans="1:1" ht="15.75" customHeight="1" x14ac:dyDescent="0.25">
      <c r="A2271" s="39"/>
    </row>
    <row r="2272" spans="1:1" ht="15.75" customHeight="1" x14ac:dyDescent="0.25">
      <c r="A2272" s="39"/>
    </row>
    <row r="2273" spans="1:1" ht="15.75" customHeight="1" x14ac:dyDescent="0.25">
      <c r="A2273" s="39"/>
    </row>
    <row r="2274" spans="1:1" ht="15.75" customHeight="1" x14ac:dyDescent="0.25">
      <c r="A2274" s="39"/>
    </row>
    <row r="2275" spans="1:1" ht="15.75" customHeight="1" x14ac:dyDescent="0.25">
      <c r="A2275" s="39"/>
    </row>
    <row r="2276" spans="1:1" ht="15.75" customHeight="1" x14ac:dyDescent="0.25">
      <c r="A2276" s="39"/>
    </row>
    <row r="2277" spans="1:1" ht="15.75" customHeight="1" x14ac:dyDescent="0.25">
      <c r="A2277" s="39"/>
    </row>
    <row r="2278" spans="1:1" ht="15.75" customHeight="1" x14ac:dyDescent="0.25">
      <c r="A2278" s="39"/>
    </row>
    <row r="2279" spans="1:1" ht="15.75" customHeight="1" x14ac:dyDescent="0.25">
      <c r="A2279" s="39"/>
    </row>
    <row r="2280" spans="1:1" ht="15.75" customHeight="1" x14ac:dyDescent="0.25">
      <c r="A2280" s="39"/>
    </row>
    <row r="2281" spans="1:1" ht="15.75" customHeight="1" x14ac:dyDescent="0.25">
      <c r="A2281" s="39"/>
    </row>
    <row r="2282" spans="1:1" ht="15.75" customHeight="1" x14ac:dyDescent="0.25">
      <c r="A2282" s="39"/>
    </row>
    <row r="2283" spans="1:1" ht="15.75" customHeight="1" x14ac:dyDescent="0.25">
      <c r="A2283" s="39"/>
    </row>
    <row r="2284" spans="1:1" ht="15.75" customHeight="1" x14ac:dyDescent="0.25">
      <c r="A2284" s="39"/>
    </row>
    <row r="2285" spans="1:1" ht="15.75" customHeight="1" x14ac:dyDescent="0.25">
      <c r="A2285" s="39"/>
    </row>
    <row r="2286" spans="1:1" ht="15.75" customHeight="1" x14ac:dyDescent="0.25">
      <c r="A2286" s="39"/>
    </row>
    <row r="2287" spans="1:1" ht="15.75" customHeight="1" x14ac:dyDescent="0.25">
      <c r="A2287" s="39"/>
    </row>
    <row r="2288" spans="1:1" ht="15.75" customHeight="1" x14ac:dyDescent="0.25">
      <c r="A2288" s="39"/>
    </row>
    <row r="2289" spans="1:1" ht="15.75" customHeight="1" x14ac:dyDescent="0.25">
      <c r="A2289" s="39"/>
    </row>
    <row r="2290" spans="1:1" ht="15.75" customHeight="1" x14ac:dyDescent="0.25">
      <c r="A2290" s="39"/>
    </row>
    <row r="2291" spans="1:1" ht="15.75" customHeight="1" x14ac:dyDescent="0.25">
      <c r="A2291" s="39"/>
    </row>
    <row r="2292" spans="1:1" ht="15.75" customHeight="1" x14ac:dyDescent="0.25">
      <c r="A2292" s="39"/>
    </row>
    <row r="2293" spans="1:1" ht="15.75" customHeight="1" x14ac:dyDescent="0.25">
      <c r="A2293" s="39"/>
    </row>
    <row r="2294" spans="1:1" ht="15.75" customHeight="1" x14ac:dyDescent="0.25">
      <c r="A2294" s="39"/>
    </row>
    <row r="2295" spans="1:1" ht="15.75" customHeight="1" x14ac:dyDescent="0.25">
      <c r="A2295" s="39"/>
    </row>
    <row r="2296" spans="1:1" ht="15.75" customHeight="1" x14ac:dyDescent="0.25">
      <c r="A2296" s="39"/>
    </row>
    <row r="2297" spans="1:1" ht="15.75" customHeight="1" x14ac:dyDescent="0.25">
      <c r="A2297" s="39"/>
    </row>
    <row r="2298" spans="1:1" ht="15.75" customHeight="1" x14ac:dyDescent="0.25">
      <c r="A2298" s="39"/>
    </row>
    <row r="2299" spans="1:1" ht="15.75" customHeight="1" x14ac:dyDescent="0.25">
      <c r="A2299" s="39"/>
    </row>
    <row r="2300" spans="1:1" ht="15.75" customHeight="1" x14ac:dyDescent="0.25">
      <c r="A2300" s="39"/>
    </row>
    <row r="2301" spans="1:1" ht="15.75" customHeight="1" x14ac:dyDescent="0.25">
      <c r="A2301" s="39"/>
    </row>
    <row r="2302" spans="1:1" ht="15.75" customHeight="1" x14ac:dyDescent="0.25">
      <c r="A2302" s="39"/>
    </row>
    <row r="2303" spans="1:1" ht="15.75" customHeight="1" x14ac:dyDescent="0.25">
      <c r="A2303" s="39"/>
    </row>
    <row r="2304" spans="1:1" ht="15.75" customHeight="1" x14ac:dyDescent="0.25">
      <c r="A2304" s="39"/>
    </row>
    <row r="2305" spans="1:1" ht="15.75" customHeight="1" x14ac:dyDescent="0.25">
      <c r="A2305" s="39"/>
    </row>
    <row r="2306" spans="1:1" ht="15.75" customHeight="1" x14ac:dyDescent="0.25">
      <c r="A2306" s="39"/>
    </row>
    <row r="2307" spans="1:1" ht="15.75" customHeight="1" x14ac:dyDescent="0.25">
      <c r="A2307" s="39"/>
    </row>
    <row r="2308" spans="1:1" ht="15.75" customHeight="1" x14ac:dyDescent="0.25">
      <c r="A2308" s="39"/>
    </row>
    <row r="2309" spans="1:1" ht="15.75" customHeight="1" x14ac:dyDescent="0.25">
      <c r="A2309" s="39"/>
    </row>
    <row r="2310" spans="1:1" ht="15.75" customHeight="1" x14ac:dyDescent="0.25">
      <c r="A2310" s="39"/>
    </row>
    <row r="2311" spans="1:1" ht="15.75" customHeight="1" x14ac:dyDescent="0.25">
      <c r="A2311" s="39"/>
    </row>
    <row r="2312" spans="1:1" ht="15.75" customHeight="1" x14ac:dyDescent="0.25">
      <c r="A2312" s="39"/>
    </row>
    <row r="2313" spans="1:1" ht="15.75" customHeight="1" x14ac:dyDescent="0.25">
      <c r="A2313" s="39"/>
    </row>
    <row r="2314" spans="1:1" ht="15.75" customHeight="1" x14ac:dyDescent="0.25">
      <c r="A2314" s="39"/>
    </row>
    <row r="2315" spans="1:1" ht="15.75" customHeight="1" x14ac:dyDescent="0.25">
      <c r="A2315" s="39"/>
    </row>
    <row r="2316" spans="1:1" ht="15.75" customHeight="1" x14ac:dyDescent="0.25">
      <c r="A2316" s="39"/>
    </row>
    <row r="2317" spans="1:1" ht="15.75" customHeight="1" x14ac:dyDescent="0.25">
      <c r="A2317" s="39"/>
    </row>
    <row r="2318" spans="1:1" ht="15.75" customHeight="1" x14ac:dyDescent="0.25">
      <c r="A2318" s="39"/>
    </row>
    <row r="2319" spans="1:1" ht="15.75" customHeight="1" x14ac:dyDescent="0.25">
      <c r="A2319" s="39"/>
    </row>
    <row r="2320" spans="1:1" ht="15.75" customHeight="1" x14ac:dyDescent="0.25">
      <c r="A2320" s="39"/>
    </row>
    <row r="2321" spans="1:1" ht="15.75" customHeight="1" x14ac:dyDescent="0.25">
      <c r="A2321" s="39"/>
    </row>
    <row r="2322" spans="1:1" ht="15.75" customHeight="1" x14ac:dyDescent="0.25">
      <c r="A2322" s="39"/>
    </row>
    <row r="2323" spans="1:1" ht="15.75" customHeight="1" x14ac:dyDescent="0.25">
      <c r="A2323" s="39"/>
    </row>
    <row r="2324" spans="1:1" ht="15.75" customHeight="1" x14ac:dyDescent="0.25">
      <c r="A2324" s="39"/>
    </row>
    <row r="2325" spans="1:1" ht="15.75" customHeight="1" x14ac:dyDescent="0.25">
      <c r="A2325" s="39"/>
    </row>
    <row r="2326" spans="1:1" ht="15.75" customHeight="1" x14ac:dyDescent="0.25">
      <c r="A2326" s="39"/>
    </row>
    <row r="2327" spans="1:1" ht="15.75" customHeight="1" x14ac:dyDescent="0.25">
      <c r="A2327" s="39"/>
    </row>
    <row r="2328" spans="1:1" ht="15.75" customHeight="1" x14ac:dyDescent="0.25">
      <c r="A2328" s="39"/>
    </row>
    <row r="2329" spans="1:1" ht="15.75" customHeight="1" x14ac:dyDescent="0.25">
      <c r="A2329" s="39"/>
    </row>
    <row r="2330" spans="1:1" ht="15.75" customHeight="1" x14ac:dyDescent="0.25">
      <c r="A2330" s="39"/>
    </row>
    <row r="2331" spans="1:1" ht="15.75" customHeight="1" x14ac:dyDescent="0.25">
      <c r="A2331" s="39"/>
    </row>
    <row r="2332" spans="1:1" ht="15.75" customHeight="1" x14ac:dyDescent="0.25">
      <c r="A2332" s="39"/>
    </row>
    <row r="2333" spans="1:1" ht="15.75" customHeight="1" x14ac:dyDescent="0.25">
      <c r="A2333" s="39"/>
    </row>
    <row r="2334" spans="1:1" ht="15.75" customHeight="1" x14ac:dyDescent="0.25">
      <c r="A2334" s="39"/>
    </row>
    <row r="2335" spans="1:1" ht="15.75" customHeight="1" x14ac:dyDescent="0.25">
      <c r="A2335" s="39"/>
    </row>
    <row r="2336" spans="1:1" ht="15.75" customHeight="1" x14ac:dyDescent="0.25">
      <c r="A2336" s="39"/>
    </row>
    <row r="2337" spans="1:1" ht="15.75" customHeight="1" x14ac:dyDescent="0.25">
      <c r="A2337" s="39"/>
    </row>
    <row r="2338" spans="1:1" ht="15.75" customHeight="1" x14ac:dyDescent="0.25">
      <c r="A2338" s="39"/>
    </row>
    <row r="2339" spans="1:1" ht="15.75" customHeight="1" x14ac:dyDescent="0.25">
      <c r="A2339" s="39"/>
    </row>
    <row r="2340" spans="1:1" ht="15.75" customHeight="1" x14ac:dyDescent="0.25">
      <c r="A2340" s="39"/>
    </row>
    <row r="2341" spans="1:1" ht="15.75" customHeight="1" x14ac:dyDescent="0.25">
      <c r="A2341" s="39"/>
    </row>
    <row r="2342" spans="1:1" ht="15.75" customHeight="1" x14ac:dyDescent="0.25">
      <c r="A2342" s="39"/>
    </row>
    <row r="2343" spans="1:1" ht="15.75" customHeight="1" x14ac:dyDescent="0.25">
      <c r="A2343" s="39"/>
    </row>
    <row r="2344" spans="1:1" ht="15.75" customHeight="1" x14ac:dyDescent="0.25">
      <c r="A2344" s="39"/>
    </row>
    <row r="2345" spans="1:1" ht="15.75" customHeight="1" x14ac:dyDescent="0.25">
      <c r="A2345" s="39"/>
    </row>
    <row r="2346" spans="1:1" ht="15.75" customHeight="1" x14ac:dyDescent="0.25">
      <c r="A2346" s="39"/>
    </row>
    <row r="2347" spans="1:1" ht="15.75" customHeight="1" x14ac:dyDescent="0.25">
      <c r="A2347" s="39"/>
    </row>
    <row r="2348" spans="1:1" ht="15.75" customHeight="1" x14ac:dyDescent="0.25">
      <c r="A2348" s="39"/>
    </row>
    <row r="2349" spans="1:1" ht="15.75" customHeight="1" x14ac:dyDescent="0.25">
      <c r="A2349" s="39"/>
    </row>
    <row r="2350" spans="1:1" ht="15.75" customHeight="1" x14ac:dyDescent="0.25">
      <c r="A2350" s="39"/>
    </row>
    <row r="2351" spans="1:1" ht="15.75" customHeight="1" x14ac:dyDescent="0.25">
      <c r="A2351" s="39"/>
    </row>
    <row r="2352" spans="1:1" ht="15.75" customHeight="1" x14ac:dyDescent="0.25">
      <c r="A2352" s="39"/>
    </row>
    <row r="2353" spans="1:1" ht="15.75" customHeight="1" x14ac:dyDescent="0.25">
      <c r="A2353" s="39"/>
    </row>
    <row r="2354" spans="1:1" ht="15.75" customHeight="1" x14ac:dyDescent="0.25">
      <c r="A2354" s="39"/>
    </row>
    <row r="2355" spans="1:1" ht="15.75" customHeight="1" x14ac:dyDescent="0.25">
      <c r="A2355" s="39"/>
    </row>
    <row r="2356" spans="1:1" ht="15.75" customHeight="1" x14ac:dyDescent="0.25">
      <c r="A2356" s="39"/>
    </row>
    <row r="2357" spans="1:1" ht="15.75" customHeight="1" x14ac:dyDescent="0.25">
      <c r="A2357" s="39"/>
    </row>
    <row r="2358" spans="1:1" ht="15.75" customHeight="1" x14ac:dyDescent="0.25">
      <c r="A2358" s="39"/>
    </row>
    <row r="2359" spans="1:1" ht="15.75" customHeight="1" x14ac:dyDescent="0.25">
      <c r="A2359" s="39"/>
    </row>
    <row r="2360" spans="1:1" ht="15.75" customHeight="1" x14ac:dyDescent="0.25">
      <c r="A2360" s="39"/>
    </row>
    <row r="2361" spans="1:1" ht="15.75" customHeight="1" x14ac:dyDescent="0.25">
      <c r="A2361" s="39"/>
    </row>
    <row r="2362" spans="1:1" ht="15.75" customHeight="1" x14ac:dyDescent="0.25">
      <c r="A2362" s="39"/>
    </row>
    <row r="2363" spans="1:1" ht="15.75" customHeight="1" x14ac:dyDescent="0.25">
      <c r="A2363" s="39"/>
    </row>
    <row r="2364" spans="1:1" ht="15.75" customHeight="1" x14ac:dyDescent="0.25">
      <c r="A2364" s="39"/>
    </row>
    <row r="2365" spans="1:1" ht="15.75" customHeight="1" x14ac:dyDescent="0.25">
      <c r="A2365" s="39"/>
    </row>
    <row r="2366" spans="1:1" ht="15.75" customHeight="1" x14ac:dyDescent="0.25">
      <c r="A2366" s="39"/>
    </row>
    <row r="2367" spans="1:1" ht="15.75" customHeight="1" x14ac:dyDescent="0.25">
      <c r="A2367" s="39"/>
    </row>
    <row r="2368" spans="1:1" ht="15.75" customHeight="1" x14ac:dyDescent="0.25">
      <c r="A2368" s="39"/>
    </row>
    <row r="2369" spans="1:1" ht="15.75" customHeight="1" x14ac:dyDescent="0.25">
      <c r="A2369" s="39"/>
    </row>
    <row r="2370" spans="1:1" ht="15.75" customHeight="1" x14ac:dyDescent="0.25">
      <c r="A2370" s="39"/>
    </row>
    <row r="2371" spans="1:1" ht="15.75" customHeight="1" x14ac:dyDescent="0.25">
      <c r="A2371" s="39"/>
    </row>
    <row r="2372" spans="1:1" ht="15.75" customHeight="1" x14ac:dyDescent="0.25">
      <c r="A2372" s="39"/>
    </row>
    <row r="2373" spans="1:1" ht="15.75" customHeight="1" x14ac:dyDescent="0.25">
      <c r="A2373" s="39"/>
    </row>
    <row r="2374" spans="1:1" ht="15.75" customHeight="1" x14ac:dyDescent="0.25">
      <c r="A2374" s="39"/>
    </row>
    <row r="2375" spans="1:1" ht="15.75" customHeight="1" x14ac:dyDescent="0.25">
      <c r="A2375" s="39"/>
    </row>
    <row r="2376" spans="1:1" ht="15.75" customHeight="1" x14ac:dyDescent="0.25">
      <c r="A2376" s="39"/>
    </row>
    <row r="2377" spans="1:1" ht="15.75" customHeight="1" x14ac:dyDescent="0.25">
      <c r="A2377" s="39"/>
    </row>
    <row r="2378" spans="1:1" ht="15.75" customHeight="1" x14ac:dyDescent="0.25">
      <c r="A2378" s="39"/>
    </row>
    <row r="2379" spans="1:1" ht="15.75" customHeight="1" x14ac:dyDescent="0.25">
      <c r="A2379" s="39"/>
    </row>
    <row r="2380" spans="1:1" ht="15.75" customHeight="1" x14ac:dyDescent="0.25">
      <c r="A2380" s="39"/>
    </row>
    <row r="2381" spans="1:1" ht="15.75" customHeight="1" x14ac:dyDescent="0.25">
      <c r="A2381" s="39"/>
    </row>
    <row r="2382" spans="1:1" ht="15.75" customHeight="1" x14ac:dyDescent="0.25">
      <c r="A2382" s="39"/>
    </row>
    <row r="2383" spans="1:1" ht="15.75" customHeight="1" x14ac:dyDescent="0.25">
      <c r="A2383" s="39"/>
    </row>
    <row r="2384" spans="1:1" ht="15.75" customHeight="1" x14ac:dyDescent="0.25">
      <c r="A2384" s="39"/>
    </row>
    <row r="2385" spans="1:1" ht="15.75" customHeight="1" x14ac:dyDescent="0.25">
      <c r="A2385" s="39"/>
    </row>
    <row r="2386" spans="1:1" ht="15.75" customHeight="1" x14ac:dyDescent="0.25">
      <c r="A2386" s="39"/>
    </row>
    <row r="2387" spans="1:1" ht="15.75" customHeight="1" x14ac:dyDescent="0.25">
      <c r="A2387" s="39"/>
    </row>
    <row r="2388" spans="1:1" ht="15.75" customHeight="1" x14ac:dyDescent="0.25">
      <c r="A2388" s="39"/>
    </row>
    <row r="2389" spans="1:1" ht="15.75" customHeight="1" x14ac:dyDescent="0.25">
      <c r="A2389" s="39"/>
    </row>
    <row r="2390" spans="1:1" ht="15.75" customHeight="1" x14ac:dyDescent="0.25">
      <c r="A2390" s="39"/>
    </row>
    <row r="2391" spans="1:1" ht="15.75" customHeight="1" x14ac:dyDescent="0.25">
      <c r="A2391" s="39"/>
    </row>
    <row r="2392" spans="1:1" ht="15.75" customHeight="1" x14ac:dyDescent="0.25">
      <c r="A2392" s="39"/>
    </row>
    <row r="2393" spans="1:1" ht="15.75" customHeight="1" x14ac:dyDescent="0.25">
      <c r="A2393" s="39"/>
    </row>
    <row r="2394" spans="1:1" ht="15.75" customHeight="1" x14ac:dyDescent="0.25">
      <c r="A2394" s="39"/>
    </row>
    <row r="2395" spans="1:1" ht="15.75" customHeight="1" x14ac:dyDescent="0.25">
      <c r="A2395" s="39"/>
    </row>
    <row r="2396" spans="1:1" ht="15.75" customHeight="1" x14ac:dyDescent="0.25">
      <c r="A2396" s="39"/>
    </row>
    <row r="2397" spans="1:1" ht="15.75" customHeight="1" x14ac:dyDescent="0.25">
      <c r="A2397" s="39"/>
    </row>
    <row r="2398" spans="1:1" ht="15.75" customHeight="1" x14ac:dyDescent="0.25">
      <c r="A2398" s="39"/>
    </row>
    <row r="2399" spans="1:1" ht="15.75" customHeight="1" x14ac:dyDescent="0.25">
      <c r="A2399" s="39"/>
    </row>
    <row r="2400" spans="1:1" ht="15.75" customHeight="1" x14ac:dyDescent="0.25">
      <c r="A2400" s="39"/>
    </row>
    <row r="2401" spans="1:1" ht="15.75" customHeight="1" x14ac:dyDescent="0.25">
      <c r="A2401" s="39"/>
    </row>
    <row r="2402" spans="1:1" ht="15.75" customHeight="1" x14ac:dyDescent="0.25">
      <c r="A2402" s="39"/>
    </row>
    <row r="2403" spans="1:1" ht="15.75" customHeight="1" x14ac:dyDescent="0.25">
      <c r="A2403" s="39"/>
    </row>
    <row r="2404" spans="1:1" ht="15.75" customHeight="1" x14ac:dyDescent="0.25">
      <c r="A2404" s="39"/>
    </row>
    <row r="2405" spans="1:1" ht="15.75" customHeight="1" x14ac:dyDescent="0.25">
      <c r="A2405" s="39"/>
    </row>
    <row r="2406" spans="1:1" ht="15.75" customHeight="1" x14ac:dyDescent="0.25">
      <c r="A2406" s="39"/>
    </row>
    <row r="2407" spans="1:1" ht="15.75" customHeight="1" x14ac:dyDescent="0.25">
      <c r="A2407" s="39"/>
    </row>
    <row r="2408" spans="1:1" ht="15.75" customHeight="1" x14ac:dyDescent="0.25">
      <c r="A2408" s="39"/>
    </row>
    <row r="2409" spans="1:1" ht="15.75" customHeight="1" x14ac:dyDescent="0.25">
      <c r="A2409" s="39"/>
    </row>
    <row r="2410" spans="1:1" ht="15.75" customHeight="1" x14ac:dyDescent="0.25">
      <c r="A2410" s="39"/>
    </row>
    <row r="2411" spans="1:1" ht="15.75" customHeight="1" x14ac:dyDescent="0.25">
      <c r="A2411" s="39"/>
    </row>
    <row r="2412" spans="1:1" ht="15.75" customHeight="1" x14ac:dyDescent="0.25">
      <c r="A2412" s="39"/>
    </row>
    <row r="2413" spans="1:1" ht="15.75" customHeight="1" x14ac:dyDescent="0.25">
      <c r="A2413" s="39"/>
    </row>
    <row r="2414" spans="1:1" ht="15.75" customHeight="1" x14ac:dyDescent="0.25">
      <c r="A2414" s="39"/>
    </row>
    <row r="2415" spans="1:1" ht="15.75" customHeight="1" x14ac:dyDescent="0.25">
      <c r="A2415" s="39"/>
    </row>
    <row r="2416" spans="1:1" ht="15.75" customHeight="1" x14ac:dyDescent="0.25">
      <c r="A2416" s="39"/>
    </row>
    <row r="2417" spans="1:1" ht="15.75" customHeight="1" x14ac:dyDescent="0.25">
      <c r="A2417" s="39"/>
    </row>
    <row r="2418" spans="1:1" ht="15.75" customHeight="1" x14ac:dyDescent="0.25">
      <c r="A2418" s="39"/>
    </row>
    <row r="2419" spans="1:1" ht="15.75" customHeight="1" x14ac:dyDescent="0.25">
      <c r="A2419" s="39"/>
    </row>
    <row r="2420" spans="1:1" ht="15.75" customHeight="1" x14ac:dyDescent="0.25">
      <c r="A2420" s="39"/>
    </row>
    <row r="2421" spans="1:1" ht="15.75" customHeight="1" x14ac:dyDescent="0.25">
      <c r="A2421" s="39"/>
    </row>
    <row r="2422" spans="1:1" ht="15.75" customHeight="1" x14ac:dyDescent="0.25">
      <c r="A2422" s="39"/>
    </row>
    <row r="2423" spans="1:1" ht="15.75" customHeight="1" x14ac:dyDescent="0.25">
      <c r="A2423" s="39"/>
    </row>
    <row r="2424" spans="1:1" ht="15.75" customHeight="1" x14ac:dyDescent="0.25">
      <c r="A2424" s="39"/>
    </row>
    <row r="2425" spans="1:1" ht="15.75" customHeight="1" x14ac:dyDescent="0.25">
      <c r="A2425" s="39"/>
    </row>
    <row r="2426" spans="1:1" ht="15.75" customHeight="1" x14ac:dyDescent="0.25">
      <c r="A2426" s="39"/>
    </row>
    <row r="2427" spans="1:1" ht="15.75" customHeight="1" x14ac:dyDescent="0.25">
      <c r="A2427" s="39"/>
    </row>
    <row r="2428" spans="1:1" ht="15.75" customHeight="1" x14ac:dyDescent="0.25">
      <c r="A2428" s="39"/>
    </row>
    <row r="2429" spans="1:1" ht="15.75" customHeight="1" x14ac:dyDescent="0.25">
      <c r="A2429" s="39"/>
    </row>
    <row r="2430" spans="1:1" ht="15.75" customHeight="1" x14ac:dyDescent="0.25">
      <c r="A2430" s="39"/>
    </row>
    <row r="2431" spans="1:1" ht="15.75" customHeight="1" x14ac:dyDescent="0.25">
      <c r="A2431" s="39"/>
    </row>
    <row r="2432" spans="1:1" ht="15.75" customHeight="1" x14ac:dyDescent="0.25">
      <c r="A2432" s="39"/>
    </row>
    <row r="2433" spans="1:1" ht="15.75" customHeight="1" x14ac:dyDescent="0.25">
      <c r="A2433" s="39"/>
    </row>
    <row r="2434" spans="1:1" ht="15.75" customHeight="1" x14ac:dyDescent="0.25">
      <c r="A2434" s="39"/>
    </row>
    <row r="2435" spans="1:1" ht="15.75" customHeight="1" x14ac:dyDescent="0.25">
      <c r="A2435" s="39"/>
    </row>
    <row r="2436" spans="1:1" ht="15.75" customHeight="1" x14ac:dyDescent="0.25">
      <c r="A2436" s="39"/>
    </row>
    <row r="2437" spans="1:1" ht="15.75" customHeight="1" x14ac:dyDescent="0.25">
      <c r="A2437" s="39"/>
    </row>
    <row r="2438" spans="1:1" ht="15.75" customHeight="1" x14ac:dyDescent="0.25">
      <c r="A2438" s="39"/>
    </row>
    <row r="2439" spans="1:1" ht="15.75" customHeight="1" x14ac:dyDescent="0.25">
      <c r="A2439" s="39"/>
    </row>
    <row r="2440" spans="1:1" ht="15.75" customHeight="1" x14ac:dyDescent="0.25">
      <c r="A2440" s="39"/>
    </row>
    <row r="2441" spans="1:1" ht="15.75" customHeight="1" x14ac:dyDescent="0.25">
      <c r="A2441" s="39"/>
    </row>
    <row r="2442" spans="1:1" ht="15.75" customHeight="1" x14ac:dyDescent="0.25">
      <c r="A2442" s="39"/>
    </row>
    <row r="2443" spans="1:1" ht="15.75" customHeight="1" x14ac:dyDescent="0.25">
      <c r="A2443" s="39"/>
    </row>
    <row r="2444" spans="1:1" ht="15.75" customHeight="1" x14ac:dyDescent="0.25">
      <c r="A2444" s="39"/>
    </row>
    <row r="2445" spans="1:1" ht="15.75" customHeight="1" x14ac:dyDescent="0.25">
      <c r="A2445" s="39"/>
    </row>
    <row r="2446" spans="1:1" ht="15.75" customHeight="1" x14ac:dyDescent="0.25">
      <c r="A2446" s="39"/>
    </row>
    <row r="2447" spans="1:1" ht="15.75" customHeight="1" x14ac:dyDescent="0.25">
      <c r="A2447" s="39"/>
    </row>
    <row r="2448" spans="1:1" ht="15.75" customHeight="1" x14ac:dyDescent="0.25">
      <c r="A2448" s="39"/>
    </row>
    <row r="2449" spans="1:1" ht="15.75" customHeight="1" x14ac:dyDescent="0.25">
      <c r="A2449" s="39"/>
    </row>
    <row r="2450" spans="1:1" ht="15.75" customHeight="1" x14ac:dyDescent="0.25">
      <c r="A2450" s="39"/>
    </row>
    <row r="2451" spans="1:1" ht="15.75" customHeight="1" x14ac:dyDescent="0.25">
      <c r="A2451" s="39"/>
    </row>
    <row r="2452" spans="1:1" ht="15.75" customHeight="1" x14ac:dyDescent="0.25">
      <c r="A2452" s="39"/>
    </row>
    <row r="2453" spans="1:1" ht="15.75" customHeight="1" x14ac:dyDescent="0.25">
      <c r="A2453" s="39"/>
    </row>
    <row r="2454" spans="1:1" ht="15.75" customHeight="1" x14ac:dyDescent="0.25">
      <c r="A2454" s="39"/>
    </row>
    <row r="2455" spans="1:1" ht="15.75" customHeight="1" x14ac:dyDescent="0.25">
      <c r="A2455" s="39"/>
    </row>
    <row r="2456" spans="1:1" ht="15.75" customHeight="1" x14ac:dyDescent="0.25">
      <c r="A2456" s="39"/>
    </row>
    <row r="2457" spans="1:1" ht="15.75" customHeight="1" x14ac:dyDescent="0.25">
      <c r="A2457" s="39"/>
    </row>
    <row r="2458" spans="1:1" ht="15.75" customHeight="1" x14ac:dyDescent="0.25">
      <c r="A2458" s="39"/>
    </row>
    <row r="2459" spans="1:1" ht="15.75" customHeight="1" x14ac:dyDescent="0.25">
      <c r="A2459" s="39"/>
    </row>
    <row r="2460" spans="1:1" ht="15.75" customHeight="1" x14ac:dyDescent="0.25">
      <c r="A2460" s="39"/>
    </row>
    <row r="2461" spans="1:1" ht="15.75" customHeight="1" x14ac:dyDescent="0.25">
      <c r="A2461" s="39"/>
    </row>
    <row r="2462" spans="1:1" ht="15.75" customHeight="1" x14ac:dyDescent="0.25">
      <c r="A2462" s="39"/>
    </row>
    <row r="2463" spans="1:1" ht="15.75" customHeight="1" x14ac:dyDescent="0.25">
      <c r="A2463" s="39"/>
    </row>
    <row r="2464" spans="1:1" ht="15.75" customHeight="1" x14ac:dyDescent="0.25">
      <c r="A2464" s="39"/>
    </row>
    <row r="2465" spans="1:1" ht="15.75" customHeight="1" x14ac:dyDescent="0.25">
      <c r="A2465" s="39"/>
    </row>
    <row r="2466" spans="1:1" ht="15.75" customHeight="1" x14ac:dyDescent="0.25">
      <c r="A2466" s="39"/>
    </row>
    <row r="2467" spans="1:1" ht="15.75" customHeight="1" x14ac:dyDescent="0.25">
      <c r="A2467" s="39"/>
    </row>
    <row r="2468" spans="1:1" ht="15.75" customHeight="1" x14ac:dyDescent="0.25">
      <c r="A2468" s="39"/>
    </row>
    <row r="2469" spans="1:1" ht="15.75" customHeight="1" x14ac:dyDescent="0.25">
      <c r="A2469" s="39"/>
    </row>
    <row r="2470" spans="1:1" ht="15.75" customHeight="1" x14ac:dyDescent="0.25">
      <c r="A2470" s="39"/>
    </row>
    <row r="2471" spans="1:1" ht="15.75" customHeight="1" x14ac:dyDescent="0.25">
      <c r="A2471" s="39"/>
    </row>
    <row r="2472" spans="1:1" ht="15.75" customHeight="1" x14ac:dyDescent="0.25">
      <c r="A2472" s="39"/>
    </row>
    <row r="2473" spans="1:1" ht="15.75" customHeight="1" x14ac:dyDescent="0.25">
      <c r="A2473" s="39"/>
    </row>
    <row r="2474" spans="1:1" ht="15.75" customHeight="1" x14ac:dyDescent="0.25">
      <c r="A2474" s="39"/>
    </row>
    <row r="2475" spans="1:1" ht="15.75" customHeight="1" x14ac:dyDescent="0.25">
      <c r="A2475" s="39"/>
    </row>
    <row r="2476" spans="1:1" ht="15.75" customHeight="1" x14ac:dyDescent="0.25">
      <c r="A2476" s="39"/>
    </row>
    <row r="2477" spans="1:1" ht="15.75" customHeight="1" x14ac:dyDescent="0.25">
      <c r="A2477" s="39"/>
    </row>
    <row r="2478" spans="1:1" ht="15.75" customHeight="1" x14ac:dyDescent="0.25">
      <c r="A2478" s="39"/>
    </row>
    <row r="2479" spans="1:1" ht="15.75" customHeight="1" x14ac:dyDescent="0.25">
      <c r="A2479" s="39"/>
    </row>
    <row r="2480" spans="1:1" ht="15.75" customHeight="1" x14ac:dyDescent="0.25">
      <c r="A2480" s="39"/>
    </row>
    <row r="2481" spans="1:1" ht="15.75" customHeight="1" x14ac:dyDescent="0.25">
      <c r="A2481" s="39"/>
    </row>
    <row r="2482" spans="1:1" ht="15.75" customHeight="1" x14ac:dyDescent="0.25">
      <c r="A2482" s="39"/>
    </row>
    <row r="2483" spans="1:1" ht="15.75" customHeight="1" x14ac:dyDescent="0.25">
      <c r="A2483" s="39"/>
    </row>
    <row r="2484" spans="1:1" ht="15.75" customHeight="1" x14ac:dyDescent="0.25">
      <c r="A2484" s="39"/>
    </row>
    <row r="2485" spans="1:1" ht="15.75" customHeight="1" x14ac:dyDescent="0.25">
      <c r="A2485" s="39"/>
    </row>
    <row r="2486" spans="1:1" ht="15.75" customHeight="1" x14ac:dyDescent="0.25">
      <c r="A2486" s="39"/>
    </row>
    <row r="2487" spans="1:1" ht="15.75" customHeight="1" x14ac:dyDescent="0.25">
      <c r="A2487" s="39"/>
    </row>
    <row r="2488" spans="1:1" ht="15.75" customHeight="1" x14ac:dyDescent="0.25">
      <c r="A2488" s="39"/>
    </row>
    <row r="2489" spans="1:1" ht="15.75" customHeight="1" x14ac:dyDescent="0.25">
      <c r="A2489" s="39"/>
    </row>
    <row r="2490" spans="1:1" ht="15.75" customHeight="1" x14ac:dyDescent="0.25">
      <c r="A2490" s="39"/>
    </row>
    <row r="2491" spans="1:1" ht="15.75" customHeight="1" x14ac:dyDescent="0.25">
      <c r="A2491" s="39"/>
    </row>
    <row r="2492" spans="1:1" ht="15.75" customHeight="1" x14ac:dyDescent="0.25">
      <c r="A2492" s="39"/>
    </row>
    <row r="2493" spans="1:1" ht="15.75" customHeight="1" x14ac:dyDescent="0.25">
      <c r="A2493" s="39"/>
    </row>
    <row r="2494" spans="1:1" ht="15.75" customHeight="1" x14ac:dyDescent="0.25">
      <c r="A2494" s="39"/>
    </row>
    <row r="2495" spans="1:1" ht="15.75" customHeight="1" x14ac:dyDescent="0.25">
      <c r="A2495" s="39"/>
    </row>
    <row r="2496" spans="1:1" ht="15.75" customHeight="1" x14ac:dyDescent="0.25">
      <c r="A2496" s="39"/>
    </row>
    <row r="2497" spans="1:1" ht="15.75" customHeight="1" x14ac:dyDescent="0.25">
      <c r="A2497" s="39"/>
    </row>
    <row r="2498" spans="1:1" ht="15.75" customHeight="1" x14ac:dyDescent="0.25">
      <c r="A2498" s="39"/>
    </row>
    <row r="2499" spans="1:1" ht="15.75" customHeight="1" x14ac:dyDescent="0.25">
      <c r="A2499" s="39"/>
    </row>
    <row r="2500" spans="1:1" ht="15.75" customHeight="1" x14ac:dyDescent="0.25">
      <c r="A2500" s="39"/>
    </row>
    <row r="2501" spans="1:1" ht="15.75" customHeight="1" x14ac:dyDescent="0.25">
      <c r="A2501" s="39"/>
    </row>
    <row r="2502" spans="1:1" ht="15.75" customHeight="1" x14ac:dyDescent="0.25">
      <c r="A2502" s="39"/>
    </row>
    <row r="2503" spans="1:1" ht="15.75" customHeight="1" x14ac:dyDescent="0.25">
      <c r="A2503" s="39"/>
    </row>
    <row r="2504" spans="1:1" ht="15.75" customHeight="1" x14ac:dyDescent="0.25">
      <c r="A2504" s="39"/>
    </row>
    <row r="2505" spans="1:1" ht="15.75" customHeight="1" x14ac:dyDescent="0.25">
      <c r="A2505" s="39"/>
    </row>
    <row r="2506" spans="1:1" ht="15.75" customHeight="1" x14ac:dyDescent="0.25">
      <c r="A2506" s="39"/>
    </row>
    <row r="2507" spans="1:1" ht="15.75" customHeight="1" x14ac:dyDescent="0.25">
      <c r="A2507" s="39"/>
    </row>
    <row r="2508" spans="1:1" ht="15.75" customHeight="1" x14ac:dyDescent="0.25">
      <c r="A2508" s="39"/>
    </row>
    <row r="2509" spans="1:1" ht="15.75" customHeight="1" x14ac:dyDescent="0.25">
      <c r="A2509" s="39"/>
    </row>
    <row r="2510" spans="1:1" ht="15.75" customHeight="1" x14ac:dyDescent="0.25">
      <c r="A2510" s="39"/>
    </row>
    <row r="2511" spans="1:1" ht="15.75" customHeight="1" x14ac:dyDescent="0.25">
      <c r="A2511" s="39"/>
    </row>
    <row r="2512" spans="1:1" ht="15.75" customHeight="1" x14ac:dyDescent="0.25">
      <c r="A2512" s="39"/>
    </row>
    <row r="2513" spans="1:1" ht="15.75" customHeight="1" x14ac:dyDescent="0.25">
      <c r="A2513" s="39"/>
    </row>
    <row r="2514" spans="1:1" ht="15.75" customHeight="1" x14ac:dyDescent="0.25">
      <c r="A2514" s="39"/>
    </row>
    <row r="2515" spans="1:1" ht="15.75" customHeight="1" x14ac:dyDescent="0.25">
      <c r="A2515" s="39"/>
    </row>
    <row r="2516" spans="1:1" ht="15.75" customHeight="1" x14ac:dyDescent="0.25">
      <c r="A2516" s="39"/>
    </row>
    <row r="2517" spans="1:1" ht="15.75" customHeight="1" x14ac:dyDescent="0.25">
      <c r="A2517" s="39"/>
    </row>
    <row r="2518" spans="1:1" ht="15.75" customHeight="1" x14ac:dyDescent="0.25">
      <c r="A2518" s="39"/>
    </row>
    <row r="2519" spans="1:1" ht="15.75" customHeight="1" x14ac:dyDescent="0.25">
      <c r="A2519" s="39"/>
    </row>
    <row r="2520" spans="1:1" ht="15.75" customHeight="1" x14ac:dyDescent="0.25">
      <c r="A2520" s="39"/>
    </row>
    <row r="2521" spans="1:1" ht="15.75" customHeight="1" x14ac:dyDescent="0.25">
      <c r="A2521" s="39"/>
    </row>
    <row r="2522" spans="1:1" ht="15.75" customHeight="1" x14ac:dyDescent="0.25">
      <c r="A2522" s="39"/>
    </row>
    <row r="2523" spans="1:1" ht="15.75" customHeight="1" x14ac:dyDescent="0.25">
      <c r="A2523" s="39"/>
    </row>
    <row r="2524" spans="1:1" ht="15.75" customHeight="1" x14ac:dyDescent="0.25">
      <c r="A2524" s="39"/>
    </row>
    <row r="2525" spans="1:1" ht="15.75" customHeight="1" x14ac:dyDescent="0.25">
      <c r="A2525" s="39"/>
    </row>
    <row r="2526" spans="1:1" ht="15.75" customHeight="1" x14ac:dyDescent="0.25">
      <c r="A2526" s="39"/>
    </row>
    <row r="2527" spans="1:1" ht="15.75" customHeight="1" x14ac:dyDescent="0.25">
      <c r="A2527" s="39"/>
    </row>
    <row r="2528" spans="1:1" ht="15.75" customHeight="1" x14ac:dyDescent="0.25">
      <c r="A2528" s="39"/>
    </row>
    <row r="2529" spans="1:1" ht="15.75" customHeight="1" x14ac:dyDescent="0.25">
      <c r="A2529" s="39"/>
    </row>
    <row r="2530" spans="1:1" ht="15.75" customHeight="1" x14ac:dyDescent="0.25">
      <c r="A2530" s="39"/>
    </row>
    <row r="2531" spans="1:1" ht="15.75" customHeight="1" x14ac:dyDescent="0.25">
      <c r="A2531" s="39"/>
    </row>
    <row r="2532" spans="1:1" ht="15.75" customHeight="1" x14ac:dyDescent="0.25">
      <c r="A2532" s="39"/>
    </row>
    <row r="2533" spans="1:1" ht="15.75" customHeight="1" x14ac:dyDescent="0.25">
      <c r="A2533" s="39"/>
    </row>
    <row r="2534" spans="1:1" ht="15.75" customHeight="1" x14ac:dyDescent="0.25">
      <c r="A2534" s="39"/>
    </row>
    <row r="2535" spans="1:1" ht="15.75" customHeight="1" x14ac:dyDescent="0.25">
      <c r="A2535" s="39"/>
    </row>
    <row r="2536" spans="1:1" ht="15.75" customHeight="1" x14ac:dyDescent="0.25">
      <c r="A2536" s="39"/>
    </row>
    <row r="2537" spans="1:1" ht="15.75" customHeight="1" x14ac:dyDescent="0.25">
      <c r="A2537" s="39"/>
    </row>
    <row r="2538" spans="1:1" ht="15.75" customHeight="1" x14ac:dyDescent="0.25">
      <c r="A2538" s="39"/>
    </row>
    <row r="2539" spans="1:1" ht="15.75" customHeight="1" x14ac:dyDescent="0.25">
      <c r="A2539" s="39"/>
    </row>
    <row r="2540" spans="1:1" ht="15.75" customHeight="1" x14ac:dyDescent="0.25">
      <c r="A2540" s="39"/>
    </row>
    <row r="2541" spans="1:1" ht="15.75" customHeight="1" x14ac:dyDescent="0.25">
      <c r="A2541" s="39"/>
    </row>
    <row r="2542" spans="1:1" ht="15.75" customHeight="1" x14ac:dyDescent="0.25">
      <c r="A2542" s="39"/>
    </row>
    <row r="2543" spans="1:1" ht="15.75" customHeight="1" x14ac:dyDescent="0.25">
      <c r="A2543" s="39"/>
    </row>
    <row r="2544" spans="1:1" ht="15.75" customHeight="1" x14ac:dyDescent="0.25">
      <c r="A2544" s="39"/>
    </row>
    <row r="2545" spans="1:1" ht="15.75" customHeight="1" x14ac:dyDescent="0.25">
      <c r="A2545" s="39"/>
    </row>
    <row r="2546" spans="1:1" ht="15.75" customHeight="1" x14ac:dyDescent="0.25">
      <c r="A2546" s="39"/>
    </row>
    <row r="2547" spans="1:1" ht="15.75" customHeight="1" x14ac:dyDescent="0.25">
      <c r="A2547" s="39"/>
    </row>
    <row r="2548" spans="1:1" ht="15.75" customHeight="1" x14ac:dyDescent="0.25">
      <c r="A2548" s="39"/>
    </row>
    <row r="2549" spans="1:1" ht="15.75" customHeight="1" x14ac:dyDescent="0.25">
      <c r="A2549" s="39"/>
    </row>
    <row r="2550" spans="1:1" ht="15.75" customHeight="1" x14ac:dyDescent="0.25">
      <c r="A2550" s="39"/>
    </row>
    <row r="2551" spans="1:1" ht="15.75" customHeight="1" x14ac:dyDescent="0.25">
      <c r="A2551" s="39"/>
    </row>
    <row r="2552" spans="1:1" ht="15.75" customHeight="1" x14ac:dyDescent="0.25">
      <c r="A2552" s="39"/>
    </row>
    <row r="2553" spans="1:1" ht="15.75" customHeight="1" x14ac:dyDescent="0.25">
      <c r="A2553" s="39"/>
    </row>
    <row r="2554" spans="1:1" ht="15.75" customHeight="1" x14ac:dyDescent="0.25">
      <c r="A2554" s="39"/>
    </row>
    <row r="2555" spans="1:1" ht="15.75" customHeight="1" x14ac:dyDescent="0.25">
      <c r="A2555" s="39"/>
    </row>
    <row r="2556" spans="1:1" ht="15.75" customHeight="1" x14ac:dyDescent="0.25">
      <c r="A2556" s="39"/>
    </row>
    <row r="2557" spans="1:1" ht="15.75" customHeight="1" x14ac:dyDescent="0.25">
      <c r="A2557" s="39"/>
    </row>
    <row r="2558" spans="1:1" ht="15.75" customHeight="1" x14ac:dyDescent="0.25">
      <c r="A2558" s="39"/>
    </row>
    <row r="2559" spans="1:1" ht="15.75" customHeight="1" x14ac:dyDescent="0.25">
      <c r="A2559" s="39"/>
    </row>
    <row r="2560" spans="1:1" ht="15.75" customHeight="1" x14ac:dyDescent="0.25">
      <c r="A2560" s="39"/>
    </row>
    <row r="2561" spans="1:1" ht="15.75" customHeight="1" x14ac:dyDescent="0.25">
      <c r="A2561" s="39"/>
    </row>
    <row r="2562" spans="1:1" ht="15.75" customHeight="1" x14ac:dyDescent="0.25">
      <c r="A2562" s="39"/>
    </row>
    <row r="2563" spans="1:1" ht="15.75" customHeight="1" x14ac:dyDescent="0.25">
      <c r="A2563" s="39"/>
    </row>
    <row r="2564" spans="1:1" ht="15.75" customHeight="1" x14ac:dyDescent="0.25">
      <c r="A2564" s="39"/>
    </row>
    <row r="2565" spans="1:1" ht="15.75" customHeight="1" x14ac:dyDescent="0.25">
      <c r="A2565" s="39"/>
    </row>
    <row r="2566" spans="1:1" ht="15.75" customHeight="1" x14ac:dyDescent="0.25">
      <c r="A2566" s="39"/>
    </row>
    <row r="2567" spans="1:1" ht="15.75" customHeight="1" x14ac:dyDescent="0.25">
      <c r="A2567" s="39"/>
    </row>
    <row r="2568" spans="1:1" ht="15.75" customHeight="1" x14ac:dyDescent="0.25">
      <c r="A2568" s="39"/>
    </row>
    <row r="2569" spans="1:1" ht="15.75" customHeight="1" x14ac:dyDescent="0.25">
      <c r="A2569" s="39"/>
    </row>
    <row r="2570" spans="1:1" ht="15.75" customHeight="1" x14ac:dyDescent="0.25">
      <c r="A2570" s="39"/>
    </row>
    <row r="2571" spans="1:1" ht="15.75" customHeight="1" x14ac:dyDescent="0.25">
      <c r="A2571" s="39"/>
    </row>
    <row r="2572" spans="1:1" ht="15.75" customHeight="1" x14ac:dyDescent="0.25">
      <c r="A2572" s="39"/>
    </row>
    <row r="2573" spans="1:1" ht="15.75" customHeight="1" x14ac:dyDescent="0.25">
      <c r="A2573" s="39"/>
    </row>
    <row r="2574" spans="1:1" ht="15.75" customHeight="1" x14ac:dyDescent="0.25">
      <c r="A2574" s="39"/>
    </row>
    <row r="2575" spans="1:1" ht="15.75" customHeight="1" x14ac:dyDescent="0.25">
      <c r="A2575" s="39"/>
    </row>
    <row r="2576" spans="1:1" ht="15.75" customHeight="1" x14ac:dyDescent="0.25">
      <c r="A2576" s="39"/>
    </row>
    <row r="2577" spans="1:1" ht="15.75" customHeight="1" x14ac:dyDescent="0.25">
      <c r="A2577" s="39"/>
    </row>
    <row r="2578" spans="1:1" ht="15.75" customHeight="1" x14ac:dyDescent="0.25">
      <c r="A2578" s="39"/>
    </row>
    <row r="2579" spans="1:1" ht="15.75" customHeight="1" x14ac:dyDescent="0.25">
      <c r="A2579" s="39"/>
    </row>
    <row r="2580" spans="1:1" ht="15.75" customHeight="1" x14ac:dyDescent="0.25">
      <c r="A2580" s="39"/>
    </row>
    <row r="2581" spans="1:1" ht="15.75" customHeight="1" x14ac:dyDescent="0.25">
      <c r="A2581" s="39"/>
    </row>
    <row r="2582" spans="1:1" ht="15.75" customHeight="1" x14ac:dyDescent="0.25">
      <c r="A2582" s="39"/>
    </row>
    <row r="2583" spans="1:1" ht="15.75" customHeight="1" x14ac:dyDescent="0.25">
      <c r="A2583" s="39"/>
    </row>
    <row r="2584" spans="1:1" ht="15.75" customHeight="1" x14ac:dyDescent="0.25">
      <c r="A2584" s="39"/>
    </row>
    <row r="2585" spans="1:1" ht="15.75" customHeight="1" x14ac:dyDescent="0.25">
      <c r="A2585" s="39"/>
    </row>
    <row r="2586" spans="1:1" ht="15.75" customHeight="1" x14ac:dyDescent="0.25">
      <c r="A2586" s="39"/>
    </row>
    <row r="2587" spans="1:1" ht="15.75" customHeight="1" x14ac:dyDescent="0.25">
      <c r="A2587" s="39"/>
    </row>
    <row r="2588" spans="1:1" ht="15.75" customHeight="1" x14ac:dyDescent="0.25">
      <c r="A2588" s="39"/>
    </row>
    <row r="2589" spans="1:1" ht="15.75" customHeight="1" x14ac:dyDescent="0.25">
      <c r="A2589" s="39"/>
    </row>
    <row r="2590" spans="1:1" ht="15.75" customHeight="1" x14ac:dyDescent="0.25">
      <c r="A2590" s="39"/>
    </row>
    <row r="2591" spans="1:1" ht="15.75" customHeight="1" x14ac:dyDescent="0.25">
      <c r="A2591" s="39"/>
    </row>
    <row r="2592" spans="1:1" ht="15.75" customHeight="1" x14ac:dyDescent="0.25">
      <c r="A2592" s="39"/>
    </row>
    <row r="2593" spans="1:1" ht="15.75" customHeight="1" x14ac:dyDescent="0.25">
      <c r="A2593" s="39"/>
    </row>
    <row r="2594" spans="1:1" ht="15.75" customHeight="1" x14ac:dyDescent="0.25">
      <c r="A2594" s="39"/>
    </row>
    <row r="2595" spans="1:1" ht="15.75" customHeight="1" x14ac:dyDescent="0.25">
      <c r="A2595" s="39"/>
    </row>
    <row r="2596" spans="1:1" ht="15.75" customHeight="1" x14ac:dyDescent="0.25">
      <c r="A2596" s="39"/>
    </row>
    <row r="2597" spans="1:1" ht="15.75" customHeight="1" x14ac:dyDescent="0.25">
      <c r="A2597" s="39"/>
    </row>
    <row r="2598" spans="1:1" ht="15.75" customHeight="1" x14ac:dyDescent="0.25">
      <c r="A2598" s="39"/>
    </row>
    <row r="2599" spans="1:1" ht="15.75" customHeight="1" x14ac:dyDescent="0.25">
      <c r="A2599" s="39"/>
    </row>
    <row r="2600" spans="1:1" ht="15.75" customHeight="1" x14ac:dyDescent="0.25">
      <c r="A2600" s="39"/>
    </row>
    <row r="2601" spans="1:1" ht="15.75" customHeight="1" x14ac:dyDescent="0.25">
      <c r="A2601" s="39"/>
    </row>
    <row r="2602" spans="1:1" ht="15.75" customHeight="1" x14ac:dyDescent="0.25">
      <c r="A2602" s="39"/>
    </row>
    <row r="2603" spans="1:1" ht="15.75" customHeight="1" x14ac:dyDescent="0.25">
      <c r="A2603" s="39"/>
    </row>
    <row r="2604" spans="1:1" ht="15.75" customHeight="1" x14ac:dyDescent="0.25">
      <c r="A2604" s="39"/>
    </row>
    <row r="2605" spans="1:1" ht="15.75" customHeight="1" x14ac:dyDescent="0.25">
      <c r="A2605" s="39"/>
    </row>
    <row r="2606" spans="1:1" ht="15.75" customHeight="1" x14ac:dyDescent="0.25">
      <c r="A2606" s="39"/>
    </row>
    <row r="2607" spans="1:1" ht="15.75" customHeight="1" x14ac:dyDescent="0.25">
      <c r="A2607" s="39"/>
    </row>
    <row r="2608" spans="1:1" ht="15.75" customHeight="1" x14ac:dyDescent="0.25">
      <c r="A2608" s="39"/>
    </row>
    <row r="2609" spans="1:1" ht="15.75" customHeight="1" x14ac:dyDescent="0.25">
      <c r="A2609" s="39"/>
    </row>
    <row r="2610" spans="1:1" ht="15.75" customHeight="1" x14ac:dyDescent="0.25">
      <c r="A2610" s="39"/>
    </row>
    <row r="2611" spans="1:1" ht="15.75" customHeight="1" x14ac:dyDescent="0.25">
      <c r="A2611" s="39"/>
    </row>
    <row r="2612" spans="1:1" ht="15.75" customHeight="1" x14ac:dyDescent="0.25">
      <c r="A2612" s="39"/>
    </row>
    <row r="2613" spans="1:1" ht="15.75" customHeight="1" x14ac:dyDescent="0.25">
      <c r="A2613" s="39"/>
    </row>
    <row r="2614" spans="1:1" ht="15.75" customHeight="1" x14ac:dyDescent="0.25">
      <c r="A2614" s="39"/>
    </row>
    <row r="2615" spans="1:1" ht="15.75" customHeight="1" x14ac:dyDescent="0.25">
      <c r="A2615" s="39"/>
    </row>
    <row r="2616" spans="1:1" ht="15.75" customHeight="1" x14ac:dyDescent="0.25">
      <c r="A2616" s="39"/>
    </row>
    <row r="2617" spans="1:1" ht="15.75" customHeight="1" x14ac:dyDescent="0.25">
      <c r="A2617" s="39"/>
    </row>
    <row r="2618" spans="1:1" ht="15.75" customHeight="1" x14ac:dyDescent="0.25">
      <c r="A2618" s="39"/>
    </row>
    <row r="2619" spans="1:1" ht="15.75" customHeight="1" x14ac:dyDescent="0.25">
      <c r="A2619" s="39"/>
    </row>
    <row r="2620" spans="1:1" ht="15.75" customHeight="1" x14ac:dyDescent="0.25">
      <c r="A2620" s="39"/>
    </row>
    <row r="2621" spans="1:1" ht="15.75" customHeight="1" x14ac:dyDescent="0.25">
      <c r="A2621" s="39"/>
    </row>
    <row r="2622" spans="1:1" ht="15.75" customHeight="1" x14ac:dyDescent="0.25">
      <c r="A2622" s="39"/>
    </row>
    <row r="2623" spans="1:1" ht="15.75" customHeight="1" x14ac:dyDescent="0.25">
      <c r="A2623" s="39"/>
    </row>
    <row r="2624" spans="1:1" ht="15.75" customHeight="1" x14ac:dyDescent="0.25">
      <c r="A2624" s="39"/>
    </row>
    <row r="2625" spans="1:1" ht="15.75" customHeight="1" x14ac:dyDescent="0.25">
      <c r="A2625" s="39"/>
    </row>
    <row r="2626" spans="1:1" ht="15.75" customHeight="1" x14ac:dyDescent="0.25">
      <c r="A2626" s="39"/>
    </row>
    <row r="2627" spans="1:1" ht="15.75" customHeight="1" x14ac:dyDescent="0.25">
      <c r="A2627" s="39"/>
    </row>
    <row r="2628" spans="1:1" ht="15.75" customHeight="1" x14ac:dyDescent="0.25">
      <c r="A2628" s="39"/>
    </row>
    <row r="2629" spans="1:1" ht="15.75" customHeight="1" x14ac:dyDescent="0.25">
      <c r="A2629" s="39"/>
    </row>
    <row r="2630" spans="1:1" ht="15.75" customHeight="1" x14ac:dyDescent="0.25">
      <c r="A2630" s="39"/>
    </row>
    <row r="2631" spans="1:1" ht="15.75" customHeight="1" x14ac:dyDescent="0.25">
      <c r="A2631" s="39"/>
    </row>
    <row r="2632" spans="1:1" ht="15.75" customHeight="1" x14ac:dyDescent="0.25">
      <c r="A2632" s="39"/>
    </row>
    <row r="2633" spans="1:1" ht="15.75" customHeight="1" x14ac:dyDescent="0.25">
      <c r="A2633" s="39"/>
    </row>
    <row r="2634" spans="1:1" ht="15.75" customHeight="1" x14ac:dyDescent="0.25">
      <c r="A2634" s="39"/>
    </row>
    <row r="2635" spans="1:1" ht="15.75" customHeight="1" x14ac:dyDescent="0.25">
      <c r="A2635" s="39"/>
    </row>
    <row r="2636" spans="1:1" ht="15.75" customHeight="1" x14ac:dyDescent="0.25">
      <c r="A2636" s="39"/>
    </row>
    <row r="2637" spans="1:1" ht="15.75" customHeight="1" x14ac:dyDescent="0.25">
      <c r="A2637" s="39"/>
    </row>
    <row r="2638" spans="1:1" ht="15.75" customHeight="1" x14ac:dyDescent="0.25">
      <c r="A2638" s="39"/>
    </row>
    <row r="2639" spans="1:1" ht="15.75" customHeight="1" x14ac:dyDescent="0.25">
      <c r="A2639" s="39"/>
    </row>
    <row r="2640" spans="1:1" ht="15.75" customHeight="1" x14ac:dyDescent="0.25">
      <c r="A2640" s="39"/>
    </row>
    <row r="2641" spans="1:1" ht="15.75" customHeight="1" x14ac:dyDescent="0.25">
      <c r="A2641" s="39"/>
    </row>
    <row r="2642" spans="1:1" ht="15.75" customHeight="1" x14ac:dyDescent="0.25">
      <c r="A2642" s="39"/>
    </row>
    <row r="2643" spans="1:1" ht="15.75" customHeight="1" x14ac:dyDescent="0.25">
      <c r="A2643" s="39"/>
    </row>
    <row r="2644" spans="1:1" ht="15.75" customHeight="1" x14ac:dyDescent="0.25">
      <c r="A2644" s="39"/>
    </row>
    <row r="2645" spans="1:1" ht="15.75" customHeight="1" x14ac:dyDescent="0.25">
      <c r="A2645" s="39"/>
    </row>
    <row r="2646" spans="1:1" ht="15.75" customHeight="1" x14ac:dyDescent="0.25">
      <c r="A2646" s="39"/>
    </row>
    <row r="2647" spans="1:1" ht="15.75" customHeight="1" x14ac:dyDescent="0.25">
      <c r="A2647" s="39"/>
    </row>
    <row r="2648" spans="1:1" ht="15.75" customHeight="1" x14ac:dyDescent="0.25">
      <c r="A2648" s="39"/>
    </row>
    <row r="2649" spans="1:1" ht="15.75" customHeight="1" x14ac:dyDescent="0.25">
      <c r="A2649" s="39"/>
    </row>
    <row r="2650" spans="1:1" ht="15.75" customHeight="1" x14ac:dyDescent="0.25">
      <c r="A2650" s="39"/>
    </row>
    <row r="2651" spans="1:1" ht="15.75" customHeight="1" x14ac:dyDescent="0.25">
      <c r="A2651" s="39"/>
    </row>
    <row r="2652" spans="1:1" ht="15.75" customHeight="1" x14ac:dyDescent="0.25">
      <c r="A2652" s="39"/>
    </row>
    <row r="2653" spans="1:1" ht="15.75" customHeight="1" x14ac:dyDescent="0.25">
      <c r="A2653" s="39"/>
    </row>
    <row r="2654" spans="1:1" ht="15.75" customHeight="1" x14ac:dyDescent="0.25">
      <c r="A2654" s="39"/>
    </row>
    <row r="2655" spans="1:1" ht="15.75" customHeight="1" x14ac:dyDescent="0.25">
      <c r="A2655" s="39"/>
    </row>
    <row r="2656" spans="1:1" ht="15.75" customHeight="1" x14ac:dyDescent="0.25">
      <c r="A2656" s="39"/>
    </row>
    <row r="2657" spans="1:1" ht="15.75" customHeight="1" x14ac:dyDescent="0.25">
      <c r="A2657" s="39"/>
    </row>
    <row r="2658" spans="1:1" ht="15.75" customHeight="1" x14ac:dyDescent="0.25">
      <c r="A2658" s="39"/>
    </row>
    <row r="2659" spans="1:1" ht="15.75" customHeight="1" x14ac:dyDescent="0.25">
      <c r="A2659" s="39"/>
    </row>
    <row r="2660" spans="1:1" ht="15.75" customHeight="1" x14ac:dyDescent="0.25">
      <c r="A2660" s="39"/>
    </row>
    <row r="2661" spans="1:1" ht="15.75" customHeight="1" x14ac:dyDescent="0.25">
      <c r="A2661" s="39"/>
    </row>
    <row r="2662" spans="1:1" ht="15.75" customHeight="1" x14ac:dyDescent="0.25">
      <c r="A2662" s="39"/>
    </row>
    <row r="2663" spans="1:1" ht="15.75" customHeight="1" x14ac:dyDescent="0.25">
      <c r="A2663" s="39"/>
    </row>
    <row r="2664" spans="1:1" ht="15.75" customHeight="1" x14ac:dyDescent="0.25">
      <c r="A2664" s="39"/>
    </row>
    <row r="2665" spans="1:1" ht="15.75" customHeight="1" x14ac:dyDescent="0.25">
      <c r="A2665" s="39"/>
    </row>
    <row r="2666" spans="1:1" ht="15.75" customHeight="1" x14ac:dyDescent="0.25">
      <c r="A2666" s="39"/>
    </row>
    <row r="2667" spans="1:1" ht="15.75" customHeight="1" x14ac:dyDescent="0.25">
      <c r="A2667" s="39"/>
    </row>
    <row r="2668" spans="1:1" ht="15.75" customHeight="1" x14ac:dyDescent="0.25">
      <c r="A2668" s="39"/>
    </row>
    <row r="2669" spans="1:1" ht="15.75" customHeight="1" x14ac:dyDescent="0.25">
      <c r="A2669" s="39"/>
    </row>
    <row r="2670" spans="1:1" ht="15.75" customHeight="1" x14ac:dyDescent="0.25">
      <c r="A2670" s="39"/>
    </row>
    <row r="2671" spans="1:1" ht="15.75" customHeight="1" x14ac:dyDescent="0.25">
      <c r="A2671" s="39"/>
    </row>
    <row r="2672" spans="1:1" ht="15.75" customHeight="1" x14ac:dyDescent="0.25">
      <c r="A2672" s="39"/>
    </row>
    <row r="2673" spans="1:1" ht="15.75" customHeight="1" x14ac:dyDescent="0.25">
      <c r="A2673" s="39"/>
    </row>
    <row r="2674" spans="1:1" ht="15.75" customHeight="1" x14ac:dyDescent="0.25">
      <c r="A2674" s="39"/>
    </row>
    <row r="2675" spans="1:1" ht="15.75" customHeight="1" x14ac:dyDescent="0.25">
      <c r="A2675" s="39"/>
    </row>
    <row r="2676" spans="1:1" ht="15.75" customHeight="1" x14ac:dyDescent="0.25">
      <c r="A2676" s="39"/>
    </row>
    <row r="2677" spans="1:1" ht="15.75" customHeight="1" x14ac:dyDescent="0.25">
      <c r="A2677" s="39"/>
    </row>
    <row r="2678" spans="1:1" ht="15.75" customHeight="1" x14ac:dyDescent="0.25">
      <c r="A2678" s="39"/>
    </row>
    <row r="2679" spans="1:1" ht="15.75" customHeight="1" x14ac:dyDescent="0.25">
      <c r="A2679" s="39"/>
    </row>
    <row r="2680" spans="1:1" ht="15.75" customHeight="1" x14ac:dyDescent="0.25">
      <c r="A2680" s="39"/>
    </row>
    <row r="2681" spans="1:1" ht="15.75" customHeight="1" x14ac:dyDescent="0.25">
      <c r="A2681" s="39"/>
    </row>
    <row r="2682" spans="1:1" ht="15.75" customHeight="1" x14ac:dyDescent="0.25">
      <c r="A2682" s="39"/>
    </row>
    <row r="2683" spans="1:1" ht="15.75" customHeight="1" x14ac:dyDescent="0.25">
      <c r="A2683" s="39"/>
    </row>
    <row r="2684" spans="1:1" ht="15.75" customHeight="1" x14ac:dyDescent="0.25">
      <c r="A2684" s="39"/>
    </row>
    <row r="2685" spans="1:1" ht="15.75" customHeight="1" x14ac:dyDescent="0.25">
      <c r="A2685" s="39"/>
    </row>
    <row r="2686" spans="1:1" ht="15.75" customHeight="1" x14ac:dyDescent="0.25">
      <c r="A2686" s="39"/>
    </row>
    <row r="2687" spans="1:1" ht="15.75" customHeight="1" x14ac:dyDescent="0.25">
      <c r="A2687" s="39"/>
    </row>
    <row r="2688" spans="1:1" ht="15.75" customHeight="1" x14ac:dyDescent="0.25">
      <c r="A2688" s="39"/>
    </row>
    <row r="2689" spans="1:1" ht="15.75" customHeight="1" x14ac:dyDescent="0.25">
      <c r="A2689" s="39"/>
    </row>
    <row r="2690" spans="1:1" ht="15.75" customHeight="1" x14ac:dyDescent="0.25">
      <c r="A2690" s="39"/>
    </row>
    <row r="2691" spans="1:1" ht="15.75" customHeight="1" x14ac:dyDescent="0.25">
      <c r="A2691" s="39"/>
    </row>
    <row r="2692" spans="1:1" ht="15.75" customHeight="1" x14ac:dyDescent="0.25">
      <c r="A2692" s="39"/>
    </row>
    <row r="2693" spans="1:1" ht="15.75" customHeight="1" x14ac:dyDescent="0.25">
      <c r="A2693" s="39"/>
    </row>
    <row r="2694" spans="1:1" ht="15.75" customHeight="1" x14ac:dyDescent="0.25">
      <c r="A2694" s="39"/>
    </row>
    <row r="2695" spans="1:1" ht="15.75" customHeight="1" x14ac:dyDescent="0.25">
      <c r="A2695" s="39"/>
    </row>
    <row r="2696" spans="1:1" ht="15.75" customHeight="1" x14ac:dyDescent="0.25">
      <c r="A2696" s="39"/>
    </row>
    <row r="2697" spans="1:1" ht="15.75" customHeight="1" x14ac:dyDescent="0.25">
      <c r="A2697" s="39"/>
    </row>
    <row r="2698" spans="1:1" ht="15.75" customHeight="1" x14ac:dyDescent="0.25">
      <c r="A2698" s="39"/>
    </row>
    <row r="2699" spans="1:1" ht="15.75" customHeight="1" x14ac:dyDescent="0.25">
      <c r="A2699" s="39"/>
    </row>
    <row r="2700" spans="1:1" ht="15.75" customHeight="1" x14ac:dyDescent="0.25">
      <c r="A2700" s="39"/>
    </row>
    <row r="2701" spans="1:1" ht="15.75" customHeight="1" x14ac:dyDescent="0.25">
      <c r="A2701" s="39"/>
    </row>
    <row r="2702" spans="1:1" ht="15.75" customHeight="1" x14ac:dyDescent="0.25">
      <c r="A2702" s="39"/>
    </row>
    <row r="2703" spans="1:1" ht="15.75" customHeight="1" x14ac:dyDescent="0.25">
      <c r="A2703" s="39"/>
    </row>
    <row r="2704" spans="1:1" ht="15.75" customHeight="1" x14ac:dyDescent="0.25">
      <c r="A2704" s="39"/>
    </row>
    <row r="2705" spans="1:1" ht="15.75" customHeight="1" x14ac:dyDescent="0.25">
      <c r="A2705" s="39"/>
    </row>
    <row r="2706" spans="1:1" ht="15.75" customHeight="1" x14ac:dyDescent="0.25">
      <c r="A2706" s="39"/>
    </row>
    <row r="2707" spans="1:1" ht="15.75" customHeight="1" x14ac:dyDescent="0.25">
      <c r="A2707" s="39"/>
    </row>
    <row r="2708" spans="1:1" ht="15.75" customHeight="1" x14ac:dyDescent="0.25">
      <c r="A2708" s="39"/>
    </row>
    <row r="2709" spans="1:1" ht="15.75" customHeight="1" x14ac:dyDescent="0.25">
      <c r="A2709" s="39"/>
    </row>
    <row r="2710" spans="1:1" ht="15.75" customHeight="1" x14ac:dyDescent="0.25">
      <c r="A2710" s="39"/>
    </row>
    <row r="2711" spans="1:1" ht="15.75" customHeight="1" x14ac:dyDescent="0.25">
      <c r="A2711" s="39"/>
    </row>
    <row r="2712" spans="1:1" ht="15.75" customHeight="1" x14ac:dyDescent="0.25">
      <c r="A2712" s="39"/>
    </row>
    <row r="2713" spans="1:1" ht="15.75" customHeight="1" x14ac:dyDescent="0.25">
      <c r="A2713" s="39"/>
    </row>
    <row r="2714" spans="1:1" ht="15.75" customHeight="1" x14ac:dyDescent="0.25">
      <c r="A2714" s="39"/>
    </row>
    <row r="2715" spans="1:1" ht="15.75" customHeight="1" x14ac:dyDescent="0.25">
      <c r="A2715" s="39"/>
    </row>
    <row r="2716" spans="1:1" ht="15.75" customHeight="1" x14ac:dyDescent="0.25">
      <c r="A2716" s="39"/>
    </row>
    <row r="2717" spans="1:1" ht="15.75" customHeight="1" x14ac:dyDescent="0.25">
      <c r="A2717" s="39"/>
    </row>
    <row r="2718" spans="1:1" ht="15.75" customHeight="1" x14ac:dyDescent="0.25">
      <c r="A2718" s="39"/>
    </row>
    <row r="2719" spans="1:1" ht="15.75" customHeight="1" x14ac:dyDescent="0.25">
      <c r="A2719" s="39"/>
    </row>
    <row r="2720" spans="1:1" ht="15.75" customHeight="1" x14ac:dyDescent="0.25">
      <c r="A2720" s="39"/>
    </row>
    <row r="2721" spans="1:1" ht="15.75" customHeight="1" x14ac:dyDescent="0.25">
      <c r="A2721" s="39"/>
    </row>
    <row r="2722" spans="1:1" ht="15.75" customHeight="1" x14ac:dyDescent="0.25">
      <c r="A2722" s="39"/>
    </row>
    <row r="2723" spans="1:1" ht="15.75" customHeight="1" x14ac:dyDescent="0.25">
      <c r="A2723" s="39"/>
    </row>
    <row r="2724" spans="1:1" ht="15.75" customHeight="1" x14ac:dyDescent="0.25">
      <c r="A2724" s="39"/>
    </row>
    <row r="2725" spans="1:1" ht="15.75" customHeight="1" x14ac:dyDescent="0.25">
      <c r="A2725" s="39"/>
    </row>
    <row r="2726" spans="1:1" ht="15.75" customHeight="1" x14ac:dyDescent="0.25">
      <c r="A2726" s="39"/>
    </row>
    <row r="2727" spans="1:1" ht="15.75" customHeight="1" x14ac:dyDescent="0.25">
      <c r="A2727" s="39"/>
    </row>
    <row r="2728" spans="1:1" ht="15.75" customHeight="1" x14ac:dyDescent="0.25">
      <c r="A2728" s="39"/>
    </row>
    <row r="2729" spans="1:1" ht="15.75" customHeight="1" x14ac:dyDescent="0.25">
      <c r="A2729" s="39"/>
    </row>
    <row r="2730" spans="1:1" ht="15.75" customHeight="1" x14ac:dyDescent="0.25">
      <c r="A2730" s="39"/>
    </row>
    <row r="2731" spans="1:1" ht="15.75" customHeight="1" x14ac:dyDescent="0.25">
      <c r="A2731" s="39"/>
    </row>
    <row r="2732" spans="1:1" ht="15.75" customHeight="1" x14ac:dyDescent="0.25">
      <c r="A2732" s="39"/>
    </row>
    <row r="2733" spans="1:1" ht="15.75" customHeight="1" x14ac:dyDescent="0.25">
      <c r="A2733" s="39"/>
    </row>
    <row r="2734" spans="1:1" ht="15.75" customHeight="1" x14ac:dyDescent="0.25">
      <c r="A2734" s="39"/>
    </row>
    <row r="2735" spans="1:1" ht="15.75" customHeight="1" x14ac:dyDescent="0.25">
      <c r="A2735" s="39"/>
    </row>
    <row r="2736" spans="1:1" ht="15.75" customHeight="1" x14ac:dyDescent="0.25">
      <c r="A2736" s="39"/>
    </row>
    <row r="2737" spans="1:1" ht="15.75" customHeight="1" x14ac:dyDescent="0.25">
      <c r="A2737" s="39"/>
    </row>
    <row r="2738" spans="1:1" ht="15.75" customHeight="1" x14ac:dyDescent="0.25">
      <c r="A2738" s="39"/>
    </row>
    <row r="2739" spans="1:1" ht="15.75" customHeight="1" x14ac:dyDescent="0.25">
      <c r="A2739" s="39"/>
    </row>
    <row r="2740" spans="1:1" ht="15.75" customHeight="1" x14ac:dyDescent="0.25">
      <c r="A2740" s="39"/>
    </row>
    <row r="2741" spans="1:1" ht="15.75" customHeight="1" x14ac:dyDescent="0.25">
      <c r="A2741" s="39"/>
    </row>
    <row r="2742" spans="1:1" ht="15.75" customHeight="1" x14ac:dyDescent="0.25">
      <c r="A2742" s="39"/>
    </row>
    <row r="2743" spans="1:1" ht="15.75" customHeight="1" x14ac:dyDescent="0.25">
      <c r="A2743" s="39"/>
    </row>
    <row r="2744" spans="1:1" ht="15.75" customHeight="1" x14ac:dyDescent="0.25">
      <c r="A2744" s="39"/>
    </row>
    <row r="2745" spans="1:1" ht="15.75" customHeight="1" x14ac:dyDescent="0.25">
      <c r="A2745" s="39"/>
    </row>
    <row r="2746" spans="1:1" ht="15.75" customHeight="1" x14ac:dyDescent="0.25">
      <c r="A2746" s="39"/>
    </row>
    <row r="2747" spans="1:1" ht="15.75" customHeight="1" x14ac:dyDescent="0.25">
      <c r="A2747" s="39"/>
    </row>
    <row r="2748" spans="1:1" ht="15.75" customHeight="1" x14ac:dyDescent="0.25">
      <c r="A2748" s="39"/>
    </row>
    <row r="2749" spans="1:1" ht="15.75" customHeight="1" x14ac:dyDescent="0.25">
      <c r="A2749" s="39"/>
    </row>
    <row r="2750" spans="1:1" ht="15.75" customHeight="1" x14ac:dyDescent="0.25">
      <c r="A2750" s="39"/>
    </row>
    <row r="2751" spans="1:1" ht="15.75" customHeight="1" x14ac:dyDescent="0.25">
      <c r="A2751" s="39"/>
    </row>
    <row r="2752" spans="1:1" ht="15.75" customHeight="1" x14ac:dyDescent="0.25">
      <c r="A2752" s="39"/>
    </row>
    <row r="2753" spans="1:1" ht="15.75" customHeight="1" x14ac:dyDescent="0.25">
      <c r="A2753" s="39"/>
    </row>
    <row r="2754" spans="1:1" ht="15.75" customHeight="1" x14ac:dyDescent="0.25">
      <c r="A2754" s="39"/>
    </row>
    <row r="2755" spans="1:1" ht="15.75" customHeight="1" x14ac:dyDescent="0.25">
      <c r="A2755" s="39"/>
    </row>
    <row r="2756" spans="1:1" ht="15.75" customHeight="1" x14ac:dyDescent="0.25">
      <c r="A2756" s="39"/>
    </row>
    <row r="2757" spans="1:1" ht="15.75" customHeight="1" x14ac:dyDescent="0.25">
      <c r="A2757" s="39"/>
    </row>
    <row r="2758" spans="1:1" ht="15.75" customHeight="1" x14ac:dyDescent="0.25">
      <c r="A2758" s="39"/>
    </row>
    <row r="2759" spans="1:1" ht="15.75" customHeight="1" x14ac:dyDescent="0.25">
      <c r="A2759" s="39"/>
    </row>
    <row r="2760" spans="1:1" ht="15.75" customHeight="1" x14ac:dyDescent="0.25">
      <c r="A2760" s="39"/>
    </row>
    <row r="2761" spans="1:1" ht="15.75" customHeight="1" x14ac:dyDescent="0.25">
      <c r="A2761" s="39"/>
    </row>
    <row r="2762" spans="1:1" ht="15.75" customHeight="1" x14ac:dyDescent="0.25">
      <c r="A2762" s="39"/>
    </row>
    <row r="2763" spans="1:1" ht="15.75" customHeight="1" x14ac:dyDescent="0.25">
      <c r="A2763" s="39"/>
    </row>
    <row r="2764" spans="1:1" ht="15.75" customHeight="1" x14ac:dyDescent="0.25">
      <c r="A2764" s="39"/>
    </row>
    <row r="2765" spans="1:1" ht="15.75" customHeight="1" x14ac:dyDescent="0.25">
      <c r="A2765" s="39"/>
    </row>
    <row r="2766" spans="1:1" ht="15.75" customHeight="1" x14ac:dyDescent="0.25">
      <c r="A2766" s="39"/>
    </row>
    <row r="2767" spans="1:1" ht="15.75" customHeight="1" x14ac:dyDescent="0.25">
      <c r="A2767" s="39"/>
    </row>
    <row r="2768" spans="1:1" ht="15.75" customHeight="1" x14ac:dyDescent="0.25">
      <c r="A2768" s="39"/>
    </row>
    <row r="2769" spans="1:1" ht="15.75" customHeight="1" x14ac:dyDescent="0.25">
      <c r="A2769" s="39"/>
    </row>
    <row r="2770" spans="1:1" ht="15.75" customHeight="1" x14ac:dyDescent="0.25">
      <c r="A2770" s="39"/>
    </row>
    <row r="2771" spans="1:1" ht="15.75" customHeight="1" x14ac:dyDescent="0.25">
      <c r="A2771" s="39"/>
    </row>
    <row r="2772" spans="1:1" ht="15.75" customHeight="1" x14ac:dyDescent="0.25">
      <c r="A2772" s="39"/>
    </row>
    <row r="2773" spans="1:1" ht="15.75" customHeight="1" x14ac:dyDescent="0.25">
      <c r="A2773" s="39"/>
    </row>
    <row r="2774" spans="1:1" ht="15.75" customHeight="1" x14ac:dyDescent="0.25">
      <c r="A2774" s="39"/>
    </row>
    <row r="2775" spans="1:1" ht="15.75" customHeight="1" x14ac:dyDescent="0.25">
      <c r="A2775" s="39"/>
    </row>
    <row r="2776" spans="1:1" ht="15.75" customHeight="1" x14ac:dyDescent="0.25">
      <c r="A2776" s="39"/>
    </row>
    <row r="2777" spans="1:1" ht="15.75" customHeight="1" x14ac:dyDescent="0.25">
      <c r="A2777" s="39"/>
    </row>
    <row r="2778" spans="1:1" ht="15.75" customHeight="1" x14ac:dyDescent="0.25">
      <c r="A2778" s="39"/>
    </row>
    <row r="2779" spans="1:1" ht="15.75" customHeight="1" x14ac:dyDescent="0.25">
      <c r="A2779" s="39"/>
    </row>
    <row r="2780" spans="1:1" ht="15.75" customHeight="1" x14ac:dyDescent="0.25">
      <c r="A2780" s="39"/>
    </row>
    <row r="2781" spans="1:1" ht="15.75" customHeight="1" x14ac:dyDescent="0.25">
      <c r="A2781" s="39"/>
    </row>
    <row r="2782" spans="1:1" ht="15.75" customHeight="1" x14ac:dyDescent="0.25">
      <c r="A2782" s="39"/>
    </row>
    <row r="2783" spans="1:1" ht="15.75" customHeight="1" x14ac:dyDescent="0.25">
      <c r="A2783" s="39"/>
    </row>
    <row r="2784" spans="1:1" ht="15.75" customHeight="1" x14ac:dyDescent="0.25">
      <c r="A2784" s="39"/>
    </row>
    <row r="2785" spans="1:1" ht="15.75" customHeight="1" x14ac:dyDescent="0.25">
      <c r="A2785" s="39"/>
    </row>
    <row r="2786" spans="1:1" ht="15.75" customHeight="1" x14ac:dyDescent="0.25">
      <c r="A2786" s="39"/>
    </row>
    <row r="2787" spans="1:1" ht="15.75" customHeight="1" x14ac:dyDescent="0.25">
      <c r="A2787" s="39"/>
    </row>
    <row r="2788" spans="1:1" ht="15.75" customHeight="1" x14ac:dyDescent="0.25">
      <c r="A2788" s="39"/>
    </row>
    <row r="2789" spans="1:1" ht="15.75" customHeight="1" x14ac:dyDescent="0.25">
      <c r="A2789" s="39"/>
    </row>
    <row r="2790" spans="1:1" ht="15.75" customHeight="1" x14ac:dyDescent="0.25">
      <c r="A2790" s="39"/>
    </row>
    <row r="2791" spans="1:1" ht="15.75" customHeight="1" x14ac:dyDescent="0.25">
      <c r="A2791" s="39"/>
    </row>
    <row r="2792" spans="1:1" ht="15.75" customHeight="1" x14ac:dyDescent="0.25">
      <c r="A2792" s="39"/>
    </row>
    <row r="2793" spans="1:1" ht="15.75" customHeight="1" x14ac:dyDescent="0.25">
      <c r="A2793" s="39"/>
    </row>
    <row r="2794" spans="1:1" ht="15.75" customHeight="1" x14ac:dyDescent="0.25">
      <c r="A2794" s="39"/>
    </row>
    <row r="2795" spans="1:1" ht="15.75" customHeight="1" x14ac:dyDescent="0.25">
      <c r="A2795" s="39"/>
    </row>
    <row r="2796" spans="1:1" ht="15.75" customHeight="1" x14ac:dyDescent="0.25">
      <c r="A2796" s="39"/>
    </row>
    <row r="2797" spans="1:1" ht="15.75" customHeight="1" x14ac:dyDescent="0.25">
      <c r="A2797" s="39"/>
    </row>
    <row r="2798" spans="1:1" ht="15.75" customHeight="1" x14ac:dyDescent="0.25">
      <c r="A2798" s="39"/>
    </row>
    <row r="2799" spans="1:1" ht="15.75" customHeight="1" x14ac:dyDescent="0.25">
      <c r="A2799" s="39"/>
    </row>
    <row r="2800" spans="1:1" ht="15.75" customHeight="1" x14ac:dyDescent="0.25">
      <c r="A2800" s="39"/>
    </row>
    <row r="2801" spans="1:1" ht="15.75" customHeight="1" x14ac:dyDescent="0.25">
      <c r="A2801" s="39"/>
    </row>
    <row r="2802" spans="1:1" ht="15.75" customHeight="1" x14ac:dyDescent="0.25">
      <c r="A2802" s="39"/>
    </row>
    <row r="2803" spans="1:1" ht="15.75" customHeight="1" x14ac:dyDescent="0.25">
      <c r="A2803" s="39"/>
    </row>
    <row r="2804" spans="1:1" ht="15.75" customHeight="1" x14ac:dyDescent="0.25">
      <c r="A2804" s="39"/>
    </row>
    <row r="2805" spans="1:1" ht="15.75" customHeight="1" x14ac:dyDescent="0.25">
      <c r="A2805" s="39"/>
    </row>
    <row r="2806" spans="1:1" ht="15.75" customHeight="1" x14ac:dyDescent="0.25">
      <c r="A2806" s="39"/>
    </row>
    <row r="2807" spans="1:1" ht="15.75" customHeight="1" x14ac:dyDescent="0.25">
      <c r="A2807" s="39"/>
    </row>
    <row r="2808" spans="1:1" ht="15.75" customHeight="1" x14ac:dyDescent="0.25">
      <c r="A2808" s="39"/>
    </row>
    <row r="2809" spans="1:1" ht="15.75" customHeight="1" x14ac:dyDescent="0.25">
      <c r="A2809" s="39"/>
    </row>
    <row r="2810" spans="1:1" ht="15.75" customHeight="1" x14ac:dyDescent="0.25">
      <c r="A2810" s="39"/>
    </row>
    <row r="2811" spans="1:1" ht="15.75" customHeight="1" x14ac:dyDescent="0.25">
      <c r="A2811" s="39"/>
    </row>
    <row r="2812" spans="1:1" ht="15.75" customHeight="1" x14ac:dyDescent="0.25">
      <c r="A2812" s="39"/>
    </row>
    <row r="2813" spans="1:1" ht="15.75" customHeight="1" x14ac:dyDescent="0.25">
      <c r="A2813" s="39"/>
    </row>
    <row r="2814" spans="1:1" ht="15.75" customHeight="1" x14ac:dyDescent="0.25">
      <c r="A2814" s="39"/>
    </row>
    <row r="2815" spans="1:1" ht="15.75" customHeight="1" x14ac:dyDescent="0.25">
      <c r="A2815" s="39"/>
    </row>
    <row r="2816" spans="1:1" ht="15.75" customHeight="1" x14ac:dyDescent="0.25">
      <c r="A2816" s="39"/>
    </row>
    <row r="2817" spans="1:1" ht="15.75" customHeight="1" x14ac:dyDescent="0.25">
      <c r="A2817" s="39"/>
    </row>
    <row r="2818" spans="1:1" ht="15.75" customHeight="1" x14ac:dyDescent="0.25">
      <c r="A2818" s="39"/>
    </row>
    <row r="2819" spans="1:1" ht="15.75" customHeight="1" x14ac:dyDescent="0.25">
      <c r="A2819" s="39"/>
    </row>
    <row r="2820" spans="1:1" ht="15.75" customHeight="1" x14ac:dyDescent="0.25">
      <c r="A2820" s="39"/>
    </row>
    <row r="2821" spans="1:1" ht="15.75" customHeight="1" x14ac:dyDescent="0.25">
      <c r="A2821" s="39"/>
    </row>
    <row r="2822" spans="1:1" ht="15.75" customHeight="1" x14ac:dyDescent="0.25">
      <c r="A2822" s="39"/>
    </row>
    <row r="2823" spans="1:1" ht="15.75" customHeight="1" x14ac:dyDescent="0.25">
      <c r="A2823" s="39"/>
    </row>
    <row r="2824" spans="1:1" ht="15.75" customHeight="1" x14ac:dyDescent="0.25">
      <c r="A2824" s="39"/>
    </row>
    <row r="2825" spans="1:1" ht="15.75" customHeight="1" x14ac:dyDescent="0.25">
      <c r="A2825" s="39"/>
    </row>
    <row r="2826" spans="1:1" ht="15.75" customHeight="1" x14ac:dyDescent="0.25">
      <c r="A2826" s="39"/>
    </row>
    <row r="2827" spans="1:1" ht="15.75" customHeight="1" x14ac:dyDescent="0.25">
      <c r="A2827" s="39"/>
    </row>
    <row r="2828" spans="1:1" ht="15.75" customHeight="1" x14ac:dyDescent="0.25">
      <c r="A2828" s="39"/>
    </row>
    <row r="2829" spans="1:1" ht="15.75" customHeight="1" x14ac:dyDescent="0.25">
      <c r="A2829" s="39"/>
    </row>
    <row r="2830" spans="1:1" ht="15.75" customHeight="1" x14ac:dyDescent="0.25">
      <c r="A2830" s="39"/>
    </row>
    <row r="2831" spans="1:1" ht="15.75" customHeight="1" x14ac:dyDescent="0.25">
      <c r="A2831" s="39"/>
    </row>
    <row r="2832" spans="1:1" ht="15.75" customHeight="1" x14ac:dyDescent="0.25">
      <c r="A2832" s="39"/>
    </row>
    <row r="2833" spans="1:1" ht="15.75" customHeight="1" x14ac:dyDescent="0.25">
      <c r="A2833" s="39"/>
    </row>
    <row r="2834" spans="1:1" ht="15.75" customHeight="1" x14ac:dyDescent="0.25">
      <c r="A2834" s="39"/>
    </row>
    <row r="2835" spans="1:1" ht="15.75" customHeight="1" x14ac:dyDescent="0.25">
      <c r="A2835" s="39"/>
    </row>
    <row r="2836" spans="1:1" ht="15.75" customHeight="1" x14ac:dyDescent="0.25">
      <c r="A2836" s="39"/>
    </row>
    <row r="2837" spans="1:1" ht="15.75" customHeight="1" x14ac:dyDescent="0.25">
      <c r="A2837" s="39"/>
    </row>
    <row r="2838" spans="1:1" ht="15.75" customHeight="1" x14ac:dyDescent="0.25">
      <c r="A2838" s="39"/>
    </row>
    <row r="2839" spans="1:1" ht="15.75" customHeight="1" x14ac:dyDescent="0.25">
      <c r="A2839" s="39"/>
    </row>
    <row r="2840" spans="1:1" ht="15.75" customHeight="1" x14ac:dyDescent="0.25">
      <c r="A2840" s="39"/>
    </row>
    <row r="2841" spans="1:1" ht="15.75" customHeight="1" x14ac:dyDescent="0.25">
      <c r="A2841" s="39"/>
    </row>
    <row r="2842" spans="1:1" ht="15.75" customHeight="1" x14ac:dyDescent="0.25">
      <c r="A2842" s="39"/>
    </row>
    <row r="2843" spans="1:1" ht="15.75" customHeight="1" x14ac:dyDescent="0.25">
      <c r="A2843" s="39"/>
    </row>
    <row r="2844" spans="1:1" ht="15.75" customHeight="1" x14ac:dyDescent="0.25">
      <c r="A2844" s="39"/>
    </row>
    <row r="2845" spans="1:1" ht="15.75" customHeight="1" x14ac:dyDescent="0.25">
      <c r="A2845" s="39"/>
    </row>
    <row r="2846" spans="1:1" ht="15.75" customHeight="1" x14ac:dyDescent="0.25">
      <c r="A2846" s="39"/>
    </row>
    <row r="2847" spans="1:1" ht="15.75" customHeight="1" x14ac:dyDescent="0.25">
      <c r="A2847" s="39"/>
    </row>
    <row r="2848" spans="1:1" ht="15.75" customHeight="1" x14ac:dyDescent="0.25">
      <c r="A2848" s="39"/>
    </row>
    <row r="2849" spans="1:1" ht="15.75" customHeight="1" x14ac:dyDescent="0.25">
      <c r="A2849" s="39"/>
    </row>
    <row r="2850" spans="1:1" ht="15.75" customHeight="1" x14ac:dyDescent="0.25">
      <c r="A2850" s="39"/>
    </row>
    <row r="2851" spans="1:1" ht="15.75" customHeight="1" x14ac:dyDescent="0.25">
      <c r="A2851" s="39"/>
    </row>
    <row r="2852" spans="1:1" ht="15.75" customHeight="1" x14ac:dyDescent="0.25">
      <c r="A2852" s="39"/>
    </row>
    <row r="2853" spans="1:1" ht="15.75" customHeight="1" x14ac:dyDescent="0.25">
      <c r="A2853" s="39"/>
    </row>
    <row r="2854" spans="1:1" ht="15.75" customHeight="1" x14ac:dyDescent="0.25">
      <c r="A2854" s="39"/>
    </row>
    <row r="2855" spans="1:1" ht="15.75" customHeight="1" x14ac:dyDescent="0.25">
      <c r="A2855" s="39"/>
    </row>
    <row r="2856" spans="1:1" ht="15.75" customHeight="1" x14ac:dyDescent="0.25">
      <c r="A2856" s="39"/>
    </row>
    <row r="2857" spans="1:1" ht="15.75" customHeight="1" x14ac:dyDescent="0.25">
      <c r="A2857" s="39"/>
    </row>
    <row r="2858" spans="1:1" ht="15.75" customHeight="1" x14ac:dyDescent="0.25">
      <c r="A2858" s="39"/>
    </row>
    <row r="2859" spans="1:1" ht="15.75" customHeight="1" x14ac:dyDescent="0.25">
      <c r="A2859" s="39"/>
    </row>
    <row r="2860" spans="1:1" ht="15.75" customHeight="1" x14ac:dyDescent="0.25">
      <c r="A2860" s="39"/>
    </row>
    <row r="2861" spans="1:1" ht="15.75" customHeight="1" x14ac:dyDescent="0.25">
      <c r="A2861" s="39"/>
    </row>
    <row r="2862" spans="1:1" ht="15.75" customHeight="1" x14ac:dyDescent="0.25">
      <c r="A2862" s="39"/>
    </row>
    <row r="2863" spans="1:1" ht="15.75" customHeight="1" x14ac:dyDescent="0.25">
      <c r="A2863" s="39"/>
    </row>
    <row r="2864" spans="1:1" ht="15.75" customHeight="1" x14ac:dyDescent="0.25">
      <c r="A2864" s="39"/>
    </row>
    <row r="2865" spans="1:1" ht="15.75" customHeight="1" x14ac:dyDescent="0.25">
      <c r="A2865" s="39"/>
    </row>
    <row r="2866" spans="1:1" ht="15.75" customHeight="1" x14ac:dyDescent="0.25">
      <c r="A2866" s="39"/>
    </row>
    <row r="2867" spans="1:1" ht="15.75" customHeight="1" x14ac:dyDescent="0.25">
      <c r="A2867" s="39"/>
    </row>
    <row r="2868" spans="1:1" ht="15.75" customHeight="1" x14ac:dyDescent="0.25">
      <c r="A2868" s="39"/>
    </row>
    <row r="2869" spans="1:1" ht="15.75" customHeight="1" x14ac:dyDescent="0.25">
      <c r="A2869" s="39"/>
    </row>
    <row r="2870" spans="1:1" ht="15.75" customHeight="1" x14ac:dyDescent="0.25">
      <c r="A2870" s="39"/>
    </row>
    <row r="2871" spans="1:1" ht="15.75" customHeight="1" x14ac:dyDescent="0.25">
      <c r="A2871" s="39"/>
    </row>
    <row r="2872" spans="1:1" ht="15.75" customHeight="1" x14ac:dyDescent="0.25">
      <c r="A2872" s="39"/>
    </row>
    <row r="2873" spans="1:1" ht="15.75" customHeight="1" x14ac:dyDescent="0.25">
      <c r="A2873" s="39"/>
    </row>
    <row r="2874" spans="1:1" ht="15.75" customHeight="1" x14ac:dyDescent="0.25">
      <c r="A2874" s="39"/>
    </row>
    <row r="2875" spans="1:1" ht="15.75" customHeight="1" x14ac:dyDescent="0.25">
      <c r="A2875" s="39"/>
    </row>
    <row r="2876" spans="1:1" ht="15.75" customHeight="1" x14ac:dyDescent="0.25">
      <c r="A2876" s="39"/>
    </row>
    <row r="2877" spans="1:1" ht="15.75" customHeight="1" x14ac:dyDescent="0.25">
      <c r="A2877" s="39"/>
    </row>
    <row r="2878" spans="1:1" ht="15.75" customHeight="1" x14ac:dyDescent="0.25">
      <c r="A2878" s="39"/>
    </row>
    <row r="2879" spans="1:1" ht="15.75" customHeight="1" x14ac:dyDescent="0.25">
      <c r="A2879" s="39"/>
    </row>
    <row r="2880" spans="1:1" ht="15.75" customHeight="1" x14ac:dyDescent="0.25">
      <c r="A2880" s="39"/>
    </row>
    <row r="2881" spans="1:1" ht="15.75" customHeight="1" x14ac:dyDescent="0.25">
      <c r="A2881" s="39"/>
    </row>
    <row r="2882" spans="1:1" ht="15.75" customHeight="1" x14ac:dyDescent="0.25">
      <c r="A2882" s="39"/>
    </row>
    <row r="2883" spans="1:1" ht="15.75" customHeight="1" x14ac:dyDescent="0.25">
      <c r="A2883" s="39"/>
    </row>
    <row r="2884" spans="1:1" ht="15.75" customHeight="1" x14ac:dyDescent="0.25">
      <c r="A2884" s="39"/>
    </row>
    <row r="2885" spans="1:1" ht="15.75" customHeight="1" x14ac:dyDescent="0.25">
      <c r="A2885" s="39"/>
    </row>
    <row r="2886" spans="1:1" ht="15.75" customHeight="1" x14ac:dyDescent="0.25">
      <c r="A2886" s="39"/>
    </row>
    <row r="2887" spans="1:1" ht="15.75" customHeight="1" x14ac:dyDescent="0.25">
      <c r="A2887" s="39"/>
    </row>
    <row r="2888" spans="1:1" ht="15.75" customHeight="1" x14ac:dyDescent="0.25">
      <c r="A2888" s="39"/>
    </row>
    <row r="2889" spans="1:1" ht="15.75" customHeight="1" x14ac:dyDescent="0.25">
      <c r="A2889" s="39"/>
    </row>
    <row r="2890" spans="1:1" ht="15.75" customHeight="1" x14ac:dyDescent="0.25">
      <c r="A2890" s="39"/>
    </row>
    <row r="2891" spans="1:1" ht="15.75" customHeight="1" x14ac:dyDescent="0.25">
      <c r="A2891" s="39"/>
    </row>
    <row r="2892" spans="1:1" ht="15.75" customHeight="1" x14ac:dyDescent="0.25">
      <c r="A2892" s="39"/>
    </row>
    <row r="2893" spans="1:1" ht="15.75" customHeight="1" x14ac:dyDescent="0.25">
      <c r="A2893" s="39"/>
    </row>
    <row r="2894" spans="1:1" ht="15.75" customHeight="1" x14ac:dyDescent="0.25">
      <c r="A2894" s="39"/>
    </row>
    <row r="2895" spans="1:1" ht="15.75" customHeight="1" x14ac:dyDescent="0.25">
      <c r="A2895" s="39"/>
    </row>
    <row r="2896" spans="1:1" ht="15.75" customHeight="1" x14ac:dyDescent="0.25">
      <c r="A2896" s="39"/>
    </row>
    <row r="2897" spans="1:1" ht="15.75" customHeight="1" x14ac:dyDescent="0.25">
      <c r="A2897" s="39"/>
    </row>
    <row r="2898" spans="1:1" ht="15.75" customHeight="1" x14ac:dyDescent="0.25">
      <c r="A2898" s="39"/>
    </row>
    <row r="2899" spans="1:1" ht="15.75" customHeight="1" x14ac:dyDescent="0.25">
      <c r="A2899" s="39"/>
    </row>
    <row r="2900" spans="1:1" ht="15.75" customHeight="1" x14ac:dyDescent="0.25">
      <c r="A2900" s="39"/>
    </row>
    <row r="2901" spans="1:1" ht="15.75" customHeight="1" x14ac:dyDescent="0.25">
      <c r="A2901" s="39"/>
    </row>
    <row r="2902" spans="1:1" ht="15.75" customHeight="1" x14ac:dyDescent="0.25">
      <c r="A2902" s="39"/>
    </row>
    <row r="2903" spans="1:1" ht="15.75" customHeight="1" x14ac:dyDescent="0.25">
      <c r="A2903" s="39"/>
    </row>
    <row r="2904" spans="1:1" ht="15.75" customHeight="1" x14ac:dyDescent="0.25">
      <c r="A2904" s="39"/>
    </row>
    <row r="2905" spans="1:1" ht="15.75" customHeight="1" x14ac:dyDescent="0.25">
      <c r="A2905" s="39"/>
    </row>
    <row r="2906" spans="1:1" ht="15.75" customHeight="1" x14ac:dyDescent="0.25">
      <c r="A2906" s="39"/>
    </row>
    <row r="2907" spans="1:1" ht="15.75" customHeight="1" x14ac:dyDescent="0.25">
      <c r="A2907" s="39"/>
    </row>
    <row r="2908" spans="1:1" ht="15.75" customHeight="1" x14ac:dyDescent="0.25">
      <c r="A2908" s="39"/>
    </row>
    <row r="2909" spans="1:1" ht="15.75" customHeight="1" x14ac:dyDescent="0.25">
      <c r="A2909" s="39"/>
    </row>
    <row r="2910" spans="1:1" ht="15.75" customHeight="1" x14ac:dyDescent="0.25">
      <c r="A2910" s="39"/>
    </row>
    <row r="2911" spans="1:1" ht="15.75" customHeight="1" x14ac:dyDescent="0.25">
      <c r="A2911" s="39"/>
    </row>
    <row r="2912" spans="1:1" ht="15.75" customHeight="1" x14ac:dyDescent="0.25">
      <c r="A2912" s="39"/>
    </row>
    <row r="2913" spans="1:1" ht="15.75" customHeight="1" x14ac:dyDescent="0.25">
      <c r="A2913" s="39"/>
    </row>
    <row r="2914" spans="1:1" ht="15.75" customHeight="1" x14ac:dyDescent="0.25">
      <c r="A2914" s="39"/>
    </row>
    <row r="2915" spans="1:1" ht="15.75" customHeight="1" x14ac:dyDescent="0.25">
      <c r="A2915" s="39"/>
    </row>
    <row r="2916" spans="1:1" ht="15.75" customHeight="1" x14ac:dyDescent="0.25">
      <c r="A2916" s="39"/>
    </row>
    <row r="2917" spans="1:1" ht="15.75" customHeight="1" x14ac:dyDescent="0.25">
      <c r="A2917" s="39"/>
    </row>
    <row r="2918" spans="1:1" ht="15.75" customHeight="1" x14ac:dyDescent="0.25">
      <c r="A2918" s="39"/>
    </row>
    <row r="2919" spans="1:1" ht="15.75" customHeight="1" x14ac:dyDescent="0.25">
      <c r="A2919" s="39"/>
    </row>
    <row r="2920" spans="1:1" ht="15.75" customHeight="1" x14ac:dyDescent="0.25">
      <c r="A2920" s="39"/>
    </row>
    <row r="2921" spans="1:1" ht="15.75" customHeight="1" x14ac:dyDescent="0.25">
      <c r="A2921" s="39"/>
    </row>
    <row r="2922" spans="1:1" ht="15.75" customHeight="1" x14ac:dyDescent="0.25">
      <c r="A2922" s="39"/>
    </row>
    <row r="2923" spans="1:1" ht="15.75" customHeight="1" x14ac:dyDescent="0.25">
      <c r="A2923" s="39"/>
    </row>
    <row r="2924" spans="1:1" ht="15.75" customHeight="1" x14ac:dyDescent="0.25">
      <c r="A2924" s="39"/>
    </row>
    <row r="2925" spans="1:1" ht="15.75" customHeight="1" x14ac:dyDescent="0.25">
      <c r="A2925" s="39"/>
    </row>
    <row r="2926" spans="1:1" ht="15.75" customHeight="1" x14ac:dyDescent="0.25">
      <c r="A2926" s="39"/>
    </row>
    <row r="2927" spans="1:1" ht="15.75" customHeight="1" x14ac:dyDescent="0.25">
      <c r="A2927" s="39"/>
    </row>
    <row r="2928" spans="1:1" ht="15.75" customHeight="1" x14ac:dyDescent="0.25">
      <c r="A2928" s="39"/>
    </row>
    <row r="2929" spans="1:1" ht="15.75" customHeight="1" x14ac:dyDescent="0.25">
      <c r="A2929" s="39"/>
    </row>
    <row r="2930" spans="1:1" ht="15.75" customHeight="1" x14ac:dyDescent="0.25">
      <c r="A2930" s="39"/>
    </row>
    <row r="2931" spans="1:1" ht="15.75" customHeight="1" x14ac:dyDescent="0.25">
      <c r="A2931" s="39"/>
    </row>
    <row r="2932" spans="1:1" ht="15.75" customHeight="1" x14ac:dyDescent="0.25">
      <c r="A2932" s="39"/>
    </row>
    <row r="2933" spans="1:1" ht="15.75" customHeight="1" x14ac:dyDescent="0.25">
      <c r="A2933" s="39"/>
    </row>
    <row r="2934" spans="1:1" ht="15.75" customHeight="1" x14ac:dyDescent="0.25">
      <c r="A2934" s="39"/>
    </row>
    <row r="2935" spans="1:1" ht="15.75" customHeight="1" x14ac:dyDescent="0.25">
      <c r="A2935" s="39"/>
    </row>
    <row r="2936" spans="1:1" ht="15.75" customHeight="1" x14ac:dyDescent="0.25">
      <c r="A2936" s="39"/>
    </row>
    <row r="2937" spans="1:1" ht="15.75" customHeight="1" x14ac:dyDescent="0.25">
      <c r="A2937" s="39"/>
    </row>
    <row r="2938" spans="1:1" ht="15.75" customHeight="1" x14ac:dyDescent="0.25">
      <c r="A2938" s="39"/>
    </row>
    <row r="2939" spans="1:1" ht="15.75" customHeight="1" x14ac:dyDescent="0.25">
      <c r="A2939" s="39"/>
    </row>
    <row r="2940" spans="1:1" ht="15.75" customHeight="1" x14ac:dyDescent="0.25">
      <c r="A2940" s="39"/>
    </row>
    <row r="2941" spans="1:1" ht="15.75" customHeight="1" x14ac:dyDescent="0.25">
      <c r="A2941" s="39"/>
    </row>
    <row r="2942" spans="1:1" ht="15.75" customHeight="1" x14ac:dyDescent="0.25">
      <c r="A2942" s="39"/>
    </row>
    <row r="2943" spans="1:1" ht="15.75" customHeight="1" x14ac:dyDescent="0.25">
      <c r="A2943" s="39"/>
    </row>
    <row r="2944" spans="1:1" ht="15.75" customHeight="1" x14ac:dyDescent="0.25">
      <c r="A2944" s="39"/>
    </row>
    <row r="2945" spans="1:1" ht="15.75" customHeight="1" x14ac:dyDescent="0.25">
      <c r="A2945" s="39"/>
    </row>
    <row r="2946" spans="1:1" ht="15.75" customHeight="1" x14ac:dyDescent="0.25">
      <c r="A2946" s="39"/>
    </row>
    <row r="2947" spans="1:1" ht="15.75" customHeight="1" x14ac:dyDescent="0.25">
      <c r="A2947" s="39"/>
    </row>
    <row r="2948" spans="1:1" ht="15.75" customHeight="1" x14ac:dyDescent="0.25">
      <c r="A2948" s="39"/>
    </row>
    <row r="2949" spans="1:1" ht="15.75" customHeight="1" x14ac:dyDescent="0.25">
      <c r="A2949" s="39"/>
    </row>
    <row r="2950" spans="1:1" ht="15.75" customHeight="1" x14ac:dyDescent="0.25">
      <c r="A2950" s="39"/>
    </row>
    <row r="2951" spans="1:1" ht="15.75" customHeight="1" x14ac:dyDescent="0.25">
      <c r="A2951" s="39"/>
    </row>
    <row r="2952" spans="1:1" ht="15.75" customHeight="1" x14ac:dyDescent="0.25">
      <c r="A2952" s="39"/>
    </row>
    <row r="2953" spans="1:1" ht="15.75" customHeight="1" x14ac:dyDescent="0.25">
      <c r="A2953" s="39"/>
    </row>
    <row r="2954" spans="1:1" ht="15.75" customHeight="1" x14ac:dyDescent="0.25">
      <c r="A2954" s="39"/>
    </row>
    <row r="2955" spans="1:1" ht="15.75" customHeight="1" x14ac:dyDescent="0.25">
      <c r="A2955" s="39"/>
    </row>
    <row r="2956" spans="1:1" ht="15.75" customHeight="1" x14ac:dyDescent="0.25">
      <c r="A2956" s="39"/>
    </row>
    <row r="2957" spans="1:1" ht="15.75" customHeight="1" x14ac:dyDescent="0.25">
      <c r="A2957" s="39"/>
    </row>
    <row r="2958" spans="1:1" ht="15.75" customHeight="1" x14ac:dyDescent="0.25">
      <c r="A2958" s="39"/>
    </row>
    <row r="2959" spans="1:1" ht="15.75" customHeight="1" x14ac:dyDescent="0.25">
      <c r="A2959" s="39"/>
    </row>
    <row r="2960" spans="1:1" ht="15.75" customHeight="1" x14ac:dyDescent="0.25">
      <c r="A2960" s="39"/>
    </row>
    <row r="2961" spans="1:1" ht="15.75" customHeight="1" x14ac:dyDescent="0.25">
      <c r="A2961" s="39"/>
    </row>
    <row r="2962" spans="1:1" ht="15.75" customHeight="1" x14ac:dyDescent="0.25">
      <c r="A2962" s="39"/>
    </row>
    <row r="2963" spans="1:1" ht="15.75" customHeight="1" x14ac:dyDescent="0.25">
      <c r="A2963" s="39"/>
    </row>
    <row r="2964" spans="1:1" ht="15.75" customHeight="1" x14ac:dyDescent="0.25">
      <c r="A2964" s="39"/>
    </row>
    <row r="2965" spans="1:1" ht="15.75" customHeight="1" x14ac:dyDescent="0.25">
      <c r="A2965" s="39"/>
    </row>
    <row r="2966" spans="1:1" ht="15.75" customHeight="1" x14ac:dyDescent="0.25">
      <c r="A2966" s="39"/>
    </row>
    <row r="2967" spans="1:1" ht="15.75" customHeight="1" x14ac:dyDescent="0.25">
      <c r="A2967" s="39"/>
    </row>
    <row r="2968" spans="1:1" ht="15.75" customHeight="1" x14ac:dyDescent="0.25">
      <c r="A2968" s="39"/>
    </row>
    <row r="2969" spans="1:1" ht="15.75" customHeight="1" x14ac:dyDescent="0.25">
      <c r="A2969" s="39"/>
    </row>
    <row r="2970" spans="1:1" ht="15.75" customHeight="1" x14ac:dyDescent="0.25">
      <c r="A2970" s="39"/>
    </row>
    <row r="2971" spans="1:1" ht="15.75" customHeight="1" x14ac:dyDescent="0.25">
      <c r="A2971" s="39"/>
    </row>
    <row r="2972" spans="1:1" ht="15.75" customHeight="1" x14ac:dyDescent="0.25">
      <c r="A2972" s="39"/>
    </row>
    <row r="2973" spans="1:1" ht="15.75" customHeight="1" x14ac:dyDescent="0.25">
      <c r="A2973" s="39"/>
    </row>
    <row r="2974" spans="1:1" ht="15.75" customHeight="1" x14ac:dyDescent="0.25">
      <c r="A2974" s="39"/>
    </row>
    <row r="2975" spans="1:1" ht="15.75" customHeight="1" x14ac:dyDescent="0.25">
      <c r="A2975" s="39"/>
    </row>
    <row r="2976" spans="1:1" ht="15.75" customHeight="1" x14ac:dyDescent="0.25">
      <c r="A2976" s="39"/>
    </row>
    <row r="2977" spans="1:1" ht="15.75" customHeight="1" x14ac:dyDescent="0.25">
      <c r="A2977" s="39"/>
    </row>
    <row r="2978" spans="1:1" ht="15.75" customHeight="1" x14ac:dyDescent="0.25">
      <c r="A2978" s="39"/>
    </row>
    <row r="2979" spans="1:1" ht="15.75" customHeight="1" x14ac:dyDescent="0.25">
      <c r="A2979" s="39"/>
    </row>
    <row r="2980" spans="1:1" ht="15.75" customHeight="1" x14ac:dyDescent="0.25">
      <c r="A2980" s="39"/>
    </row>
    <row r="2981" spans="1:1" ht="15.75" customHeight="1" x14ac:dyDescent="0.25">
      <c r="A2981" s="39"/>
    </row>
    <row r="2982" spans="1:1" ht="15.75" customHeight="1" x14ac:dyDescent="0.25">
      <c r="A2982" s="39"/>
    </row>
    <row r="2983" spans="1:1" ht="15.75" customHeight="1" x14ac:dyDescent="0.25">
      <c r="A2983" s="39"/>
    </row>
    <row r="2984" spans="1:1" ht="15.75" customHeight="1" x14ac:dyDescent="0.25">
      <c r="A2984" s="39"/>
    </row>
    <row r="2985" spans="1:1" ht="15.75" customHeight="1" x14ac:dyDescent="0.25">
      <c r="A2985" s="39"/>
    </row>
    <row r="2986" spans="1:1" ht="15.75" customHeight="1" x14ac:dyDescent="0.25">
      <c r="A2986" s="39"/>
    </row>
    <row r="2987" spans="1:1" ht="15.75" customHeight="1" x14ac:dyDescent="0.25">
      <c r="A2987" s="39"/>
    </row>
    <row r="2988" spans="1:1" ht="15.75" customHeight="1" x14ac:dyDescent="0.25">
      <c r="A2988" s="39"/>
    </row>
    <row r="2989" spans="1:1" ht="15.75" customHeight="1" x14ac:dyDescent="0.25">
      <c r="A2989" s="39"/>
    </row>
    <row r="2990" spans="1:1" ht="15.75" customHeight="1" x14ac:dyDescent="0.25">
      <c r="A2990" s="39"/>
    </row>
    <row r="2991" spans="1:1" ht="15.75" customHeight="1" x14ac:dyDescent="0.25">
      <c r="A2991" s="39"/>
    </row>
    <row r="2992" spans="1:1" ht="15.75" customHeight="1" x14ac:dyDescent="0.25">
      <c r="A2992" s="39"/>
    </row>
    <row r="2993" spans="1:1" ht="15.75" customHeight="1" x14ac:dyDescent="0.25">
      <c r="A2993" s="39"/>
    </row>
    <row r="2994" spans="1:1" ht="15.75" customHeight="1" x14ac:dyDescent="0.25">
      <c r="A2994" s="39"/>
    </row>
    <row r="2995" spans="1:1" ht="15.75" customHeight="1" x14ac:dyDescent="0.25">
      <c r="A2995" s="39"/>
    </row>
    <row r="2996" spans="1:1" ht="15.75" customHeight="1" x14ac:dyDescent="0.25">
      <c r="A2996" s="39"/>
    </row>
    <row r="2997" spans="1:1" ht="15.75" customHeight="1" x14ac:dyDescent="0.25">
      <c r="A2997" s="39"/>
    </row>
    <row r="2998" spans="1:1" ht="15.75" customHeight="1" x14ac:dyDescent="0.25">
      <c r="A2998" s="39"/>
    </row>
    <row r="2999" spans="1:1" ht="15.75" customHeight="1" x14ac:dyDescent="0.25">
      <c r="A2999" s="39"/>
    </row>
    <row r="3000" spans="1:1" ht="15.75" customHeight="1" x14ac:dyDescent="0.25">
      <c r="A3000" s="39"/>
    </row>
    <row r="3001" spans="1:1" ht="15.75" customHeight="1" x14ac:dyDescent="0.25">
      <c r="A3001" s="39"/>
    </row>
    <row r="3002" spans="1:1" ht="15.75" customHeight="1" x14ac:dyDescent="0.25">
      <c r="A3002" s="39"/>
    </row>
    <row r="3003" spans="1:1" ht="15.75" customHeight="1" x14ac:dyDescent="0.25">
      <c r="A3003" s="39"/>
    </row>
    <row r="3004" spans="1:1" ht="15.75" customHeight="1" x14ac:dyDescent="0.25">
      <c r="A3004" s="39"/>
    </row>
    <row r="3005" spans="1:1" ht="15.75" customHeight="1" x14ac:dyDescent="0.25">
      <c r="A3005" s="39"/>
    </row>
    <row r="3006" spans="1:1" ht="15.75" customHeight="1" x14ac:dyDescent="0.25">
      <c r="A3006" s="39"/>
    </row>
    <row r="3007" spans="1:1" ht="15.75" customHeight="1" x14ac:dyDescent="0.25">
      <c r="A3007" s="39"/>
    </row>
    <row r="3008" spans="1:1" ht="15.75" customHeight="1" x14ac:dyDescent="0.25">
      <c r="A3008" s="39"/>
    </row>
    <row r="3009" spans="1:1" ht="15.75" customHeight="1" x14ac:dyDescent="0.25">
      <c r="A3009" s="39"/>
    </row>
    <row r="3010" spans="1:1" ht="15.75" customHeight="1" x14ac:dyDescent="0.25">
      <c r="A3010" s="39"/>
    </row>
    <row r="3011" spans="1:1" ht="15.75" customHeight="1" x14ac:dyDescent="0.25">
      <c r="A3011" s="39"/>
    </row>
    <row r="3012" spans="1:1" ht="15.75" customHeight="1" x14ac:dyDescent="0.25">
      <c r="A3012" s="39"/>
    </row>
    <row r="3013" spans="1:1" ht="15.75" customHeight="1" x14ac:dyDescent="0.25">
      <c r="A3013" s="39"/>
    </row>
    <row r="3014" spans="1:1" ht="15.75" customHeight="1" x14ac:dyDescent="0.25">
      <c r="A3014" s="39"/>
    </row>
    <row r="3015" spans="1:1" ht="15.75" customHeight="1" x14ac:dyDescent="0.25">
      <c r="A3015" s="39"/>
    </row>
    <row r="3016" spans="1:1" ht="15.75" customHeight="1" x14ac:dyDescent="0.25">
      <c r="A3016" s="39"/>
    </row>
    <row r="3017" spans="1:1" ht="15.75" customHeight="1" x14ac:dyDescent="0.25">
      <c r="A3017" s="39"/>
    </row>
    <row r="3018" spans="1:1" ht="15.75" customHeight="1" x14ac:dyDescent="0.25">
      <c r="A3018" s="39"/>
    </row>
    <row r="3019" spans="1:1" ht="15.75" customHeight="1" x14ac:dyDescent="0.25">
      <c r="A3019" s="39"/>
    </row>
    <row r="3020" spans="1:1" ht="15.75" customHeight="1" x14ac:dyDescent="0.25">
      <c r="A3020" s="39"/>
    </row>
    <row r="3021" spans="1:1" ht="15.75" customHeight="1" x14ac:dyDescent="0.25">
      <c r="A3021" s="39"/>
    </row>
    <row r="3022" spans="1:1" ht="15.75" customHeight="1" x14ac:dyDescent="0.25">
      <c r="A3022" s="39"/>
    </row>
    <row r="3023" spans="1:1" ht="15.75" customHeight="1" x14ac:dyDescent="0.25">
      <c r="A3023" s="39"/>
    </row>
    <row r="3024" spans="1:1" ht="15.75" customHeight="1" x14ac:dyDescent="0.25">
      <c r="A3024" s="39"/>
    </row>
    <row r="3025" spans="1:1" ht="15.75" customHeight="1" x14ac:dyDescent="0.25">
      <c r="A3025" s="39"/>
    </row>
    <row r="3026" spans="1:1" ht="15.75" customHeight="1" x14ac:dyDescent="0.25">
      <c r="A3026" s="39"/>
    </row>
    <row r="3027" spans="1:1" ht="15.75" customHeight="1" x14ac:dyDescent="0.25">
      <c r="A3027" s="39"/>
    </row>
    <row r="3028" spans="1:1" ht="15.75" customHeight="1" x14ac:dyDescent="0.25">
      <c r="A3028" s="39"/>
    </row>
    <row r="3029" spans="1:1" ht="15.75" customHeight="1" x14ac:dyDescent="0.25">
      <c r="A3029" s="39"/>
    </row>
    <row r="3030" spans="1:1" ht="15.75" customHeight="1" x14ac:dyDescent="0.25">
      <c r="A3030" s="39"/>
    </row>
    <row r="3031" spans="1:1" ht="15.75" customHeight="1" x14ac:dyDescent="0.25">
      <c r="A3031" s="39"/>
    </row>
    <row r="3032" spans="1:1" ht="15.75" customHeight="1" x14ac:dyDescent="0.25">
      <c r="A3032" s="39"/>
    </row>
    <row r="3033" spans="1:1" ht="15.75" customHeight="1" x14ac:dyDescent="0.25">
      <c r="A3033" s="39"/>
    </row>
    <row r="3034" spans="1:1" ht="15.75" customHeight="1" x14ac:dyDescent="0.25">
      <c r="A3034" s="39"/>
    </row>
    <row r="3035" spans="1:1" ht="15.75" customHeight="1" x14ac:dyDescent="0.25">
      <c r="A3035" s="39"/>
    </row>
    <row r="3036" spans="1:1" ht="15.75" customHeight="1" x14ac:dyDescent="0.25">
      <c r="A3036" s="39"/>
    </row>
    <row r="3037" spans="1:1" ht="15.75" customHeight="1" x14ac:dyDescent="0.25">
      <c r="A3037" s="39"/>
    </row>
    <row r="3038" spans="1:1" ht="15.75" customHeight="1" x14ac:dyDescent="0.25">
      <c r="A3038" s="39"/>
    </row>
    <row r="3039" spans="1:1" ht="15.75" customHeight="1" x14ac:dyDescent="0.25">
      <c r="A3039" s="39"/>
    </row>
    <row r="3040" spans="1:1" ht="15.75" customHeight="1" x14ac:dyDescent="0.25">
      <c r="A3040" s="39"/>
    </row>
    <row r="3041" spans="1:1" ht="15.75" customHeight="1" x14ac:dyDescent="0.25">
      <c r="A3041" s="39"/>
    </row>
    <row r="3042" spans="1:1" ht="15.75" customHeight="1" x14ac:dyDescent="0.25">
      <c r="A3042" s="39"/>
    </row>
    <row r="3043" spans="1:1" ht="15.75" customHeight="1" x14ac:dyDescent="0.25">
      <c r="A3043" s="39"/>
    </row>
    <row r="3044" spans="1:1" ht="15.75" customHeight="1" x14ac:dyDescent="0.25">
      <c r="A3044" s="39"/>
    </row>
    <row r="3045" spans="1:1" ht="15.75" customHeight="1" x14ac:dyDescent="0.25">
      <c r="A3045" s="39"/>
    </row>
    <row r="3046" spans="1:1" ht="15.75" customHeight="1" x14ac:dyDescent="0.25">
      <c r="A3046" s="39"/>
    </row>
    <row r="3047" spans="1:1" ht="15.75" customHeight="1" x14ac:dyDescent="0.25">
      <c r="A3047" s="39"/>
    </row>
    <row r="3048" spans="1:1" ht="15.75" customHeight="1" x14ac:dyDescent="0.25">
      <c r="A3048" s="39"/>
    </row>
    <row r="3049" spans="1:1" ht="15.75" customHeight="1" x14ac:dyDescent="0.25">
      <c r="A3049" s="39"/>
    </row>
    <row r="3050" spans="1:1" ht="15.75" customHeight="1" x14ac:dyDescent="0.25">
      <c r="A3050" s="39"/>
    </row>
    <row r="3051" spans="1:1" ht="15.75" customHeight="1" x14ac:dyDescent="0.25">
      <c r="A3051" s="39"/>
    </row>
    <row r="3052" spans="1:1" ht="15.75" customHeight="1" x14ac:dyDescent="0.25">
      <c r="A3052" s="39"/>
    </row>
    <row r="3053" spans="1:1" ht="15.75" customHeight="1" x14ac:dyDescent="0.25">
      <c r="A3053" s="39"/>
    </row>
    <row r="3054" spans="1:1" ht="15.75" customHeight="1" x14ac:dyDescent="0.25">
      <c r="A3054" s="39"/>
    </row>
    <row r="3055" spans="1:1" ht="15.75" customHeight="1" x14ac:dyDescent="0.25">
      <c r="A3055" s="39"/>
    </row>
    <row r="3056" spans="1:1" ht="15.75" customHeight="1" x14ac:dyDescent="0.25">
      <c r="A3056" s="39"/>
    </row>
    <row r="3057" spans="1:1" ht="15.75" customHeight="1" x14ac:dyDescent="0.25">
      <c r="A3057" s="39"/>
    </row>
    <row r="3058" spans="1:1" ht="15.75" customHeight="1" x14ac:dyDescent="0.25">
      <c r="A3058" s="39"/>
    </row>
    <row r="3059" spans="1:1" ht="15.75" customHeight="1" x14ac:dyDescent="0.25">
      <c r="A3059" s="39"/>
    </row>
    <row r="3060" spans="1:1" ht="15.75" customHeight="1" x14ac:dyDescent="0.25">
      <c r="A3060" s="39"/>
    </row>
    <row r="3061" spans="1:1" ht="15.75" customHeight="1" x14ac:dyDescent="0.25">
      <c r="A3061" s="39"/>
    </row>
    <row r="3062" spans="1:1" ht="15.75" customHeight="1" x14ac:dyDescent="0.25">
      <c r="A3062" s="39"/>
    </row>
    <row r="3063" spans="1:1" ht="15.75" customHeight="1" x14ac:dyDescent="0.25">
      <c r="A3063" s="39"/>
    </row>
    <row r="3064" spans="1:1" ht="15.75" customHeight="1" x14ac:dyDescent="0.25">
      <c r="A3064" s="39"/>
    </row>
    <row r="3065" spans="1:1" ht="15.75" customHeight="1" x14ac:dyDescent="0.25">
      <c r="A3065" s="39"/>
    </row>
    <row r="3066" spans="1:1" ht="15.75" customHeight="1" x14ac:dyDescent="0.25">
      <c r="A3066" s="39"/>
    </row>
    <row r="3067" spans="1:1" ht="15.75" customHeight="1" x14ac:dyDescent="0.25">
      <c r="A3067" s="39"/>
    </row>
    <row r="3068" spans="1:1" ht="15.75" customHeight="1" x14ac:dyDescent="0.25">
      <c r="A3068" s="39"/>
    </row>
    <row r="3069" spans="1:1" ht="15.75" customHeight="1" x14ac:dyDescent="0.25">
      <c r="A3069" s="39"/>
    </row>
    <row r="3070" spans="1:1" ht="15.75" customHeight="1" x14ac:dyDescent="0.25">
      <c r="A3070" s="39"/>
    </row>
    <row r="3071" spans="1:1" ht="15.75" customHeight="1" x14ac:dyDescent="0.25">
      <c r="A3071" s="39"/>
    </row>
    <row r="3072" spans="1:1" ht="15.75" customHeight="1" x14ac:dyDescent="0.25">
      <c r="A3072" s="39"/>
    </row>
    <row r="3073" spans="1:1" ht="15.75" customHeight="1" x14ac:dyDescent="0.25">
      <c r="A3073" s="39"/>
    </row>
    <row r="3074" spans="1:1" ht="15.75" customHeight="1" x14ac:dyDescent="0.25">
      <c r="A3074" s="39"/>
    </row>
    <row r="3075" spans="1:1" ht="15.75" customHeight="1" x14ac:dyDescent="0.25">
      <c r="A3075" s="39"/>
    </row>
    <row r="3076" spans="1:1" ht="15.75" customHeight="1" x14ac:dyDescent="0.25">
      <c r="A3076" s="39"/>
    </row>
    <row r="3077" spans="1:1" ht="15.75" customHeight="1" x14ac:dyDescent="0.25">
      <c r="A3077" s="39"/>
    </row>
    <row r="3078" spans="1:1" ht="15.75" customHeight="1" x14ac:dyDescent="0.25">
      <c r="A3078" s="39"/>
    </row>
    <row r="3079" spans="1:1" ht="15.75" customHeight="1" x14ac:dyDescent="0.25">
      <c r="A3079" s="39"/>
    </row>
    <row r="3080" spans="1:1" ht="15.75" customHeight="1" x14ac:dyDescent="0.25">
      <c r="A3080" s="39"/>
    </row>
    <row r="3081" spans="1:1" ht="15.75" customHeight="1" x14ac:dyDescent="0.25">
      <c r="A3081" s="39"/>
    </row>
    <row r="3082" spans="1:1" ht="15.75" customHeight="1" x14ac:dyDescent="0.25">
      <c r="A3082" s="39"/>
    </row>
    <row r="3083" spans="1:1" ht="15.75" customHeight="1" x14ac:dyDescent="0.25">
      <c r="A3083" s="39"/>
    </row>
    <row r="3084" spans="1:1" ht="15.75" customHeight="1" x14ac:dyDescent="0.25">
      <c r="A3084" s="39"/>
    </row>
    <row r="3085" spans="1:1" ht="15.75" customHeight="1" x14ac:dyDescent="0.25">
      <c r="A3085" s="39"/>
    </row>
    <row r="3086" spans="1:1" ht="15.75" customHeight="1" x14ac:dyDescent="0.25">
      <c r="A3086" s="39"/>
    </row>
    <row r="3087" spans="1:1" ht="15.75" customHeight="1" x14ac:dyDescent="0.25">
      <c r="A3087" s="39"/>
    </row>
    <row r="3088" spans="1:1" ht="15.75" customHeight="1" x14ac:dyDescent="0.25">
      <c r="A3088" s="39"/>
    </row>
    <row r="3089" spans="1:1" ht="15.75" customHeight="1" x14ac:dyDescent="0.25">
      <c r="A3089" s="39"/>
    </row>
    <row r="3090" spans="1:1" ht="15.75" customHeight="1" x14ac:dyDescent="0.25">
      <c r="A3090" s="39"/>
    </row>
    <row r="3091" spans="1:1" ht="15.75" customHeight="1" x14ac:dyDescent="0.25">
      <c r="A3091" s="39"/>
    </row>
    <row r="3092" spans="1:1" ht="15.75" customHeight="1" x14ac:dyDescent="0.25">
      <c r="A3092" s="39"/>
    </row>
    <row r="3093" spans="1:1" ht="15.75" customHeight="1" x14ac:dyDescent="0.25">
      <c r="A3093" s="39"/>
    </row>
    <row r="3094" spans="1:1" ht="15.75" customHeight="1" x14ac:dyDescent="0.25">
      <c r="A3094" s="39"/>
    </row>
    <row r="3095" spans="1:1" ht="15.75" customHeight="1" x14ac:dyDescent="0.25">
      <c r="A3095" s="39"/>
    </row>
    <row r="3096" spans="1:1" ht="15.75" customHeight="1" x14ac:dyDescent="0.25">
      <c r="A3096" s="39"/>
    </row>
    <row r="3097" spans="1:1" ht="15.75" customHeight="1" x14ac:dyDescent="0.25">
      <c r="A3097" s="39"/>
    </row>
    <row r="3098" spans="1:1" ht="15.75" customHeight="1" x14ac:dyDescent="0.25">
      <c r="A3098" s="39"/>
    </row>
    <row r="3099" spans="1:1" ht="15.75" customHeight="1" x14ac:dyDescent="0.25">
      <c r="A3099" s="39"/>
    </row>
    <row r="3100" spans="1:1" ht="15.75" customHeight="1" x14ac:dyDescent="0.25">
      <c r="A3100" s="39"/>
    </row>
    <row r="3101" spans="1:1" ht="15.75" customHeight="1" x14ac:dyDescent="0.25">
      <c r="A3101" s="39"/>
    </row>
    <row r="3102" spans="1:1" ht="15.75" customHeight="1" x14ac:dyDescent="0.25">
      <c r="A3102" s="39"/>
    </row>
    <row r="3103" spans="1:1" ht="15.75" customHeight="1" x14ac:dyDescent="0.25">
      <c r="A3103" s="39"/>
    </row>
    <row r="3104" spans="1:1" ht="15.75" customHeight="1" x14ac:dyDescent="0.25">
      <c r="A3104" s="39"/>
    </row>
    <row r="3105" spans="1:1" ht="15.75" customHeight="1" x14ac:dyDescent="0.25">
      <c r="A3105" s="39"/>
    </row>
    <row r="3106" spans="1:1" ht="15.75" customHeight="1" x14ac:dyDescent="0.25">
      <c r="A3106" s="39"/>
    </row>
    <row r="3107" spans="1:1" ht="15.75" customHeight="1" x14ac:dyDescent="0.25">
      <c r="A3107" s="39"/>
    </row>
    <row r="3108" spans="1:1" ht="15.75" customHeight="1" x14ac:dyDescent="0.25">
      <c r="A3108" s="39"/>
    </row>
    <row r="3109" spans="1:1" ht="15.75" customHeight="1" x14ac:dyDescent="0.25">
      <c r="A3109" s="39"/>
    </row>
    <row r="3110" spans="1:1" ht="15.75" customHeight="1" x14ac:dyDescent="0.25">
      <c r="A3110" s="39"/>
    </row>
    <row r="3111" spans="1:1" ht="15.75" customHeight="1" x14ac:dyDescent="0.25">
      <c r="A3111" s="39"/>
    </row>
    <row r="3112" spans="1:1" ht="15.75" customHeight="1" x14ac:dyDescent="0.25">
      <c r="A3112" s="39"/>
    </row>
    <row r="3113" spans="1:1" ht="15.75" customHeight="1" x14ac:dyDescent="0.25">
      <c r="A3113" s="39"/>
    </row>
    <row r="3114" spans="1:1" ht="15.75" customHeight="1" x14ac:dyDescent="0.25">
      <c r="A3114" s="39"/>
    </row>
    <row r="3115" spans="1:1" ht="15.75" customHeight="1" x14ac:dyDescent="0.25">
      <c r="A3115" s="39"/>
    </row>
    <row r="3116" spans="1:1" ht="15.75" customHeight="1" x14ac:dyDescent="0.25">
      <c r="A3116" s="39"/>
    </row>
    <row r="3117" spans="1:1" ht="15.75" customHeight="1" x14ac:dyDescent="0.25">
      <c r="A3117" s="39"/>
    </row>
    <row r="3118" spans="1:1" ht="15.75" customHeight="1" x14ac:dyDescent="0.25">
      <c r="A3118" s="39"/>
    </row>
    <row r="3119" spans="1:1" ht="15.75" customHeight="1" x14ac:dyDescent="0.25">
      <c r="A3119" s="39"/>
    </row>
    <row r="3120" spans="1:1" ht="15.75" customHeight="1" x14ac:dyDescent="0.25">
      <c r="A3120" s="39"/>
    </row>
    <row r="3121" spans="1:1" ht="15.75" customHeight="1" x14ac:dyDescent="0.25">
      <c r="A3121" s="39"/>
    </row>
    <row r="3122" spans="1:1" ht="15.75" customHeight="1" x14ac:dyDescent="0.25">
      <c r="A3122" s="39"/>
    </row>
    <row r="3123" spans="1:1" ht="15.75" customHeight="1" x14ac:dyDescent="0.25">
      <c r="A3123" s="39"/>
    </row>
    <row r="3124" spans="1:1" ht="15.75" customHeight="1" x14ac:dyDescent="0.25">
      <c r="A3124" s="39"/>
    </row>
    <row r="3125" spans="1:1" ht="15.75" customHeight="1" x14ac:dyDescent="0.25">
      <c r="A3125" s="39"/>
    </row>
    <row r="3126" spans="1:1" ht="15.75" customHeight="1" x14ac:dyDescent="0.25">
      <c r="A3126" s="39"/>
    </row>
    <row r="3127" spans="1:1" ht="15.75" customHeight="1" x14ac:dyDescent="0.25">
      <c r="A3127" s="39"/>
    </row>
    <row r="3128" spans="1:1" ht="15.75" customHeight="1" x14ac:dyDescent="0.25">
      <c r="A3128" s="39"/>
    </row>
    <row r="3129" spans="1:1" ht="15.75" customHeight="1" x14ac:dyDescent="0.25">
      <c r="A3129" s="39"/>
    </row>
    <row r="3130" spans="1:1" ht="15.75" customHeight="1" x14ac:dyDescent="0.25">
      <c r="A3130" s="39"/>
    </row>
    <row r="3131" spans="1:1" ht="15.75" customHeight="1" x14ac:dyDescent="0.25">
      <c r="A3131" s="39"/>
    </row>
    <row r="3132" spans="1:1" ht="15.75" customHeight="1" x14ac:dyDescent="0.25">
      <c r="A3132" s="39"/>
    </row>
    <row r="3133" spans="1:1" ht="15.75" customHeight="1" x14ac:dyDescent="0.25">
      <c r="A3133" s="39"/>
    </row>
    <row r="3134" spans="1:1" ht="15.75" customHeight="1" x14ac:dyDescent="0.25">
      <c r="A3134" s="39"/>
    </row>
    <row r="3135" spans="1:1" ht="15.75" customHeight="1" x14ac:dyDescent="0.25">
      <c r="A3135" s="39"/>
    </row>
    <row r="3136" spans="1:1" ht="15.75" customHeight="1" x14ac:dyDescent="0.25">
      <c r="A3136" s="39"/>
    </row>
    <row r="3137" spans="1:1" ht="15.75" customHeight="1" x14ac:dyDescent="0.25">
      <c r="A3137" s="39"/>
    </row>
    <row r="3138" spans="1:1" ht="15.75" customHeight="1" x14ac:dyDescent="0.25">
      <c r="A3138" s="39"/>
    </row>
    <row r="3139" spans="1:1" ht="15.75" customHeight="1" x14ac:dyDescent="0.25">
      <c r="A3139" s="39"/>
    </row>
    <row r="3140" spans="1:1" ht="15.75" customHeight="1" x14ac:dyDescent="0.25">
      <c r="A3140" s="39"/>
    </row>
    <row r="3141" spans="1:1" ht="15.75" customHeight="1" x14ac:dyDescent="0.25">
      <c r="A3141" s="39"/>
    </row>
    <row r="3142" spans="1:1" ht="15.75" customHeight="1" x14ac:dyDescent="0.25">
      <c r="A3142" s="39"/>
    </row>
    <row r="3143" spans="1:1" ht="15.75" customHeight="1" x14ac:dyDescent="0.25">
      <c r="A3143" s="39"/>
    </row>
    <row r="3144" spans="1:1" ht="15.75" customHeight="1" x14ac:dyDescent="0.25">
      <c r="A3144" s="39"/>
    </row>
    <row r="3145" spans="1:1" ht="15.75" customHeight="1" x14ac:dyDescent="0.25">
      <c r="A3145" s="39"/>
    </row>
    <row r="3146" spans="1:1" ht="15.75" customHeight="1" x14ac:dyDescent="0.25">
      <c r="A3146" s="39"/>
    </row>
    <row r="3147" spans="1:1" ht="15.75" customHeight="1" x14ac:dyDescent="0.25">
      <c r="A3147" s="39"/>
    </row>
    <row r="3148" spans="1:1" ht="15.75" customHeight="1" x14ac:dyDescent="0.25">
      <c r="A3148" s="39"/>
    </row>
    <row r="3149" spans="1:1" ht="15.75" customHeight="1" x14ac:dyDescent="0.25">
      <c r="A3149" s="39"/>
    </row>
    <row r="3150" spans="1:1" ht="15.75" customHeight="1" x14ac:dyDescent="0.25">
      <c r="A3150" s="39"/>
    </row>
    <row r="3151" spans="1:1" ht="15.75" customHeight="1" x14ac:dyDescent="0.25">
      <c r="A3151" s="39"/>
    </row>
    <row r="3152" spans="1:1" ht="15.75" customHeight="1" x14ac:dyDescent="0.25">
      <c r="A3152" s="39"/>
    </row>
    <row r="3153" spans="1:1" ht="15.75" customHeight="1" x14ac:dyDescent="0.25">
      <c r="A3153" s="39"/>
    </row>
    <row r="3154" spans="1:1" ht="15.75" customHeight="1" x14ac:dyDescent="0.25">
      <c r="A3154" s="39"/>
    </row>
    <row r="3155" spans="1:1" ht="15.75" customHeight="1" x14ac:dyDescent="0.25">
      <c r="A3155" s="39"/>
    </row>
    <row r="3156" spans="1:1" ht="15.75" customHeight="1" x14ac:dyDescent="0.25">
      <c r="A3156" s="39"/>
    </row>
    <row r="3157" spans="1:1" ht="15.75" customHeight="1" x14ac:dyDescent="0.25">
      <c r="A3157" s="39"/>
    </row>
    <row r="3158" spans="1:1" ht="15.75" customHeight="1" x14ac:dyDescent="0.25">
      <c r="A3158" s="39"/>
    </row>
    <row r="3159" spans="1:1" ht="15.75" customHeight="1" x14ac:dyDescent="0.25">
      <c r="A3159" s="39"/>
    </row>
    <row r="3160" spans="1:1" ht="15.75" customHeight="1" x14ac:dyDescent="0.25">
      <c r="A3160" s="39"/>
    </row>
    <row r="3161" spans="1:1" ht="15.75" customHeight="1" x14ac:dyDescent="0.25">
      <c r="A3161" s="39"/>
    </row>
    <row r="3162" spans="1:1" ht="15.75" customHeight="1" x14ac:dyDescent="0.25">
      <c r="A3162" s="39"/>
    </row>
    <row r="3163" spans="1:1" ht="15.75" customHeight="1" x14ac:dyDescent="0.25">
      <c r="A3163" s="39"/>
    </row>
    <row r="3164" spans="1:1" ht="15.75" customHeight="1" x14ac:dyDescent="0.25">
      <c r="A3164" s="39"/>
    </row>
    <row r="3165" spans="1:1" ht="15.75" customHeight="1" x14ac:dyDescent="0.25">
      <c r="A3165" s="39"/>
    </row>
    <row r="3166" spans="1:1" ht="15.75" customHeight="1" x14ac:dyDescent="0.25">
      <c r="A3166" s="39"/>
    </row>
    <row r="3167" spans="1:1" ht="15.75" customHeight="1" x14ac:dyDescent="0.25">
      <c r="A3167" s="39"/>
    </row>
    <row r="3168" spans="1:1" ht="15.75" customHeight="1" x14ac:dyDescent="0.25">
      <c r="A3168" s="39"/>
    </row>
    <row r="3169" spans="1:1" ht="15.75" customHeight="1" x14ac:dyDescent="0.25">
      <c r="A3169" s="39"/>
    </row>
    <row r="3170" spans="1:1" ht="15.75" customHeight="1" x14ac:dyDescent="0.25">
      <c r="A3170" s="39"/>
    </row>
    <row r="3171" spans="1:1" ht="15.75" customHeight="1" x14ac:dyDescent="0.25">
      <c r="A3171" s="39"/>
    </row>
    <row r="3172" spans="1:1" ht="15.75" customHeight="1" x14ac:dyDescent="0.25">
      <c r="A3172" s="39"/>
    </row>
    <row r="3173" spans="1:1" ht="15.75" customHeight="1" x14ac:dyDescent="0.25">
      <c r="A3173" s="39"/>
    </row>
    <row r="3174" spans="1:1" ht="15.75" customHeight="1" x14ac:dyDescent="0.25">
      <c r="A3174" s="39"/>
    </row>
    <row r="3175" spans="1:1" ht="15.75" customHeight="1" x14ac:dyDescent="0.25">
      <c r="A3175" s="39"/>
    </row>
    <row r="3176" spans="1:1" ht="15.75" customHeight="1" x14ac:dyDescent="0.25">
      <c r="A3176" s="39"/>
    </row>
    <row r="3177" spans="1:1" ht="15.75" customHeight="1" x14ac:dyDescent="0.25">
      <c r="A3177" s="39"/>
    </row>
    <row r="3178" spans="1:1" ht="15.75" customHeight="1" x14ac:dyDescent="0.25">
      <c r="A3178" s="39"/>
    </row>
    <row r="3179" spans="1:1" ht="15.75" customHeight="1" x14ac:dyDescent="0.25">
      <c r="A3179" s="39"/>
    </row>
    <row r="3180" spans="1:1" ht="15.75" customHeight="1" x14ac:dyDescent="0.25">
      <c r="A3180" s="39"/>
    </row>
    <row r="3181" spans="1:1" ht="15.75" customHeight="1" x14ac:dyDescent="0.25">
      <c r="A3181" s="39"/>
    </row>
    <row r="3182" spans="1:1" ht="15.75" customHeight="1" x14ac:dyDescent="0.25">
      <c r="A3182" s="39"/>
    </row>
    <row r="3183" spans="1:1" ht="15.75" customHeight="1" x14ac:dyDescent="0.25">
      <c r="A3183" s="39"/>
    </row>
    <row r="3184" spans="1:1" ht="15.75" customHeight="1" x14ac:dyDescent="0.25">
      <c r="A3184" s="39"/>
    </row>
    <row r="3185" spans="1:1" ht="15.75" customHeight="1" x14ac:dyDescent="0.25">
      <c r="A3185" s="39"/>
    </row>
    <row r="3186" spans="1:1" ht="15.75" customHeight="1" x14ac:dyDescent="0.25">
      <c r="A3186" s="39"/>
    </row>
    <row r="3187" spans="1:1" ht="15.75" customHeight="1" x14ac:dyDescent="0.25">
      <c r="A3187" s="39"/>
    </row>
    <row r="3188" spans="1:1" ht="15.75" customHeight="1" x14ac:dyDescent="0.25">
      <c r="A3188" s="39"/>
    </row>
    <row r="3189" spans="1:1" ht="15.75" customHeight="1" x14ac:dyDescent="0.25">
      <c r="A3189" s="39"/>
    </row>
    <row r="3190" spans="1:1" ht="15.75" customHeight="1" x14ac:dyDescent="0.25">
      <c r="A3190" s="39"/>
    </row>
    <row r="3191" spans="1:1" ht="15.75" customHeight="1" x14ac:dyDescent="0.25">
      <c r="A3191" s="39"/>
    </row>
    <row r="3192" spans="1:1" ht="15.75" customHeight="1" x14ac:dyDescent="0.25">
      <c r="A3192" s="39"/>
    </row>
    <row r="3193" spans="1:1" ht="15.75" customHeight="1" x14ac:dyDescent="0.25">
      <c r="A3193" s="39"/>
    </row>
    <row r="3194" spans="1:1" ht="15.75" customHeight="1" x14ac:dyDescent="0.25">
      <c r="A3194" s="39"/>
    </row>
    <row r="3195" spans="1:1" ht="15.75" customHeight="1" x14ac:dyDescent="0.25">
      <c r="A3195" s="39"/>
    </row>
    <row r="3196" spans="1:1" ht="15.75" customHeight="1" x14ac:dyDescent="0.25">
      <c r="A3196" s="39"/>
    </row>
    <row r="3197" spans="1:1" ht="15.75" customHeight="1" x14ac:dyDescent="0.25">
      <c r="A3197" s="39"/>
    </row>
    <row r="3198" spans="1:1" ht="15.75" customHeight="1" x14ac:dyDescent="0.25">
      <c r="A3198" s="39"/>
    </row>
    <row r="3199" spans="1:1" ht="15.75" customHeight="1" x14ac:dyDescent="0.25">
      <c r="A3199" s="39"/>
    </row>
    <row r="3200" spans="1:1" ht="15.75" customHeight="1" x14ac:dyDescent="0.25">
      <c r="A3200" s="39"/>
    </row>
    <row r="3201" spans="1:1" ht="15.75" customHeight="1" x14ac:dyDescent="0.25">
      <c r="A3201" s="39"/>
    </row>
    <row r="3202" spans="1:1" ht="15.75" customHeight="1" x14ac:dyDescent="0.25">
      <c r="A3202" s="39"/>
    </row>
    <row r="3203" spans="1:1" ht="15.75" customHeight="1" x14ac:dyDescent="0.25">
      <c r="A3203" s="39"/>
    </row>
    <row r="3204" spans="1:1" ht="15.75" customHeight="1" x14ac:dyDescent="0.25">
      <c r="A3204" s="39"/>
    </row>
    <row r="3205" spans="1:1" ht="15.75" customHeight="1" x14ac:dyDescent="0.25">
      <c r="A3205" s="39"/>
    </row>
    <row r="3206" spans="1:1" ht="15.75" customHeight="1" x14ac:dyDescent="0.25">
      <c r="A3206" s="39"/>
    </row>
    <row r="3207" spans="1:1" ht="15.75" customHeight="1" x14ac:dyDescent="0.25">
      <c r="A3207" s="39"/>
    </row>
    <row r="3208" spans="1:1" ht="15.75" customHeight="1" x14ac:dyDescent="0.25">
      <c r="A3208" s="39"/>
    </row>
    <row r="3209" spans="1:1" ht="15.75" customHeight="1" x14ac:dyDescent="0.25">
      <c r="A3209" s="39"/>
    </row>
    <row r="3210" spans="1:1" ht="15.75" customHeight="1" x14ac:dyDescent="0.25">
      <c r="A3210" s="39"/>
    </row>
    <row r="3211" spans="1:1" ht="15.75" customHeight="1" x14ac:dyDescent="0.25">
      <c r="A3211" s="39"/>
    </row>
    <row r="3212" spans="1:1" ht="15.75" customHeight="1" x14ac:dyDescent="0.25">
      <c r="A3212" s="39"/>
    </row>
    <row r="3213" spans="1:1" ht="15.75" customHeight="1" x14ac:dyDescent="0.25">
      <c r="A3213" s="39"/>
    </row>
    <row r="3214" spans="1:1" ht="15.75" customHeight="1" x14ac:dyDescent="0.25">
      <c r="A3214" s="39"/>
    </row>
    <row r="3215" spans="1:1" ht="15.75" customHeight="1" x14ac:dyDescent="0.25">
      <c r="A3215" s="39"/>
    </row>
    <row r="3216" spans="1:1" ht="15.75" customHeight="1" x14ac:dyDescent="0.25">
      <c r="A3216" s="39"/>
    </row>
    <row r="3217" spans="1:1" ht="15.75" customHeight="1" x14ac:dyDescent="0.25">
      <c r="A3217" s="39"/>
    </row>
    <row r="3218" spans="1:1" ht="15.75" customHeight="1" x14ac:dyDescent="0.25">
      <c r="A3218" s="39"/>
    </row>
    <row r="3219" spans="1:1" ht="15.75" customHeight="1" x14ac:dyDescent="0.25">
      <c r="A3219" s="39"/>
    </row>
    <row r="3220" spans="1:1" ht="15.75" customHeight="1" x14ac:dyDescent="0.25">
      <c r="A3220" s="39"/>
    </row>
    <row r="3221" spans="1:1" ht="15.75" customHeight="1" x14ac:dyDescent="0.25">
      <c r="A3221" s="39"/>
    </row>
    <row r="3222" spans="1:1" ht="15.75" customHeight="1" x14ac:dyDescent="0.25">
      <c r="A3222" s="39"/>
    </row>
    <row r="3223" spans="1:1" ht="15.75" customHeight="1" x14ac:dyDescent="0.25">
      <c r="A3223" s="39"/>
    </row>
    <row r="3224" spans="1:1" ht="15.75" customHeight="1" x14ac:dyDescent="0.25">
      <c r="A3224" s="39"/>
    </row>
    <row r="3225" spans="1:1" ht="15.75" customHeight="1" x14ac:dyDescent="0.25">
      <c r="A3225" s="39"/>
    </row>
    <row r="3226" spans="1:1" ht="15.75" customHeight="1" x14ac:dyDescent="0.25">
      <c r="A3226" s="39"/>
    </row>
    <row r="3227" spans="1:1" ht="15.75" customHeight="1" x14ac:dyDescent="0.25">
      <c r="A3227" s="39"/>
    </row>
    <row r="3228" spans="1:1" ht="15.75" customHeight="1" x14ac:dyDescent="0.25">
      <c r="A3228" s="39"/>
    </row>
    <row r="3229" spans="1:1" ht="15.75" customHeight="1" x14ac:dyDescent="0.25">
      <c r="A3229" s="39"/>
    </row>
    <row r="3230" spans="1:1" ht="15.75" customHeight="1" x14ac:dyDescent="0.25">
      <c r="A3230" s="39"/>
    </row>
    <row r="3231" spans="1:1" ht="15.75" customHeight="1" x14ac:dyDescent="0.25">
      <c r="A3231" s="39"/>
    </row>
    <row r="3232" spans="1:1" ht="15.75" customHeight="1" x14ac:dyDescent="0.25">
      <c r="A3232" s="39"/>
    </row>
    <row r="3233" spans="1:1" ht="15.75" customHeight="1" x14ac:dyDescent="0.25">
      <c r="A3233" s="39"/>
    </row>
    <row r="3234" spans="1:1" ht="15.75" customHeight="1" x14ac:dyDescent="0.25">
      <c r="A3234" s="39"/>
    </row>
    <row r="3235" spans="1:1" ht="15.75" customHeight="1" x14ac:dyDescent="0.25">
      <c r="A3235" s="39"/>
    </row>
    <row r="3236" spans="1:1" ht="15.75" customHeight="1" x14ac:dyDescent="0.25">
      <c r="A3236" s="39"/>
    </row>
    <row r="3237" spans="1:1" ht="15.75" customHeight="1" x14ac:dyDescent="0.25">
      <c r="A3237" s="39"/>
    </row>
    <row r="3238" spans="1:1" ht="15.75" customHeight="1" x14ac:dyDescent="0.25">
      <c r="A3238" s="39"/>
    </row>
    <row r="3239" spans="1:1" ht="15.75" customHeight="1" x14ac:dyDescent="0.25">
      <c r="A3239" s="39"/>
    </row>
    <row r="3240" spans="1:1" ht="15.75" customHeight="1" x14ac:dyDescent="0.25">
      <c r="A3240" s="39"/>
    </row>
    <row r="3241" spans="1:1" ht="15.75" customHeight="1" x14ac:dyDescent="0.25">
      <c r="A3241" s="39"/>
    </row>
    <row r="3242" spans="1:1" ht="15.75" customHeight="1" x14ac:dyDescent="0.25">
      <c r="A3242" s="39"/>
    </row>
    <row r="3243" spans="1:1" ht="15.75" customHeight="1" x14ac:dyDescent="0.25">
      <c r="A3243" s="39"/>
    </row>
    <row r="3244" spans="1:1" ht="15.75" customHeight="1" x14ac:dyDescent="0.25">
      <c r="A3244" s="39"/>
    </row>
    <row r="3245" spans="1:1" ht="15.75" customHeight="1" x14ac:dyDescent="0.25">
      <c r="A3245" s="39"/>
    </row>
    <row r="3246" spans="1:1" ht="15.75" customHeight="1" x14ac:dyDescent="0.25">
      <c r="A3246" s="39"/>
    </row>
    <row r="3247" spans="1:1" ht="15.75" customHeight="1" x14ac:dyDescent="0.25">
      <c r="A3247" s="39"/>
    </row>
    <row r="3248" spans="1:1" ht="15.75" customHeight="1" x14ac:dyDescent="0.25">
      <c r="A3248" s="39"/>
    </row>
    <row r="3249" spans="1:1" ht="15.75" customHeight="1" x14ac:dyDescent="0.25">
      <c r="A3249" s="39"/>
    </row>
    <row r="3250" spans="1:1" ht="15.75" customHeight="1" x14ac:dyDescent="0.25">
      <c r="A3250" s="39"/>
    </row>
    <row r="3251" spans="1:1" ht="15.75" customHeight="1" x14ac:dyDescent="0.25">
      <c r="A3251" s="39"/>
    </row>
    <row r="3252" spans="1:1" ht="15.75" customHeight="1" x14ac:dyDescent="0.25">
      <c r="A3252" s="39"/>
    </row>
    <row r="3253" spans="1:1" ht="15.75" customHeight="1" x14ac:dyDescent="0.25">
      <c r="A3253" s="39"/>
    </row>
    <row r="3254" spans="1:1" ht="15.75" customHeight="1" x14ac:dyDescent="0.25">
      <c r="A3254" s="39"/>
    </row>
    <row r="3255" spans="1:1" ht="15.75" customHeight="1" x14ac:dyDescent="0.25">
      <c r="A3255" s="39"/>
    </row>
    <row r="3256" spans="1:1" ht="15.75" customHeight="1" x14ac:dyDescent="0.25">
      <c r="A3256" s="39"/>
    </row>
    <row r="3257" spans="1:1" ht="15.75" customHeight="1" x14ac:dyDescent="0.25">
      <c r="A3257" s="39"/>
    </row>
    <row r="3258" spans="1:1" ht="15.75" customHeight="1" x14ac:dyDescent="0.25">
      <c r="A3258" s="39"/>
    </row>
    <row r="3259" spans="1:1" ht="15.75" customHeight="1" x14ac:dyDescent="0.25">
      <c r="A3259" s="39"/>
    </row>
    <row r="3260" spans="1:1" ht="15.75" customHeight="1" x14ac:dyDescent="0.25">
      <c r="A3260" s="39"/>
    </row>
    <row r="3261" spans="1:1" ht="15.75" customHeight="1" x14ac:dyDescent="0.25">
      <c r="A3261" s="39"/>
    </row>
    <row r="3262" spans="1:1" ht="15.75" customHeight="1" x14ac:dyDescent="0.25">
      <c r="A3262" s="39"/>
    </row>
    <row r="3263" spans="1:1" ht="15.75" customHeight="1" x14ac:dyDescent="0.25">
      <c r="A3263" s="39"/>
    </row>
    <row r="3264" spans="1:1" ht="15.75" customHeight="1" x14ac:dyDescent="0.25">
      <c r="A3264" s="39"/>
    </row>
    <row r="3265" spans="1:1" ht="15.75" customHeight="1" x14ac:dyDescent="0.25">
      <c r="A3265" s="39"/>
    </row>
    <row r="3266" spans="1:1" ht="15.75" customHeight="1" x14ac:dyDescent="0.25">
      <c r="A3266" s="39"/>
    </row>
    <row r="3267" spans="1:1" ht="15.75" customHeight="1" x14ac:dyDescent="0.25">
      <c r="A3267" s="39"/>
    </row>
    <row r="3268" spans="1:1" ht="15.75" customHeight="1" x14ac:dyDescent="0.25">
      <c r="A3268" s="39"/>
    </row>
    <row r="3269" spans="1:1" ht="15.75" customHeight="1" x14ac:dyDescent="0.25">
      <c r="A3269" s="39"/>
    </row>
    <row r="3270" spans="1:1" ht="15.75" customHeight="1" x14ac:dyDescent="0.25">
      <c r="A3270" s="39"/>
    </row>
    <row r="3271" spans="1:1" ht="15.75" customHeight="1" x14ac:dyDescent="0.25">
      <c r="A3271" s="39"/>
    </row>
    <row r="3272" spans="1:1" ht="15.75" customHeight="1" x14ac:dyDescent="0.25">
      <c r="A3272" s="39"/>
    </row>
    <row r="3273" spans="1:1" ht="15.75" customHeight="1" x14ac:dyDescent="0.25">
      <c r="A3273" s="39"/>
    </row>
    <row r="3274" spans="1:1" ht="15.75" customHeight="1" x14ac:dyDescent="0.25">
      <c r="A3274" s="39"/>
    </row>
    <row r="3275" spans="1:1" ht="15.75" customHeight="1" x14ac:dyDescent="0.25">
      <c r="A3275" s="39"/>
    </row>
    <row r="3276" spans="1:1" ht="15.75" customHeight="1" x14ac:dyDescent="0.25">
      <c r="A3276" s="39"/>
    </row>
    <row r="3277" spans="1:1" ht="15.75" customHeight="1" x14ac:dyDescent="0.25">
      <c r="A3277" s="39"/>
    </row>
    <row r="3278" spans="1:1" ht="15.75" customHeight="1" x14ac:dyDescent="0.25">
      <c r="A3278" s="39"/>
    </row>
    <row r="3279" spans="1:1" ht="15.75" customHeight="1" x14ac:dyDescent="0.25">
      <c r="A3279" s="39"/>
    </row>
    <row r="3280" spans="1:1" ht="15.75" customHeight="1" x14ac:dyDescent="0.25">
      <c r="A3280" s="39"/>
    </row>
    <row r="3281" spans="1:1" ht="15.75" customHeight="1" x14ac:dyDescent="0.25">
      <c r="A3281" s="39"/>
    </row>
    <row r="3282" spans="1:1" ht="15.75" customHeight="1" x14ac:dyDescent="0.25">
      <c r="A3282" s="39"/>
    </row>
    <row r="3283" spans="1:1" ht="15.75" customHeight="1" x14ac:dyDescent="0.25">
      <c r="A3283" s="39"/>
    </row>
    <row r="3284" spans="1:1" ht="15.75" customHeight="1" x14ac:dyDescent="0.25">
      <c r="A3284" s="39"/>
    </row>
    <row r="3285" spans="1:1" ht="15.75" customHeight="1" x14ac:dyDescent="0.25">
      <c r="A3285" s="39"/>
    </row>
    <row r="3286" spans="1:1" ht="15.75" customHeight="1" x14ac:dyDescent="0.25">
      <c r="A3286" s="39"/>
    </row>
    <row r="3287" spans="1:1" ht="15.75" customHeight="1" x14ac:dyDescent="0.25">
      <c r="A3287" s="39"/>
    </row>
    <row r="3288" spans="1:1" ht="15.75" customHeight="1" x14ac:dyDescent="0.25">
      <c r="A3288" s="39"/>
    </row>
    <row r="3289" spans="1:1" ht="15.75" customHeight="1" x14ac:dyDescent="0.25">
      <c r="A3289" s="39"/>
    </row>
    <row r="3290" spans="1:1" ht="15.75" customHeight="1" x14ac:dyDescent="0.25">
      <c r="A3290" s="39"/>
    </row>
    <row r="3291" spans="1:1" ht="15.75" customHeight="1" x14ac:dyDescent="0.25">
      <c r="A3291" s="39"/>
    </row>
    <row r="3292" spans="1:1" ht="15.75" customHeight="1" x14ac:dyDescent="0.25">
      <c r="A3292" s="39"/>
    </row>
    <row r="3293" spans="1:1" ht="15.75" customHeight="1" x14ac:dyDescent="0.25">
      <c r="A3293" s="39"/>
    </row>
    <row r="3294" spans="1:1" ht="15.75" customHeight="1" x14ac:dyDescent="0.25">
      <c r="A3294" s="39"/>
    </row>
    <row r="3295" spans="1:1" ht="15.75" customHeight="1" x14ac:dyDescent="0.25">
      <c r="A3295" s="39"/>
    </row>
    <row r="3296" spans="1:1" ht="15.75" customHeight="1" x14ac:dyDescent="0.25">
      <c r="A3296" s="39"/>
    </row>
    <row r="3297" spans="1:1" ht="15.75" customHeight="1" x14ac:dyDescent="0.25">
      <c r="A3297" s="39"/>
    </row>
    <row r="3298" spans="1:1" ht="15.75" customHeight="1" x14ac:dyDescent="0.25">
      <c r="A3298" s="39"/>
    </row>
    <row r="3299" spans="1:1" ht="15.75" customHeight="1" x14ac:dyDescent="0.25">
      <c r="A3299" s="39"/>
    </row>
    <row r="3300" spans="1:1" ht="15.75" customHeight="1" x14ac:dyDescent="0.25">
      <c r="A3300" s="39"/>
    </row>
    <row r="3301" spans="1:1" ht="15.75" customHeight="1" x14ac:dyDescent="0.25">
      <c r="A3301" s="39"/>
    </row>
    <row r="3302" spans="1:1" ht="15.75" customHeight="1" x14ac:dyDescent="0.25">
      <c r="A3302" s="39"/>
    </row>
    <row r="3303" spans="1:1" ht="15.75" customHeight="1" x14ac:dyDescent="0.25">
      <c r="A3303" s="39"/>
    </row>
    <row r="3304" spans="1:1" ht="15.75" customHeight="1" x14ac:dyDescent="0.25">
      <c r="A3304" s="39"/>
    </row>
    <row r="3305" spans="1:1" ht="15.75" customHeight="1" x14ac:dyDescent="0.25">
      <c r="A3305" s="39"/>
    </row>
    <row r="3306" spans="1:1" ht="15.75" customHeight="1" x14ac:dyDescent="0.25">
      <c r="A3306" s="39"/>
    </row>
    <row r="3307" spans="1:1" ht="15.75" customHeight="1" x14ac:dyDescent="0.25">
      <c r="A3307" s="39"/>
    </row>
    <row r="3308" spans="1:1" ht="15.75" customHeight="1" x14ac:dyDescent="0.25">
      <c r="A3308" s="39"/>
    </row>
    <row r="3309" spans="1:1" ht="15.75" customHeight="1" x14ac:dyDescent="0.25">
      <c r="A3309" s="39"/>
    </row>
    <row r="3310" spans="1:1" ht="15.75" customHeight="1" x14ac:dyDescent="0.25">
      <c r="A3310" s="39"/>
    </row>
    <row r="3311" spans="1:1" ht="15.75" customHeight="1" x14ac:dyDescent="0.25">
      <c r="A3311" s="39"/>
    </row>
    <row r="3312" spans="1:1" ht="15.75" customHeight="1" x14ac:dyDescent="0.25">
      <c r="A3312" s="39"/>
    </row>
    <row r="3313" spans="1:1" ht="15.75" customHeight="1" x14ac:dyDescent="0.25">
      <c r="A3313" s="39"/>
    </row>
    <row r="3314" spans="1:1" ht="15.75" customHeight="1" x14ac:dyDescent="0.25">
      <c r="A3314" s="39"/>
    </row>
    <row r="3315" spans="1:1" ht="15.75" customHeight="1" x14ac:dyDescent="0.25">
      <c r="A3315" s="39"/>
    </row>
    <row r="3316" spans="1:1" ht="15.75" customHeight="1" x14ac:dyDescent="0.25">
      <c r="A3316" s="39"/>
    </row>
    <row r="3317" spans="1:1" ht="15.75" customHeight="1" x14ac:dyDescent="0.25">
      <c r="A3317" s="39"/>
    </row>
    <row r="3318" spans="1:1" ht="15.75" customHeight="1" x14ac:dyDescent="0.25">
      <c r="A3318" s="39"/>
    </row>
    <row r="3319" spans="1:1" ht="15.75" customHeight="1" x14ac:dyDescent="0.25">
      <c r="A3319" s="39"/>
    </row>
    <row r="3320" spans="1:1" ht="15.75" customHeight="1" x14ac:dyDescent="0.25">
      <c r="A3320" s="39"/>
    </row>
    <row r="3321" spans="1:1" ht="15.75" customHeight="1" x14ac:dyDescent="0.25">
      <c r="A3321" s="39"/>
    </row>
    <row r="3322" spans="1:1" ht="15.75" customHeight="1" x14ac:dyDescent="0.25">
      <c r="A3322" s="39"/>
    </row>
    <row r="3323" spans="1:1" ht="15.75" customHeight="1" x14ac:dyDescent="0.25">
      <c r="A3323" s="39"/>
    </row>
    <row r="3324" spans="1:1" ht="15.75" customHeight="1" x14ac:dyDescent="0.25">
      <c r="A3324" s="39"/>
    </row>
    <row r="3325" spans="1:1" ht="15.75" customHeight="1" x14ac:dyDescent="0.25">
      <c r="A3325" s="39"/>
    </row>
    <row r="3326" spans="1:1" ht="15.75" customHeight="1" x14ac:dyDescent="0.25">
      <c r="A3326" s="39"/>
    </row>
    <row r="3327" spans="1:1" ht="15.75" customHeight="1" x14ac:dyDescent="0.25">
      <c r="A3327" s="39"/>
    </row>
    <row r="3328" spans="1:1" ht="15.75" customHeight="1" x14ac:dyDescent="0.25">
      <c r="A3328" s="39"/>
    </row>
    <row r="3329" spans="1:1" ht="15.75" customHeight="1" x14ac:dyDescent="0.25">
      <c r="A3329" s="39"/>
    </row>
    <row r="3330" spans="1:1" ht="15.75" customHeight="1" x14ac:dyDescent="0.25">
      <c r="A3330" s="39"/>
    </row>
    <row r="3331" spans="1:1" ht="15.75" customHeight="1" x14ac:dyDescent="0.25">
      <c r="A3331" s="39"/>
    </row>
    <row r="3332" spans="1:1" ht="15.75" customHeight="1" x14ac:dyDescent="0.25">
      <c r="A3332" s="39"/>
    </row>
    <row r="3333" spans="1:1" ht="15.75" customHeight="1" x14ac:dyDescent="0.25">
      <c r="A3333" s="39"/>
    </row>
    <row r="3334" spans="1:1" ht="15.75" customHeight="1" x14ac:dyDescent="0.25">
      <c r="A3334" s="39"/>
    </row>
    <row r="3335" spans="1:1" ht="15.75" customHeight="1" x14ac:dyDescent="0.25">
      <c r="A3335" s="39"/>
    </row>
    <row r="3336" spans="1:1" ht="15.75" customHeight="1" x14ac:dyDescent="0.25">
      <c r="A3336" s="39"/>
    </row>
    <row r="3337" spans="1:1" ht="15.75" customHeight="1" x14ac:dyDescent="0.25">
      <c r="A3337" s="39"/>
    </row>
    <row r="3338" spans="1:1" ht="15.75" customHeight="1" x14ac:dyDescent="0.25">
      <c r="A3338" s="39"/>
    </row>
    <row r="3339" spans="1:1" ht="15.75" customHeight="1" x14ac:dyDescent="0.25">
      <c r="A3339" s="39"/>
    </row>
    <row r="3340" spans="1:1" ht="15.75" customHeight="1" x14ac:dyDescent="0.25">
      <c r="A3340" s="39"/>
    </row>
    <row r="3341" spans="1:1" ht="15.75" customHeight="1" x14ac:dyDescent="0.25">
      <c r="A3341" s="39"/>
    </row>
    <row r="3342" spans="1:1" ht="15.75" customHeight="1" x14ac:dyDescent="0.25">
      <c r="A3342" s="39"/>
    </row>
    <row r="3343" spans="1:1" ht="15.75" customHeight="1" x14ac:dyDescent="0.25">
      <c r="A3343" s="39"/>
    </row>
    <row r="3344" spans="1:1" ht="15.75" customHeight="1" x14ac:dyDescent="0.25">
      <c r="A3344" s="39"/>
    </row>
    <row r="3345" spans="1:1" ht="15.75" customHeight="1" x14ac:dyDescent="0.25">
      <c r="A3345" s="39"/>
    </row>
    <row r="3346" spans="1:1" ht="15.75" customHeight="1" x14ac:dyDescent="0.25">
      <c r="A3346" s="39"/>
    </row>
    <row r="3347" spans="1:1" ht="15.75" customHeight="1" x14ac:dyDescent="0.25">
      <c r="A3347" s="39"/>
    </row>
    <row r="3348" spans="1:1" ht="15.75" customHeight="1" x14ac:dyDescent="0.25">
      <c r="A3348" s="39"/>
    </row>
    <row r="3349" spans="1:1" ht="15.75" customHeight="1" x14ac:dyDescent="0.25">
      <c r="A3349" s="39"/>
    </row>
    <row r="3350" spans="1:1" ht="15.75" customHeight="1" x14ac:dyDescent="0.25">
      <c r="A3350" s="39"/>
    </row>
    <row r="3351" spans="1:1" ht="15.75" customHeight="1" x14ac:dyDescent="0.25">
      <c r="A3351" s="39"/>
    </row>
    <row r="3352" spans="1:1" ht="15.75" customHeight="1" x14ac:dyDescent="0.25">
      <c r="A3352" s="39"/>
    </row>
    <row r="3353" spans="1:1" ht="15.75" customHeight="1" x14ac:dyDescent="0.25">
      <c r="A3353" s="39"/>
    </row>
    <row r="3354" spans="1:1" ht="15.75" customHeight="1" x14ac:dyDescent="0.25">
      <c r="A3354" s="39"/>
    </row>
    <row r="3355" spans="1:1" ht="15.75" customHeight="1" x14ac:dyDescent="0.25">
      <c r="A3355" s="39"/>
    </row>
    <row r="3356" spans="1:1" ht="15.75" customHeight="1" x14ac:dyDescent="0.25">
      <c r="A3356" s="39"/>
    </row>
    <row r="3357" spans="1:1" ht="15.75" customHeight="1" x14ac:dyDescent="0.25">
      <c r="A3357" s="39"/>
    </row>
    <row r="3358" spans="1:1" ht="15.75" customHeight="1" x14ac:dyDescent="0.25">
      <c r="A3358" s="39"/>
    </row>
    <row r="3359" spans="1:1" ht="15.75" customHeight="1" x14ac:dyDescent="0.25">
      <c r="A3359" s="39"/>
    </row>
    <row r="3360" spans="1:1" ht="15.75" customHeight="1" x14ac:dyDescent="0.25">
      <c r="A3360" s="39"/>
    </row>
    <row r="3361" spans="1:1" ht="15.75" customHeight="1" x14ac:dyDescent="0.25">
      <c r="A3361" s="39"/>
    </row>
    <row r="3362" spans="1:1" ht="15.75" customHeight="1" x14ac:dyDescent="0.25">
      <c r="A3362" s="39"/>
    </row>
    <row r="3363" spans="1:1" ht="15.75" customHeight="1" x14ac:dyDescent="0.25">
      <c r="A3363" s="39"/>
    </row>
    <row r="3364" spans="1:1" ht="15.75" customHeight="1" x14ac:dyDescent="0.25">
      <c r="A3364" s="39"/>
    </row>
    <row r="3365" spans="1:1" ht="15.75" customHeight="1" x14ac:dyDescent="0.25">
      <c r="A3365" s="39"/>
    </row>
    <row r="3366" spans="1:1" ht="15.75" customHeight="1" x14ac:dyDescent="0.25">
      <c r="A3366" s="39"/>
    </row>
    <row r="3367" spans="1:1" ht="15.75" customHeight="1" x14ac:dyDescent="0.25">
      <c r="A3367" s="39"/>
    </row>
    <row r="3368" spans="1:1" ht="15.75" customHeight="1" x14ac:dyDescent="0.25">
      <c r="A3368" s="39"/>
    </row>
    <row r="3369" spans="1:1" ht="15.75" customHeight="1" x14ac:dyDescent="0.25">
      <c r="A3369" s="39"/>
    </row>
    <row r="3370" spans="1:1" ht="15.75" customHeight="1" x14ac:dyDescent="0.25">
      <c r="A3370" s="39"/>
    </row>
    <row r="3371" spans="1:1" ht="15.75" customHeight="1" x14ac:dyDescent="0.25">
      <c r="A3371" s="39"/>
    </row>
    <row r="3372" spans="1:1" ht="15.75" customHeight="1" x14ac:dyDescent="0.25">
      <c r="A3372" s="39"/>
    </row>
    <row r="3373" spans="1:1" ht="15.75" customHeight="1" x14ac:dyDescent="0.25">
      <c r="A3373" s="39"/>
    </row>
    <row r="3374" spans="1:1" ht="15.75" customHeight="1" x14ac:dyDescent="0.25">
      <c r="A3374" s="39"/>
    </row>
    <row r="3375" spans="1:1" ht="15.75" customHeight="1" x14ac:dyDescent="0.25">
      <c r="A3375" s="39"/>
    </row>
    <row r="3376" spans="1:1" ht="15.75" customHeight="1" x14ac:dyDescent="0.25">
      <c r="A3376" s="39"/>
    </row>
    <row r="3377" spans="1:1" ht="15.75" customHeight="1" x14ac:dyDescent="0.25">
      <c r="A3377" s="39"/>
    </row>
    <row r="3378" spans="1:1" ht="15.75" customHeight="1" x14ac:dyDescent="0.25">
      <c r="A3378" s="39"/>
    </row>
    <row r="3379" spans="1:1" ht="15.75" customHeight="1" x14ac:dyDescent="0.25">
      <c r="A3379" s="39"/>
    </row>
    <row r="3380" spans="1:1" ht="15.75" customHeight="1" x14ac:dyDescent="0.25">
      <c r="A3380" s="39"/>
    </row>
    <row r="3381" spans="1:1" ht="15.75" customHeight="1" x14ac:dyDescent="0.25">
      <c r="A3381" s="39"/>
    </row>
    <row r="3382" spans="1:1" ht="15.75" customHeight="1" x14ac:dyDescent="0.25">
      <c r="A3382" s="39"/>
    </row>
    <row r="3383" spans="1:1" ht="15.75" customHeight="1" x14ac:dyDescent="0.25">
      <c r="A3383" s="39"/>
    </row>
    <row r="3384" spans="1:1" ht="15.75" customHeight="1" x14ac:dyDescent="0.25">
      <c r="A3384" s="39"/>
    </row>
    <row r="3385" spans="1:1" ht="15.75" customHeight="1" x14ac:dyDescent="0.25">
      <c r="A3385" s="39"/>
    </row>
    <row r="3386" spans="1:1" ht="15.75" customHeight="1" x14ac:dyDescent="0.25">
      <c r="A3386" s="39"/>
    </row>
    <row r="3387" spans="1:1" ht="15.75" customHeight="1" x14ac:dyDescent="0.25">
      <c r="A3387" s="39"/>
    </row>
    <row r="3388" spans="1:1" ht="15.75" customHeight="1" x14ac:dyDescent="0.25">
      <c r="A3388" s="39"/>
    </row>
    <row r="3389" spans="1:1" ht="15.75" customHeight="1" x14ac:dyDescent="0.25">
      <c r="A3389" s="39"/>
    </row>
    <row r="3390" spans="1:1" ht="15.75" customHeight="1" x14ac:dyDescent="0.25">
      <c r="A3390" s="39"/>
    </row>
    <row r="3391" spans="1:1" ht="15.75" customHeight="1" x14ac:dyDescent="0.25">
      <c r="A3391" s="39"/>
    </row>
    <row r="3392" spans="1:1" ht="15.75" customHeight="1" x14ac:dyDescent="0.25">
      <c r="A3392" s="39"/>
    </row>
    <row r="3393" spans="1:1" ht="15.75" customHeight="1" x14ac:dyDescent="0.25">
      <c r="A3393" s="39"/>
    </row>
    <row r="3394" spans="1:1" ht="15.75" customHeight="1" x14ac:dyDescent="0.25">
      <c r="A3394" s="39"/>
    </row>
    <row r="3395" spans="1:1" ht="15.75" customHeight="1" x14ac:dyDescent="0.25">
      <c r="A3395" s="39"/>
    </row>
    <row r="3396" spans="1:1" ht="15.75" customHeight="1" x14ac:dyDescent="0.25">
      <c r="A3396" s="39"/>
    </row>
    <row r="3397" spans="1:1" ht="15.75" customHeight="1" x14ac:dyDescent="0.25">
      <c r="A3397" s="39"/>
    </row>
    <row r="3398" spans="1:1" ht="15.75" customHeight="1" x14ac:dyDescent="0.25">
      <c r="A3398" s="39"/>
    </row>
    <row r="3399" spans="1:1" ht="15.75" customHeight="1" x14ac:dyDescent="0.25">
      <c r="A3399" s="39"/>
    </row>
    <row r="3400" spans="1:1" ht="15.75" customHeight="1" x14ac:dyDescent="0.25">
      <c r="A3400" s="39"/>
    </row>
    <row r="3401" spans="1:1" ht="15.75" customHeight="1" x14ac:dyDescent="0.25">
      <c r="A3401" s="39"/>
    </row>
    <row r="3402" spans="1:1" ht="15.75" customHeight="1" x14ac:dyDescent="0.25">
      <c r="A3402" s="39"/>
    </row>
    <row r="3403" spans="1:1" ht="15.75" customHeight="1" x14ac:dyDescent="0.25">
      <c r="A3403" s="39"/>
    </row>
    <row r="3404" spans="1:1" ht="15.75" customHeight="1" x14ac:dyDescent="0.25">
      <c r="A3404" s="39"/>
    </row>
    <row r="3405" spans="1:1" ht="15.75" customHeight="1" x14ac:dyDescent="0.25">
      <c r="A3405" s="39"/>
    </row>
    <row r="3406" spans="1:1" ht="15.75" customHeight="1" x14ac:dyDescent="0.25">
      <c r="A3406" s="39"/>
    </row>
    <row r="3407" spans="1:1" ht="15.75" customHeight="1" x14ac:dyDescent="0.25">
      <c r="A3407" s="39"/>
    </row>
    <row r="3408" spans="1:1" ht="15.75" customHeight="1" x14ac:dyDescent="0.25">
      <c r="A3408" s="39"/>
    </row>
    <row r="3409" spans="1:1" ht="15.75" customHeight="1" x14ac:dyDescent="0.25">
      <c r="A3409" s="39"/>
    </row>
    <row r="3410" spans="1:1" ht="15.75" customHeight="1" x14ac:dyDescent="0.25">
      <c r="A3410" s="39"/>
    </row>
    <row r="3411" spans="1:1" ht="15.75" customHeight="1" x14ac:dyDescent="0.25">
      <c r="A3411" s="39"/>
    </row>
    <row r="3412" spans="1:1" ht="15.75" customHeight="1" x14ac:dyDescent="0.25">
      <c r="A3412" s="39"/>
    </row>
    <row r="3413" spans="1:1" ht="15.75" customHeight="1" x14ac:dyDescent="0.25">
      <c r="A3413" s="39"/>
    </row>
    <row r="3414" spans="1:1" ht="15.75" customHeight="1" x14ac:dyDescent="0.25">
      <c r="A3414" s="39"/>
    </row>
    <row r="3415" spans="1:1" ht="15.75" customHeight="1" x14ac:dyDescent="0.25">
      <c r="A3415" s="39"/>
    </row>
    <row r="3416" spans="1:1" ht="15.75" customHeight="1" x14ac:dyDescent="0.25">
      <c r="A3416" s="39"/>
    </row>
    <row r="3417" spans="1:1" ht="15.75" customHeight="1" x14ac:dyDescent="0.25">
      <c r="A3417" s="39"/>
    </row>
    <row r="3418" spans="1:1" ht="15.75" customHeight="1" x14ac:dyDescent="0.25">
      <c r="A3418" s="39"/>
    </row>
    <row r="3419" spans="1:1" ht="15.75" customHeight="1" x14ac:dyDescent="0.25">
      <c r="A3419" s="39"/>
    </row>
    <row r="3420" spans="1:1" ht="15.75" customHeight="1" x14ac:dyDescent="0.25">
      <c r="A3420" s="39"/>
    </row>
    <row r="3421" spans="1:1" ht="15.75" customHeight="1" x14ac:dyDescent="0.25">
      <c r="A3421" s="39"/>
    </row>
    <row r="3422" spans="1:1" ht="15.75" customHeight="1" x14ac:dyDescent="0.25">
      <c r="A3422" s="39"/>
    </row>
    <row r="3423" spans="1:1" ht="15.75" customHeight="1" x14ac:dyDescent="0.25">
      <c r="A3423" s="39"/>
    </row>
    <row r="3424" spans="1:1" ht="15.75" customHeight="1" x14ac:dyDescent="0.25">
      <c r="A3424" s="39"/>
    </row>
    <row r="3425" spans="1:1" ht="15.75" customHeight="1" x14ac:dyDescent="0.25">
      <c r="A3425" s="39"/>
    </row>
    <row r="3426" spans="1:1" ht="15.75" customHeight="1" x14ac:dyDescent="0.25">
      <c r="A3426" s="39"/>
    </row>
    <row r="3427" spans="1:1" ht="15.75" customHeight="1" x14ac:dyDescent="0.25">
      <c r="A3427" s="39"/>
    </row>
    <row r="3428" spans="1:1" ht="15.75" customHeight="1" x14ac:dyDescent="0.25">
      <c r="A3428" s="39"/>
    </row>
    <row r="3429" spans="1:1" ht="15.75" customHeight="1" x14ac:dyDescent="0.25">
      <c r="A3429" s="39"/>
    </row>
    <row r="3430" spans="1:1" ht="15.75" customHeight="1" x14ac:dyDescent="0.25">
      <c r="A3430" s="39"/>
    </row>
    <row r="3431" spans="1:1" ht="15.75" customHeight="1" x14ac:dyDescent="0.25">
      <c r="A3431" s="39"/>
    </row>
    <row r="3432" spans="1:1" ht="15.75" customHeight="1" x14ac:dyDescent="0.25">
      <c r="A3432" s="39"/>
    </row>
    <row r="3433" spans="1:1" ht="15.75" customHeight="1" x14ac:dyDescent="0.25">
      <c r="A3433" s="39"/>
    </row>
    <row r="3434" spans="1:1" ht="15.75" customHeight="1" x14ac:dyDescent="0.25">
      <c r="A3434" s="39"/>
    </row>
    <row r="3435" spans="1:1" ht="15.75" customHeight="1" x14ac:dyDescent="0.25">
      <c r="A3435" s="39"/>
    </row>
    <row r="3436" spans="1:1" ht="15.75" customHeight="1" x14ac:dyDescent="0.25">
      <c r="A3436" s="39"/>
    </row>
    <row r="3437" spans="1:1" ht="15.75" customHeight="1" x14ac:dyDescent="0.25">
      <c r="A3437" s="39"/>
    </row>
    <row r="3438" spans="1:1" ht="15.75" customHeight="1" x14ac:dyDescent="0.25">
      <c r="A3438" s="39"/>
    </row>
    <row r="3439" spans="1:1" ht="15.75" customHeight="1" x14ac:dyDescent="0.25">
      <c r="A3439" s="39"/>
    </row>
    <row r="3440" spans="1:1" ht="15.75" customHeight="1" x14ac:dyDescent="0.25">
      <c r="A3440" s="39"/>
    </row>
    <row r="3441" spans="1:1" ht="15.75" customHeight="1" x14ac:dyDescent="0.25">
      <c r="A3441" s="39"/>
    </row>
    <row r="3442" spans="1:1" ht="15.75" customHeight="1" x14ac:dyDescent="0.25">
      <c r="A3442" s="39"/>
    </row>
    <row r="3443" spans="1:1" ht="15.75" customHeight="1" x14ac:dyDescent="0.25">
      <c r="A3443" s="39"/>
    </row>
    <row r="3444" spans="1:1" ht="15.75" customHeight="1" x14ac:dyDescent="0.25">
      <c r="A3444" s="39"/>
    </row>
    <row r="3445" spans="1:1" ht="15.75" customHeight="1" x14ac:dyDescent="0.25">
      <c r="A3445" s="39"/>
    </row>
    <row r="3446" spans="1:1" ht="15.75" customHeight="1" x14ac:dyDescent="0.25">
      <c r="A3446" s="39"/>
    </row>
    <row r="3447" spans="1:1" ht="15.75" customHeight="1" x14ac:dyDescent="0.25">
      <c r="A3447" s="39"/>
    </row>
    <row r="3448" spans="1:1" ht="15.75" customHeight="1" x14ac:dyDescent="0.25">
      <c r="A3448" s="39"/>
    </row>
    <row r="3449" spans="1:1" ht="15.75" customHeight="1" x14ac:dyDescent="0.25">
      <c r="A3449" s="39"/>
    </row>
    <row r="3450" spans="1:1" ht="15.75" customHeight="1" x14ac:dyDescent="0.25">
      <c r="A3450" s="39"/>
    </row>
    <row r="3451" spans="1:1" ht="15.75" customHeight="1" x14ac:dyDescent="0.25">
      <c r="A3451" s="39"/>
    </row>
    <row r="3452" spans="1:1" ht="15.75" customHeight="1" x14ac:dyDescent="0.25">
      <c r="A3452" s="39"/>
    </row>
    <row r="3453" spans="1:1" ht="15.75" customHeight="1" x14ac:dyDescent="0.25">
      <c r="A3453" s="39"/>
    </row>
    <row r="3454" spans="1:1" ht="15.75" customHeight="1" x14ac:dyDescent="0.25">
      <c r="A3454" s="39"/>
    </row>
    <row r="3455" spans="1:1" ht="15.75" customHeight="1" x14ac:dyDescent="0.25">
      <c r="A3455" s="39"/>
    </row>
    <row r="3456" spans="1:1" ht="15.75" customHeight="1" x14ac:dyDescent="0.25">
      <c r="A3456" s="39"/>
    </row>
    <row r="3457" spans="1:1" ht="15.75" customHeight="1" x14ac:dyDescent="0.25">
      <c r="A3457" s="39"/>
    </row>
    <row r="3458" spans="1:1" ht="15.75" customHeight="1" x14ac:dyDescent="0.25">
      <c r="A3458" s="39"/>
    </row>
    <row r="3459" spans="1:1" ht="15.75" customHeight="1" x14ac:dyDescent="0.25">
      <c r="A3459" s="39"/>
    </row>
    <row r="3460" spans="1:1" ht="15.75" customHeight="1" x14ac:dyDescent="0.25">
      <c r="A3460" s="39"/>
    </row>
    <row r="3461" spans="1:1" ht="15.75" customHeight="1" x14ac:dyDescent="0.25">
      <c r="A3461" s="39"/>
    </row>
    <row r="3462" spans="1:1" ht="15.75" customHeight="1" x14ac:dyDescent="0.25">
      <c r="A3462" s="39"/>
    </row>
    <row r="3463" spans="1:1" ht="15.75" customHeight="1" x14ac:dyDescent="0.25">
      <c r="A3463" s="39"/>
    </row>
    <row r="3464" spans="1:1" ht="15.75" customHeight="1" x14ac:dyDescent="0.25">
      <c r="A3464" s="39"/>
    </row>
    <row r="3465" spans="1:1" ht="15.75" customHeight="1" x14ac:dyDescent="0.25">
      <c r="A3465" s="39"/>
    </row>
    <row r="3466" spans="1:1" ht="15.75" customHeight="1" x14ac:dyDescent="0.25">
      <c r="A3466" s="39"/>
    </row>
    <row r="3467" spans="1:1" ht="15.75" customHeight="1" x14ac:dyDescent="0.25">
      <c r="A3467" s="39"/>
    </row>
    <row r="3468" spans="1:1" ht="15.75" customHeight="1" x14ac:dyDescent="0.25">
      <c r="A3468" s="39"/>
    </row>
    <row r="3469" spans="1:1" ht="15.75" customHeight="1" x14ac:dyDescent="0.25">
      <c r="A3469" s="39"/>
    </row>
    <row r="3470" spans="1:1" ht="15.75" customHeight="1" x14ac:dyDescent="0.25">
      <c r="A3470" s="39"/>
    </row>
    <row r="3471" spans="1:1" ht="15.75" customHeight="1" x14ac:dyDescent="0.25">
      <c r="A3471" s="39"/>
    </row>
    <row r="3472" spans="1:1" ht="15.75" customHeight="1" x14ac:dyDescent="0.25">
      <c r="A3472" s="39"/>
    </row>
    <row r="3473" spans="1:1" ht="15.75" customHeight="1" x14ac:dyDescent="0.25">
      <c r="A3473" s="39"/>
    </row>
    <row r="3474" spans="1:1" ht="15.75" customHeight="1" x14ac:dyDescent="0.25">
      <c r="A3474" s="39"/>
    </row>
    <row r="3475" spans="1:1" ht="15.75" customHeight="1" x14ac:dyDescent="0.25">
      <c r="A3475" s="39"/>
    </row>
    <row r="3476" spans="1:1" ht="15.75" customHeight="1" x14ac:dyDescent="0.25">
      <c r="A3476" s="39"/>
    </row>
    <row r="3477" spans="1:1" ht="15.75" customHeight="1" x14ac:dyDescent="0.25">
      <c r="A3477" s="39"/>
    </row>
    <row r="3478" spans="1:1" ht="15.75" customHeight="1" x14ac:dyDescent="0.25">
      <c r="A3478" s="39"/>
    </row>
    <row r="3479" spans="1:1" ht="15.75" customHeight="1" x14ac:dyDescent="0.25">
      <c r="A3479" s="39"/>
    </row>
    <row r="3480" spans="1:1" ht="15.75" customHeight="1" x14ac:dyDescent="0.25">
      <c r="A3480" s="39"/>
    </row>
    <row r="3481" spans="1:1" ht="15.75" customHeight="1" x14ac:dyDescent="0.25">
      <c r="A3481" s="39"/>
    </row>
    <row r="3482" spans="1:1" ht="15.75" customHeight="1" x14ac:dyDescent="0.25">
      <c r="A3482" s="39"/>
    </row>
    <row r="3483" spans="1:1" ht="15.75" customHeight="1" x14ac:dyDescent="0.25">
      <c r="A3483" s="39"/>
    </row>
    <row r="3484" spans="1:1" ht="15.75" customHeight="1" x14ac:dyDescent="0.25">
      <c r="A3484" s="39"/>
    </row>
    <row r="3485" spans="1:1" ht="15.75" customHeight="1" x14ac:dyDescent="0.25">
      <c r="A3485" s="39"/>
    </row>
    <row r="3486" spans="1:1" ht="15.75" customHeight="1" x14ac:dyDescent="0.25">
      <c r="A3486" s="39"/>
    </row>
    <row r="3487" spans="1:1" ht="15.75" customHeight="1" x14ac:dyDescent="0.25">
      <c r="A3487" s="39"/>
    </row>
    <row r="3488" spans="1:1" ht="15.75" customHeight="1" x14ac:dyDescent="0.25">
      <c r="A3488" s="39"/>
    </row>
    <row r="3489" spans="1:1" ht="15.75" customHeight="1" x14ac:dyDescent="0.25">
      <c r="A3489" s="39"/>
    </row>
    <row r="3490" spans="1:1" ht="15.75" customHeight="1" x14ac:dyDescent="0.25">
      <c r="A3490" s="39"/>
    </row>
    <row r="3491" spans="1:1" ht="15.75" customHeight="1" x14ac:dyDescent="0.25">
      <c r="A3491" s="39"/>
    </row>
    <row r="3492" spans="1:1" ht="15.75" customHeight="1" x14ac:dyDescent="0.25">
      <c r="A3492" s="39"/>
    </row>
    <row r="3493" spans="1:1" ht="15.75" customHeight="1" x14ac:dyDescent="0.25">
      <c r="A3493" s="39"/>
    </row>
    <row r="3494" spans="1:1" ht="15.75" customHeight="1" x14ac:dyDescent="0.25">
      <c r="A3494" s="39"/>
    </row>
    <row r="3495" spans="1:1" ht="15.75" customHeight="1" x14ac:dyDescent="0.25">
      <c r="A3495" s="39"/>
    </row>
    <row r="3496" spans="1:1" ht="15.75" customHeight="1" x14ac:dyDescent="0.25">
      <c r="A3496" s="39"/>
    </row>
    <row r="3497" spans="1:1" ht="15.75" customHeight="1" x14ac:dyDescent="0.25">
      <c r="A3497" s="39"/>
    </row>
    <row r="3498" spans="1:1" ht="15.75" customHeight="1" x14ac:dyDescent="0.25">
      <c r="A3498" s="39"/>
    </row>
    <row r="3499" spans="1:1" ht="15.75" customHeight="1" x14ac:dyDescent="0.25">
      <c r="A3499" s="39"/>
    </row>
    <row r="3500" spans="1:1" ht="15.75" customHeight="1" x14ac:dyDescent="0.25">
      <c r="A3500" s="39"/>
    </row>
    <row r="3501" spans="1:1" ht="15.75" customHeight="1" x14ac:dyDescent="0.25">
      <c r="A3501" s="39"/>
    </row>
    <row r="3502" spans="1:1" ht="15.75" customHeight="1" x14ac:dyDescent="0.25">
      <c r="A3502" s="39"/>
    </row>
    <row r="3503" spans="1:1" ht="15.75" customHeight="1" x14ac:dyDescent="0.25">
      <c r="A3503" s="39"/>
    </row>
    <row r="3504" spans="1:1" ht="15.75" customHeight="1" x14ac:dyDescent="0.25">
      <c r="A3504" s="39"/>
    </row>
    <row r="3505" spans="1:1" ht="15.75" customHeight="1" x14ac:dyDescent="0.25">
      <c r="A3505" s="39"/>
    </row>
    <row r="3506" spans="1:1" ht="15.75" customHeight="1" x14ac:dyDescent="0.25">
      <c r="A3506" s="39"/>
    </row>
    <row r="3507" spans="1:1" ht="15.75" customHeight="1" x14ac:dyDescent="0.25">
      <c r="A3507" s="39"/>
    </row>
    <row r="3508" spans="1:1" ht="15.75" customHeight="1" x14ac:dyDescent="0.25">
      <c r="A3508" s="39"/>
    </row>
    <row r="3509" spans="1:1" ht="15.75" customHeight="1" x14ac:dyDescent="0.25">
      <c r="A3509" s="39"/>
    </row>
    <row r="3510" spans="1:1" ht="15.75" customHeight="1" x14ac:dyDescent="0.25">
      <c r="A3510" s="39"/>
    </row>
    <row r="3511" spans="1:1" ht="15.75" customHeight="1" x14ac:dyDescent="0.25">
      <c r="A3511" s="39"/>
    </row>
    <row r="3512" spans="1:1" ht="15.75" customHeight="1" x14ac:dyDescent="0.25">
      <c r="A3512" s="39"/>
    </row>
    <row r="3513" spans="1:1" ht="15.75" customHeight="1" x14ac:dyDescent="0.25">
      <c r="A3513" s="39"/>
    </row>
    <row r="3514" spans="1:1" ht="15.75" customHeight="1" x14ac:dyDescent="0.25">
      <c r="A3514" s="39"/>
    </row>
    <row r="3515" spans="1:1" ht="15.75" customHeight="1" x14ac:dyDescent="0.25">
      <c r="A3515" s="39"/>
    </row>
    <row r="3516" spans="1:1" ht="15.75" customHeight="1" x14ac:dyDescent="0.25">
      <c r="A3516" s="39"/>
    </row>
    <row r="3517" spans="1:1" ht="15.75" customHeight="1" x14ac:dyDescent="0.25">
      <c r="A3517" s="39"/>
    </row>
    <row r="3518" spans="1:1" ht="15.75" customHeight="1" x14ac:dyDescent="0.25">
      <c r="A3518" s="39"/>
    </row>
    <row r="3519" spans="1:1" ht="15.75" customHeight="1" x14ac:dyDescent="0.25">
      <c r="A3519" s="39"/>
    </row>
    <row r="3520" spans="1:1" ht="15.75" customHeight="1" x14ac:dyDescent="0.25">
      <c r="A3520" s="39"/>
    </row>
    <row r="3521" spans="1:1" ht="15.75" customHeight="1" x14ac:dyDescent="0.25">
      <c r="A3521" s="39"/>
    </row>
    <row r="3522" spans="1:1" ht="15.75" customHeight="1" x14ac:dyDescent="0.25">
      <c r="A3522" s="39"/>
    </row>
    <row r="3523" spans="1:1" ht="15.75" customHeight="1" x14ac:dyDescent="0.25">
      <c r="A3523" s="39"/>
    </row>
    <row r="3524" spans="1:1" ht="15.75" customHeight="1" x14ac:dyDescent="0.25">
      <c r="A3524" s="39"/>
    </row>
    <row r="3525" spans="1:1" ht="15.75" customHeight="1" x14ac:dyDescent="0.25">
      <c r="A3525" s="39"/>
    </row>
    <row r="3526" spans="1:1" ht="15.75" customHeight="1" x14ac:dyDescent="0.25">
      <c r="A3526" s="39"/>
    </row>
    <row r="3527" spans="1:1" ht="15.75" customHeight="1" x14ac:dyDescent="0.25">
      <c r="A3527" s="39"/>
    </row>
    <row r="3528" spans="1:1" ht="15.75" customHeight="1" x14ac:dyDescent="0.25">
      <c r="A3528" s="39"/>
    </row>
    <row r="3529" spans="1:1" ht="15.75" customHeight="1" x14ac:dyDescent="0.25">
      <c r="A3529" s="39"/>
    </row>
    <row r="3530" spans="1:1" ht="15.75" customHeight="1" x14ac:dyDescent="0.25">
      <c r="A3530" s="39"/>
    </row>
    <row r="3531" spans="1:1" ht="15.75" customHeight="1" x14ac:dyDescent="0.25">
      <c r="A3531" s="39"/>
    </row>
    <row r="3532" spans="1:1" ht="15.75" customHeight="1" x14ac:dyDescent="0.25">
      <c r="A3532" s="39"/>
    </row>
    <row r="3533" spans="1:1" ht="15.75" customHeight="1" x14ac:dyDescent="0.25">
      <c r="A3533" s="39"/>
    </row>
    <row r="3534" spans="1:1" ht="15.75" customHeight="1" x14ac:dyDescent="0.25">
      <c r="A3534" s="39"/>
    </row>
    <row r="3535" spans="1:1" ht="15.75" customHeight="1" x14ac:dyDescent="0.25">
      <c r="A3535" s="39"/>
    </row>
    <row r="3536" spans="1:1" ht="15.75" customHeight="1" x14ac:dyDescent="0.25">
      <c r="A3536" s="39"/>
    </row>
    <row r="3537" spans="1:1" ht="15.75" customHeight="1" x14ac:dyDescent="0.25">
      <c r="A3537" s="39"/>
    </row>
    <row r="3538" spans="1:1" ht="15.75" customHeight="1" x14ac:dyDescent="0.25">
      <c r="A3538" s="39"/>
    </row>
    <row r="3539" spans="1:1" ht="15.75" customHeight="1" x14ac:dyDescent="0.25">
      <c r="A3539" s="39"/>
    </row>
    <row r="3540" spans="1:1" ht="15.75" customHeight="1" x14ac:dyDescent="0.25">
      <c r="A3540" s="39"/>
    </row>
    <row r="3541" spans="1:1" ht="15.75" customHeight="1" x14ac:dyDescent="0.25">
      <c r="A3541" s="39"/>
    </row>
    <row r="3542" spans="1:1" ht="15.75" customHeight="1" x14ac:dyDescent="0.25">
      <c r="A3542" s="39"/>
    </row>
    <row r="3543" spans="1:1" ht="15.75" customHeight="1" x14ac:dyDescent="0.25">
      <c r="A3543" s="39"/>
    </row>
    <row r="3544" spans="1:1" ht="15.75" customHeight="1" x14ac:dyDescent="0.25">
      <c r="A3544" s="39"/>
    </row>
    <row r="3545" spans="1:1" ht="15.75" customHeight="1" x14ac:dyDescent="0.25">
      <c r="A3545" s="39"/>
    </row>
    <row r="3546" spans="1:1" ht="15.75" customHeight="1" x14ac:dyDescent="0.25">
      <c r="A3546" s="39"/>
    </row>
    <row r="3547" spans="1:1" ht="15.75" customHeight="1" x14ac:dyDescent="0.25">
      <c r="A3547" s="39"/>
    </row>
    <row r="3548" spans="1:1" ht="15.75" customHeight="1" x14ac:dyDescent="0.25">
      <c r="A3548" s="39"/>
    </row>
    <row r="3549" spans="1:1" ht="15.75" customHeight="1" x14ac:dyDescent="0.25">
      <c r="A3549" s="39"/>
    </row>
    <row r="3550" spans="1:1" ht="15.75" customHeight="1" x14ac:dyDescent="0.25">
      <c r="A3550" s="39"/>
    </row>
    <row r="3551" spans="1:1" ht="15.75" customHeight="1" x14ac:dyDescent="0.25">
      <c r="A3551" s="39"/>
    </row>
    <row r="3552" spans="1:1" ht="15.75" customHeight="1" x14ac:dyDescent="0.25">
      <c r="A3552" s="39"/>
    </row>
    <row r="3553" spans="1:1" ht="15.75" customHeight="1" x14ac:dyDescent="0.25">
      <c r="A3553" s="39"/>
    </row>
    <row r="3554" spans="1:1" ht="15.75" customHeight="1" x14ac:dyDescent="0.25">
      <c r="A3554" s="39"/>
    </row>
    <row r="3555" spans="1:1" ht="15.75" customHeight="1" x14ac:dyDescent="0.25">
      <c r="A3555" s="39"/>
    </row>
    <row r="3556" spans="1:1" ht="15.75" customHeight="1" x14ac:dyDescent="0.25">
      <c r="A3556" s="39"/>
    </row>
    <row r="3557" spans="1:1" ht="15.75" customHeight="1" x14ac:dyDescent="0.25">
      <c r="A3557" s="39"/>
    </row>
    <row r="3558" spans="1:1" ht="15.75" customHeight="1" x14ac:dyDescent="0.25">
      <c r="A3558" s="39"/>
    </row>
    <row r="3559" spans="1:1" ht="15.75" customHeight="1" x14ac:dyDescent="0.25">
      <c r="A3559" s="39"/>
    </row>
    <row r="3560" spans="1:1" ht="15.75" customHeight="1" x14ac:dyDescent="0.25">
      <c r="A3560" s="39"/>
    </row>
    <row r="3561" spans="1:1" ht="15.75" customHeight="1" x14ac:dyDescent="0.25">
      <c r="A3561" s="39"/>
    </row>
    <row r="3562" spans="1:1" ht="15.75" customHeight="1" x14ac:dyDescent="0.25">
      <c r="A3562" s="39"/>
    </row>
    <row r="3563" spans="1:1" ht="15.75" customHeight="1" x14ac:dyDescent="0.25">
      <c r="A3563" s="39"/>
    </row>
    <row r="3564" spans="1:1" ht="15.75" customHeight="1" x14ac:dyDescent="0.25">
      <c r="A3564" s="39"/>
    </row>
    <row r="3565" spans="1:1" ht="15.75" customHeight="1" x14ac:dyDescent="0.25">
      <c r="A3565" s="39"/>
    </row>
    <row r="3566" spans="1:1" ht="15.75" customHeight="1" x14ac:dyDescent="0.25">
      <c r="A3566" s="39"/>
    </row>
    <row r="3567" spans="1:1" ht="15.75" customHeight="1" x14ac:dyDescent="0.25">
      <c r="A3567" s="39"/>
    </row>
    <row r="3568" spans="1:1" ht="15.75" customHeight="1" x14ac:dyDescent="0.25">
      <c r="A3568" s="39"/>
    </row>
    <row r="3569" spans="1:1" ht="15.75" customHeight="1" x14ac:dyDescent="0.25">
      <c r="A3569" s="39"/>
    </row>
    <row r="3570" spans="1:1" ht="15.75" customHeight="1" x14ac:dyDescent="0.25">
      <c r="A3570" s="39"/>
    </row>
    <row r="3571" spans="1:1" ht="15.75" customHeight="1" x14ac:dyDescent="0.25">
      <c r="A3571" s="39"/>
    </row>
    <row r="3572" spans="1:1" ht="15.75" customHeight="1" x14ac:dyDescent="0.25">
      <c r="A3572" s="39"/>
    </row>
    <row r="3573" spans="1:1" ht="15.75" customHeight="1" x14ac:dyDescent="0.25">
      <c r="A3573" s="39"/>
    </row>
    <row r="3574" spans="1:1" ht="15.75" customHeight="1" x14ac:dyDescent="0.25">
      <c r="A3574" s="39"/>
    </row>
    <row r="3575" spans="1:1" ht="15.75" customHeight="1" x14ac:dyDescent="0.25">
      <c r="A3575" s="39"/>
    </row>
    <row r="3576" spans="1:1" ht="15.75" customHeight="1" x14ac:dyDescent="0.25">
      <c r="A3576" s="39"/>
    </row>
    <row r="3577" spans="1:1" ht="15.75" customHeight="1" x14ac:dyDescent="0.25">
      <c r="A3577" s="39"/>
    </row>
    <row r="3578" spans="1:1" ht="15.75" customHeight="1" x14ac:dyDescent="0.25">
      <c r="A3578" s="39"/>
    </row>
    <row r="3579" spans="1:1" ht="15.75" customHeight="1" x14ac:dyDescent="0.25">
      <c r="A3579" s="39"/>
    </row>
    <row r="3580" spans="1:1" ht="15.75" customHeight="1" x14ac:dyDescent="0.25">
      <c r="A3580" s="39"/>
    </row>
    <row r="3581" spans="1:1" ht="15.75" customHeight="1" x14ac:dyDescent="0.25">
      <c r="A3581" s="39"/>
    </row>
    <row r="3582" spans="1:1" ht="15.75" customHeight="1" x14ac:dyDescent="0.25">
      <c r="A3582" s="39"/>
    </row>
    <row r="3583" spans="1:1" ht="15.75" customHeight="1" x14ac:dyDescent="0.25">
      <c r="A3583" s="39"/>
    </row>
    <row r="3584" spans="1:1" ht="15.75" customHeight="1" x14ac:dyDescent="0.25">
      <c r="A3584" s="39"/>
    </row>
    <row r="3585" spans="1:1" ht="15.75" customHeight="1" x14ac:dyDescent="0.25">
      <c r="A3585" s="39"/>
    </row>
    <row r="3586" spans="1:1" ht="15.75" customHeight="1" x14ac:dyDescent="0.25">
      <c r="A3586" s="39"/>
    </row>
    <row r="3587" spans="1:1" ht="15.75" customHeight="1" x14ac:dyDescent="0.25">
      <c r="A3587" s="39"/>
    </row>
    <row r="3588" spans="1:1" ht="15.75" customHeight="1" x14ac:dyDescent="0.25">
      <c r="A3588" s="39"/>
    </row>
    <row r="3589" spans="1:1" ht="15.75" customHeight="1" x14ac:dyDescent="0.25">
      <c r="A3589" s="39"/>
    </row>
    <row r="3590" spans="1:1" ht="15.75" customHeight="1" x14ac:dyDescent="0.25">
      <c r="A3590" s="39"/>
    </row>
    <row r="3591" spans="1:1" ht="15.75" customHeight="1" x14ac:dyDescent="0.25">
      <c r="A3591" s="39"/>
    </row>
    <row r="3592" spans="1:1" ht="15.75" customHeight="1" x14ac:dyDescent="0.25">
      <c r="A3592" s="39"/>
    </row>
    <row r="3593" spans="1:1" ht="15.75" customHeight="1" x14ac:dyDescent="0.25">
      <c r="A3593" s="39"/>
    </row>
    <row r="3594" spans="1:1" ht="15.75" customHeight="1" x14ac:dyDescent="0.25">
      <c r="A3594" s="39"/>
    </row>
    <row r="3595" spans="1:1" ht="15.75" customHeight="1" x14ac:dyDescent="0.25">
      <c r="A3595" s="39"/>
    </row>
    <row r="3596" spans="1:1" ht="15.75" customHeight="1" x14ac:dyDescent="0.25">
      <c r="A3596" s="39"/>
    </row>
    <row r="3597" spans="1:1" ht="15.75" customHeight="1" x14ac:dyDescent="0.25">
      <c r="A3597" s="39"/>
    </row>
    <row r="3598" spans="1:1" ht="15.75" customHeight="1" x14ac:dyDescent="0.25">
      <c r="A3598" s="39"/>
    </row>
    <row r="3599" spans="1:1" ht="15.75" customHeight="1" x14ac:dyDescent="0.25">
      <c r="A3599" s="39"/>
    </row>
    <row r="3600" spans="1:1" ht="15.75" customHeight="1" x14ac:dyDescent="0.25">
      <c r="A3600" s="39"/>
    </row>
    <row r="3601" spans="1:1" ht="15.75" customHeight="1" x14ac:dyDescent="0.25">
      <c r="A3601" s="39"/>
    </row>
    <row r="3602" spans="1:1" ht="15.75" customHeight="1" x14ac:dyDescent="0.25">
      <c r="A3602" s="39"/>
    </row>
    <row r="3603" spans="1:1" ht="15.75" customHeight="1" x14ac:dyDescent="0.25">
      <c r="A3603" s="39"/>
    </row>
    <row r="3604" spans="1:1" ht="15.75" customHeight="1" x14ac:dyDescent="0.25">
      <c r="A3604" s="39"/>
    </row>
    <row r="3605" spans="1:1" ht="15.75" customHeight="1" x14ac:dyDescent="0.25">
      <c r="A3605" s="39"/>
    </row>
    <row r="3606" spans="1:1" ht="15.75" customHeight="1" x14ac:dyDescent="0.25">
      <c r="A3606" s="39"/>
    </row>
    <row r="3607" spans="1:1" ht="15.75" customHeight="1" x14ac:dyDescent="0.25">
      <c r="A3607" s="39"/>
    </row>
    <row r="3608" spans="1:1" ht="15.75" customHeight="1" x14ac:dyDescent="0.25">
      <c r="A3608" s="39"/>
    </row>
    <row r="3609" spans="1:1" ht="15.75" customHeight="1" x14ac:dyDescent="0.25">
      <c r="A3609" s="39"/>
    </row>
    <row r="3610" spans="1:1" ht="15.75" customHeight="1" x14ac:dyDescent="0.25">
      <c r="A3610" s="39"/>
    </row>
    <row r="3611" spans="1:1" ht="15.75" customHeight="1" x14ac:dyDescent="0.25">
      <c r="A3611" s="39"/>
    </row>
    <row r="3612" spans="1:1" ht="15.75" customHeight="1" x14ac:dyDescent="0.25">
      <c r="A3612" s="39"/>
    </row>
    <row r="3613" spans="1:1" ht="15.75" customHeight="1" x14ac:dyDescent="0.25">
      <c r="A3613" s="39"/>
    </row>
    <row r="3614" spans="1:1" ht="15.75" customHeight="1" x14ac:dyDescent="0.25">
      <c r="A3614" s="39"/>
    </row>
    <row r="3615" spans="1:1" ht="15.75" customHeight="1" x14ac:dyDescent="0.25">
      <c r="A3615" s="39"/>
    </row>
    <row r="3616" spans="1:1" ht="15.75" customHeight="1" x14ac:dyDescent="0.25">
      <c r="A3616" s="39"/>
    </row>
    <row r="3617" spans="1:1" ht="15.75" customHeight="1" x14ac:dyDescent="0.25">
      <c r="A3617" s="39"/>
    </row>
    <row r="3618" spans="1:1" ht="15.75" customHeight="1" x14ac:dyDescent="0.25">
      <c r="A3618" s="39"/>
    </row>
    <row r="3619" spans="1:1" ht="15.75" customHeight="1" x14ac:dyDescent="0.25">
      <c r="A3619" s="39"/>
    </row>
    <row r="3620" spans="1:1" ht="15.75" customHeight="1" x14ac:dyDescent="0.25">
      <c r="A3620" s="39"/>
    </row>
    <row r="3621" spans="1:1" ht="15.75" customHeight="1" x14ac:dyDescent="0.25">
      <c r="A3621" s="39"/>
    </row>
    <row r="3622" spans="1:1" ht="15.75" customHeight="1" x14ac:dyDescent="0.25">
      <c r="A3622" s="39"/>
    </row>
    <row r="3623" spans="1:1" ht="15.75" customHeight="1" x14ac:dyDescent="0.25">
      <c r="A3623" s="39"/>
    </row>
    <row r="3624" spans="1:1" ht="15.75" customHeight="1" x14ac:dyDescent="0.25">
      <c r="A3624" s="39"/>
    </row>
    <row r="3625" spans="1:1" ht="15.75" customHeight="1" x14ac:dyDescent="0.25">
      <c r="A3625" s="39"/>
    </row>
    <row r="3626" spans="1:1" ht="15.75" customHeight="1" x14ac:dyDescent="0.25">
      <c r="A3626" s="39"/>
    </row>
    <row r="3627" spans="1:1" ht="15.75" customHeight="1" x14ac:dyDescent="0.25">
      <c r="A3627" s="39"/>
    </row>
    <row r="3628" spans="1:1" ht="15.75" customHeight="1" x14ac:dyDescent="0.25">
      <c r="A3628" s="39"/>
    </row>
    <row r="3629" spans="1:1" ht="15.75" customHeight="1" x14ac:dyDescent="0.25">
      <c r="A3629" s="39"/>
    </row>
    <row r="3630" spans="1:1" ht="15.75" customHeight="1" x14ac:dyDescent="0.25">
      <c r="A3630" s="39"/>
    </row>
    <row r="3631" spans="1:1" ht="15.75" customHeight="1" x14ac:dyDescent="0.25">
      <c r="A3631" s="39"/>
    </row>
    <row r="3632" spans="1:1" ht="15.75" customHeight="1" x14ac:dyDescent="0.25">
      <c r="A3632" s="39"/>
    </row>
    <row r="3633" spans="1:1" ht="15.75" customHeight="1" x14ac:dyDescent="0.25">
      <c r="A3633" s="39"/>
    </row>
    <row r="3634" spans="1:1" ht="15.75" customHeight="1" x14ac:dyDescent="0.25">
      <c r="A3634" s="39"/>
    </row>
    <row r="3635" spans="1:1" ht="15.75" customHeight="1" x14ac:dyDescent="0.25">
      <c r="A3635" s="39"/>
    </row>
    <row r="3636" spans="1:1" ht="15.75" customHeight="1" x14ac:dyDescent="0.25">
      <c r="A3636" s="39"/>
    </row>
    <row r="3637" spans="1:1" ht="15.75" customHeight="1" x14ac:dyDescent="0.25">
      <c r="A3637" s="39"/>
    </row>
    <row r="3638" spans="1:1" ht="15.75" customHeight="1" x14ac:dyDescent="0.25">
      <c r="A3638" s="39"/>
    </row>
    <row r="3639" spans="1:1" ht="15.75" customHeight="1" x14ac:dyDescent="0.25">
      <c r="A3639" s="39"/>
    </row>
    <row r="3640" spans="1:1" ht="15.75" customHeight="1" x14ac:dyDescent="0.25">
      <c r="A3640" s="39"/>
    </row>
    <row r="3641" spans="1:1" ht="15.75" customHeight="1" x14ac:dyDescent="0.25">
      <c r="A3641" s="39"/>
    </row>
    <row r="3642" spans="1:1" ht="15.75" customHeight="1" x14ac:dyDescent="0.25">
      <c r="A3642" s="39"/>
    </row>
    <row r="3643" spans="1:1" ht="15.75" customHeight="1" x14ac:dyDescent="0.25">
      <c r="A3643" s="39"/>
    </row>
    <row r="3644" spans="1:1" ht="15.75" customHeight="1" x14ac:dyDescent="0.25">
      <c r="A3644" s="39"/>
    </row>
    <row r="3645" spans="1:1" ht="15.75" customHeight="1" x14ac:dyDescent="0.25">
      <c r="A3645" s="39"/>
    </row>
    <row r="3646" spans="1:1" ht="15.75" customHeight="1" x14ac:dyDescent="0.25">
      <c r="A3646" s="39"/>
    </row>
    <row r="3647" spans="1:1" ht="15.75" customHeight="1" x14ac:dyDescent="0.25">
      <c r="A3647" s="39"/>
    </row>
    <row r="3648" spans="1:1" ht="15.75" customHeight="1" x14ac:dyDescent="0.25">
      <c r="A3648" s="39"/>
    </row>
    <row r="3649" spans="1:1" ht="15.75" customHeight="1" x14ac:dyDescent="0.25">
      <c r="A3649" s="39"/>
    </row>
    <row r="3650" spans="1:1" ht="15.75" customHeight="1" x14ac:dyDescent="0.25">
      <c r="A3650" s="39"/>
    </row>
    <row r="3651" spans="1:1" ht="15.75" customHeight="1" x14ac:dyDescent="0.25">
      <c r="A3651" s="39"/>
    </row>
    <row r="3652" spans="1:1" ht="15.75" customHeight="1" x14ac:dyDescent="0.25">
      <c r="A3652" s="39"/>
    </row>
    <row r="3653" spans="1:1" ht="15.75" customHeight="1" x14ac:dyDescent="0.25">
      <c r="A3653" s="39"/>
    </row>
    <row r="3654" spans="1:1" ht="15.75" customHeight="1" x14ac:dyDescent="0.25">
      <c r="A3654" s="39"/>
    </row>
    <row r="3655" spans="1:1" ht="15.75" customHeight="1" x14ac:dyDescent="0.25">
      <c r="A3655" s="39"/>
    </row>
    <row r="3656" spans="1:1" ht="15.75" customHeight="1" x14ac:dyDescent="0.25">
      <c r="A3656" s="39"/>
    </row>
    <row r="3657" spans="1:1" ht="15.75" customHeight="1" x14ac:dyDescent="0.25">
      <c r="A3657" s="39"/>
    </row>
    <row r="3658" spans="1:1" ht="15.75" customHeight="1" x14ac:dyDescent="0.25">
      <c r="A3658" s="39"/>
    </row>
    <row r="3659" spans="1:1" ht="15.75" customHeight="1" x14ac:dyDescent="0.25">
      <c r="A3659" s="39"/>
    </row>
    <row r="3660" spans="1:1" ht="15.75" customHeight="1" x14ac:dyDescent="0.25">
      <c r="A3660" s="39"/>
    </row>
    <row r="3661" spans="1:1" ht="15.75" customHeight="1" x14ac:dyDescent="0.25">
      <c r="A3661" s="39"/>
    </row>
    <row r="3662" spans="1:1" ht="15.75" customHeight="1" x14ac:dyDescent="0.25">
      <c r="A3662" s="39"/>
    </row>
    <row r="3663" spans="1:1" ht="15.75" customHeight="1" x14ac:dyDescent="0.25">
      <c r="A3663" s="39"/>
    </row>
    <row r="3664" spans="1:1" ht="15.75" customHeight="1" x14ac:dyDescent="0.25">
      <c r="A3664" s="39"/>
    </row>
    <row r="3665" spans="1:1" ht="15.75" customHeight="1" x14ac:dyDescent="0.25">
      <c r="A3665" s="39"/>
    </row>
    <row r="3666" spans="1:1" ht="15.75" customHeight="1" x14ac:dyDescent="0.25">
      <c r="A3666" s="39"/>
    </row>
    <row r="3667" spans="1:1" ht="15.75" customHeight="1" x14ac:dyDescent="0.25">
      <c r="A3667" s="39"/>
    </row>
    <row r="3668" spans="1:1" ht="15.75" customHeight="1" x14ac:dyDescent="0.25">
      <c r="A3668" s="39"/>
    </row>
    <row r="3669" spans="1:1" ht="15.75" customHeight="1" x14ac:dyDescent="0.25">
      <c r="A3669" s="39"/>
    </row>
    <row r="3670" spans="1:1" ht="15.75" customHeight="1" x14ac:dyDescent="0.25">
      <c r="A3670" s="39"/>
    </row>
    <row r="3671" spans="1:1" ht="15.75" customHeight="1" x14ac:dyDescent="0.25">
      <c r="A3671" s="39"/>
    </row>
    <row r="3672" spans="1:1" ht="15.75" customHeight="1" x14ac:dyDescent="0.25">
      <c r="A3672" s="39"/>
    </row>
    <row r="3673" spans="1:1" ht="15.75" customHeight="1" x14ac:dyDescent="0.25">
      <c r="A3673" s="39"/>
    </row>
    <row r="3674" spans="1:1" ht="15.75" customHeight="1" x14ac:dyDescent="0.25">
      <c r="A3674" s="39"/>
    </row>
    <row r="3675" spans="1:1" ht="15.75" customHeight="1" x14ac:dyDescent="0.25">
      <c r="A3675" s="39"/>
    </row>
    <row r="3676" spans="1:1" ht="15.75" customHeight="1" x14ac:dyDescent="0.25">
      <c r="A3676" s="39"/>
    </row>
    <row r="3677" spans="1:1" ht="15.75" customHeight="1" x14ac:dyDescent="0.25">
      <c r="A3677" s="39"/>
    </row>
    <row r="3678" spans="1:1" ht="15.75" customHeight="1" x14ac:dyDescent="0.25">
      <c r="A3678" s="39"/>
    </row>
    <row r="3679" spans="1:1" ht="15.75" customHeight="1" x14ac:dyDescent="0.25">
      <c r="A3679" s="39"/>
    </row>
    <row r="3680" spans="1:1" ht="15.75" customHeight="1" x14ac:dyDescent="0.25">
      <c r="A3680" s="39"/>
    </row>
    <row r="3681" spans="1:1" ht="15.75" customHeight="1" x14ac:dyDescent="0.25">
      <c r="A3681" s="39"/>
    </row>
    <row r="3682" spans="1:1" ht="15.75" customHeight="1" x14ac:dyDescent="0.25">
      <c r="A3682" s="39"/>
    </row>
    <row r="3683" spans="1:1" ht="15.75" customHeight="1" x14ac:dyDescent="0.25">
      <c r="A3683" s="39"/>
    </row>
    <row r="3684" spans="1:1" ht="15.75" customHeight="1" x14ac:dyDescent="0.25">
      <c r="A3684" s="39"/>
    </row>
    <row r="3685" spans="1:1" ht="15.75" customHeight="1" x14ac:dyDescent="0.25">
      <c r="A3685" s="39"/>
    </row>
    <row r="3686" spans="1:1" ht="15.75" customHeight="1" x14ac:dyDescent="0.25">
      <c r="A3686" s="39"/>
    </row>
    <row r="3687" spans="1:1" ht="15.75" customHeight="1" x14ac:dyDescent="0.25">
      <c r="A3687" s="39"/>
    </row>
    <row r="3688" spans="1:1" ht="15.75" customHeight="1" x14ac:dyDescent="0.25">
      <c r="A3688" s="39"/>
    </row>
    <row r="3689" spans="1:1" ht="15.75" customHeight="1" x14ac:dyDescent="0.25">
      <c r="A3689" s="39"/>
    </row>
    <row r="3690" spans="1:1" ht="15.75" customHeight="1" x14ac:dyDescent="0.25">
      <c r="A3690" s="39"/>
    </row>
    <row r="3691" spans="1:1" ht="15.75" customHeight="1" x14ac:dyDescent="0.25">
      <c r="A3691" s="39"/>
    </row>
    <row r="3692" spans="1:1" ht="15.75" customHeight="1" x14ac:dyDescent="0.25">
      <c r="A3692" s="39"/>
    </row>
    <row r="3693" spans="1:1" ht="15.75" customHeight="1" x14ac:dyDescent="0.25">
      <c r="A3693" s="39"/>
    </row>
    <row r="3694" spans="1:1" ht="15.75" customHeight="1" x14ac:dyDescent="0.25">
      <c r="A3694" s="39"/>
    </row>
    <row r="3695" spans="1:1" ht="15.75" customHeight="1" x14ac:dyDescent="0.25">
      <c r="A3695" s="39"/>
    </row>
    <row r="3696" spans="1:1" ht="15.75" customHeight="1" x14ac:dyDescent="0.25">
      <c r="A3696" s="39"/>
    </row>
    <row r="3697" spans="1:1" ht="15.75" customHeight="1" x14ac:dyDescent="0.25">
      <c r="A3697" s="39"/>
    </row>
    <row r="3698" spans="1:1" ht="15.75" customHeight="1" x14ac:dyDescent="0.25">
      <c r="A3698" s="39"/>
    </row>
    <row r="3699" spans="1:1" ht="15.75" customHeight="1" x14ac:dyDescent="0.25">
      <c r="A3699" s="39"/>
    </row>
    <row r="3700" spans="1:1" ht="15.75" customHeight="1" x14ac:dyDescent="0.25">
      <c r="A3700" s="39"/>
    </row>
    <row r="3701" spans="1:1" ht="15.75" customHeight="1" x14ac:dyDescent="0.25">
      <c r="A3701" s="39"/>
    </row>
    <row r="3702" spans="1:1" ht="15.75" customHeight="1" x14ac:dyDescent="0.25">
      <c r="A3702" s="39"/>
    </row>
    <row r="3703" spans="1:1" ht="15.75" customHeight="1" x14ac:dyDescent="0.25">
      <c r="A3703" s="39"/>
    </row>
    <row r="3704" spans="1:1" ht="15.75" customHeight="1" x14ac:dyDescent="0.25">
      <c r="A3704" s="39"/>
    </row>
    <row r="3705" spans="1:1" ht="15.75" customHeight="1" x14ac:dyDescent="0.25">
      <c r="A3705" s="39"/>
    </row>
    <row r="3706" spans="1:1" ht="15.75" customHeight="1" x14ac:dyDescent="0.25">
      <c r="A3706" s="39"/>
    </row>
    <row r="3707" spans="1:1" ht="15.75" customHeight="1" x14ac:dyDescent="0.25">
      <c r="A3707" s="39"/>
    </row>
    <row r="3708" spans="1:1" ht="15.75" customHeight="1" x14ac:dyDescent="0.25">
      <c r="A3708" s="39"/>
    </row>
    <row r="3709" spans="1:1" ht="15.75" customHeight="1" x14ac:dyDescent="0.25">
      <c r="A3709" s="39"/>
    </row>
    <row r="3710" spans="1:1" ht="15.75" customHeight="1" x14ac:dyDescent="0.25">
      <c r="A3710" s="39"/>
    </row>
    <row r="3711" spans="1:1" ht="15.75" customHeight="1" x14ac:dyDescent="0.25">
      <c r="A3711" s="39"/>
    </row>
    <row r="3712" spans="1:1" ht="15.75" customHeight="1" x14ac:dyDescent="0.25">
      <c r="A3712" s="39"/>
    </row>
    <row r="3713" spans="1:1" ht="15.75" customHeight="1" x14ac:dyDescent="0.25">
      <c r="A3713" s="39"/>
    </row>
    <row r="3714" spans="1:1" ht="15.75" customHeight="1" x14ac:dyDescent="0.25">
      <c r="A3714" s="39"/>
    </row>
    <row r="3715" spans="1:1" ht="15.75" customHeight="1" x14ac:dyDescent="0.25">
      <c r="A3715" s="39"/>
    </row>
    <row r="3716" spans="1:1" ht="15.75" customHeight="1" x14ac:dyDescent="0.25">
      <c r="A3716" s="39"/>
    </row>
    <row r="3717" spans="1:1" ht="15.75" customHeight="1" x14ac:dyDescent="0.25">
      <c r="A3717" s="39"/>
    </row>
    <row r="3718" spans="1:1" ht="15.75" customHeight="1" x14ac:dyDescent="0.25">
      <c r="A3718" s="39"/>
    </row>
    <row r="3719" spans="1:1" ht="15.75" customHeight="1" x14ac:dyDescent="0.25">
      <c r="A3719" s="39"/>
    </row>
    <row r="3720" spans="1:1" ht="15.75" customHeight="1" x14ac:dyDescent="0.25">
      <c r="A3720" s="39"/>
    </row>
    <row r="3721" spans="1:1" ht="15.75" customHeight="1" x14ac:dyDescent="0.25">
      <c r="A3721" s="39"/>
    </row>
    <row r="3722" spans="1:1" ht="15.75" customHeight="1" x14ac:dyDescent="0.25">
      <c r="A3722" s="39"/>
    </row>
    <row r="3723" spans="1:1" ht="15.75" customHeight="1" x14ac:dyDescent="0.25">
      <c r="A3723" s="39"/>
    </row>
    <row r="3724" spans="1:1" ht="15.75" customHeight="1" x14ac:dyDescent="0.25">
      <c r="A3724" s="39"/>
    </row>
    <row r="3725" spans="1:1" ht="15.75" customHeight="1" x14ac:dyDescent="0.25">
      <c r="A3725" s="39"/>
    </row>
    <row r="3726" spans="1:1" ht="15.75" customHeight="1" x14ac:dyDescent="0.25">
      <c r="A3726" s="39"/>
    </row>
    <row r="3727" spans="1:1" ht="15.75" customHeight="1" x14ac:dyDescent="0.25">
      <c r="A3727" s="39"/>
    </row>
    <row r="3728" spans="1:1" ht="15.75" customHeight="1" x14ac:dyDescent="0.25">
      <c r="A3728" s="39"/>
    </row>
    <row r="3729" spans="1:1" ht="15.75" customHeight="1" x14ac:dyDescent="0.25">
      <c r="A3729" s="39"/>
    </row>
    <row r="3730" spans="1:1" ht="15.75" customHeight="1" x14ac:dyDescent="0.25">
      <c r="A3730" s="39"/>
    </row>
    <row r="3731" spans="1:1" ht="15.75" customHeight="1" x14ac:dyDescent="0.25">
      <c r="A3731" s="39"/>
    </row>
    <row r="3732" spans="1:1" ht="15.75" customHeight="1" x14ac:dyDescent="0.25">
      <c r="A3732" s="39"/>
    </row>
    <row r="3733" spans="1:1" ht="15.75" customHeight="1" x14ac:dyDescent="0.25">
      <c r="A3733" s="39"/>
    </row>
    <row r="3734" spans="1:1" ht="15.75" customHeight="1" x14ac:dyDescent="0.25">
      <c r="A3734" s="39"/>
    </row>
    <row r="3735" spans="1:1" ht="15.75" customHeight="1" x14ac:dyDescent="0.25">
      <c r="A3735" s="39"/>
    </row>
    <row r="3736" spans="1:1" ht="15.75" customHeight="1" x14ac:dyDescent="0.25">
      <c r="A3736" s="39"/>
    </row>
    <row r="3737" spans="1:1" ht="15.75" customHeight="1" x14ac:dyDescent="0.25">
      <c r="A3737" s="39"/>
    </row>
    <row r="3738" spans="1:1" ht="15.75" customHeight="1" x14ac:dyDescent="0.25">
      <c r="A3738" s="39"/>
    </row>
    <row r="3739" spans="1:1" ht="15.75" customHeight="1" x14ac:dyDescent="0.25">
      <c r="A3739" s="39"/>
    </row>
    <row r="3740" spans="1:1" ht="15.75" customHeight="1" x14ac:dyDescent="0.25">
      <c r="A3740" s="39"/>
    </row>
    <row r="3741" spans="1:1" ht="15.75" customHeight="1" x14ac:dyDescent="0.25">
      <c r="A3741" s="39"/>
    </row>
    <row r="3742" spans="1:1" ht="15.75" customHeight="1" x14ac:dyDescent="0.25">
      <c r="A3742" s="39"/>
    </row>
    <row r="3743" spans="1:1" ht="15.75" customHeight="1" x14ac:dyDescent="0.25">
      <c r="A3743" s="39"/>
    </row>
    <row r="3744" spans="1:1" ht="15.75" customHeight="1" x14ac:dyDescent="0.25">
      <c r="A3744" s="39"/>
    </row>
    <row r="3745" spans="1:1" ht="15.75" customHeight="1" x14ac:dyDescent="0.25">
      <c r="A3745" s="39"/>
    </row>
    <row r="3746" spans="1:1" ht="15.75" customHeight="1" x14ac:dyDescent="0.25">
      <c r="A3746" s="39"/>
    </row>
    <row r="3747" spans="1:1" ht="15.75" customHeight="1" x14ac:dyDescent="0.25">
      <c r="A3747" s="39"/>
    </row>
    <row r="3748" spans="1:1" ht="15.75" customHeight="1" x14ac:dyDescent="0.25">
      <c r="A3748" s="39"/>
    </row>
    <row r="3749" spans="1:1" ht="15.75" customHeight="1" x14ac:dyDescent="0.25">
      <c r="A3749" s="39"/>
    </row>
    <row r="3750" spans="1:1" ht="15.75" customHeight="1" x14ac:dyDescent="0.25">
      <c r="A3750" s="39"/>
    </row>
    <row r="3751" spans="1:1" ht="15.75" customHeight="1" x14ac:dyDescent="0.25">
      <c r="A3751" s="39"/>
    </row>
    <row r="3752" spans="1:1" ht="15.75" customHeight="1" x14ac:dyDescent="0.25">
      <c r="A3752" s="39"/>
    </row>
    <row r="3753" spans="1:1" ht="15.75" customHeight="1" x14ac:dyDescent="0.25">
      <c r="A3753" s="39"/>
    </row>
    <row r="3754" spans="1:1" ht="15.75" customHeight="1" x14ac:dyDescent="0.25">
      <c r="A3754" s="39"/>
    </row>
    <row r="3755" spans="1:1" ht="15.75" customHeight="1" x14ac:dyDescent="0.25">
      <c r="A3755" s="39"/>
    </row>
    <row r="3756" spans="1:1" ht="15.75" customHeight="1" x14ac:dyDescent="0.25">
      <c r="A3756" s="39"/>
    </row>
    <row r="3757" spans="1:1" ht="15.75" customHeight="1" x14ac:dyDescent="0.25">
      <c r="A3757" s="39"/>
    </row>
    <row r="3758" spans="1:1" ht="15.75" customHeight="1" x14ac:dyDescent="0.25">
      <c r="A3758" s="39"/>
    </row>
    <row r="3759" spans="1:1" ht="15.75" customHeight="1" x14ac:dyDescent="0.25">
      <c r="A3759" s="39"/>
    </row>
    <row r="3760" spans="1:1" ht="15.75" customHeight="1" x14ac:dyDescent="0.25">
      <c r="A3760" s="39"/>
    </row>
    <row r="3761" spans="1:1" ht="15.75" customHeight="1" x14ac:dyDescent="0.25">
      <c r="A3761" s="39"/>
    </row>
    <row r="3762" spans="1:1" ht="15.75" customHeight="1" x14ac:dyDescent="0.25">
      <c r="A3762" s="39"/>
    </row>
    <row r="3763" spans="1:1" ht="15.75" customHeight="1" x14ac:dyDescent="0.25">
      <c r="A3763" s="39"/>
    </row>
    <row r="3764" spans="1:1" ht="15.75" customHeight="1" x14ac:dyDescent="0.25">
      <c r="A3764" s="39"/>
    </row>
    <row r="3765" spans="1:1" ht="15.75" customHeight="1" x14ac:dyDescent="0.25">
      <c r="A3765" s="39"/>
    </row>
    <row r="3766" spans="1:1" ht="15.75" customHeight="1" x14ac:dyDescent="0.25">
      <c r="A3766" s="39"/>
    </row>
    <row r="3767" spans="1:1" ht="15.75" customHeight="1" x14ac:dyDescent="0.25">
      <c r="A3767" s="39"/>
    </row>
    <row r="3768" spans="1:1" ht="15.75" customHeight="1" x14ac:dyDescent="0.25">
      <c r="A3768" s="39"/>
    </row>
    <row r="3769" spans="1:1" ht="15.75" customHeight="1" x14ac:dyDescent="0.25">
      <c r="A3769" s="39"/>
    </row>
    <row r="3770" spans="1:1" ht="15.75" customHeight="1" x14ac:dyDescent="0.25">
      <c r="A3770" s="39"/>
    </row>
    <row r="3771" spans="1:1" ht="15.75" customHeight="1" x14ac:dyDescent="0.25">
      <c r="A3771" s="39"/>
    </row>
    <row r="3772" spans="1:1" ht="15.75" customHeight="1" x14ac:dyDescent="0.25">
      <c r="A3772" s="39"/>
    </row>
    <row r="3773" spans="1:1" ht="15.75" customHeight="1" x14ac:dyDescent="0.25">
      <c r="A3773" s="39"/>
    </row>
    <row r="3774" spans="1:1" ht="15.75" customHeight="1" x14ac:dyDescent="0.25">
      <c r="A3774" s="39"/>
    </row>
    <row r="3775" spans="1:1" ht="15.75" customHeight="1" x14ac:dyDescent="0.25">
      <c r="A3775" s="39"/>
    </row>
    <row r="3776" spans="1:1" ht="15.75" customHeight="1" x14ac:dyDescent="0.25">
      <c r="A3776" s="39"/>
    </row>
    <row r="3777" spans="1:1" ht="15.75" customHeight="1" x14ac:dyDescent="0.25">
      <c r="A3777" s="39"/>
    </row>
    <row r="3778" spans="1:1" ht="15.75" customHeight="1" x14ac:dyDescent="0.25">
      <c r="A3778" s="39"/>
    </row>
    <row r="3779" spans="1:1" ht="15.75" customHeight="1" x14ac:dyDescent="0.25">
      <c r="A3779" s="39"/>
    </row>
    <row r="3780" spans="1:1" ht="15.75" customHeight="1" x14ac:dyDescent="0.25">
      <c r="A3780" s="39"/>
    </row>
    <row r="3781" spans="1:1" ht="15.75" customHeight="1" x14ac:dyDescent="0.25">
      <c r="A3781" s="39"/>
    </row>
    <row r="3782" spans="1:1" ht="15.75" customHeight="1" x14ac:dyDescent="0.25">
      <c r="A3782" s="39"/>
    </row>
    <row r="3783" spans="1:1" ht="15.75" customHeight="1" x14ac:dyDescent="0.25">
      <c r="A3783" s="39"/>
    </row>
    <row r="3784" spans="1:1" ht="15.75" customHeight="1" x14ac:dyDescent="0.25">
      <c r="A3784" s="39"/>
    </row>
    <row r="3785" spans="1:1" ht="15.75" customHeight="1" x14ac:dyDescent="0.25">
      <c r="A3785" s="39"/>
    </row>
    <row r="3786" spans="1:1" ht="15.75" customHeight="1" x14ac:dyDescent="0.25">
      <c r="A3786" s="39"/>
    </row>
    <row r="3787" spans="1:1" ht="15.75" customHeight="1" x14ac:dyDescent="0.25">
      <c r="A3787" s="39"/>
    </row>
    <row r="3788" spans="1:1" ht="15.75" customHeight="1" x14ac:dyDescent="0.25">
      <c r="A3788" s="39"/>
    </row>
    <row r="3789" spans="1:1" ht="15.75" customHeight="1" x14ac:dyDescent="0.25">
      <c r="A3789" s="39"/>
    </row>
    <row r="3790" spans="1:1" ht="15.75" customHeight="1" x14ac:dyDescent="0.25">
      <c r="A3790" s="39"/>
    </row>
    <row r="3791" spans="1:1" ht="15.75" customHeight="1" x14ac:dyDescent="0.25">
      <c r="A3791" s="39"/>
    </row>
    <row r="3792" spans="1:1" ht="15.75" customHeight="1" x14ac:dyDescent="0.25">
      <c r="A3792" s="39"/>
    </row>
    <row r="3793" spans="1:1" ht="15.75" customHeight="1" x14ac:dyDescent="0.25">
      <c r="A3793" s="39"/>
    </row>
    <row r="3794" spans="1:1" ht="15.75" customHeight="1" x14ac:dyDescent="0.25">
      <c r="A3794" s="39"/>
    </row>
    <row r="3795" spans="1:1" ht="15.75" customHeight="1" x14ac:dyDescent="0.25">
      <c r="A3795" s="39"/>
    </row>
    <row r="3796" spans="1:1" ht="15.75" customHeight="1" x14ac:dyDescent="0.25">
      <c r="A3796" s="39"/>
    </row>
    <row r="3797" spans="1:1" ht="15.75" customHeight="1" x14ac:dyDescent="0.25">
      <c r="A3797" s="39"/>
    </row>
    <row r="3798" spans="1:1" ht="15.75" customHeight="1" x14ac:dyDescent="0.25">
      <c r="A3798" s="39"/>
    </row>
    <row r="3799" spans="1:1" ht="15.75" customHeight="1" x14ac:dyDescent="0.25">
      <c r="A3799" s="39"/>
    </row>
    <row r="3800" spans="1:1" ht="15.75" customHeight="1" x14ac:dyDescent="0.25">
      <c r="A3800" s="39"/>
    </row>
    <row r="3801" spans="1:1" ht="15.75" customHeight="1" x14ac:dyDescent="0.25">
      <c r="A3801" s="39"/>
    </row>
    <row r="3802" spans="1:1" ht="15.75" customHeight="1" x14ac:dyDescent="0.25">
      <c r="A3802" s="39"/>
    </row>
    <row r="3803" spans="1:1" ht="15.75" customHeight="1" x14ac:dyDescent="0.25">
      <c r="A3803" s="39"/>
    </row>
    <row r="3804" spans="1:1" ht="15.75" customHeight="1" x14ac:dyDescent="0.25">
      <c r="A3804" s="39"/>
    </row>
    <row r="3805" spans="1:1" ht="15.75" customHeight="1" x14ac:dyDescent="0.25">
      <c r="A3805" s="39"/>
    </row>
    <row r="3806" spans="1:1" ht="15.75" customHeight="1" x14ac:dyDescent="0.25">
      <c r="A3806" s="39"/>
    </row>
    <row r="3807" spans="1:1" ht="15.75" customHeight="1" x14ac:dyDescent="0.25">
      <c r="A3807" s="39"/>
    </row>
    <row r="3808" spans="1:1" ht="15.75" customHeight="1" x14ac:dyDescent="0.25">
      <c r="A3808" s="39"/>
    </row>
    <row r="3809" spans="1:1" ht="15.75" customHeight="1" x14ac:dyDescent="0.25">
      <c r="A3809" s="39"/>
    </row>
    <row r="3810" spans="1:1" ht="15.75" customHeight="1" x14ac:dyDescent="0.25">
      <c r="A3810" s="39"/>
    </row>
    <row r="3811" spans="1:1" ht="15.75" customHeight="1" x14ac:dyDescent="0.25">
      <c r="A3811" s="39"/>
    </row>
    <row r="3812" spans="1:1" ht="15.75" customHeight="1" x14ac:dyDescent="0.25">
      <c r="A3812" s="39"/>
    </row>
    <row r="3813" spans="1:1" ht="15.75" customHeight="1" x14ac:dyDescent="0.25">
      <c r="A3813" s="39"/>
    </row>
    <row r="3814" spans="1:1" ht="15.75" customHeight="1" x14ac:dyDescent="0.25">
      <c r="A3814" s="39"/>
    </row>
    <row r="3815" spans="1:1" ht="15.75" customHeight="1" x14ac:dyDescent="0.25">
      <c r="A3815" s="39"/>
    </row>
    <row r="3816" spans="1:1" ht="15.75" customHeight="1" x14ac:dyDescent="0.25">
      <c r="A3816" s="39"/>
    </row>
    <row r="3817" spans="1:1" ht="15.75" customHeight="1" x14ac:dyDescent="0.25">
      <c r="A3817" s="39"/>
    </row>
    <row r="3818" spans="1:1" ht="15.75" customHeight="1" x14ac:dyDescent="0.25">
      <c r="A3818" s="39"/>
    </row>
    <row r="3819" spans="1:1" ht="15.75" customHeight="1" x14ac:dyDescent="0.25">
      <c r="A3819" s="39"/>
    </row>
    <row r="3820" spans="1:1" ht="15.75" customHeight="1" x14ac:dyDescent="0.25">
      <c r="A3820" s="39"/>
    </row>
    <row r="3821" spans="1:1" ht="15.75" customHeight="1" x14ac:dyDescent="0.25">
      <c r="A3821" s="39"/>
    </row>
    <row r="3822" spans="1:1" ht="15.75" customHeight="1" x14ac:dyDescent="0.25">
      <c r="A3822" s="39"/>
    </row>
    <row r="3823" spans="1:1" ht="15.75" customHeight="1" x14ac:dyDescent="0.25">
      <c r="A3823" s="39"/>
    </row>
    <row r="3824" spans="1:1" ht="15.75" customHeight="1" x14ac:dyDescent="0.25">
      <c r="A3824" s="39"/>
    </row>
    <row r="3825" spans="1:1" ht="15.75" customHeight="1" x14ac:dyDescent="0.25">
      <c r="A3825" s="39"/>
    </row>
    <row r="3826" spans="1:1" ht="15.75" customHeight="1" x14ac:dyDescent="0.25">
      <c r="A3826" s="39"/>
    </row>
    <row r="3827" spans="1:1" ht="15.75" customHeight="1" x14ac:dyDescent="0.25">
      <c r="A3827" s="39"/>
    </row>
    <row r="3828" spans="1:1" ht="15.75" customHeight="1" x14ac:dyDescent="0.25">
      <c r="A3828" s="39"/>
    </row>
    <row r="3829" spans="1:1" ht="15.75" customHeight="1" x14ac:dyDescent="0.25">
      <c r="A3829" s="39"/>
    </row>
    <row r="3830" spans="1:1" ht="15.75" customHeight="1" x14ac:dyDescent="0.25">
      <c r="A3830" s="39"/>
    </row>
    <row r="3831" spans="1:1" ht="15.75" customHeight="1" x14ac:dyDescent="0.25">
      <c r="A3831" s="39"/>
    </row>
    <row r="3832" spans="1:1" ht="15.75" customHeight="1" x14ac:dyDescent="0.25">
      <c r="A3832" s="39"/>
    </row>
    <row r="3833" spans="1:1" ht="15.75" customHeight="1" x14ac:dyDescent="0.25">
      <c r="A3833" s="39"/>
    </row>
    <row r="3834" spans="1:1" ht="15.75" customHeight="1" x14ac:dyDescent="0.25">
      <c r="A3834" s="39"/>
    </row>
    <row r="3835" spans="1:1" ht="15.75" customHeight="1" x14ac:dyDescent="0.25">
      <c r="A3835" s="39"/>
    </row>
    <row r="3836" spans="1:1" ht="15.75" customHeight="1" x14ac:dyDescent="0.25">
      <c r="A3836" s="39"/>
    </row>
    <row r="3837" spans="1:1" ht="15.75" customHeight="1" x14ac:dyDescent="0.25">
      <c r="A3837" s="39"/>
    </row>
    <row r="3838" spans="1:1" ht="15.75" customHeight="1" x14ac:dyDescent="0.25">
      <c r="A3838" s="39"/>
    </row>
    <row r="3839" spans="1:1" ht="15.75" customHeight="1" x14ac:dyDescent="0.25">
      <c r="A3839" s="39"/>
    </row>
    <row r="3840" spans="1:1" ht="15.75" customHeight="1" x14ac:dyDescent="0.25">
      <c r="A3840" s="39"/>
    </row>
    <row r="3841" spans="1:1" ht="15.75" customHeight="1" x14ac:dyDescent="0.25">
      <c r="A3841" s="39"/>
    </row>
    <row r="3842" spans="1:1" ht="15.75" customHeight="1" x14ac:dyDescent="0.25">
      <c r="A3842" s="39"/>
    </row>
    <row r="3843" spans="1:1" ht="15.75" customHeight="1" x14ac:dyDescent="0.25">
      <c r="A3843" s="39"/>
    </row>
    <row r="3844" spans="1:1" ht="15.75" customHeight="1" x14ac:dyDescent="0.25">
      <c r="A3844" s="39"/>
    </row>
    <row r="3845" spans="1:1" ht="15.75" customHeight="1" x14ac:dyDescent="0.25">
      <c r="A3845" s="39"/>
    </row>
    <row r="3846" spans="1:1" ht="15.75" customHeight="1" x14ac:dyDescent="0.25">
      <c r="A3846" s="39"/>
    </row>
    <row r="3847" spans="1:1" ht="15.75" customHeight="1" x14ac:dyDescent="0.25">
      <c r="A3847" s="39"/>
    </row>
    <row r="3848" spans="1:1" ht="15.75" customHeight="1" x14ac:dyDescent="0.25">
      <c r="A3848" s="39"/>
    </row>
    <row r="3849" spans="1:1" ht="15.75" customHeight="1" x14ac:dyDescent="0.25">
      <c r="A3849" s="39"/>
    </row>
    <row r="3850" spans="1:1" ht="15.75" customHeight="1" x14ac:dyDescent="0.25">
      <c r="A3850" s="39"/>
    </row>
    <row r="3851" spans="1:1" ht="15.75" customHeight="1" x14ac:dyDescent="0.25">
      <c r="A3851" s="39"/>
    </row>
    <row r="3852" spans="1:1" ht="15.75" customHeight="1" x14ac:dyDescent="0.25">
      <c r="A3852" s="39"/>
    </row>
    <row r="3853" spans="1:1" ht="15.75" customHeight="1" x14ac:dyDescent="0.25">
      <c r="A3853" s="39"/>
    </row>
    <row r="3854" spans="1:1" ht="15.75" customHeight="1" x14ac:dyDescent="0.25">
      <c r="A3854" s="39"/>
    </row>
    <row r="3855" spans="1:1" ht="15.75" customHeight="1" x14ac:dyDescent="0.25">
      <c r="A3855" s="39"/>
    </row>
    <row r="3856" spans="1:1" ht="15.75" customHeight="1" x14ac:dyDescent="0.25">
      <c r="A3856" s="39"/>
    </row>
    <row r="3857" spans="1:1" ht="15.75" customHeight="1" x14ac:dyDescent="0.25">
      <c r="A3857" s="39"/>
    </row>
    <row r="3858" spans="1:1" ht="15.75" customHeight="1" x14ac:dyDescent="0.25">
      <c r="A3858" s="39"/>
    </row>
    <row r="3859" spans="1:1" ht="15.75" customHeight="1" x14ac:dyDescent="0.25">
      <c r="A3859" s="39"/>
    </row>
    <row r="3860" spans="1:1" ht="15.75" customHeight="1" x14ac:dyDescent="0.25">
      <c r="A3860" s="39"/>
    </row>
    <row r="3861" spans="1:1" ht="15.75" customHeight="1" x14ac:dyDescent="0.25">
      <c r="A3861" s="39"/>
    </row>
    <row r="3862" spans="1:1" ht="15.75" customHeight="1" x14ac:dyDescent="0.25">
      <c r="A3862" s="39"/>
    </row>
    <row r="3863" spans="1:1" ht="15.75" customHeight="1" x14ac:dyDescent="0.25">
      <c r="A3863" s="39"/>
    </row>
    <row r="3864" spans="1:1" ht="15.75" customHeight="1" x14ac:dyDescent="0.25">
      <c r="A3864" s="39"/>
    </row>
    <row r="3865" spans="1:1" ht="15.75" customHeight="1" x14ac:dyDescent="0.25">
      <c r="A3865" s="39"/>
    </row>
    <row r="3866" spans="1:1" ht="15.75" customHeight="1" x14ac:dyDescent="0.25">
      <c r="A3866" s="39"/>
    </row>
    <row r="3867" spans="1:1" ht="15.75" customHeight="1" x14ac:dyDescent="0.25">
      <c r="A3867" s="39"/>
    </row>
    <row r="3868" spans="1:1" ht="15.75" customHeight="1" x14ac:dyDescent="0.25">
      <c r="A3868" s="39"/>
    </row>
    <row r="3869" spans="1:1" ht="15.75" customHeight="1" x14ac:dyDescent="0.25">
      <c r="A3869" s="39"/>
    </row>
    <row r="3870" spans="1:1" ht="15.75" customHeight="1" x14ac:dyDescent="0.25">
      <c r="A3870" s="39"/>
    </row>
    <row r="3871" spans="1:1" ht="15.75" customHeight="1" x14ac:dyDescent="0.25">
      <c r="A3871" s="39"/>
    </row>
    <row r="3872" spans="1:1" ht="15.75" customHeight="1" x14ac:dyDescent="0.25">
      <c r="A3872" s="39"/>
    </row>
    <row r="3873" spans="1:1" ht="15.75" customHeight="1" x14ac:dyDescent="0.25">
      <c r="A3873" s="39"/>
    </row>
    <row r="3874" spans="1:1" ht="15.75" customHeight="1" x14ac:dyDescent="0.25">
      <c r="A3874" s="39"/>
    </row>
    <row r="3875" spans="1:1" ht="15.75" customHeight="1" x14ac:dyDescent="0.25">
      <c r="A3875" s="39"/>
    </row>
    <row r="3876" spans="1:1" ht="15.75" customHeight="1" x14ac:dyDescent="0.25">
      <c r="A3876" s="39"/>
    </row>
    <row r="3877" spans="1:1" ht="15.75" customHeight="1" x14ac:dyDescent="0.25">
      <c r="A3877" s="39"/>
    </row>
    <row r="3878" spans="1:1" ht="15.75" customHeight="1" x14ac:dyDescent="0.25">
      <c r="A3878" s="39"/>
    </row>
    <row r="3879" spans="1:1" ht="15.75" customHeight="1" x14ac:dyDescent="0.25">
      <c r="A3879" s="39"/>
    </row>
    <row r="3880" spans="1:1" ht="15.75" customHeight="1" x14ac:dyDescent="0.25">
      <c r="A3880" s="39"/>
    </row>
    <row r="3881" spans="1:1" ht="15.75" customHeight="1" x14ac:dyDescent="0.25">
      <c r="A3881" s="39"/>
    </row>
    <row r="3882" spans="1:1" ht="15.75" customHeight="1" x14ac:dyDescent="0.25">
      <c r="A3882" s="39"/>
    </row>
    <row r="3883" spans="1:1" ht="15.75" customHeight="1" x14ac:dyDescent="0.25">
      <c r="A3883" s="39"/>
    </row>
    <row r="3884" spans="1:1" ht="15.75" customHeight="1" x14ac:dyDescent="0.25">
      <c r="A3884" s="39"/>
    </row>
    <row r="3885" spans="1:1" ht="15.75" customHeight="1" x14ac:dyDescent="0.25">
      <c r="A3885" s="39"/>
    </row>
    <row r="3886" spans="1:1" ht="15.75" customHeight="1" x14ac:dyDescent="0.25">
      <c r="A3886" s="39"/>
    </row>
    <row r="3887" spans="1:1" ht="15.75" customHeight="1" x14ac:dyDescent="0.25">
      <c r="A3887" s="39"/>
    </row>
    <row r="3888" spans="1:1" ht="15.75" customHeight="1" x14ac:dyDescent="0.25">
      <c r="A3888" s="39"/>
    </row>
    <row r="3889" spans="1:1" ht="15.75" customHeight="1" x14ac:dyDescent="0.25">
      <c r="A3889" s="39"/>
    </row>
    <row r="3890" spans="1:1" ht="15.75" customHeight="1" x14ac:dyDescent="0.25">
      <c r="A3890" s="39"/>
    </row>
    <row r="3891" spans="1:1" ht="15.75" customHeight="1" x14ac:dyDescent="0.25">
      <c r="A3891" s="39"/>
    </row>
    <row r="3892" spans="1:1" ht="15.75" customHeight="1" x14ac:dyDescent="0.25">
      <c r="A3892" s="39"/>
    </row>
    <row r="3893" spans="1:1" ht="15.75" customHeight="1" x14ac:dyDescent="0.25">
      <c r="A3893" s="39"/>
    </row>
    <row r="3894" spans="1:1" ht="15.75" customHeight="1" x14ac:dyDescent="0.25">
      <c r="A3894" s="39"/>
    </row>
    <row r="3895" spans="1:1" ht="15.75" customHeight="1" x14ac:dyDescent="0.25">
      <c r="A3895" s="39"/>
    </row>
    <row r="3896" spans="1:1" ht="15.75" customHeight="1" x14ac:dyDescent="0.25">
      <c r="A3896" s="39"/>
    </row>
    <row r="3897" spans="1:1" ht="15.75" customHeight="1" x14ac:dyDescent="0.25">
      <c r="A3897" s="39"/>
    </row>
    <row r="3898" spans="1:1" ht="15.75" customHeight="1" x14ac:dyDescent="0.25">
      <c r="A3898" s="39"/>
    </row>
    <row r="3899" spans="1:1" ht="15.75" customHeight="1" x14ac:dyDescent="0.25">
      <c r="A3899" s="39"/>
    </row>
    <row r="3900" spans="1:1" ht="15.75" customHeight="1" x14ac:dyDescent="0.25">
      <c r="A3900" s="39"/>
    </row>
    <row r="3901" spans="1:1" ht="15.75" customHeight="1" x14ac:dyDescent="0.25">
      <c r="A3901" s="39"/>
    </row>
    <row r="3902" spans="1:1" ht="15.75" customHeight="1" x14ac:dyDescent="0.25">
      <c r="A3902" s="39"/>
    </row>
    <row r="3903" spans="1:1" ht="15.75" customHeight="1" x14ac:dyDescent="0.25">
      <c r="A3903" s="39"/>
    </row>
    <row r="3904" spans="1:1" ht="15.75" customHeight="1" x14ac:dyDescent="0.25">
      <c r="A3904" s="39"/>
    </row>
    <row r="3905" spans="1:1" ht="15.75" customHeight="1" x14ac:dyDescent="0.25">
      <c r="A3905" s="39"/>
    </row>
    <row r="3906" spans="1:1" ht="15.75" customHeight="1" x14ac:dyDescent="0.25">
      <c r="A3906" s="39"/>
    </row>
    <row r="3907" spans="1:1" ht="15.75" customHeight="1" x14ac:dyDescent="0.25">
      <c r="A3907" s="39"/>
    </row>
    <row r="3908" spans="1:1" ht="15.75" customHeight="1" x14ac:dyDescent="0.25">
      <c r="A3908" s="39"/>
    </row>
    <row r="3909" spans="1:1" ht="15.75" customHeight="1" x14ac:dyDescent="0.25">
      <c r="A3909" s="39"/>
    </row>
    <row r="3910" spans="1:1" ht="15.75" customHeight="1" x14ac:dyDescent="0.25">
      <c r="A3910" s="39"/>
    </row>
    <row r="3911" spans="1:1" ht="15.75" customHeight="1" x14ac:dyDescent="0.25">
      <c r="A3911" s="39"/>
    </row>
    <row r="3912" spans="1:1" ht="15.75" customHeight="1" x14ac:dyDescent="0.25">
      <c r="A3912" s="39"/>
    </row>
    <row r="3913" spans="1:1" ht="15.75" customHeight="1" x14ac:dyDescent="0.25">
      <c r="A3913" s="39"/>
    </row>
    <row r="3914" spans="1:1" ht="15.75" customHeight="1" x14ac:dyDescent="0.25">
      <c r="A3914" s="39"/>
    </row>
    <row r="3915" spans="1:1" ht="15.75" customHeight="1" x14ac:dyDescent="0.25">
      <c r="A3915" s="39"/>
    </row>
    <row r="3916" spans="1:1" ht="15.75" customHeight="1" x14ac:dyDescent="0.25">
      <c r="A3916" s="39"/>
    </row>
    <row r="3917" spans="1:1" ht="15.75" customHeight="1" x14ac:dyDescent="0.25">
      <c r="A3917" s="39"/>
    </row>
    <row r="3918" spans="1:1" ht="15.75" customHeight="1" x14ac:dyDescent="0.25">
      <c r="A3918" s="39"/>
    </row>
    <row r="3919" spans="1:1" ht="15.75" customHeight="1" x14ac:dyDescent="0.25">
      <c r="A3919" s="39"/>
    </row>
    <row r="3920" spans="1:1" ht="15.75" customHeight="1" x14ac:dyDescent="0.25">
      <c r="A3920" s="39"/>
    </row>
    <row r="3921" spans="1:1" ht="15.75" customHeight="1" x14ac:dyDescent="0.25">
      <c r="A3921" s="39"/>
    </row>
    <row r="3922" spans="1:1" ht="15.75" customHeight="1" x14ac:dyDescent="0.25">
      <c r="A3922" s="39"/>
    </row>
    <row r="3923" spans="1:1" ht="15.75" customHeight="1" x14ac:dyDescent="0.25">
      <c r="A3923" s="39"/>
    </row>
    <row r="3924" spans="1:1" ht="15.75" customHeight="1" x14ac:dyDescent="0.25">
      <c r="A3924" s="39"/>
    </row>
    <row r="3925" spans="1:1" ht="15.75" customHeight="1" x14ac:dyDescent="0.25">
      <c r="A3925" s="39"/>
    </row>
    <row r="3926" spans="1:1" ht="15.75" customHeight="1" x14ac:dyDescent="0.25">
      <c r="A3926" s="39"/>
    </row>
    <row r="3927" spans="1:1" ht="15.75" customHeight="1" x14ac:dyDescent="0.25">
      <c r="A3927" s="39"/>
    </row>
    <row r="3928" spans="1:1" ht="15.75" customHeight="1" x14ac:dyDescent="0.25">
      <c r="A3928" s="39"/>
    </row>
    <row r="3929" spans="1:1" ht="15.75" customHeight="1" x14ac:dyDescent="0.25">
      <c r="A3929" s="39"/>
    </row>
    <row r="3930" spans="1:1" ht="15.75" customHeight="1" x14ac:dyDescent="0.25">
      <c r="A3930" s="39"/>
    </row>
    <row r="3931" spans="1:1" ht="15.75" customHeight="1" x14ac:dyDescent="0.25">
      <c r="A3931" s="39"/>
    </row>
    <row r="3932" spans="1:1" ht="15.75" customHeight="1" x14ac:dyDescent="0.25">
      <c r="A3932" s="39"/>
    </row>
    <row r="3933" spans="1:1" ht="15.75" customHeight="1" x14ac:dyDescent="0.25">
      <c r="A3933" s="39"/>
    </row>
    <row r="3934" spans="1:1" ht="15.75" customHeight="1" x14ac:dyDescent="0.25">
      <c r="A3934" s="39"/>
    </row>
    <row r="3935" spans="1:1" ht="15.75" customHeight="1" x14ac:dyDescent="0.25">
      <c r="A3935" s="39"/>
    </row>
    <row r="3936" spans="1:1" ht="15.75" customHeight="1" x14ac:dyDescent="0.25">
      <c r="A3936" s="39"/>
    </row>
    <row r="3937" spans="1:1" ht="15.75" customHeight="1" x14ac:dyDescent="0.25">
      <c r="A3937" s="39"/>
    </row>
    <row r="3938" spans="1:1" ht="15.75" customHeight="1" x14ac:dyDescent="0.25">
      <c r="A3938" s="39"/>
    </row>
    <row r="3939" spans="1:1" ht="15.75" customHeight="1" x14ac:dyDescent="0.25">
      <c r="A3939" s="39"/>
    </row>
    <row r="3940" spans="1:1" ht="15.75" customHeight="1" x14ac:dyDescent="0.25">
      <c r="A3940" s="39"/>
    </row>
    <row r="3941" spans="1:1" ht="15.75" customHeight="1" x14ac:dyDescent="0.25">
      <c r="A3941" s="39"/>
    </row>
    <row r="3942" spans="1:1" ht="15.75" customHeight="1" x14ac:dyDescent="0.25">
      <c r="A3942" s="39"/>
    </row>
    <row r="3943" spans="1:1" ht="15.75" customHeight="1" x14ac:dyDescent="0.25">
      <c r="A3943" s="39"/>
    </row>
    <row r="3944" spans="1:1" ht="15.75" customHeight="1" x14ac:dyDescent="0.25">
      <c r="A3944" s="39"/>
    </row>
    <row r="3945" spans="1:1" ht="15.75" customHeight="1" x14ac:dyDescent="0.25">
      <c r="A3945" s="39"/>
    </row>
    <row r="3946" spans="1:1" ht="15.75" customHeight="1" x14ac:dyDescent="0.25">
      <c r="A3946" s="39"/>
    </row>
    <row r="3947" spans="1:1" ht="15.75" customHeight="1" x14ac:dyDescent="0.25">
      <c r="A3947" s="39"/>
    </row>
    <row r="3948" spans="1:1" ht="15.75" customHeight="1" x14ac:dyDescent="0.25">
      <c r="A3948" s="39"/>
    </row>
    <row r="3949" spans="1:1" ht="15.75" customHeight="1" x14ac:dyDescent="0.25">
      <c r="A3949" s="39"/>
    </row>
    <row r="3950" spans="1:1" ht="15.75" customHeight="1" x14ac:dyDescent="0.25">
      <c r="A3950" s="39"/>
    </row>
    <row r="3951" spans="1:1" ht="15.75" customHeight="1" x14ac:dyDescent="0.25">
      <c r="A3951" s="39"/>
    </row>
    <row r="3952" spans="1:1" ht="15.75" customHeight="1" x14ac:dyDescent="0.25">
      <c r="A3952" s="39"/>
    </row>
    <row r="3953" spans="1:1" ht="15.75" customHeight="1" x14ac:dyDescent="0.25">
      <c r="A3953" s="39"/>
    </row>
    <row r="3954" spans="1:1" ht="15.75" customHeight="1" x14ac:dyDescent="0.25">
      <c r="A3954" s="39"/>
    </row>
    <row r="3955" spans="1:1" ht="15.75" customHeight="1" x14ac:dyDescent="0.25">
      <c r="A3955" s="39"/>
    </row>
    <row r="3956" spans="1:1" ht="15.75" customHeight="1" x14ac:dyDescent="0.25">
      <c r="A3956" s="39"/>
    </row>
    <row r="3957" spans="1:1" ht="15.75" customHeight="1" x14ac:dyDescent="0.25">
      <c r="A3957" s="39"/>
    </row>
    <row r="3958" spans="1:1" ht="15.75" customHeight="1" x14ac:dyDescent="0.25">
      <c r="A3958" s="39"/>
    </row>
    <row r="3959" spans="1:1" ht="15.75" customHeight="1" x14ac:dyDescent="0.25">
      <c r="A3959" s="39"/>
    </row>
    <row r="3960" spans="1:1" ht="15.75" customHeight="1" x14ac:dyDescent="0.25">
      <c r="A3960" s="39"/>
    </row>
    <row r="3961" spans="1:1" ht="15.75" customHeight="1" x14ac:dyDescent="0.25">
      <c r="A3961" s="39"/>
    </row>
    <row r="3962" spans="1:1" ht="15.75" customHeight="1" x14ac:dyDescent="0.25">
      <c r="A3962" s="39"/>
    </row>
    <row r="3963" spans="1:1" ht="15.75" customHeight="1" x14ac:dyDescent="0.25">
      <c r="A3963" s="39"/>
    </row>
    <row r="3964" spans="1:1" ht="15.75" customHeight="1" x14ac:dyDescent="0.25">
      <c r="A3964" s="39"/>
    </row>
    <row r="3965" spans="1:1" ht="15.75" customHeight="1" x14ac:dyDescent="0.25">
      <c r="A3965" s="39"/>
    </row>
    <row r="3966" spans="1:1" ht="15.75" customHeight="1" x14ac:dyDescent="0.25">
      <c r="A3966" s="39"/>
    </row>
    <row r="3967" spans="1:1" ht="15.75" customHeight="1" x14ac:dyDescent="0.25">
      <c r="A3967" s="39"/>
    </row>
    <row r="3968" spans="1:1" ht="15.75" customHeight="1" x14ac:dyDescent="0.25">
      <c r="A3968" s="39"/>
    </row>
    <row r="3969" spans="1:1" ht="15.75" customHeight="1" x14ac:dyDescent="0.25">
      <c r="A3969" s="39"/>
    </row>
    <row r="3970" spans="1:1" ht="15.75" customHeight="1" x14ac:dyDescent="0.25">
      <c r="A3970" s="39"/>
    </row>
    <row r="3971" spans="1:1" ht="15.75" customHeight="1" x14ac:dyDescent="0.25">
      <c r="A3971" s="39"/>
    </row>
    <row r="3972" spans="1:1" ht="15.75" customHeight="1" x14ac:dyDescent="0.25">
      <c r="A3972" s="39"/>
    </row>
    <row r="3973" spans="1:1" ht="15.75" customHeight="1" x14ac:dyDescent="0.25">
      <c r="A3973" s="39"/>
    </row>
    <row r="3974" spans="1:1" ht="15.75" customHeight="1" x14ac:dyDescent="0.25">
      <c r="A3974" s="39"/>
    </row>
    <row r="3975" spans="1:1" ht="15.75" customHeight="1" x14ac:dyDescent="0.25">
      <c r="A3975" s="39"/>
    </row>
    <row r="3976" spans="1:1" ht="15.75" customHeight="1" x14ac:dyDescent="0.25">
      <c r="A3976" s="39"/>
    </row>
    <row r="3977" spans="1:1" ht="15.75" customHeight="1" x14ac:dyDescent="0.25">
      <c r="A3977" s="39"/>
    </row>
    <row r="3978" spans="1:1" ht="15.75" customHeight="1" x14ac:dyDescent="0.25">
      <c r="A3978" s="39"/>
    </row>
    <row r="3979" spans="1:1" ht="15.75" customHeight="1" x14ac:dyDescent="0.25">
      <c r="A3979" s="39"/>
    </row>
    <row r="3980" spans="1:1" ht="15.75" customHeight="1" x14ac:dyDescent="0.25">
      <c r="A3980" s="39"/>
    </row>
    <row r="3981" spans="1:1" ht="15.75" customHeight="1" x14ac:dyDescent="0.25">
      <c r="A3981" s="39"/>
    </row>
    <row r="3982" spans="1:1" ht="15.75" customHeight="1" x14ac:dyDescent="0.25">
      <c r="A3982" s="39"/>
    </row>
    <row r="3983" spans="1:1" ht="15.75" customHeight="1" x14ac:dyDescent="0.25">
      <c r="A3983" s="39"/>
    </row>
    <row r="3984" spans="1:1" ht="15.75" customHeight="1" x14ac:dyDescent="0.25">
      <c r="A3984" s="39"/>
    </row>
    <row r="3985" spans="1:1" ht="15.75" customHeight="1" x14ac:dyDescent="0.25">
      <c r="A3985" s="39"/>
    </row>
    <row r="3986" spans="1:1" ht="15.75" customHeight="1" x14ac:dyDescent="0.25">
      <c r="A3986" s="39"/>
    </row>
    <row r="3987" spans="1:1" ht="15.75" customHeight="1" x14ac:dyDescent="0.25">
      <c r="A3987" s="39"/>
    </row>
    <row r="3988" spans="1:1" ht="15.75" customHeight="1" x14ac:dyDescent="0.25">
      <c r="A3988" s="39"/>
    </row>
    <row r="3989" spans="1:1" ht="15.75" customHeight="1" x14ac:dyDescent="0.25">
      <c r="A3989" s="39"/>
    </row>
    <row r="3990" spans="1:1" ht="15.75" customHeight="1" x14ac:dyDescent="0.25">
      <c r="A3990" s="39"/>
    </row>
    <row r="3991" spans="1:1" ht="15.75" customHeight="1" x14ac:dyDescent="0.25">
      <c r="A3991" s="39"/>
    </row>
    <row r="3992" spans="1:1" ht="15.75" customHeight="1" x14ac:dyDescent="0.25">
      <c r="A3992" s="39"/>
    </row>
    <row r="3993" spans="1:1" ht="15.75" customHeight="1" x14ac:dyDescent="0.25">
      <c r="A3993" s="39"/>
    </row>
    <row r="3994" spans="1:1" ht="15.75" customHeight="1" x14ac:dyDescent="0.25">
      <c r="A3994" s="39"/>
    </row>
    <row r="3995" spans="1:1" ht="15.75" customHeight="1" x14ac:dyDescent="0.25">
      <c r="A3995" s="39"/>
    </row>
    <row r="3996" spans="1:1" ht="15.75" customHeight="1" x14ac:dyDescent="0.25">
      <c r="A3996" s="39"/>
    </row>
    <row r="3997" spans="1:1" ht="15.75" customHeight="1" x14ac:dyDescent="0.25">
      <c r="A3997" s="39"/>
    </row>
    <row r="3998" spans="1:1" ht="15.75" customHeight="1" x14ac:dyDescent="0.25">
      <c r="A3998" s="39"/>
    </row>
    <row r="3999" spans="1:1" ht="15.75" customHeight="1" x14ac:dyDescent="0.25">
      <c r="A3999" s="39"/>
    </row>
    <row r="4000" spans="1:1" ht="15.75" customHeight="1" x14ac:dyDescent="0.25">
      <c r="A4000" s="39"/>
    </row>
    <row r="4001" spans="1:1" ht="15.75" customHeight="1" x14ac:dyDescent="0.25">
      <c r="A4001" s="39"/>
    </row>
    <row r="4002" spans="1:1" ht="15.75" customHeight="1" x14ac:dyDescent="0.25">
      <c r="A4002" s="39"/>
    </row>
    <row r="4003" spans="1:1" ht="15.75" customHeight="1" x14ac:dyDescent="0.25">
      <c r="A4003" s="39"/>
    </row>
    <row r="4004" spans="1:1" ht="15.75" customHeight="1" x14ac:dyDescent="0.25">
      <c r="A4004" s="39"/>
    </row>
    <row r="4005" spans="1:1" ht="15.75" customHeight="1" x14ac:dyDescent="0.25">
      <c r="A4005" s="39"/>
    </row>
    <row r="4006" spans="1:1" ht="15.75" customHeight="1" x14ac:dyDescent="0.25">
      <c r="A4006" s="39"/>
    </row>
    <row r="4007" spans="1:1" ht="15.75" customHeight="1" x14ac:dyDescent="0.25">
      <c r="A4007" s="39"/>
    </row>
    <row r="4008" spans="1:1" ht="15.75" customHeight="1" x14ac:dyDescent="0.25">
      <c r="A4008" s="39"/>
    </row>
    <row r="4009" spans="1:1" ht="15.75" customHeight="1" x14ac:dyDescent="0.25">
      <c r="A4009" s="39"/>
    </row>
    <row r="4010" spans="1:1" ht="15.75" customHeight="1" x14ac:dyDescent="0.25">
      <c r="A4010" s="39"/>
    </row>
    <row r="4011" spans="1:1" ht="15.75" customHeight="1" x14ac:dyDescent="0.25">
      <c r="A4011" s="39"/>
    </row>
    <row r="4012" spans="1:1" ht="15.75" customHeight="1" x14ac:dyDescent="0.25">
      <c r="A4012" s="39"/>
    </row>
    <row r="4013" spans="1:1" ht="15.75" customHeight="1" x14ac:dyDescent="0.25">
      <c r="A4013" s="39"/>
    </row>
    <row r="4014" spans="1:1" ht="15.75" customHeight="1" x14ac:dyDescent="0.25">
      <c r="A4014" s="39"/>
    </row>
    <row r="4015" spans="1:1" ht="15.75" customHeight="1" x14ac:dyDescent="0.25">
      <c r="A4015" s="39"/>
    </row>
    <row r="4016" spans="1:1" ht="15.75" customHeight="1" x14ac:dyDescent="0.25">
      <c r="A4016" s="39"/>
    </row>
    <row r="4017" spans="1:1" ht="15.75" customHeight="1" x14ac:dyDescent="0.25">
      <c r="A4017" s="39"/>
    </row>
    <row r="4018" spans="1:1" ht="15.75" customHeight="1" x14ac:dyDescent="0.25">
      <c r="A4018" s="39"/>
    </row>
    <row r="4019" spans="1:1" ht="15.75" customHeight="1" x14ac:dyDescent="0.25">
      <c r="A4019" s="39"/>
    </row>
    <row r="4020" spans="1:1" ht="15.75" customHeight="1" x14ac:dyDescent="0.25">
      <c r="A4020" s="39"/>
    </row>
    <row r="4021" spans="1:1" ht="15.75" customHeight="1" x14ac:dyDescent="0.25">
      <c r="A4021" s="39"/>
    </row>
    <row r="4022" spans="1:1" ht="15.75" customHeight="1" x14ac:dyDescent="0.25">
      <c r="A4022" s="39"/>
    </row>
    <row r="4023" spans="1:1" ht="15.75" customHeight="1" x14ac:dyDescent="0.25">
      <c r="A4023" s="39"/>
    </row>
    <row r="4024" spans="1:1" ht="15.75" customHeight="1" x14ac:dyDescent="0.25">
      <c r="A4024" s="39"/>
    </row>
    <row r="4025" spans="1:1" ht="15.75" customHeight="1" x14ac:dyDescent="0.25">
      <c r="A4025" s="39"/>
    </row>
    <row r="4026" spans="1:1" ht="15.75" customHeight="1" x14ac:dyDescent="0.25">
      <c r="A4026" s="39"/>
    </row>
    <row r="4027" spans="1:1" ht="15.75" customHeight="1" x14ac:dyDescent="0.25">
      <c r="A4027" s="39"/>
    </row>
    <row r="4028" spans="1:1" ht="15.75" customHeight="1" x14ac:dyDescent="0.25">
      <c r="A4028" s="39"/>
    </row>
    <row r="4029" spans="1:1" ht="15.75" customHeight="1" x14ac:dyDescent="0.25">
      <c r="A4029" s="39"/>
    </row>
    <row r="4030" spans="1:1" ht="15.75" customHeight="1" x14ac:dyDescent="0.25">
      <c r="A4030" s="39"/>
    </row>
    <row r="4031" spans="1:1" ht="15.75" customHeight="1" x14ac:dyDescent="0.25">
      <c r="A4031" s="39"/>
    </row>
    <row r="4032" spans="1:1" ht="15.75" customHeight="1" x14ac:dyDescent="0.25">
      <c r="A4032" s="39"/>
    </row>
    <row r="4033" spans="1:1" ht="15.75" customHeight="1" x14ac:dyDescent="0.25">
      <c r="A4033" s="39"/>
    </row>
    <row r="4034" spans="1:1" ht="15.75" customHeight="1" x14ac:dyDescent="0.25">
      <c r="A4034" s="39"/>
    </row>
    <row r="4035" spans="1:1" ht="15.75" customHeight="1" x14ac:dyDescent="0.25">
      <c r="A4035" s="39"/>
    </row>
    <row r="4036" spans="1:1" ht="15.75" customHeight="1" x14ac:dyDescent="0.25">
      <c r="A4036" s="39"/>
    </row>
    <row r="4037" spans="1:1" ht="15.75" customHeight="1" x14ac:dyDescent="0.25">
      <c r="A4037" s="39"/>
    </row>
    <row r="4038" spans="1:1" ht="15.75" customHeight="1" x14ac:dyDescent="0.25">
      <c r="A4038" s="39"/>
    </row>
    <row r="4039" spans="1:1" ht="15.75" customHeight="1" x14ac:dyDescent="0.25">
      <c r="A4039" s="39"/>
    </row>
    <row r="4040" spans="1:1" ht="15.75" customHeight="1" x14ac:dyDescent="0.25">
      <c r="A4040" s="39"/>
    </row>
    <row r="4041" spans="1:1" ht="15.75" customHeight="1" x14ac:dyDescent="0.25">
      <c r="A4041" s="39"/>
    </row>
    <row r="4042" spans="1:1" ht="15.75" customHeight="1" x14ac:dyDescent="0.25">
      <c r="A4042" s="39"/>
    </row>
    <row r="4043" spans="1:1" ht="15.75" customHeight="1" x14ac:dyDescent="0.25">
      <c r="A4043" s="39"/>
    </row>
    <row r="4044" spans="1:1" ht="15.75" customHeight="1" x14ac:dyDescent="0.25">
      <c r="A4044" s="39"/>
    </row>
    <row r="4045" spans="1:1" ht="15.75" customHeight="1" x14ac:dyDescent="0.25">
      <c r="A4045" s="39"/>
    </row>
    <row r="4046" spans="1:1" ht="15.75" customHeight="1" x14ac:dyDescent="0.25">
      <c r="A4046" s="39"/>
    </row>
    <row r="4047" spans="1:1" ht="15.75" customHeight="1" x14ac:dyDescent="0.25">
      <c r="A4047" s="39"/>
    </row>
    <row r="4048" spans="1:1" ht="15.75" customHeight="1" x14ac:dyDescent="0.25">
      <c r="A4048" s="39"/>
    </row>
    <row r="4049" spans="1:1" ht="15.75" customHeight="1" x14ac:dyDescent="0.25">
      <c r="A4049" s="39"/>
    </row>
    <row r="4050" spans="1:1" ht="15.75" customHeight="1" x14ac:dyDescent="0.25">
      <c r="A4050" s="39"/>
    </row>
    <row r="4051" spans="1:1" ht="15.75" customHeight="1" x14ac:dyDescent="0.25">
      <c r="A4051" s="39"/>
    </row>
    <row r="4052" spans="1:1" ht="15.75" customHeight="1" x14ac:dyDescent="0.25">
      <c r="A4052" s="39"/>
    </row>
    <row r="4053" spans="1:1" ht="15.75" customHeight="1" x14ac:dyDescent="0.25">
      <c r="A4053" s="39"/>
    </row>
    <row r="4054" spans="1:1" ht="15.75" customHeight="1" x14ac:dyDescent="0.25">
      <c r="A4054" s="39"/>
    </row>
    <row r="4055" spans="1:1" ht="15.75" customHeight="1" x14ac:dyDescent="0.25">
      <c r="A4055" s="39"/>
    </row>
    <row r="4056" spans="1:1" ht="15.75" customHeight="1" x14ac:dyDescent="0.25">
      <c r="A4056" s="39"/>
    </row>
    <row r="4057" spans="1:1" ht="15.75" customHeight="1" x14ac:dyDescent="0.25">
      <c r="A4057" s="39"/>
    </row>
    <row r="4058" spans="1:1" ht="15.75" customHeight="1" x14ac:dyDescent="0.25">
      <c r="A4058" s="39"/>
    </row>
    <row r="4059" spans="1:1" ht="15.75" customHeight="1" x14ac:dyDescent="0.25">
      <c r="A4059" s="39"/>
    </row>
    <row r="4060" spans="1:1" ht="15.75" customHeight="1" x14ac:dyDescent="0.25">
      <c r="A4060" s="39"/>
    </row>
    <row r="4061" spans="1:1" ht="15.75" customHeight="1" x14ac:dyDescent="0.25">
      <c r="A4061" s="39"/>
    </row>
    <row r="4062" spans="1:1" ht="15.75" customHeight="1" x14ac:dyDescent="0.25">
      <c r="A4062" s="39"/>
    </row>
    <row r="4063" spans="1:1" ht="15.75" customHeight="1" x14ac:dyDescent="0.25">
      <c r="A4063" s="39"/>
    </row>
    <row r="4064" spans="1:1" ht="15.75" customHeight="1" x14ac:dyDescent="0.25">
      <c r="A4064" s="39"/>
    </row>
    <row r="4065" spans="1:1" ht="15.75" customHeight="1" x14ac:dyDescent="0.25">
      <c r="A4065" s="39"/>
    </row>
    <row r="4066" spans="1:1" ht="15.75" customHeight="1" x14ac:dyDescent="0.25">
      <c r="A4066" s="39"/>
    </row>
    <row r="4067" spans="1:1" ht="15.75" customHeight="1" x14ac:dyDescent="0.25">
      <c r="A4067" s="39"/>
    </row>
    <row r="4068" spans="1:1" ht="15.75" customHeight="1" x14ac:dyDescent="0.25">
      <c r="A4068" s="39"/>
    </row>
    <row r="4069" spans="1:1" ht="15.75" customHeight="1" x14ac:dyDescent="0.25">
      <c r="A4069" s="39"/>
    </row>
    <row r="4070" spans="1:1" ht="15.75" customHeight="1" x14ac:dyDescent="0.25">
      <c r="A4070" s="39"/>
    </row>
    <row r="4071" spans="1:1" ht="15.75" customHeight="1" x14ac:dyDescent="0.25">
      <c r="A4071" s="39"/>
    </row>
    <row r="4072" spans="1:1" ht="15.75" customHeight="1" x14ac:dyDescent="0.25">
      <c r="A4072" s="39"/>
    </row>
    <row r="4073" spans="1:1" ht="15.75" customHeight="1" x14ac:dyDescent="0.25">
      <c r="A4073" s="39"/>
    </row>
    <row r="4074" spans="1:1" ht="15.75" customHeight="1" x14ac:dyDescent="0.25">
      <c r="A4074" s="39"/>
    </row>
    <row r="4075" spans="1:1" ht="15.75" customHeight="1" x14ac:dyDescent="0.25">
      <c r="A4075" s="39"/>
    </row>
    <row r="4076" spans="1:1" ht="15.75" customHeight="1" x14ac:dyDescent="0.25">
      <c r="A4076" s="39"/>
    </row>
    <row r="4077" spans="1:1" ht="15.75" customHeight="1" x14ac:dyDescent="0.25">
      <c r="A4077" s="39"/>
    </row>
    <row r="4078" spans="1:1" ht="15.75" customHeight="1" x14ac:dyDescent="0.25">
      <c r="A4078" s="39"/>
    </row>
    <row r="4079" spans="1:1" ht="15.75" customHeight="1" x14ac:dyDescent="0.25">
      <c r="A4079" s="39"/>
    </row>
    <row r="4080" spans="1:1" ht="15.75" customHeight="1" x14ac:dyDescent="0.25">
      <c r="A4080" s="39"/>
    </row>
    <row r="4081" spans="1:1" ht="15.75" customHeight="1" x14ac:dyDescent="0.25">
      <c r="A4081" s="39"/>
    </row>
    <row r="4082" spans="1:1" ht="15.75" customHeight="1" x14ac:dyDescent="0.25">
      <c r="A4082" s="39"/>
    </row>
    <row r="4083" spans="1:1" ht="15.75" customHeight="1" x14ac:dyDescent="0.25">
      <c r="A4083" s="39"/>
    </row>
    <row r="4084" spans="1:1" ht="15.75" customHeight="1" x14ac:dyDescent="0.25">
      <c r="A4084" s="39"/>
    </row>
    <row r="4085" spans="1:1" ht="15.75" customHeight="1" x14ac:dyDescent="0.25">
      <c r="A4085" s="39"/>
    </row>
    <row r="4086" spans="1:1" ht="15.75" customHeight="1" x14ac:dyDescent="0.25">
      <c r="A4086" s="39"/>
    </row>
    <row r="4087" spans="1:1" ht="15.75" customHeight="1" x14ac:dyDescent="0.25">
      <c r="A4087" s="39"/>
    </row>
    <row r="4088" spans="1:1" ht="15.75" customHeight="1" x14ac:dyDescent="0.25">
      <c r="A4088" s="39"/>
    </row>
    <row r="4089" spans="1:1" ht="15.75" customHeight="1" x14ac:dyDescent="0.25">
      <c r="A4089" s="39"/>
    </row>
    <row r="4090" spans="1:1" ht="15.75" customHeight="1" x14ac:dyDescent="0.25">
      <c r="A4090" s="39"/>
    </row>
    <row r="4091" spans="1:1" ht="15.75" customHeight="1" x14ac:dyDescent="0.25">
      <c r="A4091" s="39"/>
    </row>
    <row r="4092" spans="1:1" ht="15.75" customHeight="1" x14ac:dyDescent="0.25">
      <c r="A4092" s="39"/>
    </row>
    <row r="4093" spans="1:1" ht="15.75" customHeight="1" x14ac:dyDescent="0.25">
      <c r="A4093" s="39"/>
    </row>
    <row r="4094" spans="1:1" ht="15.75" customHeight="1" x14ac:dyDescent="0.25">
      <c r="A4094" s="39"/>
    </row>
    <row r="4095" spans="1:1" ht="15.75" customHeight="1" x14ac:dyDescent="0.25">
      <c r="A4095" s="39"/>
    </row>
    <row r="4096" spans="1:1" ht="15.75" customHeight="1" x14ac:dyDescent="0.25">
      <c r="A4096" s="39"/>
    </row>
    <row r="4097" spans="1:1" ht="15.75" customHeight="1" x14ac:dyDescent="0.25">
      <c r="A4097" s="39"/>
    </row>
    <row r="4098" spans="1:1" ht="15.75" customHeight="1" x14ac:dyDescent="0.25">
      <c r="A4098" s="39"/>
    </row>
    <row r="4099" spans="1:1" ht="15.75" customHeight="1" x14ac:dyDescent="0.25">
      <c r="A4099" s="39"/>
    </row>
    <row r="4100" spans="1:1" ht="15.75" customHeight="1" x14ac:dyDescent="0.25">
      <c r="A4100" s="39"/>
    </row>
    <row r="4101" spans="1:1" ht="15.75" customHeight="1" x14ac:dyDescent="0.25">
      <c r="A4101" s="39"/>
    </row>
    <row r="4102" spans="1:1" ht="15.75" customHeight="1" x14ac:dyDescent="0.25">
      <c r="A4102" s="39"/>
    </row>
    <row r="4103" spans="1:1" ht="15.75" customHeight="1" x14ac:dyDescent="0.25">
      <c r="A4103" s="39"/>
    </row>
    <row r="4104" spans="1:1" ht="15.75" customHeight="1" x14ac:dyDescent="0.25">
      <c r="A4104" s="39"/>
    </row>
    <row r="4105" spans="1:1" ht="15.75" customHeight="1" x14ac:dyDescent="0.25">
      <c r="A4105" s="39"/>
    </row>
    <row r="4106" spans="1:1" ht="15.75" customHeight="1" x14ac:dyDescent="0.25">
      <c r="A4106" s="39"/>
    </row>
    <row r="4107" spans="1:1" ht="15.75" customHeight="1" x14ac:dyDescent="0.25">
      <c r="A4107" s="39"/>
    </row>
    <row r="4108" spans="1:1" ht="15.75" customHeight="1" x14ac:dyDescent="0.25">
      <c r="A4108" s="39"/>
    </row>
    <row r="4109" spans="1:1" ht="15.75" customHeight="1" x14ac:dyDescent="0.25">
      <c r="A4109" s="39"/>
    </row>
    <row r="4110" spans="1:1" ht="15.75" customHeight="1" x14ac:dyDescent="0.25">
      <c r="A4110" s="39"/>
    </row>
    <row r="4111" spans="1:1" ht="15.75" customHeight="1" x14ac:dyDescent="0.25">
      <c r="A4111" s="39"/>
    </row>
    <row r="4112" spans="1:1" ht="15.75" customHeight="1" x14ac:dyDescent="0.25">
      <c r="A4112" s="39"/>
    </row>
    <row r="4113" spans="1:1" ht="15.75" customHeight="1" x14ac:dyDescent="0.25">
      <c r="A4113" s="39"/>
    </row>
    <row r="4114" spans="1:1" ht="15.75" customHeight="1" x14ac:dyDescent="0.25">
      <c r="A4114" s="39"/>
    </row>
    <row r="4115" spans="1:1" ht="15.75" customHeight="1" x14ac:dyDescent="0.25">
      <c r="A4115" s="39"/>
    </row>
    <row r="4116" spans="1:1" ht="15.75" customHeight="1" x14ac:dyDescent="0.25">
      <c r="A4116" s="39"/>
    </row>
    <row r="4117" spans="1:1" ht="15.75" customHeight="1" x14ac:dyDescent="0.25">
      <c r="A4117" s="39"/>
    </row>
    <row r="4118" spans="1:1" ht="15.75" customHeight="1" x14ac:dyDescent="0.25">
      <c r="A4118" s="39"/>
    </row>
    <row r="4119" spans="1:1" ht="15.75" customHeight="1" x14ac:dyDescent="0.25">
      <c r="A4119" s="39"/>
    </row>
    <row r="4120" spans="1:1" ht="15.75" customHeight="1" x14ac:dyDescent="0.25">
      <c r="A4120" s="39"/>
    </row>
    <row r="4121" spans="1:1" ht="15.75" customHeight="1" x14ac:dyDescent="0.25">
      <c r="A4121" s="39"/>
    </row>
    <row r="4122" spans="1:1" ht="15.75" customHeight="1" x14ac:dyDescent="0.25">
      <c r="A4122" s="39"/>
    </row>
    <row r="4123" spans="1:1" ht="15.75" customHeight="1" x14ac:dyDescent="0.25">
      <c r="A4123" s="39"/>
    </row>
    <row r="4124" spans="1:1" ht="15.75" customHeight="1" x14ac:dyDescent="0.25">
      <c r="A4124" s="39"/>
    </row>
    <row r="4125" spans="1:1" ht="15.75" customHeight="1" x14ac:dyDescent="0.25">
      <c r="A4125" s="39"/>
    </row>
    <row r="4126" spans="1:1" ht="15.75" customHeight="1" x14ac:dyDescent="0.25">
      <c r="A4126" s="39"/>
    </row>
    <row r="4127" spans="1:1" ht="15.75" customHeight="1" x14ac:dyDescent="0.25">
      <c r="A4127" s="39"/>
    </row>
    <row r="4128" spans="1:1" ht="15.75" customHeight="1" x14ac:dyDescent="0.25">
      <c r="A4128" s="39"/>
    </row>
    <row r="4129" spans="1:1" ht="15.75" customHeight="1" x14ac:dyDescent="0.25">
      <c r="A4129" s="39"/>
    </row>
    <row r="4130" spans="1:1" ht="15.75" customHeight="1" x14ac:dyDescent="0.25">
      <c r="A4130" s="39"/>
    </row>
    <row r="4131" spans="1:1" ht="15.75" customHeight="1" x14ac:dyDescent="0.25">
      <c r="A4131" s="39"/>
    </row>
    <row r="4132" spans="1:1" ht="15.75" customHeight="1" x14ac:dyDescent="0.25">
      <c r="A4132" s="39"/>
    </row>
    <row r="4133" spans="1:1" ht="15.75" customHeight="1" x14ac:dyDescent="0.25">
      <c r="A4133" s="39"/>
    </row>
    <row r="4134" spans="1:1" ht="15.75" customHeight="1" x14ac:dyDescent="0.25">
      <c r="A4134" s="39"/>
    </row>
    <row r="4135" spans="1:1" ht="15.75" customHeight="1" x14ac:dyDescent="0.25">
      <c r="A4135" s="39"/>
    </row>
    <row r="4136" spans="1:1" ht="15.75" customHeight="1" x14ac:dyDescent="0.25">
      <c r="A4136" s="39"/>
    </row>
    <row r="4137" spans="1:1" ht="15.75" customHeight="1" x14ac:dyDescent="0.25">
      <c r="A4137" s="39"/>
    </row>
    <row r="4138" spans="1:1" ht="15.75" customHeight="1" x14ac:dyDescent="0.25">
      <c r="A4138" s="39"/>
    </row>
    <row r="4139" spans="1:1" ht="15.75" customHeight="1" x14ac:dyDescent="0.25">
      <c r="A4139" s="39"/>
    </row>
    <row r="4140" spans="1:1" ht="15.75" customHeight="1" x14ac:dyDescent="0.25">
      <c r="A4140" s="39"/>
    </row>
    <row r="4141" spans="1:1" ht="15.75" customHeight="1" x14ac:dyDescent="0.25">
      <c r="A4141" s="39"/>
    </row>
    <row r="4142" spans="1:1" ht="15.75" customHeight="1" x14ac:dyDescent="0.25">
      <c r="A4142" s="39"/>
    </row>
    <row r="4143" spans="1:1" ht="15.75" customHeight="1" x14ac:dyDescent="0.25">
      <c r="A4143" s="39"/>
    </row>
    <row r="4144" spans="1:1" ht="15.75" customHeight="1" x14ac:dyDescent="0.25">
      <c r="A4144" s="39"/>
    </row>
    <row r="4145" spans="1:1" ht="15.75" customHeight="1" x14ac:dyDescent="0.25">
      <c r="A4145" s="39"/>
    </row>
    <row r="4146" spans="1:1" ht="15.75" customHeight="1" x14ac:dyDescent="0.25">
      <c r="A4146" s="39"/>
    </row>
    <row r="4147" spans="1:1" ht="15.75" customHeight="1" x14ac:dyDescent="0.25">
      <c r="A4147" s="39"/>
    </row>
    <row r="4148" spans="1:1" ht="15.75" customHeight="1" x14ac:dyDescent="0.25">
      <c r="A4148" s="39"/>
    </row>
    <row r="4149" spans="1:1" ht="15.75" customHeight="1" x14ac:dyDescent="0.25">
      <c r="A4149" s="39"/>
    </row>
    <row r="4150" spans="1:1" ht="15.75" customHeight="1" x14ac:dyDescent="0.25">
      <c r="A4150" s="39"/>
    </row>
    <row r="4151" spans="1:1" ht="15.75" customHeight="1" x14ac:dyDescent="0.25">
      <c r="A4151" s="39"/>
    </row>
    <row r="4152" spans="1:1" ht="15.75" customHeight="1" x14ac:dyDescent="0.25">
      <c r="A4152" s="39"/>
    </row>
    <row r="4153" spans="1:1" ht="15.75" customHeight="1" x14ac:dyDescent="0.25">
      <c r="A4153" s="39"/>
    </row>
    <row r="4154" spans="1:1" ht="15.75" customHeight="1" x14ac:dyDescent="0.25">
      <c r="A4154" s="39"/>
    </row>
    <row r="4155" spans="1:1" ht="15.75" customHeight="1" x14ac:dyDescent="0.25">
      <c r="A4155" s="39"/>
    </row>
    <row r="4156" spans="1:1" ht="15.75" customHeight="1" x14ac:dyDescent="0.25">
      <c r="A4156" s="39"/>
    </row>
    <row r="4157" spans="1:1" ht="15.75" customHeight="1" x14ac:dyDescent="0.25">
      <c r="A4157" s="39"/>
    </row>
    <row r="4158" spans="1:1" ht="15.75" customHeight="1" x14ac:dyDescent="0.25">
      <c r="A4158" s="39"/>
    </row>
    <row r="4159" spans="1:1" ht="15.75" customHeight="1" x14ac:dyDescent="0.25">
      <c r="A4159" s="39"/>
    </row>
    <row r="4160" spans="1:1" ht="15.75" customHeight="1" x14ac:dyDescent="0.25">
      <c r="A4160" s="39"/>
    </row>
    <row r="4161" spans="1:1" ht="15.75" customHeight="1" x14ac:dyDescent="0.25">
      <c r="A4161" s="39"/>
    </row>
    <row r="4162" spans="1:1" ht="15.75" customHeight="1" x14ac:dyDescent="0.25">
      <c r="A4162" s="39"/>
    </row>
    <row r="4163" spans="1:1" ht="15.75" customHeight="1" x14ac:dyDescent="0.25">
      <c r="A4163" s="39"/>
    </row>
    <row r="4164" spans="1:1" ht="15.75" customHeight="1" x14ac:dyDescent="0.25">
      <c r="A4164" s="39"/>
    </row>
    <row r="4165" spans="1:1" ht="15.75" customHeight="1" x14ac:dyDescent="0.25">
      <c r="A4165" s="39"/>
    </row>
    <row r="4166" spans="1:1" ht="15.75" customHeight="1" x14ac:dyDescent="0.25">
      <c r="A4166" s="39"/>
    </row>
    <row r="4167" spans="1:1" ht="15.75" customHeight="1" x14ac:dyDescent="0.25">
      <c r="A4167" s="39"/>
    </row>
    <row r="4168" spans="1:1" ht="15.75" customHeight="1" x14ac:dyDescent="0.25">
      <c r="A4168" s="39"/>
    </row>
    <row r="4169" spans="1:1" ht="15.75" customHeight="1" x14ac:dyDescent="0.25">
      <c r="A4169" s="39"/>
    </row>
    <row r="4170" spans="1:1" ht="15.75" customHeight="1" x14ac:dyDescent="0.25">
      <c r="A4170" s="39"/>
    </row>
    <row r="4171" spans="1:1" ht="15.75" customHeight="1" x14ac:dyDescent="0.25">
      <c r="A4171" s="39"/>
    </row>
    <row r="4172" spans="1:1" ht="15.75" customHeight="1" x14ac:dyDescent="0.25">
      <c r="A4172" s="39"/>
    </row>
    <row r="4173" spans="1:1" ht="15.75" customHeight="1" x14ac:dyDescent="0.25">
      <c r="A4173" s="39"/>
    </row>
    <row r="4174" spans="1:1" ht="15.75" customHeight="1" x14ac:dyDescent="0.25">
      <c r="A4174" s="39"/>
    </row>
    <row r="4175" spans="1:1" ht="15.75" customHeight="1" x14ac:dyDescent="0.25">
      <c r="A4175" s="39"/>
    </row>
    <row r="4176" spans="1:1" ht="15.75" customHeight="1" x14ac:dyDescent="0.25">
      <c r="A4176" s="39"/>
    </row>
    <row r="4177" spans="1:1" ht="15.75" customHeight="1" x14ac:dyDescent="0.25">
      <c r="A4177" s="39"/>
    </row>
    <row r="4178" spans="1:1" ht="15.75" customHeight="1" x14ac:dyDescent="0.25">
      <c r="A4178" s="39"/>
    </row>
    <row r="4179" spans="1:1" ht="15.75" customHeight="1" x14ac:dyDescent="0.25">
      <c r="A4179" s="39"/>
    </row>
    <row r="4180" spans="1:1" ht="15.75" customHeight="1" x14ac:dyDescent="0.25">
      <c r="A4180" s="39"/>
    </row>
    <row r="4181" spans="1:1" ht="15.75" customHeight="1" x14ac:dyDescent="0.25">
      <c r="A4181" s="39"/>
    </row>
    <row r="4182" spans="1:1" ht="15.75" customHeight="1" x14ac:dyDescent="0.25">
      <c r="A4182" s="39"/>
    </row>
    <row r="4183" spans="1:1" ht="15.75" customHeight="1" x14ac:dyDescent="0.25">
      <c r="A4183" s="39"/>
    </row>
    <row r="4184" spans="1:1" ht="15.75" customHeight="1" x14ac:dyDescent="0.25">
      <c r="A4184" s="39"/>
    </row>
    <row r="4185" spans="1:1" ht="15.75" customHeight="1" x14ac:dyDescent="0.25">
      <c r="A4185" s="39"/>
    </row>
    <row r="4186" spans="1:1" ht="15.75" customHeight="1" x14ac:dyDescent="0.25">
      <c r="A4186" s="39"/>
    </row>
    <row r="4187" spans="1:1" ht="15.75" customHeight="1" x14ac:dyDescent="0.25">
      <c r="A4187" s="39"/>
    </row>
    <row r="4188" spans="1:1" ht="15.75" customHeight="1" x14ac:dyDescent="0.25">
      <c r="A4188" s="39"/>
    </row>
    <row r="4189" spans="1:1" ht="15.75" customHeight="1" x14ac:dyDescent="0.25">
      <c r="A4189" s="39"/>
    </row>
    <row r="4190" spans="1:1" ht="15.75" customHeight="1" x14ac:dyDescent="0.25">
      <c r="A4190" s="39"/>
    </row>
    <row r="4191" spans="1:1" ht="15.75" customHeight="1" x14ac:dyDescent="0.25">
      <c r="A4191" s="39"/>
    </row>
    <row r="4192" spans="1:1" ht="15.75" customHeight="1" x14ac:dyDescent="0.25">
      <c r="A4192" s="39"/>
    </row>
    <row r="4193" spans="1:1" ht="15.75" customHeight="1" x14ac:dyDescent="0.25">
      <c r="A4193" s="39"/>
    </row>
    <row r="4194" spans="1:1" ht="15.75" customHeight="1" x14ac:dyDescent="0.25">
      <c r="A4194" s="39"/>
    </row>
    <row r="4195" spans="1:1" ht="15.75" customHeight="1" x14ac:dyDescent="0.25">
      <c r="A4195" s="39"/>
    </row>
    <row r="4196" spans="1:1" ht="15.75" customHeight="1" x14ac:dyDescent="0.25">
      <c r="A4196" s="39"/>
    </row>
    <row r="4197" spans="1:1" ht="15.75" customHeight="1" x14ac:dyDescent="0.25">
      <c r="A4197" s="39"/>
    </row>
    <row r="4198" spans="1:1" ht="15.75" customHeight="1" x14ac:dyDescent="0.25">
      <c r="A4198" s="39"/>
    </row>
    <row r="4199" spans="1:1" ht="15.75" customHeight="1" x14ac:dyDescent="0.25">
      <c r="A4199" s="39"/>
    </row>
    <row r="4200" spans="1:1" ht="15.75" customHeight="1" x14ac:dyDescent="0.25">
      <c r="A4200" s="39"/>
    </row>
    <row r="4201" spans="1:1" ht="15.75" customHeight="1" x14ac:dyDescent="0.25">
      <c r="A4201" s="39"/>
    </row>
    <row r="4202" spans="1:1" ht="15.75" customHeight="1" x14ac:dyDescent="0.25">
      <c r="A4202" s="39"/>
    </row>
    <row r="4203" spans="1:1" ht="15.75" customHeight="1" x14ac:dyDescent="0.25">
      <c r="A4203" s="39"/>
    </row>
    <row r="4204" spans="1:1" ht="15.75" customHeight="1" x14ac:dyDescent="0.25">
      <c r="A4204" s="39"/>
    </row>
    <row r="4205" spans="1:1" ht="15.75" customHeight="1" x14ac:dyDescent="0.25">
      <c r="A4205" s="39"/>
    </row>
    <row r="4206" spans="1:1" ht="15.75" customHeight="1" x14ac:dyDescent="0.25">
      <c r="A4206" s="39"/>
    </row>
    <row r="4207" spans="1:1" ht="15.75" customHeight="1" x14ac:dyDescent="0.25">
      <c r="A4207" s="39"/>
    </row>
    <row r="4208" spans="1:1" ht="15.75" customHeight="1" x14ac:dyDescent="0.25">
      <c r="A4208" s="39"/>
    </row>
    <row r="4209" spans="1:1" ht="15.75" customHeight="1" x14ac:dyDescent="0.25">
      <c r="A4209" s="39"/>
    </row>
    <row r="4210" spans="1:1" ht="15.75" customHeight="1" x14ac:dyDescent="0.25">
      <c r="A4210" s="39"/>
    </row>
    <row r="4211" spans="1:1" ht="15.75" customHeight="1" x14ac:dyDescent="0.25">
      <c r="A4211" s="39"/>
    </row>
    <row r="4212" spans="1:1" ht="15.75" customHeight="1" x14ac:dyDescent="0.25">
      <c r="A4212" s="39"/>
    </row>
    <row r="4213" spans="1:1" ht="15.75" customHeight="1" x14ac:dyDescent="0.25">
      <c r="A4213" s="39"/>
    </row>
    <row r="4214" spans="1:1" ht="15.75" customHeight="1" x14ac:dyDescent="0.25">
      <c r="A4214" s="39"/>
    </row>
    <row r="4215" spans="1:1" ht="15.75" customHeight="1" x14ac:dyDescent="0.25">
      <c r="A4215" s="39"/>
    </row>
    <row r="4216" spans="1:1" ht="15.75" customHeight="1" x14ac:dyDescent="0.25">
      <c r="A4216" s="39"/>
    </row>
    <row r="4217" spans="1:1" ht="15.75" customHeight="1" x14ac:dyDescent="0.25">
      <c r="A4217" s="39"/>
    </row>
    <row r="4218" spans="1:1" ht="15.75" customHeight="1" x14ac:dyDescent="0.25">
      <c r="A4218" s="39"/>
    </row>
    <row r="4219" spans="1:1" ht="15.75" customHeight="1" x14ac:dyDescent="0.25">
      <c r="A4219" s="39"/>
    </row>
    <row r="4220" spans="1:1" ht="15.75" customHeight="1" x14ac:dyDescent="0.25">
      <c r="A4220" s="39"/>
    </row>
    <row r="4221" spans="1:1" ht="15.75" customHeight="1" x14ac:dyDescent="0.25">
      <c r="A4221" s="39"/>
    </row>
    <row r="4222" spans="1:1" ht="15.75" customHeight="1" x14ac:dyDescent="0.25">
      <c r="A4222" s="39"/>
    </row>
    <row r="4223" spans="1:1" ht="15.75" customHeight="1" x14ac:dyDescent="0.25">
      <c r="A4223" s="39"/>
    </row>
    <row r="4224" spans="1:1" ht="15.75" customHeight="1" x14ac:dyDescent="0.25">
      <c r="A4224" s="39"/>
    </row>
    <row r="4225" spans="1:1" ht="15.75" customHeight="1" x14ac:dyDescent="0.25">
      <c r="A4225" s="39"/>
    </row>
    <row r="4226" spans="1:1" ht="15.75" customHeight="1" x14ac:dyDescent="0.25">
      <c r="A4226" s="39"/>
    </row>
    <row r="4227" spans="1:1" ht="15.75" customHeight="1" x14ac:dyDescent="0.25">
      <c r="A4227" s="39"/>
    </row>
    <row r="4228" spans="1:1" ht="15.75" customHeight="1" x14ac:dyDescent="0.25">
      <c r="A4228" s="39"/>
    </row>
    <row r="4229" spans="1:1" ht="15.75" customHeight="1" x14ac:dyDescent="0.25">
      <c r="A4229" s="39"/>
    </row>
    <row r="4230" spans="1:1" ht="15.75" customHeight="1" x14ac:dyDescent="0.25">
      <c r="A4230" s="39"/>
    </row>
    <row r="4231" spans="1:1" ht="15.75" customHeight="1" x14ac:dyDescent="0.25">
      <c r="A4231" s="39"/>
    </row>
    <row r="4232" spans="1:1" ht="15.75" customHeight="1" x14ac:dyDescent="0.25">
      <c r="A4232" s="39"/>
    </row>
    <row r="4233" spans="1:1" ht="15.75" customHeight="1" x14ac:dyDescent="0.25">
      <c r="A4233" s="39"/>
    </row>
    <row r="4234" spans="1:1" ht="15.75" customHeight="1" x14ac:dyDescent="0.25">
      <c r="A4234" s="39"/>
    </row>
    <row r="4235" spans="1:1" ht="15.75" customHeight="1" x14ac:dyDescent="0.25">
      <c r="A4235" s="39"/>
    </row>
    <row r="4236" spans="1:1" ht="15.75" customHeight="1" x14ac:dyDescent="0.25">
      <c r="A4236" s="39"/>
    </row>
    <row r="4237" spans="1:1" ht="15.75" customHeight="1" x14ac:dyDescent="0.25">
      <c r="A4237" s="39"/>
    </row>
    <row r="4238" spans="1:1" ht="15.75" customHeight="1" x14ac:dyDescent="0.25">
      <c r="A4238" s="39"/>
    </row>
    <row r="4239" spans="1:1" ht="15.75" customHeight="1" x14ac:dyDescent="0.25">
      <c r="A4239" s="39"/>
    </row>
    <row r="4240" spans="1:1" ht="15.75" customHeight="1" x14ac:dyDescent="0.25">
      <c r="A4240" s="39"/>
    </row>
    <row r="4241" spans="1:1" ht="15.75" customHeight="1" x14ac:dyDescent="0.25">
      <c r="A4241" s="39"/>
    </row>
    <row r="4242" spans="1:1" ht="15.75" customHeight="1" x14ac:dyDescent="0.25">
      <c r="A4242" s="39"/>
    </row>
    <row r="4243" spans="1:1" ht="15.75" customHeight="1" x14ac:dyDescent="0.25">
      <c r="A4243" s="39"/>
    </row>
    <row r="4244" spans="1:1" ht="15.75" customHeight="1" x14ac:dyDescent="0.25">
      <c r="A4244" s="39"/>
    </row>
    <row r="4245" spans="1:1" ht="15.75" customHeight="1" x14ac:dyDescent="0.25">
      <c r="A4245" s="39"/>
    </row>
    <row r="4246" spans="1:1" ht="15.75" customHeight="1" x14ac:dyDescent="0.25">
      <c r="A4246" s="39"/>
    </row>
    <row r="4247" spans="1:1" ht="15.75" customHeight="1" x14ac:dyDescent="0.25">
      <c r="A4247" s="39"/>
    </row>
    <row r="4248" spans="1:1" ht="15.75" customHeight="1" x14ac:dyDescent="0.25">
      <c r="A4248" s="39"/>
    </row>
    <row r="4249" spans="1:1" ht="15.75" customHeight="1" x14ac:dyDescent="0.25">
      <c r="A4249" s="39"/>
    </row>
    <row r="4250" spans="1:1" ht="15.75" customHeight="1" x14ac:dyDescent="0.25">
      <c r="A4250" s="39"/>
    </row>
    <row r="4251" spans="1:1" ht="15.75" customHeight="1" x14ac:dyDescent="0.25">
      <c r="A4251" s="39"/>
    </row>
    <row r="4252" spans="1:1" ht="15.75" customHeight="1" x14ac:dyDescent="0.25">
      <c r="A4252" s="39"/>
    </row>
    <row r="4253" spans="1:1" ht="15.75" customHeight="1" x14ac:dyDescent="0.25">
      <c r="A4253" s="39"/>
    </row>
    <row r="4254" spans="1:1" ht="15.75" customHeight="1" x14ac:dyDescent="0.25">
      <c r="A4254" s="39"/>
    </row>
    <row r="4255" spans="1:1" ht="15.75" customHeight="1" x14ac:dyDescent="0.25">
      <c r="A4255" s="39"/>
    </row>
    <row r="4256" spans="1:1" ht="15.75" customHeight="1" x14ac:dyDescent="0.25">
      <c r="A4256" s="39"/>
    </row>
    <row r="4257" spans="1:1" ht="15.75" customHeight="1" x14ac:dyDescent="0.25">
      <c r="A4257" s="39"/>
    </row>
    <row r="4258" spans="1:1" ht="15.75" customHeight="1" x14ac:dyDescent="0.25">
      <c r="A4258" s="39"/>
    </row>
    <row r="4259" spans="1:1" ht="15.75" customHeight="1" x14ac:dyDescent="0.25">
      <c r="A4259" s="39"/>
    </row>
    <row r="4260" spans="1:1" ht="15.75" customHeight="1" x14ac:dyDescent="0.25">
      <c r="A4260" s="39"/>
    </row>
    <row r="4261" spans="1:1" ht="15.75" customHeight="1" x14ac:dyDescent="0.25">
      <c r="A4261" s="39"/>
    </row>
    <row r="4262" spans="1:1" ht="15.75" customHeight="1" x14ac:dyDescent="0.25">
      <c r="A4262" s="39"/>
    </row>
    <row r="4263" spans="1:1" ht="15.75" customHeight="1" x14ac:dyDescent="0.25">
      <c r="A4263" s="39"/>
    </row>
    <row r="4264" spans="1:1" ht="15.75" customHeight="1" x14ac:dyDescent="0.25">
      <c r="A4264" s="39"/>
    </row>
    <row r="4265" spans="1:1" ht="15.75" customHeight="1" x14ac:dyDescent="0.25">
      <c r="A4265" s="39"/>
    </row>
    <row r="4266" spans="1:1" ht="15.75" customHeight="1" x14ac:dyDescent="0.25">
      <c r="A4266" s="39"/>
    </row>
    <row r="4267" spans="1:1" ht="15.75" customHeight="1" x14ac:dyDescent="0.25">
      <c r="A4267" s="39"/>
    </row>
    <row r="4268" spans="1:1" ht="15.75" customHeight="1" x14ac:dyDescent="0.25">
      <c r="A4268" s="39"/>
    </row>
    <row r="4269" spans="1:1" ht="15.75" customHeight="1" x14ac:dyDescent="0.25">
      <c r="A4269" s="39"/>
    </row>
    <row r="4270" spans="1:1" ht="15.75" customHeight="1" x14ac:dyDescent="0.25">
      <c r="A4270" s="39"/>
    </row>
    <row r="4271" spans="1:1" ht="15.75" customHeight="1" x14ac:dyDescent="0.25">
      <c r="A4271" s="39"/>
    </row>
    <row r="4272" spans="1:1" ht="15.75" customHeight="1" x14ac:dyDescent="0.25">
      <c r="A4272" s="39"/>
    </row>
    <row r="4273" spans="1:1" ht="15.75" customHeight="1" x14ac:dyDescent="0.25">
      <c r="A4273" s="39"/>
    </row>
    <row r="4274" spans="1:1" ht="15.75" customHeight="1" x14ac:dyDescent="0.25">
      <c r="A4274" s="39"/>
    </row>
    <row r="4275" spans="1:1" ht="15.75" customHeight="1" x14ac:dyDescent="0.25">
      <c r="A4275" s="39"/>
    </row>
    <row r="4276" spans="1:1" ht="15.75" customHeight="1" x14ac:dyDescent="0.25">
      <c r="A4276" s="39"/>
    </row>
    <row r="4277" spans="1:1" ht="15.75" customHeight="1" x14ac:dyDescent="0.25">
      <c r="A4277" s="39"/>
    </row>
    <row r="4278" spans="1:1" ht="15.75" customHeight="1" x14ac:dyDescent="0.25">
      <c r="A4278" s="39"/>
    </row>
    <row r="4279" spans="1:1" ht="15.75" customHeight="1" x14ac:dyDescent="0.25">
      <c r="A4279" s="39"/>
    </row>
    <row r="4280" spans="1:1" ht="15.75" customHeight="1" x14ac:dyDescent="0.25">
      <c r="A4280" s="39"/>
    </row>
    <row r="4281" spans="1:1" ht="15.75" customHeight="1" x14ac:dyDescent="0.25">
      <c r="A4281" s="39"/>
    </row>
    <row r="4282" spans="1:1" ht="15.75" customHeight="1" x14ac:dyDescent="0.25">
      <c r="A4282" s="39"/>
    </row>
    <row r="4283" spans="1:1" ht="15.75" customHeight="1" x14ac:dyDescent="0.25">
      <c r="A4283" s="39"/>
    </row>
    <row r="4284" spans="1:1" ht="15.75" customHeight="1" x14ac:dyDescent="0.25">
      <c r="A4284" s="39"/>
    </row>
    <row r="4285" spans="1:1" ht="15.75" customHeight="1" x14ac:dyDescent="0.25">
      <c r="A4285" s="39"/>
    </row>
    <row r="4286" spans="1:1" ht="15.75" customHeight="1" x14ac:dyDescent="0.25">
      <c r="A4286" s="39"/>
    </row>
    <row r="4287" spans="1:1" ht="15.75" customHeight="1" x14ac:dyDescent="0.25">
      <c r="A4287" s="39"/>
    </row>
    <row r="4288" spans="1:1" ht="15.75" customHeight="1" x14ac:dyDescent="0.25">
      <c r="A4288" s="39"/>
    </row>
    <row r="4289" spans="1:1" ht="15.75" customHeight="1" x14ac:dyDescent="0.25">
      <c r="A4289" s="39"/>
    </row>
    <row r="4290" spans="1:1" ht="15.75" customHeight="1" x14ac:dyDescent="0.25">
      <c r="A4290" s="39"/>
    </row>
    <row r="4291" spans="1:1" ht="15.75" customHeight="1" x14ac:dyDescent="0.25">
      <c r="A4291" s="39"/>
    </row>
    <row r="4292" spans="1:1" ht="15.75" customHeight="1" x14ac:dyDescent="0.25">
      <c r="A4292" s="39"/>
    </row>
    <row r="4293" spans="1:1" ht="15.75" customHeight="1" x14ac:dyDescent="0.25">
      <c r="A4293" s="39"/>
    </row>
    <row r="4294" spans="1:1" ht="15.75" customHeight="1" x14ac:dyDescent="0.25">
      <c r="A4294" s="39"/>
    </row>
    <row r="4295" spans="1:1" ht="15.75" customHeight="1" x14ac:dyDescent="0.25">
      <c r="A4295" s="39"/>
    </row>
    <row r="4296" spans="1:1" ht="15.75" customHeight="1" x14ac:dyDescent="0.25">
      <c r="A4296" s="39"/>
    </row>
    <row r="4297" spans="1:1" ht="15.75" customHeight="1" x14ac:dyDescent="0.25">
      <c r="A4297" s="39"/>
    </row>
    <row r="4298" spans="1:1" ht="15.75" customHeight="1" x14ac:dyDescent="0.25">
      <c r="A4298" s="39"/>
    </row>
    <row r="4299" spans="1:1" ht="15.75" customHeight="1" x14ac:dyDescent="0.25">
      <c r="A4299" s="39"/>
    </row>
    <row r="4300" spans="1:1" ht="15.75" customHeight="1" x14ac:dyDescent="0.25">
      <c r="A4300" s="39"/>
    </row>
    <row r="4301" spans="1:1" ht="15.75" customHeight="1" x14ac:dyDescent="0.25">
      <c r="A4301" s="39"/>
    </row>
    <row r="4302" spans="1:1" ht="15.75" customHeight="1" x14ac:dyDescent="0.25">
      <c r="A4302" s="39"/>
    </row>
    <row r="4303" spans="1:1" ht="15.75" customHeight="1" x14ac:dyDescent="0.25">
      <c r="A4303" s="39"/>
    </row>
    <row r="4304" spans="1:1" ht="15.75" customHeight="1" x14ac:dyDescent="0.25">
      <c r="A4304" s="39"/>
    </row>
    <row r="4305" spans="1:1" ht="15.75" customHeight="1" x14ac:dyDescent="0.25">
      <c r="A4305" s="39"/>
    </row>
    <row r="4306" spans="1:1" ht="15.75" customHeight="1" x14ac:dyDescent="0.25">
      <c r="A4306" s="39"/>
    </row>
    <row r="4307" spans="1:1" ht="15.75" customHeight="1" x14ac:dyDescent="0.25">
      <c r="A4307" s="39"/>
    </row>
    <row r="4308" spans="1:1" ht="15.75" customHeight="1" x14ac:dyDescent="0.25">
      <c r="A4308" s="39"/>
    </row>
    <row r="4309" spans="1:1" ht="15.75" customHeight="1" x14ac:dyDescent="0.25">
      <c r="A4309" s="39"/>
    </row>
    <row r="4310" spans="1:1" ht="15.75" customHeight="1" x14ac:dyDescent="0.25">
      <c r="A4310" s="39"/>
    </row>
    <row r="4311" spans="1:1" ht="15.75" customHeight="1" x14ac:dyDescent="0.25">
      <c r="A4311" s="39"/>
    </row>
    <row r="4312" spans="1:1" ht="15.75" customHeight="1" x14ac:dyDescent="0.25">
      <c r="A4312" s="39"/>
    </row>
    <row r="4313" spans="1:1" ht="15.75" customHeight="1" x14ac:dyDescent="0.25">
      <c r="A4313" s="39"/>
    </row>
    <row r="4314" spans="1:1" ht="15.75" customHeight="1" x14ac:dyDescent="0.25">
      <c r="A4314" s="39"/>
    </row>
    <row r="4315" spans="1:1" ht="15.75" customHeight="1" x14ac:dyDescent="0.25">
      <c r="A4315" s="39"/>
    </row>
    <row r="4316" spans="1:1" ht="15.75" customHeight="1" x14ac:dyDescent="0.25">
      <c r="A4316" s="39"/>
    </row>
    <row r="4317" spans="1:1" ht="15.75" customHeight="1" x14ac:dyDescent="0.25">
      <c r="A4317" s="39"/>
    </row>
    <row r="4318" spans="1:1" ht="15.75" customHeight="1" x14ac:dyDescent="0.25">
      <c r="A4318" s="39"/>
    </row>
    <row r="4319" spans="1:1" ht="15.75" customHeight="1" x14ac:dyDescent="0.25">
      <c r="A4319" s="39"/>
    </row>
    <row r="4320" spans="1:1" ht="15.75" customHeight="1" x14ac:dyDescent="0.25">
      <c r="A4320" s="39"/>
    </row>
    <row r="4321" spans="1:1" ht="15.75" customHeight="1" x14ac:dyDescent="0.25">
      <c r="A4321" s="39"/>
    </row>
    <row r="4322" spans="1:1" ht="15.75" customHeight="1" x14ac:dyDescent="0.25">
      <c r="A4322" s="39"/>
    </row>
    <row r="4323" spans="1:1" ht="15.75" customHeight="1" x14ac:dyDescent="0.25">
      <c r="A4323" s="39"/>
    </row>
    <row r="4324" spans="1:1" ht="15.75" customHeight="1" x14ac:dyDescent="0.25">
      <c r="A4324" s="39"/>
    </row>
    <row r="4325" spans="1:1" ht="15.75" customHeight="1" x14ac:dyDescent="0.25">
      <c r="A4325" s="39"/>
    </row>
    <row r="4326" spans="1:1" ht="15.75" customHeight="1" x14ac:dyDescent="0.25">
      <c r="A4326" s="39"/>
    </row>
    <row r="4327" spans="1:1" ht="15.75" customHeight="1" x14ac:dyDescent="0.25">
      <c r="A4327" s="39"/>
    </row>
    <row r="4328" spans="1:1" ht="15.75" customHeight="1" x14ac:dyDescent="0.25">
      <c r="A4328" s="39"/>
    </row>
    <row r="4329" spans="1:1" ht="15.75" customHeight="1" x14ac:dyDescent="0.25">
      <c r="A4329" s="39"/>
    </row>
    <row r="4330" spans="1:1" ht="15.75" customHeight="1" x14ac:dyDescent="0.25">
      <c r="A4330" s="39"/>
    </row>
    <row r="4331" spans="1:1" ht="15.75" customHeight="1" x14ac:dyDescent="0.25">
      <c r="A4331" s="39"/>
    </row>
    <row r="4332" spans="1:1" ht="15.75" customHeight="1" x14ac:dyDescent="0.25">
      <c r="A4332" s="39"/>
    </row>
    <row r="4333" spans="1:1" ht="15.75" customHeight="1" x14ac:dyDescent="0.25">
      <c r="A4333" s="39"/>
    </row>
    <row r="4334" spans="1:1" ht="15.75" customHeight="1" x14ac:dyDescent="0.25">
      <c r="A4334" s="39"/>
    </row>
    <row r="4335" spans="1:1" ht="15.75" customHeight="1" x14ac:dyDescent="0.25">
      <c r="A4335" s="39"/>
    </row>
    <row r="4336" spans="1:1" ht="15.75" customHeight="1" x14ac:dyDescent="0.25">
      <c r="A4336" s="39"/>
    </row>
    <row r="4337" spans="1:1" ht="15.75" customHeight="1" x14ac:dyDescent="0.25">
      <c r="A4337" s="39"/>
    </row>
    <row r="4338" spans="1:1" ht="15.75" customHeight="1" x14ac:dyDescent="0.25">
      <c r="A4338" s="39"/>
    </row>
    <row r="4339" spans="1:1" ht="15.75" customHeight="1" x14ac:dyDescent="0.25">
      <c r="A4339" s="39"/>
    </row>
    <row r="4340" spans="1:1" ht="15.75" customHeight="1" x14ac:dyDescent="0.25">
      <c r="A4340" s="39"/>
    </row>
    <row r="4341" spans="1:1" ht="15.75" customHeight="1" x14ac:dyDescent="0.25">
      <c r="A4341" s="39"/>
    </row>
    <row r="4342" spans="1:1" ht="15.75" customHeight="1" x14ac:dyDescent="0.25">
      <c r="A4342" s="39"/>
    </row>
    <row r="4343" spans="1:1" ht="15.75" customHeight="1" x14ac:dyDescent="0.25">
      <c r="A4343" s="39"/>
    </row>
    <row r="4344" spans="1:1" ht="15.75" customHeight="1" x14ac:dyDescent="0.25">
      <c r="A4344" s="39"/>
    </row>
    <row r="4345" spans="1:1" ht="15.75" customHeight="1" x14ac:dyDescent="0.25">
      <c r="A4345" s="39"/>
    </row>
    <row r="4346" spans="1:1" ht="15.75" customHeight="1" x14ac:dyDescent="0.25">
      <c r="A4346" s="39"/>
    </row>
    <row r="4347" spans="1:1" ht="15.75" customHeight="1" x14ac:dyDescent="0.25">
      <c r="A4347" s="39"/>
    </row>
    <row r="4348" spans="1:1" ht="15.75" customHeight="1" x14ac:dyDescent="0.25">
      <c r="A4348" s="39"/>
    </row>
    <row r="4349" spans="1:1" ht="15.75" customHeight="1" x14ac:dyDescent="0.25">
      <c r="A4349" s="39"/>
    </row>
    <row r="4350" spans="1:1" ht="15.75" customHeight="1" x14ac:dyDescent="0.25">
      <c r="A4350" s="39"/>
    </row>
    <row r="4351" spans="1:1" ht="15.75" customHeight="1" x14ac:dyDescent="0.25">
      <c r="A4351" s="39"/>
    </row>
    <row r="4352" spans="1:1" ht="15.75" customHeight="1" x14ac:dyDescent="0.25">
      <c r="A4352" s="39"/>
    </row>
    <row r="4353" spans="1:1" ht="15.75" customHeight="1" x14ac:dyDescent="0.25">
      <c r="A4353" s="39"/>
    </row>
    <row r="4354" spans="1:1" ht="15.75" customHeight="1" x14ac:dyDescent="0.25">
      <c r="A4354" s="39"/>
    </row>
    <row r="4355" spans="1:1" ht="15.75" customHeight="1" x14ac:dyDescent="0.25">
      <c r="A4355" s="39"/>
    </row>
    <row r="4356" spans="1:1" ht="15.75" customHeight="1" x14ac:dyDescent="0.25">
      <c r="A4356" s="39"/>
    </row>
    <row r="4357" spans="1:1" ht="15.75" customHeight="1" x14ac:dyDescent="0.25">
      <c r="A4357" s="39"/>
    </row>
    <row r="4358" spans="1:1" ht="15.75" customHeight="1" x14ac:dyDescent="0.25">
      <c r="A4358" s="39"/>
    </row>
    <row r="4359" spans="1:1" ht="15.75" customHeight="1" x14ac:dyDescent="0.25">
      <c r="A4359" s="39"/>
    </row>
    <row r="4360" spans="1:1" ht="15.75" customHeight="1" x14ac:dyDescent="0.25">
      <c r="A4360" s="39"/>
    </row>
    <row r="4361" spans="1:1" ht="15.75" customHeight="1" x14ac:dyDescent="0.25">
      <c r="A4361" s="39"/>
    </row>
    <row r="4362" spans="1:1" ht="15.75" customHeight="1" x14ac:dyDescent="0.25">
      <c r="A4362" s="39"/>
    </row>
    <row r="4363" spans="1:1" ht="15.75" customHeight="1" x14ac:dyDescent="0.25">
      <c r="A4363" s="39"/>
    </row>
    <row r="4364" spans="1:1" ht="15.75" customHeight="1" x14ac:dyDescent="0.25">
      <c r="A4364" s="39"/>
    </row>
    <row r="4365" spans="1:1" ht="15.75" customHeight="1" x14ac:dyDescent="0.25">
      <c r="A4365" s="39"/>
    </row>
    <row r="4366" spans="1:1" ht="15.75" customHeight="1" x14ac:dyDescent="0.25">
      <c r="A4366" s="39"/>
    </row>
    <row r="4367" spans="1:1" ht="15.75" customHeight="1" x14ac:dyDescent="0.25">
      <c r="A4367" s="39"/>
    </row>
    <row r="4368" spans="1:1" ht="15.75" customHeight="1" x14ac:dyDescent="0.25">
      <c r="A4368" s="39"/>
    </row>
    <row r="4369" spans="1:1" ht="15.75" customHeight="1" x14ac:dyDescent="0.25">
      <c r="A4369" s="39"/>
    </row>
    <row r="4370" spans="1:1" ht="15.75" customHeight="1" x14ac:dyDescent="0.25">
      <c r="A4370" s="39"/>
    </row>
    <row r="4371" spans="1:1" ht="15.75" customHeight="1" x14ac:dyDescent="0.25">
      <c r="A4371" s="39"/>
    </row>
    <row r="4372" spans="1:1" ht="15.75" customHeight="1" x14ac:dyDescent="0.25">
      <c r="A4372" s="39"/>
    </row>
    <row r="4373" spans="1:1" ht="15.75" customHeight="1" x14ac:dyDescent="0.25">
      <c r="A4373" s="39"/>
    </row>
    <row r="4374" spans="1:1" ht="15.75" customHeight="1" x14ac:dyDescent="0.25">
      <c r="A4374" s="39"/>
    </row>
    <row r="4375" spans="1:1" ht="15.75" customHeight="1" x14ac:dyDescent="0.25">
      <c r="A4375" s="39"/>
    </row>
    <row r="4376" spans="1:1" ht="15.75" customHeight="1" x14ac:dyDescent="0.25">
      <c r="A4376" s="39"/>
    </row>
    <row r="4377" spans="1:1" ht="15.75" customHeight="1" x14ac:dyDescent="0.25">
      <c r="A4377" s="39"/>
    </row>
    <row r="4378" spans="1:1" ht="15.75" customHeight="1" x14ac:dyDescent="0.25">
      <c r="A4378" s="39"/>
    </row>
    <row r="4379" spans="1:1" ht="15.75" customHeight="1" x14ac:dyDescent="0.25">
      <c r="A4379" s="39"/>
    </row>
    <row r="4380" spans="1:1" ht="15.75" customHeight="1" x14ac:dyDescent="0.25">
      <c r="A4380" s="39"/>
    </row>
    <row r="4381" spans="1:1" ht="15.75" customHeight="1" x14ac:dyDescent="0.25">
      <c r="A4381" s="39"/>
    </row>
    <row r="4382" spans="1:1" ht="15.75" customHeight="1" x14ac:dyDescent="0.25">
      <c r="A4382" s="39"/>
    </row>
    <row r="4383" spans="1:1" ht="15.75" customHeight="1" x14ac:dyDescent="0.25">
      <c r="A4383" s="39"/>
    </row>
    <row r="4384" spans="1:1" ht="15.75" customHeight="1" x14ac:dyDescent="0.25">
      <c r="A4384" s="39"/>
    </row>
    <row r="4385" spans="1:1" ht="15.75" customHeight="1" x14ac:dyDescent="0.25">
      <c r="A4385" s="39"/>
    </row>
    <row r="4386" spans="1:1" ht="15.75" customHeight="1" x14ac:dyDescent="0.25">
      <c r="A4386" s="39"/>
    </row>
    <row r="4387" spans="1:1" ht="15.75" customHeight="1" x14ac:dyDescent="0.25">
      <c r="A4387" s="39"/>
    </row>
    <row r="4388" spans="1:1" ht="15.75" customHeight="1" x14ac:dyDescent="0.25">
      <c r="A4388" s="39"/>
    </row>
    <row r="4389" spans="1:1" ht="15.75" customHeight="1" x14ac:dyDescent="0.25">
      <c r="A4389" s="39"/>
    </row>
    <row r="4390" spans="1:1" ht="15.75" customHeight="1" x14ac:dyDescent="0.25">
      <c r="A4390" s="39"/>
    </row>
    <row r="4391" spans="1:1" ht="15.75" customHeight="1" x14ac:dyDescent="0.25">
      <c r="A4391" s="39"/>
    </row>
    <row r="4392" spans="1:1" ht="15.75" customHeight="1" x14ac:dyDescent="0.25">
      <c r="A4392" s="39"/>
    </row>
    <row r="4393" spans="1:1" ht="15.75" customHeight="1" x14ac:dyDescent="0.25">
      <c r="A4393" s="39"/>
    </row>
    <row r="4394" spans="1:1" ht="15.75" customHeight="1" x14ac:dyDescent="0.25">
      <c r="A4394" s="39"/>
    </row>
    <row r="4395" spans="1:1" ht="15.75" customHeight="1" x14ac:dyDescent="0.25">
      <c r="A4395" s="39"/>
    </row>
    <row r="4396" spans="1:1" ht="15.75" customHeight="1" x14ac:dyDescent="0.25">
      <c r="A4396" s="39"/>
    </row>
    <row r="4397" spans="1:1" ht="15.75" customHeight="1" x14ac:dyDescent="0.25">
      <c r="A4397" s="39"/>
    </row>
    <row r="4398" spans="1:1" ht="15.75" customHeight="1" x14ac:dyDescent="0.25">
      <c r="A4398" s="39"/>
    </row>
    <row r="4399" spans="1:1" ht="15.75" customHeight="1" x14ac:dyDescent="0.25">
      <c r="A4399" s="39"/>
    </row>
    <row r="4400" spans="1:1" ht="15.75" customHeight="1" x14ac:dyDescent="0.25">
      <c r="A4400" s="39"/>
    </row>
    <row r="4401" spans="1:1" ht="15.75" customHeight="1" x14ac:dyDescent="0.25">
      <c r="A4401" s="39"/>
    </row>
    <row r="4402" spans="1:1" ht="15.75" customHeight="1" x14ac:dyDescent="0.25">
      <c r="A4402" s="39"/>
    </row>
    <row r="4403" spans="1:1" ht="15.75" customHeight="1" x14ac:dyDescent="0.25">
      <c r="A4403" s="39"/>
    </row>
    <row r="4404" spans="1:1" ht="15.75" customHeight="1" x14ac:dyDescent="0.25">
      <c r="A4404" s="39"/>
    </row>
    <row r="4405" spans="1:1" ht="15.75" customHeight="1" x14ac:dyDescent="0.25">
      <c r="A4405" s="39"/>
    </row>
    <row r="4406" spans="1:1" ht="15.75" customHeight="1" x14ac:dyDescent="0.25">
      <c r="A4406" s="39"/>
    </row>
    <row r="4407" spans="1:1" ht="15.75" customHeight="1" x14ac:dyDescent="0.25">
      <c r="A4407" s="39"/>
    </row>
    <row r="4408" spans="1:1" ht="15.75" customHeight="1" x14ac:dyDescent="0.25">
      <c r="A4408" s="39"/>
    </row>
    <row r="4409" spans="1:1" ht="15.75" customHeight="1" x14ac:dyDescent="0.25">
      <c r="A4409" s="39"/>
    </row>
    <row r="4410" spans="1:1" ht="15.75" customHeight="1" x14ac:dyDescent="0.25">
      <c r="A4410" s="39"/>
    </row>
    <row r="4411" spans="1:1" ht="15.75" customHeight="1" x14ac:dyDescent="0.25">
      <c r="A4411" s="39"/>
    </row>
    <row r="4412" spans="1:1" ht="15.75" customHeight="1" x14ac:dyDescent="0.25">
      <c r="A4412" s="39"/>
    </row>
    <row r="4413" spans="1:1" ht="15.75" customHeight="1" x14ac:dyDescent="0.25">
      <c r="A4413" s="39"/>
    </row>
    <row r="4414" spans="1:1" ht="15.75" customHeight="1" x14ac:dyDescent="0.25">
      <c r="A4414" s="39"/>
    </row>
    <row r="4415" spans="1:1" ht="15.75" customHeight="1" x14ac:dyDescent="0.25">
      <c r="A4415" s="39"/>
    </row>
    <row r="4416" spans="1:1" ht="15.75" customHeight="1" x14ac:dyDescent="0.25">
      <c r="A4416" s="39"/>
    </row>
    <row r="4417" spans="1:1" ht="15.75" customHeight="1" x14ac:dyDescent="0.25">
      <c r="A4417" s="39"/>
    </row>
    <row r="4418" spans="1:1" ht="15.75" customHeight="1" x14ac:dyDescent="0.25">
      <c r="A4418" s="39"/>
    </row>
    <row r="4419" spans="1:1" ht="15.75" customHeight="1" x14ac:dyDescent="0.25">
      <c r="A4419" s="39"/>
    </row>
    <row r="4420" spans="1:1" ht="15.75" customHeight="1" x14ac:dyDescent="0.25">
      <c r="A4420" s="39"/>
    </row>
    <row r="4421" spans="1:1" ht="15.75" customHeight="1" x14ac:dyDescent="0.25">
      <c r="A4421" s="39"/>
    </row>
    <row r="4422" spans="1:1" ht="15.75" customHeight="1" x14ac:dyDescent="0.25">
      <c r="A4422" s="39"/>
    </row>
    <row r="4423" spans="1:1" ht="15.75" customHeight="1" x14ac:dyDescent="0.25">
      <c r="A4423" s="39"/>
    </row>
    <row r="4424" spans="1:1" ht="15.75" customHeight="1" x14ac:dyDescent="0.25">
      <c r="A4424" s="39"/>
    </row>
    <row r="4425" spans="1:1" ht="15.75" customHeight="1" x14ac:dyDescent="0.25">
      <c r="A4425" s="39"/>
    </row>
    <row r="4426" spans="1:1" ht="15.75" customHeight="1" x14ac:dyDescent="0.25">
      <c r="A4426" s="39"/>
    </row>
    <row r="4427" spans="1:1" ht="15.75" customHeight="1" x14ac:dyDescent="0.25">
      <c r="A4427" s="39"/>
    </row>
    <row r="4428" spans="1:1" ht="15.75" customHeight="1" x14ac:dyDescent="0.25">
      <c r="A4428" s="39"/>
    </row>
    <row r="4429" spans="1:1" ht="15.75" customHeight="1" x14ac:dyDescent="0.25">
      <c r="A4429" s="39"/>
    </row>
    <row r="4430" spans="1:1" ht="15.75" customHeight="1" x14ac:dyDescent="0.25">
      <c r="A4430" s="39"/>
    </row>
    <row r="4431" spans="1:1" ht="15.75" customHeight="1" x14ac:dyDescent="0.25">
      <c r="A4431" s="39"/>
    </row>
    <row r="4432" spans="1:1" ht="15.75" customHeight="1" x14ac:dyDescent="0.25">
      <c r="A4432" s="39"/>
    </row>
    <row r="4433" spans="1:1" ht="15.75" customHeight="1" x14ac:dyDescent="0.25">
      <c r="A4433" s="39"/>
    </row>
    <row r="4434" spans="1:1" ht="15.75" customHeight="1" x14ac:dyDescent="0.25">
      <c r="A4434" s="39"/>
    </row>
    <row r="4435" spans="1:1" ht="15.75" customHeight="1" x14ac:dyDescent="0.25">
      <c r="A4435" s="39"/>
    </row>
    <row r="4436" spans="1:1" ht="15.75" customHeight="1" x14ac:dyDescent="0.25">
      <c r="A4436" s="39"/>
    </row>
    <row r="4437" spans="1:1" ht="15.75" customHeight="1" x14ac:dyDescent="0.25">
      <c r="A4437" s="39"/>
    </row>
    <row r="4438" spans="1:1" ht="15.75" customHeight="1" x14ac:dyDescent="0.25">
      <c r="A4438" s="39"/>
    </row>
    <row r="4439" spans="1:1" ht="15.75" customHeight="1" x14ac:dyDescent="0.25">
      <c r="A4439" s="39"/>
    </row>
    <row r="4440" spans="1:1" ht="15.75" customHeight="1" x14ac:dyDescent="0.25">
      <c r="A4440" s="39"/>
    </row>
    <row r="4441" spans="1:1" ht="15.75" customHeight="1" x14ac:dyDescent="0.25">
      <c r="A4441" s="39"/>
    </row>
    <row r="4442" spans="1:1" ht="15.75" customHeight="1" x14ac:dyDescent="0.25">
      <c r="A4442" s="39"/>
    </row>
    <row r="4443" spans="1:1" ht="15.75" customHeight="1" x14ac:dyDescent="0.25">
      <c r="A4443" s="39"/>
    </row>
    <row r="4444" spans="1:1" ht="15.75" customHeight="1" x14ac:dyDescent="0.25">
      <c r="A4444" s="39"/>
    </row>
    <row r="4445" spans="1:1" ht="15.75" customHeight="1" x14ac:dyDescent="0.25">
      <c r="A4445" s="39"/>
    </row>
    <row r="4446" spans="1:1" ht="15.75" customHeight="1" x14ac:dyDescent="0.25">
      <c r="A4446" s="39"/>
    </row>
    <row r="4447" spans="1:1" ht="15.75" customHeight="1" x14ac:dyDescent="0.25">
      <c r="A4447" s="39"/>
    </row>
    <row r="4448" spans="1:1" ht="15.75" customHeight="1" x14ac:dyDescent="0.25">
      <c r="A4448" s="39"/>
    </row>
    <row r="4449" spans="1:1" ht="15.75" customHeight="1" x14ac:dyDescent="0.25">
      <c r="A4449" s="39"/>
    </row>
    <row r="4450" spans="1:1" ht="15.75" customHeight="1" x14ac:dyDescent="0.25">
      <c r="A4450" s="39"/>
    </row>
    <row r="4451" spans="1:1" ht="15.75" customHeight="1" x14ac:dyDescent="0.25">
      <c r="A4451" s="39"/>
    </row>
    <row r="4452" spans="1:1" ht="15.75" customHeight="1" x14ac:dyDescent="0.25">
      <c r="A4452" s="39"/>
    </row>
    <row r="4453" spans="1:1" ht="15.75" customHeight="1" x14ac:dyDescent="0.25">
      <c r="A4453" s="39"/>
    </row>
    <row r="4454" spans="1:1" ht="15.75" customHeight="1" x14ac:dyDescent="0.25">
      <c r="A4454" s="39"/>
    </row>
    <row r="4455" spans="1:1" ht="15.75" customHeight="1" x14ac:dyDescent="0.25">
      <c r="A4455" s="39"/>
    </row>
    <row r="4456" spans="1:1" ht="15.75" customHeight="1" x14ac:dyDescent="0.25">
      <c r="A4456" s="39"/>
    </row>
    <row r="4457" spans="1:1" ht="15.75" customHeight="1" x14ac:dyDescent="0.25">
      <c r="A4457" s="39"/>
    </row>
    <row r="4458" spans="1:1" ht="15.75" customHeight="1" x14ac:dyDescent="0.25">
      <c r="A4458" s="39"/>
    </row>
    <row r="4459" spans="1:1" ht="15.75" customHeight="1" x14ac:dyDescent="0.25">
      <c r="A4459" s="39"/>
    </row>
    <row r="4460" spans="1:1" ht="15.75" customHeight="1" x14ac:dyDescent="0.25">
      <c r="A4460" s="39"/>
    </row>
    <row r="4461" spans="1:1" ht="15.75" customHeight="1" x14ac:dyDescent="0.25">
      <c r="A4461" s="39"/>
    </row>
    <row r="4462" spans="1:1" ht="15.75" customHeight="1" x14ac:dyDescent="0.25">
      <c r="A4462" s="39"/>
    </row>
    <row r="4463" spans="1:1" ht="15.75" customHeight="1" x14ac:dyDescent="0.25">
      <c r="A4463" s="39"/>
    </row>
    <row r="4464" spans="1:1" ht="15.75" customHeight="1" x14ac:dyDescent="0.25">
      <c r="A4464" s="39"/>
    </row>
    <row r="4465" spans="1:1" ht="15.75" customHeight="1" x14ac:dyDescent="0.25">
      <c r="A4465" s="39"/>
    </row>
    <row r="4466" spans="1:1" ht="15.75" customHeight="1" x14ac:dyDescent="0.25">
      <c r="A4466" s="39"/>
    </row>
    <row r="4467" spans="1:1" ht="15.75" customHeight="1" x14ac:dyDescent="0.25">
      <c r="A4467" s="39"/>
    </row>
    <row r="4468" spans="1:1" ht="15.75" customHeight="1" x14ac:dyDescent="0.25">
      <c r="A4468" s="39"/>
    </row>
    <row r="4469" spans="1:1" ht="15.75" customHeight="1" x14ac:dyDescent="0.25">
      <c r="A4469" s="39"/>
    </row>
    <row r="4470" spans="1:1" ht="15.75" customHeight="1" x14ac:dyDescent="0.25">
      <c r="A4470" s="39"/>
    </row>
    <row r="4471" spans="1:1" ht="15.75" customHeight="1" x14ac:dyDescent="0.25">
      <c r="A4471" s="39"/>
    </row>
    <row r="4472" spans="1:1" ht="15.75" customHeight="1" x14ac:dyDescent="0.25">
      <c r="A4472" s="39"/>
    </row>
    <row r="4473" spans="1:1" ht="15.75" customHeight="1" x14ac:dyDescent="0.25">
      <c r="A4473" s="39"/>
    </row>
    <row r="4474" spans="1:1" ht="15.75" customHeight="1" x14ac:dyDescent="0.25">
      <c r="A4474" s="39"/>
    </row>
    <row r="4475" spans="1:1" ht="15.75" customHeight="1" x14ac:dyDescent="0.25">
      <c r="A4475" s="39"/>
    </row>
    <row r="4476" spans="1:1" ht="15.75" customHeight="1" x14ac:dyDescent="0.25">
      <c r="A4476" s="39"/>
    </row>
    <row r="4477" spans="1:1" ht="15.75" customHeight="1" x14ac:dyDescent="0.25">
      <c r="A4477" s="39"/>
    </row>
    <row r="4478" spans="1:1" ht="15.75" customHeight="1" x14ac:dyDescent="0.25">
      <c r="A4478" s="39"/>
    </row>
    <row r="4479" spans="1:1" ht="15.75" customHeight="1" x14ac:dyDescent="0.25">
      <c r="A4479" s="39"/>
    </row>
    <row r="4480" spans="1:1" ht="15.75" customHeight="1" x14ac:dyDescent="0.25">
      <c r="A4480" s="39"/>
    </row>
    <row r="4481" spans="1:1" ht="15.75" customHeight="1" x14ac:dyDescent="0.25">
      <c r="A4481" s="39"/>
    </row>
    <row r="4482" spans="1:1" ht="15.75" customHeight="1" x14ac:dyDescent="0.25">
      <c r="A4482" s="39"/>
    </row>
    <row r="4483" spans="1:1" ht="15.75" customHeight="1" x14ac:dyDescent="0.25">
      <c r="A4483" s="39"/>
    </row>
    <row r="4484" spans="1:1" ht="15.75" customHeight="1" x14ac:dyDescent="0.25">
      <c r="A4484" s="39"/>
    </row>
    <row r="4485" spans="1:1" ht="15.75" customHeight="1" x14ac:dyDescent="0.25">
      <c r="A4485" s="39"/>
    </row>
    <row r="4486" spans="1:1" ht="15.75" customHeight="1" x14ac:dyDescent="0.25">
      <c r="A4486" s="39"/>
    </row>
    <row r="4487" spans="1:1" ht="15.75" customHeight="1" x14ac:dyDescent="0.25">
      <c r="A4487" s="39"/>
    </row>
    <row r="4488" spans="1:1" ht="15.75" customHeight="1" x14ac:dyDescent="0.25">
      <c r="A4488" s="39"/>
    </row>
    <row r="4489" spans="1:1" ht="15.75" customHeight="1" x14ac:dyDescent="0.25">
      <c r="A4489" s="39"/>
    </row>
    <row r="4490" spans="1:1" ht="15.75" customHeight="1" x14ac:dyDescent="0.25">
      <c r="A4490" s="39"/>
    </row>
    <row r="4491" spans="1:1" ht="15.75" customHeight="1" x14ac:dyDescent="0.25">
      <c r="A4491" s="39"/>
    </row>
    <row r="4492" spans="1:1" ht="15.75" customHeight="1" x14ac:dyDescent="0.25">
      <c r="A4492" s="39"/>
    </row>
    <row r="4493" spans="1:1" ht="15.75" customHeight="1" x14ac:dyDescent="0.25">
      <c r="A4493" s="39"/>
    </row>
    <row r="4494" spans="1:1" ht="15.75" customHeight="1" x14ac:dyDescent="0.25">
      <c r="A4494" s="39"/>
    </row>
    <row r="4495" spans="1:1" ht="15.75" customHeight="1" x14ac:dyDescent="0.25">
      <c r="A4495" s="39"/>
    </row>
    <row r="4496" spans="1:1" ht="15.75" customHeight="1" x14ac:dyDescent="0.25">
      <c r="A4496" s="39"/>
    </row>
    <row r="4497" spans="1:1" ht="15.75" customHeight="1" x14ac:dyDescent="0.25">
      <c r="A4497" s="39"/>
    </row>
    <row r="4498" spans="1:1" ht="15.75" customHeight="1" x14ac:dyDescent="0.25">
      <c r="A4498" s="39"/>
    </row>
    <row r="4499" spans="1:1" ht="15.75" customHeight="1" x14ac:dyDescent="0.25">
      <c r="A4499" s="39"/>
    </row>
    <row r="4500" spans="1:1" ht="15.75" customHeight="1" x14ac:dyDescent="0.25">
      <c r="A4500" s="39"/>
    </row>
    <row r="4501" spans="1:1" ht="15.75" customHeight="1" x14ac:dyDescent="0.25">
      <c r="A4501" s="39"/>
    </row>
    <row r="4502" spans="1:1" ht="15.75" customHeight="1" x14ac:dyDescent="0.25">
      <c r="A4502" s="39"/>
    </row>
    <row r="4503" spans="1:1" ht="15.75" customHeight="1" x14ac:dyDescent="0.25">
      <c r="A4503" s="39"/>
    </row>
    <row r="4504" spans="1:1" ht="15.75" customHeight="1" x14ac:dyDescent="0.25">
      <c r="A4504" s="39"/>
    </row>
    <row r="4505" spans="1:1" ht="15.75" customHeight="1" x14ac:dyDescent="0.25">
      <c r="A4505" s="39"/>
    </row>
    <row r="4506" spans="1:1" ht="15.75" customHeight="1" x14ac:dyDescent="0.25">
      <c r="A4506" s="39"/>
    </row>
    <row r="4507" spans="1:1" ht="15.75" customHeight="1" x14ac:dyDescent="0.25">
      <c r="A4507" s="39"/>
    </row>
    <row r="4508" spans="1:1" ht="15.75" customHeight="1" x14ac:dyDescent="0.25">
      <c r="A4508" s="39"/>
    </row>
    <row r="4509" spans="1:1" ht="15.75" customHeight="1" x14ac:dyDescent="0.25">
      <c r="A4509" s="39"/>
    </row>
    <row r="4510" spans="1:1" ht="15.75" customHeight="1" x14ac:dyDescent="0.25">
      <c r="A4510" s="39"/>
    </row>
    <row r="4511" spans="1:1" ht="15.75" customHeight="1" x14ac:dyDescent="0.25">
      <c r="A4511" s="39"/>
    </row>
    <row r="4512" spans="1:1" ht="15.75" customHeight="1" x14ac:dyDescent="0.25">
      <c r="A4512" s="39"/>
    </row>
    <row r="4513" spans="1:1" ht="15.75" customHeight="1" x14ac:dyDescent="0.25">
      <c r="A4513" s="39"/>
    </row>
    <row r="4514" spans="1:1" ht="15.75" customHeight="1" x14ac:dyDescent="0.25">
      <c r="A4514" s="39"/>
    </row>
    <row r="4515" spans="1:1" ht="15.75" customHeight="1" x14ac:dyDescent="0.25">
      <c r="A4515" s="39"/>
    </row>
    <row r="4516" spans="1:1" ht="15.75" customHeight="1" x14ac:dyDescent="0.25">
      <c r="A4516" s="39"/>
    </row>
    <row r="4517" spans="1:1" ht="15.75" customHeight="1" x14ac:dyDescent="0.25">
      <c r="A4517" s="39"/>
    </row>
    <row r="4518" spans="1:1" ht="15.75" customHeight="1" x14ac:dyDescent="0.25">
      <c r="A4518" s="39"/>
    </row>
    <row r="4519" spans="1:1" ht="15.75" customHeight="1" x14ac:dyDescent="0.25">
      <c r="A4519" s="39"/>
    </row>
    <row r="4520" spans="1:1" ht="15.75" customHeight="1" x14ac:dyDescent="0.25">
      <c r="A4520" s="39"/>
    </row>
    <row r="4521" spans="1:1" ht="15.75" customHeight="1" x14ac:dyDescent="0.25">
      <c r="A4521" s="39"/>
    </row>
    <row r="4522" spans="1:1" ht="15.75" customHeight="1" x14ac:dyDescent="0.25">
      <c r="A4522" s="39"/>
    </row>
    <row r="4523" spans="1:1" ht="15.75" customHeight="1" x14ac:dyDescent="0.25">
      <c r="A4523" s="39"/>
    </row>
    <row r="4524" spans="1:1" ht="15.75" customHeight="1" x14ac:dyDescent="0.25">
      <c r="A4524" s="39"/>
    </row>
    <row r="4525" spans="1:1" ht="15.75" customHeight="1" x14ac:dyDescent="0.25">
      <c r="A4525" s="39"/>
    </row>
    <row r="4526" spans="1:1" ht="15.75" customHeight="1" x14ac:dyDescent="0.25">
      <c r="A4526" s="39"/>
    </row>
    <row r="4527" spans="1:1" ht="15.75" customHeight="1" x14ac:dyDescent="0.25">
      <c r="A4527" s="39"/>
    </row>
    <row r="4528" spans="1:1" ht="15.75" customHeight="1" x14ac:dyDescent="0.25">
      <c r="A4528" s="39"/>
    </row>
    <row r="4529" spans="1:1" ht="15.75" customHeight="1" x14ac:dyDescent="0.25">
      <c r="A4529" s="39"/>
    </row>
    <row r="4530" spans="1:1" ht="15.75" customHeight="1" x14ac:dyDescent="0.25">
      <c r="A4530" s="39"/>
    </row>
    <row r="4531" spans="1:1" ht="15.75" customHeight="1" x14ac:dyDescent="0.25">
      <c r="A4531" s="39"/>
    </row>
    <row r="4532" spans="1:1" ht="15.75" customHeight="1" x14ac:dyDescent="0.25">
      <c r="A4532" s="39"/>
    </row>
    <row r="4533" spans="1:1" ht="15.75" customHeight="1" x14ac:dyDescent="0.25">
      <c r="A4533" s="39"/>
    </row>
    <row r="4534" spans="1:1" ht="15.75" customHeight="1" x14ac:dyDescent="0.25">
      <c r="A4534" s="39"/>
    </row>
    <row r="4535" spans="1:1" ht="15.75" customHeight="1" x14ac:dyDescent="0.25">
      <c r="A4535" s="39"/>
    </row>
    <row r="4536" spans="1:1" ht="15.75" customHeight="1" x14ac:dyDescent="0.25">
      <c r="A4536" s="39"/>
    </row>
    <row r="4537" spans="1:1" ht="15.75" customHeight="1" x14ac:dyDescent="0.25">
      <c r="A4537" s="39"/>
    </row>
    <row r="4538" spans="1:1" ht="15.75" customHeight="1" x14ac:dyDescent="0.25">
      <c r="A4538" s="39"/>
    </row>
    <row r="4539" spans="1:1" ht="15.75" customHeight="1" x14ac:dyDescent="0.25">
      <c r="A4539" s="39"/>
    </row>
    <row r="4540" spans="1:1" ht="15.75" customHeight="1" x14ac:dyDescent="0.25">
      <c r="A4540" s="39"/>
    </row>
    <row r="4541" spans="1:1" ht="15.75" customHeight="1" x14ac:dyDescent="0.25">
      <c r="A4541" s="39"/>
    </row>
    <row r="4542" spans="1:1" ht="15.75" customHeight="1" x14ac:dyDescent="0.25">
      <c r="A4542" s="39"/>
    </row>
    <row r="4543" spans="1:1" ht="15.75" customHeight="1" x14ac:dyDescent="0.25">
      <c r="A4543" s="39"/>
    </row>
    <row r="4544" spans="1:1" ht="15.75" customHeight="1" x14ac:dyDescent="0.25">
      <c r="A4544" s="39"/>
    </row>
    <row r="4545" spans="1:1" ht="15.75" customHeight="1" x14ac:dyDescent="0.25">
      <c r="A4545" s="39"/>
    </row>
    <row r="4546" spans="1:1" ht="15.75" customHeight="1" x14ac:dyDescent="0.25">
      <c r="A4546" s="39"/>
    </row>
    <row r="4547" spans="1:1" ht="15.75" customHeight="1" x14ac:dyDescent="0.25">
      <c r="A4547" s="39"/>
    </row>
    <row r="4548" spans="1:1" ht="15.75" customHeight="1" x14ac:dyDescent="0.25">
      <c r="A4548" s="39"/>
    </row>
    <row r="4549" spans="1:1" ht="15.75" customHeight="1" x14ac:dyDescent="0.25">
      <c r="A4549" s="39"/>
    </row>
    <row r="4550" spans="1:1" ht="15.75" customHeight="1" x14ac:dyDescent="0.25">
      <c r="A4550" s="39"/>
    </row>
    <row r="4551" spans="1:1" ht="15.75" customHeight="1" x14ac:dyDescent="0.25">
      <c r="A4551" s="39"/>
    </row>
    <row r="4552" spans="1:1" ht="15.75" customHeight="1" x14ac:dyDescent="0.25">
      <c r="A4552" s="39"/>
    </row>
    <row r="4553" spans="1:1" ht="15.75" customHeight="1" x14ac:dyDescent="0.25">
      <c r="A4553" s="39"/>
    </row>
    <row r="4554" spans="1:1" ht="15.75" customHeight="1" x14ac:dyDescent="0.25">
      <c r="A4554" s="39"/>
    </row>
    <row r="4555" spans="1:1" ht="15.75" customHeight="1" x14ac:dyDescent="0.25">
      <c r="A4555" s="39"/>
    </row>
    <row r="4556" spans="1:1" ht="15.75" customHeight="1" x14ac:dyDescent="0.25">
      <c r="A4556" s="39"/>
    </row>
    <row r="4557" spans="1:1" ht="15.75" customHeight="1" x14ac:dyDescent="0.25">
      <c r="A4557" s="39"/>
    </row>
    <row r="4558" spans="1:1" ht="15.75" customHeight="1" x14ac:dyDescent="0.25">
      <c r="A4558" s="39"/>
    </row>
    <row r="4559" spans="1:1" ht="15.75" customHeight="1" x14ac:dyDescent="0.25">
      <c r="A4559" s="39"/>
    </row>
    <row r="4560" spans="1:1" ht="15.75" customHeight="1" x14ac:dyDescent="0.25">
      <c r="A4560" s="39"/>
    </row>
    <row r="4561" spans="1:1" ht="15.75" customHeight="1" x14ac:dyDescent="0.25">
      <c r="A4561" s="39"/>
    </row>
    <row r="4562" spans="1:1" ht="15.75" customHeight="1" x14ac:dyDescent="0.25">
      <c r="A4562" s="39"/>
    </row>
    <row r="4563" spans="1:1" ht="15.75" customHeight="1" x14ac:dyDescent="0.25">
      <c r="A4563" s="39"/>
    </row>
    <row r="4564" spans="1:1" ht="15.75" customHeight="1" x14ac:dyDescent="0.25">
      <c r="A4564" s="39"/>
    </row>
    <row r="4565" spans="1:1" ht="15.75" customHeight="1" x14ac:dyDescent="0.25">
      <c r="A4565" s="39"/>
    </row>
    <row r="4566" spans="1:1" ht="15.75" customHeight="1" x14ac:dyDescent="0.25">
      <c r="A4566" s="39"/>
    </row>
    <row r="4567" spans="1:1" ht="15.75" customHeight="1" x14ac:dyDescent="0.25">
      <c r="A4567" s="39"/>
    </row>
    <row r="4568" spans="1:1" ht="15.75" customHeight="1" x14ac:dyDescent="0.25">
      <c r="A4568" s="39"/>
    </row>
    <row r="4569" spans="1:1" ht="15.75" customHeight="1" x14ac:dyDescent="0.25">
      <c r="A4569" s="39"/>
    </row>
    <row r="4570" spans="1:1" ht="15.75" customHeight="1" x14ac:dyDescent="0.25">
      <c r="A4570" s="39"/>
    </row>
    <row r="4571" spans="1:1" ht="15.75" customHeight="1" x14ac:dyDescent="0.25">
      <c r="A4571" s="39"/>
    </row>
    <row r="4572" spans="1:1" ht="15.75" customHeight="1" x14ac:dyDescent="0.25">
      <c r="A4572" s="39"/>
    </row>
    <row r="4573" spans="1:1" ht="15.75" customHeight="1" x14ac:dyDescent="0.25">
      <c r="A4573" s="39"/>
    </row>
    <row r="4574" spans="1:1" ht="15.75" customHeight="1" x14ac:dyDescent="0.25">
      <c r="A4574" s="39"/>
    </row>
    <row r="4575" spans="1:1" ht="15.75" customHeight="1" x14ac:dyDescent="0.25">
      <c r="A4575" s="39"/>
    </row>
    <row r="4576" spans="1:1" ht="15.75" customHeight="1" x14ac:dyDescent="0.25">
      <c r="A4576" s="39"/>
    </row>
    <row r="4577" spans="1:1" ht="15.75" customHeight="1" x14ac:dyDescent="0.25">
      <c r="A4577" s="39"/>
    </row>
    <row r="4578" spans="1:1" ht="15.75" customHeight="1" x14ac:dyDescent="0.25">
      <c r="A4578" s="39"/>
    </row>
    <row r="4579" spans="1:1" ht="15.75" customHeight="1" x14ac:dyDescent="0.25">
      <c r="A4579" s="39"/>
    </row>
    <row r="4580" spans="1:1" ht="15.75" customHeight="1" x14ac:dyDescent="0.25">
      <c r="A4580" s="39"/>
    </row>
    <row r="4581" spans="1:1" ht="15.75" customHeight="1" x14ac:dyDescent="0.25">
      <c r="A4581" s="39"/>
    </row>
    <row r="4582" spans="1:1" ht="15.75" customHeight="1" x14ac:dyDescent="0.25">
      <c r="A4582" s="39"/>
    </row>
    <row r="4583" spans="1:1" ht="15.75" customHeight="1" x14ac:dyDescent="0.25">
      <c r="A4583" s="39"/>
    </row>
    <row r="4584" spans="1:1" ht="15.75" customHeight="1" x14ac:dyDescent="0.25">
      <c r="A4584" s="39"/>
    </row>
    <row r="4585" spans="1:1" ht="15.75" customHeight="1" x14ac:dyDescent="0.25">
      <c r="A4585" s="39"/>
    </row>
    <row r="4586" spans="1:1" ht="15.75" customHeight="1" x14ac:dyDescent="0.25">
      <c r="A4586" s="39"/>
    </row>
    <row r="4587" spans="1:1" ht="15.75" customHeight="1" x14ac:dyDescent="0.25">
      <c r="A4587" s="39"/>
    </row>
    <row r="4588" spans="1:1" ht="15.75" customHeight="1" x14ac:dyDescent="0.25">
      <c r="A4588" s="39"/>
    </row>
    <row r="4589" spans="1:1" ht="15.75" customHeight="1" x14ac:dyDescent="0.25">
      <c r="A4589" s="39"/>
    </row>
    <row r="4590" spans="1:1" ht="15.75" customHeight="1" x14ac:dyDescent="0.25">
      <c r="A4590" s="39"/>
    </row>
    <row r="4591" spans="1:1" ht="15.75" customHeight="1" x14ac:dyDescent="0.25">
      <c r="A4591" s="39"/>
    </row>
    <row r="4592" spans="1:1" ht="15.75" customHeight="1" x14ac:dyDescent="0.25">
      <c r="A4592" s="39"/>
    </row>
    <row r="4593" spans="1:1" ht="15.75" customHeight="1" x14ac:dyDescent="0.25">
      <c r="A4593" s="39"/>
    </row>
    <row r="4594" spans="1:1" ht="15.75" customHeight="1" x14ac:dyDescent="0.25">
      <c r="A4594" s="39"/>
    </row>
    <row r="4595" spans="1:1" ht="15.75" customHeight="1" x14ac:dyDescent="0.25">
      <c r="A4595" s="39"/>
    </row>
    <row r="4596" spans="1:1" ht="15.75" customHeight="1" x14ac:dyDescent="0.25">
      <c r="A4596" s="39"/>
    </row>
    <row r="4597" spans="1:1" ht="15.75" customHeight="1" x14ac:dyDescent="0.25">
      <c r="A4597" s="39"/>
    </row>
    <row r="4598" spans="1:1" ht="15.75" customHeight="1" x14ac:dyDescent="0.25">
      <c r="A4598" s="39"/>
    </row>
    <row r="4599" spans="1:1" ht="15.75" customHeight="1" x14ac:dyDescent="0.25">
      <c r="A4599" s="39"/>
    </row>
    <row r="4600" spans="1:1" ht="15.75" customHeight="1" x14ac:dyDescent="0.25">
      <c r="A4600" s="39"/>
    </row>
    <row r="4601" spans="1:1" ht="15.75" customHeight="1" x14ac:dyDescent="0.25">
      <c r="A4601" s="39"/>
    </row>
    <row r="4602" spans="1:1" ht="15.75" customHeight="1" x14ac:dyDescent="0.25">
      <c r="A4602" s="39"/>
    </row>
    <row r="4603" spans="1:1" ht="15.75" customHeight="1" x14ac:dyDescent="0.25">
      <c r="A4603" s="39"/>
    </row>
    <row r="4604" spans="1:1" ht="15.75" customHeight="1" x14ac:dyDescent="0.25">
      <c r="A4604" s="39"/>
    </row>
    <row r="4605" spans="1:1" ht="15.75" customHeight="1" x14ac:dyDescent="0.25">
      <c r="A4605" s="39"/>
    </row>
    <row r="4606" spans="1:1" ht="15.75" customHeight="1" x14ac:dyDescent="0.25">
      <c r="A4606" s="39"/>
    </row>
    <row r="4607" spans="1:1" ht="15.75" customHeight="1" x14ac:dyDescent="0.25">
      <c r="A4607" s="39"/>
    </row>
    <row r="4608" spans="1:1" ht="15.75" customHeight="1" x14ac:dyDescent="0.25">
      <c r="A4608" s="39"/>
    </row>
    <row r="4609" spans="1:1" ht="15.75" customHeight="1" x14ac:dyDescent="0.25">
      <c r="A4609" s="39"/>
    </row>
    <row r="4610" spans="1:1" ht="15.75" customHeight="1" x14ac:dyDescent="0.25">
      <c r="A4610" s="39"/>
    </row>
    <row r="4611" spans="1:1" ht="15.75" customHeight="1" x14ac:dyDescent="0.25">
      <c r="A4611" s="39"/>
    </row>
    <row r="4612" spans="1:1" ht="15.75" customHeight="1" x14ac:dyDescent="0.25">
      <c r="A4612" s="39"/>
    </row>
    <row r="4613" spans="1:1" ht="15.75" customHeight="1" x14ac:dyDescent="0.25">
      <c r="A4613" s="39"/>
    </row>
    <row r="4614" spans="1:1" ht="15.75" customHeight="1" x14ac:dyDescent="0.25">
      <c r="A4614" s="39"/>
    </row>
    <row r="4615" spans="1:1" ht="15.75" customHeight="1" x14ac:dyDescent="0.25">
      <c r="A4615" s="39"/>
    </row>
    <row r="4616" spans="1:1" ht="15.75" customHeight="1" x14ac:dyDescent="0.25">
      <c r="A4616" s="39"/>
    </row>
    <row r="4617" spans="1:1" ht="15.75" customHeight="1" x14ac:dyDescent="0.25">
      <c r="A4617" s="39"/>
    </row>
    <row r="4618" spans="1:1" ht="15.75" customHeight="1" x14ac:dyDescent="0.25">
      <c r="A4618" s="39"/>
    </row>
    <row r="4619" spans="1:1" ht="15.75" customHeight="1" x14ac:dyDescent="0.25">
      <c r="A4619" s="39"/>
    </row>
    <row r="4620" spans="1:1" ht="15.75" customHeight="1" x14ac:dyDescent="0.25">
      <c r="A4620" s="39"/>
    </row>
    <row r="4621" spans="1:1" ht="15.75" customHeight="1" x14ac:dyDescent="0.25">
      <c r="A4621" s="39"/>
    </row>
    <row r="4622" spans="1:1" ht="15.75" customHeight="1" x14ac:dyDescent="0.25">
      <c r="A4622" s="39"/>
    </row>
    <row r="4623" spans="1:1" ht="15.75" customHeight="1" x14ac:dyDescent="0.25">
      <c r="A4623" s="39"/>
    </row>
    <row r="4624" spans="1:1" ht="15.75" customHeight="1" x14ac:dyDescent="0.25">
      <c r="A4624" s="39"/>
    </row>
    <row r="4625" spans="1:1" ht="15.75" customHeight="1" x14ac:dyDescent="0.25">
      <c r="A4625" s="39"/>
    </row>
    <row r="4626" spans="1:1" ht="15.75" customHeight="1" x14ac:dyDescent="0.25">
      <c r="A4626" s="39"/>
    </row>
    <row r="4627" spans="1:1" ht="15.75" customHeight="1" x14ac:dyDescent="0.25">
      <c r="A4627" s="39"/>
    </row>
    <row r="4628" spans="1:1" ht="15.75" customHeight="1" x14ac:dyDescent="0.25">
      <c r="A4628" s="39"/>
    </row>
    <row r="4629" spans="1:1" ht="15.75" customHeight="1" x14ac:dyDescent="0.25">
      <c r="A4629" s="39"/>
    </row>
    <row r="4630" spans="1:1" ht="15.75" customHeight="1" x14ac:dyDescent="0.25">
      <c r="A4630" s="39"/>
    </row>
    <row r="4631" spans="1:1" ht="15.75" customHeight="1" x14ac:dyDescent="0.25">
      <c r="A4631" s="39"/>
    </row>
    <row r="4632" spans="1:1" ht="15.75" customHeight="1" x14ac:dyDescent="0.25">
      <c r="A4632" s="39"/>
    </row>
    <row r="4633" spans="1:1" ht="15.75" customHeight="1" x14ac:dyDescent="0.25">
      <c r="A4633" s="39"/>
    </row>
    <row r="4634" spans="1:1" ht="15.75" customHeight="1" x14ac:dyDescent="0.25">
      <c r="A4634" s="39"/>
    </row>
    <row r="4635" spans="1:1" ht="15.75" customHeight="1" x14ac:dyDescent="0.25">
      <c r="A4635" s="39"/>
    </row>
    <row r="4636" spans="1:1" ht="15.75" customHeight="1" x14ac:dyDescent="0.25">
      <c r="A4636" s="39"/>
    </row>
    <row r="4637" spans="1:1" ht="15.75" customHeight="1" x14ac:dyDescent="0.25">
      <c r="A4637" s="39"/>
    </row>
    <row r="4638" spans="1:1" ht="15.75" customHeight="1" x14ac:dyDescent="0.25">
      <c r="A4638" s="39"/>
    </row>
    <row r="4639" spans="1:1" ht="15.75" customHeight="1" x14ac:dyDescent="0.25">
      <c r="A4639" s="39"/>
    </row>
    <row r="4640" spans="1:1" ht="15.75" customHeight="1" x14ac:dyDescent="0.25">
      <c r="A4640" s="39"/>
    </row>
    <row r="4641" spans="1:1" ht="15.75" customHeight="1" x14ac:dyDescent="0.25">
      <c r="A4641" s="39"/>
    </row>
    <row r="4642" spans="1:1" ht="15.75" customHeight="1" x14ac:dyDescent="0.25">
      <c r="A4642" s="39"/>
    </row>
    <row r="4643" spans="1:1" ht="15.75" customHeight="1" x14ac:dyDescent="0.25">
      <c r="A4643" s="39"/>
    </row>
    <row r="4644" spans="1:1" ht="15.75" customHeight="1" x14ac:dyDescent="0.25">
      <c r="A4644" s="39"/>
    </row>
    <row r="4645" spans="1:1" ht="15.75" customHeight="1" x14ac:dyDescent="0.25">
      <c r="A4645" s="39"/>
    </row>
    <row r="4646" spans="1:1" ht="15.75" customHeight="1" x14ac:dyDescent="0.25">
      <c r="A4646" s="39"/>
    </row>
    <row r="4647" spans="1:1" ht="15.75" customHeight="1" x14ac:dyDescent="0.25">
      <c r="A4647" s="39"/>
    </row>
    <row r="4648" spans="1:1" ht="15.75" customHeight="1" x14ac:dyDescent="0.25">
      <c r="A4648" s="39"/>
    </row>
    <row r="4649" spans="1:1" ht="15.75" customHeight="1" x14ac:dyDescent="0.25">
      <c r="A4649" s="39"/>
    </row>
    <row r="4650" spans="1:1" ht="15.75" customHeight="1" x14ac:dyDescent="0.25">
      <c r="A4650" s="39"/>
    </row>
    <row r="4651" spans="1:1" ht="15.75" customHeight="1" x14ac:dyDescent="0.25">
      <c r="A4651" s="39"/>
    </row>
    <row r="4652" spans="1:1" ht="15.75" customHeight="1" x14ac:dyDescent="0.25">
      <c r="A4652" s="39"/>
    </row>
    <row r="4653" spans="1:1" ht="15.75" customHeight="1" x14ac:dyDescent="0.25">
      <c r="A4653" s="39"/>
    </row>
    <row r="4654" spans="1:1" ht="15.75" customHeight="1" x14ac:dyDescent="0.25">
      <c r="A4654" s="39"/>
    </row>
    <row r="4655" spans="1:1" ht="15.75" customHeight="1" x14ac:dyDescent="0.25">
      <c r="A4655" s="39"/>
    </row>
    <row r="4656" spans="1:1" ht="15.75" customHeight="1" x14ac:dyDescent="0.25">
      <c r="A4656" s="39"/>
    </row>
    <row r="4657" spans="1:1" ht="15.75" customHeight="1" x14ac:dyDescent="0.25">
      <c r="A4657" s="39"/>
    </row>
    <row r="4658" spans="1:1" ht="15.75" customHeight="1" x14ac:dyDescent="0.25">
      <c r="A4658" s="39"/>
    </row>
    <row r="4659" spans="1:1" ht="15.75" customHeight="1" x14ac:dyDescent="0.25">
      <c r="A4659" s="39"/>
    </row>
    <row r="4660" spans="1:1" ht="15.75" customHeight="1" x14ac:dyDescent="0.25">
      <c r="A4660" s="39"/>
    </row>
    <row r="4661" spans="1:1" ht="15.75" customHeight="1" x14ac:dyDescent="0.25">
      <c r="A4661" s="39"/>
    </row>
    <row r="4662" spans="1:1" ht="15.75" customHeight="1" x14ac:dyDescent="0.25">
      <c r="A4662" s="39"/>
    </row>
    <row r="4663" spans="1:1" ht="15.75" customHeight="1" x14ac:dyDescent="0.25">
      <c r="A4663" s="39"/>
    </row>
    <row r="4664" spans="1:1" ht="15.75" customHeight="1" x14ac:dyDescent="0.25">
      <c r="A4664" s="39"/>
    </row>
    <row r="4665" spans="1:1" ht="15.75" customHeight="1" x14ac:dyDescent="0.25">
      <c r="A4665" s="39"/>
    </row>
    <row r="4666" spans="1:1" ht="15.75" customHeight="1" x14ac:dyDescent="0.25">
      <c r="A4666" s="39"/>
    </row>
    <row r="4667" spans="1:1" ht="15.75" customHeight="1" x14ac:dyDescent="0.25">
      <c r="A4667" s="39"/>
    </row>
    <row r="4668" spans="1:1" ht="15.75" customHeight="1" x14ac:dyDescent="0.25">
      <c r="A4668" s="39"/>
    </row>
    <row r="4669" spans="1:1" ht="15.75" customHeight="1" x14ac:dyDescent="0.25">
      <c r="A4669" s="39"/>
    </row>
    <row r="4670" spans="1:1" ht="15.75" customHeight="1" x14ac:dyDescent="0.25">
      <c r="A4670" s="39"/>
    </row>
    <row r="4671" spans="1:1" ht="15.75" customHeight="1" x14ac:dyDescent="0.25">
      <c r="A4671" s="39"/>
    </row>
    <row r="4672" spans="1:1" ht="15.75" customHeight="1" x14ac:dyDescent="0.25">
      <c r="A4672" s="39"/>
    </row>
    <row r="4673" spans="1:1" ht="15.75" customHeight="1" x14ac:dyDescent="0.25">
      <c r="A4673" s="39"/>
    </row>
    <row r="4674" spans="1:1" ht="15.75" customHeight="1" x14ac:dyDescent="0.25">
      <c r="A4674" s="39"/>
    </row>
    <row r="4675" spans="1:1" ht="15.75" customHeight="1" x14ac:dyDescent="0.25">
      <c r="A4675" s="39"/>
    </row>
    <row r="4676" spans="1:1" ht="15.75" customHeight="1" x14ac:dyDescent="0.25">
      <c r="A4676" s="39"/>
    </row>
    <row r="4677" spans="1:1" ht="15.75" customHeight="1" x14ac:dyDescent="0.25">
      <c r="A4677" s="39"/>
    </row>
    <row r="4678" spans="1:1" ht="15.75" customHeight="1" x14ac:dyDescent="0.25">
      <c r="A4678" s="39"/>
    </row>
    <row r="4679" spans="1:1" ht="15.75" customHeight="1" x14ac:dyDescent="0.25">
      <c r="A4679" s="39"/>
    </row>
    <row r="4680" spans="1:1" ht="15.75" customHeight="1" x14ac:dyDescent="0.25">
      <c r="A4680" s="39"/>
    </row>
    <row r="4681" spans="1:1" ht="15.75" customHeight="1" x14ac:dyDescent="0.25">
      <c r="A4681" s="39"/>
    </row>
    <row r="4682" spans="1:1" ht="15.75" customHeight="1" x14ac:dyDescent="0.25">
      <c r="A4682" s="39"/>
    </row>
    <row r="4683" spans="1:1" ht="15.75" customHeight="1" x14ac:dyDescent="0.25">
      <c r="A4683" s="39"/>
    </row>
    <row r="4684" spans="1:1" ht="15.75" customHeight="1" x14ac:dyDescent="0.25">
      <c r="A4684" s="39"/>
    </row>
    <row r="4685" spans="1:1" ht="15.75" customHeight="1" x14ac:dyDescent="0.25">
      <c r="A4685" s="39"/>
    </row>
    <row r="4686" spans="1:1" ht="15.75" customHeight="1" x14ac:dyDescent="0.25">
      <c r="A4686" s="39"/>
    </row>
    <row r="4687" spans="1:1" ht="15.75" customHeight="1" x14ac:dyDescent="0.25">
      <c r="A4687" s="39"/>
    </row>
    <row r="4688" spans="1:1" ht="15.75" customHeight="1" x14ac:dyDescent="0.25">
      <c r="A4688" s="39"/>
    </row>
    <row r="4689" spans="1:1" ht="15.75" customHeight="1" x14ac:dyDescent="0.25">
      <c r="A4689" s="39"/>
    </row>
    <row r="4690" spans="1:1" ht="15.75" customHeight="1" x14ac:dyDescent="0.25">
      <c r="A4690" s="39"/>
    </row>
    <row r="4691" spans="1:1" ht="15.75" customHeight="1" x14ac:dyDescent="0.25">
      <c r="A4691" s="39"/>
    </row>
    <row r="4692" spans="1:1" ht="15.75" customHeight="1" x14ac:dyDescent="0.25">
      <c r="A4692" s="39"/>
    </row>
    <row r="4693" spans="1:1" ht="15.75" customHeight="1" x14ac:dyDescent="0.25">
      <c r="A4693" s="39"/>
    </row>
    <row r="4694" spans="1:1" ht="15.75" customHeight="1" x14ac:dyDescent="0.25">
      <c r="A4694" s="39"/>
    </row>
    <row r="4695" spans="1:1" ht="15.75" customHeight="1" x14ac:dyDescent="0.25">
      <c r="A4695" s="39"/>
    </row>
    <row r="4696" spans="1:1" ht="15.75" customHeight="1" x14ac:dyDescent="0.25">
      <c r="A4696" s="39"/>
    </row>
    <row r="4697" spans="1:1" ht="15.75" customHeight="1" x14ac:dyDescent="0.25">
      <c r="A4697" s="39"/>
    </row>
    <row r="4698" spans="1:1" ht="15.75" customHeight="1" x14ac:dyDescent="0.25">
      <c r="A4698" s="39"/>
    </row>
    <row r="4699" spans="1:1" ht="15.75" customHeight="1" x14ac:dyDescent="0.25">
      <c r="A4699" s="39"/>
    </row>
    <row r="4700" spans="1:1" ht="15.75" customHeight="1" x14ac:dyDescent="0.25">
      <c r="A4700" s="39"/>
    </row>
    <row r="4701" spans="1:1" ht="15.75" customHeight="1" x14ac:dyDescent="0.25">
      <c r="A4701" s="39"/>
    </row>
    <row r="4702" spans="1:1" ht="15.75" customHeight="1" x14ac:dyDescent="0.25">
      <c r="A4702" s="39"/>
    </row>
    <row r="4703" spans="1:1" ht="15.75" customHeight="1" x14ac:dyDescent="0.25">
      <c r="A4703" s="39"/>
    </row>
    <row r="4704" spans="1:1" ht="15.75" customHeight="1" x14ac:dyDescent="0.25">
      <c r="A4704" s="39"/>
    </row>
    <row r="4705" spans="1:1" ht="15.75" customHeight="1" x14ac:dyDescent="0.25">
      <c r="A4705" s="39"/>
    </row>
    <row r="4706" spans="1:1" ht="15.75" customHeight="1" x14ac:dyDescent="0.25">
      <c r="A4706" s="39"/>
    </row>
    <row r="4707" spans="1:1" ht="15.75" customHeight="1" x14ac:dyDescent="0.25">
      <c r="A4707" s="39"/>
    </row>
    <row r="4708" spans="1:1" ht="15.75" customHeight="1" x14ac:dyDescent="0.25">
      <c r="A4708" s="39"/>
    </row>
    <row r="4709" spans="1:1" ht="15.75" customHeight="1" x14ac:dyDescent="0.25">
      <c r="A4709" s="39"/>
    </row>
    <row r="4710" spans="1:1" ht="15.75" customHeight="1" x14ac:dyDescent="0.25">
      <c r="A4710" s="39"/>
    </row>
    <row r="4711" spans="1:1" ht="15.75" customHeight="1" x14ac:dyDescent="0.25">
      <c r="A4711" s="39"/>
    </row>
    <row r="4712" spans="1:1" ht="15.75" customHeight="1" x14ac:dyDescent="0.25">
      <c r="A4712" s="39"/>
    </row>
    <row r="4713" spans="1:1" ht="15.75" customHeight="1" x14ac:dyDescent="0.25">
      <c r="A4713" s="39"/>
    </row>
    <row r="4714" spans="1:1" ht="15.75" customHeight="1" x14ac:dyDescent="0.25">
      <c r="A4714" s="39"/>
    </row>
    <row r="4715" spans="1:1" ht="15.75" customHeight="1" x14ac:dyDescent="0.25">
      <c r="A4715" s="39"/>
    </row>
    <row r="4716" spans="1:1" ht="15.75" customHeight="1" x14ac:dyDescent="0.25">
      <c r="A4716" s="39"/>
    </row>
    <row r="4717" spans="1:1" ht="15.75" customHeight="1" x14ac:dyDescent="0.25">
      <c r="A4717" s="39"/>
    </row>
    <row r="4718" spans="1:1" ht="15.75" customHeight="1" x14ac:dyDescent="0.25">
      <c r="A4718" s="39"/>
    </row>
    <row r="4719" spans="1:1" ht="15.75" customHeight="1" x14ac:dyDescent="0.25">
      <c r="A4719" s="39"/>
    </row>
    <row r="4720" spans="1:1" ht="15.75" customHeight="1" x14ac:dyDescent="0.25">
      <c r="A4720" s="39"/>
    </row>
    <row r="4721" spans="1:1" ht="15.75" customHeight="1" x14ac:dyDescent="0.25">
      <c r="A4721" s="39"/>
    </row>
    <row r="4722" spans="1:1" ht="15.75" customHeight="1" x14ac:dyDescent="0.25">
      <c r="A4722" s="39"/>
    </row>
    <row r="4723" spans="1:1" ht="15.75" customHeight="1" x14ac:dyDescent="0.25">
      <c r="A4723" s="39"/>
    </row>
    <row r="4724" spans="1:1" ht="15.75" customHeight="1" x14ac:dyDescent="0.25">
      <c r="A4724" s="39"/>
    </row>
    <row r="4725" spans="1:1" ht="15.75" customHeight="1" x14ac:dyDescent="0.25">
      <c r="A4725" s="39"/>
    </row>
    <row r="4726" spans="1:1" ht="15.75" customHeight="1" x14ac:dyDescent="0.25">
      <c r="A4726" s="39"/>
    </row>
    <row r="4727" spans="1:1" ht="15.75" customHeight="1" x14ac:dyDescent="0.25">
      <c r="A4727" s="39"/>
    </row>
    <row r="4728" spans="1:1" ht="15.75" customHeight="1" x14ac:dyDescent="0.25">
      <c r="A4728" s="39"/>
    </row>
    <row r="4729" spans="1:1" ht="15.75" customHeight="1" x14ac:dyDescent="0.25">
      <c r="A4729" s="39"/>
    </row>
    <row r="4730" spans="1:1" ht="15.75" customHeight="1" x14ac:dyDescent="0.25">
      <c r="A4730" s="39"/>
    </row>
    <row r="4731" spans="1:1" ht="15.75" customHeight="1" x14ac:dyDescent="0.25">
      <c r="A4731" s="39"/>
    </row>
    <row r="4732" spans="1:1" ht="15.75" customHeight="1" x14ac:dyDescent="0.25">
      <c r="A4732" s="39"/>
    </row>
    <row r="4733" spans="1:1" ht="15.75" customHeight="1" x14ac:dyDescent="0.25">
      <c r="A4733" s="39"/>
    </row>
    <row r="4734" spans="1:1" ht="15.75" customHeight="1" x14ac:dyDescent="0.25">
      <c r="A4734" s="39"/>
    </row>
    <row r="4735" spans="1:1" ht="15.75" customHeight="1" x14ac:dyDescent="0.25">
      <c r="A4735" s="39"/>
    </row>
    <row r="4736" spans="1:1" ht="15.75" customHeight="1" x14ac:dyDescent="0.25">
      <c r="A4736" s="39"/>
    </row>
    <row r="4737" spans="1:1" ht="15.75" customHeight="1" x14ac:dyDescent="0.25">
      <c r="A4737" s="39"/>
    </row>
    <row r="4738" spans="1:1" ht="15.75" customHeight="1" x14ac:dyDescent="0.25">
      <c r="A4738" s="39"/>
    </row>
    <row r="4739" spans="1:1" ht="15.75" customHeight="1" x14ac:dyDescent="0.25">
      <c r="A4739" s="39"/>
    </row>
    <row r="4740" spans="1:1" ht="15.75" customHeight="1" x14ac:dyDescent="0.25">
      <c r="A4740" s="39"/>
    </row>
    <row r="4741" spans="1:1" ht="15.75" customHeight="1" x14ac:dyDescent="0.25">
      <c r="A4741" s="39"/>
    </row>
    <row r="4742" spans="1:1" ht="15.75" customHeight="1" x14ac:dyDescent="0.25">
      <c r="A4742" s="39"/>
    </row>
    <row r="4743" spans="1:1" ht="15.75" customHeight="1" x14ac:dyDescent="0.25">
      <c r="A4743" s="39"/>
    </row>
    <row r="4744" spans="1:1" ht="15.75" customHeight="1" x14ac:dyDescent="0.25">
      <c r="A4744" s="39"/>
    </row>
    <row r="4745" spans="1:1" ht="15.75" customHeight="1" x14ac:dyDescent="0.25">
      <c r="A4745" s="39"/>
    </row>
    <row r="4746" spans="1:1" ht="15.75" customHeight="1" x14ac:dyDescent="0.25">
      <c r="A4746" s="39"/>
    </row>
    <row r="4747" spans="1:1" ht="15.75" customHeight="1" x14ac:dyDescent="0.25">
      <c r="A4747" s="39"/>
    </row>
    <row r="4748" spans="1:1" ht="15.75" customHeight="1" x14ac:dyDescent="0.25">
      <c r="A4748" s="39"/>
    </row>
    <row r="4749" spans="1:1" ht="15.75" customHeight="1" x14ac:dyDescent="0.25">
      <c r="A4749" s="39"/>
    </row>
    <row r="4750" spans="1:1" ht="15.75" customHeight="1" x14ac:dyDescent="0.25">
      <c r="A4750" s="39"/>
    </row>
    <row r="4751" spans="1:1" ht="15.75" customHeight="1" x14ac:dyDescent="0.25">
      <c r="A4751" s="39"/>
    </row>
    <row r="4752" spans="1:1" ht="15.75" customHeight="1" x14ac:dyDescent="0.25">
      <c r="A4752" s="39"/>
    </row>
    <row r="4753" spans="1:1" ht="15.75" customHeight="1" x14ac:dyDescent="0.25">
      <c r="A4753" s="39"/>
    </row>
    <row r="4754" spans="1:1" ht="15.75" customHeight="1" x14ac:dyDescent="0.25">
      <c r="A4754" s="39"/>
    </row>
    <row r="4755" spans="1:1" ht="15.75" customHeight="1" x14ac:dyDescent="0.25">
      <c r="A4755" s="39"/>
    </row>
    <row r="4756" spans="1:1" ht="15.75" customHeight="1" x14ac:dyDescent="0.25">
      <c r="A4756" s="39"/>
    </row>
    <row r="4757" spans="1:1" ht="15.75" customHeight="1" x14ac:dyDescent="0.25">
      <c r="A4757" s="39"/>
    </row>
    <row r="4758" spans="1:1" ht="15.75" customHeight="1" x14ac:dyDescent="0.25">
      <c r="A4758" s="39"/>
    </row>
    <row r="4759" spans="1:1" ht="15.75" customHeight="1" x14ac:dyDescent="0.25">
      <c r="A4759" s="39"/>
    </row>
    <row r="4760" spans="1:1" ht="15.75" customHeight="1" x14ac:dyDescent="0.25">
      <c r="A4760" s="39"/>
    </row>
    <row r="4761" spans="1:1" ht="15.75" customHeight="1" x14ac:dyDescent="0.25">
      <c r="A4761" s="39"/>
    </row>
    <row r="4762" spans="1:1" ht="15.75" customHeight="1" x14ac:dyDescent="0.25">
      <c r="A4762" s="39"/>
    </row>
    <row r="4763" spans="1:1" ht="15.75" customHeight="1" x14ac:dyDescent="0.25">
      <c r="A4763" s="39"/>
    </row>
    <row r="4764" spans="1:1" ht="15.75" customHeight="1" x14ac:dyDescent="0.25">
      <c r="A4764" s="39"/>
    </row>
    <row r="4765" spans="1:1" ht="15.75" customHeight="1" x14ac:dyDescent="0.25">
      <c r="A4765" s="39"/>
    </row>
    <row r="4766" spans="1:1" ht="15.75" customHeight="1" x14ac:dyDescent="0.25">
      <c r="A4766" s="39"/>
    </row>
    <row r="4767" spans="1:1" ht="15.75" customHeight="1" x14ac:dyDescent="0.25">
      <c r="A4767" s="39"/>
    </row>
    <row r="4768" spans="1:1" ht="15.75" customHeight="1" x14ac:dyDescent="0.25">
      <c r="A4768" s="39"/>
    </row>
    <row r="4769" spans="1:1" ht="15.75" customHeight="1" x14ac:dyDescent="0.25">
      <c r="A4769" s="39"/>
    </row>
    <row r="4770" spans="1:1" ht="15.75" customHeight="1" x14ac:dyDescent="0.25">
      <c r="A4770" s="39"/>
    </row>
    <row r="4771" spans="1:1" ht="15.75" customHeight="1" x14ac:dyDescent="0.25">
      <c r="A4771" s="39"/>
    </row>
    <row r="4772" spans="1:1" ht="15.75" customHeight="1" x14ac:dyDescent="0.25">
      <c r="A4772" s="39"/>
    </row>
    <row r="4773" spans="1:1" ht="15.75" customHeight="1" x14ac:dyDescent="0.25">
      <c r="A4773" s="39"/>
    </row>
    <row r="4774" spans="1:1" ht="15.75" customHeight="1" x14ac:dyDescent="0.25">
      <c r="A4774" s="39"/>
    </row>
    <row r="4775" spans="1:1" ht="15.75" customHeight="1" x14ac:dyDescent="0.25">
      <c r="A4775" s="39"/>
    </row>
    <row r="4776" spans="1:1" ht="15.75" customHeight="1" x14ac:dyDescent="0.25">
      <c r="A4776" s="39"/>
    </row>
    <row r="4777" spans="1:1" ht="15.75" customHeight="1" x14ac:dyDescent="0.25">
      <c r="A4777" s="39"/>
    </row>
    <row r="4778" spans="1:1" ht="15.75" customHeight="1" x14ac:dyDescent="0.25">
      <c r="A4778" s="39"/>
    </row>
    <row r="4779" spans="1:1" ht="15.75" customHeight="1" x14ac:dyDescent="0.25">
      <c r="A4779" s="39"/>
    </row>
    <row r="4780" spans="1:1" ht="15.75" customHeight="1" x14ac:dyDescent="0.25">
      <c r="A4780" s="39"/>
    </row>
    <row r="4781" spans="1:1" ht="15.75" customHeight="1" x14ac:dyDescent="0.25">
      <c r="A4781" s="39"/>
    </row>
    <row r="4782" spans="1:1" ht="15.75" customHeight="1" x14ac:dyDescent="0.25">
      <c r="A4782" s="39"/>
    </row>
    <row r="4783" spans="1:1" ht="15.75" customHeight="1" x14ac:dyDescent="0.25">
      <c r="A4783" s="39"/>
    </row>
    <row r="4784" spans="1:1" ht="15.75" customHeight="1" x14ac:dyDescent="0.25">
      <c r="A4784" s="39"/>
    </row>
    <row r="4785" spans="1:1" ht="15.75" customHeight="1" x14ac:dyDescent="0.25">
      <c r="A4785" s="39"/>
    </row>
    <row r="4786" spans="1:1" ht="15.75" customHeight="1" x14ac:dyDescent="0.25">
      <c r="A4786" s="39"/>
    </row>
    <row r="4787" spans="1:1" ht="15.75" customHeight="1" x14ac:dyDescent="0.25">
      <c r="A4787" s="39"/>
    </row>
    <row r="4788" spans="1:1" ht="15.75" customHeight="1" x14ac:dyDescent="0.25">
      <c r="A4788" s="39"/>
    </row>
    <row r="4789" spans="1:1" ht="15.75" customHeight="1" x14ac:dyDescent="0.25">
      <c r="A4789" s="39"/>
    </row>
    <row r="4790" spans="1:1" ht="15.75" customHeight="1" x14ac:dyDescent="0.25">
      <c r="A4790" s="39"/>
    </row>
    <row r="4791" spans="1:1" ht="15.75" customHeight="1" x14ac:dyDescent="0.25">
      <c r="A4791" s="39"/>
    </row>
    <row r="4792" spans="1:1" ht="15.75" customHeight="1" x14ac:dyDescent="0.25">
      <c r="A4792" s="39"/>
    </row>
    <row r="4793" spans="1:1" ht="15.75" customHeight="1" x14ac:dyDescent="0.25">
      <c r="A4793" s="39"/>
    </row>
    <row r="4794" spans="1:1" ht="15.75" customHeight="1" x14ac:dyDescent="0.25">
      <c r="A4794" s="39"/>
    </row>
    <row r="4795" spans="1:1" ht="15.75" customHeight="1" x14ac:dyDescent="0.25">
      <c r="A4795" s="39"/>
    </row>
    <row r="4796" spans="1:1" ht="15.75" customHeight="1" x14ac:dyDescent="0.25">
      <c r="A4796" s="39"/>
    </row>
    <row r="4797" spans="1:1" ht="15.75" customHeight="1" x14ac:dyDescent="0.25">
      <c r="A4797" s="39"/>
    </row>
    <row r="4798" spans="1:1" ht="15.75" customHeight="1" x14ac:dyDescent="0.25">
      <c r="A4798" s="39"/>
    </row>
    <row r="4799" spans="1:1" ht="15.75" customHeight="1" x14ac:dyDescent="0.25">
      <c r="A4799" s="39"/>
    </row>
    <row r="4800" spans="1:1" ht="15.75" customHeight="1" x14ac:dyDescent="0.25">
      <c r="A4800" s="39"/>
    </row>
    <row r="4801" spans="1:1" ht="15.75" customHeight="1" x14ac:dyDescent="0.25">
      <c r="A4801" s="39"/>
    </row>
    <row r="4802" spans="1:1" ht="15.75" customHeight="1" x14ac:dyDescent="0.25">
      <c r="A4802" s="39"/>
    </row>
    <row r="4803" spans="1:1" ht="15.75" customHeight="1" x14ac:dyDescent="0.25">
      <c r="A4803" s="39"/>
    </row>
    <row r="4804" spans="1:1" ht="15.75" customHeight="1" x14ac:dyDescent="0.25">
      <c r="A4804" s="39"/>
    </row>
    <row r="4805" spans="1:1" ht="15.75" customHeight="1" x14ac:dyDescent="0.25">
      <c r="A4805" s="39"/>
    </row>
    <row r="4806" spans="1:1" ht="15.75" customHeight="1" x14ac:dyDescent="0.25">
      <c r="A4806" s="39"/>
    </row>
    <row r="4807" spans="1:1" ht="15.75" customHeight="1" x14ac:dyDescent="0.25">
      <c r="A4807" s="39"/>
    </row>
    <row r="4808" spans="1:1" ht="15.75" customHeight="1" x14ac:dyDescent="0.25">
      <c r="A4808" s="39"/>
    </row>
    <row r="4809" spans="1:1" ht="15.75" customHeight="1" x14ac:dyDescent="0.25">
      <c r="A4809" s="39"/>
    </row>
    <row r="4810" spans="1:1" ht="15.75" customHeight="1" x14ac:dyDescent="0.25">
      <c r="A4810" s="39"/>
    </row>
    <row r="4811" spans="1:1" ht="15.75" customHeight="1" x14ac:dyDescent="0.25">
      <c r="A4811" s="39"/>
    </row>
    <row r="4812" spans="1:1" ht="15.75" customHeight="1" x14ac:dyDescent="0.25">
      <c r="A4812" s="39"/>
    </row>
    <row r="4813" spans="1:1" ht="15.75" customHeight="1" x14ac:dyDescent="0.25">
      <c r="A4813" s="39"/>
    </row>
    <row r="4814" spans="1:1" ht="15.75" customHeight="1" x14ac:dyDescent="0.25">
      <c r="A4814" s="39"/>
    </row>
    <row r="4815" spans="1:1" ht="15.75" customHeight="1" x14ac:dyDescent="0.25">
      <c r="A4815" s="39"/>
    </row>
    <row r="4816" spans="1:1" ht="15.75" customHeight="1" x14ac:dyDescent="0.25">
      <c r="A4816" s="39"/>
    </row>
    <row r="4817" spans="1:1" ht="15.75" customHeight="1" x14ac:dyDescent="0.25">
      <c r="A4817" s="39"/>
    </row>
    <row r="4818" spans="1:1" ht="15.75" customHeight="1" x14ac:dyDescent="0.25">
      <c r="A4818" s="39"/>
    </row>
    <row r="4819" spans="1:1" ht="15.75" customHeight="1" x14ac:dyDescent="0.25">
      <c r="A4819" s="39"/>
    </row>
    <row r="4820" spans="1:1" ht="15.75" customHeight="1" x14ac:dyDescent="0.25">
      <c r="A4820" s="39"/>
    </row>
    <row r="4821" spans="1:1" ht="15.75" customHeight="1" x14ac:dyDescent="0.25">
      <c r="A4821" s="39"/>
    </row>
    <row r="4822" spans="1:1" ht="15.75" customHeight="1" x14ac:dyDescent="0.25">
      <c r="A4822" s="39"/>
    </row>
    <row r="4823" spans="1:1" ht="15.75" customHeight="1" x14ac:dyDescent="0.25">
      <c r="A4823" s="39"/>
    </row>
    <row r="4824" spans="1:1" ht="15.75" customHeight="1" x14ac:dyDescent="0.25">
      <c r="A4824" s="39"/>
    </row>
    <row r="4825" spans="1:1" ht="15.75" customHeight="1" x14ac:dyDescent="0.25">
      <c r="A4825" s="39"/>
    </row>
    <row r="4826" spans="1:1" ht="15.75" customHeight="1" x14ac:dyDescent="0.25">
      <c r="A4826" s="39"/>
    </row>
    <row r="4827" spans="1:1" ht="15.75" customHeight="1" x14ac:dyDescent="0.25">
      <c r="A4827" s="39"/>
    </row>
    <row r="4828" spans="1:1" ht="15.75" customHeight="1" x14ac:dyDescent="0.25">
      <c r="A4828" s="39"/>
    </row>
    <row r="4829" spans="1:1" ht="15.75" customHeight="1" x14ac:dyDescent="0.25">
      <c r="A4829" s="39"/>
    </row>
    <row r="4830" spans="1:1" ht="15.75" customHeight="1" x14ac:dyDescent="0.25">
      <c r="A4830" s="39"/>
    </row>
    <row r="4831" spans="1:1" ht="15.75" customHeight="1" x14ac:dyDescent="0.25">
      <c r="A4831" s="39"/>
    </row>
    <row r="4832" spans="1:1" ht="15.75" customHeight="1" x14ac:dyDescent="0.25">
      <c r="A4832" s="39"/>
    </row>
    <row r="4833" spans="1:1" ht="15.75" customHeight="1" x14ac:dyDescent="0.25">
      <c r="A4833" s="39"/>
    </row>
    <row r="4834" spans="1:1" ht="15.75" customHeight="1" x14ac:dyDescent="0.25">
      <c r="A4834" s="39"/>
    </row>
    <row r="4835" spans="1:1" ht="15.75" customHeight="1" x14ac:dyDescent="0.25">
      <c r="A4835" s="39"/>
    </row>
    <row r="4836" spans="1:1" ht="15.75" customHeight="1" x14ac:dyDescent="0.25">
      <c r="A4836" s="39"/>
    </row>
    <row r="4837" spans="1:1" ht="15.75" customHeight="1" x14ac:dyDescent="0.25">
      <c r="A4837" s="39"/>
    </row>
    <row r="4838" spans="1:1" ht="15.75" customHeight="1" x14ac:dyDescent="0.25">
      <c r="A4838" s="39"/>
    </row>
    <row r="4839" spans="1:1" ht="15.75" customHeight="1" x14ac:dyDescent="0.25">
      <c r="A4839" s="39"/>
    </row>
    <row r="4840" spans="1:1" ht="15.75" customHeight="1" x14ac:dyDescent="0.25">
      <c r="A4840" s="39"/>
    </row>
    <row r="4841" spans="1:1" ht="15.75" customHeight="1" x14ac:dyDescent="0.25">
      <c r="A4841" s="39"/>
    </row>
    <row r="4842" spans="1:1" ht="15.75" customHeight="1" x14ac:dyDescent="0.25">
      <c r="A4842" s="39"/>
    </row>
    <row r="4843" spans="1:1" ht="15.75" customHeight="1" x14ac:dyDescent="0.25">
      <c r="A4843" s="39"/>
    </row>
    <row r="4844" spans="1:1" ht="15.75" customHeight="1" x14ac:dyDescent="0.25">
      <c r="A4844" s="39"/>
    </row>
    <row r="4845" spans="1:1" ht="15.75" customHeight="1" x14ac:dyDescent="0.25">
      <c r="A4845" s="39"/>
    </row>
    <row r="4846" spans="1:1" ht="15.75" customHeight="1" x14ac:dyDescent="0.25">
      <c r="A4846" s="39"/>
    </row>
    <row r="4847" spans="1:1" ht="15.75" customHeight="1" x14ac:dyDescent="0.25">
      <c r="A4847" s="39"/>
    </row>
    <row r="4848" spans="1:1" ht="15.75" customHeight="1" x14ac:dyDescent="0.25">
      <c r="A4848" s="39"/>
    </row>
    <row r="4849" spans="1:1" ht="15.75" customHeight="1" x14ac:dyDescent="0.25">
      <c r="A4849" s="39"/>
    </row>
    <row r="4850" spans="1:1" ht="15.75" customHeight="1" x14ac:dyDescent="0.25">
      <c r="A4850" s="39"/>
    </row>
    <row r="4851" spans="1:1" ht="15.75" customHeight="1" x14ac:dyDescent="0.25">
      <c r="A4851" s="39"/>
    </row>
    <row r="4852" spans="1:1" ht="15.75" customHeight="1" x14ac:dyDescent="0.25">
      <c r="A4852" s="39"/>
    </row>
    <row r="4853" spans="1:1" ht="15.75" customHeight="1" x14ac:dyDescent="0.25">
      <c r="A4853" s="39"/>
    </row>
    <row r="4854" spans="1:1" ht="15.75" customHeight="1" x14ac:dyDescent="0.25">
      <c r="A4854" s="39"/>
    </row>
    <row r="4855" spans="1:1" ht="15.75" customHeight="1" x14ac:dyDescent="0.25">
      <c r="A4855" s="39"/>
    </row>
    <row r="4856" spans="1:1" ht="15.75" customHeight="1" x14ac:dyDescent="0.25">
      <c r="A4856" s="39"/>
    </row>
    <row r="4857" spans="1:1" ht="15.75" customHeight="1" x14ac:dyDescent="0.25">
      <c r="A4857" s="39"/>
    </row>
    <row r="4858" spans="1:1" ht="15.75" customHeight="1" x14ac:dyDescent="0.25">
      <c r="A4858" s="39"/>
    </row>
    <row r="4859" spans="1:1" ht="15.75" customHeight="1" x14ac:dyDescent="0.25">
      <c r="A4859" s="39"/>
    </row>
    <row r="4860" spans="1:1" ht="15.75" customHeight="1" x14ac:dyDescent="0.25">
      <c r="A4860" s="39"/>
    </row>
    <row r="4861" spans="1:1" ht="15.75" customHeight="1" x14ac:dyDescent="0.25">
      <c r="A4861" s="39"/>
    </row>
    <row r="4862" spans="1:1" ht="15.75" customHeight="1" x14ac:dyDescent="0.25">
      <c r="A4862" s="39"/>
    </row>
    <row r="4863" spans="1:1" ht="15.75" customHeight="1" x14ac:dyDescent="0.25">
      <c r="A4863" s="39"/>
    </row>
    <row r="4864" spans="1:1" ht="15.75" customHeight="1" x14ac:dyDescent="0.25">
      <c r="A4864" s="39"/>
    </row>
    <row r="4865" spans="1:1" ht="15.75" customHeight="1" x14ac:dyDescent="0.25">
      <c r="A4865" s="39"/>
    </row>
    <row r="4866" spans="1:1" ht="15.75" customHeight="1" x14ac:dyDescent="0.25">
      <c r="A4866" s="39"/>
    </row>
    <row r="4867" spans="1:1" ht="15.75" customHeight="1" x14ac:dyDescent="0.25">
      <c r="A4867" s="39"/>
    </row>
    <row r="4868" spans="1:1" ht="15.75" customHeight="1" x14ac:dyDescent="0.25">
      <c r="A4868" s="39"/>
    </row>
    <row r="4869" spans="1:1" ht="15.75" customHeight="1" x14ac:dyDescent="0.25">
      <c r="A4869" s="39"/>
    </row>
    <row r="4870" spans="1:1" ht="15.75" customHeight="1" x14ac:dyDescent="0.25">
      <c r="A4870" s="39"/>
    </row>
    <row r="4871" spans="1:1" ht="15.75" customHeight="1" x14ac:dyDescent="0.25">
      <c r="A4871" s="39"/>
    </row>
    <row r="4872" spans="1:1" ht="15.75" customHeight="1" x14ac:dyDescent="0.25">
      <c r="A4872" s="39"/>
    </row>
    <row r="4873" spans="1:1" ht="15.75" customHeight="1" x14ac:dyDescent="0.25">
      <c r="A4873" s="39"/>
    </row>
    <row r="4874" spans="1:1" ht="15.75" customHeight="1" x14ac:dyDescent="0.25">
      <c r="A4874" s="39"/>
    </row>
    <row r="4875" spans="1:1" ht="15.75" customHeight="1" x14ac:dyDescent="0.25">
      <c r="A4875" s="39"/>
    </row>
    <row r="4876" spans="1:1" ht="15.75" customHeight="1" x14ac:dyDescent="0.25">
      <c r="A4876" s="39"/>
    </row>
    <row r="4877" spans="1:1" ht="15.75" customHeight="1" x14ac:dyDescent="0.25">
      <c r="A4877" s="39"/>
    </row>
    <row r="4878" spans="1:1" ht="15.75" customHeight="1" x14ac:dyDescent="0.25">
      <c r="A4878" s="39"/>
    </row>
    <row r="4879" spans="1:1" ht="15.75" customHeight="1" x14ac:dyDescent="0.25">
      <c r="A4879" s="39"/>
    </row>
    <row r="4880" spans="1:1" ht="15.75" customHeight="1" x14ac:dyDescent="0.25">
      <c r="A4880" s="39"/>
    </row>
    <row r="4881" spans="1:1" ht="15.75" customHeight="1" x14ac:dyDescent="0.25">
      <c r="A4881" s="39"/>
    </row>
    <row r="4882" spans="1:1" ht="15.75" customHeight="1" x14ac:dyDescent="0.25">
      <c r="A4882" s="39"/>
    </row>
    <row r="4883" spans="1:1" ht="15.75" customHeight="1" x14ac:dyDescent="0.25">
      <c r="A4883" s="39"/>
    </row>
    <row r="4884" spans="1:1" ht="15.75" customHeight="1" x14ac:dyDescent="0.25">
      <c r="A4884" s="39"/>
    </row>
    <row r="4885" spans="1:1" ht="15.75" customHeight="1" x14ac:dyDescent="0.25">
      <c r="A4885" s="39"/>
    </row>
    <row r="4886" spans="1:1" ht="15.75" customHeight="1" x14ac:dyDescent="0.25">
      <c r="A4886" s="39"/>
    </row>
    <row r="4887" spans="1:1" ht="15.75" customHeight="1" x14ac:dyDescent="0.25">
      <c r="A4887" s="39"/>
    </row>
    <row r="4888" spans="1:1" ht="15.75" customHeight="1" x14ac:dyDescent="0.25">
      <c r="A4888" s="39"/>
    </row>
    <row r="4889" spans="1:1" ht="15.75" customHeight="1" x14ac:dyDescent="0.25">
      <c r="A4889" s="39"/>
    </row>
    <row r="4890" spans="1:1" ht="15.75" customHeight="1" x14ac:dyDescent="0.25">
      <c r="A4890" s="39"/>
    </row>
    <row r="4891" spans="1:1" ht="15.75" customHeight="1" x14ac:dyDescent="0.25">
      <c r="A4891" s="39"/>
    </row>
    <row r="4892" spans="1:1" ht="15.75" customHeight="1" x14ac:dyDescent="0.25">
      <c r="A4892" s="39"/>
    </row>
    <row r="4893" spans="1:1" ht="15.75" customHeight="1" x14ac:dyDescent="0.25">
      <c r="A4893" s="39"/>
    </row>
    <row r="4894" spans="1:1" ht="15.75" customHeight="1" x14ac:dyDescent="0.25">
      <c r="A4894" s="39"/>
    </row>
    <row r="4895" spans="1:1" ht="15.75" customHeight="1" x14ac:dyDescent="0.25">
      <c r="A4895" s="39"/>
    </row>
    <row r="4896" spans="1:1" ht="15.75" customHeight="1" x14ac:dyDescent="0.25">
      <c r="A4896" s="39"/>
    </row>
    <row r="4897" spans="1:1" ht="15.75" customHeight="1" x14ac:dyDescent="0.25">
      <c r="A4897" s="39"/>
    </row>
    <row r="4898" spans="1:1" ht="15.75" customHeight="1" x14ac:dyDescent="0.25">
      <c r="A4898" s="39"/>
    </row>
    <row r="4899" spans="1:1" ht="15.75" customHeight="1" x14ac:dyDescent="0.25">
      <c r="A4899" s="39"/>
    </row>
    <row r="4900" spans="1:1" ht="15.75" customHeight="1" x14ac:dyDescent="0.25">
      <c r="A4900" s="39"/>
    </row>
    <row r="4901" spans="1:1" ht="15.75" customHeight="1" x14ac:dyDescent="0.25">
      <c r="A4901" s="39"/>
    </row>
    <row r="4902" spans="1:1" ht="15.75" customHeight="1" x14ac:dyDescent="0.25">
      <c r="A4902" s="39"/>
    </row>
    <row r="4903" spans="1:1" ht="15.75" customHeight="1" x14ac:dyDescent="0.25">
      <c r="A4903" s="39"/>
    </row>
    <row r="4904" spans="1:1" ht="15.75" customHeight="1" x14ac:dyDescent="0.25">
      <c r="A4904" s="39"/>
    </row>
    <row r="4905" spans="1:1" ht="15.75" customHeight="1" x14ac:dyDescent="0.25">
      <c r="A4905" s="39"/>
    </row>
    <row r="4906" spans="1:1" ht="15.75" customHeight="1" x14ac:dyDescent="0.25">
      <c r="A4906" s="39"/>
    </row>
    <row r="4907" spans="1:1" ht="15.75" customHeight="1" x14ac:dyDescent="0.25">
      <c r="A4907" s="39"/>
    </row>
    <row r="4908" spans="1:1" ht="15.75" customHeight="1" x14ac:dyDescent="0.25">
      <c r="A4908" s="39"/>
    </row>
    <row r="4909" spans="1:1" ht="15.75" customHeight="1" x14ac:dyDescent="0.25">
      <c r="A4909" s="39"/>
    </row>
    <row r="4910" spans="1:1" ht="15.75" customHeight="1" x14ac:dyDescent="0.25">
      <c r="A4910" s="39"/>
    </row>
    <row r="4911" spans="1:1" ht="15.75" customHeight="1" x14ac:dyDescent="0.25">
      <c r="A4911" s="39"/>
    </row>
    <row r="4912" spans="1:1" ht="15.75" customHeight="1" x14ac:dyDescent="0.25">
      <c r="A4912" s="39"/>
    </row>
    <row r="4913" spans="1:1" ht="15.75" customHeight="1" x14ac:dyDescent="0.25">
      <c r="A4913" s="39"/>
    </row>
    <row r="4914" spans="1:1" ht="15.75" customHeight="1" x14ac:dyDescent="0.25">
      <c r="A4914" s="39"/>
    </row>
    <row r="4915" spans="1:1" ht="15.75" customHeight="1" x14ac:dyDescent="0.25">
      <c r="A4915" s="39"/>
    </row>
    <row r="4916" spans="1:1" ht="15.75" customHeight="1" x14ac:dyDescent="0.25">
      <c r="A4916" s="39"/>
    </row>
    <row r="4917" spans="1:1" ht="15.75" customHeight="1" x14ac:dyDescent="0.25">
      <c r="A4917" s="39"/>
    </row>
    <row r="4918" spans="1:1" ht="15.75" customHeight="1" x14ac:dyDescent="0.25">
      <c r="A4918" s="39"/>
    </row>
    <row r="4919" spans="1:1" ht="15.75" customHeight="1" x14ac:dyDescent="0.25">
      <c r="A4919" s="39"/>
    </row>
    <row r="4920" spans="1:1" ht="15.75" customHeight="1" x14ac:dyDescent="0.25">
      <c r="A4920" s="39"/>
    </row>
    <row r="4921" spans="1:1" ht="15.75" customHeight="1" x14ac:dyDescent="0.25">
      <c r="A4921" s="39"/>
    </row>
    <row r="4922" spans="1:1" ht="15.75" customHeight="1" x14ac:dyDescent="0.25">
      <c r="A4922" s="39"/>
    </row>
    <row r="4923" spans="1:1" ht="15.75" customHeight="1" x14ac:dyDescent="0.25">
      <c r="A4923" s="39"/>
    </row>
    <row r="4924" spans="1:1" ht="15.75" customHeight="1" x14ac:dyDescent="0.25">
      <c r="A4924" s="39"/>
    </row>
    <row r="4925" spans="1:1" ht="15.75" customHeight="1" x14ac:dyDescent="0.25">
      <c r="A4925" s="39"/>
    </row>
    <row r="4926" spans="1:1" ht="15.75" customHeight="1" x14ac:dyDescent="0.25">
      <c r="A4926" s="39"/>
    </row>
    <row r="4927" spans="1:1" ht="15.75" customHeight="1" x14ac:dyDescent="0.25">
      <c r="A4927" s="39"/>
    </row>
    <row r="4928" spans="1:1" ht="15.75" customHeight="1" x14ac:dyDescent="0.25">
      <c r="A4928" s="39"/>
    </row>
    <row r="4929" spans="1:1" ht="15.75" customHeight="1" x14ac:dyDescent="0.25">
      <c r="A4929" s="39"/>
    </row>
    <row r="4930" spans="1:1" ht="15.75" customHeight="1" x14ac:dyDescent="0.25">
      <c r="A4930" s="39"/>
    </row>
    <row r="4931" spans="1:1" ht="15.75" customHeight="1" x14ac:dyDescent="0.25">
      <c r="A4931" s="39"/>
    </row>
    <row r="4932" spans="1:1" ht="15.75" customHeight="1" x14ac:dyDescent="0.25">
      <c r="A4932" s="39"/>
    </row>
    <row r="4933" spans="1:1" ht="15.75" customHeight="1" x14ac:dyDescent="0.25">
      <c r="A4933" s="39"/>
    </row>
    <row r="4934" spans="1:1" ht="15.75" customHeight="1" x14ac:dyDescent="0.25">
      <c r="A4934" s="39"/>
    </row>
    <row r="4935" spans="1:1" ht="15.75" customHeight="1" x14ac:dyDescent="0.25">
      <c r="A4935" s="39"/>
    </row>
    <row r="4936" spans="1:1" ht="15.75" customHeight="1" x14ac:dyDescent="0.25">
      <c r="A4936" s="39"/>
    </row>
    <row r="4937" spans="1:1" ht="15.75" customHeight="1" x14ac:dyDescent="0.25">
      <c r="A4937" s="39"/>
    </row>
    <row r="4938" spans="1:1" ht="15.75" customHeight="1" x14ac:dyDescent="0.25">
      <c r="A4938" s="39"/>
    </row>
    <row r="4939" spans="1:1" ht="15.75" customHeight="1" x14ac:dyDescent="0.25">
      <c r="A4939" s="39"/>
    </row>
    <row r="4940" spans="1:1" ht="15.75" customHeight="1" x14ac:dyDescent="0.25">
      <c r="A4940" s="39"/>
    </row>
    <row r="4941" spans="1:1" ht="15.75" customHeight="1" x14ac:dyDescent="0.25">
      <c r="A4941" s="39"/>
    </row>
    <row r="4942" spans="1:1" ht="15.75" customHeight="1" x14ac:dyDescent="0.25">
      <c r="A4942" s="39"/>
    </row>
    <row r="4943" spans="1:1" ht="15.75" customHeight="1" x14ac:dyDescent="0.25">
      <c r="A4943" s="39"/>
    </row>
    <row r="4944" spans="1:1" ht="15.75" customHeight="1" x14ac:dyDescent="0.25">
      <c r="A4944" s="39"/>
    </row>
    <row r="4945" spans="1:1" ht="15.75" customHeight="1" x14ac:dyDescent="0.25">
      <c r="A4945" s="39"/>
    </row>
    <row r="4946" spans="1:1" ht="15.75" customHeight="1" x14ac:dyDescent="0.25">
      <c r="A4946" s="39"/>
    </row>
    <row r="4947" spans="1:1" ht="15.75" customHeight="1" x14ac:dyDescent="0.25">
      <c r="A4947" s="39"/>
    </row>
    <row r="4948" spans="1:1" ht="15.75" customHeight="1" x14ac:dyDescent="0.25">
      <c r="A4948" s="39"/>
    </row>
    <row r="4949" spans="1:1" ht="15.75" customHeight="1" x14ac:dyDescent="0.25">
      <c r="A4949" s="39"/>
    </row>
    <row r="4950" spans="1:1" ht="15.75" customHeight="1" x14ac:dyDescent="0.25">
      <c r="A4950" s="39"/>
    </row>
    <row r="4951" spans="1:1" ht="15.75" customHeight="1" x14ac:dyDescent="0.25">
      <c r="A4951" s="39"/>
    </row>
    <row r="4952" spans="1:1" ht="15.75" customHeight="1" x14ac:dyDescent="0.25">
      <c r="A4952" s="39"/>
    </row>
    <row r="4953" spans="1:1" ht="15.75" customHeight="1" x14ac:dyDescent="0.25">
      <c r="A4953" s="39"/>
    </row>
    <row r="4954" spans="1:1" ht="15.75" customHeight="1" x14ac:dyDescent="0.25">
      <c r="A4954" s="39"/>
    </row>
    <row r="4955" spans="1:1" ht="15.75" customHeight="1" x14ac:dyDescent="0.25">
      <c r="A4955" s="39"/>
    </row>
    <row r="4956" spans="1:1" ht="15.75" customHeight="1" x14ac:dyDescent="0.25">
      <c r="A4956" s="39"/>
    </row>
    <row r="4957" spans="1:1" ht="15.75" customHeight="1" x14ac:dyDescent="0.25">
      <c r="A4957" s="39"/>
    </row>
    <row r="4958" spans="1:1" ht="15.75" customHeight="1" x14ac:dyDescent="0.25">
      <c r="A4958" s="39"/>
    </row>
    <row r="4959" spans="1:1" ht="15.75" customHeight="1" x14ac:dyDescent="0.25">
      <c r="A4959" s="39"/>
    </row>
    <row r="4960" spans="1:1" ht="15.75" customHeight="1" x14ac:dyDescent="0.25">
      <c r="A4960" s="39"/>
    </row>
    <row r="4961" spans="1:1" ht="15.75" customHeight="1" x14ac:dyDescent="0.25">
      <c r="A4961" s="39"/>
    </row>
    <row r="4962" spans="1:1" ht="15.75" customHeight="1" x14ac:dyDescent="0.25">
      <c r="A4962" s="39"/>
    </row>
    <row r="4963" spans="1:1" ht="15.75" customHeight="1" x14ac:dyDescent="0.25">
      <c r="A4963" s="39"/>
    </row>
    <row r="4964" spans="1:1" ht="15.75" customHeight="1" x14ac:dyDescent="0.25">
      <c r="A4964" s="39"/>
    </row>
    <row r="4965" spans="1:1" ht="15.75" customHeight="1" x14ac:dyDescent="0.25">
      <c r="A4965" s="39"/>
    </row>
    <row r="4966" spans="1:1" ht="15.75" customHeight="1" x14ac:dyDescent="0.25">
      <c r="A4966" s="39"/>
    </row>
    <row r="4967" spans="1:1" ht="15.75" customHeight="1" x14ac:dyDescent="0.25">
      <c r="A4967" s="39"/>
    </row>
    <row r="4968" spans="1:1" ht="15.75" customHeight="1" x14ac:dyDescent="0.25">
      <c r="A4968" s="39"/>
    </row>
    <row r="4969" spans="1:1" ht="15.75" customHeight="1" x14ac:dyDescent="0.25">
      <c r="A4969" s="39"/>
    </row>
    <row r="4970" spans="1:1" ht="15.75" customHeight="1" x14ac:dyDescent="0.25">
      <c r="A4970" s="39"/>
    </row>
    <row r="4971" spans="1:1" ht="15.75" customHeight="1" x14ac:dyDescent="0.25">
      <c r="A4971" s="39"/>
    </row>
    <row r="4972" spans="1:1" ht="15.75" customHeight="1" x14ac:dyDescent="0.25">
      <c r="A4972" s="39"/>
    </row>
    <row r="4973" spans="1:1" ht="15.75" customHeight="1" x14ac:dyDescent="0.25">
      <c r="A4973" s="39"/>
    </row>
    <row r="4974" spans="1:1" ht="15.75" customHeight="1" x14ac:dyDescent="0.25">
      <c r="A4974" s="39"/>
    </row>
    <row r="4975" spans="1:1" ht="15.75" customHeight="1" x14ac:dyDescent="0.25">
      <c r="A4975" s="39"/>
    </row>
    <row r="4976" spans="1:1" ht="15.75" customHeight="1" x14ac:dyDescent="0.25">
      <c r="A4976" s="39"/>
    </row>
    <row r="4977" spans="1:1" ht="15.75" customHeight="1" x14ac:dyDescent="0.25">
      <c r="A4977" s="39"/>
    </row>
    <row r="4978" spans="1:1" ht="15.75" customHeight="1" x14ac:dyDescent="0.25">
      <c r="A4978" s="39"/>
    </row>
    <row r="4979" spans="1:1" ht="15.75" customHeight="1" x14ac:dyDescent="0.25">
      <c r="A4979" s="39"/>
    </row>
    <row r="4980" spans="1:1" ht="15.75" customHeight="1" x14ac:dyDescent="0.25">
      <c r="A4980" s="39"/>
    </row>
    <row r="4981" spans="1:1" ht="15.75" customHeight="1" x14ac:dyDescent="0.25">
      <c r="A4981" s="39"/>
    </row>
    <row r="4982" spans="1:1" ht="15.75" customHeight="1" x14ac:dyDescent="0.25">
      <c r="A4982" s="39"/>
    </row>
    <row r="4983" spans="1:1" ht="15.75" customHeight="1" x14ac:dyDescent="0.25">
      <c r="A4983" s="39"/>
    </row>
    <row r="4984" spans="1:1" ht="15.75" customHeight="1" x14ac:dyDescent="0.25">
      <c r="A4984" s="39"/>
    </row>
    <row r="4985" spans="1:1" ht="15.75" customHeight="1" x14ac:dyDescent="0.25">
      <c r="A4985" s="39"/>
    </row>
    <row r="4986" spans="1:1" ht="15.75" customHeight="1" x14ac:dyDescent="0.25">
      <c r="A4986" s="39"/>
    </row>
    <row r="4987" spans="1:1" ht="15.75" customHeight="1" x14ac:dyDescent="0.25">
      <c r="A4987" s="39"/>
    </row>
    <row r="4988" spans="1:1" ht="15.75" customHeight="1" x14ac:dyDescent="0.25">
      <c r="A4988" s="39"/>
    </row>
    <row r="4989" spans="1:1" ht="15.75" customHeight="1" x14ac:dyDescent="0.25">
      <c r="A4989" s="39"/>
    </row>
    <row r="4990" spans="1:1" ht="15.75" customHeight="1" x14ac:dyDescent="0.25">
      <c r="A4990" s="39"/>
    </row>
    <row r="4991" spans="1:1" ht="15.75" customHeight="1" x14ac:dyDescent="0.25">
      <c r="A4991" s="39"/>
    </row>
    <row r="4992" spans="1:1" ht="15.75" customHeight="1" x14ac:dyDescent="0.25">
      <c r="A4992" s="39"/>
    </row>
    <row r="4993" spans="1:1" ht="15.75" customHeight="1" x14ac:dyDescent="0.25">
      <c r="A4993" s="39"/>
    </row>
    <row r="4994" spans="1:1" ht="15.75" customHeight="1" x14ac:dyDescent="0.25">
      <c r="A4994" s="39"/>
    </row>
    <row r="4995" spans="1:1" ht="15.75" customHeight="1" x14ac:dyDescent="0.25">
      <c r="A4995" s="39"/>
    </row>
    <row r="4996" spans="1:1" ht="15.75" customHeight="1" x14ac:dyDescent="0.25">
      <c r="A4996" s="39"/>
    </row>
    <row r="4997" spans="1:1" ht="15.75" customHeight="1" x14ac:dyDescent="0.25">
      <c r="A4997" s="39"/>
    </row>
    <row r="4998" spans="1:1" ht="15.75" customHeight="1" x14ac:dyDescent="0.25">
      <c r="A4998" s="39"/>
    </row>
    <row r="4999" spans="1:1" ht="15.75" customHeight="1" x14ac:dyDescent="0.25">
      <c r="A4999" s="39"/>
    </row>
    <row r="5000" spans="1:1" ht="15.75" customHeight="1" x14ac:dyDescent="0.25">
      <c r="A5000" s="39"/>
    </row>
    <row r="5001" spans="1:1" ht="15.75" customHeight="1" x14ac:dyDescent="0.25">
      <c r="A5001" s="39"/>
    </row>
    <row r="5002" spans="1:1" ht="15.75" customHeight="1" x14ac:dyDescent="0.25">
      <c r="A5002" s="39"/>
    </row>
    <row r="5003" spans="1:1" ht="15.75" customHeight="1" x14ac:dyDescent="0.25">
      <c r="A5003" s="39"/>
    </row>
    <row r="5004" spans="1:1" ht="15.75" customHeight="1" x14ac:dyDescent="0.25">
      <c r="A5004" s="39"/>
    </row>
    <row r="5005" spans="1:1" ht="15.75" customHeight="1" x14ac:dyDescent="0.25">
      <c r="A5005" s="39"/>
    </row>
    <row r="5006" spans="1:1" ht="15.75" customHeight="1" x14ac:dyDescent="0.25">
      <c r="A5006" s="39"/>
    </row>
    <row r="5007" spans="1:1" ht="15.75" customHeight="1" x14ac:dyDescent="0.25">
      <c r="A5007" s="39"/>
    </row>
    <row r="5008" spans="1:1" ht="15.75" customHeight="1" x14ac:dyDescent="0.25">
      <c r="A5008" s="39"/>
    </row>
    <row r="5009" spans="1:1" ht="15.75" customHeight="1" x14ac:dyDescent="0.25">
      <c r="A5009" s="39"/>
    </row>
    <row r="5010" spans="1:1" ht="15.75" customHeight="1" x14ac:dyDescent="0.25">
      <c r="A5010" s="39"/>
    </row>
    <row r="5011" spans="1:1" ht="15.75" customHeight="1" x14ac:dyDescent="0.25">
      <c r="A5011" s="39"/>
    </row>
    <row r="5012" spans="1:1" ht="15.75" customHeight="1" x14ac:dyDescent="0.25">
      <c r="A5012" s="39"/>
    </row>
    <row r="5013" spans="1:1" ht="15.75" customHeight="1" x14ac:dyDescent="0.25">
      <c r="A5013" s="39"/>
    </row>
    <row r="5014" spans="1:1" ht="15.75" customHeight="1" x14ac:dyDescent="0.25">
      <c r="A5014" s="39"/>
    </row>
    <row r="5015" spans="1:1" ht="15.75" customHeight="1" x14ac:dyDescent="0.25">
      <c r="A5015" s="39"/>
    </row>
    <row r="5016" spans="1:1" ht="15.75" customHeight="1" x14ac:dyDescent="0.25">
      <c r="A5016" s="39"/>
    </row>
    <row r="5017" spans="1:1" ht="15.75" customHeight="1" x14ac:dyDescent="0.25">
      <c r="A5017" s="39"/>
    </row>
    <row r="5018" spans="1:1" ht="15.75" customHeight="1" x14ac:dyDescent="0.25">
      <c r="A5018" s="39"/>
    </row>
    <row r="5019" spans="1:1" ht="15.75" customHeight="1" x14ac:dyDescent="0.25">
      <c r="A5019" s="39"/>
    </row>
    <row r="5020" spans="1:1" ht="15.75" customHeight="1" x14ac:dyDescent="0.25">
      <c r="A5020" s="39"/>
    </row>
    <row r="5021" spans="1:1" ht="15.75" customHeight="1" x14ac:dyDescent="0.25">
      <c r="A5021" s="39"/>
    </row>
    <row r="5022" spans="1:1" ht="15.75" customHeight="1" x14ac:dyDescent="0.25">
      <c r="A5022" s="39"/>
    </row>
    <row r="5023" spans="1:1" ht="15.75" customHeight="1" x14ac:dyDescent="0.25">
      <c r="A5023" s="39"/>
    </row>
    <row r="5024" spans="1:1" ht="15.75" customHeight="1" x14ac:dyDescent="0.25">
      <c r="A5024" s="39"/>
    </row>
    <row r="5025" spans="1:1" ht="15.75" customHeight="1" x14ac:dyDescent="0.25">
      <c r="A5025" s="39"/>
    </row>
    <row r="5026" spans="1:1" ht="15.75" customHeight="1" x14ac:dyDescent="0.25">
      <c r="A5026" s="39"/>
    </row>
    <row r="5027" spans="1:1" ht="15.75" customHeight="1" x14ac:dyDescent="0.25">
      <c r="A5027" s="39"/>
    </row>
    <row r="5028" spans="1:1" ht="15.75" customHeight="1" x14ac:dyDescent="0.25">
      <c r="A5028" s="39"/>
    </row>
    <row r="5029" spans="1:1" ht="15.75" customHeight="1" x14ac:dyDescent="0.25">
      <c r="A5029" s="39"/>
    </row>
    <row r="5030" spans="1:1" ht="15.75" customHeight="1" x14ac:dyDescent="0.25">
      <c r="A5030" s="39"/>
    </row>
    <row r="5031" spans="1:1" ht="15.75" customHeight="1" x14ac:dyDescent="0.25">
      <c r="A5031" s="39"/>
    </row>
    <row r="5032" spans="1:1" ht="15.75" customHeight="1" x14ac:dyDescent="0.25">
      <c r="A5032" s="39"/>
    </row>
    <row r="5033" spans="1:1" ht="15.75" customHeight="1" x14ac:dyDescent="0.25">
      <c r="A5033" s="39"/>
    </row>
    <row r="5034" spans="1:1" ht="15.75" customHeight="1" x14ac:dyDescent="0.25">
      <c r="A5034" s="39"/>
    </row>
    <row r="5035" spans="1:1" ht="15.75" customHeight="1" x14ac:dyDescent="0.25">
      <c r="A5035" s="39"/>
    </row>
    <row r="5036" spans="1:1" ht="15.75" customHeight="1" x14ac:dyDescent="0.25">
      <c r="A5036" s="39"/>
    </row>
    <row r="5037" spans="1:1" ht="15.75" customHeight="1" x14ac:dyDescent="0.25">
      <c r="A5037" s="39"/>
    </row>
    <row r="5038" spans="1:1" ht="15.75" customHeight="1" x14ac:dyDescent="0.25">
      <c r="A5038" s="39"/>
    </row>
    <row r="5039" spans="1:1" ht="15.75" customHeight="1" x14ac:dyDescent="0.25">
      <c r="A5039" s="39"/>
    </row>
    <row r="5040" spans="1:1" ht="15.75" customHeight="1" x14ac:dyDescent="0.25">
      <c r="A5040" s="39"/>
    </row>
    <row r="5041" spans="1:1" ht="15.75" customHeight="1" x14ac:dyDescent="0.25">
      <c r="A5041" s="39"/>
    </row>
    <row r="5042" spans="1:1" ht="15.75" customHeight="1" x14ac:dyDescent="0.25">
      <c r="A5042" s="39"/>
    </row>
    <row r="5043" spans="1:1" ht="15.75" customHeight="1" x14ac:dyDescent="0.25">
      <c r="A5043" s="39"/>
    </row>
    <row r="5044" spans="1:1" ht="15.75" customHeight="1" x14ac:dyDescent="0.25">
      <c r="A5044" s="39"/>
    </row>
    <row r="5045" spans="1:1" ht="15.75" customHeight="1" x14ac:dyDescent="0.25">
      <c r="A5045" s="39"/>
    </row>
    <row r="5046" spans="1:1" ht="15.75" customHeight="1" x14ac:dyDescent="0.25">
      <c r="A5046" s="39"/>
    </row>
    <row r="5047" spans="1:1" ht="15.75" customHeight="1" x14ac:dyDescent="0.25">
      <c r="A5047" s="39"/>
    </row>
    <row r="5048" spans="1:1" ht="15.75" customHeight="1" x14ac:dyDescent="0.25">
      <c r="A5048" s="39"/>
    </row>
    <row r="5049" spans="1:1" ht="15.75" customHeight="1" x14ac:dyDescent="0.25">
      <c r="A5049" s="39"/>
    </row>
    <row r="5050" spans="1:1" ht="15.75" customHeight="1" x14ac:dyDescent="0.25">
      <c r="A5050" s="39"/>
    </row>
    <row r="5051" spans="1:1" ht="15.75" customHeight="1" x14ac:dyDescent="0.25">
      <c r="A5051" s="39"/>
    </row>
    <row r="5052" spans="1:1" ht="15.75" customHeight="1" x14ac:dyDescent="0.25">
      <c r="A5052" s="39"/>
    </row>
    <row r="5053" spans="1:1" ht="15.75" customHeight="1" x14ac:dyDescent="0.25">
      <c r="A5053" s="39"/>
    </row>
    <row r="5054" spans="1:1" ht="15.75" customHeight="1" x14ac:dyDescent="0.25">
      <c r="A5054" s="39"/>
    </row>
    <row r="5055" spans="1:1" ht="15.75" customHeight="1" x14ac:dyDescent="0.25">
      <c r="A5055" s="39"/>
    </row>
    <row r="5056" spans="1:1" ht="15.75" customHeight="1" x14ac:dyDescent="0.25">
      <c r="A5056" s="39"/>
    </row>
    <row r="5057" spans="1:1" ht="15.75" customHeight="1" x14ac:dyDescent="0.25">
      <c r="A5057" s="39"/>
    </row>
    <row r="5058" spans="1:1" ht="15.75" customHeight="1" x14ac:dyDescent="0.25">
      <c r="A5058" s="39"/>
    </row>
    <row r="5059" spans="1:1" ht="15.75" customHeight="1" x14ac:dyDescent="0.25">
      <c r="A5059" s="39"/>
    </row>
    <row r="5060" spans="1:1" ht="15.75" customHeight="1" x14ac:dyDescent="0.25">
      <c r="A5060" s="39"/>
    </row>
    <row r="5061" spans="1:1" ht="15.75" customHeight="1" x14ac:dyDescent="0.25">
      <c r="A5061" s="39"/>
    </row>
    <row r="5062" spans="1:1" ht="15.75" customHeight="1" x14ac:dyDescent="0.25">
      <c r="A5062" s="39"/>
    </row>
    <row r="5063" spans="1:1" ht="15.75" customHeight="1" x14ac:dyDescent="0.25">
      <c r="A5063" s="39"/>
    </row>
    <row r="5064" spans="1:1" ht="15.75" customHeight="1" x14ac:dyDescent="0.25">
      <c r="A5064" s="39"/>
    </row>
    <row r="5065" spans="1:1" ht="15.75" customHeight="1" x14ac:dyDescent="0.25">
      <c r="A5065" s="39"/>
    </row>
    <row r="5066" spans="1:1" ht="15.75" customHeight="1" x14ac:dyDescent="0.25">
      <c r="A5066" s="39"/>
    </row>
    <row r="5067" spans="1:1" ht="15.75" customHeight="1" x14ac:dyDescent="0.25">
      <c r="A5067" s="39"/>
    </row>
    <row r="5068" spans="1:1" ht="15.75" customHeight="1" x14ac:dyDescent="0.25">
      <c r="A5068" s="39"/>
    </row>
    <row r="5069" spans="1:1" ht="15.75" customHeight="1" x14ac:dyDescent="0.25">
      <c r="A5069" s="39"/>
    </row>
    <row r="5070" spans="1:1" ht="15.75" customHeight="1" x14ac:dyDescent="0.25">
      <c r="A5070" s="39"/>
    </row>
    <row r="5071" spans="1:1" ht="15.75" customHeight="1" x14ac:dyDescent="0.25">
      <c r="A5071" s="39"/>
    </row>
    <row r="5072" spans="1:1" ht="15.75" customHeight="1" x14ac:dyDescent="0.25">
      <c r="A5072" s="39"/>
    </row>
    <row r="5073" spans="1:1" ht="15.75" customHeight="1" x14ac:dyDescent="0.25">
      <c r="A5073" s="39"/>
    </row>
    <row r="5074" spans="1:1" ht="15.75" customHeight="1" x14ac:dyDescent="0.25">
      <c r="A5074" s="39"/>
    </row>
    <row r="5075" spans="1:1" ht="15.75" customHeight="1" x14ac:dyDescent="0.25">
      <c r="A5075" s="39"/>
    </row>
    <row r="5076" spans="1:1" ht="15.75" customHeight="1" x14ac:dyDescent="0.25">
      <c r="A5076" s="39"/>
    </row>
    <row r="5077" spans="1:1" ht="15.75" customHeight="1" x14ac:dyDescent="0.25">
      <c r="A5077" s="39"/>
    </row>
    <row r="5078" spans="1:1" ht="15.75" customHeight="1" x14ac:dyDescent="0.25">
      <c r="A5078" s="39"/>
    </row>
    <row r="5079" spans="1:1" ht="15.75" customHeight="1" x14ac:dyDescent="0.25">
      <c r="A5079" s="39"/>
    </row>
    <row r="5080" spans="1:1" ht="15.75" customHeight="1" x14ac:dyDescent="0.25">
      <c r="A5080" s="39"/>
    </row>
    <row r="5081" spans="1:1" ht="15.75" customHeight="1" x14ac:dyDescent="0.25">
      <c r="A5081" s="39"/>
    </row>
    <row r="5082" spans="1:1" ht="15.75" customHeight="1" x14ac:dyDescent="0.25">
      <c r="A5082" s="39"/>
    </row>
    <row r="5083" spans="1:1" ht="15.75" customHeight="1" x14ac:dyDescent="0.25">
      <c r="A5083" s="39"/>
    </row>
    <row r="5084" spans="1:1" ht="15.75" customHeight="1" x14ac:dyDescent="0.25">
      <c r="A5084" s="39"/>
    </row>
    <row r="5085" spans="1:1" ht="15.75" customHeight="1" x14ac:dyDescent="0.25">
      <c r="A5085" s="39"/>
    </row>
    <row r="5086" spans="1:1" ht="15.75" customHeight="1" x14ac:dyDescent="0.25">
      <c r="A5086" s="39"/>
    </row>
    <row r="5087" spans="1:1" ht="15.75" customHeight="1" x14ac:dyDescent="0.25">
      <c r="A5087" s="39"/>
    </row>
    <row r="5088" spans="1:1" ht="15.75" customHeight="1" x14ac:dyDescent="0.25">
      <c r="A5088" s="39"/>
    </row>
    <row r="5089" spans="1:1" ht="15.75" customHeight="1" x14ac:dyDescent="0.25">
      <c r="A5089" s="39"/>
    </row>
    <row r="5090" spans="1:1" ht="15.75" customHeight="1" x14ac:dyDescent="0.25">
      <c r="A5090" s="39"/>
    </row>
    <row r="5091" spans="1:1" ht="15.75" customHeight="1" x14ac:dyDescent="0.25">
      <c r="A5091" s="39"/>
    </row>
    <row r="5092" spans="1:1" ht="15.75" customHeight="1" x14ac:dyDescent="0.25">
      <c r="A5092" s="39"/>
    </row>
    <row r="5093" spans="1:1" ht="15.75" customHeight="1" x14ac:dyDescent="0.25">
      <c r="A5093" s="39"/>
    </row>
    <row r="5094" spans="1:1" ht="15.75" customHeight="1" x14ac:dyDescent="0.25">
      <c r="A5094" s="39"/>
    </row>
    <row r="5095" spans="1:1" ht="15.75" customHeight="1" x14ac:dyDescent="0.25">
      <c r="A5095" s="39"/>
    </row>
    <row r="5096" spans="1:1" ht="15.75" customHeight="1" x14ac:dyDescent="0.25">
      <c r="A5096" s="39"/>
    </row>
    <row r="5097" spans="1:1" ht="15.75" customHeight="1" x14ac:dyDescent="0.25">
      <c r="A5097" s="39"/>
    </row>
    <row r="5098" spans="1:1" ht="15.75" customHeight="1" x14ac:dyDescent="0.25">
      <c r="A5098" s="39"/>
    </row>
    <row r="5099" spans="1:1" ht="15.75" customHeight="1" x14ac:dyDescent="0.25">
      <c r="A5099" s="39"/>
    </row>
    <row r="5100" spans="1:1" ht="15.75" customHeight="1" x14ac:dyDescent="0.25">
      <c r="A5100" s="39"/>
    </row>
    <row r="5101" spans="1:1" ht="15.75" customHeight="1" x14ac:dyDescent="0.25">
      <c r="A5101" s="39"/>
    </row>
    <row r="5102" spans="1:1" ht="15.75" customHeight="1" x14ac:dyDescent="0.25">
      <c r="A5102" s="39"/>
    </row>
    <row r="5103" spans="1:1" ht="15.75" customHeight="1" x14ac:dyDescent="0.25">
      <c r="A5103" s="39"/>
    </row>
    <row r="5104" spans="1:1" ht="15.75" customHeight="1" x14ac:dyDescent="0.25">
      <c r="A5104" s="39"/>
    </row>
    <row r="5105" spans="1:1" ht="15.75" customHeight="1" x14ac:dyDescent="0.25">
      <c r="A5105" s="39"/>
    </row>
    <row r="5106" spans="1:1" ht="15.75" customHeight="1" x14ac:dyDescent="0.25">
      <c r="A5106" s="39"/>
    </row>
    <row r="5107" spans="1:1" ht="15.75" customHeight="1" x14ac:dyDescent="0.25">
      <c r="A5107" s="39"/>
    </row>
    <row r="5108" spans="1:1" ht="15.75" customHeight="1" x14ac:dyDescent="0.25">
      <c r="A5108" s="39"/>
    </row>
    <row r="5109" spans="1:1" ht="15.75" customHeight="1" x14ac:dyDescent="0.25">
      <c r="A5109" s="39"/>
    </row>
    <row r="5110" spans="1:1" ht="15.75" customHeight="1" x14ac:dyDescent="0.25">
      <c r="A5110" s="39"/>
    </row>
    <row r="5111" spans="1:1" ht="15.75" customHeight="1" x14ac:dyDescent="0.25">
      <c r="A5111" s="39"/>
    </row>
    <row r="5112" spans="1:1" ht="15.75" customHeight="1" x14ac:dyDescent="0.25">
      <c r="A5112" s="39"/>
    </row>
    <row r="5113" spans="1:1" ht="15.75" customHeight="1" x14ac:dyDescent="0.25">
      <c r="A5113" s="39"/>
    </row>
    <row r="5114" spans="1:1" ht="15.75" customHeight="1" x14ac:dyDescent="0.25">
      <c r="A5114" s="39"/>
    </row>
    <row r="5115" spans="1:1" ht="15.75" customHeight="1" x14ac:dyDescent="0.25">
      <c r="A5115" s="39"/>
    </row>
    <row r="5116" spans="1:1" ht="15.75" customHeight="1" x14ac:dyDescent="0.25">
      <c r="A5116" s="39"/>
    </row>
    <row r="5117" spans="1:1" ht="15.75" customHeight="1" x14ac:dyDescent="0.25">
      <c r="A5117" s="39"/>
    </row>
    <row r="5118" spans="1:1" ht="15.75" customHeight="1" x14ac:dyDescent="0.25">
      <c r="A5118" s="39"/>
    </row>
    <row r="5119" spans="1:1" ht="15.75" customHeight="1" x14ac:dyDescent="0.25">
      <c r="A5119" s="39"/>
    </row>
    <row r="5120" spans="1:1" ht="15.75" customHeight="1" x14ac:dyDescent="0.25">
      <c r="A5120" s="39"/>
    </row>
    <row r="5121" spans="1:1" ht="15.75" customHeight="1" x14ac:dyDescent="0.25">
      <c r="A5121" s="39"/>
    </row>
    <row r="5122" spans="1:1" ht="15.75" customHeight="1" x14ac:dyDescent="0.25">
      <c r="A5122" s="39"/>
    </row>
    <row r="5123" spans="1:1" ht="15.75" customHeight="1" x14ac:dyDescent="0.25">
      <c r="A5123" s="39"/>
    </row>
    <row r="5124" spans="1:1" ht="15.75" customHeight="1" x14ac:dyDescent="0.25">
      <c r="A5124" s="39"/>
    </row>
    <row r="5125" spans="1:1" ht="15.75" customHeight="1" x14ac:dyDescent="0.25">
      <c r="A5125" s="39"/>
    </row>
    <row r="5126" spans="1:1" ht="15.75" customHeight="1" x14ac:dyDescent="0.25">
      <c r="A5126" s="39"/>
    </row>
    <row r="5127" spans="1:1" ht="15.75" customHeight="1" x14ac:dyDescent="0.25">
      <c r="A5127" s="39"/>
    </row>
    <row r="5128" spans="1:1" ht="15.75" customHeight="1" x14ac:dyDescent="0.25">
      <c r="A5128" s="39"/>
    </row>
    <row r="5129" spans="1:1" ht="15.75" customHeight="1" x14ac:dyDescent="0.25">
      <c r="A5129" s="39"/>
    </row>
    <row r="5130" spans="1:1" ht="15.75" customHeight="1" x14ac:dyDescent="0.25">
      <c r="A5130" s="39"/>
    </row>
    <row r="5131" spans="1:1" ht="15.75" customHeight="1" x14ac:dyDescent="0.25">
      <c r="A5131" s="39"/>
    </row>
    <row r="5132" spans="1:1" ht="15.75" customHeight="1" x14ac:dyDescent="0.25">
      <c r="A5132" s="39"/>
    </row>
    <row r="5133" spans="1:1" ht="15.75" customHeight="1" x14ac:dyDescent="0.25">
      <c r="A5133" s="39"/>
    </row>
    <row r="5134" spans="1:1" ht="15.75" customHeight="1" x14ac:dyDescent="0.25">
      <c r="A5134" s="39"/>
    </row>
    <row r="5135" spans="1:1" ht="15.75" customHeight="1" x14ac:dyDescent="0.25">
      <c r="A5135" s="39"/>
    </row>
    <row r="5136" spans="1:1" ht="15.75" customHeight="1" x14ac:dyDescent="0.25">
      <c r="A5136" s="39"/>
    </row>
    <row r="5137" spans="1:1" ht="15.75" customHeight="1" x14ac:dyDescent="0.25">
      <c r="A5137" s="39"/>
    </row>
    <row r="5138" spans="1:1" ht="15.75" customHeight="1" x14ac:dyDescent="0.25">
      <c r="A5138" s="39"/>
    </row>
    <row r="5139" spans="1:1" ht="15.75" customHeight="1" x14ac:dyDescent="0.25">
      <c r="A5139" s="39"/>
    </row>
    <row r="5140" spans="1:1" ht="15.75" customHeight="1" x14ac:dyDescent="0.25">
      <c r="A5140" s="39"/>
    </row>
    <row r="5141" spans="1:1" ht="15.75" customHeight="1" x14ac:dyDescent="0.25">
      <c r="A5141" s="39"/>
    </row>
    <row r="5142" spans="1:1" ht="15.75" customHeight="1" x14ac:dyDescent="0.25">
      <c r="A5142" s="39"/>
    </row>
    <row r="5143" spans="1:1" ht="15.75" customHeight="1" x14ac:dyDescent="0.25">
      <c r="A5143" s="39"/>
    </row>
    <row r="5144" spans="1:1" ht="15.75" customHeight="1" x14ac:dyDescent="0.25">
      <c r="A5144" s="39"/>
    </row>
    <row r="5145" spans="1:1" ht="15.75" customHeight="1" x14ac:dyDescent="0.25">
      <c r="A5145" s="39"/>
    </row>
    <row r="5146" spans="1:1" ht="15.75" customHeight="1" x14ac:dyDescent="0.25">
      <c r="A5146" s="39"/>
    </row>
    <row r="5147" spans="1:1" ht="15.75" customHeight="1" x14ac:dyDescent="0.25">
      <c r="A5147" s="39"/>
    </row>
    <row r="5148" spans="1:1" ht="15.75" customHeight="1" x14ac:dyDescent="0.25">
      <c r="A5148" s="39"/>
    </row>
    <row r="5149" spans="1:1" ht="15.75" customHeight="1" x14ac:dyDescent="0.25">
      <c r="A5149" s="39"/>
    </row>
    <row r="5150" spans="1:1" ht="15.75" customHeight="1" x14ac:dyDescent="0.25">
      <c r="A5150" s="39"/>
    </row>
    <row r="5151" spans="1:1" ht="15.75" customHeight="1" x14ac:dyDescent="0.25">
      <c r="A5151" s="39"/>
    </row>
    <row r="5152" spans="1:1" ht="15.75" customHeight="1" x14ac:dyDescent="0.25">
      <c r="A5152" s="39"/>
    </row>
    <row r="5153" spans="1:1" ht="15.75" customHeight="1" x14ac:dyDescent="0.25">
      <c r="A5153" s="39"/>
    </row>
    <row r="5154" spans="1:1" ht="15.75" customHeight="1" x14ac:dyDescent="0.25">
      <c r="A5154" s="39"/>
    </row>
    <row r="5155" spans="1:1" ht="15.75" customHeight="1" x14ac:dyDescent="0.25">
      <c r="A5155" s="39"/>
    </row>
    <row r="5156" spans="1:1" ht="15.75" customHeight="1" x14ac:dyDescent="0.25">
      <c r="A5156" s="39"/>
    </row>
    <row r="5157" spans="1:1" ht="15.75" customHeight="1" x14ac:dyDescent="0.25">
      <c r="A5157" s="39"/>
    </row>
    <row r="5158" spans="1:1" ht="15.75" customHeight="1" x14ac:dyDescent="0.25">
      <c r="A5158" s="39"/>
    </row>
    <row r="5159" spans="1:1" ht="15.75" customHeight="1" x14ac:dyDescent="0.25">
      <c r="A5159" s="39"/>
    </row>
    <row r="5160" spans="1:1" ht="15.75" customHeight="1" x14ac:dyDescent="0.25">
      <c r="A5160" s="39"/>
    </row>
    <row r="5161" spans="1:1" ht="15.75" customHeight="1" x14ac:dyDescent="0.25">
      <c r="A5161" s="39"/>
    </row>
    <row r="5162" spans="1:1" ht="15.75" customHeight="1" x14ac:dyDescent="0.25">
      <c r="A5162" s="39"/>
    </row>
    <row r="5163" spans="1:1" ht="15.75" customHeight="1" x14ac:dyDescent="0.25">
      <c r="A5163" s="39"/>
    </row>
    <row r="5164" spans="1:1" ht="15.75" customHeight="1" x14ac:dyDescent="0.25">
      <c r="A5164" s="39"/>
    </row>
    <row r="5165" spans="1:1" ht="15.75" customHeight="1" x14ac:dyDescent="0.25">
      <c r="A5165" s="39"/>
    </row>
    <row r="5166" spans="1:1" ht="15.75" customHeight="1" x14ac:dyDescent="0.25">
      <c r="A5166" s="39"/>
    </row>
    <row r="5167" spans="1:1" ht="15.75" customHeight="1" x14ac:dyDescent="0.25">
      <c r="A5167" s="39"/>
    </row>
    <row r="5168" spans="1:1" ht="15.75" customHeight="1" x14ac:dyDescent="0.25">
      <c r="A5168" s="39"/>
    </row>
    <row r="5169" spans="1:1" ht="15.75" customHeight="1" x14ac:dyDescent="0.25">
      <c r="A5169" s="39"/>
    </row>
    <row r="5170" spans="1:1" ht="15.75" customHeight="1" x14ac:dyDescent="0.25">
      <c r="A5170" s="39"/>
    </row>
    <row r="5171" spans="1:1" ht="15.75" customHeight="1" x14ac:dyDescent="0.25">
      <c r="A5171" s="39"/>
    </row>
    <row r="5172" spans="1:1" ht="15.75" customHeight="1" x14ac:dyDescent="0.25">
      <c r="A5172" s="39"/>
    </row>
    <row r="5173" spans="1:1" ht="15.75" customHeight="1" x14ac:dyDescent="0.25">
      <c r="A5173" s="39"/>
    </row>
    <row r="5174" spans="1:1" ht="15.75" customHeight="1" x14ac:dyDescent="0.25">
      <c r="A5174" s="39"/>
    </row>
    <row r="5175" spans="1:1" ht="15.75" customHeight="1" x14ac:dyDescent="0.25">
      <c r="A5175" s="39"/>
    </row>
    <row r="5176" spans="1:1" ht="15.75" customHeight="1" x14ac:dyDescent="0.25">
      <c r="A5176" s="39"/>
    </row>
    <row r="5177" spans="1:1" ht="15.75" customHeight="1" x14ac:dyDescent="0.25">
      <c r="A5177" s="39"/>
    </row>
    <row r="5178" spans="1:1" ht="15.75" customHeight="1" x14ac:dyDescent="0.25">
      <c r="A5178" s="39"/>
    </row>
    <row r="5179" spans="1:1" ht="15.75" customHeight="1" x14ac:dyDescent="0.25">
      <c r="A5179" s="39"/>
    </row>
    <row r="5180" spans="1:1" ht="15.75" customHeight="1" x14ac:dyDescent="0.25">
      <c r="A5180" s="39"/>
    </row>
    <row r="5181" spans="1:1" ht="15.75" customHeight="1" x14ac:dyDescent="0.25">
      <c r="A5181" s="39"/>
    </row>
    <row r="5182" spans="1:1" ht="15.75" customHeight="1" x14ac:dyDescent="0.25">
      <c r="A5182" s="39"/>
    </row>
    <row r="5183" spans="1:1" ht="15.75" customHeight="1" x14ac:dyDescent="0.25">
      <c r="A5183" s="39"/>
    </row>
    <row r="5184" spans="1:1" ht="15.75" customHeight="1" x14ac:dyDescent="0.25">
      <c r="A5184" s="39"/>
    </row>
    <row r="5185" spans="1:1" ht="15.75" customHeight="1" x14ac:dyDescent="0.25">
      <c r="A5185" s="39"/>
    </row>
    <row r="5186" spans="1:1" ht="15.75" customHeight="1" x14ac:dyDescent="0.25">
      <c r="A5186" s="39"/>
    </row>
    <row r="5187" spans="1:1" ht="15.75" customHeight="1" x14ac:dyDescent="0.25">
      <c r="A5187" s="39"/>
    </row>
    <row r="5188" spans="1:1" ht="15.75" customHeight="1" x14ac:dyDescent="0.25">
      <c r="A5188" s="39"/>
    </row>
    <row r="5189" spans="1:1" ht="15.75" customHeight="1" x14ac:dyDescent="0.25">
      <c r="A5189" s="39"/>
    </row>
    <row r="5190" spans="1:1" ht="15.75" customHeight="1" x14ac:dyDescent="0.25">
      <c r="A5190" s="39"/>
    </row>
    <row r="5191" spans="1:1" ht="15.75" customHeight="1" x14ac:dyDescent="0.25">
      <c r="A5191" s="39"/>
    </row>
    <row r="5192" spans="1:1" ht="15.75" customHeight="1" x14ac:dyDescent="0.25">
      <c r="A5192" s="39"/>
    </row>
    <row r="5193" spans="1:1" ht="15.75" customHeight="1" x14ac:dyDescent="0.25">
      <c r="A5193" s="39"/>
    </row>
    <row r="5194" spans="1:1" ht="15.75" customHeight="1" x14ac:dyDescent="0.25">
      <c r="A5194" s="39"/>
    </row>
    <row r="5195" spans="1:1" ht="15.75" customHeight="1" x14ac:dyDescent="0.25">
      <c r="A5195" s="39"/>
    </row>
    <row r="5196" spans="1:1" ht="15.75" customHeight="1" x14ac:dyDescent="0.25">
      <c r="A5196" s="39"/>
    </row>
    <row r="5197" spans="1:1" ht="15.75" customHeight="1" x14ac:dyDescent="0.25">
      <c r="A5197" s="39"/>
    </row>
    <row r="5198" spans="1:1" ht="15.75" customHeight="1" x14ac:dyDescent="0.25">
      <c r="A5198" s="39"/>
    </row>
    <row r="5199" spans="1:1" ht="15.75" customHeight="1" x14ac:dyDescent="0.25">
      <c r="A5199" s="39"/>
    </row>
    <row r="5200" spans="1:1" ht="15.75" customHeight="1" x14ac:dyDescent="0.25">
      <c r="A5200" s="39"/>
    </row>
    <row r="5201" spans="1:1" ht="15.75" customHeight="1" x14ac:dyDescent="0.25">
      <c r="A5201" s="39"/>
    </row>
    <row r="5202" spans="1:1" ht="15.75" customHeight="1" x14ac:dyDescent="0.25">
      <c r="A5202" s="39"/>
    </row>
    <row r="5203" spans="1:1" ht="15.75" customHeight="1" x14ac:dyDescent="0.25">
      <c r="A5203" s="39"/>
    </row>
    <row r="5204" spans="1:1" ht="15.75" customHeight="1" x14ac:dyDescent="0.25">
      <c r="A5204" s="39"/>
    </row>
    <row r="5205" spans="1:1" ht="15.75" customHeight="1" x14ac:dyDescent="0.25">
      <c r="A5205" s="39"/>
    </row>
    <row r="5206" spans="1:1" ht="15.75" customHeight="1" x14ac:dyDescent="0.25">
      <c r="A5206" s="39"/>
    </row>
    <row r="5207" spans="1:1" ht="15.75" customHeight="1" x14ac:dyDescent="0.25">
      <c r="A5207" s="39"/>
    </row>
    <row r="5208" spans="1:1" ht="15.75" customHeight="1" x14ac:dyDescent="0.25">
      <c r="A5208" s="39"/>
    </row>
    <row r="5209" spans="1:1" ht="15.75" customHeight="1" x14ac:dyDescent="0.25">
      <c r="A5209" s="39"/>
    </row>
    <row r="5210" spans="1:1" ht="15.75" customHeight="1" x14ac:dyDescent="0.25">
      <c r="A5210" s="39"/>
    </row>
    <row r="5211" spans="1:1" ht="15.75" customHeight="1" x14ac:dyDescent="0.25">
      <c r="A5211" s="39"/>
    </row>
    <row r="5212" spans="1:1" ht="15.75" customHeight="1" x14ac:dyDescent="0.25">
      <c r="A5212" s="39"/>
    </row>
    <row r="5213" spans="1:1" ht="15.75" customHeight="1" x14ac:dyDescent="0.25">
      <c r="A5213" s="39"/>
    </row>
    <row r="5214" spans="1:1" ht="15.75" customHeight="1" x14ac:dyDescent="0.25">
      <c r="A5214" s="39"/>
    </row>
    <row r="5215" spans="1:1" ht="15.75" customHeight="1" x14ac:dyDescent="0.25">
      <c r="A5215" s="39"/>
    </row>
    <row r="5216" spans="1:1" ht="15.75" customHeight="1" x14ac:dyDescent="0.25">
      <c r="A5216" s="39"/>
    </row>
    <row r="5217" spans="1:1" ht="15.75" customHeight="1" x14ac:dyDescent="0.25">
      <c r="A5217" s="39"/>
    </row>
    <row r="5218" spans="1:1" ht="15.75" customHeight="1" x14ac:dyDescent="0.25">
      <c r="A5218" s="39"/>
    </row>
    <row r="5219" spans="1:1" ht="15.75" customHeight="1" x14ac:dyDescent="0.25">
      <c r="A5219" s="39"/>
    </row>
    <row r="5220" spans="1:1" ht="15.75" customHeight="1" x14ac:dyDescent="0.25">
      <c r="A5220" s="39"/>
    </row>
    <row r="5221" spans="1:1" ht="15.75" customHeight="1" x14ac:dyDescent="0.25">
      <c r="A5221" s="39"/>
    </row>
    <row r="5222" spans="1:1" ht="15.75" customHeight="1" x14ac:dyDescent="0.25">
      <c r="A5222" s="39"/>
    </row>
    <row r="5223" spans="1:1" ht="15.75" customHeight="1" x14ac:dyDescent="0.25">
      <c r="A5223" s="39"/>
    </row>
    <row r="5224" spans="1:1" ht="15.75" customHeight="1" x14ac:dyDescent="0.25">
      <c r="A5224" s="39"/>
    </row>
    <row r="5225" spans="1:1" ht="15.75" customHeight="1" x14ac:dyDescent="0.25">
      <c r="A5225" s="39"/>
    </row>
    <row r="5226" spans="1:1" ht="15.75" customHeight="1" x14ac:dyDescent="0.25">
      <c r="A5226" s="39"/>
    </row>
    <row r="5227" spans="1:1" ht="15.75" customHeight="1" x14ac:dyDescent="0.25">
      <c r="A5227" s="39"/>
    </row>
    <row r="5228" spans="1:1" ht="15.75" customHeight="1" x14ac:dyDescent="0.25">
      <c r="A5228" s="39"/>
    </row>
    <row r="5229" spans="1:1" ht="15.75" customHeight="1" x14ac:dyDescent="0.25">
      <c r="A5229" s="39"/>
    </row>
    <row r="5230" spans="1:1" ht="15.75" customHeight="1" x14ac:dyDescent="0.25">
      <c r="A5230" s="39"/>
    </row>
    <row r="5231" spans="1:1" ht="15.75" customHeight="1" x14ac:dyDescent="0.25">
      <c r="A5231" s="39"/>
    </row>
    <row r="5232" spans="1:1" ht="15.75" customHeight="1" x14ac:dyDescent="0.25">
      <c r="A5232" s="39"/>
    </row>
    <row r="5233" spans="1:1" ht="15.75" customHeight="1" x14ac:dyDescent="0.25">
      <c r="A5233" s="39"/>
    </row>
    <row r="5234" spans="1:1" ht="15.75" customHeight="1" x14ac:dyDescent="0.25">
      <c r="A5234" s="39"/>
    </row>
    <row r="5235" spans="1:1" ht="15.75" customHeight="1" x14ac:dyDescent="0.25">
      <c r="A5235" s="39"/>
    </row>
    <row r="5236" spans="1:1" ht="15.75" customHeight="1" x14ac:dyDescent="0.25">
      <c r="A5236" s="39"/>
    </row>
    <row r="5237" spans="1:1" ht="15.75" customHeight="1" x14ac:dyDescent="0.25">
      <c r="A5237" s="39"/>
    </row>
    <row r="5238" spans="1:1" ht="15.75" customHeight="1" x14ac:dyDescent="0.25">
      <c r="A5238" s="39"/>
    </row>
    <row r="5239" spans="1:1" ht="15.75" customHeight="1" x14ac:dyDescent="0.25">
      <c r="A5239" s="39"/>
    </row>
    <row r="5240" spans="1:1" ht="15.75" customHeight="1" x14ac:dyDescent="0.25">
      <c r="A5240" s="39"/>
    </row>
    <row r="5241" spans="1:1" ht="15.75" customHeight="1" x14ac:dyDescent="0.25">
      <c r="A5241" s="39"/>
    </row>
    <row r="5242" spans="1:1" ht="15.75" customHeight="1" x14ac:dyDescent="0.25">
      <c r="A5242" s="39"/>
    </row>
    <row r="5243" spans="1:1" ht="15.75" customHeight="1" x14ac:dyDescent="0.25">
      <c r="A5243" s="39"/>
    </row>
    <row r="5244" spans="1:1" ht="15.75" customHeight="1" x14ac:dyDescent="0.25">
      <c r="A5244" s="39"/>
    </row>
    <row r="5245" spans="1:1" ht="15.75" customHeight="1" x14ac:dyDescent="0.25">
      <c r="A5245" s="39"/>
    </row>
    <row r="5246" spans="1:1" ht="15.75" customHeight="1" x14ac:dyDescent="0.25">
      <c r="A5246" s="39"/>
    </row>
    <row r="5247" spans="1:1" ht="15.75" customHeight="1" x14ac:dyDescent="0.25">
      <c r="A5247" s="39"/>
    </row>
    <row r="5248" spans="1:1" ht="15.75" customHeight="1" x14ac:dyDescent="0.25">
      <c r="A5248" s="39"/>
    </row>
    <row r="5249" spans="1:1" ht="15.75" customHeight="1" x14ac:dyDescent="0.25">
      <c r="A5249" s="39"/>
    </row>
    <row r="5250" spans="1:1" ht="15.75" customHeight="1" x14ac:dyDescent="0.25">
      <c r="A5250" s="39"/>
    </row>
    <row r="5251" spans="1:1" ht="15.75" customHeight="1" x14ac:dyDescent="0.25">
      <c r="A5251" s="39"/>
    </row>
    <row r="5252" spans="1:1" ht="15.75" customHeight="1" x14ac:dyDescent="0.25">
      <c r="A5252" s="39"/>
    </row>
    <row r="5253" spans="1:1" ht="15.75" customHeight="1" x14ac:dyDescent="0.25">
      <c r="A5253" s="39"/>
    </row>
    <row r="5254" spans="1:1" ht="15.75" customHeight="1" x14ac:dyDescent="0.25">
      <c r="A5254" s="39"/>
    </row>
    <row r="5255" spans="1:1" ht="15.75" customHeight="1" x14ac:dyDescent="0.25">
      <c r="A5255" s="39"/>
    </row>
    <row r="5256" spans="1:1" ht="15.75" customHeight="1" x14ac:dyDescent="0.25">
      <c r="A5256" s="39"/>
    </row>
    <row r="5257" spans="1:1" ht="15.75" customHeight="1" x14ac:dyDescent="0.25">
      <c r="A5257" s="39"/>
    </row>
    <row r="5258" spans="1:1" ht="15.75" customHeight="1" x14ac:dyDescent="0.25">
      <c r="A5258" s="39"/>
    </row>
    <row r="5259" spans="1:1" ht="15.75" customHeight="1" x14ac:dyDescent="0.25">
      <c r="A5259" s="39"/>
    </row>
    <row r="5260" spans="1:1" ht="15.75" customHeight="1" x14ac:dyDescent="0.25">
      <c r="A5260" s="39"/>
    </row>
    <row r="5261" spans="1:1" ht="15.75" customHeight="1" x14ac:dyDescent="0.25">
      <c r="A5261" s="39"/>
    </row>
    <row r="5262" spans="1:1" ht="15.75" customHeight="1" x14ac:dyDescent="0.25">
      <c r="A5262" s="39"/>
    </row>
    <row r="5263" spans="1:1" ht="15.75" customHeight="1" x14ac:dyDescent="0.25">
      <c r="A5263" s="39"/>
    </row>
    <row r="5264" spans="1:1" ht="15.75" customHeight="1" x14ac:dyDescent="0.25">
      <c r="A5264" s="39"/>
    </row>
    <row r="5265" spans="1:1" ht="15.75" customHeight="1" x14ac:dyDescent="0.25">
      <c r="A5265" s="39"/>
    </row>
    <row r="5266" spans="1:1" ht="15.75" customHeight="1" x14ac:dyDescent="0.25">
      <c r="A5266" s="39"/>
    </row>
    <row r="5267" spans="1:1" ht="15.75" customHeight="1" x14ac:dyDescent="0.25">
      <c r="A5267" s="39"/>
    </row>
    <row r="5268" spans="1:1" ht="15.75" customHeight="1" x14ac:dyDescent="0.25">
      <c r="A5268" s="39"/>
    </row>
    <row r="5269" spans="1:1" ht="15.75" customHeight="1" x14ac:dyDescent="0.25">
      <c r="A5269" s="39"/>
    </row>
    <row r="5270" spans="1:1" ht="15.75" customHeight="1" x14ac:dyDescent="0.25">
      <c r="A5270" s="39"/>
    </row>
    <row r="5271" spans="1:1" ht="15.75" customHeight="1" x14ac:dyDescent="0.25">
      <c r="A5271" s="39"/>
    </row>
    <row r="5272" spans="1:1" ht="15.75" customHeight="1" x14ac:dyDescent="0.25">
      <c r="A5272" s="39"/>
    </row>
    <row r="5273" spans="1:1" ht="15.75" customHeight="1" x14ac:dyDescent="0.25">
      <c r="A5273" s="39"/>
    </row>
    <row r="5274" spans="1:1" ht="15.75" customHeight="1" x14ac:dyDescent="0.25">
      <c r="A5274" s="39"/>
    </row>
    <row r="5275" spans="1:1" ht="15.75" customHeight="1" x14ac:dyDescent="0.25">
      <c r="A5275" s="39"/>
    </row>
    <row r="5276" spans="1:1" ht="15.75" customHeight="1" x14ac:dyDescent="0.25">
      <c r="A5276" s="39"/>
    </row>
    <row r="5277" spans="1:1" ht="15.75" customHeight="1" x14ac:dyDescent="0.25">
      <c r="A5277" s="39"/>
    </row>
    <row r="5278" spans="1:1" ht="15.75" customHeight="1" x14ac:dyDescent="0.25">
      <c r="A5278" s="39"/>
    </row>
    <row r="5279" spans="1:1" ht="15.75" customHeight="1" x14ac:dyDescent="0.25">
      <c r="A5279" s="39"/>
    </row>
    <row r="5280" spans="1:1" ht="15.75" customHeight="1" x14ac:dyDescent="0.25">
      <c r="A5280" s="39"/>
    </row>
    <row r="5281" spans="1:1" ht="15.75" customHeight="1" x14ac:dyDescent="0.25">
      <c r="A5281" s="39"/>
    </row>
    <row r="5282" spans="1:1" ht="15.75" customHeight="1" x14ac:dyDescent="0.25">
      <c r="A5282" s="39"/>
    </row>
    <row r="5283" spans="1:1" ht="15.75" customHeight="1" x14ac:dyDescent="0.25">
      <c r="A5283" s="39"/>
    </row>
    <row r="5284" spans="1:1" ht="15.75" customHeight="1" x14ac:dyDescent="0.25">
      <c r="A5284" s="39"/>
    </row>
    <row r="5285" spans="1:1" ht="15.75" customHeight="1" x14ac:dyDescent="0.25">
      <c r="A5285" s="39"/>
    </row>
    <row r="5286" spans="1:1" ht="15.75" customHeight="1" x14ac:dyDescent="0.25">
      <c r="A5286" s="39"/>
    </row>
    <row r="5287" spans="1:1" ht="15.75" customHeight="1" x14ac:dyDescent="0.25">
      <c r="A5287" s="39"/>
    </row>
    <row r="5288" spans="1:1" ht="15.75" customHeight="1" x14ac:dyDescent="0.25">
      <c r="A5288" s="39"/>
    </row>
    <row r="5289" spans="1:1" ht="15.75" customHeight="1" x14ac:dyDescent="0.25">
      <c r="A5289" s="39"/>
    </row>
    <row r="5290" spans="1:1" ht="15.75" customHeight="1" x14ac:dyDescent="0.25">
      <c r="A5290" s="39"/>
    </row>
    <row r="5291" spans="1:1" ht="15.75" customHeight="1" x14ac:dyDescent="0.25">
      <c r="A5291" s="39"/>
    </row>
    <row r="5292" spans="1:1" ht="15.75" customHeight="1" x14ac:dyDescent="0.25">
      <c r="A5292" s="39"/>
    </row>
    <row r="5293" spans="1:1" ht="15.75" customHeight="1" x14ac:dyDescent="0.25">
      <c r="A5293" s="39"/>
    </row>
    <row r="5294" spans="1:1" ht="15.75" customHeight="1" x14ac:dyDescent="0.25">
      <c r="A5294" s="39"/>
    </row>
    <row r="5295" spans="1:1" ht="15.75" customHeight="1" x14ac:dyDescent="0.25">
      <c r="A5295" s="39"/>
    </row>
    <row r="5296" spans="1:1" ht="15.75" customHeight="1" x14ac:dyDescent="0.25">
      <c r="A5296" s="39"/>
    </row>
    <row r="5297" spans="1:1" ht="15.75" customHeight="1" x14ac:dyDescent="0.25">
      <c r="A5297" s="39"/>
    </row>
    <row r="5298" spans="1:1" ht="15.75" customHeight="1" x14ac:dyDescent="0.25">
      <c r="A5298" s="39"/>
    </row>
    <row r="5299" spans="1:1" ht="15.75" customHeight="1" x14ac:dyDescent="0.25">
      <c r="A5299" s="39"/>
    </row>
    <row r="5300" spans="1:1" ht="15.75" customHeight="1" x14ac:dyDescent="0.25">
      <c r="A5300" s="39"/>
    </row>
    <row r="5301" spans="1:1" ht="15.75" customHeight="1" x14ac:dyDescent="0.25">
      <c r="A5301" s="39"/>
    </row>
    <row r="5302" spans="1:1" ht="15.75" customHeight="1" x14ac:dyDescent="0.25">
      <c r="A5302" s="39"/>
    </row>
    <row r="5303" spans="1:1" ht="15.75" customHeight="1" x14ac:dyDescent="0.25">
      <c r="A5303" s="39"/>
    </row>
    <row r="5304" spans="1:1" ht="15.75" customHeight="1" x14ac:dyDescent="0.25">
      <c r="A5304" s="39"/>
    </row>
    <row r="5305" spans="1:1" ht="15.75" customHeight="1" x14ac:dyDescent="0.25">
      <c r="A5305" s="39"/>
    </row>
    <row r="5306" spans="1:1" ht="15.75" customHeight="1" x14ac:dyDescent="0.25">
      <c r="A5306" s="39"/>
    </row>
    <row r="5307" spans="1:1" ht="15.75" customHeight="1" x14ac:dyDescent="0.25">
      <c r="A5307" s="39"/>
    </row>
    <row r="5308" spans="1:1" ht="15.75" customHeight="1" x14ac:dyDescent="0.25">
      <c r="A5308" s="39"/>
    </row>
    <row r="5309" spans="1:1" ht="15.75" customHeight="1" x14ac:dyDescent="0.25">
      <c r="A5309" s="39"/>
    </row>
    <row r="5310" spans="1:1" ht="15.75" customHeight="1" x14ac:dyDescent="0.25">
      <c r="A5310" s="39"/>
    </row>
    <row r="5311" spans="1:1" ht="15.75" customHeight="1" x14ac:dyDescent="0.25">
      <c r="A5311" s="39"/>
    </row>
    <row r="5312" spans="1:1" ht="15.75" customHeight="1" x14ac:dyDescent="0.25">
      <c r="A5312" s="39"/>
    </row>
    <row r="5313" spans="1:1" ht="15.75" customHeight="1" x14ac:dyDescent="0.25">
      <c r="A5313" s="39"/>
    </row>
    <row r="5314" spans="1:1" ht="15.75" customHeight="1" x14ac:dyDescent="0.25">
      <c r="A5314" s="39"/>
    </row>
    <row r="5315" spans="1:1" ht="15.75" customHeight="1" x14ac:dyDescent="0.25">
      <c r="A5315" s="39"/>
    </row>
    <row r="5316" spans="1:1" ht="15.75" customHeight="1" x14ac:dyDescent="0.25">
      <c r="A5316" s="39"/>
    </row>
    <row r="5317" spans="1:1" ht="15.75" customHeight="1" x14ac:dyDescent="0.25">
      <c r="A5317" s="39"/>
    </row>
    <row r="5318" spans="1:1" ht="15.75" customHeight="1" x14ac:dyDescent="0.25">
      <c r="A5318" s="39"/>
    </row>
    <row r="5319" spans="1:1" ht="15.75" customHeight="1" x14ac:dyDescent="0.25">
      <c r="A5319" s="39"/>
    </row>
    <row r="5320" spans="1:1" ht="15.75" customHeight="1" x14ac:dyDescent="0.25">
      <c r="A5320" s="39"/>
    </row>
    <row r="5321" spans="1:1" ht="15.75" customHeight="1" x14ac:dyDescent="0.25">
      <c r="A5321" s="39"/>
    </row>
    <row r="5322" spans="1:1" ht="15.75" customHeight="1" x14ac:dyDescent="0.25">
      <c r="A5322" s="39"/>
    </row>
    <row r="5323" spans="1:1" ht="15.75" customHeight="1" x14ac:dyDescent="0.25">
      <c r="A5323" s="39"/>
    </row>
    <row r="5324" spans="1:1" ht="15.75" customHeight="1" x14ac:dyDescent="0.25">
      <c r="A5324" s="39"/>
    </row>
    <row r="5325" spans="1:1" ht="15.75" customHeight="1" x14ac:dyDescent="0.25">
      <c r="A5325" s="39"/>
    </row>
    <row r="5326" spans="1:1" ht="15.75" customHeight="1" x14ac:dyDescent="0.25">
      <c r="A5326" s="39"/>
    </row>
    <row r="5327" spans="1:1" ht="15.75" customHeight="1" x14ac:dyDescent="0.25">
      <c r="A5327" s="39"/>
    </row>
    <row r="5328" spans="1:1" ht="15.75" customHeight="1" x14ac:dyDescent="0.25">
      <c r="A5328" s="39"/>
    </row>
    <row r="5329" spans="1:1" ht="15.75" customHeight="1" x14ac:dyDescent="0.25">
      <c r="A5329" s="39"/>
    </row>
    <row r="5330" spans="1:1" ht="15.75" customHeight="1" x14ac:dyDescent="0.25">
      <c r="A5330" s="39"/>
    </row>
    <row r="5331" spans="1:1" ht="15.75" customHeight="1" x14ac:dyDescent="0.25">
      <c r="A5331" s="39"/>
    </row>
    <row r="5332" spans="1:1" ht="15.75" customHeight="1" x14ac:dyDescent="0.25">
      <c r="A5332" s="39"/>
    </row>
    <row r="5333" spans="1:1" ht="15.75" customHeight="1" x14ac:dyDescent="0.25">
      <c r="A5333" s="39"/>
    </row>
    <row r="5334" spans="1:1" ht="15.75" customHeight="1" x14ac:dyDescent="0.25">
      <c r="A5334" s="39"/>
    </row>
    <row r="5335" spans="1:1" ht="15.75" customHeight="1" x14ac:dyDescent="0.25">
      <c r="A5335" s="39"/>
    </row>
    <row r="5336" spans="1:1" ht="15.75" customHeight="1" x14ac:dyDescent="0.25">
      <c r="A5336" s="39"/>
    </row>
    <row r="5337" spans="1:1" ht="15.75" customHeight="1" x14ac:dyDescent="0.25">
      <c r="A5337" s="39"/>
    </row>
    <row r="5338" spans="1:1" ht="15.75" customHeight="1" x14ac:dyDescent="0.25">
      <c r="A5338" s="39"/>
    </row>
    <row r="5339" spans="1:1" ht="15.75" customHeight="1" x14ac:dyDescent="0.25">
      <c r="A5339" s="39"/>
    </row>
    <row r="5340" spans="1:1" ht="15.75" customHeight="1" x14ac:dyDescent="0.25">
      <c r="A5340" s="39"/>
    </row>
    <row r="5341" spans="1:1" ht="15.75" customHeight="1" x14ac:dyDescent="0.25">
      <c r="A5341" s="39"/>
    </row>
    <row r="5342" spans="1:1" ht="15.75" customHeight="1" x14ac:dyDescent="0.25">
      <c r="A5342" s="39"/>
    </row>
    <row r="5343" spans="1:1" ht="15.75" customHeight="1" x14ac:dyDescent="0.25">
      <c r="A5343" s="39"/>
    </row>
    <row r="5344" spans="1:1" ht="15.75" customHeight="1" x14ac:dyDescent="0.25">
      <c r="A5344" s="39"/>
    </row>
    <row r="5345" spans="1:1" ht="15.75" customHeight="1" x14ac:dyDescent="0.25">
      <c r="A5345" s="39"/>
    </row>
    <row r="5346" spans="1:1" ht="15.75" customHeight="1" x14ac:dyDescent="0.25">
      <c r="A5346" s="39"/>
    </row>
    <row r="5347" spans="1:1" ht="15.75" customHeight="1" x14ac:dyDescent="0.25">
      <c r="A5347" s="39"/>
    </row>
    <row r="5348" spans="1:1" ht="15.75" customHeight="1" x14ac:dyDescent="0.25">
      <c r="A5348" s="39"/>
    </row>
    <row r="5349" spans="1:1" ht="15.75" customHeight="1" x14ac:dyDescent="0.25">
      <c r="A5349" s="39"/>
    </row>
    <row r="5350" spans="1:1" ht="15.75" customHeight="1" x14ac:dyDescent="0.25">
      <c r="A5350" s="39"/>
    </row>
    <row r="5351" spans="1:1" ht="15.75" customHeight="1" x14ac:dyDescent="0.25">
      <c r="A5351" s="39"/>
    </row>
    <row r="5352" spans="1:1" ht="15.75" customHeight="1" x14ac:dyDescent="0.25">
      <c r="A5352" s="39"/>
    </row>
    <row r="5353" spans="1:1" ht="15.75" customHeight="1" x14ac:dyDescent="0.25">
      <c r="A5353" s="39"/>
    </row>
    <row r="5354" spans="1:1" ht="15.75" customHeight="1" x14ac:dyDescent="0.25">
      <c r="A5354" s="39"/>
    </row>
    <row r="5355" spans="1:1" ht="15.75" customHeight="1" x14ac:dyDescent="0.25">
      <c r="A5355" s="39"/>
    </row>
    <row r="5356" spans="1:1" ht="15.75" customHeight="1" x14ac:dyDescent="0.25">
      <c r="A5356" s="39"/>
    </row>
    <row r="5357" spans="1:1" ht="15.75" customHeight="1" x14ac:dyDescent="0.25">
      <c r="A5357" s="39"/>
    </row>
    <row r="5358" spans="1:1" ht="15.75" customHeight="1" x14ac:dyDescent="0.25">
      <c r="A5358" s="39"/>
    </row>
    <row r="5359" spans="1:1" ht="15.75" customHeight="1" x14ac:dyDescent="0.25">
      <c r="A5359" s="39"/>
    </row>
    <row r="5360" spans="1:1" ht="15.75" customHeight="1" x14ac:dyDescent="0.25">
      <c r="A5360" s="39"/>
    </row>
    <row r="5361" spans="1:1" ht="15.75" customHeight="1" x14ac:dyDescent="0.25">
      <c r="A5361" s="39"/>
    </row>
    <row r="5362" spans="1:1" ht="15.75" customHeight="1" x14ac:dyDescent="0.25">
      <c r="A5362" s="39"/>
    </row>
    <row r="5363" spans="1:1" ht="15.75" customHeight="1" x14ac:dyDescent="0.25">
      <c r="A5363" s="39"/>
    </row>
    <row r="5364" spans="1:1" ht="15.75" customHeight="1" x14ac:dyDescent="0.25">
      <c r="A5364" s="39"/>
    </row>
    <row r="5365" spans="1:1" ht="15.75" customHeight="1" x14ac:dyDescent="0.25">
      <c r="A5365" s="39"/>
    </row>
    <row r="5366" spans="1:1" ht="15.75" customHeight="1" x14ac:dyDescent="0.25">
      <c r="A5366" s="39"/>
    </row>
    <row r="5367" spans="1:1" ht="15.75" customHeight="1" x14ac:dyDescent="0.25">
      <c r="A5367" s="39"/>
    </row>
    <row r="5368" spans="1:1" ht="15.75" customHeight="1" x14ac:dyDescent="0.25">
      <c r="A5368" s="39"/>
    </row>
    <row r="5369" spans="1:1" ht="15.75" customHeight="1" x14ac:dyDescent="0.25">
      <c r="A5369" s="39"/>
    </row>
    <row r="5370" spans="1:1" ht="15.75" customHeight="1" x14ac:dyDescent="0.25">
      <c r="A5370" s="39"/>
    </row>
    <row r="5371" spans="1:1" ht="15.75" customHeight="1" x14ac:dyDescent="0.25">
      <c r="A5371" s="39"/>
    </row>
    <row r="5372" spans="1:1" ht="15.75" customHeight="1" x14ac:dyDescent="0.25">
      <c r="A5372" s="39"/>
    </row>
    <row r="5373" spans="1:1" ht="15.75" customHeight="1" x14ac:dyDescent="0.25">
      <c r="A5373" s="39"/>
    </row>
    <row r="5374" spans="1:1" ht="15.75" customHeight="1" x14ac:dyDescent="0.25">
      <c r="A5374" s="39"/>
    </row>
    <row r="5375" spans="1:1" ht="15.75" customHeight="1" x14ac:dyDescent="0.25">
      <c r="A5375" s="39"/>
    </row>
    <row r="5376" spans="1:1" ht="15.75" customHeight="1" x14ac:dyDescent="0.25">
      <c r="A5376" s="39"/>
    </row>
    <row r="5377" spans="1:1" ht="15.75" customHeight="1" x14ac:dyDescent="0.25">
      <c r="A5377" s="39"/>
    </row>
    <row r="5378" spans="1:1" ht="15.75" customHeight="1" x14ac:dyDescent="0.25">
      <c r="A5378" s="39"/>
    </row>
    <row r="5379" spans="1:1" ht="15.75" customHeight="1" x14ac:dyDescent="0.25">
      <c r="A5379" s="39"/>
    </row>
    <row r="5380" spans="1:1" ht="15.75" customHeight="1" x14ac:dyDescent="0.25">
      <c r="A5380" s="39"/>
    </row>
    <row r="5381" spans="1:1" ht="15.75" customHeight="1" x14ac:dyDescent="0.25">
      <c r="A5381" s="39"/>
    </row>
    <row r="5382" spans="1:1" ht="15.75" customHeight="1" x14ac:dyDescent="0.25">
      <c r="A5382" s="39"/>
    </row>
    <row r="5383" spans="1:1" ht="15.75" customHeight="1" x14ac:dyDescent="0.25">
      <c r="A5383" s="39"/>
    </row>
    <row r="5384" spans="1:1" ht="15.75" customHeight="1" x14ac:dyDescent="0.25">
      <c r="A5384" s="39"/>
    </row>
    <row r="5385" spans="1:1" ht="15.75" customHeight="1" x14ac:dyDescent="0.25">
      <c r="A5385" s="39"/>
    </row>
    <row r="5386" spans="1:1" ht="15.75" customHeight="1" x14ac:dyDescent="0.25">
      <c r="A5386" s="39"/>
    </row>
    <row r="5387" spans="1:1" ht="15.75" customHeight="1" x14ac:dyDescent="0.25">
      <c r="A5387" s="39"/>
    </row>
    <row r="5388" spans="1:1" ht="15.75" customHeight="1" x14ac:dyDescent="0.25">
      <c r="A5388" s="39"/>
    </row>
    <row r="5389" spans="1:1" ht="15.75" customHeight="1" x14ac:dyDescent="0.25">
      <c r="A5389" s="39"/>
    </row>
    <row r="5390" spans="1:1" ht="15.75" customHeight="1" x14ac:dyDescent="0.25">
      <c r="A5390" s="39"/>
    </row>
    <row r="5391" spans="1:1" ht="15.75" customHeight="1" x14ac:dyDescent="0.25">
      <c r="A5391" s="39"/>
    </row>
    <row r="5392" spans="1:1" ht="15.75" customHeight="1" x14ac:dyDescent="0.25">
      <c r="A5392" s="39"/>
    </row>
    <row r="5393" spans="1:1" ht="15.75" customHeight="1" x14ac:dyDescent="0.25">
      <c r="A5393" s="39"/>
    </row>
    <row r="5394" spans="1:1" ht="15.75" customHeight="1" x14ac:dyDescent="0.25">
      <c r="A5394" s="39"/>
    </row>
    <row r="5395" spans="1:1" ht="15.75" customHeight="1" x14ac:dyDescent="0.25">
      <c r="A5395" s="39"/>
    </row>
    <row r="5396" spans="1:1" ht="15.75" customHeight="1" x14ac:dyDescent="0.25">
      <c r="A5396" s="39"/>
    </row>
    <row r="5397" spans="1:1" ht="15.75" customHeight="1" x14ac:dyDescent="0.25">
      <c r="A5397" s="39"/>
    </row>
    <row r="5398" spans="1:1" ht="15.75" customHeight="1" x14ac:dyDescent="0.25">
      <c r="A5398" s="39"/>
    </row>
    <row r="5399" spans="1:1" ht="15.75" customHeight="1" x14ac:dyDescent="0.25">
      <c r="A5399" s="39"/>
    </row>
    <row r="5400" spans="1:1" ht="15.75" customHeight="1" x14ac:dyDescent="0.25">
      <c r="A5400" s="39"/>
    </row>
    <row r="5401" spans="1:1" ht="15.75" customHeight="1" x14ac:dyDescent="0.25">
      <c r="A5401" s="39"/>
    </row>
    <row r="5402" spans="1:1" ht="15.75" customHeight="1" x14ac:dyDescent="0.25">
      <c r="A5402" s="39"/>
    </row>
    <row r="5403" spans="1:1" ht="15.75" customHeight="1" x14ac:dyDescent="0.25">
      <c r="A5403" s="39"/>
    </row>
    <row r="5404" spans="1:1" ht="15.75" customHeight="1" x14ac:dyDescent="0.25">
      <c r="A5404" s="39"/>
    </row>
    <row r="5405" spans="1:1" ht="15.75" customHeight="1" x14ac:dyDescent="0.25">
      <c r="A5405" s="39"/>
    </row>
    <row r="5406" spans="1:1" ht="15.75" customHeight="1" x14ac:dyDescent="0.25">
      <c r="A5406" s="39"/>
    </row>
    <row r="5407" spans="1:1" ht="15.75" customHeight="1" x14ac:dyDescent="0.25">
      <c r="A5407" s="39"/>
    </row>
    <row r="5408" spans="1:1" ht="15.75" customHeight="1" x14ac:dyDescent="0.25">
      <c r="A5408" s="39"/>
    </row>
    <row r="5409" spans="1:1" ht="15.75" customHeight="1" x14ac:dyDescent="0.25">
      <c r="A5409" s="39"/>
    </row>
    <row r="5410" spans="1:1" ht="15.75" customHeight="1" x14ac:dyDescent="0.25">
      <c r="A5410" s="39"/>
    </row>
    <row r="5411" spans="1:1" ht="15.75" customHeight="1" x14ac:dyDescent="0.25">
      <c r="A5411" s="39"/>
    </row>
    <row r="5412" spans="1:1" ht="15.75" customHeight="1" x14ac:dyDescent="0.25">
      <c r="A5412" s="39"/>
    </row>
    <row r="5413" spans="1:1" ht="15.75" customHeight="1" x14ac:dyDescent="0.25">
      <c r="A5413" s="39"/>
    </row>
    <row r="5414" spans="1:1" ht="15.75" customHeight="1" x14ac:dyDescent="0.25">
      <c r="A5414" s="39"/>
    </row>
    <row r="5415" spans="1:1" ht="15.75" customHeight="1" x14ac:dyDescent="0.25">
      <c r="A5415" s="39"/>
    </row>
    <row r="5416" spans="1:1" ht="15.75" customHeight="1" x14ac:dyDescent="0.25">
      <c r="A5416" s="39"/>
    </row>
    <row r="5417" spans="1:1" ht="15.75" customHeight="1" x14ac:dyDescent="0.25">
      <c r="A5417" s="39"/>
    </row>
    <row r="5418" spans="1:1" ht="15.75" customHeight="1" x14ac:dyDescent="0.25">
      <c r="A5418" s="39"/>
    </row>
    <row r="5419" spans="1:1" ht="15.75" customHeight="1" x14ac:dyDescent="0.25">
      <c r="A5419" s="39"/>
    </row>
    <row r="5420" spans="1:1" ht="15.75" customHeight="1" x14ac:dyDescent="0.25">
      <c r="A5420" s="39"/>
    </row>
    <row r="5421" spans="1:1" ht="15.75" customHeight="1" x14ac:dyDescent="0.25">
      <c r="A5421" s="39"/>
    </row>
    <row r="5422" spans="1:1" ht="15.75" customHeight="1" x14ac:dyDescent="0.25">
      <c r="A5422" s="39"/>
    </row>
    <row r="5423" spans="1:1" ht="15.75" customHeight="1" x14ac:dyDescent="0.25">
      <c r="A5423" s="39"/>
    </row>
    <row r="5424" spans="1:1" ht="15.75" customHeight="1" x14ac:dyDescent="0.25">
      <c r="A5424" s="39"/>
    </row>
    <row r="5425" spans="1:1" ht="15.75" customHeight="1" x14ac:dyDescent="0.25">
      <c r="A5425" s="39"/>
    </row>
    <row r="5426" spans="1:1" ht="15.75" customHeight="1" x14ac:dyDescent="0.25">
      <c r="A5426" s="39"/>
    </row>
    <row r="5427" spans="1:1" ht="15.75" customHeight="1" x14ac:dyDescent="0.25">
      <c r="A5427" s="39"/>
    </row>
    <row r="5428" spans="1:1" ht="15.75" customHeight="1" x14ac:dyDescent="0.25">
      <c r="A5428" s="39"/>
    </row>
    <row r="5429" spans="1:1" ht="15.75" customHeight="1" x14ac:dyDescent="0.25">
      <c r="A5429" s="39"/>
    </row>
    <row r="5430" spans="1:1" ht="15.75" customHeight="1" x14ac:dyDescent="0.25">
      <c r="A5430" s="39"/>
    </row>
    <row r="5431" spans="1:1" ht="15.75" customHeight="1" x14ac:dyDescent="0.25">
      <c r="A5431" s="39"/>
    </row>
    <row r="5432" spans="1:1" ht="15.75" customHeight="1" x14ac:dyDescent="0.25">
      <c r="A5432" s="39"/>
    </row>
    <row r="5433" spans="1:1" ht="15.75" customHeight="1" x14ac:dyDescent="0.25">
      <c r="A5433" s="39"/>
    </row>
    <row r="5434" spans="1:1" ht="15.75" customHeight="1" x14ac:dyDescent="0.25">
      <c r="A5434" s="39"/>
    </row>
    <row r="5435" spans="1:1" ht="15.75" customHeight="1" x14ac:dyDescent="0.25">
      <c r="A5435" s="39"/>
    </row>
    <row r="5436" spans="1:1" ht="15.75" customHeight="1" x14ac:dyDescent="0.25">
      <c r="A5436" s="39"/>
    </row>
    <row r="5437" spans="1:1" ht="15.75" customHeight="1" x14ac:dyDescent="0.25">
      <c r="A5437" s="39"/>
    </row>
    <row r="5438" spans="1:1" ht="15.75" customHeight="1" x14ac:dyDescent="0.25">
      <c r="A5438" s="39"/>
    </row>
    <row r="5439" spans="1:1" ht="15.75" customHeight="1" x14ac:dyDescent="0.25">
      <c r="A5439" s="39"/>
    </row>
    <row r="5440" spans="1:1" ht="15.75" customHeight="1" x14ac:dyDescent="0.25">
      <c r="A5440" s="39"/>
    </row>
    <row r="5441" spans="1:1" ht="15.75" customHeight="1" x14ac:dyDescent="0.25">
      <c r="A5441" s="39"/>
    </row>
    <row r="5442" spans="1:1" ht="15.75" customHeight="1" x14ac:dyDescent="0.25">
      <c r="A5442" s="39"/>
    </row>
    <row r="5443" spans="1:1" ht="15.75" customHeight="1" x14ac:dyDescent="0.25">
      <c r="A5443" s="39"/>
    </row>
    <row r="5444" spans="1:1" ht="15.75" customHeight="1" x14ac:dyDescent="0.25">
      <c r="A5444" s="39"/>
    </row>
    <row r="5445" spans="1:1" ht="15.75" customHeight="1" x14ac:dyDescent="0.25">
      <c r="A5445" s="39"/>
    </row>
    <row r="5446" spans="1:1" ht="15.75" customHeight="1" x14ac:dyDescent="0.25">
      <c r="A5446" s="39"/>
    </row>
    <row r="5447" spans="1:1" ht="15.75" customHeight="1" x14ac:dyDescent="0.25">
      <c r="A5447" s="39"/>
    </row>
    <row r="5448" spans="1:1" ht="15.75" customHeight="1" x14ac:dyDescent="0.25">
      <c r="A5448" s="39"/>
    </row>
    <row r="5449" spans="1:1" ht="15.75" customHeight="1" x14ac:dyDescent="0.25">
      <c r="A5449" s="39"/>
    </row>
    <row r="5450" spans="1:1" ht="15.75" customHeight="1" x14ac:dyDescent="0.25">
      <c r="A5450" s="39"/>
    </row>
    <row r="5451" spans="1:1" ht="15.75" customHeight="1" x14ac:dyDescent="0.25">
      <c r="A5451" s="39"/>
    </row>
    <row r="5452" spans="1:1" ht="15.75" customHeight="1" x14ac:dyDescent="0.25">
      <c r="A5452" s="39"/>
    </row>
    <row r="5453" spans="1:1" ht="15.75" customHeight="1" x14ac:dyDescent="0.25">
      <c r="A5453" s="39"/>
    </row>
    <row r="5454" spans="1:1" ht="15.75" customHeight="1" x14ac:dyDescent="0.25">
      <c r="A5454" s="39"/>
    </row>
    <row r="5455" spans="1:1" ht="15.75" customHeight="1" x14ac:dyDescent="0.25">
      <c r="A5455" s="39"/>
    </row>
    <row r="5456" spans="1:1" ht="15.75" customHeight="1" x14ac:dyDescent="0.25">
      <c r="A5456" s="39"/>
    </row>
    <row r="5457" spans="1:1" ht="15.75" customHeight="1" x14ac:dyDescent="0.25">
      <c r="A5457" s="39"/>
    </row>
    <row r="5458" spans="1:1" ht="15.75" customHeight="1" x14ac:dyDescent="0.25">
      <c r="A5458" s="39"/>
    </row>
    <row r="5459" spans="1:1" ht="15.75" customHeight="1" x14ac:dyDescent="0.25">
      <c r="A5459" s="39"/>
    </row>
    <row r="5460" spans="1:1" ht="15.75" customHeight="1" x14ac:dyDescent="0.25">
      <c r="A5460" s="39"/>
    </row>
    <row r="5461" spans="1:1" ht="15.75" customHeight="1" x14ac:dyDescent="0.25">
      <c r="A5461" s="39"/>
    </row>
    <row r="5462" spans="1:1" ht="15.75" customHeight="1" x14ac:dyDescent="0.25">
      <c r="A5462" s="39"/>
    </row>
    <row r="5463" spans="1:1" ht="15.75" customHeight="1" x14ac:dyDescent="0.25">
      <c r="A5463" s="39"/>
    </row>
    <row r="5464" spans="1:1" ht="15.75" customHeight="1" x14ac:dyDescent="0.25">
      <c r="A5464" s="39"/>
    </row>
    <row r="5465" spans="1:1" ht="15.75" customHeight="1" x14ac:dyDescent="0.25">
      <c r="A5465" s="39"/>
    </row>
    <row r="5466" spans="1:1" ht="15.75" customHeight="1" x14ac:dyDescent="0.25">
      <c r="A5466" s="39"/>
    </row>
    <row r="5467" spans="1:1" ht="15.75" customHeight="1" x14ac:dyDescent="0.25">
      <c r="A5467" s="39"/>
    </row>
    <row r="5468" spans="1:1" ht="15.75" customHeight="1" x14ac:dyDescent="0.25">
      <c r="A5468" s="39"/>
    </row>
    <row r="5469" spans="1:1" ht="15.75" customHeight="1" x14ac:dyDescent="0.25">
      <c r="A5469" s="39"/>
    </row>
    <row r="5470" spans="1:1" ht="15.75" customHeight="1" x14ac:dyDescent="0.25">
      <c r="A5470" s="39"/>
    </row>
    <row r="5471" spans="1:1" ht="15.75" customHeight="1" x14ac:dyDescent="0.25">
      <c r="A5471" s="39"/>
    </row>
    <row r="5472" spans="1:1" ht="15.75" customHeight="1" x14ac:dyDescent="0.25">
      <c r="A5472" s="39"/>
    </row>
    <row r="5473" spans="1:1" ht="15.75" customHeight="1" x14ac:dyDescent="0.25">
      <c r="A5473" s="39"/>
    </row>
    <row r="5474" spans="1:1" ht="15.75" customHeight="1" x14ac:dyDescent="0.25">
      <c r="A5474" s="39"/>
    </row>
    <row r="5475" spans="1:1" ht="15.75" customHeight="1" x14ac:dyDescent="0.25">
      <c r="A5475" s="39"/>
    </row>
    <row r="5476" spans="1:1" ht="15.75" customHeight="1" x14ac:dyDescent="0.25">
      <c r="A5476" s="39"/>
    </row>
    <row r="5477" spans="1:1" ht="15.75" customHeight="1" x14ac:dyDescent="0.25">
      <c r="A5477" s="39"/>
    </row>
    <row r="5478" spans="1:1" ht="15.75" customHeight="1" x14ac:dyDescent="0.25">
      <c r="A5478" s="39"/>
    </row>
    <row r="5479" spans="1:1" ht="15.75" customHeight="1" x14ac:dyDescent="0.25">
      <c r="A5479" s="39"/>
    </row>
    <row r="5480" spans="1:1" ht="15.75" customHeight="1" x14ac:dyDescent="0.25">
      <c r="A5480" s="39"/>
    </row>
    <row r="5481" spans="1:1" ht="15.75" customHeight="1" x14ac:dyDescent="0.25">
      <c r="A5481" s="39"/>
    </row>
    <row r="5482" spans="1:1" ht="15.75" customHeight="1" x14ac:dyDescent="0.25">
      <c r="A5482" s="39"/>
    </row>
    <row r="5483" spans="1:1" ht="15.75" customHeight="1" x14ac:dyDescent="0.25">
      <c r="A5483" s="39"/>
    </row>
    <row r="5484" spans="1:1" ht="15.75" customHeight="1" x14ac:dyDescent="0.25">
      <c r="A5484" s="39"/>
    </row>
    <row r="5485" spans="1:1" ht="15.75" customHeight="1" x14ac:dyDescent="0.25">
      <c r="A5485" s="39"/>
    </row>
    <row r="5486" spans="1:1" ht="15.75" customHeight="1" x14ac:dyDescent="0.25">
      <c r="A5486" s="39"/>
    </row>
    <row r="5487" spans="1:1" ht="15.75" customHeight="1" x14ac:dyDescent="0.25">
      <c r="A5487" s="39"/>
    </row>
    <row r="5488" spans="1:1" ht="15.75" customHeight="1" x14ac:dyDescent="0.25">
      <c r="A5488" s="39"/>
    </row>
    <row r="5489" spans="1:1" ht="15.75" customHeight="1" x14ac:dyDescent="0.25">
      <c r="A5489" s="39"/>
    </row>
    <row r="5490" spans="1:1" ht="15.75" customHeight="1" x14ac:dyDescent="0.25">
      <c r="A5490" s="39"/>
    </row>
    <row r="5491" spans="1:1" ht="15.75" customHeight="1" x14ac:dyDescent="0.25">
      <c r="A5491" s="39"/>
    </row>
    <row r="5492" spans="1:1" ht="15.75" customHeight="1" x14ac:dyDescent="0.25">
      <c r="A5492" s="39"/>
    </row>
    <row r="5493" spans="1:1" ht="15.75" customHeight="1" x14ac:dyDescent="0.25">
      <c r="A5493" s="39"/>
    </row>
    <row r="5494" spans="1:1" ht="15.75" customHeight="1" x14ac:dyDescent="0.25">
      <c r="A5494" s="39"/>
    </row>
    <row r="5495" spans="1:1" ht="15.75" customHeight="1" x14ac:dyDescent="0.25">
      <c r="A5495" s="39"/>
    </row>
    <row r="5496" spans="1:1" ht="15.75" customHeight="1" x14ac:dyDescent="0.25">
      <c r="A5496" s="39"/>
    </row>
    <row r="5497" spans="1:1" ht="15.75" customHeight="1" x14ac:dyDescent="0.25">
      <c r="A5497" s="39"/>
    </row>
    <row r="5498" spans="1:1" ht="15.75" customHeight="1" x14ac:dyDescent="0.25">
      <c r="A5498" s="39"/>
    </row>
    <row r="5499" spans="1:1" ht="15.75" customHeight="1" x14ac:dyDescent="0.25">
      <c r="A5499" s="39"/>
    </row>
    <row r="5500" spans="1:1" ht="15.75" customHeight="1" x14ac:dyDescent="0.25">
      <c r="A5500" s="39"/>
    </row>
    <row r="5501" spans="1:1" ht="15.75" customHeight="1" x14ac:dyDescent="0.25">
      <c r="A5501" s="39"/>
    </row>
    <row r="5502" spans="1:1" ht="15.75" customHeight="1" x14ac:dyDescent="0.25">
      <c r="A5502" s="39"/>
    </row>
    <row r="5503" spans="1:1" ht="15.75" customHeight="1" x14ac:dyDescent="0.25">
      <c r="A5503" s="39"/>
    </row>
    <row r="5504" spans="1:1" ht="15.75" customHeight="1" x14ac:dyDescent="0.25">
      <c r="A5504" s="39"/>
    </row>
    <row r="5505" spans="1:1" ht="15.75" customHeight="1" x14ac:dyDescent="0.25">
      <c r="A5505" s="39"/>
    </row>
    <row r="5506" spans="1:1" ht="15.75" customHeight="1" x14ac:dyDescent="0.25">
      <c r="A5506" s="39"/>
    </row>
    <row r="5507" spans="1:1" ht="15.75" customHeight="1" x14ac:dyDescent="0.25">
      <c r="A5507" s="39"/>
    </row>
    <row r="5508" spans="1:1" ht="15.75" customHeight="1" x14ac:dyDescent="0.25">
      <c r="A5508" s="39"/>
    </row>
    <row r="5509" spans="1:1" ht="15.75" customHeight="1" x14ac:dyDescent="0.25">
      <c r="A5509" s="39"/>
    </row>
    <row r="5510" spans="1:1" ht="15.75" customHeight="1" x14ac:dyDescent="0.25">
      <c r="A5510" s="39"/>
    </row>
    <row r="5511" spans="1:1" ht="15.75" customHeight="1" x14ac:dyDescent="0.25">
      <c r="A5511" s="39"/>
    </row>
    <row r="5512" spans="1:1" ht="15.75" customHeight="1" x14ac:dyDescent="0.25">
      <c r="A5512" s="39"/>
    </row>
    <row r="5513" spans="1:1" ht="15.75" customHeight="1" x14ac:dyDescent="0.25">
      <c r="A5513" s="39"/>
    </row>
    <row r="5514" spans="1:1" ht="15.75" customHeight="1" x14ac:dyDescent="0.25">
      <c r="A5514" s="39"/>
    </row>
    <row r="5515" spans="1:1" ht="15.75" customHeight="1" x14ac:dyDescent="0.25">
      <c r="A5515" s="39"/>
    </row>
    <row r="5516" spans="1:1" ht="15.75" customHeight="1" x14ac:dyDescent="0.25">
      <c r="A5516" s="39"/>
    </row>
    <row r="5517" spans="1:1" ht="15.75" customHeight="1" x14ac:dyDescent="0.25">
      <c r="A5517" s="39"/>
    </row>
    <row r="5518" spans="1:1" ht="15.75" customHeight="1" x14ac:dyDescent="0.25">
      <c r="A5518" s="39"/>
    </row>
    <row r="5519" spans="1:1" ht="15.75" customHeight="1" x14ac:dyDescent="0.25">
      <c r="A5519" s="39"/>
    </row>
    <row r="5520" spans="1:1" ht="15.75" customHeight="1" x14ac:dyDescent="0.25">
      <c r="A5520" s="39"/>
    </row>
    <row r="5521" spans="1:1" ht="15.75" customHeight="1" x14ac:dyDescent="0.25">
      <c r="A5521" s="39"/>
    </row>
    <row r="5522" spans="1:1" ht="15.75" customHeight="1" x14ac:dyDescent="0.25">
      <c r="A5522" s="39"/>
    </row>
    <row r="5523" spans="1:1" ht="15.75" customHeight="1" x14ac:dyDescent="0.25">
      <c r="A5523" s="39"/>
    </row>
    <row r="5524" spans="1:1" ht="15.75" customHeight="1" x14ac:dyDescent="0.25">
      <c r="A5524" s="39"/>
    </row>
    <row r="5525" spans="1:1" ht="15.75" customHeight="1" x14ac:dyDescent="0.25">
      <c r="A5525" s="39"/>
    </row>
    <row r="5526" spans="1:1" ht="15.75" customHeight="1" x14ac:dyDescent="0.25">
      <c r="A5526" s="39"/>
    </row>
    <row r="5527" spans="1:1" ht="15.75" customHeight="1" x14ac:dyDescent="0.25">
      <c r="A5527" s="39"/>
    </row>
    <row r="5528" spans="1:1" ht="15.75" customHeight="1" x14ac:dyDescent="0.25">
      <c r="A5528" s="39"/>
    </row>
    <row r="5529" spans="1:1" ht="15.75" customHeight="1" x14ac:dyDescent="0.25">
      <c r="A5529" s="39"/>
    </row>
    <row r="5530" spans="1:1" ht="15.75" customHeight="1" x14ac:dyDescent="0.25">
      <c r="A5530" s="39"/>
    </row>
    <row r="5531" spans="1:1" ht="15.75" customHeight="1" x14ac:dyDescent="0.25">
      <c r="A5531" s="39"/>
    </row>
    <row r="5532" spans="1:1" ht="15.75" customHeight="1" x14ac:dyDescent="0.25">
      <c r="A5532" s="39"/>
    </row>
    <row r="5533" spans="1:1" ht="15.75" customHeight="1" x14ac:dyDescent="0.25">
      <c r="A5533" s="39"/>
    </row>
    <row r="5534" spans="1:1" ht="15.75" customHeight="1" x14ac:dyDescent="0.25">
      <c r="A5534" s="39"/>
    </row>
    <row r="5535" spans="1:1" ht="15.75" customHeight="1" x14ac:dyDescent="0.25">
      <c r="A5535" s="39"/>
    </row>
    <row r="5536" spans="1:1" ht="15.75" customHeight="1" x14ac:dyDescent="0.25">
      <c r="A5536" s="39"/>
    </row>
    <row r="5537" spans="1:1" ht="15.75" customHeight="1" x14ac:dyDescent="0.25">
      <c r="A5537" s="39"/>
    </row>
    <row r="5538" spans="1:1" ht="15.75" customHeight="1" x14ac:dyDescent="0.25">
      <c r="A5538" s="39"/>
    </row>
    <row r="5539" spans="1:1" ht="15.75" customHeight="1" x14ac:dyDescent="0.25">
      <c r="A5539" s="39"/>
    </row>
    <row r="5540" spans="1:1" ht="15.75" customHeight="1" x14ac:dyDescent="0.25">
      <c r="A5540" s="39"/>
    </row>
    <row r="5541" spans="1:1" ht="15.75" customHeight="1" x14ac:dyDescent="0.25">
      <c r="A5541" s="39"/>
    </row>
    <row r="5542" spans="1:1" ht="15.75" customHeight="1" x14ac:dyDescent="0.25">
      <c r="A5542" s="39"/>
    </row>
    <row r="5543" spans="1:1" ht="15.75" customHeight="1" x14ac:dyDescent="0.25">
      <c r="A5543" s="39"/>
    </row>
    <row r="5544" spans="1:1" ht="15.75" customHeight="1" x14ac:dyDescent="0.25">
      <c r="A5544" s="39"/>
    </row>
    <row r="5545" spans="1:1" ht="15.75" customHeight="1" x14ac:dyDescent="0.25">
      <c r="A5545" s="39"/>
    </row>
    <row r="5546" spans="1:1" ht="15.75" customHeight="1" x14ac:dyDescent="0.25">
      <c r="A5546" s="39"/>
    </row>
    <row r="5547" spans="1:1" ht="15.75" customHeight="1" x14ac:dyDescent="0.25">
      <c r="A5547" s="39"/>
    </row>
    <row r="5548" spans="1:1" ht="15.75" customHeight="1" x14ac:dyDescent="0.25">
      <c r="A5548" s="39"/>
    </row>
    <row r="5549" spans="1:1" ht="15.75" customHeight="1" x14ac:dyDescent="0.25">
      <c r="A5549" s="39"/>
    </row>
    <row r="5550" spans="1:1" ht="15.75" customHeight="1" x14ac:dyDescent="0.25">
      <c r="A5550" s="39"/>
    </row>
    <row r="5551" spans="1:1" ht="15.75" customHeight="1" x14ac:dyDescent="0.25">
      <c r="A5551" s="39"/>
    </row>
    <row r="5552" spans="1:1" ht="15.75" customHeight="1" x14ac:dyDescent="0.25">
      <c r="A5552" s="39"/>
    </row>
    <row r="5553" spans="1:1" ht="15.75" customHeight="1" x14ac:dyDescent="0.25">
      <c r="A5553" s="39"/>
    </row>
    <row r="5554" spans="1:1" ht="15.75" customHeight="1" x14ac:dyDescent="0.25">
      <c r="A5554" s="39"/>
    </row>
    <row r="5555" spans="1:1" ht="15.75" customHeight="1" x14ac:dyDescent="0.25">
      <c r="A5555" s="39"/>
    </row>
    <row r="5556" spans="1:1" ht="15.75" customHeight="1" x14ac:dyDescent="0.25">
      <c r="A5556" s="39"/>
    </row>
    <row r="5557" spans="1:1" ht="15.75" customHeight="1" x14ac:dyDescent="0.25">
      <c r="A5557" s="39"/>
    </row>
    <row r="5558" spans="1:1" ht="15.75" customHeight="1" x14ac:dyDescent="0.25">
      <c r="A5558" s="39"/>
    </row>
    <row r="5559" spans="1:1" ht="15.75" customHeight="1" x14ac:dyDescent="0.25">
      <c r="A5559" s="39"/>
    </row>
    <row r="5560" spans="1:1" ht="15.75" customHeight="1" x14ac:dyDescent="0.25">
      <c r="A5560" s="39"/>
    </row>
    <row r="5561" spans="1:1" ht="15.75" customHeight="1" x14ac:dyDescent="0.25">
      <c r="A5561" s="39"/>
    </row>
    <row r="5562" spans="1:1" ht="15.75" customHeight="1" x14ac:dyDescent="0.25">
      <c r="A5562" s="39"/>
    </row>
    <row r="5563" spans="1:1" ht="15.75" customHeight="1" x14ac:dyDescent="0.25">
      <c r="A5563" s="39"/>
    </row>
    <row r="5564" spans="1:1" ht="15.75" customHeight="1" x14ac:dyDescent="0.25">
      <c r="A5564" s="39"/>
    </row>
    <row r="5565" spans="1:1" ht="15.75" customHeight="1" x14ac:dyDescent="0.25">
      <c r="A5565" s="39"/>
    </row>
    <row r="5566" spans="1:1" ht="15.75" customHeight="1" x14ac:dyDescent="0.25">
      <c r="A5566" s="39"/>
    </row>
    <row r="5567" spans="1:1" ht="15.75" customHeight="1" x14ac:dyDescent="0.25">
      <c r="A5567" s="39"/>
    </row>
    <row r="5568" spans="1:1" ht="15.75" customHeight="1" x14ac:dyDescent="0.25">
      <c r="A5568" s="39"/>
    </row>
    <row r="5569" spans="1:1" ht="15.75" customHeight="1" x14ac:dyDescent="0.25">
      <c r="A5569" s="39"/>
    </row>
    <row r="5570" spans="1:1" ht="15.75" customHeight="1" x14ac:dyDescent="0.25">
      <c r="A5570" s="39"/>
    </row>
    <row r="5571" spans="1:1" ht="15.75" customHeight="1" x14ac:dyDescent="0.25">
      <c r="A5571" s="39"/>
    </row>
    <row r="5572" spans="1:1" ht="15.75" customHeight="1" x14ac:dyDescent="0.25">
      <c r="A5572" s="39"/>
    </row>
    <row r="5573" spans="1:1" ht="15.75" customHeight="1" x14ac:dyDescent="0.25">
      <c r="A5573" s="39"/>
    </row>
    <row r="5574" spans="1:1" ht="15.75" customHeight="1" x14ac:dyDescent="0.25">
      <c r="A5574" s="39"/>
    </row>
    <row r="5575" spans="1:1" ht="15.75" customHeight="1" x14ac:dyDescent="0.25">
      <c r="A5575" s="39"/>
    </row>
    <row r="5576" spans="1:1" ht="15.75" customHeight="1" x14ac:dyDescent="0.25">
      <c r="A5576" s="39"/>
    </row>
    <row r="5577" spans="1:1" ht="15.75" customHeight="1" x14ac:dyDescent="0.25">
      <c r="A5577" s="39"/>
    </row>
    <row r="5578" spans="1:1" ht="15.75" customHeight="1" x14ac:dyDescent="0.25">
      <c r="A5578" s="39"/>
    </row>
    <row r="5579" spans="1:1" ht="15.75" customHeight="1" x14ac:dyDescent="0.25">
      <c r="A5579" s="39"/>
    </row>
    <row r="5580" spans="1:1" ht="15.75" customHeight="1" x14ac:dyDescent="0.25">
      <c r="A5580" s="39"/>
    </row>
    <row r="5581" spans="1:1" ht="15.75" customHeight="1" x14ac:dyDescent="0.25">
      <c r="A5581" s="39"/>
    </row>
    <row r="5582" spans="1:1" ht="15.75" customHeight="1" x14ac:dyDescent="0.25">
      <c r="A5582" s="39"/>
    </row>
    <row r="5583" spans="1:1" ht="15.75" customHeight="1" x14ac:dyDescent="0.25">
      <c r="A5583" s="39"/>
    </row>
    <row r="5584" spans="1:1" ht="15.75" customHeight="1" x14ac:dyDescent="0.25">
      <c r="A5584" s="39"/>
    </row>
    <row r="5585" spans="1:1" ht="15.75" customHeight="1" x14ac:dyDescent="0.25">
      <c r="A5585" s="39"/>
    </row>
    <row r="5586" spans="1:1" ht="15.75" customHeight="1" x14ac:dyDescent="0.25">
      <c r="A5586" s="39"/>
    </row>
    <row r="5587" spans="1:1" ht="15.75" customHeight="1" x14ac:dyDescent="0.25">
      <c r="A5587" s="39"/>
    </row>
    <row r="5588" spans="1:1" ht="15.75" customHeight="1" x14ac:dyDescent="0.25">
      <c r="A5588" s="39"/>
    </row>
    <row r="5589" spans="1:1" ht="15.75" customHeight="1" x14ac:dyDescent="0.25">
      <c r="A5589" s="39"/>
    </row>
    <row r="5590" spans="1:1" ht="15.75" customHeight="1" x14ac:dyDescent="0.25">
      <c r="A5590" s="39"/>
    </row>
    <row r="5591" spans="1:1" ht="15.75" customHeight="1" x14ac:dyDescent="0.25">
      <c r="A5591" s="39"/>
    </row>
    <row r="5592" spans="1:1" ht="15.75" customHeight="1" x14ac:dyDescent="0.25">
      <c r="A5592" s="39"/>
    </row>
    <row r="5593" spans="1:1" ht="15.75" customHeight="1" x14ac:dyDescent="0.25">
      <c r="A5593" s="39"/>
    </row>
    <row r="5594" spans="1:1" ht="15.75" customHeight="1" x14ac:dyDescent="0.25">
      <c r="A5594" s="39"/>
    </row>
    <row r="5595" spans="1:1" ht="15.75" customHeight="1" x14ac:dyDescent="0.25">
      <c r="A5595" s="39"/>
    </row>
    <row r="5596" spans="1:1" ht="15.75" customHeight="1" x14ac:dyDescent="0.25">
      <c r="A5596" s="39"/>
    </row>
    <row r="5597" spans="1:1" ht="15.75" customHeight="1" x14ac:dyDescent="0.25">
      <c r="A5597" s="39"/>
    </row>
    <row r="5598" spans="1:1" ht="15.75" customHeight="1" x14ac:dyDescent="0.25">
      <c r="A5598" s="39"/>
    </row>
    <row r="5599" spans="1:1" ht="15.75" customHeight="1" x14ac:dyDescent="0.25">
      <c r="A5599" s="39"/>
    </row>
    <row r="5600" spans="1:1" ht="15.75" customHeight="1" x14ac:dyDescent="0.25">
      <c r="A5600" s="39"/>
    </row>
    <row r="5601" spans="1:1" ht="15.75" customHeight="1" x14ac:dyDescent="0.25">
      <c r="A5601" s="39"/>
    </row>
    <row r="5602" spans="1:1" ht="15.75" customHeight="1" x14ac:dyDescent="0.25">
      <c r="A5602" s="39"/>
    </row>
    <row r="5603" spans="1:1" ht="15.75" customHeight="1" x14ac:dyDescent="0.25">
      <c r="A5603" s="39"/>
    </row>
    <row r="5604" spans="1:1" ht="15.75" customHeight="1" x14ac:dyDescent="0.25">
      <c r="A5604" s="39"/>
    </row>
    <row r="5605" spans="1:1" ht="15.75" customHeight="1" x14ac:dyDescent="0.25">
      <c r="A5605" s="39"/>
    </row>
    <row r="5606" spans="1:1" ht="15.75" customHeight="1" x14ac:dyDescent="0.25">
      <c r="A5606" s="39"/>
    </row>
    <row r="5607" spans="1:1" ht="15.75" customHeight="1" x14ac:dyDescent="0.25">
      <c r="A5607" s="39"/>
    </row>
    <row r="5608" spans="1:1" ht="15.75" customHeight="1" x14ac:dyDescent="0.25">
      <c r="A5608" s="39"/>
    </row>
    <row r="5609" spans="1:1" ht="15.75" customHeight="1" x14ac:dyDescent="0.25">
      <c r="A5609" s="39"/>
    </row>
    <row r="5610" spans="1:1" ht="15.75" customHeight="1" x14ac:dyDescent="0.25">
      <c r="A5610" s="39"/>
    </row>
    <row r="5611" spans="1:1" ht="15.75" customHeight="1" x14ac:dyDescent="0.25">
      <c r="A5611" s="39"/>
    </row>
    <row r="5612" spans="1:1" ht="15.75" customHeight="1" x14ac:dyDescent="0.25">
      <c r="A5612" s="39"/>
    </row>
    <row r="5613" spans="1:1" ht="15.75" customHeight="1" x14ac:dyDescent="0.25">
      <c r="A5613" s="39"/>
    </row>
    <row r="5614" spans="1:1" ht="15.75" customHeight="1" x14ac:dyDescent="0.25">
      <c r="A5614" s="39"/>
    </row>
    <row r="5615" spans="1:1" ht="15.75" customHeight="1" x14ac:dyDescent="0.25">
      <c r="A5615" s="39"/>
    </row>
    <row r="5616" spans="1:1" ht="15.75" customHeight="1" x14ac:dyDescent="0.25">
      <c r="A5616" s="39"/>
    </row>
    <row r="5617" spans="1:1" ht="15.75" customHeight="1" x14ac:dyDescent="0.25">
      <c r="A5617" s="39"/>
    </row>
    <row r="5618" spans="1:1" ht="15.75" customHeight="1" x14ac:dyDescent="0.25">
      <c r="A5618" s="39"/>
    </row>
    <row r="5619" spans="1:1" ht="15.75" customHeight="1" x14ac:dyDescent="0.25">
      <c r="A5619" s="39"/>
    </row>
    <row r="5620" spans="1:1" ht="15.75" customHeight="1" x14ac:dyDescent="0.25">
      <c r="A5620" s="39"/>
    </row>
    <row r="5621" spans="1:1" ht="15.75" customHeight="1" x14ac:dyDescent="0.25">
      <c r="A5621" s="39"/>
    </row>
    <row r="5622" spans="1:1" ht="15.75" customHeight="1" x14ac:dyDescent="0.25">
      <c r="A5622" s="39"/>
    </row>
    <row r="5623" spans="1:1" ht="15.75" customHeight="1" x14ac:dyDescent="0.25">
      <c r="A5623" s="39"/>
    </row>
    <row r="5624" spans="1:1" ht="15.75" customHeight="1" x14ac:dyDescent="0.25">
      <c r="A5624" s="39"/>
    </row>
    <row r="5625" spans="1:1" ht="15.75" customHeight="1" x14ac:dyDescent="0.25">
      <c r="A5625" s="39"/>
    </row>
    <row r="5626" spans="1:1" ht="15.75" customHeight="1" x14ac:dyDescent="0.25">
      <c r="A5626" s="39"/>
    </row>
    <row r="5627" spans="1:1" ht="15.75" customHeight="1" x14ac:dyDescent="0.25">
      <c r="A5627" s="39"/>
    </row>
    <row r="5628" spans="1:1" ht="15.75" customHeight="1" x14ac:dyDescent="0.25">
      <c r="A5628" s="39"/>
    </row>
    <row r="5629" spans="1:1" ht="15.75" customHeight="1" x14ac:dyDescent="0.25">
      <c r="A5629" s="39"/>
    </row>
    <row r="5630" spans="1:1" ht="15.75" customHeight="1" x14ac:dyDescent="0.25">
      <c r="A5630" s="39"/>
    </row>
    <row r="5631" spans="1:1" ht="15.75" customHeight="1" x14ac:dyDescent="0.25">
      <c r="A5631" s="39"/>
    </row>
    <row r="5632" spans="1:1" ht="15.75" customHeight="1" x14ac:dyDescent="0.25">
      <c r="A5632" s="39"/>
    </row>
    <row r="5633" spans="1:1" ht="15.75" customHeight="1" x14ac:dyDescent="0.25">
      <c r="A5633" s="39"/>
    </row>
    <row r="5634" spans="1:1" ht="15.75" customHeight="1" x14ac:dyDescent="0.25">
      <c r="A5634" s="39"/>
    </row>
    <row r="5635" spans="1:1" ht="15.75" customHeight="1" x14ac:dyDescent="0.25">
      <c r="A5635" s="39"/>
    </row>
    <row r="5636" spans="1:1" ht="15.75" customHeight="1" x14ac:dyDescent="0.25">
      <c r="A5636" s="39"/>
    </row>
    <row r="5637" spans="1:1" ht="15.75" customHeight="1" x14ac:dyDescent="0.25">
      <c r="A5637" s="39"/>
    </row>
    <row r="5638" spans="1:1" ht="15.75" customHeight="1" x14ac:dyDescent="0.25">
      <c r="A5638" s="39"/>
    </row>
    <row r="5639" spans="1:1" ht="15.75" customHeight="1" x14ac:dyDescent="0.25">
      <c r="A5639" s="39"/>
    </row>
    <row r="5640" spans="1:1" ht="15.75" customHeight="1" x14ac:dyDescent="0.25">
      <c r="A5640" s="39"/>
    </row>
    <row r="5641" spans="1:1" ht="15.75" customHeight="1" x14ac:dyDescent="0.25">
      <c r="A5641" s="39"/>
    </row>
    <row r="5642" spans="1:1" ht="15.75" customHeight="1" x14ac:dyDescent="0.25">
      <c r="A5642" s="39"/>
    </row>
    <row r="5643" spans="1:1" ht="15.75" customHeight="1" x14ac:dyDescent="0.25">
      <c r="A5643" s="39"/>
    </row>
    <row r="5644" spans="1:1" ht="15.75" customHeight="1" x14ac:dyDescent="0.25">
      <c r="A5644" s="39"/>
    </row>
    <row r="5645" spans="1:1" ht="15.75" customHeight="1" x14ac:dyDescent="0.25">
      <c r="A5645" s="39"/>
    </row>
    <row r="5646" spans="1:1" ht="15.75" customHeight="1" x14ac:dyDescent="0.25">
      <c r="A5646" s="39"/>
    </row>
    <row r="5647" spans="1:1" ht="15.75" customHeight="1" x14ac:dyDescent="0.25">
      <c r="A5647" s="39"/>
    </row>
    <row r="5648" spans="1:1" ht="15.75" customHeight="1" x14ac:dyDescent="0.25">
      <c r="A5648" s="39"/>
    </row>
    <row r="5649" spans="1:1" ht="15.75" customHeight="1" x14ac:dyDescent="0.25">
      <c r="A5649" s="39"/>
    </row>
    <row r="5650" spans="1:1" ht="15.75" customHeight="1" x14ac:dyDescent="0.25">
      <c r="A5650" s="39"/>
    </row>
    <row r="5651" spans="1:1" ht="15.75" customHeight="1" x14ac:dyDescent="0.25">
      <c r="A5651" s="39"/>
    </row>
    <row r="5652" spans="1:1" ht="15.75" customHeight="1" x14ac:dyDescent="0.25">
      <c r="A5652" s="39"/>
    </row>
    <row r="5653" spans="1:1" ht="15.75" customHeight="1" x14ac:dyDescent="0.25">
      <c r="A5653" s="39"/>
    </row>
    <row r="5654" spans="1:1" ht="15.75" customHeight="1" x14ac:dyDescent="0.25">
      <c r="A5654" s="39"/>
    </row>
    <row r="5655" spans="1:1" ht="15.75" customHeight="1" x14ac:dyDescent="0.25">
      <c r="A5655" s="39"/>
    </row>
    <row r="5656" spans="1:1" ht="15.75" customHeight="1" x14ac:dyDescent="0.25">
      <c r="A5656" s="39"/>
    </row>
    <row r="5657" spans="1:1" ht="15.75" customHeight="1" x14ac:dyDescent="0.25">
      <c r="A5657" s="39"/>
    </row>
    <row r="5658" spans="1:1" ht="15.75" customHeight="1" x14ac:dyDescent="0.25">
      <c r="A5658" s="39"/>
    </row>
    <row r="5659" spans="1:1" ht="15.75" customHeight="1" x14ac:dyDescent="0.25">
      <c r="A5659" s="39"/>
    </row>
    <row r="5660" spans="1:1" ht="15.75" customHeight="1" x14ac:dyDescent="0.25">
      <c r="A5660" s="39"/>
    </row>
    <row r="5661" spans="1:1" ht="15.75" customHeight="1" x14ac:dyDescent="0.25">
      <c r="A5661" s="39"/>
    </row>
    <row r="5662" spans="1:1" ht="15.75" customHeight="1" x14ac:dyDescent="0.25">
      <c r="A5662" s="39"/>
    </row>
    <row r="5663" spans="1:1" ht="15.75" customHeight="1" x14ac:dyDescent="0.25">
      <c r="A5663" s="39"/>
    </row>
    <row r="5664" spans="1:1" ht="15.75" customHeight="1" x14ac:dyDescent="0.25">
      <c r="A5664" s="39"/>
    </row>
    <row r="5665" spans="1:1" ht="15.75" customHeight="1" x14ac:dyDescent="0.25">
      <c r="A5665" s="39"/>
    </row>
    <row r="5666" spans="1:1" ht="15.75" customHeight="1" x14ac:dyDescent="0.25">
      <c r="A5666" s="39"/>
    </row>
    <row r="5667" spans="1:1" ht="15.75" customHeight="1" x14ac:dyDescent="0.25">
      <c r="A5667" s="39"/>
    </row>
    <row r="5668" spans="1:1" ht="15.75" customHeight="1" x14ac:dyDescent="0.25">
      <c r="A5668" s="39"/>
    </row>
    <row r="5669" spans="1:1" ht="15.75" customHeight="1" x14ac:dyDescent="0.25">
      <c r="A5669" s="39"/>
    </row>
    <row r="5670" spans="1:1" ht="15.75" customHeight="1" x14ac:dyDescent="0.25">
      <c r="A5670" s="39"/>
    </row>
    <row r="5671" spans="1:1" ht="15.75" customHeight="1" x14ac:dyDescent="0.25">
      <c r="A5671" s="39"/>
    </row>
    <row r="5672" spans="1:1" ht="15.75" customHeight="1" x14ac:dyDescent="0.25">
      <c r="A5672" s="39"/>
    </row>
    <row r="5673" spans="1:1" ht="15.75" customHeight="1" x14ac:dyDescent="0.25">
      <c r="A5673" s="39"/>
    </row>
    <row r="5674" spans="1:1" ht="15.75" customHeight="1" x14ac:dyDescent="0.25">
      <c r="A5674" s="39"/>
    </row>
    <row r="5675" spans="1:1" ht="15.75" customHeight="1" x14ac:dyDescent="0.25">
      <c r="A5675" s="39"/>
    </row>
    <row r="5676" spans="1:1" ht="15.75" customHeight="1" x14ac:dyDescent="0.25">
      <c r="A5676" s="39"/>
    </row>
    <row r="5677" spans="1:1" ht="15.75" customHeight="1" x14ac:dyDescent="0.25">
      <c r="A5677" s="39"/>
    </row>
    <row r="5678" spans="1:1" ht="15.75" customHeight="1" x14ac:dyDescent="0.25">
      <c r="A5678" s="39"/>
    </row>
    <row r="5679" spans="1:1" ht="15.75" customHeight="1" x14ac:dyDescent="0.25">
      <c r="A5679" s="39"/>
    </row>
    <row r="5680" spans="1:1" ht="15.75" customHeight="1" x14ac:dyDescent="0.25">
      <c r="A5680" s="39"/>
    </row>
    <row r="5681" spans="1:1" ht="15.75" customHeight="1" x14ac:dyDescent="0.25">
      <c r="A5681" s="39"/>
    </row>
    <row r="5682" spans="1:1" ht="15.75" customHeight="1" x14ac:dyDescent="0.25">
      <c r="A5682" s="39"/>
    </row>
    <row r="5683" spans="1:1" ht="15.75" customHeight="1" x14ac:dyDescent="0.25">
      <c r="A5683" s="39"/>
    </row>
    <row r="5684" spans="1:1" ht="15.75" customHeight="1" x14ac:dyDescent="0.25">
      <c r="A5684" s="39"/>
    </row>
    <row r="5685" spans="1:1" ht="15.75" customHeight="1" x14ac:dyDescent="0.25">
      <c r="A5685" s="39"/>
    </row>
    <row r="5686" spans="1:1" ht="15.75" customHeight="1" x14ac:dyDescent="0.25">
      <c r="A5686" s="39"/>
    </row>
    <row r="5687" spans="1:1" ht="15.75" customHeight="1" x14ac:dyDescent="0.25">
      <c r="A5687" s="39"/>
    </row>
    <row r="5688" spans="1:1" ht="15.75" customHeight="1" x14ac:dyDescent="0.25">
      <c r="A5688" s="39"/>
    </row>
    <row r="5689" spans="1:1" ht="15.75" customHeight="1" x14ac:dyDescent="0.25">
      <c r="A5689" s="39"/>
    </row>
    <row r="5690" spans="1:1" ht="15.75" customHeight="1" x14ac:dyDescent="0.25">
      <c r="A5690" s="39"/>
    </row>
    <row r="5691" spans="1:1" ht="15.75" customHeight="1" x14ac:dyDescent="0.25">
      <c r="A5691" s="39"/>
    </row>
    <row r="5692" spans="1:1" ht="15.75" customHeight="1" x14ac:dyDescent="0.25">
      <c r="A5692" s="39"/>
    </row>
    <row r="5693" spans="1:1" ht="15.75" customHeight="1" x14ac:dyDescent="0.25">
      <c r="A5693" s="39"/>
    </row>
    <row r="5694" spans="1:1" ht="15.75" customHeight="1" x14ac:dyDescent="0.25">
      <c r="A5694" s="39"/>
    </row>
    <row r="5695" spans="1:1" ht="15.75" customHeight="1" x14ac:dyDescent="0.25">
      <c r="A5695" s="39"/>
    </row>
    <row r="5696" spans="1:1" ht="15.75" customHeight="1" x14ac:dyDescent="0.25">
      <c r="A5696" s="39"/>
    </row>
    <row r="5697" spans="1:1" ht="15.75" customHeight="1" x14ac:dyDescent="0.25">
      <c r="A5697" s="39"/>
    </row>
    <row r="5698" spans="1:1" ht="15.75" customHeight="1" x14ac:dyDescent="0.25">
      <c r="A5698" s="39"/>
    </row>
    <row r="5699" spans="1:1" ht="15.75" customHeight="1" x14ac:dyDescent="0.25">
      <c r="A5699" s="39"/>
    </row>
    <row r="5700" spans="1:1" ht="15.75" customHeight="1" x14ac:dyDescent="0.25">
      <c r="A5700" s="39"/>
    </row>
    <row r="5701" spans="1:1" ht="15.75" customHeight="1" x14ac:dyDescent="0.25">
      <c r="A5701" s="39"/>
    </row>
    <row r="5702" spans="1:1" ht="15.75" customHeight="1" x14ac:dyDescent="0.25">
      <c r="A5702" s="39"/>
    </row>
    <row r="5703" spans="1:1" ht="15.75" customHeight="1" x14ac:dyDescent="0.25">
      <c r="A5703" s="39"/>
    </row>
    <row r="5704" spans="1:1" ht="15.75" customHeight="1" x14ac:dyDescent="0.25">
      <c r="A5704" s="39"/>
    </row>
    <row r="5705" spans="1:1" ht="15.75" customHeight="1" x14ac:dyDescent="0.25">
      <c r="A5705" s="39"/>
    </row>
    <row r="5706" spans="1:1" ht="15.75" customHeight="1" x14ac:dyDescent="0.25">
      <c r="A5706" s="39"/>
    </row>
    <row r="5707" spans="1:1" ht="15.75" customHeight="1" x14ac:dyDescent="0.25">
      <c r="A5707" s="39"/>
    </row>
    <row r="5708" spans="1:1" ht="15.75" customHeight="1" x14ac:dyDescent="0.25">
      <c r="A5708" s="39"/>
    </row>
    <row r="5709" spans="1:1" ht="15.75" customHeight="1" x14ac:dyDescent="0.25">
      <c r="A5709" s="39"/>
    </row>
    <row r="5710" spans="1:1" ht="15.75" customHeight="1" x14ac:dyDescent="0.25">
      <c r="A5710" s="39"/>
    </row>
    <row r="5711" spans="1:1" ht="15.75" customHeight="1" x14ac:dyDescent="0.25">
      <c r="A5711" s="39"/>
    </row>
    <row r="5712" spans="1:1" ht="15.75" customHeight="1" x14ac:dyDescent="0.25">
      <c r="A5712" s="39"/>
    </row>
    <row r="5713" spans="1:1" ht="15.75" customHeight="1" x14ac:dyDescent="0.25">
      <c r="A5713" s="39"/>
    </row>
    <row r="5714" spans="1:1" ht="15.75" customHeight="1" x14ac:dyDescent="0.25">
      <c r="A5714" s="39"/>
    </row>
    <row r="5715" spans="1:1" ht="15.75" customHeight="1" x14ac:dyDescent="0.25">
      <c r="A5715" s="39"/>
    </row>
    <row r="5716" spans="1:1" ht="15.75" customHeight="1" x14ac:dyDescent="0.25">
      <c r="A5716" s="39"/>
    </row>
    <row r="5717" spans="1:1" ht="15.75" customHeight="1" x14ac:dyDescent="0.25">
      <c r="A5717" s="39"/>
    </row>
    <row r="5718" spans="1:1" ht="15.75" customHeight="1" x14ac:dyDescent="0.25">
      <c r="A5718" s="39"/>
    </row>
    <row r="5719" spans="1:1" ht="15.75" customHeight="1" x14ac:dyDescent="0.25">
      <c r="A5719" s="39"/>
    </row>
    <row r="5720" spans="1:1" ht="15.75" customHeight="1" x14ac:dyDescent="0.25">
      <c r="A5720" s="39"/>
    </row>
    <row r="5721" spans="1:1" ht="15.75" customHeight="1" x14ac:dyDescent="0.25">
      <c r="A5721" s="39"/>
    </row>
    <row r="5722" spans="1:1" ht="15.75" customHeight="1" x14ac:dyDescent="0.25">
      <c r="A5722" s="39"/>
    </row>
    <row r="5723" spans="1:1" ht="15.75" customHeight="1" x14ac:dyDescent="0.25">
      <c r="A5723" s="39"/>
    </row>
    <row r="5724" spans="1:1" ht="15.75" customHeight="1" x14ac:dyDescent="0.25">
      <c r="A5724" s="39"/>
    </row>
    <row r="5725" spans="1:1" ht="15.75" customHeight="1" x14ac:dyDescent="0.25">
      <c r="A5725" s="39"/>
    </row>
    <row r="5726" spans="1:1" ht="15.75" customHeight="1" x14ac:dyDescent="0.25">
      <c r="A5726" s="39"/>
    </row>
    <row r="5727" spans="1:1" ht="15.75" customHeight="1" x14ac:dyDescent="0.25">
      <c r="A5727" s="39"/>
    </row>
    <row r="5728" spans="1:1" ht="15.75" customHeight="1" x14ac:dyDescent="0.25">
      <c r="A5728" s="39"/>
    </row>
    <row r="5729" spans="1:1" ht="15.75" customHeight="1" x14ac:dyDescent="0.25">
      <c r="A5729" s="39"/>
    </row>
    <row r="5730" spans="1:1" ht="15.75" customHeight="1" x14ac:dyDescent="0.25">
      <c r="A5730" s="39"/>
    </row>
    <row r="5731" spans="1:1" ht="15.75" customHeight="1" x14ac:dyDescent="0.25">
      <c r="A5731" s="39"/>
    </row>
    <row r="5732" spans="1:1" ht="15.75" customHeight="1" x14ac:dyDescent="0.25">
      <c r="A5732" s="39"/>
    </row>
    <row r="5733" spans="1:1" ht="15.75" customHeight="1" x14ac:dyDescent="0.25">
      <c r="A5733" s="39"/>
    </row>
    <row r="5734" spans="1:1" ht="15.75" customHeight="1" x14ac:dyDescent="0.25">
      <c r="A5734" s="39"/>
    </row>
    <row r="5735" spans="1:1" ht="15.75" customHeight="1" x14ac:dyDescent="0.25">
      <c r="A5735" s="39"/>
    </row>
    <row r="5736" spans="1:1" ht="15.75" customHeight="1" x14ac:dyDescent="0.25">
      <c r="A5736" s="39"/>
    </row>
    <row r="5737" spans="1:1" ht="15.75" customHeight="1" x14ac:dyDescent="0.25">
      <c r="A5737" s="39"/>
    </row>
    <row r="5738" spans="1:1" ht="15.75" customHeight="1" x14ac:dyDescent="0.25">
      <c r="A5738" s="39"/>
    </row>
    <row r="5739" spans="1:1" ht="15.75" customHeight="1" x14ac:dyDescent="0.25">
      <c r="A5739" s="39"/>
    </row>
    <row r="5740" spans="1:1" ht="15.75" customHeight="1" x14ac:dyDescent="0.25">
      <c r="A5740" s="39"/>
    </row>
    <row r="5741" spans="1:1" ht="15.75" customHeight="1" x14ac:dyDescent="0.25">
      <c r="A5741" s="39"/>
    </row>
    <row r="5742" spans="1:1" ht="15.75" customHeight="1" x14ac:dyDescent="0.25">
      <c r="A5742" s="39"/>
    </row>
    <row r="5743" spans="1:1" ht="15.75" customHeight="1" x14ac:dyDescent="0.25">
      <c r="A5743" s="39"/>
    </row>
    <row r="5744" spans="1:1" ht="15.75" customHeight="1" x14ac:dyDescent="0.25">
      <c r="A5744" s="39"/>
    </row>
    <row r="5745" spans="1:1" ht="15.75" customHeight="1" x14ac:dyDescent="0.25">
      <c r="A5745" s="39"/>
    </row>
    <row r="5746" spans="1:1" ht="15.75" customHeight="1" x14ac:dyDescent="0.25">
      <c r="A5746" s="39"/>
    </row>
    <row r="5747" spans="1:1" ht="15.75" customHeight="1" x14ac:dyDescent="0.25">
      <c r="A5747" s="39"/>
    </row>
    <row r="5748" spans="1:1" ht="15.75" customHeight="1" x14ac:dyDescent="0.25">
      <c r="A5748" s="39"/>
    </row>
    <row r="5749" spans="1:1" ht="15.75" customHeight="1" x14ac:dyDescent="0.25">
      <c r="A5749" s="39"/>
    </row>
    <row r="5750" spans="1:1" ht="15.75" customHeight="1" x14ac:dyDescent="0.25">
      <c r="A5750" s="39"/>
    </row>
    <row r="5751" spans="1:1" ht="15.75" customHeight="1" x14ac:dyDescent="0.25">
      <c r="A5751" s="39"/>
    </row>
    <row r="5752" spans="1:1" ht="15.75" customHeight="1" x14ac:dyDescent="0.25">
      <c r="A5752" s="39"/>
    </row>
    <row r="5753" spans="1:1" ht="15.75" customHeight="1" x14ac:dyDescent="0.25">
      <c r="A5753" s="39"/>
    </row>
    <row r="5754" spans="1:1" ht="15.75" customHeight="1" x14ac:dyDescent="0.25">
      <c r="A5754" s="39"/>
    </row>
    <row r="5755" spans="1:1" ht="15.75" customHeight="1" x14ac:dyDescent="0.25">
      <c r="A5755" s="39"/>
    </row>
    <row r="5756" spans="1:1" ht="15.75" customHeight="1" x14ac:dyDescent="0.25">
      <c r="A5756" s="39"/>
    </row>
    <row r="5757" spans="1:1" ht="15.75" customHeight="1" x14ac:dyDescent="0.25">
      <c r="A5757" s="39"/>
    </row>
    <row r="5758" spans="1:1" ht="15.75" customHeight="1" x14ac:dyDescent="0.25">
      <c r="A5758" s="39"/>
    </row>
    <row r="5759" spans="1:1" ht="15.75" customHeight="1" x14ac:dyDescent="0.25">
      <c r="A5759" s="39"/>
    </row>
    <row r="5760" spans="1:1" ht="15.75" customHeight="1" x14ac:dyDescent="0.25">
      <c r="A5760" s="39"/>
    </row>
    <row r="5761" spans="1:1" ht="15.75" customHeight="1" x14ac:dyDescent="0.25">
      <c r="A5761" s="39"/>
    </row>
    <row r="5762" spans="1:1" ht="15.75" customHeight="1" x14ac:dyDescent="0.25">
      <c r="A5762" s="39"/>
    </row>
    <row r="5763" spans="1:1" ht="15.75" customHeight="1" x14ac:dyDescent="0.25">
      <c r="A5763" s="39"/>
    </row>
    <row r="5764" spans="1:1" ht="15.75" customHeight="1" x14ac:dyDescent="0.25">
      <c r="A5764" s="39"/>
    </row>
    <row r="5765" spans="1:1" ht="15.75" customHeight="1" x14ac:dyDescent="0.25">
      <c r="A5765" s="39"/>
    </row>
    <row r="5766" spans="1:1" ht="15.75" customHeight="1" x14ac:dyDescent="0.25">
      <c r="A5766" s="39"/>
    </row>
    <row r="5767" spans="1:1" ht="15.75" customHeight="1" x14ac:dyDescent="0.25">
      <c r="A5767" s="39"/>
    </row>
    <row r="5768" spans="1:1" ht="15.75" customHeight="1" x14ac:dyDescent="0.25">
      <c r="A5768" s="39"/>
    </row>
    <row r="5769" spans="1:1" ht="15.75" customHeight="1" x14ac:dyDescent="0.25">
      <c r="A5769" s="39"/>
    </row>
    <row r="5770" spans="1:1" ht="15.75" customHeight="1" x14ac:dyDescent="0.25">
      <c r="A5770" s="39"/>
    </row>
    <row r="5771" spans="1:1" ht="15.75" customHeight="1" x14ac:dyDescent="0.25">
      <c r="A5771" s="39"/>
    </row>
    <row r="5772" spans="1:1" ht="15.75" customHeight="1" x14ac:dyDescent="0.25">
      <c r="A5772" s="39"/>
    </row>
    <row r="5773" spans="1:1" ht="15.75" customHeight="1" x14ac:dyDescent="0.25">
      <c r="A5773" s="39"/>
    </row>
    <row r="5774" spans="1:1" ht="15.75" customHeight="1" x14ac:dyDescent="0.25">
      <c r="A5774" s="39"/>
    </row>
    <row r="5775" spans="1:1" ht="15.75" customHeight="1" x14ac:dyDescent="0.25">
      <c r="A5775" s="39"/>
    </row>
    <row r="5776" spans="1:1" ht="15.75" customHeight="1" x14ac:dyDescent="0.25">
      <c r="A5776" s="39"/>
    </row>
    <row r="5777" spans="1:1" ht="15.75" customHeight="1" x14ac:dyDescent="0.25">
      <c r="A5777" s="39"/>
    </row>
    <row r="5778" spans="1:1" ht="15.75" customHeight="1" x14ac:dyDescent="0.25">
      <c r="A5778" s="39"/>
    </row>
    <row r="5779" spans="1:1" ht="15.75" customHeight="1" x14ac:dyDescent="0.25">
      <c r="A5779" s="39"/>
    </row>
    <row r="5780" spans="1:1" ht="15.75" customHeight="1" x14ac:dyDescent="0.25">
      <c r="A5780" s="39"/>
    </row>
    <row r="5781" spans="1:1" ht="15.75" customHeight="1" x14ac:dyDescent="0.25">
      <c r="A5781" s="39"/>
    </row>
    <row r="5782" spans="1:1" ht="15.75" customHeight="1" x14ac:dyDescent="0.25">
      <c r="A5782" s="39"/>
    </row>
    <row r="5783" spans="1:1" ht="15.75" customHeight="1" x14ac:dyDescent="0.25">
      <c r="A5783" s="39"/>
    </row>
    <row r="5784" spans="1:1" ht="15.75" customHeight="1" x14ac:dyDescent="0.25">
      <c r="A5784" s="39"/>
    </row>
    <row r="5785" spans="1:1" ht="15.75" customHeight="1" x14ac:dyDescent="0.25">
      <c r="A5785" s="39"/>
    </row>
    <row r="5786" spans="1:1" ht="15.75" customHeight="1" x14ac:dyDescent="0.25">
      <c r="A5786" s="39"/>
    </row>
    <row r="5787" spans="1:1" ht="15.75" customHeight="1" x14ac:dyDescent="0.25">
      <c r="A5787" s="39"/>
    </row>
    <row r="5788" spans="1:1" ht="15.75" customHeight="1" x14ac:dyDescent="0.25">
      <c r="A5788" s="39"/>
    </row>
    <row r="5789" spans="1:1" ht="15.75" customHeight="1" x14ac:dyDescent="0.25">
      <c r="A5789" s="39"/>
    </row>
    <row r="5790" spans="1:1" ht="15.75" customHeight="1" x14ac:dyDescent="0.25">
      <c r="A5790" s="39"/>
    </row>
    <row r="5791" spans="1:1" ht="15.75" customHeight="1" x14ac:dyDescent="0.25">
      <c r="A5791" s="39"/>
    </row>
    <row r="5792" spans="1:1" ht="15.75" customHeight="1" x14ac:dyDescent="0.25">
      <c r="A5792" s="39"/>
    </row>
    <row r="5793" spans="1:1" ht="15.75" customHeight="1" x14ac:dyDescent="0.25">
      <c r="A5793" s="39"/>
    </row>
    <row r="5794" spans="1:1" ht="15.75" customHeight="1" x14ac:dyDescent="0.25">
      <c r="A5794" s="39"/>
    </row>
    <row r="5795" spans="1:1" ht="15.75" customHeight="1" x14ac:dyDescent="0.25">
      <c r="A5795" s="39"/>
    </row>
    <row r="5796" spans="1:1" ht="15.75" customHeight="1" x14ac:dyDescent="0.25">
      <c r="A5796" s="39"/>
    </row>
    <row r="5797" spans="1:1" ht="15.75" customHeight="1" x14ac:dyDescent="0.25">
      <c r="A5797" s="39"/>
    </row>
    <row r="5798" spans="1:1" ht="15.75" customHeight="1" x14ac:dyDescent="0.25">
      <c r="A5798" s="39"/>
    </row>
    <row r="5799" spans="1:1" ht="15.75" customHeight="1" x14ac:dyDescent="0.25">
      <c r="A5799" s="39"/>
    </row>
    <row r="5800" spans="1:1" ht="15.75" customHeight="1" x14ac:dyDescent="0.25">
      <c r="A5800" s="39"/>
    </row>
    <row r="5801" spans="1:1" ht="15.75" customHeight="1" x14ac:dyDescent="0.25">
      <c r="A5801" s="39"/>
    </row>
    <row r="5802" spans="1:1" ht="15.75" customHeight="1" x14ac:dyDescent="0.25">
      <c r="A5802" s="39"/>
    </row>
    <row r="5803" spans="1:1" ht="15.75" customHeight="1" x14ac:dyDescent="0.25">
      <c r="A5803" s="39"/>
    </row>
    <row r="5804" spans="1:1" ht="15.75" customHeight="1" x14ac:dyDescent="0.25">
      <c r="A5804" s="39"/>
    </row>
    <row r="5805" spans="1:1" ht="15.75" customHeight="1" x14ac:dyDescent="0.25">
      <c r="A5805" s="39"/>
    </row>
    <row r="5806" spans="1:1" ht="15.75" customHeight="1" x14ac:dyDescent="0.25">
      <c r="A5806" s="39"/>
    </row>
    <row r="5807" spans="1:1" ht="15.75" customHeight="1" x14ac:dyDescent="0.25">
      <c r="A5807" s="39"/>
    </row>
    <row r="5808" spans="1:1" ht="15.75" customHeight="1" x14ac:dyDescent="0.25">
      <c r="A5808" s="39"/>
    </row>
    <row r="5809" spans="1:1" ht="15.75" customHeight="1" x14ac:dyDescent="0.25">
      <c r="A5809" s="39"/>
    </row>
    <row r="5810" spans="1:1" ht="15.75" customHeight="1" x14ac:dyDescent="0.25">
      <c r="A5810" s="39"/>
    </row>
    <row r="5811" spans="1:1" ht="15.75" customHeight="1" x14ac:dyDescent="0.25">
      <c r="A5811" s="39"/>
    </row>
    <row r="5812" spans="1:1" ht="15.75" customHeight="1" x14ac:dyDescent="0.25">
      <c r="A5812" s="39"/>
    </row>
    <row r="5813" spans="1:1" ht="15.75" customHeight="1" x14ac:dyDescent="0.25">
      <c r="A5813" s="39"/>
    </row>
    <row r="5814" spans="1:1" ht="15.75" customHeight="1" x14ac:dyDescent="0.25">
      <c r="A5814" s="39"/>
    </row>
    <row r="5815" spans="1:1" ht="15.75" customHeight="1" x14ac:dyDescent="0.25">
      <c r="A5815" s="39"/>
    </row>
    <row r="5816" spans="1:1" ht="15.75" customHeight="1" x14ac:dyDescent="0.25">
      <c r="A5816" s="39"/>
    </row>
    <row r="5817" spans="1:1" ht="15.75" customHeight="1" x14ac:dyDescent="0.25">
      <c r="A5817" s="39"/>
    </row>
    <row r="5818" spans="1:1" ht="15.75" customHeight="1" x14ac:dyDescent="0.25">
      <c r="A5818" s="39"/>
    </row>
    <row r="5819" spans="1:1" ht="15.75" customHeight="1" x14ac:dyDescent="0.25">
      <c r="A5819" s="39"/>
    </row>
    <row r="5820" spans="1:1" ht="15.75" customHeight="1" x14ac:dyDescent="0.25">
      <c r="A5820" s="39"/>
    </row>
    <row r="5821" spans="1:1" ht="15.75" customHeight="1" x14ac:dyDescent="0.25">
      <c r="A5821" s="39"/>
    </row>
    <row r="5822" spans="1:1" ht="15.75" customHeight="1" x14ac:dyDescent="0.25">
      <c r="A5822" s="39"/>
    </row>
    <row r="5823" spans="1:1" ht="15.75" customHeight="1" x14ac:dyDescent="0.25">
      <c r="A5823" s="39"/>
    </row>
    <row r="5824" spans="1:1" ht="15.75" customHeight="1" x14ac:dyDescent="0.25">
      <c r="A5824" s="39"/>
    </row>
    <row r="5825" spans="1:1" ht="15.75" customHeight="1" x14ac:dyDescent="0.25">
      <c r="A5825" s="39"/>
    </row>
    <row r="5826" spans="1:1" ht="15.75" customHeight="1" x14ac:dyDescent="0.25">
      <c r="A5826" s="39"/>
    </row>
    <row r="5827" spans="1:1" ht="15.75" customHeight="1" x14ac:dyDescent="0.25">
      <c r="A5827" s="39"/>
    </row>
    <row r="5828" spans="1:1" ht="15.75" customHeight="1" x14ac:dyDescent="0.25">
      <c r="A5828" s="39"/>
    </row>
    <row r="5829" spans="1:1" ht="15.75" customHeight="1" x14ac:dyDescent="0.25">
      <c r="A5829" s="39"/>
    </row>
    <row r="5830" spans="1:1" ht="15.75" customHeight="1" x14ac:dyDescent="0.25">
      <c r="A5830" s="39"/>
    </row>
    <row r="5831" spans="1:1" ht="15.75" customHeight="1" x14ac:dyDescent="0.25">
      <c r="A5831" s="39"/>
    </row>
    <row r="5832" spans="1:1" ht="15.75" customHeight="1" x14ac:dyDescent="0.25">
      <c r="A5832" s="39"/>
    </row>
    <row r="5833" spans="1:1" ht="15.75" customHeight="1" x14ac:dyDescent="0.25">
      <c r="A5833" s="39"/>
    </row>
    <row r="5834" spans="1:1" ht="15.75" customHeight="1" x14ac:dyDescent="0.25">
      <c r="A5834" s="39"/>
    </row>
    <row r="5835" spans="1:1" ht="15.75" customHeight="1" x14ac:dyDescent="0.25">
      <c r="A5835" s="39"/>
    </row>
    <row r="5836" spans="1:1" ht="15.75" customHeight="1" x14ac:dyDescent="0.25">
      <c r="A5836" s="39"/>
    </row>
    <row r="5837" spans="1:1" ht="15.75" customHeight="1" x14ac:dyDescent="0.25">
      <c r="A5837" s="39"/>
    </row>
    <row r="5838" spans="1:1" ht="15.75" customHeight="1" x14ac:dyDescent="0.25">
      <c r="A5838" s="39"/>
    </row>
    <row r="5839" spans="1:1" ht="15.75" customHeight="1" x14ac:dyDescent="0.25">
      <c r="A5839" s="39"/>
    </row>
    <row r="5840" spans="1:1" ht="15.75" customHeight="1" x14ac:dyDescent="0.25">
      <c r="A5840" s="39"/>
    </row>
    <row r="5841" spans="1:1" ht="15.75" customHeight="1" x14ac:dyDescent="0.25">
      <c r="A5841" s="39"/>
    </row>
    <row r="5842" spans="1:1" ht="15.75" customHeight="1" x14ac:dyDescent="0.25">
      <c r="A5842" s="39"/>
    </row>
    <row r="5843" spans="1:1" ht="15.75" customHeight="1" x14ac:dyDescent="0.25">
      <c r="A5843" s="39"/>
    </row>
    <row r="5844" spans="1:1" ht="15.75" customHeight="1" x14ac:dyDescent="0.25">
      <c r="A5844" s="39"/>
    </row>
    <row r="5845" spans="1:1" ht="15.75" customHeight="1" x14ac:dyDescent="0.25">
      <c r="A5845" s="39"/>
    </row>
    <row r="5846" spans="1:1" ht="15.75" customHeight="1" x14ac:dyDescent="0.25">
      <c r="A5846" s="39"/>
    </row>
    <row r="5847" spans="1:1" ht="15.75" customHeight="1" x14ac:dyDescent="0.25">
      <c r="A5847" s="39"/>
    </row>
    <row r="5848" spans="1:1" ht="15.75" customHeight="1" x14ac:dyDescent="0.25">
      <c r="A5848" s="39"/>
    </row>
    <row r="5849" spans="1:1" ht="15.75" customHeight="1" x14ac:dyDescent="0.25">
      <c r="A5849" s="39"/>
    </row>
    <row r="5850" spans="1:1" ht="15.75" customHeight="1" x14ac:dyDescent="0.25">
      <c r="A5850" s="39"/>
    </row>
    <row r="5851" spans="1:1" ht="15.75" customHeight="1" x14ac:dyDescent="0.25">
      <c r="A5851" s="39"/>
    </row>
    <row r="5852" spans="1:1" ht="15.75" customHeight="1" x14ac:dyDescent="0.25">
      <c r="A5852" s="39"/>
    </row>
    <row r="5853" spans="1:1" ht="15.75" customHeight="1" x14ac:dyDescent="0.25">
      <c r="A5853" s="39"/>
    </row>
    <row r="5854" spans="1:1" ht="15.75" customHeight="1" x14ac:dyDescent="0.25">
      <c r="A5854" s="39"/>
    </row>
    <row r="5855" spans="1:1" ht="15.75" customHeight="1" x14ac:dyDescent="0.25">
      <c r="A5855" s="39"/>
    </row>
    <row r="5856" spans="1:1" ht="15.75" customHeight="1" x14ac:dyDescent="0.25">
      <c r="A5856" s="39"/>
    </row>
    <row r="5857" spans="1:1" ht="15.75" customHeight="1" x14ac:dyDescent="0.25">
      <c r="A5857" s="39"/>
    </row>
    <row r="5858" spans="1:1" ht="15.75" customHeight="1" x14ac:dyDescent="0.25">
      <c r="A5858" s="39"/>
    </row>
    <row r="5859" spans="1:1" ht="15.75" customHeight="1" x14ac:dyDescent="0.25">
      <c r="A5859" s="39"/>
    </row>
    <row r="5860" spans="1:1" ht="15.75" customHeight="1" x14ac:dyDescent="0.25">
      <c r="A5860" s="39"/>
    </row>
    <row r="5861" spans="1:1" ht="15.75" customHeight="1" x14ac:dyDescent="0.25">
      <c r="A5861" s="39"/>
    </row>
    <row r="5862" spans="1:1" ht="15.75" customHeight="1" x14ac:dyDescent="0.25">
      <c r="A5862" s="39"/>
    </row>
    <row r="5863" spans="1:1" ht="15.75" customHeight="1" x14ac:dyDescent="0.25">
      <c r="A5863" s="39"/>
    </row>
    <row r="5864" spans="1:1" ht="15.75" customHeight="1" x14ac:dyDescent="0.25">
      <c r="A5864" s="39"/>
    </row>
    <row r="5865" spans="1:1" ht="15.75" customHeight="1" x14ac:dyDescent="0.25">
      <c r="A5865" s="39"/>
    </row>
    <row r="5866" spans="1:1" ht="15.75" customHeight="1" x14ac:dyDescent="0.25">
      <c r="A5866" s="39"/>
    </row>
    <row r="5867" spans="1:1" ht="15.75" customHeight="1" x14ac:dyDescent="0.25">
      <c r="A5867" s="39"/>
    </row>
    <row r="5868" spans="1:1" ht="15.75" customHeight="1" x14ac:dyDescent="0.25">
      <c r="A5868" s="39"/>
    </row>
    <row r="5869" spans="1:1" ht="15.75" customHeight="1" x14ac:dyDescent="0.25">
      <c r="A5869" s="39"/>
    </row>
    <row r="5870" spans="1:1" ht="15.75" customHeight="1" x14ac:dyDescent="0.25">
      <c r="A5870" s="39"/>
    </row>
    <row r="5871" spans="1:1" ht="15.75" customHeight="1" x14ac:dyDescent="0.25">
      <c r="A5871" s="39"/>
    </row>
    <row r="5872" spans="1:1" ht="15.75" customHeight="1" x14ac:dyDescent="0.25">
      <c r="A5872" s="39"/>
    </row>
    <row r="5873" spans="1:1" ht="15.75" customHeight="1" x14ac:dyDescent="0.25">
      <c r="A5873" s="39"/>
    </row>
    <row r="5874" spans="1:1" ht="15.75" customHeight="1" x14ac:dyDescent="0.25">
      <c r="A5874" s="39"/>
    </row>
    <row r="5875" spans="1:1" ht="15.75" customHeight="1" x14ac:dyDescent="0.25">
      <c r="A5875" s="39"/>
    </row>
    <row r="5876" spans="1:1" ht="15.75" customHeight="1" x14ac:dyDescent="0.25">
      <c r="A5876" s="39"/>
    </row>
    <row r="5877" spans="1:1" ht="15.75" customHeight="1" x14ac:dyDescent="0.25">
      <c r="A5877" s="39"/>
    </row>
    <row r="5878" spans="1:1" ht="15.75" customHeight="1" x14ac:dyDescent="0.25">
      <c r="A5878" s="39"/>
    </row>
    <row r="5879" spans="1:1" ht="15.75" customHeight="1" x14ac:dyDescent="0.25">
      <c r="A5879" s="39"/>
    </row>
    <row r="5880" spans="1:1" ht="15.75" customHeight="1" x14ac:dyDescent="0.25">
      <c r="A5880" s="39"/>
    </row>
    <row r="5881" spans="1:1" ht="15.75" customHeight="1" x14ac:dyDescent="0.25">
      <c r="A5881" s="39"/>
    </row>
    <row r="5882" spans="1:1" ht="15.75" customHeight="1" x14ac:dyDescent="0.25">
      <c r="A5882" s="39"/>
    </row>
    <row r="5883" spans="1:1" ht="15.75" customHeight="1" x14ac:dyDescent="0.25">
      <c r="A5883" s="39"/>
    </row>
    <row r="5884" spans="1:1" ht="15.75" customHeight="1" x14ac:dyDescent="0.25">
      <c r="A5884" s="39"/>
    </row>
    <row r="5885" spans="1:1" ht="15.75" customHeight="1" x14ac:dyDescent="0.25">
      <c r="A5885" s="39"/>
    </row>
    <row r="5886" spans="1:1" ht="15.75" customHeight="1" x14ac:dyDescent="0.25">
      <c r="A5886" s="39"/>
    </row>
    <row r="5887" spans="1:1" ht="15.75" customHeight="1" x14ac:dyDescent="0.25">
      <c r="A5887" s="39"/>
    </row>
    <row r="5888" spans="1:1" ht="15.75" customHeight="1" x14ac:dyDescent="0.25">
      <c r="A5888" s="39"/>
    </row>
    <row r="5889" spans="1:1" ht="15.75" customHeight="1" x14ac:dyDescent="0.25">
      <c r="A5889" s="39"/>
    </row>
    <row r="5890" spans="1:1" ht="15.75" customHeight="1" x14ac:dyDescent="0.25">
      <c r="A5890" s="39"/>
    </row>
    <row r="5891" spans="1:1" ht="15.75" customHeight="1" x14ac:dyDescent="0.25">
      <c r="A5891" s="39"/>
    </row>
    <row r="5892" spans="1:1" ht="15.75" customHeight="1" x14ac:dyDescent="0.25">
      <c r="A5892" s="39"/>
    </row>
    <row r="5893" spans="1:1" ht="15.75" customHeight="1" x14ac:dyDescent="0.25">
      <c r="A5893" s="39"/>
    </row>
    <row r="5894" spans="1:1" ht="15.75" customHeight="1" x14ac:dyDescent="0.25">
      <c r="A5894" s="39"/>
    </row>
    <row r="5895" spans="1:1" ht="15.75" customHeight="1" x14ac:dyDescent="0.25">
      <c r="A5895" s="39"/>
    </row>
    <row r="5896" spans="1:1" ht="15.75" customHeight="1" x14ac:dyDescent="0.25">
      <c r="A5896" s="39"/>
    </row>
    <row r="5897" spans="1:1" ht="15.75" customHeight="1" x14ac:dyDescent="0.25">
      <c r="A5897" s="39"/>
    </row>
    <row r="5898" spans="1:1" ht="15.75" customHeight="1" x14ac:dyDescent="0.25">
      <c r="A5898" s="39"/>
    </row>
    <row r="5899" spans="1:1" ht="15.75" customHeight="1" x14ac:dyDescent="0.25">
      <c r="A5899" s="39"/>
    </row>
    <row r="5900" spans="1:1" ht="15.75" customHeight="1" x14ac:dyDescent="0.25">
      <c r="A5900" s="39"/>
    </row>
    <row r="5901" spans="1:1" ht="15.75" customHeight="1" x14ac:dyDescent="0.25">
      <c r="A5901" s="39"/>
    </row>
    <row r="5902" spans="1:1" ht="15.75" customHeight="1" x14ac:dyDescent="0.25">
      <c r="A5902" s="39"/>
    </row>
    <row r="5903" spans="1:1" ht="15.75" customHeight="1" x14ac:dyDescent="0.25">
      <c r="A5903" s="39"/>
    </row>
    <row r="5904" spans="1:1" ht="15.75" customHeight="1" x14ac:dyDescent="0.25">
      <c r="A5904" s="39"/>
    </row>
    <row r="5905" spans="1:1" ht="15.75" customHeight="1" x14ac:dyDescent="0.25">
      <c r="A5905" s="39"/>
    </row>
    <row r="5906" spans="1:1" ht="15.75" customHeight="1" x14ac:dyDescent="0.25">
      <c r="A5906" s="39"/>
    </row>
    <row r="5907" spans="1:1" ht="15.75" customHeight="1" x14ac:dyDescent="0.25">
      <c r="A5907" s="39"/>
    </row>
    <row r="5908" spans="1:1" ht="15.75" customHeight="1" x14ac:dyDescent="0.25">
      <c r="A5908" s="39"/>
    </row>
    <row r="5909" spans="1:1" ht="15.75" customHeight="1" x14ac:dyDescent="0.25">
      <c r="A5909" s="39"/>
    </row>
    <row r="5910" spans="1:1" ht="15.75" customHeight="1" x14ac:dyDescent="0.25">
      <c r="A5910" s="39"/>
    </row>
    <row r="5911" spans="1:1" ht="15.75" customHeight="1" x14ac:dyDescent="0.25">
      <c r="A5911" s="39"/>
    </row>
    <row r="5912" spans="1:1" ht="15.75" customHeight="1" x14ac:dyDescent="0.25">
      <c r="A5912" s="39"/>
    </row>
    <row r="5913" spans="1:1" ht="15.75" customHeight="1" x14ac:dyDescent="0.25">
      <c r="A5913" s="39"/>
    </row>
    <row r="5914" spans="1:1" ht="15.75" customHeight="1" x14ac:dyDescent="0.25">
      <c r="A5914" s="39"/>
    </row>
    <row r="5915" spans="1:1" ht="15.75" customHeight="1" x14ac:dyDescent="0.25">
      <c r="A5915" s="39"/>
    </row>
    <row r="5916" spans="1:1" ht="15.75" customHeight="1" x14ac:dyDescent="0.25">
      <c r="A5916" s="39"/>
    </row>
    <row r="5917" spans="1:1" ht="15.75" customHeight="1" x14ac:dyDescent="0.25">
      <c r="A5917" s="39"/>
    </row>
    <row r="5918" spans="1:1" ht="15.75" customHeight="1" x14ac:dyDescent="0.25">
      <c r="A5918" s="39"/>
    </row>
    <row r="5919" spans="1:1" ht="15.75" customHeight="1" x14ac:dyDescent="0.25">
      <c r="A5919" s="39"/>
    </row>
    <row r="5920" spans="1:1" ht="15.75" customHeight="1" x14ac:dyDescent="0.25">
      <c r="A5920" s="39"/>
    </row>
    <row r="5921" spans="1:1" ht="15.75" customHeight="1" x14ac:dyDescent="0.25">
      <c r="A5921" s="39"/>
    </row>
    <row r="5922" spans="1:1" ht="15.75" customHeight="1" x14ac:dyDescent="0.25">
      <c r="A5922" s="39"/>
    </row>
    <row r="5923" spans="1:1" ht="15.75" customHeight="1" x14ac:dyDescent="0.25">
      <c r="A5923" s="39"/>
    </row>
    <row r="5924" spans="1:1" ht="15.75" customHeight="1" x14ac:dyDescent="0.25">
      <c r="A5924" s="39"/>
    </row>
    <row r="5925" spans="1:1" ht="15.75" customHeight="1" x14ac:dyDescent="0.25">
      <c r="A5925" s="39"/>
    </row>
    <row r="5926" spans="1:1" ht="15.75" customHeight="1" x14ac:dyDescent="0.25">
      <c r="A5926" s="39"/>
    </row>
    <row r="5927" spans="1:1" ht="15.75" customHeight="1" x14ac:dyDescent="0.25">
      <c r="A5927" s="39"/>
    </row>
    <row r="5928" spans="1:1" ht="15.75" customHeight="1" x14ac:dyDescent="0.25">
      <c r="A5928" s="39"/>
    </row>
    <row r="5929" spans="1:1" ht="15.75" customHeight="1" x14ac:dyDescent="0.25">
      <c r="A5929" s="39"/>
    </row>
    <row r="5930" spans="1:1" ht="15.75" customHeight="1" x14ac:dyDescent="0.25">
      <c r="A5930" s="39"/>
    </row>
    <row r="5931" spans="1:1" ht="15.75" customHeight="1" x14ac:dyDescent="0.25">
      <c r="A5931" s="39"/>
    </row>
    <row r="5932" spans="1:1" ht="15.75" customHeight="1" x14ac:dyDescent="0.25">
      <c r="A5932" s="39"/>
    </row>
    <row r="5933" spans="1:1" ht="15.75" customHeight="1" x14ac:dyDescent="0.25">
      <c r="A5933" s="39"/>
    </row>
    <row r="5934" spans="1:1" ht="15.75" customHeight="1" x14ac:dyDescent="0.25">
      <c r="A5934" s="39"/>
    </row>
    <row r="5935" spans="1:1" ht="15.75" customHeight="1" x14ac:dyDescent="0.25">
      <c r="A5935" s="39"/>
    </row>
    <row r="5936" spans="1:1" ht="15.75" customHeight="1" x14ac:dyDescent="0.25">
      <c r="A5936" s="39"/>
    </row>
    <row r="5937" spans="1:1" ht="15.75" customHeight="1" x14ac:dyDescent="0.25">
      <c r="A5937" s="39"/>
    </row>
    <row r="5938" spans="1:1" ht="15.75" customHeight="1" x14ac:dyDescent="0.25">
      <c r="A5938" s="39"/>
    </row>
    <row r="5939" spans="1:1" ht="15.75" customHeight="1" x14ac:dyDescent="0.25">
      <c r="A5939" s="39"/>
    </row>
    <row r="5940" spans="1:1" ht="15.75" customHeight="1" x14ac:dyDescent="0.25">
      <c r="A5940" s="39"/>
    </row>
    <row r="5941" spans="1:1" ht="15.75" customHeight="1" x14ac:dyDescent="0.25">
      <c r="A5941" s="39"/>
    </row>
    <row r="5942" spans="1:1" ht="15.75" customHeight="1" x14ac:dyDescent="0.25">
      <c r="A5942" s="39"/>
    </row>
    <row r="5943" spans="1:1" ht="15.75" customHeight="1" x14ac:dyDescent="0.25">
      <c r="A5943" s="39"/>
    </row>
    <row r="5944" spans="1:1" ht="15.75" customHeight="1" x14ac:dyDescent="0.25">
      <c r="A5944" s="39"/>
    </row>
    <row r="5945" spans="1:1" ht="15.75" customHeight="1" x14ac:dyDescent="0.25">
      <c r="A5945" s="39"/>
    </row>
    <row r="5946" spans="1:1" ht="15.75" customHeight="1" x14ac:dyDescent="0.25">
      <c r="A5946" s="39"/>
    </row>
    <row r="5947" spans="1:1" ht="15.75" customHeight="1" x14ac:dyDescent="0.25">
      <c r="A5947" s="39"/>
    </row>
    <row r="5948" spans="1:1" ht="15.75" customHeight="1" x14ac:dyDescent="0.25">
      <c r="A5948" s="39"/>
    </row>
    <row r="5949" spans="1:1" ht="15.75" customHeight="1" x14ac:dyDescent="0.25">
      <c r="A5949" s="39"/>
    </row>
    <row r="5950" spans="1:1" ht="15.75" customHeight="1" x14ac:dyDescent="0.25">
      <c r="A5950" s="39"/>
    </row>
    <row r="5951" spans="1:1" ht="15.75" customHeight="1" x14ac:dyDescent="0.25">
      <c r="A5951" s="39"/>
    </row>
    <row r="5952" spans="1:1" ht="15.75" customHeight="1" x14ac:dyDescent="0.25">
      <c r="A5952" s="39"/>
    </row>
    <row r="5953" spans="1:1" ht="15.75" customHeight="1" x14ac:dyDescent="0.25">
      <c r="A5953" s="39"/>
    </row>
    <row r="5954" spans="1:1" ht="15.75" customHeight="1" x14ac:dyDescent="0.25">
      <c r="A5954" s="39"/>
    </row>
    <row r="5955" spans="1:1" ht="15.75" customHeight="1" x14ac:dyDescent="0.25">
      <c r="A5955" s="39"/>
    </row>
    <row r="5956" spans="1:1" ht="15.75" customHeight="1" x14ac:dyDescent="0.25">
      <c r="A5956" s="39"/>
    </row>
    <row r="5957" spans="1:1" ht="15.75" customHeight="1" x14ac:dyDescent="0.25">
      <c r="A5957" s="39"/>
    </row>
    <row r="5958" spans="1:1" ht="15.75" customHeight="1" x14ac:dyDescent="0.25">
      <c r="A5958" s="39"/>
    </row>
    <row r="5959" spans="1:1" ht="15.75" customHeight="1" x14ac:dyDescent="0.25">
      <c r="A5959" s="39"/>
    </row>
    <row r="5960" spans="1:1" ht="15.75" customHeight="1" x14ac:dyDescent="0.25">
      <c r="A5960" s="39"/>
    </row>
    <row r="5961" spans="1:1" ht="15.75" customHeight="1" x14ac:dyDescent="0.25">
      <c r="A5961" s="39"/>
    </row>
    <row r="5962" spans="1:1" ht="15.75" customHeight="1" x14ac:dyDescent="0.25">
      <c r="A5962" s="39"/>
    </row>
    <row r="5963" spans="1:1" ht="15.75" customHeight="1" x14ac:dyDescent="0.25">
      <c r="A5963" s="39"/>
    </row>
    <row r="5964" spans="1:1" ht="15.75" customHeight="1" x14ac:dyDescent="0.25">
      <c r="A5964" s="39"/>
    </row>
    <row r="5965" spans="1:1" ht="15.75" customHeight="1" x14ac:dyDescent="0.25">
      <c r="A5965" s="39"/>
    </row>
    <row r="5966" spans="1:1" ht="15.75" customHeight="1" x14ac:dyDescent="0.25">
      <c r="A5966" s="39"/>
    </row>
    <row r="5967" spans="1:1" ht="15.75" customHeight="1" x14ac:dyDescent="0.25">
      <c r="A5967" s="39"/>
    </row>
    <row r="5968" spans="1:1" ht="15.75" customHeight="1" x14ac:dyDescent="0.25">
      <c r="A5968" s="39"/>
    </row>
    <row r="5969" spans="1:1" ht="15.75" customHeight="1" x14ac:dyDescent="0.25">
      <c r="A5969" s="39"/>
    </row>
    <row r="5970" spans="1:1" ht="15.75" customHeight="1" x14ac:dyDescent="0.25">
      <c r="A5970" s="39"/>
    </row>
    <row r="5971" spans="1:1" ht="15.75" customHeight="1" x14ac:dyDescent="0.25">
      <c r="A5971" s="39"/>
    </row>
    <row r="5972" spans="1:1" ht="15.75" customHeight="1" x14ac:dyDescent="0.25">
      <c r="A5972" s="39"/>
    </row>
    <row r="5973" spans="1:1" ht="15.75" customHeight="1" x14ac:dyDescent="0.25">
      <c r="A5973" s="39"/>
    </row>
    <row r="5974" spans="1:1" ht="15.75" customHeight="1" x14ac:dyDescent="0.25">
      <c r="A5974" s="39"/>
    </row>
    <row r="5975" spans="1:1" ht="15.75" customHeight="1" x14ac:dyDescent="0.25">
      <c r="A5975" s="39"/>
    </row>
    <row r="5976" spans="1:1" ht="15.75" customHeight="1" x14ac:dyDescent="0.25">
      <c r="A5976" s="39"/>
    </row>
    <row r="5977" spans="1:1" ht="15.75" customHeight="1" x14ac:dyDescent="0.25">
      <c r="A5977" s="39"/>
    </row>
    <row r="5978" spans="1:1" ht="15.75" customHeight="1" x14ac:dyDescent="0.25">
      <c r="A5978" s="39"/>
    </row>
    <row r="5979" spans="1:1" ht="15.75" customHeight="1" x14ac:dyDescent="0.25">
      <c r="A5979" s="39"/>
    </row>
    <row r="5980" spans="1:1" ht="15.75" customHeight="1" x14ac:dyDescent="0.25">
      <c r="A5980" s="39"/>
    </row>
    <row r="5981" spans="1:1" ht="15.75" customHeight="1" x14ac:dyDescent="0.25">
      <c r="A5981" s="39"/>
    </row>
    <row r="5982" spans="1:1" ht="15.75" customHeight="1" x14ac:dyDescent="0.25">
      <c r="A5982" s="39"/>
    </row>
    <row r="5983" spans="1:1" ht="15.75" customHeight="1" x14ac:dyDescent="0.25">
      <c r="A5983" s="39"/>
    </row>
    <row r="5984" spans="1:1" ht="15.75" customHeight="1" x14ac:dyDescent="0.25">
      <c r="A5984" s="39"/>
    </row>
    <row r="5985" spans="1:1" ht="15.75" customHeight="1" x14ac:dyDescent="0.25">
      <c r="A5985" s="39"/>
    </row>
    <row r="5986" spans="1:1" ht="15.75" customHeight="1" x14ac:dyDescent="0.25">
      <c r="A5986" s="39"/>
    </row>
    <row r="5987" spans="1:1" ht="15.75" customHeight="1" x14ac:dyDescent="0.25">
      <c r="A5987" s="39"/>
    </row>
    <row r="5988" spans="1:1" ht="15.75" customHeight="1" x14ac:dyDescent="0.25">
      <c r="A5988" s="39"/>
    </row>
    <row r="5989" spans="1:1" ht="15.75" customHeight="1" x14ac:dyDescent="0.25">
      <c r="A5989" s="39"/>
    </row>
    <row r="5990" spans="1:1" ht="15.75" customHeight="1" x14ac:dyDescent="0.25">
      <c r="A5990" s="39"/>
    </row>
    <row r="5991" spans="1:1" ht="15.75" customHeight="1" x14ac:dyDescent="0.25">
      <c r="A5991" s="39"/>
    </row>
    <row r="5992" spans="1:1" ht="15.75" customHeight="1" x14ac:dyDescent="0.25">
      <c r="A5992" s="39"/>
    </row>
    <row r="5993" spans="1:1" ht="15.75" customHeight="1" x14ac:dyDescent="0.25">
      <c r="A5993" s="39"/>
    </row>
    <row r="5994" spans="1:1" ht="15.75" customHeight="1" x14ac:dyDescent="0.25">
      <c r="A5994" s="39"/>
    </row>
    <row r="5995" spans="1:1" ht="15.75" customHeight="1" x14ac:dyDescent="0.25">
      <c r="A5995" s="39"/>
    </row>
    <row r="5996" spans="1:1" ht="15.75" customHeight="1" x14ac:dyDescent="0.25">
      <c r="A5996" s="39"/>
    </row>
    <row r="5997" spans="1:1" ht="15.75" customHeight="1" x14ac:dyDescent="0.25">
      <c r="A5997" s="39"/>
    </row>
    <row r="5998" spans="1:1" ht="15.75" customHeight="1" x14ac:dyDescent="0.25">
      <c r="A5998" s="39"/>
    </row>
    <row r="5999" spans="1:1" ht="15.75" customHeight="1" x14ac:dyDescent="0.25">
      <c r="A5999" s="39"/>
    </row>
    <row r="6000" spans="1:1" ht="15.75" customHeight="1" x14ac:dyDescent="0.25">
      <c r="A6000" s="39"/>
    </row>
    <row r="6001" spans="1:1" ht="15.75" customHeight="1" x14ac:dyDescent="0.25">
      <c r="A6001" s="39"/>
    </row>
    <row r="6002" spans="1:1" ht="15.75" customHeight="1" x14ac:dyDescent="0.25">
      <c r="A6002" s="39"/>
    </row>
    <row r="6003" spans="1:1" ht="15.75" customHeight="1" x14ac:dyDescent="0.25">
      <c r="A6003" s="39"/>
    </row>
    <row r="6004" spans="1:1" ht="15.75" customHeight="1" x14ac:dyDescent="0.25">
      <c r="A6004" s="39"/>
    </row>
    <row r="6005" spans="1:1" ht="15.75" customHeight="1" x14ac:dyDescent="0.25">
      <c r="A6005" s="39"/>
    </row>
    <row r="6006" spans="1:1" ht="15.75" customHeight="1" x14ac:dyDescent="0.25">
      <c r="A6006" s="39"/>
    </row>
    <row r="6007" spans="1:1" ht="15.75" customHeight="1" x14ac:dyDescent="0.25">
      <c r="A6007" s="39"/>
    </row>
    <row r="6008" spans="1:1" ht="15.75" customHeight="1" x14ac:dyDescent="0.25">
      <c r="A6008" s="39"/>
    </row>
    <row r="6009" spans="1:1" ht="15.75" customHeight="1" x14ac:dyDescent="0.25">
      <c r="A6009" s="39"/>
    </row>
    <row r="6010" spans="1:1" ht="15.75" customHeight="1" x14ac:dyDescent="0.25">
      <c r="A6010" s="39"/>
    </row>
    <row r="6011" spans="1:1" ht="15.75" customHeight="1" x14ac:dyDescent="0.25">
      <c r="A6011" s="39"/>
    </row>
    <row r="6012" spans="1:1" ht="15.75" customHeight="1" x14ac:dyDescent="0.25">
      <c r="A6012" s="39"/>
    </row>
    <row r="6013" spans="1:1" ht="15.75" customHeight="1" x14ac:dyDescent="0.25">
      <c r="A6013" s="39"/>
    </row>
    <row r="6014" spans="1:1" ht="15.75" customHeight="1" x14ac:dyDescent="0.25">
      <c r="A6014" s="39"/>
    </row>
    <row r="6015" spans="1:1" ht="15.75" customHeight="1" x14ac:dyDescent="0.25">
      <c r="A6015" s="39"/>
    </row>
    <row r="6016" spans="1:1" ht="15.75" customHeight="1" x14ac:dyDescent="0.25">
      <c r="A6016" s="39"/>
    </row>
    <row r="6017" spans="1:1" ht="15.75" customHeight="1" x14ac:dyDescent="0.25">
      <c r="A6017" s="39"/>
    </row>
    <row r="6018" spans="1:1" ht="15.75" customHeight="1" x14ac:dyDescent="0.25">
      <c r="A6018" s="39"/>
    </row>
    <row r="6019" spans="1:1" ht="15.75" customHeight="1" x14ac:dyDescent="0.25">
      <c r="A6019" s="39"/>
    </row>
    <row r="6020" spans="1:1" ht="15.75" customHeight="1" x14ac:dyDescent="0.25">
      <c r="A6020" s="39"/>
    </row>
    <row r="6021" spans="1:1" ht="15.75" customHeight="1" x14ac:dyDescent="0.25">
      <c r="A6021" s="39"/>
    </row>
    <row r="6022" spans="1:1" ht="15.75" customHeight="1" x14ac:dyDescent="0.25">
      <c r="A6022" s="39"/>
    </row>
    <row r="6023" spans="1:1" ht="15.75" customHeight="1" x14ac:dyDescent="0.25">
      <c r="A6023" s="39"/>
    </row>
    <row r="6024" spans="1:1" ht="15.75" customHeight="1" x14ac:dyDescent="0.25">
      <c r="A6024" s="39"/>
    </row>
    <row r="6025" spans="1:1" ht="15.75" customHeight="1" x14ac:dyDescent="0.25">
      <c r="A6025" s="39"/>
    </row>
    <row r="6026" spans="1:1" ht="15.75" customHeight="1" x14ac:dyDescent="0.25">
      <c r="A6026" s="39"/>
    </row>
    <row r="6027" spans="1:1" ht="15.75" customHeight="1" x14ac:dyDescent="0.25">
      <c r="A6027" s="39"/>
    </row>
    <row r="6028" spans="1:1" ht="15.75" customHeight="1" x14ac:dyDescent="0.25">
      <c r="A6028" s="39"/>
    </row>
    <row r="6029" spans="1:1" ht="15.75" customHeight="1" x14ac:dyDescent="0.25">
      <c r="A6029" s="39"/>
    </row>
    <row r="6030" spans="1:1" ht="15.75" customHeight="1" x14ac:dyDescent="0.25">
      <c r="A6030" s="39"/>
    </row>
    <row r="6031" spans="1:1" ht="15.75" customHeight="1" x14ac:dyDescent="0.25">
      <c r="A6031" s="39"/>
    </row>
    <row r="6032" spans="1:1" ht="15.75" customHeight="1" x14ac:dyDescent="0.25">
      <c r="A6032" s="39"/>
    </row>
    <row r="6033" spans="1:1" ht="15.75" customHeight="1" x14ac:dyDescent="0.25">
      <c r="A6033" s="39"/>
    </row>
    <row r="6034" spans="1:1" ht="15.75" customHeight="1" x14ac:dyDescent="0.25">
      <c r="A6034" s="39"/>
    </row>
    <row r="6035" spans="1:1" ht="15.75" customHeight="1" x14ac:dyDescent="0.25">
      <c r="A6035" s="39"/>
    </row>
    <row r="6036" spans="1:1" ht="15.75" customHeight="1" x14ac:dyDescent="0.25">
      <c r="A6036" s="39"/>
    </row>
    <row r="6037" spans="1:1" ht="15.75" customHeight="1" x14ac:dyDescent="0.25">
      <c r="A6037" s="39"/>
    </row>
    <row r="6038" spans="1:1" ht="15.75" customHeight="1" x14ac:dyDescent="0.25">
      <c r="A6038" s="39"/>
    </row>
    <row r="6039" spans="1:1" ht="15.75" customHeight="1" x14ac:dyDescent="0.25">
      <c r="A6039" s="39"/>
    </row>
    <row r="6040" spans="1:1" ht="15.75" customHeight="1" x14ac:dyDescent="0.25">
      <c r="A6040" s="39"/>
    </row>
    <row r="6041" spans="1:1" ht="15.75" customHeight="1" x14ac:dyDescent="0.25">
      <c r="A6041" s="39"/>
    </row>
    <row r="6042" spans="1:1" ht="15.75" customHeight="1" x14ac:dyDescent="0.25">
      <c r="A6042" s="39"/>
    </row>
    <row r="6043" spans="1:1" ht="15.75" customHeight="1" x14ac:dyDescent="0.25">
      <c r="A6043" s="39"/>
    </row>
    <row r="6044" spans="1:1" ht="15.75" customHeight="1" x14ac:dyDescent="0.25">
      <c r="A6044" s="39"/>
    </row>
    <row r="6045" spans="1:1" ht="15.75" customHeight="1" x14ac:dyDescent="0.25">
      <c r="A6045" s="39"/>
    </row>
    <row r="6046" spans="1:1" ht="15.75" customHeight="1" x14ac:dyDescent="0.25">
      <c r="A6046" s="39"/>
    </row>
    <row r="6047" spans="1:1" ht="15.75" customHeight="1" x14ac:dyDescent="0.25">
      <c r="A6047" s="39"/>
    </row>
    <row r="6048" spans="1:1" ht="15.75" customHeight="1" x14ac:dyDescent="0.25">
      <c r="A6048" s="39"/>
    </row>
    <row r="6049" spans="1:1" ht="15.75" customHeight="1" x14ac:dyDescent="0.25">
      <c r="A6049" s="39"/>
    </row>
    <row r="6050" spans="1:1" ht="15.75" customHeight="1" x14ac:dyDescent="0.25">
      <c r="A6050" s="39"/>
    </row>
    <row r="6051" spans="1:1" ht="15.75" customHeight="1" x14ac:dyDescent="0.25">
      <c r="A6051" s="39"/>
    </row>
    <row r="6052" spans="1:1" ht="15.75" customHeight="1" x14ac:dyDescent="0.25">
      <c r="A6052" s="39"/>
    </row>
    <row r="6053" spans="1:1" ht="15.75" customHeight="1" x14ac:dyDescent="0.25">
      <c r="A6053" s="39"/>
    </row>
    <row r="6054" spans="1:1" ht="15.75" customHeight="1" x14ac:dyDescent="0.25">
      <c r="A6054" s="39"/>
    </row>
    <row r="6055" spans="1:1" ht="15.75" customHeight="1" x14ac:dyDescent="0.25">
      <c r="A6055" s="39"/>
    </row>
    <row r="6056" spans="1:1" ht="15.75" customHeight="1" x14ac:dyDescent="0.25">
      <c r="A6056" s="39"/>
    </row>
    <row r="6057" spans="1:1" ht="15.75" customHeight="1" x14ac:dyDescent="0.25">
      <c r="A6057" s="39"/>
    </row>
    <row r="6058" spans="1:1" ht="15.75" customHeight="1" x14ac:dyDescent="0.25">
      <c r="A6058" s="39"/>
    </row>
    <row r="6059" spans="1:1" ht="15.75" customHeight="1" x14ac:dyDescent="0.25">
      <c r="A6059" s="39"/>
    </row>
    <row r="6060" spans="1:1" ht="15.75" customHeight="1" x14ac:dyDescent="0.25">
      <c r="A6060" s="39"/>
    </row>
    <row r="6061" spans="1:1" ht="15.75" customHeight="1" x14ac:dyDescent="0.25">
      <c r="A6061" s="39"/>
    </row>
    <row r="6062" spans="1:1" ht="15.75" customHeight="1" x14ac:dyDescent="0.25">
      <c r="A6062" s="39"/>
    </row>
    <row r="6063" spans="1:1" ht="15.75" customHeight="1" x14ac:dyDescent="0.25">
      <c r="A6063" s="39"/>
    </row>
    <row r="6064" spans="1:1" ht="15.75" customHeight="1" x14ac:dyDescent="0.25">
      <c r="A6064" s="39"/>
    </row>
    <row r="6065" spans="1:1" ht="15.75" customHeight="1" x14ac:dyDescent="0.25">
      <c r="A6065" s="39"/>
    </row>
    <row r="6066" spans="1:1" ht="15.75" customHeight="1" x14ac:dyDescent="0.25">
      <c r="A6066" s="39"/>
    </row>
    <row r="6067" spans="1:1" ht="15.75" customHeight="1" x14ac:dyDescent="0.25">
      <c r="A6067" s="39"/>
    </row>
    <row r="6068" spans="1:1" ht="15.75" customHeight="1" x14ac:dyDescent="0.25">
      <c r="A6068" s="39"/>
    </row>
    <row r="6069" spans="1:1" ht="15.75" customHeight="1" x14ac:dyDescent="0.25">
      <c r="A6069" s="39"/>
    </row>
    <row r="6070" spans="1:1" ht="15.75" customHeight="1" x14ac:dyDescent="0.25">
      <c r="A6070" s="39"/>
    </row>
    <row r="6071" spans="1:1" ht="15.75" customHeight="1" x14ac:dyDescent="0.25">
      <c r="A6071" s="39"/>
    </row>
    <row r="6072" spans="1:1" ht="15.75" customHeight="1" x14ac:dyDescent="0.25">
      <c r="A6072" s="39"/>
    </row>
    <row r="6073" spans="1:1" ht="15.75" customHeight="1" x14ac:dyDescent="0.25">
      <c r="A6073" s="39"/>
    </row>
    <row r="6074" spans="1:1" ht="15.75" customHeight="1" x14ac:dyDescent="0.25">
      <c r="A6074" s="39"/>
    </row>
    <row r="6075" spans="1:1" ht="15.75" customHeight="1" x14ac:dyDescent="0.25">
      <c r="A6075" s="39"/>
    </row>
    <row r="6076" spans="1:1" ht="15.75" customHeight="1" x14ac:dyDescent="0.25">
      <c r="A6076" s="39"/>
    </row>
    <row r="6077" spans="1:1" ht="15.75" customHeight="1" x14ac:dyDescent="0.25">
      <c r="A6077" s="39"/>
    </row>
    <row r="6078" spans="1:1" ht="15.75" customHeight="1" x14ac:dyDescent="0.25">
      <c r="A6078" s="39"/>
    </row>
    <row r="6079" spans="1:1" ht="15.75" customHeight="1" x14ac:dyDescent="0.25">
      <c r="A6079" s="39"/>
    </row>
    <row r="6080" spans="1:1" ht="15.75" customHeight="1" x14ac:dyDescent="0.25">
      <c r="A6080" s="39"/>
    </row>
    <row r="6081" spans="1:1" ht="15.75" customHeight="1" x14ac:dyDescent="0.25">
      <c r="A6081" s="39"/>
    </row>
    <row r="6082" spans="1:1" ht="15.75" customHeight="1" x14ac:dyDescent="0.25">
      <c r="A6082" s="39"/>
    </row>
    <row r="6083" spans="1:1" ht="15.75" customHeight="1" x14ac:dyDescent="0.25">
      <c r="A6083" s="39"/>
    </row>
    <row r="6084" spans="1:1" ht="15.75" customHeight="1" x14ac:dyDescent="0.25">
      <c r="A6084" s="39"/>
    </row>
    <row r="6085" spans="1:1" ht="15.75" customHeight="1" x14ac:dyDescent="0.25">
      <c r="A6085" s="39"/>
    </row>
    <row r="6086" spans="1:1" ht="15.75" customHeight="1" x14ac:dyDescent="0.25">
      <c r="A6086" s="39"/>
    </row>
    <row r="6087" spans="1:1" ht="15.75" customHeight="1" x14ac:dyDescent="0.25">
      <c r="A6087" s="39"/>
    </row>
    <row r="6088" spans="1:1" ht="15.75" customHeight="1" x14ac:dyDescent="0.25">
      <c r="A6088" s="39"/>
    </row>
    <row r="6089" spans="1:1" ht="15.75" customHeight="1" x14ac:dyDescent="0.25">
      <c r="A6089" s="39"/>
    </row>
    <row r="6090" spans="1:1" ht="15.75" customHeight="1" x14ac:dyDescent="0.25">
      <c r="A6090" s="39"/>
    </row>
    <row r="6091" spans="1:1" ht="15.75" customHeight="1" x14ac:dyDescent="0.25">
      <c r="A6091" s="39"/>
    </row>
    <row r="6092" spans="1:1" ht="15.75" customHeight="1" x14ac:dyDescent="0.25">
      <c r="A6092" s="39"/>
    </row>
    <row r="6093" spans="1:1" ht="15.75" customHeight="1" x14ac:dyDescent="0.25">
      <c r="A6093" s="39"/>
    </row>
    <row r="6094" spans="1:1" ht="15.75" customHeight="1" x14ac:dyDescent="0.25">
      <c r="A6094" s="39"/>
    </row>
    <row r="6095" spans="1:1" ht="15.75" customHeight="1" x14ac:dyDescent="0.25">
      <c r="A6095" s="39"/>
    </row>
    <row r="6096" spans="1:1" ht="15.75" customHeight="1" x14ac:dyDescent="0.25">
      <c r="A6096" s="39"/>
    </row>
    <row r="6097" spans="1:1" ht="15.75" customHeight="1" x14ac:dyDescent="0.25">
      <c r="A6097" s="39"/>
    </row>
    <row r="6098" spans="1:1" ht="15.75" customHeight="1" x14ac:dyDescent="0.25">
      <c r="A6098" s="39"/>
    </row>
    <row r="6099" spans="1:1" ht="15.75" customHeight="1" x14ac:dyDescent="0.25">
      <c r="A6099" s="39"/>
    </row>
    <row r="6100" spans="1:1" ht="15.75" customHeight="1" x14ac:dyDescent="0.25">
      <c r="A6100" s="39"/>
    </row>
    <row r="6101" spans="1:1" ht="15.75" customHeight="1" x14ac:dyDescent="0.25">
      <c r="A6101" s="39"/>
    </row>
    <row r="6102" spans="1:1" ht="15.75" customHeight="1" x14ac:dyDescent="0.25">
      <c r="A6102" s="39"/>
    </row>
    <row r="6103" spans="1:1" ht="15.75" customHeight="1" x14ac:dyDescent="0.25">
      <c r="A6103" s="39"/>
    </row>
    <row r="6104" spans="1:1" ht="15.75" customHeight="1" x14ac:dyDescent="0.25">
      <c r="A6104" s="39"/>
    </row>
    <row r="6105" spans="1:1" ht="15.75" customHeight="1" x14ac:dyDescent="0.25">
      <c r="A6105" s="39"/>
    </row>
    <row r="6106" spans="1:1" ht="15.75" customHeight="1" x14ac:dyDescent="0.25">
      <c r="A6106" s="39"/>
    </row>
    <row r="6107" spans="1:1" ht="15.75" customHeight="1" x14ac:dyDescent="0.25">
      <c r="A6107" s="39"/>
    </row>
    <row r="6108" spans="1:1" ht="15.75" customHeight="1" x14ac:dyDescent="0.25">
      <c r="A6108" s="39"/>
    </row>
    <row r="6109" spans="1:1" ht="15.75" customHeight="1" x14ac:dyDescent="0.25">
      <c r="A6109" s="39"/>
    </row>
    <row r="6110" spans="1:1" ht="15.75" customHeight="1" x14ac:dyDescent="0.25">
      <c r="A6110" s="39"/>
    </row>
    <row r="6111" spans="1:1" ht="15.75" customHeight="1" x14ac:dyDescent="0.25">
      <c r="A6111" s="39"/>
    </row>
    <row r="6112" spans="1:1" ht="15.75" customHeight="1" x14ac:dyDescent="0.25">
      <c r="A6112" s="39"/>
    </row>
    <row r="6113" spans="1:1" ht="15.75" customHeight="1" x14ac:dyDescent="0.25">
      <c r="A6113" s="39"/>
    </row>
    <row r="6114" spans="1:1" ht="15.75" customHeight="1" x14ac:dyDescent="0.25">
      <c r="A6114" s="39"/>
    </row>
    <row r="6115" spans="1:1" ht="15.75" customHeight="1" x14ac:dyDescent="0.25">
      <c r="A6115" s="39"/>
    </row>
    <row r="6116" spans="1:1" ht="15.75" customHeight="1" x14ac:dyDescent="0.25">
      <c r="A6116" s="39"/>
    </row>
    <row r="6117" spans="1:1" ht="15.75" customHeight="1" x14ac:dyDescent="0.25">
      <c r="A6117" s="39"/>
    </row>
    <row r="6118" spans="1:1" ht="15.75" customHeight="1" x14ac:dyDescent="0.25">
      <c r="A6118" s="39"/>
    </row>
    <row r="6119" spans="1:1" ht="15.75" customHeight="1" x14ac:dyDescent="0.25">
      <c r="A6119" s="39"/>
    </row>
    <row r="6120" spans="1:1" ht="15.75" customHeight="1" x14ac:dyDescent="0.25">
      <c r="A6120" s="39"/>
    </row>
    <row r="6121" spans="1:1" ht="15.75" customHeight="1" x14ac:dyDescent="0.25">
      <c r="A6121" s="39"/>
    </row>
    <row r="6122" spans="1:1" ht="15.75" customHeight="1" x14ac:dyDescent="0.25">
      <c r="A6122" s="39"/>
    </row>
    <row r="6123" spans="1:1" ht="15.75" customHeight="1" x14ac:dyDescent="0.25">
      <c r="A6123" s="39"/>
    </row>
    <row r="6124" spans="1:1" ht="15.75" customHeight="1" x14ac:dyDescent="0.25">
      <c r="A6124" s="39"/>
    </row>
    <row r="6125" spans="1:1" ht="15.75" customHeight="1" x14ac:dyDescent="0.25">
      <c r="A6125" s="39"/>
    </row>
    <row r="6126" spans="1:1" ht="15.75" customHeight="1" x14ac:dyDescent="0.25">
      <c r="A6126" s="39"/>
    </row>
    <row r="6127" spans="1:1" ht="15.75" customHeight="1" x14ac:dyDescent="0.25">
      <c r="A6127" s="39"/>
    </row>
    <row r="6128" spans="1:1" ht="15.75" customHeight="1" x14ac:dyDescent="0.25">
      <c r="A6128" s="39"/>
    </row>
    <row r="6129" spans="1:1" ht="15.75" customHeight="1" x14ac:dyDescent="0.25">
      <c r="A6129" s="39"/>
    </row>
    <row r="6130" spans="1:1" ht="15.75" customHeight="1" x14ac:dyDescent="0.25">
      <c r="A6130" s="39"/>
    </row>
    <row r="6131" spans="1:1" ht="15.75" customHeight="1" x14ac:dyDescent="0.25">
      <c r="A6131" s="39"/>
    </row>
    <row r="6132" spans="1:1" ht="15.75" customHeight="1" x14ac:dyDescent="0.25">
      <c r="A6132" s="39"/>
    </row>
    <row r="6133" spans="1:1" ht="15.75" customHeight="1" x14ac:dyDescent="0.25">
      <c r="A6133" s="39"/>
    </row>
    <row r="6134" spans="1:1" ht="15.75" customHeight="1" x14ac:dyDescent="0.25">
      <c r="A6134" s="39"/>
    </row>
    <row r="6135" spans="1:1" ht="15.75" customHeight="1" x14ac:dyDescent="0.25">
      <c r="A6135" s="39"/>
    </row>
    <row r="6136" spans="1:1" ht="15.75" customHeight="1" x14ac:dyDescent="0.25">
      <c r="A6136" s="39"/>
    </row>
    <row r="6137" spans="1:1" ht="15.75" customHeight="1" x14ac:dyDescent="0.25">
      <c r="A6137" s="39"/>
    </row>
    <row r="6138" spans="1:1" ht="15.75" customHeight="1" x14ac:dyDescent="0.25">
      <c r="A6138" s="39"/>
    </row>
    <row r="6139" spans="1:1" ht="15.75" customHeight="1" x14ac:dyDescent="0.25">
      <c r="A6139" s="39"/>
    </row>
    <row r="6140" spans="1:1" ht="15.75" customHeight="1" x14ac:dyDescent="0.25">
      <c r="A6140" s="39"/>
    </row>
    <row r="6141" spans="1:1" ht="15.75" customHeight="1" x14ac:dyDescent="0.25">
      <c r="A6141" s="39"/>
    </row>
    <row r="6142" spans="1:1" ht="15.75" customHeight="1" x14ac:dyDescent="0.25">
      <c r="A6142" s="39"/>
    </row>
    <row r="6143" spans="1:1" ht="15.75" customHeight="1" x14ac:dyDescent="0.25">
      <c r="A6143" s="39"/>
    </row>
    <row r="6144" spans="1:1" ht="15.75" customHeight="1" x14ac:dyDescent="0.25">
      <c r="A6144" s="39"/>
    </row>
    <row r="6145" spans="1:1" ht="15.75" customHeight="1" x14ac:dyDescent="0.25">
      <c r="A6145" s="39"/>
    </row>
    <row r="6146" spans="1:1" ht="15.75" customHeight="1" x14ac:dyDescent="0.25">
      <c r="A6146" s="39"/>
    </row>
    <row r="6147" spans="1:1" ht="15.75" customHeight="1" x14ac:dyDescent="0.25">
      <c r="A6147" s="39"/>
    </row>
    <row r="6148" spans="1:1" ht="15.75" customHeight="1" x14ac:dyDescent="0.25">
      <c r="A6148" s="39"/>
    </row>
    <row r="6149" spans="1:1" ht="15.75" customHeight="1" x14ac:dyDescent="0.25">
      <c r="A6149" s="39"/>
    </row>
    <row r="6150" spans="1:1" ht="15.75" customHeight="1" x14ac:dyDescent="0.25">
      <c r="A6150" s="39"/>
    </row>
    <row r="6151" spans="1:1" ht="15.75" customHeight="1" x14ac:dyDescent="0.25">
      <c r="A6151" s="39"/>
    </row>
    <row r="6152" spans="1:1" ht="15.75" customHeight="1" x14ac:dyDescent="0.25">
      <c r="A6152" s="39"/>
    </row>
    <row r="6153" spans="1:1" ht="15.75" customHeight="1" x14ac:dyDescent="0.25">
      <c r="A6153" s="39"/>
    </row>
    <row r="6154" spans="1:1" ht="15.75" customHeight="1" x14ac:dyDescent="0.25">
      <c r="A6154" s="39"/>
    </row>
    <row r="6155" spans="1:1" ht="15.75" customHeight="1" x14ac:dyDescent="0.25">
      <c r="A6155" s="39"/>
    </row>
    <row r="6156" spans="1:1" ht="15.75" customHeight="1" x14ac:dyDescent="0.25">
      <c r="A6156" s="39"/>
    </row>
    <row r="6157" spans="1:1" ht="15.75" customHeight="1" x14ac:dyDescent="0.25">
      <c r="A6157" s="39"/>
    </row>
    <row r="6158" spans="1:1" ht="15.75" customHeight="1" x14ac:dyDescent="0.25">
      <c r="A6158" s="39"/>
    </row>
    <row r="6159" spans="1:1" ht="15.75" customHeight="1" x14ac:dyDescent="0.25">
      <c r="A6159" s="39"/>
    </row>
    <row r="6160" spans="1:1" ht="15.75" customHeight="1" x14ac:dyDescent="0.25">
      <c r="A6160" s="39"/>
    </row>
    <row r="6161" spans="1:1" ht="15.75" customHeight="1" x14ac:dyDescent="0.25">
      <c r="A6161" s="39"/>
    </row>
    <row r="6162" spans="1:1" ht="15.75" customHeight="1" x14ac:dyDescent="0.25">
      <c r="A6162" s="39"/>
    </row>
    <row r="6163" spans="1:1" ht="15.75" customHeight="1" x14ac:dyDescent="0.25">
      <c r="A6163" s="39"/>
    </row>
    <row r="6164" spans="1:1" ht="15.75" customHeight="1" x14ac:dyDescent="0.25">
      <c r="A6164" s="39"/>
    </row>
    <row r="6165" spans="1:1" ht="15.75" customHeight="1" x14ac:dyDescent="0.25">
      <c r="A6165" s="39"/>
    </row>
    <row r="6166" spans="1:1" ht="15.75" customHeight="1" x14ac:dyDescent="0.25">
      <c r="A6166" s="39"/>
    </row>
    <row r="6167" spans="1:1" ht="15.75" customHeight="1" x14ac:dyDescent="0.25">
      <c r="A6167" s="39"/>
    </row>
    <row r="6168" spans="1:1" ht="15.75" customHeight="1" x14ac:dyDescent="0.25">
      <c r="A6168" s="39"/>
    </row>
    <row r="6169" spans="1:1" ht="15.75" customHeight="1" x14ac:dyDescent="0.25">
      <c r="A6169" s="39"/>
    </row>
    <row r="6170" spans="1:1" ht="15.75" customHeight="1" x14ac:dyDescent="0.25">
      <c r="A6170" s="39"/>
    </row>
    <row r="6171" spans="1:1" ht="15.75" customHeight="1" x14ac:dyDescent="0.25">
      <c r="A6171" s="39"/>
    </row>
    <row r="6172" spans="1:1" ht="15.75" customHeight="1" x14ac:dyDescent="0.25">
      <c r="A6172" s="39"/>
    </row>
    <row r="6173" spans="1:1" ht="15.75" customHeight="1" x14ac:dyDescent="0.25">
      <c r="A6173" s="39"/>
    </row>
    <row r="6174" spans="1:1" ht="15.75" customHeight="1" x14ac:dyDescent="0.25">
      <c r="A6174" s="39"/>
    </row>
    <row r="6175" spans="1:1" ht="15.75" customHeight="1" x14ac:dyDescent="0.25">
      <c r="A6175" s="39"/>
    </row>
    <row r="6176" spans="1:1" ht="15.75" customHeight="1" x14ac:dyDescent="0.25">
      <c r="A6176" s="39"/>
    </row>
    <row r="6177" spans="1:1" ht="15.75" customHeight="1" x14ac:dyDescent="0.25">
      <c r="A6177" s="39"/>
    </row>
    <row r="6178" spans="1:1" ht="15.75" customHeight="1" x14ac:dyDescent="0.25">
      <c r="A6178" s="39"/>
    </row>
    <row r="6179" spans="1:1" ht="15.75" customHeight="1" x14ac:dyDescent="0.25">
      <c r="A6179" s="39"/>
    </row>
    <row r="6180" spans="1:1" ht="15.75" customHeight="1" x14ac:dyDescent="0.25">
      <c r="A6180" s="39"/>
    </row>
    <row r="6181" spans="1:1" ht="15.75" customHeight="1" x14ac:dyDescent="0.25">
      <c r="A6181" s="39"/>
    </row>
    <row r="6182" spans="1:1" ht="15.75" customHeight="1" x14ac:dyDescent="0.25">
      <c r="A6182" s="39"/>
    </row>
    <row r="6183" spans="1:1" ht="15.75" customHeight="1" x14ac:dyDescent="0.25">
      <c r="A6183" s="39"/>
    </row>
    <row r="6184" spans="1:1" ht="15.75" customHeight="1" x14ac:dyDescent="0.25">
      <c r="A6184" s="39"/>
    </row>
    <row r="6185" spans="1:1" ht="15.75" customHeight="1" x14ac:dyDescent="0.25">
      <c r="A6185" s="39"/>
    </row>
    <row r="6186" spans="1:1" ht="15.75" customHeight="1" x14ac:dyDescent="0.25">
      <c r="A6186" s="39"/>
    </row>
    <row r="6187" spans="1:1" ht="15.75" customHeight="1" x14ac:dyDescent="0.25">
      <c r="A6187" s="39"/>
    </row>
    <row r="6188" spans="1:1" ht="15.75" customHeight="1" x14ac:dyDescent="0.25">
      <c r="A6188" s="39"/>
    </row>
    <row r="6189" spans="1:1" ht="15.75" customHeight="1" x14ac:dyDescent="0.25">
      <c r="A6189" s="39"/>
    </row>
    <row r="6190" spans="1:1" ht="15.75" customHeight="1" x14ac:dyDescent="0.25">
      <c r="A6190" s="39"/>
    </row>
    <row r="6191" spans="1:1" ht="15.75" customHeight="1" x14ac:dyDescent="0.25">
      <c r="A6191" s="39"/>
    </row>
    <row r="6192" spans="1:1" ht="15.75" customHeight="1" x14ac:dyDescent="0.25">
      <c r="A6192" s="39"/>
    </row>
    <row r="6193" spans="1:1" ht="15.75" customHeight="1" x14ac:dyDescent="0.25">
      <c r="A6193" s="39"/>
    </row>
    <row r="6194" spans="1:1" ht="15.75" customHeight="1" x14ac:dyDescent="0.25">
      <c r="A6194" s="39"/>
    </row>
    <row r="6195" spans="1:1" ht="15.75" customHeight="1" x14ac:dyDescent="0.25">
      <c r="A6195" s="39"/>
    </row>
    <row r="6196" spans="1:1" ht="15.75" customHeight="1" x14ac:dyDescent="0.25">
      <c r="A6196" s="39"/>
    </row>
    <row r="6197" spans="1:1" ht="15.75" customHeight="1" x14ac:dyDescent="0.25">
      <c r="A6197" s="39"/>
    </row>
    <row r="6198" spans="1:1" ht="15.75" customHeight="1" x14ac:dyDescent="0.25">
      <c r="A6198" s="39"/>
    </row>
    <row r="6199" spans="1:1" ht="15.75" customHeight="1" x14ac:dyDescent="0.25">
      <c r="A6199" s="39"/>
    </row>
    <row r="6200" spans="1:1" ht="15.75" customHeight="1" x14ac:dyDescent="0.25">
      <c r="A6200" s="39"/>
    </row>
    <row r="6201" spans="1:1" ht="15.75" customHeight="1" x14ac:dyDescent="0.25">
      <c r="A6201" s="39"/>
    </row>
    <row r="6202" spans="1:1" ht="15.75" customHeight="1" x14ac:dyDescent="0.25">
      <c r="A6202" s="39"/>
    </row>
    <row r="6203" spans="1:1" ht="15.75" customHeight="1" x14ac:dyDescent="0.25">
      <c r="A6203" s="39"/>
    </row>
    <row r="6204" spans="1:1" ht="15.75" customHeight="1" x14ac:dyDescent="0.25">
      <c r="A6204" s="39"/>
    </row>
    <row r="6205" spans="1:1" ht="15.75" customHeight="1" x14ac:dyDescent="0.25">
      <c r="A6205" s="39"/>
    </row>
    <row r="6206" spans="1:1" ht="15.75" customHeight="1" x14ac:dyDescent="0.25">
      <c r="A6206" s="39"/>
    </row>
    <row r="6207" spans="1:1" ht="15.75" customHeight="1" x14ac:dyDescent="0.25">
      <c r="A6207" s="39"/>
    </row>
    <row r="6208" spans="1:1" ht="15.75" customHeight="1" x14ac:dyDescent="0.25">
      <c r="A6208" s="39"/>
    </row>
    <row r="6209" spans="1:1" ht="15.75" customHeight="1" x14ac:dyDescent="0.25">
      <c r="A6209" s="39"/>
    </row>
    <row r="6210" spans="1:1" ht="15.75" customHeight="1" x14ac:dyDescent="0.25">
      <c r="A6210" s="39"/>
    </row>
    <row r="6211" spans="1:1" ht="15.75" customHeight="1" x14ac:dyDescent="0.25">
      <c r="A6211" s="39"/>
    </row>
    <row r="6212" spans="1:1" ht="15.75" customHeight="1" x14ac:dyDescent="0.25">
      <c r="A6212" s="39"/>
    </row>
    <row r="6213" spans="1:1" ht="15.75" customHeight="1" x14ac:dyDescent="0.25">
      <c r="A6213" s="39"/>
    </row>
    <row r="6214" spans="1:1" ht="15.75" customHeight="1" x14ac:dyDescent="0.25">
      <c r="A6214" s="39"/>
    </row>
    <row r="6215" spans="1:1" ht="15.75" customHeight="1" x14ac:dyDescent="0.25">
      <c r="A6215" s="39"/>
    </row>
    <row r="6216" spans="1:1" ht="15.75" customHeight="1" x14ac:dyDescent="0.25">
      <c r="A6216" s="39"/>
    </row>
    <row r="6217" spans="1:1" ht="15.75" customHeight="1" x14ac:dyDescent="0.25">
      <c r="A6217" s="39"/>
    </row>
    <row r="6218" spans="1:1" ht="15.75" customHeight="1" x14ac:dyDescent="0.25">
      <c r="A6218" s="39"/>
    </row>
    <row r="6219" spans="1:1" ht="15.75" customHeight="1" x14ac:dyDescent="0.25">
      <c r="A6219" s="39"/>
    </row>
    <row r="6220" spans="1:1" ht="15.75" customHeight="1" x14ac:dyDescent="0.25">
      <c r="A6220" s="39"/>
    </row>
    <row r="6221" spans="1:1" ht="15.75" customHeight="1" x14ac:dyDescent="0.25">
      <c r="A6221" s="39"/>
    </row>
    <row r="6222" spans="1:1" ht="15.75" customHeight="1" x14ac:dyDescent="0.25">
      <c r="A6222" s="39"/>
    </row>
    <row r="6223" spans="1:1" ht="15.75" customHeight="1" x14ac:dyDescent="0.25">
      <c r="A6223" s="39"/>
    </row>
    <row r="6224" spans="1:1" ht="15.75" customHeight="1" x14ac:dyDescent="0.25">
      <c r="A6224" s="39"/>
    </row>
    <row r="6225" spans="1:1" ht="15.75" customHeight="1" x14ac:dyDescent="0.25">
      <c r="A6225" s="39"/>
    </row>
    <row r="6226" spans="1:1" ht="15.75" customHeight="1" x14ac:dyDescent="0.25">
      <c r="A6226" s="39"/>
    </row>
    <row r="6227" spans="1:1" ht="15.75" customHeight="1" x14ac:dyDescent="0.25">
      <c r="A6227" s="39"/>
    </row>
    <row r="6228" spans="1:1" ht="15.75" customHeight="1" x14ac:dyDescent="0.25">
      <c r="A6228" s="39"/>
    </row>
    <row r="6229" spans="1:1" ht="15.75" customHeight="1" x14ac:dyDescent="0.25">
      <c r="A6229" s="39"/>
    </row>
    <row r="6230" spans="1:1" ht="15.75" customHeight="1" x14ac:dyDescent="0.25">
      <c r="A6230" s="39"/>
    </row>
    <row r="6231" spans="1:1" ht="15.75" customHeight="1" x14ac:dyDescent="0.25">
      <c r="A6231" s="39"/>
    </row>
    <row r="6232" spans="1:1" ht="15.75" customHeight="1" x14ac:dyDescent="0.25">
      <c r="A6232" s="39"/>
    </row>
    <row r="6233" spans="1:1" ht="15.75" customHeight="1" x14ac:dyDescent="0.25">
      <c r="A6233" s="39"/>
    </row>
    <row r="6234" spans="1:1" ht="15.75" customHeight="1" x14ac:dyDescent="0.25">
      <c r="A6234" s="39"/>
    </row>
    <row r="6235" spans="1:1" ht="15.75" customHeight="1" x14ac:dyDescent="0.25">
      <c r="A6235" s="39"/>
    </row>
    <row r="6236" spans="1:1" ht="15.75" customHeight="1" x14ac:dyDescent="0.25">
      <c r="A6236" s="39"/>
    </row>
    <row r="6237" spans="1:1" ht="15.75" customHeight="1" x14ac:dyDescent="0.25">
      <c r="A6237" s="39"/>
    </row>
    <row r="6238" spans="1:1" ht="15.75" customHeight="1" x14ac:dyDescent="0.25">
      <c r="A6238" s="39"/>
    </row>
    <row r="6239" spans="1:1" ht="15.75" customHeight="1" x14ac:dyDescent="0.25">
      <c r="A6239" s="39"/>
    </row>
    <row r="6240" spans="1:1" ht="15.75" customHeight="1" x14ac:dyDescent="0.25">
      <c r="A6240" s="39"/>
    </row>
    <row r="6241" spans="1:1" ht="15.75" customHeight="1" x14ac:dyDescent="0.25">
      <c r="A6241" s="39"/>
    </row>
    <row r="6242" spans="1:1" ht="15.75" customHeight="1" x14ac:dyDescent="0.25">
      <c r="A6242" s="39"/>
    </row>
    <row r="6243" spans="1:1" ht="15.75" customHeight="1" x14ac:dyDescent="0.25">
      <c r="A6243" s="39"/>
    </row>
    <row r="6244" spans="1:1" ht="15.75" customHeight="1" x14ac:dyDescent="0.25">
      <c r="A6244" s="39"/>
    </row>
    <row r="6245" spans="1:1" ht="15.75" customHeight="1" x14ac:dyDescent="0.25">
      <c r="A6245" s="39"/>
    </row>
    <row r="6246" spans="1:1" ht="15.75" customHeight="1" x14ac:dyDescent="0.25">
      <c r="A6246" s="39"/>
    </row>
    <row r="6247" spans="1:1" ht="15.75" customHeight="1" x14ac:dyDescent="0.25">
      <c r="A6247" s="39"/>
    </row>
    <row r="6248" spans="1:1" ht="15.75" customHeight="1" x14ac:dyDescent="0.25">
      <c r="A6248" s="39"/>
    </row>
    <row r="6249" spans="1:1" ht="15.75" customHeight="1" x14ac:dyDescent="0.25">
      <c r="A6249" s="39"/>
    </row>
    <row r="6250" spans="1:1" ht="15.75" customHeight="1" x14ac:dyDescent="0.25">
      <c r="A6250" s="39"/>
    </row>
    <row r="6251" spans="1:1" ht="15.75" customHeight="1" x14ac:dyDescent="0.25">
      <c r="A6251" s="39"/>
    </row>
    <row r="6252" spans="1:1" ht="15.75" customHeight="1" x14ac:dyDescent="0.25">
      <c r="A6252" s="39"/>
    </row>
    <row r="6253" spans="1:1" ht="15.75" customHeight="1" x14ac:dyDescent="0.25">
      <c r="A6253" s="39"/>
    </row>
    <row r="6254" spans="1:1" ht="15.75" customHeight="1" x14ac:dyDescent="0.25">
      <c r="A6254" s="39"/>
    </row>
    <row r="6255" spans="1:1" ht="15.75" customHeight="1" x14ac:dyDescent="0.25">
      <c r="A6255" s="39"/>
    </row>
    <row r="6256" spans="1:1" ht="15.75" customHeight="1" x14ac:dyDescent="0.25">
      <c r="A6256" s="39"/>
    </row>
    <row r="6257" spans="1:1" ht="15.75" customHeight="1" x14ac:dyDescent="0.25">
      <c r="A6257" s="39"/>
    </row>
    <row r="6258" spans="1:1" ht="15.75" customHeight="1" x14ac:dyDescent="0.25">
      <c r="A6258" s="39"/>
    </row>
    <row r="6259" spans="1:1" ht="15.75" customHeight="1" x14ac:dyDescent="0.25">
      <c r="A6259" s="39"/>
    </row>
    <row r="6260" spans="1:1" ht="15.75" customHeight="1" x14ac:dyDescent="0.25">
      <c r="A6260" s="39"/>
    </row>
    <row r="6261" spans="1:1" ht="15.75" customHeight="1" x14ac:dyDescent="0.25">
      <c r="A6261" s="39"/>
    </row>
    <row r="6262" spans="1:1" ht="15.75" customHeight="1" x14ac:dyDescent="0.25">
      <c r="A6262" s="39"/>
    </row>
    <row r="6263" spans="1:1" ht="15.75" customHeight="1" x14ac:dyDescent="0.25">
      <c r="A6263" s="39"/>
    </row>
    <row r="6264" spans="1:1" ht="15.75" customHeight="1" x14ac:dyDescent="0.25">
      <c r="A6264" s="39"/>
    </row>
    <row r="6265" spans="1:1" ht="15.75" customHeight="1" x14ac:dyDescent="0.25">
      <c r="A6265" s="39"/>
    </row>
    <row r="6266" spans="1:1" ht="15.75" customHeight="1" x14ac:dyDescent="0.25">
      <c r="A6266" s="39"/>
    </row>
    <row r="6267" spans="1:1" ht="15.75" customHeight="1" x14ac:dyDescent="0.25">
      <c r="A6267" s="39"/>
    </row>
    <row r="6268" spans="1:1" ht="15.75" customHeight="1" x14ac:dyDescent="0.25">
      <c r="A6268" s="39"/>
    </row>
    <row r="6269" spans="1:1" ht="15.75" customHeight="1" x14ac:dyDescent="0.25">
      <c r="A6269" s="39"/>
    </row>
    <row r="6270" spans="1:1" ht="15.75" customHeight="1" x14ac:dyDescent="0.25">
      <c r="A6270" s="39"/>
    </row>
    <row r="6271" spans="1:1" ht="15.75" customHeight="1" x14ac:dyDescent="0.25">
      <c r="A6271" s="39"/>
    </row>
    <row r="6272" spans="1:1" ht="15.75" customHeight="1" x14ac:dyDescent="0.25">
      <c r="A6272" s="39"/>
    </row>
    <row r="6273" spans="1:1" ht="15.75" customHeight="1" x14ac:dyDescent="0.25">
      <c r="A6273" s="39"/>
    </row>
    <row r="6274" spans="1:1" ht="15.75" customHeight="1" x14ac:dyDescent="0.25">
      <c r="A6274" s="39"/>
    </row>
    <row r="6275" spans="1:1" ht="15.75" customHeight="1" x14ac:dyDescent="0.25">
      <c r="A6275" s="39"/>
    </row>
    <row r="6276" spans="1:1" ht="15.75" customHeight="1" x14ac:dyDescent="0.25">
      <c r="A6276" s="39"/>
    </row>
    <row r="6277" spans="1:1" ht="15.75" customHeight="1" x14ac:dyDescent="0.25">
      <c r="A6277" s="39"/>
    </row>
    <row r="6278" spans="1:1" ht="15.75" customHeight="1" x14ac:dyDescent="0.25">
      <c r="A6278" s="39"/>
    </row>
    <row r="6279" spans="1:1" ht="15.75" customHeight="1" x14ac:dyDescent="0.25">
      <c r="A6279" s="39"/>
    </row>
    <row r="6280" spans="1:1" ht="15.75" customHeight="1" x14ac:dyDescent="0.25">
      <c r="A6280" s="39"/>
    </row>
    <row r="6281" spans="1:1" ht="15.75" customHeight="1" x14ac:dyDescent="0.25">
      <c r="A6281" s="39"/>
    </row>
    <row r="6282" spans="1:1" ht="15.75" customHeight="1" x14ac:dyDescent="0.25">
      <c r="A6282" s="39"/>
    </row>
    <row r="6283" spans="1:1" ht="15.75" customHeight="1" x14ac:dyDescent="0.25">
      <c r="A6283" s="39"/>
    </row>
    <row r="6284" spans="1:1" ht="15.75" customHeight="1" x14ac:dyDescent="0.25">
      <c r="A6284" s="39"/>
    </row>
    <row r="6285" spans="1:1" ht="15.75" customHeight="1" x14ac:dyDescent="0.25">
      <c r="A6285" s="39"/>
    </row>
    <row r="6286" spans="1:1" ht="15.75" customHeight="1" x14ac:dyDescent="0.25">
      <c r="A6286" s="39"/>
    </row>
    <row r="6287" spans="1:1" ht="15.75" customHeight="1" x14ac:dyDescent="0.25">
      <c r="A6287" s="39"/>
    </row>
    <row r="6288" spans="1:1" ht="15.75" customHeight="1" x14ac:dyDescent="0.25">
      <c r="A6288" s="39"/>
    </row>
    <row r="6289" spans="1:1" ht="15.75" customHeight="1" x14ac:dyDescent="0.25">
      <c r="A6289" s="39"/>
    </row>
    <row r="6290" spans="1:1" ht="15.75" customHeight="1" x14ac:dyDescent="0.25">
      <c r="A6290" s="39"/>
    </row>
    <row r="6291" spans="1:1" ht="15.75" customHeight="1" x14ac:dyDescent="0.25">
      <c r="A6291" s="39"/>
    </row>
    <row r="6292" spans="1:1" ht="15.75" customHeight="1" x14ac:dyDescent="0.25">
      <c r="A6292" s="39"/>
    </row>
    <row r="6293" spans="1:1" ht="15.75" customHeight="1" x14ac:dyDescent="0.25">
      <c r="A6293" s="39"/>
    </row>
    <row r="6294" spans="1:1" ht="15.75" customHeight="1" x14ac:dyDescent="0.25">
      <c r="A6294" s="39"/>
    </row>
    <row r="6295" spans="1:1" ht="15.75" customHeight="1" x14ac:dyDescent="0.25">
      <c r="A6295" s="39"/>
    </row>
    <row r="6296" spans="1:1" ht="15.75" customHeight="1" x14ac:dyDescent="0.25">
      <c r="A6296" s="39"/>
    </row>
    <row r="6297" spans="1:1" ht="15.75" customHeight="1" x14ac:dyDescent="0.25">
      <c r="A6297" s="39"/>
    </row>
    <row r="6298" spans="1:1" ht="15.75" customHeight="1" x14ac:dyDescent="0.25">
      <c r="A6298" s="39"/>
    </row>
    <row r="6299" spans="1:1" ht="15.75" customHeight="1" x14ac:dyDescent="0.25">
      <c r="A6299" s="39"/>
    </row>
    <row r="6300" spans="1:1" ht="15.75" customHeight="1" x14ac:dyDescent="0.25">
      <c r="A6300" s="39"/>
    </row>
    <row r="6301" spans="1:1" ht="15.75" customHeight="1" x14ac:dyDescent="0.25">
      <c r="A6301" s="39"/>
    </row>
    <row r="6302" spans="1:1" ht="15.75" customHeight="1" x14ac:dyDescent="0.25">
      <c r="A6302" s="39"/>
    </row>
    <row r="6303" spans="1:1" ht="15.75" customHeight="1" x14ac:dyDescent="0.25">
      <c r="A6303" s="39"/>
    </row>
    <row r="6304" spans="1:1" ht="15.75" customHeight="1" x14ac:dyDescent="0.25">
      <c r="A6304" s="39"/>
    </row>
    <row r="6305" spans="1:1" ht="15.75" customHeight="1" x14ac:dyDescent="0.25">
      <c r="A6305" s="39"/>
    </row>
    <row r="6306" spans="1:1" ht="15.75" customHeight="1" x14ac:dyDescent="0.25">
      <c r="A6306" s="39"/>
    </row>
    <row r="6307" spans="1:1" ht="15.75" customHeight="1" x14ac:dyDescent="0.25">
      <c r="A6307" s="39"/>
    </row>
    <row r="6308" spans="1:1" ht="15.75" customHeight="1" x14ac:dyDescent="0.25">
      <c r="A6308" s="39"/>
    </row>
    <row r="6309" spans="1:1" ht="15.75" customHeight="1" x14ac:dyDescent="0.25">
      <c r="A6309" s="39"/>
    </row>
    <row r="6310" spans="1:1" ht="15.75" customHeight="1" x14ac:dyDescent="0.25">
      <c r="A6310" s="39"/>
    </row>
    <row r="6311" spans="1:1" ht="15.75" customHeight="1" x14ac:dyDescent="0.25">
      <c r="A6311" s="39"/>
    </row>
    <row r="6312" spans="1:1" ht="15.75" customHeight="1" x14ac:dyDescent="0.25">
      <c r="A6312" s="39"/>
    </row>
    <row r="6313" spans="1:1" ht="15.75" customHeight="1" x14ac:dyDescent="0.25">
      <c r="A6313" s="39"/>
    </row>
    <row r="6314" spans="1:1" ht="15.75" customHeight="1" x14ac:dyDescent="0.25">
      <c r="A6314" s="39"/>
    </row>
    <row r="6315" spans="1:1" ht="15.75" customHeight="1" x14ac:dyDescent="0.25">
      <c r="A6315" s="39"/>
    </row>
    <row r="6316" spans="1:1" ht="15.75" customHeight="1" x14ac:dyDescent="0.25">
      <c r="A6316" s="39"/>
    </row>
    <row r="6317" spans="1:1" ht="15.75" customHeight="1" x14ac:dyDescent="0.25">
      <c r="A6317" s="39"/>
    </row>
    <row r="6318" spans="1:1" ht="15.75" customHeight="1" x14ac:dyDescent="0.25">
      <c r="A6318" s="39"/>
    </row>
    <row r="6319" spans="1:1" ht="15.75" customHeight="1" x14ac:dyDescent="0.25">
      <c r="A6319" s="39"/>
    </row>
    <row r="6320" spans="1:1" ht="15.75" customHeight="1" x14ac:dyDescent="0.25">
      <c r="A6320" s="39"/>
    </row>
    <row r="6321" spans="1:1" ht="15.75" customHeight="1" x14ac:dyDescent="0.25">
      <c r="A6321" s="39"/>
    </row>
    <row r="6322" spans="1:1" ht="15.75" customHeight="1" x14ac:dyDescent="0.25">
      <c r="A6322" s="39"/>
    </row>
    <row r="6323" spans="1:1" ht="15.75" customHeight="1" x14ac:dyDescent="0.25">
      <c r="A6323" s="39"/>
    </row>
    <row r="6324" spans="1:1" ht="15.75" customHeight="1" x14ac:dyDescent="0.25">
      <c r="A6324" s="39"/>
    </row>
    <row r="6325" spans="1:1" ht="15.75" customHeight="1" x14ac:dyDescent="0.25">
      <c r="A6325" s="39"/>
    </row>
    <row r="6326" spans="1:1" ht="15.75" customHeight="1" x14ac:dyDescent="0.25">
      <c r="A6326" s="39"/>
    </row>
    <row r="6327" spans="1:1" ht="15.75" customHeight="1" x14ac:dyDescent="0.25">
      <c r="A6327" s="39"/>
    </row>
    <row r="6328" spans="1:1" ht="15.75" customHeight="1" x14ac:dyDescent="0.25">
      <c r="A6328" s="39"/>
    </row>
    <row r="6329" spans="1:1" ht="15.75" customHeight="1" x14ac:dyDescent="0.25">
      <c r="A6329" s="39"/>
    </row>
    <row r="6330" spans="1:1" ht="15.75" customHeight="1" x14ac:dyDescent="0.25">
      <c r="A6330" s="39"/>
    </row>
    <row r="6331" spans="1:1" ht="15.75" customHeight="1" x14ac:dyDescent="0.25">
      <c r="A6331" s="39"/>
    </row>
    <row r="6332" spans="1:1" ht="15.75" customHeight="1" x14ac:dyDescent="0.25">
      <c r="A6332" s="39"/>
    </row>
    <row r="6333" spans="1:1" ht="15.75" customHeight="1" x14ac:dyDescent="0.25">
      <c r="A6333" s="39"/>
    </row>
    <row r="6334" spans="1:1" ht="15.75" customHeight="1" x14ac:dyDescent="0.25">
      <c r="A6334" s="39"/>
    </row>
    <row r="6335" spans="1:1" ht="15.75" customHeight="1" x14ac:dyDescent="0.25">
      <c r="A6335" s="39"/>
    </row>
    <row r="6336" spans="1:1" ht="15.75" customHeight="1" x14ac:dyDescent="0.25">
      <c r="A6336" s="39"/>
    </row>
    <row r="6337" spans="1:1" ht="15.75" customHeight="1" x14ac:dyDescent="0.25">
      <c r="A6337" s="39"/>
    </row>
    <row r="6338" spans="1:1" ht="15.75" customHeight="1" x14ac:dyDescent="0.25">
      <c r="A6338" s="39"/>
    </row>
    <row r="6339" spans="1:1" ht="15.75" customHeight="1" x14ac:dyDescent="0.25">
      <c r="A6339" s="39"/>
    </row>
    <row r="6340" spans="1:1" ht="15.75" customHeight="1" x14ac:dyDescent="0.25">
      <c r="A6340" s="39"/>
    </row>
    <row r="6341" spans="1:1" ht="15.75" customHeight="1" x14ac:dyDescent="0.25">
      <c r="A6341" s="39"/>
    </row>
    <row r="6342" spans="1:1" ht="15.75" customHeight="1" x14ac:dyDescent="0.25">
      <c r="A6342" s="39"/>
    </row>
    <row r="6343" spans="1:1" ht="15.75" customHeight="1" x14ac:dyDescent="0.25">
      <c r="A6343" s="39"/>
    </row>
    <row r="6344" spans="1:1" ht="15.75" customHeight="1" x14ac:dyDescent="0.25">
      <c r="A6344" s="39"/>
    </row>
    <row r="6345" spans="1:1" ht="15.75" customHeight="1" x14ac:dyDescent="0.25">
      <c r="A6345" s="39"/>
    </row>
    <row r="6346" spans="1:1" ht="15.75" customHeight="1" x14ac:dyDescent="0.25">
      <c r="A6346" s="39"/>
    </row>
    <row r="6347" spans="1:1" ht="15.75" customHeight="1" x14ac:dyDescent="0.25">
      <c r="A6347" s="39"/>
    </row>
    <row r="6348" spans="1:1" ht="15.75" customHeight="1" x14ac:dyDescent="0.25">
      <c r="A6348" s="39"/>
    </row>
    <row r="6349" spans="1:1" ht="15.75" customHeight="1" x14ac:dyDescent="0.25">
      <c r="A6349" s="39"/>
    </row>
    <row r="6350" spans="1:1" ht="15.75" customHeight="1" x14ac:dyDescent="0.25">
      <c r="A6350" s="39"/>
    </row>
    <row r="6351" spans="1:1" ht="15.75" customHeight="1" x14ac:dyDescent="0.25">
      <c r="A6351" s="39"/>
    </row>
    <row r="6352" spans="1:1" ht="15.75" customHeight="1" x14ac:dyDescent="0.25">
      <c r="A6352" s="39"/>
    </row>
    <row r="6353" spans="1:1" ht="15.75" customHeight="1" x14ac:dyDescent="0.25">
      <c r="A6353" s="39"/>
    </row>
    <row r="6354" spans="1:1" ht="15.75" customHeight="1" x14ac:dyDescent="0.25">
      <c r="A6354" s="39"/>
    </row>
    <row r="6355" spans="1:1" ht="15.75" customHeight="1" x14ac:dyDescent="0.25">
      <c r="A6355" s="39"/>
    </row>
    <row r="6356" spans="1:1" ht="15.75" customHeight="1" x14ac:dyDescent="0.25">
      <c r="A6356" s="39"/>
    </row>
    <row r="6357" spans="1:1" ht="15.75" customHeight="1" x14ac:dyDescent="0.25">
      <c r="A6357" s="39"/>
    </row>
    <row r="6358" spans="1:1" ht="15.75" customHeight="1" x14ac:dyDescent="0.25">
      <c r="A6358" s="39"/>
    </row>
    <row r="6359" spans="1:1" ht="15.75" customHeight="1" x14ac:dyDescent="0.25">
      <c r="A6359" s="39"/>
    </row>
    <row r="6360" spans="1:1" ht="15.75" customHeight="1" x14ac:dyDescent="0.25">
      <c r="A6360" s="39"/>
    </row>
    <row r="6361" spans="1:1" ht="15.75" customHeight="1" x14ac:dyDescent="0.25">
      <c r="A6361" s="39"/>
    </row>
    <row r="6362" spans="1:1" ht="15.75" customHeight="1" x14ac:dyDescent="0.25">
      <c r="A6362" s="39"/>
    </row>
    <row r="6363" spans="1:1" ht="15.75" customHeight="1" x14ac:dyDescent="0.25">
      <c r="A6363" s="39"/>
    </row>
    <row r="6364" spans="1:1" ht="15.75" customHeight="1" x14ac:dyDescent="0.25">
      <c r="A6364" s="39"/>
    </row>
    <row r="6365" spans="1:1" ht="15.75" customHeight="1" x14ac:dyDescent="0.25">
      <c r="A6365" s="39"/>
    </row>
    <row r="6366" spans="1:1" ht="15.75" customHeight="1" x14ac:dyDescent="0.25">
      <c r="A6366" s="39"/>
    </row>
    <row r="6367" spans="1:1" ht="15.75" customHeight="1" x14ac:dyDescent="0.25">
      <c r="A6367" s="39"/>
    </row>
    <row r="6368" spans="1:1" ht="15.75" customHeight="1" x14ac:dyDescent="0.25">
      <c r="A6368" s="39"/>
    </row>
    <row r="6369" spans="1:1" ht="15.75" customHeight="1" x14ac:dyDescent="0.25">
      <c r="A6369" s="39"/>
    </row>
    <row r="6370" spans="1:1" ht="15.75" customHeight="1" x14ac:dyDescent="0.25">
      <c r="A6370" s="39"/>
    </row>
    <row r="6371" spans="1:1" ht="15.75" customHeight="1" x14ac:dyDescent="0.25">
      <c r="A6371" s="39"/>
    </row>
    <row r="6372" spans="1:1" ht="15.75" customHeight="1" x14ac:dyDescent="0.25">
      <c r="A6372" s="39"/>
    </row>
    <row r="6373" spans="1:1" ht="15.75" customHeight="1" x14ac:dyDescent="0.25">
      <c r="A6373" s="39"/>
    </row>
    <row r="6374" spans="1:1" ht="15.75" customHeight="1" x14ac:dyDescent="0.25">
      <c r="A6374" s="39"/>
    </row>
    <row r="6375" spans="1:1" ht="15.75" customHeight="1" x14ac:dyDescent="0.25">
      <c r="A6375" s="39"/>
    </row>
    <row r="6376" spans="1:1" ht="15.75" customHeight="1" x14ac:dyDescent="0.25">
      <c r="A6376" s="39"/>
    </row>
    <row r="6377" spans="1:1" ht="15.75" customHeight="1" x14ac:dyDescent="0.25">
      <c r="A6377" s="39"/>
    </row>
    <row r="6378" spans="1:1" ht="15.75" customHeight="1" x14ac:dyDescent="0.25">
      <c r="A6378" s="39"/>
    </row>
    <row r="6379" spans="1:1" ht="15.75" customHeight="1" x14ac:dyDescent="0.25">
      <c r="A6379" s="39"/>
    </row>
    <row r="6380" spans="1:1" ht="15.75" customHeight="1" x14ac:dyDescent="0.25">
      <c r="A6380" s="39"/>
    </row>
    <row r="6381" spans="1:1" ht="15.75" customHeight="1" x14ac:dyDescent="0.25">
      <c r="A6381" s="39"/>
    </row>
    <row r="6382" spans="1:1" ht="15.75" customHeight="1" x14ac:dyDescent="0.25">
      <c r="A6382" s="39"/>
    </row>
    <row r="6383" spans="1:1" ht="15.75" customHeight="1" x14ac:dyDescent="0.25">
      <c r="A6383" s="39"/>
    </row>
    <row r="6384" spans="1:1" ht="15.75" customHeight="1" x14ac:dyDescent="0.25">
      <c r="A6384" s="39"/>
    </row>
    <row r="6385" spans="1:1" ht="15.75" customHeight="1" x14ac:dyDescent="0.25">
      <c r="A6385" s="39"/>
    </row>
    <row r="6386" spans="1:1" ht="15.75" customHeight="1" x14ac:dyDescent="0.25">
      <c r="A6386" s="39"/>
    </row>
    <row r="6387" spans="1:1" ht="15.75" customHeight="1" x14ac:dyDescent="0.25">
      <c r="A6387" s="39"/>
    </row>
    <row r="6388" spans="1:1" ht="15.75" customHeight="1" x14ac:dyDescent="0.25">
      <c r="A6388" s="39"/>
    </row>
    <row r="6389" spans="1:1" ht="15.75" customHeight="1" x14ac:dyDescent="0.25">
      <c r="A6389" s="39"/>
    </row>
    <row r="6390" spans="1:1" ht="15.75" customHeight="1" x14ac:dyDescent="0.25">
      <c r="A6390" s="39"/>
    </row>
    <row r="6391" spans="1:1" ht="15.75" customHeight="1" x14ac:dyDescent="0.25">
      <c r="A6391" s="39"/>
    </row>
    <row r="6392" spans="1:1" ht="15.75" customHeight="1" x14ac:dyDescent="0.25">
      <c r="A6392" s="39"/>
    </row>
    <row r="6393" spans="1:1" ht="15.75" customHeight="1" x14ac:dyDescent="0.25">
      <c r="A6393" s="39"/>
    </row>
    <row r="6394" spans="1:1" ht="15.75" customHeight="1" x14ac:dyDescent="0.25">
      <c r="A6394" s="39"/>
    </row>
    <row r="6395" spans="1:1" ht="15.75" customHeight="1" x14ac:dyDescent="0.25">
      <c r="A6395" s="39"/>
    </row>
    <row r="6396" spans="1:1" ht="15.75" customHeight="1" x14ac:dyDescent="0.25">
      <c r="A6396" s="39"/>
    </row>
    <row r="6397" spans="1:1" ht="15.75" customHeight="1" x14ac:dyDescent="0.25">
      <c r="A6397" s="39"/>
    </row>
    <row r="6398" spans="1:1" ht="15.75" customHeight="1" x14ac:dyDescent="0.25">
      <c r="A6398" s="39"/>
    </row>
    <row r="6399" spans="1:1" ht="15.75" customHeight="1" x14ac:dyDescent="0.25">
      <c r="A6399" s="39"/>
    </row>
    <row r="6400" spans="1:1" ht="15.75" customHeight="1" x14ac:dyDescent="0.25">
      <c r="A6400" s="39"/>
    </row>
    <row r="6401" spans="1:1" ht="15.75" customHeight="1" x14ac:dyDescent="0.25">
      <c r="A6401" s="39"/>
    </row>
    <row r="6402" spans="1:1" ht="15.75" customHeight="1" x14ac:dyDescent="0.25">
      <c r="A6402" s="39"/>
    </row>
    <row r="6403" spans="1:1" ht="15.75" customHeight="1" x14ac:dyDescent="0.25">
      <c r="A6403" s="39"/>
    </row>
    <row r="6404" spans="1:1" ht="15.75" customHeight="1" x14ac:dyDescent="0.25">
      <c r="A6404" s="39"/>
    </row>
    <row r="6405" spans="1:1" ht="15.75" customHeight="1" x14ac:dyDescent="0.25">
      <c r="A6405" s="39"/>
    </row>
    <row r="6406" spans="1:1" ht="15.75" customHeight="1" x14ac:dyDescent="0.25">
      <c r="A6406" s="39"/>
    </row>
    <row r="6407" spans="1:1" ht="15.75" customHeight="1" x14ac:dyDescent="0.25">
      <c r="A6407" s="39"/>
    </row>
    <row r="6408" spans="1:1" ht="15.75" customHeight="1" x14ac:dyDescent="0.25">
      <c r="A6408" s="39"/>
    </row>
    <row r="6409" spans="1:1" ht="15.75" customHeight="1" x14ac:dyDescent="0.25">
      <c r="A6409" s="39"/>
    </row>
    <row r="6410" spans="1:1" ht="15.75" customHeight="1" x14ac:dyDescent="0.25">
      <c r="A6410" s="39"/>
    </row>
    <row r="6411" spans="1:1" ht="15.75" customHeight="1" x14ac:dyDescent="0.25">
      <c r="A6411" s="39"/>
    </row>
    <row r="6412" spans="1:1" ht="15.75" customHeight="1" x14ac:dyDescent="0.25">
      <c r="A6412" s="39"/>
    </row>
    <row r="6413" spans="1:1" ht="15.75" customHeight="1" x14ac:dyDescent="0.25">
      <c r="A6413" s="39"/>
    </row>
    <row r="6414" spans="1:1" ht="15.75" customHeight="1" x14ac:dyDescent="0.25">
      <c r="A6414" s="39"/>
    </row>
    <row r="6415" spans="1:1" ht="15.75" customHeight="1" x14ac:dyDescent="0.25">
      <c r="A6415" s="39"/>
    </row>
    <row r="6416" spans="1:1" ht="15.75" customHeight="1" x14ac:dyDescent="0.25">
      <c r="A6416" s="39"/>
    </row>
    <row r="6417" spans="1:1" ht="15.75" customHeight="1" x14ac:dyDescent="0.25">
      <c r="A6417" s="39"/>
    </row>
    <row r="6418" spans="1:1" ht="15.75" customHeight="1" x14ac:dyDescent="0.25">
      <c r="A6418" s="39"/>
    </row>
    <row r="6419" spans="1:1" ht="15.75" customHeight="1" x14ac:dyDescent="0.25">
      <c r="A6419" s="39"/>
    </row>
    <row r="6420" spans="1:1" ht="15.75" customHeight="1" x14ac:dyDescent="0.25">
      <c r="A6420" s="39"/>
    </row>
    <row r="6421" spans="1:1" ht="15.75" customHeight="1" x14ac:dyDescent="0.25">
      <c r="A6421" s="39"/>
    </row>
    <row r="6422" spans="1:1" ht="15.75" customHeight="1" x14ac:dyDescent="0.25">
      <c r="A6422" s="39"/>
    </row>
    <row r="6423" spans="1:1" ht="15.75" customHeight="1" x14ac:dyDescent="0.25">
      <c r="A6423" s="39"/>
    </row>
    <row r="6424" spans="1:1" ht="15.75" customHeight="1" x14ac:dyDescent="0.25">
      <c r="A6424" s="39"/>
    </row>
    <row r="6425" spans="1:1" ht="15.75" customHeight="1" x14ac:dyDescent="0.25">
      <c r="A6425" s="39"/>
    </row>
    <row r="6426" spans="1:1" ht="15.75" customHeight="1" x14ac:dyDescent="0.25">
      <c r="A6426" s="39"/>
    </row>
    <row r="6427" spans="1:1" ht="15.75" customHeight="1" x14ac:dyDescent="0.25">
      <c r="A6427" s="39"/>
    </row>
    <row r="6428" spans="1:1" ht="15.75" customHeight="1" x14ac:dyDescent="0.25">
      <c r="A6428" s="39"/>
    </row>
    <row r="6429" spans="1:1" ht="15.75" customHeight="1" x14ac:dyDescent="0.25">
      <c r="A6429" s="39"/>
    </row>
    <row r="6430" spans="1:1" ht="15.75" customHeight="1" x14ac:dyDescent="0.25">
      <c r="A6430" s="39"/>
    </row>
    <row r="6431" spans="1:1" ht="15.75" customHeight="1" x14ac:dyDescent="0.25">
      <c r="A6431" s="39"/>
    </row>
    <row r="6432" spans="1:1" ht="15.75" customHeight="1" x14ac:dyDescent="0.25">
      <c r="A6432" s="39"/>
    </row>
    <row r="6433" spans="1:1" ht="15.75" customHeight="1" x14ac:dyDescent="0.25">
      <c r="A6433" s="39"/>
    </row>
    <row r="6434" spans="1:1" ht="15.75" customHeight="1" x14ac:dyDescent="0.25">
      <c r="A6434" s="39"/>
    </row>
    <row r="6435" spans="1:1" ht="15.75" customHeight="1" x14ac:dyDescent="0.25">
      <c r="A6435" s="39"/>
    </row>
    <row r="6436" spans="1:1" ht="15.75" customHeight="1" x14ac:dyDescent="0.25">
      <c r="A6436" s="39"/>
    </row>
    <row r="6437" spans="1:1" ht="15.75" customHeight="1" x14ac:dyDescent="0.25">
      <c r="A6437" s="39"/>
    </row>
    <row r="6438" spans="1:1" ht="15.75" customHeight="1" x14ac:dyDescent="0.25">
      <c r="A6438" s="39"/>
    </row>
    <row r="6439" spans="1:1" ht="15.75" customHeight="1" x14ac:dyDescent="0.25">
      <c r="A6439" s="39"/>
    </row>
    <row r="6440" spans="1:1" ht="15.75" customHeight="1" x14ac:dyDescent="0.25">
      <c r="A6440" s="39"/>
    </row>
    <row r="6441" spans="1:1" ht="15.75" customHeight="1" x14ac:dyDescent="0.25">
      <c r="A6441" s="39"/>
    </row>
    <row r="6442" spans="1:1" ht="15.75" customHeight="1" x14ac:dyDescent="0.25">
      <c r="A6442" s="39"/>
    </row>
    <row r="6443" spans="1:1" ht="15.75" customHeight="1" x14ac:dyDescent="0.25">
      <c r="A6443" s="39"/>
    </row>
    <row r="6444" spans="1:1" ht="15.75" customHeight="1" x14ac:dyDescent="0.25">
      <c r="A6444" s="39"/>
    </row>
    <row r="6445" spans="1:1" ht="15.75" customHeight="1" x14ac:dyDescent="0.25">
      <c r="A6445" s="39"/>
    </row>
    <row r="6446" spans="1:1" ht="15.75" customHeight="1" x14ac:dyDescent="0.25">
      <c r="A6446" s="39"/>
    </row>
    <row r="6447" spans="1:1" ht="15.75" customHeight="1" x14ac:dyDescent="0.25">
      <c r="A6447" s="39"/>
    </row>
    <row r="6448" spans="1:1" ht="15.75" customHeight="1" x14ac:dyDescent="0.25">
      <c r="A6448" s="39"/>
    </row>
    <row r="6449" spans="1:1" ht="15.75" customHeight="1" x14ac:dyDescent="0.25">
      <c r="A6449" s="39"/>
    </row>
    <row r="6450" spans="1:1" ht="15.75" customHeight="1" x14ac:dyDescent="0.25">
      <c r="A6450" s="39"/>
    </row>
    <row r="6451" spans="1:1" ht="15.75" customHeight="1" x14ac:dyDescent="0.25">
      <c r="A6451" s="39"/>
    </row>
    <row r="6452" spans="1:1" ht="15.75" customHeight="1" x14ac:dyDescent="0.25">
      <c r="A6452" s="39"/>
    </row>
    <row r="6453" spans="1:1" ht="15.75" customHeight="1" x14ac:dyDescent="0.25">
      <c r="A6453" s="39"/>
    </row>
    <row r="6454" spans="1:1" ht="15.75" customHeight="1" x14ac:dyDescent="0.25">
      <c r="A6454" s="39"/>
    </row>
    <row r="6455" spans="1:1" ht="15.75" customHeight="1" x14ac:dyDescent="0.25">
      <c r="A6455" s="39"/>
    </row>
    <row r="6456" spans="1:1" ht="15.75" customHeight="1" x14ac:dyDescent="0.25">
      <c r="A6456" s="39"/>
    </row>
    <row r="6457" spans="1:1" ht="15.75" customHeight="1" x14ac:dyDescent="0.25">
      <c r="A6457" s="39"/>
    </row>
    <row r="6458" spans="1:1" ht="15.75" customHeight="1" x14ac:dyDescent="0.25">
      <c r="A6458" s="39"/>
    </row>
    <row r="6459" spans="1:1" ht="15.75" customHeight="1" x14ac:dyDescent="0.25">
      <c r="A6459" s="39"/>
    </row>
    <row r="6460" spans="1:1" ht="15.75" customHeight="1" x14ac:dyDescent="0.25">
      <c r="A6460" s="39"/>
    </row>
    <row r="6461" spans="1:1" ht="15.75" customHeight="1" x14ac:dyDescent="0.25">
      <c r="A6461" s="39"/>
    </row>
    <row r="6462" spans="1:1" ht="15.75" customHeight="1" x14ac:dyDescent="0.25">
      <c r="A6462" s="39"/>
    </row>
    <row r="6463" spans="1:1" ht="15.75" customHeight="1" x14ac:dyDescent="0.25">
      <c r="A6463" s="39"/>
    </row>
    <row r="6464" spans="1:1" ht="15.75" customHeight="1" x14ac:dyDescent="0.25">
      <c r="A6464" s="39"/>
    </row>
    <row r="6465" spans="1:1" ht="15.75" customHeight="1" x14ac:dyDescent="0.25">
      <c r="A6465" s="39"/>
    </row>
    <row r="6466" spans="1:1" ht="15.75" customHeight="1" x14ac:dyDescent="0.25">
      <c r="A6466" s="39"/>
    </row>
    <row r="6467" spans="1:1" ht="15.75" customHeight="1" x14ac:dyDescent="0.25">
      <c r="A6467" s="39"/>
    </row>
    <row r="6468" spans="1:1" ht="15.75" customHeight="1" x14ac:dyDescent="0.25">
      <c r="A6468" s="39"/>
    </row>
    <row r="6469" spans="1:1" ht="15.75" customHeight="1" x14ac:dyDescent="0.25">
      <c r="A6469" s="39"/>
    </row>
    <row r="6470" spans="1:1" ht="15.75" customHeight="1" x14ac:dyDescent="0.25">
      <c r="A6470" s="39"/>
    </row>
    <row r="6471" spans="1:1" ht="15.75" customHeight="1" x14ac:dyDescent="0.25">
      <c r="A6471" s="39"/>
    </row>
    <row r="6472" spans="1:1" ht="15.75" customHeight="1" x14ac:dyDescent="0.25">
      <c r="A6472" s="39"/>
    </row>
    <row r="6473" spans="1:1" ht="15.75" customHeight="1" x14ac:dyDescent="0.25">
      <c r="A6473" s="39"/>
    </row>
    <row r="6474" spans="1:1" ht="15.75" customHeight="1" x14ac:dyDescent="0.25">
      <c r="A6474" s="39"/>
    </row>
    <row r="6475" spans="1:1" ht="15.75" customHeight="1" x14ac:dyDescent="0.25">
      <c r="A6475" s="39"/>
    </row>
    <row r="6476" spans="1:1" ht="15.75" customHeight="1" x14ac:dyDescent="0.25">
      <c r="A6476" s="39"/>
    </row>
    <row r="6477" spans="1:1" ht="15.75" customHeight="1" x14ac:dyDescent="0.25">
      <c r="A6477" s="39"/>
    </row>
    <row r="6478" spans="1:1" ht="15.75" customHeight="1" x14ac:dyDescent="0.25">
      <c r="A6478" s="39"/>
    </row>
    <row r="6479" spans="1:1" ht="15.75" customHeight="1" x14ac:dyDescent="0.25">
      <c r="A6479" s="39"/>
    </row>
    <row r="6480" spans="1:1" ht="15.75" customHeight="1" x14ac:dyDescent="0.25">
      <c r="A6480" s="39"/>
    </row>
    <row r="6481" spans="1:1" ht="15.75" customHeight="1" x14ac:dyDescent="0.25">
      <c r="A6481" s="39"/>
    </row>
    <row r="6482" spans="1:1" ht="15.75" customHeight="1" x14ac:dyDescent="0.25">
      <c r="A6482" s="39"/>
    </row>
    <row r="6483" spans="1:1" ht="15.75" customHeight="1" x14ac:dyDescent="0.25">
      <c r="A6483" s="39"/>
    </row>
    <row r="6484" spans="1:1" ht="15.75" customHeight="1" x14ac:dyDescent="0.25">
      <c r="A6484" s="39"/>
    </row>
    <row r="6485" spans="1:1" ht="15.75" customHeight="1" x14ac:dyDescent="0.25">
      <c r="A6485" s="39"/>
    </row>
    <row r="6486" spans="1:1" ht="15.75" customHeight="1" x14ac:dyDescent="0.25">
      <c r="A6486" s="39"/>
    </row>
    <row r="6487" spans="1:1" ht="15.75" customHeight="1" x14ac:dyDescent="0.25">
      <c r="A6487" s="39"/>
    </row>
    <row r="6488" spans="1:1" ht="15.75" customHeight="1" x14ac:dyDescent="0.25">
      <c r="A6488" s="39"/>
    </row>
    <row r="6489" spans="1:1" ht="15.75" customHeight="1" x14ac:dyDescent="0.25">
      <c r="A6489" s="39"/>
    </row>
    <row r="6490" spans="1:1" ht="15.75" customHeight="1" x14ac:dyDescent="0.25">
      <c r="A6490" s="39"/>
    </row>
    <row r="6491" spans="1:1" ht="15.75" customHeight="1" x14ac:dyDescent="0.25">
      <c r="A6491" s="39"/>
    </row>
    <row r="6492" spans="1:1" ht="15.75" customHeight="1" x14ac:dyDescent="0.25">
      <c r="A6492" s="39"/>
    </row>
    <row r="6493" spans="1:1" ht="15.75" customHeight="1" x14ac:dyDescent="0.25">
      <c r="A6493" s="39"/>
    </row>
    <row r="6494" spans="1:1" ht="15.75" customHeight="1" x14ac:dyDescent="0.25">
      <c r="A6494" s="39"/>
    </row>
    <row r="6495" spans="1:1" ht="15.75" customHeight="1" x14ac:dyDescent="0.25">
      <c r="A6495" s="39"/>
    </row>
    <row r="6496" spans="1:1" ht="15.75" customHeight="1" x14ac:dyDescent="0.25">
      <c r="A6496" s="39"/>
    </row>
    <row r="6497" spans="1:1" ht="15.75" customHeight="1" x14ac:dyDescent="0.25">
      <c r="A6497" s="39"/>
    </row>
    <row r="6498" spans="1:1" ht="15.75" customHeight="1" x14ac:dyDescent="0.25">
      <c r="A6498" s="39"/>
    </row>
    <row r="6499" spans="1:1" ht="15.75" customHeight="1" x14ac:dyDescent="0.25">
      <c r="A6499" s="39"/>
    </row>
    <row r="6500" spans="1:1" ht="15.75" customHeight="1" x14ac:dyDescent="0.25">
      <c r="A6500" s="39"/>
    </row>
    <row r="6501" spans="1:1" ht="15.75" customHeight="1" x14ac:dyDescent="0.25">
      <c r="A6501" s="39"/>
    </row>
    <row r="6502" spans="1:1" ht="15.75" customHeight="1" x14ac:dyDescent="0.25">
      <c r="A6502" s="39"/>
    </row>
    <row r="6503" spans="1:1" ht="15.75" customHeight="1" x14ac:dyDescent="0.25">
      <c r="A6503" s="39"/>
    </row>
    <row r="6504" spans="1:1" ht="15.75" customHeight="1" x14ac:dyDescent="0.25">
      <c r="A6504" s="39"/>
    </row>
    <row r="6505" spans="1:1" ht="15.75" customHeight="1" x14ac:dyDescent="0.25">
      <c r="A6505" s="39"/>
    </row>
    <row r="6506" spans="1:1" ht="15.75" customHeight="1" x14ac:dyDescent="0.25">
      <c r="A6506" s="39"/>
    </row>
    <row r="6507" spans="1:1" ht="15.75" customHeight="1" x14ac:dyDescent="0.25">
      <c r="A6507" s="39"/>
    </row>
    <row r="6508" spans="1:1" ht="15.75" customHeight="1" x14ac:dyDescent="0.25">
      <c r="A6508" s="39"/>
    </row>
    <row r="6509" spans="1:1" ht="15.75" customHeight="1" x14ac:dyDescent="0.25">
      <c r="A6509" s="39"/>
    </row>
    <row r="6510" spans="1:1" ht="15.75" customHeight="1" x14ac:dyDescent="0.25">
      <c r="A6510" s="39"/>
    </row>
    <row r="6511" spans="1:1" ht="15.75" customHeight="1" x14ac:dyDescent="0.25">
      <c r="A6511" s="39"/>
    </row>
    <row r="6512" spans="1:1" ht="15.75" customHeight="1" x14ac:dyDescent="0.25">
      <c r="A6512" s="39"/>
    </row>
    <row r="6513" spans="1:1" ht="15.75" customHeight="1" x14ac:dyDescent="0.25">
      <c r="A6513" s="39"/>
    </row>
    <row r="6514" spans="1:1" ht="15.75" customHeight="1" x14ac:dyDescent="0.25">
      <c r="A6514" s="39"/>
    </row>
    <row r="6515" spans="1:1" ht="15.75" customHeight="1" x14ac:dyDescent="0.25">
      <c r="A6515" s="39"/>
    </row>
    <row r="6516" spans="1:1" ht="15.75" customHeight="1" x14ac:dyDescent="0.25">
      <c r="A6516" s="39"/>
    </row>
    <row r="6517" spans="1:1" ht="15.75" customHeight="1" x14ac:dyDescent="0.25">
      <c r="A6517" s="39"/>
    </row>
    <row r="6518" spans="1:1" ht="15.75" customHeight="1" x14ac:dyDescent="0.25">
      <c r="A6518" s="39"/>
    </row>
    <row r="6519" spans="1:1" ht="15.75" customHeight="1" x14ac:dyDescent="0.25">
      <c r="A6519" s="39"/>
    </row>
    <row r="6520" spans="1:1" ht="15.75" customHeight="1" x14ac:dyDescent="0.25">
      <c r="A6520" s="39"/>
    </row>
    <row r="6521" spans="1:1" ht="15.75" customHeight="1" x14ac:dyDescent="0.25">
      <c r="A6521" s="39"/>
    </row>
    <row r="6522" spans="1:1" ht="15.75" customHeight="1" x14ac:dyDescent="0.25">
      <c r="A6522" s="39"/>
    </row>
    <row r="6523" spans="1:1" ht="15.75" customHeight="1" x14ac:dyDescent="0.25">
      <c r="A6523" s="39"/>
    </row>
    <row r="6524" spans="1:1" ht="15.75" customHeight="1" x14ac:dyDescent="0.25">
      <c r="A6524" s="39"/>
    </row>
    <row r="6525" spans="1:1" ht="15.75" customHeight="1" x14ac:dyDescent="0.25">
      <c r="A6525" s="39"/>
    </row>
    <row r="6526" spans="1:1" ht="15.75" customHeight="1" x14ac:dyDescent="0.25">
      <c r="A6526" s="39"/>
    </row>
    <row r="6527" spans="1:1" ht="15.75" customHeight="1" x14ac:dyDescent="0.25">
      <c r="A6527" s="39"/>
    </row>
    <row r="6528" spans="1:1" ht="15.75" customHeight="1" x14ac:dyDescent="0.25">
      <c r="A6528" s="39"/>
    </row>
    <row r="6529" spans="1:1" ht="15.75" customHeight="1" x14ac:dyDescent="0.25">
      <c r="A6529" s="39"/>
    </row>
    <row r="6530" spans="1:1" ht="15.75" customHeight="1" x14ac:dyDescent="0.25">
      <c r="A6530" s="39"/>
    </row>
    <row r="6531" spans="1:1" ht="15.75" customHeight="1" x14ac:dyDescent="0.25">
      <c r="A6531" s="39"/>
    </row>
    <row r="6532" spans="1:1" ht="15.75" customHeight="1" x14ac:dyDescent="0.25">
      <c r="A6532" s="39"/>
    </row>
    <row r="6533" spans="1:1" ht="15.75" customHeight="1" x14ac:dyDescent="0.25">
      <c r="A6533" s="39"/>
    </row>
    <row r="6534" spans="1:1" ht="15.75" customHeight="1" x14ac:dyDescent="0.25">
      <c r="A6534" s="39"/>
    </row>
    <row r="6535" spans="1:1" ht="15.75" customHeight="1" x14ac:dyDescent="0.25">
      <c r="A6535" s="39"/>
    </row>
    <row r="6536" spans="1:1" ht="15.75" customHeight="1" x14ac:dyDescent="0.25">
      <c r="A6536" s="39"/>
    </row>
    <row r="6537" spans="1:1" ht="15.75" customHeight="1" x14ac:dyDescent="0.25">
      <c r="A6537" s="39"/>
    </row>
    <row r="6538" spans="1:1" ht="15.75" customHeight="1" x14ac:dyDescent="0.25">
      <c r="A6538" s="39"/>
    </row>
    <row r="6539" spans="1:1" ht="15.75" customHeight="1" x14ac:dyDescent="0.25">
      <c r="A6539" s="39"/>
    </row>
    <row r="6540" spans="1:1" ht="15.75" customHeight="1" x14ac:dyDescent="0.25">
      <c r="A6540" s="39"/>
    </row>
    <row r="6541" spans="1:1" ht="15.75" customHeight="1" x14ac:dyDescent="0.25">
      <c r="A6541" s="39"/>
    </row>
    <row r="6542" spans="1:1" ht="15.75" customHeight="1" x14ac:dyDescent="0.25">
      <c r="A6542" s="39"/>
    </row>
    <row r="6543" spans="1:1" ht="15.75" customHeight="1" x14ac:dyDescent="0.25">
      <c r="A6543" s="39"/>
    </row>
    <row r="6544" spans="1:1" ht="15.75" customHeight="1" x14ac:dyDescent="0.25">
      <c r="A6544" s="39"/>
    </row>
    <row r="6545" spans="1:1" ht="15.75" customHeight="1" x14ac:dyDescent="0.25">
      <c r="A6545" s="39"/>
    </row>
    <row r="6546" spans="1:1" ht="15.75" customHeight="1" x14ac:dyDescent="0.25">
      <c r="A6546" s="39"/>
    </row>
    <row r="6547" spans="1:1" ht="15.75" customHeight="1" x14ac:dyDescent="0.25">
      <c r="A6547" s="39"/>
    </row>
    <row r="6548" spans="1:1" ht="15.75" customHeight="1" x14ac:dyDescent="0.25">
      <c r="A6548" s="39"/>
    </row>
    <row r="6549" spans="1:1" ht="15.75" customHeight="1" x14ac:dyDescent="0.25">
      <c r="A6549" s="39"/>
    </row>
    <row r="6550" spans="1:1" ht="15.75" customHeight="1" x14ac:dyDescent="0.25">
      <c r="A6550" s="39"/>
    </row>
    <row r="6551" spans="1:1" ht="15.75" customHeight="1" x14ac:dyDescent="0.25">
      <c r="A6551" s="39"/>
    </row>
    <row r="6552" spans="1:1" ht="15.75" customHeight="1" x14ac:dyDescent="0.25">
      <c r="A6552" s="39"/>
    </row>
    <row r="6553" spans="1:1" ht="15.75" customHeight="1" x14ac:dyDescent="0.25">
      <c r="A6553" s="39"/>
    </row>
    <row r="6554" spans="1:1" ht="15.75" customHeight="1" x14ac:dyDescent="0.25">
      <c r="A6554" s="39"/>
    </row>
    <row r="6555" spans="1:1" ht="15.75" customHeight="1" x14ac:dyDescent="0.25">
      <c r="A6555" s="39"/>
    </row>
    <row r="6556" spans="1:1" ht="15.75" customHeight="1" x14ac:dyDescent="0.25">
      <c r="A6556" s="39"/>
    </row>
    <row r="6557" spans="1:1" ht="15.75" customHeight="1" x14ac:dyDescent="0.25">
      <c r="A6557" s="39"/>
    </row>
    <row r="6558" spans="1:1" ht="15.75" customHeight="1" x14ac:dyDescent="0.25">
      <c r="A6558" s="39"/>
    </row>
    <row r="6559" spans="1:1" ht="15.75" customHeight="1" x14ac:dyDescent="0.25">
      <c r="A6559" s="39"/>
    </row>
    <row r="6560" spans="1:1" ht="15.75" customHeight="1" x14ac:dyDescent="0.25">
      <c r="A6560" s="39"/>
    </row>
    <row r="6561" spans="1:1" ht="15.75" customHeight="1" x14ac:dyDescent="0.25">
      <c r="A6561" s="39"/>
    </row>
    <row r="6562" spans="1:1" ht="15.75" customHeight="1" x14ac:dyDescent="0.25">
      <c r="A6562" s="39"/>
    </row>
    <row r="6563" spans="1:1" ht="15.75" customHeight="1" x14ac:dyDescent="0.25">
      <c r="A6563" s="39"/>
    </row>
    <row r="6564" spans="1:1" ht="15.75" customHeight="1" x14ac:dyDescent="0.25">
      <c r="A6564" s="39"/>
    </row>
    <row r="6565" spans="1:1" ht="15.75" customHeight="1" x14ac:dyDescent="0.25">
      <c r="A6565" s="39"/>
    </row>
    <row r="6566" spans="1:1" ht="15.75" customHeight="1" x14ac:dyDescent="0.25">
      <c r="A6566" s="39"/>
    </row>
    <row r="6567" spans="1:1" ht="15.75" customHeight="1" x14ac:dyDescent="0.25">
      <c r="A6567" s="39"/>
    </row>
    <row r="6568" spans="1:1" ht="15.75" customHeight="1" x14ac:dyDescent="0.25">
      <c r="A6568" s="39"/>
    </row>
    <row r="6569" spans="1:1" ht="15.75" customHeight="1" x14ac:dyDescent="0.25">
      <c r="A6569" s="39"/>
    </row>
    <row r="6570" spans="1:1" ht="15.75" customHeight="1" x14ac:dyDescent="0.25">
      <c r="A6570" s="39"/>
    </row>
    <row r="6571" spans="1:1" ht="15.75" customHeight="1" x14ac:dyDescent="0.25">
      <c r="A6571" s="39"/>
    </row>
    <row r="6572" spans="1:1" ht="15.75" customHeight="1" x14ac:dyDescent="0.25">
      <c r="A6572" s="39"/>
    </row>
    <row r="6573" spans="1:1" ht="15.75" customHeight="1" x14ac:dyDescent="0.25">
      <c r="A6573" s="39"/>
    </row>
    <row r="6574" spans="1:1" ht="15.75" customHeight="1" x14ac:dyDescent="0.25">
      <c r="A6574" s="39"/>
    </row>
    <row r="6575" spans="1:1" ht="15.75" customHeight="1" x14ac:dyDescent="0.25">
      <c r="A6575" s="39"/>
    </row>
    <row r="6576" spans="1:1" ht="15.75" customHeight="1" x14ac:dyDescent="0.25">
      <c r="A6576" s="39"/>
    </row>
    <row r="6577" spans="1:1" ht="15.75" customHeight="1" x14ac:dyDescent="0.25">
      <c r="A6577" s="39"/>
    </row>
    <row r="6578" spans="1:1" ht="15.75" customHeight="1" x14ac:dyDescent="0.25">
      <c r="A6578" s="39"/>
    </row>
    <row r="6579" spans="1:1" ht="15.75" customHeight="1" x14ac:dyDescent="0.25">
      <c r="A6579" s="39"/>
    </row>
    <row r="6580" spans="1:1" ht="15.75" customHeight="1" x14ac:dyDescent="0.25">
      <c r="A6580" s="39"/>
    </row>
    <row r="6581" spans="1:1" ht="15.75" customHeight="1" x14ac:dyDescent="0.25">
      <c r="A6581" s="39"/>
    </row>
    <row r="6582" spans="1:1" ht="15.75" customHeight="1" x14ac:dyDescent="0.25">
      <c r="A6582" s="39"/>
    </row>
    <row r="6583" spans="1:1" ht="15.75" customHeight="1" x14ac:dyDescent="0.25">
      <c r="A6583" s="39"/>
    </row>
    <row r="6584" spans="1:1" ht="15.75" customHeight="1" x14ac:dyDescent="0.25">
      <c r="A6584" s="39"/>
    </row>
    <row r="6585" spans="1:1" ht="15.75" customHeight="1" x14ac:dyDescent="0.25">
      <c r="A6585" s="39"/>
    </row>
    <row r="6586" spans="1:1" ht="15.75" customHeight="1" x14ac:dyDescent="0.25">
      <c r="A6586" s="39"/>
    </row>
    <row r="6587" spans="1:1" ht="15.75" customHeight="1" x14ac:dyDescent="0.25">
      <c r="A6587" s="39"/>
    </row>
    <row r="6588" spans="1:1" ht="15.75" customHeight="1" x14ac:dyDescent="0.25">
      <c r="A6588" s="39"/>
    </row>
    <row r="6589" spans="1:1" ht="15.75" customHeight="1" x14ac:dyDescent="0.25">
      <c r="A6589" s="39"/>
    </row>
    <row r="6590" spans="1:1" ht="15.75" customHeight="1" x14ac:dyDescent="0.25">
      <c r="A6590" s="39"/>
    </row>
    <row r="6591" spans="1:1" ht="15.75" customHeight="1" x14ac:dyDescent="0.25">
      <c r="A6591" s="39"/>
    </row>
    <row r="6592" spans="1:1" ht="15.75" customHeight="1" x14ac:dyDescent="0.25">
      <c r="A6592" s="39"/>
    </row>
    <row r="6593" spans="1:1" ht="15.75" customHeight="1" x14ac:dyDescent="0.25">
      <c r="A6593" s="39"/>
    </row>
    <row r="6594" spans="1:1" ht="15.75" customHeight="1" x14ac:dyDescent="0.25">
      <c r="A6594" s="39"/>
    </row>
    <row r="6595" spans="1:1" ht="15.75" customHeight="1" x14ac:dyDescent="0.25">
      <c r="A6595" s="39"/>
    </row>
    <row r="6596" spans="1:1" ht="15.75" customHeight="1" x14ac:dyDescent="0.25">
      <c r="A6596" s="39"/>
    </row>
    <row r="6597" spans="1:1" ht="15.75" customHeight="1" x14ac:dyDescent="0.25">
      <c r="A6597" s="39"/>
    </row>
    <row r="6598" spans="1:1" ht="15.75" customHeight="1" x14ac:dyDescent="0.25">
      <c r="A6598" s="39"/>
    </row>
    <row r="6599" spans="1:1" ht="15.75" customHeight="1" x14ac:dyDescent="0.25">
      <c r="A6599" s="39"/>
    </row>
    <row r="6600" spans="1:1" ht="15.75" customHeight="1" x14ac:dyDescent="0.25">
      <c r="A6600" s="39"/>
    </row>
    <row r="6601" spans="1:1" ht="15.75" customHeight="1" x14ac:dyDescent="0.25">
      <c r="A6601" s="39"/>
    </row>
    <row r="6602" spans="1:1" ht="15.75" customHeight="1" x14ac:dyDescent="0.25">
      <c r="A6602" s="39"/>
    </row>
    <row r="6603" spans="1:1" ht="15.75" customHeight="1" x14ac:dyDescent="0.25">
      <c r="A6603" s="39"/>
    </row>
    <row r="6604" spans="1:1" ht="15.75" customHeight="1" x14ac:dyDescent="0.25">
      <c r="A6604" s="39"/>
    </row>
    <row r="6605" spans="1:1" ht="15.75" customHeight="1" x14ac:dyDescent="0.25">
      <c r="A6605" s="39"/>
    </row>
    <row r="6606" spans="1:1" ht="15.75" customHeight="1" x14ac:dyDescent="0.25">
      <c r="A6606" s="39"/>
    </row>
    <row r="6607" spans="1:1" ht="15.75" customHeight="1" x14ac:dyDescent="0.25">
      <c r="A6607" s="39"/>
    </row>
    <row r="6608" spans="1:1" ht="15.75" customHeight="1" x14ac:dyDescent="0.25">
      <c r="A6608" s="39"/>
    </row>
    <row r="6609" spans="1:1" ht="15.75" customHeight="1" x14ac:dyDescent="0.25">
      <c r="A6609" s="39"/>
    </row>
    <row r="6610" spans="1:1" ht="15.75" customHeight="1" x14ac:dyDescent="0.25">
      <c r="A6610" s="39"/>
    </row>
    <row r="6611" spans="1:1" ht="15.75" customHeight="1" x14ac:dyDescent="0.25">
      <c r="A6611" s="39"/>
    </row>
    <row r="6612" spans="1:1" ht="15.75" customHeight="1" x14ac:dyDescent="0.25">
      <c r="A6612" s="39"/>
    </row>
    <row r="6613" spans="1:1" ht="15.75" customHeight="1" x14ac:dyDescent="0.25">
      <c r="A6613" s="39"/>
    </row>
    <row r="6614" spans="1:1" ht="15.75" customHeight="1" x14ac:dyDescent="0.25">
      <c r="A6614" s="39"/>
    </row>
    <row r="6615" spans="1:1" ht="15.75" customHeight="1" x14ac:dyDescent="0.25">
      <c r="A6615" s="39"/>
    </row>
    <row r="6616" spans="1:1" ht="15.75" customHeight="1" x14ac:dyDescent="0.25">
      <c r="A6616" s="39"/>
    </row>
    <row r="6617" spans="1:1" ht="15.75" customHeight="1" x14ac:dyDescent="0.25">
      <c r="A6617" s="39"/>
    </row>
    <row r="6618" spans="1:1" ht="15.75" customHeight="1" x14ac:dyDescent="0.25">
      <c r="A6618" s="39"/>
    </row>
    <row r="6619" spans="1:1" ht="15.75" customHeight="1" x14ac:dyDescent="0.25">
      <c r="A6619" s="39"/>
    </row>
    <row r="6620" spans="1:1" ht="15.75" customHeight="1" x14ac:dyDescent="0.25">
      <c r="A6620" s="39"/>
    </row>
    <row r="6621" spans="1:1" ht="15.75" customHeight="1" x14ac:dyDescent="0.25">
      <c r="A6621" s="39"/>
    </row>
    <row r="6622" spans="1:1" ht="15.75" customHeight="1" x14ac:dyDescent="0.25">
      <c r="A6622" s="39"/>
    </row>
    <row r="6623" spans="1:1" ht="15.75" customHeight="1" x14ac:dyDescent="0.25">
      <c r="A6623" s="39"/>
    </row>
    <row r="6624" spans="1:1" ht="15.75" customHeight="1" x14ac:dyDescent="0.25">
      <c r="A6624" s="39"/>
    </row>
    <row r="6625" spans="1:1" ht="15.75" customHeight="1" x14ac:dyDescent="0.25">
      <c r="A6625" s="39"/>
    </row>
    <row r="6626" spans="1:1" ht="15.75" customHeight="1" x14ac:dyDescent="0.25">
      <c r="A6626" s="39"/>
    </row>
    <row r="6627" spans="1:1" ht="15.75" customHeight="1" x14ac:dyDescent="0.25">
      <c r="A6627" s="39"/>
    </row>
    <row r="6628" spans="1:1" ht="15.75" customHeight="1" x14ac:dyDescent="0.25">
      <c r="A6628" s="39"/>
    </row>
    <row r="6629" spans="1:1" ht="15.75" customHeight="1" x14ac:dyDescent="0.25">
      <c r="A6629" s="39"/>
    </row>
    <row r="6630" spans="1:1" ht="15.75" customHeight="1" x14ac:dyDescent="0.25">
      <c r="A6630" s="39"/>
    </row>
    <row r="6631" spans="1:1" ht="15.75" customHeight="1" x14ac:dyDescent="0.25">
      <c r="A6631" s="39"/>
    </row>
    <row r="6632" spans="1:1" ht="15.75" customHeight="1" x14ac:dyDescent="0.25">
      <c r="A6632" s="39"/>
    </row>
    <row r="6633" spans="1:1" ht="15.75" customHeight="1" x14ac:dyDescent="0.25">
      <c r="A6633" s="39"/>
    </row>
    <row r="6634" spans="1:1" ht="15.75" customHeight="1" x14ac:dyDescent="0.25">
      <c r="A6634" s="39"/>
    </row>
    <row r="6635" spans="1:1" ht="15.75" customHeight="1" x14ac:dyDescent="0.25">
      <c r="A6635" s="39"/>
    </row>
    <row r="6636" spans="1:1" ht="15.75" customHeight="1" x14ac:dyDescent="0.25">
      <c r="A6636" s="39"/>
    </row>
    <row r="6637" spans="1:1" ht="15.75" customHeight="1" x14ac:dyDescent="0.25">
      <c r="A6637" s="39"/>
    </row>
    <row r="6638" spans="1:1" ht="15.75" customHeight="1" x14ac:dyDescent="0.25">
      <c r="A6638" s="39"/>
    </row>
    <row r="6639" spans="1:1" ht="15.75" customHeight="1" x14ac:dyDescent="0.25">
      <c r="A6639" s="39"/>
    </row>
    <row r="6640" spans="1:1" ht="15.75" customHeight="1" x14ac:dyDescent="0.25">
      <c r="A6640" s="39"/>
    </row>
    <row r="6641" spans="1:1" ht="15.75" customHeight="1" x14ac:dyDescent="0.25">
      <c r="A6641" s="39"/>
    </row>
    <row r="6642" spans="1:1" ht="15.75" customHeight="1" x14ac:dyDescent="0.25">
      <c r="A6642" s="39"/>
    </row>
    <row r="6643" spans="1:1" ht="15.75" customHeight="1" x14ac:dyDescent="0.25">
      <c r="A6643" s="39"/>
    </row>
    <row r="6644" spans="1:1" ht="15.75" customHeight="1" x14ac:dyDescent="0.25">
      <c r="A6644" s="39"/>
    </row>
    <row r="6645" spans="1:1" ht="15.75" customHeight="1" x14ac:dyDescent="0.25">
      <c r="A6645" s="39"/>
    </row>
    <row r="6646" spans="1:1" ht="15.75" customHeight="1" x14ac:dyDescent="0.25">
      <c r="A6646" s="39"/>
    </row>
    <row r="6647" spans="1:1" ht="15.75" customHeight="1" x14ac:dyDescent="0.25">
      <c r="A6647" s="39"/>
    </row>
    <row r="6648" spans="1:1" ht="15.75" customHeight="1" x14ac:dyDescent="0.25">
      <c r="A6648" s="39"/>
    </row>
    <row r="6649" spans="1:1" ht="15.75" customHeight="1" x14ac:dyDescent="0.25">
      <c r="A6649" s="39"/>
    </row>
    <row r="6650" spans="1:1" ht="15.75" customHeight="1" x14ac:dyDescent="0.25">
      <c r="A6650" s="39"/>
    </row>
    <row r="6651" spans="1:1" ht="15.75" customHeight="1" x14ac:dyDescent="0.25">
      <c r="A6651" s="39"/>
    </row>
    <row r="6652" spans="1:1" ht="15.75" customHeight="1" x14ac:dyDescent="0.25">
      <c r="A6652" s="39"/>
    </row>
    <row r="6653" spans="1:1" ht="15.75" customHeight="1" x14ac:dyDescent="0.25">
      <c r="A6653" s="39"/>
    </row>
    <row r="6654" spans="1:1" ht="15.75" customHeight="1" x14ac:dyDescent="0.25">
      <c r="A6654" s="39"/>
    </row>
    <row r="6655" spans="1:1" ht="15.75" customHeight="1" x14ac:dyDescent="0.25">
      <c r="A6655" s="39"/>
    </row>
    <row r="6656" spans="1:1" ht="15.75" customHeight="1" x14ac:dyDescent="0.25">
      <c r="A6656" s="39"/>
    </row>
    <row r="6657" spans="1:1" ht="15.75" customHeight="1" x14ac:dyDescent="0.25">
      <c r="A6657" s="39"/>
    </row>
    <row r="6658" spans="1:1" ht="15.75" customHeight="1" x14ac:dyDescent="0.25">
      <c r="A6658" s="39"/>
    </row>
    <row r="6659" spans="1:1" ht="15.75" customHeight="1" x14ac:dyDescent="0.25">
      <c r="A6659" s="39"/>
    </row>
    <row r="6660" spans="1:1" ht="15.75" customHeight="1" x14ac:dyDescent="0.25">
      <c r="A6660" s="39"/>
    </row>
    <row r="6661" spans="1:1" ht="15.75" customHeight="1" x14ac:dyDescent="0.25">
      <c r="A6661" s="39"/>
    </row>
    <row r="6662" spans="1:1" ht="15.75" customHeight="1" x14ac:dyDescent="0.25">
      <c r="A6662" s="39"/>
    </row>
    <row r="6663" spans="1:1" ht="15.75" customHeight="1" x14ac:dyDescent="0.25">
      <c r="A6663" s="39"/>
    </row>
    <row r="6664" spans="1:1" ht="15.75" customHeight="1" x14ac:dyDescent="0.25">
      <c r="A6664" s="39"/>
    </row>
    <row r="6665" spans="1:1" ht="15.75" customHeight="1" x14ac:dyDescent="0.25">
      <c r="A6665" s="39"/>
    </row>
    <row r="6666" spans="1:1" ht="15.75" customHeight="1" x14ac:dyDescent="0.25">
      <c r="A6666" s="39"/>
    </row>
    <row r="6667" spans="1:1" ht="15.75" customHeight="1" x14ac:dyDescent="0.25">
      <c r="A6667" s="39"/>
    </row>
    <row r="6668" spans="1:1" ht="15.75" customHeight="1" x14ac:dyDescent="0.25">
      <c r="A6668" s="39"/>
    </row>
    <row r="6669" spans="1:1" ht="15.75" customHeight="1" x14ac:dyDescent="0.25">
      <c r="A6669" s="39"/>
    </row>
    <row r="6670" spans="1:1" ht="15.75" customHeight="1" x14ac:dyDescent="0.25">
      <c r="A6670" s="39"/>
    </row>
    <row r="6671" spans="1:1" ht="15.75" customHeight="1" x14ac:dyDescent="0.25">
      <c r="A6671" s="39"/>
    </row>
    <row r="6672" spans="1:1" ht="15.75" customHeight="1" x14ac:dyDescent="0.25">
      <c r="A6672" s="39"/>
    </row>
    <row r="6673" spans="1:1" ht="15.75" customHeight="1" x14ac:dyDescent="0.25">
      <c r="A6673" s="39"/>
    </row>
    <row r="6674" spans="1:1" ht="15.75" customHeight="1" x14ac:dyDescent="0.25">
      <c r="A6674" s="39"/>
    </row>
    <row r="6675" spans="1:1" ht="15.75" customHeight="1" x14ac:dyDescent="0.25">
      <c r="A6675" s="39"/>
    </row>
    <row r="6676" spans="1:1" ht="15.75" customHeight="1" x14ac:dyDescent="0.25">
      <c r="A6676" s="39"/>
    </row>
    <row r="6677" spans="1:1" ht="15.75" customHeight="1" x14ac:dyDescent="0.25">
      <c r="A6677" s="39"/>
    </row>
    <row r="6678" spans="1:1" ht="15.75" customHeight="1" x14ac:dyDescent="0.25">
      <c r="A6678" s="39"/>
    </row>
    <row r="6679" spans="1:1" ht="15.75" customHeight="1" x14ac:dyDescent="0.25">
      <c r="A6679" s="39"/>
    </row>
    <row r="6680" spans="1:1" ht="15.75" customHeight="1" x14ac:dyDescent="0.25">
      <c r="A6680" s="39"/>
    </row>
    <row r="6681" spans="1:1" ht="15.75" customHeight="1" x14ac:dyDescent="0.25">
      <c r="A6681" s="39"/>
    </row>
    <row r="6682" spans="1:1" ht="15.75" customHeight="1" x14ac:dyDescent="0.25">
      <c r="A6682" s="39"/>
    </row>
    <row r="6683" spans="1:1" ht="15.75" customHeight="1" x14ac:dyDescent="0.25">
      <c r="A6683" s="39"/>
    </row>
    <row r="6684" spans="1:1" ht="15.75" customHeight="1" x14ac:dyDescent="0.25">
      <c r="A6684" s="39"/>
    </row>
    <row r="6685" spans="1:1" ht="15.75" customHeight="1" x14ac:dyDescent="0.25">
      <c r="A6685" s="39"/>
    </row>
    <row r="6686" spans="1:1" ht="15.75" customHeight="1" x14ac:dyDescent="0.25">
      <c r="A6686" s="39"/>
    </row>
    <row r="6687" spans="1:1" ht="15.75" customHeight="1" x14ac:dyDescent="0.25">
      <c r="A6687" s="39"/>
    </row>
    <row r="6688" spans="1:1" ht="15.75" customHeight="1" x14ac:dyDescent="0.25">
      <c r="A6688" s="39"/>
    </row>
    <row r="6689" spans="1:1" ht="15.75" customHeight="1" x14ac:dyDescent="0.25">
      <c r="A6689" s="39"/>
    </row>
    <row r="6690" spans="1:1" ht="15.75" customHeight="1" x14ac:dyDescent="0.25">
      <c r="A6690" s="39"/>
    </row>
    <row r="6691" spans="1:1" ht="15.75" customHeight="1" x14ac:dyDescent="0.25">
      <c r="A6691" s="39"/>
    </row>
    <row r="6692" spans="1:1" ht="15.75" customHeight="1" x14ac:dyDescent="0.25">
      <c r="A6692" s="39"/>
    </row>
    <row r="6693" spans="1:1" ht="15.75" customHeight="1" x14ac:dyDescent="0.25">
      <c r="A6693" s="39"/>
    </row>
    <row r="6694" spans="1:1" ht="15.75" customHeight="1" x14ac:dyDescent="0.25">
      <c r="A6694" s="39"/>
    </row>
    <row r="6695" spans="1:1" ht="15.75" customHeight="1" x14ac:dyDescent="0.25">
      <c r="A6695" s="39"/>
    </row>
    <row r="6696" spans="1:1" ht="15.75" customHeight="1" x14ac:dyDescent="0.25">
      <c r="A6696" s="39"/>
    </row>
    <row r="6697" spans="1:1" ht="15.75" customHeight="1" x14ac:dyDescent="0.25">
      <c r="A6697" s="39"/>
    </row>
    <row r="6698" spans="1:1" ht="15.75" customHeight="1" x14ac:dyDescent="0.25">
      <c r="A6698" s="39"/>
    </row>
    <row r="6699" spans="1:1" ht="15.75" customHeight="1" x14ac:dyDescent="0.25">
      <c r="A6699" s="39"/>
    </row>
    <row r="6700" spans="1:1" ht="15.75" customHeight="1" x14ac:dyDescent="0.25">
      <c r="A6700" s="39"/>
    </row>
    <row r="6701" spans="1:1" ht="15.75" customHeight="1" x14ac:dyDescent="0.25">
      <c r="A6701" s="39"/>
    </row>
    <row r="6702" spans="1:1" ht="15.75" customHeight="1" x14ac:dyDescent="0.25">
      <c r="A6702" s="39"/>
    </row>
    <row r="6703" spans="1:1" ht="15.75" customHeight="1" x14ac:dyDescent="0.25">
      <c r="A6703" s="39"/>
    </row>
    <row r="6704" spans="1:1" ht="15.75" customHeight="1" x14ac:dyDescent="0.25">
      <c r="A6704" s="39"/>
    </row>
    <row r="6705" spans="1:1" ht="15.75" customHeight="1" x14ac:dyDescent="0.25">
      <c r="A6705" s="39"/>
    </row>
    <row r="6706" spans="1:1" ht="15.75" customHeight="1" x14ac:dyDescent="0.25">
      <c r="A6706" s="39"/>
    </row>
    <row r="6707" spans="1:1" ht="15.75" customHeight="1" x14ac:dyDescent="0.25">
      <c r="A6707" s="39"/>
    </row>
    <row r="6708" spans="1:1" ht="15.75" customHeight="1" x14ac:dyDescent="0.25">
      <c r="A6708" s="39"/>
    </row>
    <row r="6709" spans="1:1" ht="15.75" customHeight="1" x14ac:dyDescent="0.25">
      <c r="A6709" s="39"/>
    </row>
    <row r="6710" spans="1:1" ht="15.75" customHeight="1" x14ac:dyDescent="0.25">
      <c r="A6710" s="39"/>
    </row>
    <row r="6711" spans="1:1" ht="15.75" customHeight="1" x14ac:dyDescent="0.25">
      <c r="A6711" s="39"/>
    </row>
    <row r="6712" spans="1:1" ht="15.75" customHeight="1" x14ac:dyDescent="0.25">
      <c r="A6712" s="39"/>
    </row>
    <row r="6713" spans="1:1" ht="15.75" customHeight="1" x14ac:dyDescent="0.25">
      <c r="A6713" s="39"/>
    </row>
    <row r="6714" spans="1:1" ht="15.75" customHeight="1" x14ac:dyDescent="0.25">
      <c r="A6714" s="39"/>
    </row>
    <row r="6715" spans="1:1" ht="15.75" customHeight="1" x14ac:dyDescent="0.25">
      <c r="A6715" s="39"/>
    </row>
    <row r="6716" spans="1:1" ht="15.75" customHeight="1" x14ac:dyDescent="0.25">
      <c r="A6716" s="39"/>
    </row>
    <row r="6717" spans="1:1" ht="15.75" customHeight="1" x14ac:dyDescent="0.25">
      <c r="A6717" s="39"/>
    </row>
    <row r="6718" spans="1:1" ht="15.75" customHeight="1" x14ac:dyDescent="0.25">
      <c r="A6718" s="39"/>
    </row>
    <row r="6719" spans="1:1" ht="15.75" customHeight="1" x14ac:dyDescent="0.25">
      <c r="A6719" s="39"/>
    </row>
    <row r="6720" spans="1:1" ht="15.75" customHeight="1" x14ac:dyDescent="0.25">
      <c r="A6720" s="39"/>
    </row>
    <row r="6721" spans="1:1" ht="15.75" customHeight="1" x14ac:dyDescent="0.25">
      <c r="A6721" s="39"/>
    </row>
    <row r="6722" spans="1:1" ht="15.75" customHeight="1" x14ac:dyDescent="0.25">
      <c r="A6722" s="39"/>
    </row>
    <row r="6723" spans="1:1" ht="15.75" customHeight="1" x14ac:dyDescent="0.25">
      <c r="A6723" s="39"/>
    </row>
    <row r="6724" spans="1:1" ht="15.75" customHeight="1" x14ac:dyDescent="0.25">
      <c r="A6724" s="39"/>
    </row>
    <row r="6725" spans="1:1" ht="15.75" customHeight="1" x14ac:dyDescent="0.25">
      <c r="A6725" s="39"/>
    </row>
    <row r="6726" spans="1:1" ht="15.75" customHeight="1" x14ac:dyDescent="0.25">
      <c r="A6726" s="39"/>
    </row>
    <row r="6727" spans="1:1" ht="15.75" customHeight="1" x14ac:dyDescent="0.25">
      <c r="A6727" s="39"/>
    </row>
    <row r="6728" spans="1:1" ht="15.75" customHeight="1" x14ac:dyDescent="0.25">
      <c r="A6728" s="39"/>
    </row>
    <row r="6729" spans="1:1" ht="15.75" customHeight="1" x14ac:dyDescent="0.25">
      <c r="A6729" s="39"/>
    </row>
    <row r="6730" spans="1:1" ht="15.75" customHeight="1" x14ac:dyDescent="0.25">
      <c r="A6730" s="39"/>
    </row>
    <row r="6731" spans="1:1" ht="15.75" customHeight="1" x14ac:dyDescent="0.25">
      <c r="A6731" s="39"/>
    </row>
    <row r="6732" spans="1:1" ht="15.75" customHeight="1" x14ac:dyDescent="0.25">
      <c r="A6732" s="39"/>
    </row>
    <row r="6733" spans="1:1" ht="15.75" customHeight="1" x14ac:dyDescent="0.25">
      <c r="A6733" s="39"/>
    </row>
    <row r="6734" spans="1:1" ht="15.75" customHeight="1" x14ac:dyDescent="0.25">
      <c r="A6734" s="39"/>
    </row>
    <row r="6735" spans="1:1" ht="15.75" customHeight="1" x14ac:dyDescent="0.25">
      <c r="A6735" s="39"/>
    </row>
    <row r="6736" spans="1:1" ht="15.75" customHeight="1" x14ac:dyDescent="0.25">
      <c r="A6736" s="39"/>
    </row>
    <row r="6737" spans="1:1" ht="15.75" customHeight="1" x14ac:dyDescent="0.25">
      <c r="A6737" s="39"/>
    </row>
    <row r="6738" spans="1:1" ht="15.75" customHeight="1" x14ac:dyDescent="0.25">
      <c r="A6738" s="39"/>
    </row>
    <row r="6739" spans="1:1" ht="15.75" customHeight="1" x14ac:dyDescent="0.25">
      <c r="A6739" s="39"/>
    </row>
    <row r="6740" spans="1:1" ht="15.75" customHeight="1" x14ac:dyDescent="0.25">
      <c r="A6740" s="39"/>
    </row>
    <row r="6741" spans="1:1" ht="15.75" customHeight="1" x14ac:dyDescent="0.25">
      <c r="A6741" s="39"/>
    </row>
    <row r="6742" spans="1:1" ht="15.75" customHeight="1" x14ac:dyDescent="0.25">
      <c r="A6742" s="39"/>
    </row>
    <row r="6743" spans="1:1" ht="15.75" customHeight="1" x14ac:dyDescent="0.25">
      <c r="A6743" s="39"/>
    </row>
    <row r="6744" spans="1:1" ht="15.75" customHeight="1" x14ac:dyDescent="0.25">
      <c r="A6744" s="39"/>
    </row>
    <row r="6745" spans="1:1" ht="15.75" customHeight="1" x14ac:dyDescent="0.25">
      <c r="A6745" s="39"/>
    </row>
    <row r="6746" spans="1:1" ht="15.75" customHeight="1" x14ac:dyDescent="0.25">
      <c r="A6746" s="39"/>
    </row>
    <row r="6747" spans="1:1" ht="15.75" customHeight="1" x14ac:dyDescent="0.25">
      <c r="A6747" s="39"/>
    </row>
    <row r="6748" spans="1:1" ht="15.75" customHeight="1" x14ac:dyDescent="0.25">
      <c r="A6748" s="39"/>
    </row>
    <row r="6749" spans="1:1" ht="15.75" customHeight="1" x14ac:dyDescent="0.25">
      <c r="A6749" s="39"/>
    </row>
    <row r="6750" spans="1:1" ht="15.75" customHeight="1" x14ac:dyDescent="0.25">
      <c r="A6750" s="39"/>
    </row>
    <row r="6751" spans="1:1" ht="15.75" customHeight="1" x14ac:dyDescent="0.25">
      <c r="A6751" s="39"/>
    </row>
    <row r="6752" spans="1:1" ht="15.75" customHeight="1" x14ac:dyDescent="0.25">
      <c r="A6752" s="39"/>
    </row>
    <row r="6753" spans="1:1" ht="15.75" customHeight="1" x14ac:dyDescent="0.25">
      <c r="A6753" s="39"/>
    </row>
    <row r="6754" spans="1:1" ht="15.75" customHeight="1" x14ac:dyDescent="0.25">
      <c r="A6754" s="39"/>
    </row>
    <row r="6755" spans="1:1" ht="15.75" customHeight="1" x14ac:dyDescent="0.25">
      <c r="A6755" s="39"/>
    </row>
    <row r="6756" spans="1:1" ht="15.75" customHeight="1" x14ac:dyDescent="0.25">
      <c r="A6756" s="39"/>
    </row>
    <row r="6757" spans="1:1" ht="15.75" customHeight="1" x14ac:dyDescent="0.25">
      <c r="A6757" s="39"/>
    </row>
    <row r="6758" spans="1:1" ht="15.75" customHeight="1" x14ac:dyDescent="0.25">
      <c r="A6758" s="39"/>
    </row>
    <row r="6759" spans="1:1" ht="15.75" customHeight="1" x14ac:dyDescent="0.25">
      <c r="A6759" s="39"/>
    </row>
    <row r="6760" spans="1:1" ht="15.75" customHeight="1" x14ac:dyDescent="0.25">
      <c r="A6760" s="39"/>
    </row>
    <row r="6761" spans="1:1" ht="15.75" customHeight="1" x14ac:dyDescent="0.25">
      <c r="A6761" s="39"/>
    </row>
    <row r="6762" spans="1:1" ht="15.75" customHeight="1" x14ac:dyDescent="0.25">
      <c r="A6762" s="39"/>
    </row>
    <row r="6763" spans="1:1" ht="15.75" customHeight="1" x14ac:dyDescent="0.25">
      <c r="A6763" s="39"/>
    </row>
    <row r="6764" spans="1:1" ht="15.75" customHeight="1" x14ac:dyDescent="0.25">
      <c r="A6764" s="39"/>
    </row>
    <row r="6765" spans="1:1" ht="15.75" customHeight="1" x14ac:dyDescent="0.25">
      <c r="A6765" s="39"/>
    </row>
    <row r="6766" spans="1:1" ht="15.75" customHeight="1" x14ac:dyDescent="0.25">
      <c r="A6766" s="39"/>
    </row>
    <row r="6767" spans="1:1" ht="15.75" customHeight="1" x14ac:dyDescent="0.25">
      <c r="A6767" s="39"/>
    </row>
    <row r="6768" spans="1:1" ht="15.75" customHeight="1" x14ac:dyDescent="0.25">
      <c r="A6768" s="39"/>
    </row>
    <row r="6769" spans="1:1" ht="15.75" customHeight="1" x14ac:dyDescent="0.25">
      <c r="A6769" s="39"/>
    </row>
    <row r="6770" spans="1:1" ht="15.75" customHeight="1" x14ac:dyDescent="0.25">
      <c r="A6770" s="39"/>
    </row>
    <row r="6771" spans="1:1" ht="15.75" customHeight="1" x14ac:dyDescent="0.25">
      <c r="A6771" s="39"/>
    </row>
    <row r="6772" spans="1:1" ht="15.75" customHeight="1" x14ac:dyDescent="0.25">
      <c r="A6772" s="39"/>
    </row>
    <row r="6773" spans="1:1" ht="15.75" customHeight="1" x14ac:dyDescent="0.25">
      <c r="A6773" s="39"/>
    </row>
    <row r="6774" spans="1:1" ht="15.75" customHeight="1" x14ac:dyDescent="0.25">
      <c r="A6774" s="39"/>
    </row>
    <row r="6775" spans="1:1" ht="15.75" customHeight="1" x14ac:dyDescent="0.25">
      <c r="A6775" s="39"/>
    </row>
    <row r="6776" spans="1:1" ht="15.75" customHeight="1" x14ac:dyDescent="0.25">
      <c r="A6776" s="39"/>
    </row>
    <row r="6777" spans="1:1" ht="15.75" customHeight="1" x14ac:dyDescent="0.25">
      <c r="A6777" s="39"/>
    </row>
    <row r="6778" spans="1:1" ht="15.75" customHeight="1" x14ac:dyDescent="0.25">
      <c r="A6778" s="39"/>
    </row>
    <row r="6779" spans="1:1" ht="15.75" customHeight="1" x14ac:dyDescent="0.25">
      <c r="A6779" s="39"/>
    </row>
    <row r="6780" spans="1:1" ht="15.75" customHeight="1" x14ac:dyDescent="0.25">
      <c r="A6780" s="39"/>
    </row>
    <row r="6781" spans="1:1" ht="15.75" customHeight="1" x14ac:dyDescent="0.25">
      <c r="A6781" s="39"/>
    </row>
    <row r="6782" spans="1:1" ht="15.75" customHeight="1" x14ac:dyDescent="0.25">
      <c r="A6782" s="39"/>
    </row>
    <row r="6783" spans="1:1" ht="15.75" customHeight="1" x14ac:dyDescent="0.25">
      <c r="A6783" s="39"/>
    </row>
    <row r="6784" spans="1:1" ht="15.75" customHeight="1" x14ac:dyDescent="0.25">
      <c r="A6784" s="39"/>
    </row>
    <row r="6785" spans="1:1" ht="15.75" customHeight="1" x14ac:dyDescent="0.25">
      <c r="A6785" s="39"/>
    </row>
    <row r="6786" spans="1:1" ht="15.75" customHeight="1" x14ac:dyDescent="0.25">
      <c r="A6786" s="39"/>
    </row>
    <row r="6787" spans="1:1" ht="15.75" customHeight="1" x14ac:dyDescent="0.25">
      <c r="A6787" s="39"/>
    </row>
    <row r="6788" spans="1:1" ht="15.75" customHeight="1" x14ac:dyDescent="0.25">
      <c r="A6788" s="39"/>
    </row>
    <row r="6789" spans="1:1" ht="15.75" customHeight="1" x14ac:dyDescent="0.25">
      <c r="A6789" s="39"/>
    </row>
    <row r="6790" spans="1:1" ht="15.75" customHeight="1" x14ac:dyDescent="0.25">
      <c r="A6790" s="39"/>
    </row>
    <row r="6791" spans="1:1" ht="15.75" customHeight="1" x14ac:dyDescent="0.25">
      <c r="A6791" s="39"/>
    </row>
    <row r="6792" spans="1:1" ht="15.75" customHeight="1" x14ac:dyDescent="0.25">
      <c r="A6792" s="39"/>
    </row>
    <row r="6793" spans="1:1" ht="15.75" customHeight="1" x14ac:dyDescent="0.25">
      <c r="A6793" s="39"/>
    </row>
    <row r="6794" spans="1:1" ht="15.75" customHeight="1" x14ac:dyDescent="0.25">
      <c r="A6794" s="39"/>
    </row>
    <row r="6795" spans="1:1" ht="15.75" customHeight="1" x14ac:dyDescent="0.25">
      <c r="A6795" s="39"/>
    </row>
    <row r="6796" spans="1:1" ht="15.75" customHeight="1" x14ac:dyDescent="0.25">
      <c r="A6796" s="39"/>
    </row>
    <row r="6797" spans="1:1" ht="15.75" customHeight="1" x14ac:dyDescent="0.25">
      <c r="A6797" s="39"/>
    </row>
    <row r="6798" spans="1:1" ht="15.75" customHeight="1" x14ac:dyDescent="0.25">
      <c r="A6798" s="39"/>
    </row>
    <row r="6799" spans="1:1" ht="15.75" customHeight="1" x14ac:dyDescent="0.25">
      <c r="A6799" s="39"/>
    </row>
    <row r="6800" spans="1:1" ht="15.75" customHeight="1" x14ac:dyDescent="0.25">
      <c r="A6800" s="39"/>
    </row>
    <row r="6801" spans="1:1" ht="15.75" customHeight="1" x14ac:dyDescent="0.25">
      <c r="A6801" s="39"/>
    </row>
    <row r="6802" spans="1:1" ht="15.75" customHeight="1" x14ac:dyDescent="0.25">
      <c r="A6802" s="39"/>
    </row>
    <row r="6803" spans="1:1" ht="15.75" customHeight="1" x14ac:dyDescent="0.25">
      <c r="A6803" s="39"/>
    </row>
    <row r="6804" spans="1:1" ht="15.75" customHeight="1" x14ac:dyDescent="0.25">
      <c r="A6804" s="39"/>
    </row>
    <row r="6805" spans="1:1" ht="15.75" customHeight="1" x14ac:dyDescent="0.25">
      <c r="A6805" s="39"/>
    </row>
    <row r="6806" spans="1:1" ht="15.75" customHeight="1" x14ac:dyDescent="0.25">
      <c r="A6806" s="39"/>
    </row>
    <row r="6807" spans="1:1" ht="15.75" customHeight="1" x14ac:dyDescent="0.25">
      <c r="A6807" s="39"/>
    </row>
    <row r="6808" spans="1:1" ht="15.75" customHeight="1" x14ac:dyDescent="0.25">
      <c r="A6808" s="39"/>
    </row>
    <row r="6809" spans="1:1" ht="15.75" customHeight="1" x14ac:dyDescent="0.25">
      <c r="A6809" s="39"/>
    </row>
    <row r="6810" spans="1:1" ht="15.75" customHeight="1" x14ac:dyDescent="0.25">
      <c r="A6810" s="39"/>
    </row>
    <row r="6811" spans="1:1" ht="15.75" customHeight="1" x14ac:dyDescent="0.25">
      <c r="A6811" s="39"/>
    </row>
    <row r="6812" spans="1:1" ht="15.75" customHeight="1" x14ac:dyDescent="0.25">
      <c r="A6812" s="39"/>
    </row>
    <row r="6813" spans="1:1" ht="15.75" customHeight="1" x14ac:dyDescent="0.25">
      <c r="A6813" s="39"/>
    </row>
    <row r="6814" spans="1:1" ht="15.75" customHeight="1" x14ac:dyDescent="0.25">
      <c r="A6814" s="39"/>
    </row>
    <row r="6815" spans="1:1" ht="15.75" customHeight="1" x14ac:dyDescent="0.25">
      <c r="A6815" s="39"/>
    </row>
    <row r="6816" spans="1:1" ht="15.75" customHeight="1" x14ac:dyDescent="0.25">
      <c r="A6816" s="39"/>
    </row>
    <row r="6817" spans="1:1" ht="15.75" customHeight="1" x14ac:dyDescent="0.25">
      <c r="A6817" s="39"/>
    </row>
    <row r="6818" spans="1:1" ht="15.75" customHeight="1" x14ac:dyDescent="0.25">
      <c r="A6818" s="39"/>
    </row>
    <row r="6819" spans="1:1" ht="15.75" customHeight="1" x14ac:dyDescent="0.25">
      <c r="A6819" s="39"/>
    </row>
    <row r="6820" spans="1:1" ht="15.75" customHeight="1" x14ac:dyDescent="0.25">
      <c r="A6820" s="39"/>
    </row>
    <row r="6821" spans="1:1" ht="15.75" customHeight="1" x14ac:dyDescent="0.25">
      <c r="A6821" s="39"/>
    </row>
    <row r="6822" spans="1:1" ht="15.75" customHeight="1" x14ac:dyDescent="0.25">
      <c r="A6822" s="39"/>
    </row>
    <row r="6823" spans="1:1" ht="15.75" customHeight="1" x14ac:dyDescent="0.25">
      <c r="A6823" s="39"/>
    </row>
    <row r="6824" spans="1:1" ht="15.75" customHeight="1" x14ac:dyDescent="0.25">
      <c r="A6824" s="39"/>
    </row>
    <row r="6825" spans="1:1" ht="15.75" customHeight="1" x14ac:dyDescent="0.25">
      <c r="A6825" s="39"/>
    </row>
    <row r="6826" spans="1:1" ht="15.75" customHeight="1" x14ac:dyDescent="0.25">
      <c r="A6826" s="39"/>
    </row>
    <row r="6827" spans="1:1" ht="15.75" customHeight="1" x14ac:dyDescent="0.25">
      <c r="A6827" s="39"/>
    </row>
    <row r="6828" spans="1:1" ht="15.75" customHeight="1" x14ac:dyDescent="0.25">
      <c r="A6828" s="39"/>
    </row>
    <row r="6829" spans="1:1" ht="15.75" customHeight="1" x14ac:dyDescent="0.25">
      <c r="A6829" s="39"/>
    </row>
    <row r="6830" spans="1:1" ht="15.75" customHeight="1" x14ac:dyDescent="0.25">
      <c r="A6830" s="39"/>
    </row>
    <row r="6831" spans="1:1" ht="15.75" customHeight="1" x14ac:dyDescent="0.25">
      <c r="A6831" s="39"/>
    </row>
    <row r="6832" spans="1:1" ht="15.75" customHeight="1" x14ac:dyDescent="0.25">
      <c r="A6832" s="39"/>
    </row>
    <row r="6833" spans="1:1" ht="15.75" customHeight="1" x14ac:dyDescent="0.25">
      <c r="A6833" s="39"/>
    </row>
    <row r="6834" spans="1:1" ht="15.75" customHeight="1" x14ac:dyDescent="0.25">
      <c r="A6834" s="39"/>
    </row>
    <row r="6835" spans="1:1" ht="15.75" customHeight="1" x14ac:dyDescent="0.25">
      <c r="A6835" s="39"/>
    </row>
    <row r="6836" spans="1:1" ht="15.75" customHeight="1" x14ac:dyDescent="0.25">
      <c r="A6836" s="39"/>
    </row>
    <row r="6837" spans="1:1" ht="15.75" customHeight="1" x14ac:dyDescent="0.25">
      <c r="A6837" s="39"/>
    </row>
    <row r="6838" spans="1:1" ht="15.75" customHeight="1" x14ac:dyDescent="0.25">
      <c r="A6838" s="39"/>
    </row>
    <row r="6839" spans="1:1" ht="15.75" customHeight="1" x14ac:dyDescent="0.25">
      <c r="A6839" s="39"/>
    </row>
    <row r="6840" spans="1:1" ht="15.75" customHeight="1" x14ac:dyDescent="0.25">
      <c r="A6840" s="39"/>
    </row>
    <row r="6841" spans="1:1" ht="15.75" customHeight="1" x14ac:dyDescent="0.25">
      <c r="A6841" s="39"/>
    </row>
    <row r="6842" spans="1:1" ht="15.75" customHeight="1" x14ac:dyDescent="0.25">
      <c r="A6842" s="39"/>
    </row>
    <row r="6843" spans="1:1" ht="15.75" customHeight="1" x14ac:dyDescent="0.25">
      <c r="A6843" s="39"/>
    </row>
    <row r="6844" spans="1:1" ht="15.75" customHeight="1" x14ac:dyDescent="0.25">
      <c r="A6844" s="39"/>
    </row>
    <row r="6845" spans="1:1" ht="15.75" customHeight="1" x14ac:dyDescent="0.25">
      <c r="A6845" s="39"/>
    </row>
    <row r="6846" spans="1:1" ht="15.75" customHeight="1" x14ac:dyDescent="0.25">
      <c r="A6846" s="39"/>
    </row>
    <row r="6847" spans="1:1" ht="15.75" customHeight="1" x14ac:dyDescent="0.25">
      <c r="A6847" s="39"/>
    </row>
    <row r="6848" spans="1:1" ht="15.75" customHeight="1" x14ac:dyDescent="0.25">
      <c r="A6848" s="39"/>
    </row>
    <row r="6849" spans="1:1" ht="15.75" customHeight="1" x14ac:dyDescent="0.25">
      <c r="A6849" s="39"/>
    </row>
    <row r="6850" spans="1:1" ht="15.75" customHeight="1" x14ac:dyDescent="0.25">
      <c r="A6850" s="39"/>
    </row>
    <row r="6851" spans="1:1" ht="15.75" customHeight="1" x14ac:dyDescent="0.25">
      <c r="A6851" s="39"/>
    </row>
    <row r="6852" spans="1:1" ht="15.75" customHeight="1" x14ac:dyDescent="0.25">
      <c r="A6852" s="39"/>
    </row>
    <row r="6853" spans="1:1" ht="15.75" customHeight="1" x14ac:dyDescent="0.25">
      <c r="A6853" s="39"/>
    </row>
    <row r="6854" spans="1:1" ht="15.75" customHeight="1" x14ac:dyDescent="0.25">
      <c r="A6854" s="39"/>
    </row>
    <row r="6855" spans="1:1" ht="15.75" customHeight="1" x14ac:dyDescent="0.25">
      <c r="A6855" s="39"/>
    </row>
    <row r="6856" spans="1:1" ht="15.75" customHeight="1" x14ac:dyDescent="0.25">
      <c r="A6856" s="39"/>
    </row>
    <row r="6857" spans="1:1" ht="15.75" customHeight="1" x14ac:dyDescent="0.25">
      <c r="A6857" s="39"/>
    </row>
    <row r="6858" spans="1:1" ht="15.75" customHeight="1" x14ac:dyDescent="0.25">
      <c r="A6858" s="39"/>
    </row>
    <row r="6859" spans="1:1" ht="15.75" customHeight="1" x14ac:dyDescent="0.25">
      <c r="A6859" s="39"/>
    </row>
    <row r="6860" spans="1:1" ht="15.75" customHeight="1" x14ac:dyDescent="0.25">
      <c r="A6860" s="39"/>
    </row>
    <row r="6861" spans="1:1" ht="15.75" customHeight="1" x14ac:dyDescent="0.25">
      <c r="A6861" s="39"/>
    </row>
    <row r="6862" spans="1:1" ht="15.75" customHeight="1" x14ac:dyDescent="0.25">
      <c r="A6862" s="39"/>
    </row>
    <row r="6863" spans="1:1" ht="15.75" customHeight="1" x14ac:dyDescent="0.25">
      <c r="A6863" s="39"/>
    </row>
    <row r="6864" spans="1:1" ht="15.75" customHeight="1" x14ac:dyDescent="0.25">
      <c r="A6864" s="39"/>
    </row>
    <row r="6865" spans="1:1" ht="15.75" customHeight="1" x14ac:dyDescent="0.25">
      <c r="A6865" s="39"/>
    </row>
    <row r="6866" spans="1:1" ht="15.75" customHeight="1" x14ac:dyDescent="0.25">
      <c r="A6866" s="39"/>
    </row>
    <row r="6867" spans="1:1" ht="15.75" customHeight="1" x14ac:dyDescent="0.25">
      <c r="A6867" s="39"/>
    </row>
    <row r="6868" spans="1:1" ht="15.75" customHeight="1" x14ac:dyDescent="0.25">
      <c r="A6868" s="39"/>
    </row>
    <row r="6869" spans="1:1" ht="15.75" customHeight="1" x14ac:dyDescent="0.25">
      <c r="A6869" s="39"/>
    </row>
    <row r="6870" spans="1:1" ht="15.75" customHeight="1" x14ac:dyDescent="0.25">
      <c r="A6870" s="39"/>
    </row>
    <row r="6871" spans="1:1" ht="15.75" customHeight="1" x14ac:dyDescent="0.25">
      <c r="A6871" s="39"/>
    </row>
    <row r="6872" spans="1:1" ht="15.75" customHeight="1" x14ac:dyDescent="0.25">
      <c r="A6872" s="39"/>
    </row>
    <row r="6873" spans="1:1" ht="15.75" customHeight="1" x14ac:dyDescent="0.25">
      <c r="A6873" s="39"/>
    </row>
    <row r="6874" spans="1:1" ht="15.75" customHeight="1" x14ac:dyDescent="0.25">
      <c r="A6874" s="39"/>
    </row>
    <row r="6875" spans="1:1" ht="15.75" customHeight="1" x14ac:dyDescent="0.25">
      <c r="A6875" s="39"/>
    </row>
    <row r="6876" spans="1:1" ht="15.75" customHeight="1" x14ac:dyDescent="0.25">
      <c r="A6876" s="39"/>
    </row>
    <row r="6877" spans="1:1" ht="15.75" customHeight="1" x14ac:dyDescent="0.25">
      <c r="A6877" s="39"/>
    </row>
    <row r="6878" spans="1:1" ht="15.75" customHeight="1" x14ac:dyDescent="0.25">
      <c r="A6878" s="39"/>
    </row>
    <row r="6879" spans="1:1" ht="15.75" customHeight="1" x14ac:dyDescent="0.25">
      <c r="A6879" s="39"/>
    </row>
    <row r="6880" spans="1:1" ht="15.75" customHeight="1" x14ac:dyDescent="0.25">
      <c r="A6880" s="39"/>
    </row>
    <row r="6881" spans="1:1" ht="15.75" customHeight="1" x14ac:dyDescent="0.25">
      <c r="A6881" s="39"/>
    </row>
    <row r="6882" spans="1:1" ht="15.75" customHeight="1" x14ac:dyDescent="0.25">
      <c r="A6882" s="39"/>
    </row>
    <row r="6883" spans="1:1" ht="15.75" customHeight="1" x14ac:dyDescent="0.25">
      <c r="A6883" s="39"/>
    </row>
    <row r="6884" spans="1:1" ht="15.75" customHeight="1" x14ac:dyDescent="0.25">
      <c r="A6884" s="39"/>
    </row>
    <row r="6885" spans="1:1" ht="15.75" customHeight="1" x14ac:dyDescent="0.25">
      <c r="A6885" s="39"/>
    </row>
    <row r="6886" spans="1:1" ht="15.75" customHeight="1" x14ac:dyDescent="0.25">
      <c r="A6886" s="39"/>
    </row>
    <row r="6887" spans="1:1" ht="15.75" customHeight="1" x14ac:dyDescent="0.25">
      <c r="A6887" s="39"/>
    </row>
    <row r="6888" spans="1:1" ht="15.75" customHeight="1" x14ac:dyDescent="0.25">
      <c r="A6888" s="39"/>
    </row>
    <row r="6889" spans="1:1" ht="15.75" customHeight="1" x14ac:dyDescent="0.25">
      <c r="A6889" s="39"/>
    </row>
    <row r="6890" spans="1:1" ht="15.75" customHeight="1" x14ac:dyDescent="0.25">
      <c r="A6890" s="39"/>
    </row>
    <row r="6891" spans="1:1" ht="15.75" customHeight="1" x14ac:dyDescent="0.25">
      <c r="A6891" s="39"/>
    </row>
    <row r="6892" spans="1:1" ht="15.75" customHeight="1" x14ac:dyDescent="0.25">
      <c r="A6892" s="39"/>
    </row>
    <row r="6893" spans="1:1" ht="15.75" customHeight="1" x14ac:dyDescent="0.25">
      <c r="A6893" s="39"/>
    </row>
    <row r="6894" spans="1:1" ht="15.75" customHeight="1" x14ac:dyDescent="0.25">
      <c r="A6894" s="39"/>
    </row>
    <row r="6895" spans="1:1" ht="15.75" customHeight="1" x14ac:dyDescent="0.25">
      <c r="A6895" s="39"/>
    </row>
    <row r="6896" spans="1:1" ht="15.75" customHeight="1" x14ac:dyDescent="0.25">
      <c r="A6896" s="39"/>
    </row>
    <row r="6897" spans="1:1" ht="15.75" customHeight="1" x14ac:dyDescent="0.25">
      <c r="A6897" s="39"/>
    </row>
    <row r="6898" spans="1:1" ht="15.75" customHeight="1" x14ac:dyDescent="0.25">
      <c r="A6898" s="39"/>
    </row>
    <row r="6899" spans="1:1" ht="15.75" customHeight="1" x14ac:dyDescent="0.25">
      <c r="A6899" s="39"/>
    </row>
    <row r="6900" spans="1:1" ht="15.75" customHeight="1" x14ac:dyDescent="0.25">
      <c r="A6900" s="39"/>
    </row>
    <row r="6901" spans="1:1" ht="15.75" customHeight="1" x14ac:dyDescent="0.25">
      <c r="A6901" s="39"/>
    </row>
    <row r="6902" spans="1:1" ht="15.75" customHeight="1" x14ac:dyDescent="0.25">
      <c r="A6902" s="39"/>
    </row>
    <row r="6903" spans="1:1" ht="15.75" customHeight="1" x14ac:dyDescent="0.25">
      <c r="A6903" s="39"/>
    </row>
    <row r="6904" spans="1:1" ht="15.75" customHeight="1" x14ac:dyDescent="0.25">
      <c r="A6904" s="39"/>
    </row>
    <row r="6905" spans="1:1" ht="15.75" customHeight="1" x14ac:dyDescent="0.25">
      <c r="A6905" s="39"/>
    </row>
    <row r="6906" spans="1:1" ht="15.75" customHeight="1" x14ac:dyDescent="0.25">
      <c r="A6906" s="39"/>
    </row>
    <row r="6907" spans="1:1" ht="15.75" customHeight="1" x14ac:dyDescent="0.25">
      <c r="A6907" s="39"/>
    </row>
    <row r="6908" spans="1:1" ht="15.75" customHeight="1" x14ac:dyDescent="0.25">
      <c r="A6908" s="39"/>
    </row>
    <row r="6909" spans="1:1" ht="15.75" customHeight="1" x14ac:dyDescent="0.25">
      <c r="A6909" s="39"/>
    </row>
    <row r="6910" spans="1:1" ht="15.75" customHeight="1" x14ac:dyDescent="0.25">
      <c r="A6910" s="39"/>
    </row>
    <row r="6911" spans="1:1" ht="15.75" customHeight="1" x14ac:dyDescent="0.25">
      <c r="A6911" s="39"/>
    </row>
    <row r="6912" spans="1:1" ht="15.75" customHeight="1" x14ac:dyDescent="0.25">
      <c r="A6912" s="39"/>
    </row>
    <row r="6913" spans="1:1" ht="15.75" customHeight="1" x14ac:dyDescent="0.25">
      <c r="A6913" s="39"/>
    </row>
    <row r="6914" spans="1:1" ht="15.75" customHeight="1" x14ac:dyDescent="0.25">
      <c r="A6914" s="39"/>
    </row>
    <row r="6915" spans="1:1" ht="15.75" customHeight="1" x14ac:dyDescent="0.25">
      <c r="A6915" s="39"/>
    </row>
    <row r="6916" spans="1:1" ht="15.75" customHeight="1" x14ac:dyDescent="0.25">
      <c r="A6916" s="39"/>
    </row>
    <row r="6917" spans="1:1" ht="15.75" customHeight="1" x14ac:dyDescent="0.25">
      <c r="A6917" s="39"/>
    </row>
    <row r="6918" spans="1:1" ht="15.75" customHeight="1" x14ac:dyDescent="0.25">
      <c r="A6918" s="39"/>
    </row>
    <row r="6919" spans="1:1" ht="15.75" customHeight="1" x14ac:dyDescent="0.25">
      <c r="A6919" s="39"/>
    </row>
    <row r="6920" spans="1:1" ht="15.75" customHeight="1" x14ac:dyDescent="0.25">
      <c r="A6920" s="39"/>
    </row>
    <row r="6921" spans="1:1" ht="15.75" customHeight="1" x14ac:dyDescent="0.25">
      <c r="A6921" s="39"/>
    </row>
    <row r="6922" spans="1:1" ht="15.75" customHeight="1" x14ac:dyDescent="0.25">
      <c r="A6922" s="39"/>
    </row>
    <row r="6923" spans="1:1" ht="15.75" customHeight="1" x14ac:dyDescent="0.25">
      <c r="A6923" s="39"/>
    </row>
    <row r="6924" spans="1:1" ht="15.75" customHeight="1" x14ac:dyDescent="0.25">
      <c r="A6924" s="39"/>
    </row>
    <row r="6925" spans="1:1" ht="15.75" customHeight="1" x14ac:dyDescent="0.25">
      <c r="A6925" s="39"/>
    </row>
    <row r="6926" spans="1:1" ht="15.75" customHeight="1" x14ac:dyDescent="0.25">
      <c r="A6926" s="39"/>
    </row>
    <row r="6927" spans="1:1" ht="15.75" customHeight="1" x14ac:dyDescent="0.25">
      <c r="A6927" s="39"/>
    </row>
    <row r="6928" spans="1:1" ht="15.75" customHeight="1" x14ac:dyDescent="0.25">
      <c r="A6928" s="39"/>
    </row>
    <row r="6929" spans="1:1" ht="15.75" customHeight="1" x14ac:dyDescent="0.25">
      <c r="A6929" s="39"/>
    </row>
    <row r="6930" spans="1:1" ht="15.75" customHeight="1" x14ac:dyDescent="0.25">
      <c r="A6930" s="39"/>
    </row>
    <row r="6931" spans="1:1" ht="15.75" customHeight="1" x14ac:dyDescent="0.25">
      <c r="A6931" s="39"/>
    </row>
    <row r="6932" spans="1:1" ht="15.75" customHeight="1" x14ac:dyDescent="0.25">
      <c r="A6932" s="39"/>
    </row>
    <row r="6933" spans="1:1" ht="15.75" customHeight="1" x14ac:dyDescent="0.25">
      <c r="A6933" s="39"/>
    </row>
    <row r="6934" spans="1:1" ht="15.75" customHeight="1" x14ac:dyDescent="0.25">
      <c r="A6934" s="39"/>
    </row>
    <row r="6935" spans="1:1" ht="15.75" customHeight="1" x14ac:dyDescent="0.25">
      <c r="A6935" s="39"/>
    </row>
    <row r="6936" spans="1:1" ht="15.75" customHeight="1" x14ac:dyDescent="0.25">
      <c r="A6936" s="39"/>
    </row>
    <row r="6937" spans="1:1" ht="15.75" customHeight="1" x14ac:dyDescent="0.25">
      <c r="A6937" s="39"/>
    </row>
    <row r="6938" spans="1:1" ht="15.75" customHeight="1" x14ac:dyDescent="0.25">
      <c r="A6938" s="39"/>
    </row>
    <row r="6939" spans="1:1" ht="15.75" customHeight="1" x14ac:dyDescent="0.25">
      <c r="A6939" s="39"/>
    </row>
    <row r="6940" spans="1:1" ht="15.75" customHeight="1" x14ac:dyDescent="0.25">
      <c r="A6940" s="39"/>
    </row>
    <row r="6941" spans="1:1" ht="15.75" customHeight="1" x14ac:dyDescent="0.25">
      <c r="A6941" s="39"/>
    </row>
    <row r="6942" spans="1:1" ht="15.75" customHeight="1" x14ac:dyDescent="0.25">
      <c r="A6942" s="39"/>
    </row>
    <row r="6943" spans="1:1" ht="15.75" customHeight="1" x14ac:dyDescent="0.25">
      <c r="A6943" s="39"/>
    </row>
    <row r="6944" spans="1:1" ht="15.75" customHeight="1" x14ac:dyDescent="0.25">
      <c r="A6944" s="39"/>
    </row>
    <row r="6945" spans="1:1" ht="15.75" customHeight="1" x14ac:dyDescent="0.25">
      <c r="A6945" s="39"/>
    </row>
    <row r="6946" spans="1:1" ht="15.75" customHeight="1" x14ac:dyDescent="0.25">
      <c r="A6946" s="39"/>
    </row>
    <row r="6947" spans="1:1" ht="15.75" customHeight="1" x14ac:dyDescent="0.25">
      <c r="A6947" s="39"/>
    </row>
    <row r="6948" spans="1:1" ht="15.75" customHeight="1" x14ac:dyDescent="0.25">
      <c r="A6948" s="39"/>
    </row>
    <row r="6949" spans="1:1" ht="15.75" customHeight="1" x14ac:dyDescent="0.25">
      <c r="A6949" s="39"/>
    </row>
    <row r="6950" spans="1:1" ht="15.75" customHeight="1" x14ac:dyDescent="0.25">
      <c r="A6950" s="39"/>
    </row>
    <row r="6951" spans="1:1" ht="15.75" customHeight="1" x14ac:dyDescent="0.25">
      <c r="A6951" s="39"/>
    </row>
    <row r="6952" spans="1:1" ht="15.75" customHeight="1" x14ac:dyDescent="0.25">
      <c r="A6952" s="39"/>
    </row>
    <row r="6953" spans="1:1" ht="15.75" customHeight="1" x14ac:dyDescent="0.25">
      <c r="A6953" s="39"/>
    </row>
    <row r="6954" spans="1:1" ht="15.75" customHeight="1" x14ac:dyDescent="0.25">
      <c r="A6954" s="39"/>
    </row>
    <row r="6955" spans="1:1" ht="15.75" customHeight="1" x14ac:dyDescent="0.25">
      <c r="A6955" s="39"/>
    </row>
    <row r="6956" spans="1:1" ht="15.75" customHeight="1" x14ac:dyDescent="0.25">
      <c r="A6956" s="39"/>
    </row>
    <row r="6957" spans="1:1" ht="15.75" customHeight="1" x14ac:dyDescent="0.25">
      <c r="A6957" s="39"/>
    </row>
    <row r="6958" spans="1:1" ht="15.75" customHeight="1" x14ac:dyDescent="0.25">
      <c r="A6958" s="39"/>
    </row>
    <row r="6959" spans="1:1" ht="15.75" customHeight="1" x14ac:dyDescent="0.25">
      <c r="A6959" s="39"/>
    </row>
    <row r="6960" spans="1:1" ht="15.75" customHeight="1" x14ac:dyDescent="0.25">
      <c r="A6960" s="39"/>
    </row>
    <row r="6961" spans="1:1" ht="15.75" customHeight="1" x14ac:dyDescent="0.25">
      <c r="A6961" s="39"/>
    </row>
    <row r="6962" spans="1:1" ht="15.75" customHeight="1" x14ac:dyDescent="0.25">
      <c r="A6962" s="39"/>
    </row>
    <row r="6963" spans="1:1" ht="15.75" customHeight="1" x14ac:dyDescent="0.25">
      <c r="A6963" s="39"/>
    </row>
    <row r="6964" spans="1:1" ht="15.75" customHeight="1" x14ac:dyDescent="0.25">
      <c r="A6964" s="39"/>
    </row>
    <row r="6965" spans="1:1" ht="15.75" customHeight="1" x14ac:dyDescent="0.25">
      <c r="A6965" s="39"/>
    </row>
    <row r="6966" spans="1:1" ht="15.75" customHeight="1" x14ac:dyDescent="0.25">
      <c r="A6966" s="39"/>
    </row>
    <row r="6967" spans="1:1" ht="15.75" customHeight="1" x14ac:dyDescent="0.25">
      <c r="A6967" s="39"/>
    </row>
    <row r="6968" spans="1:1" ht="15.75" customHeight="1" x14ac:dyDescent="0.25">
      <c r="A6968" s="39"/>
    </row>
    <row r="6969" spans="1:1" ht="15.75" customHeight="1" x14ac:dyDescent="0.25">
      <c r="A6969" s="39"/>
    </row>
    <row r="6970" spans="1:1" ht="15.75" customHeight="1" x14ac:dyDescent="0.25">
      <c r="A6970" s="39"/>
    </row>
    <row r="6971" spans="1:1" ht="15.75" customHeight="1" x14ac:dyDescent="0.25">
      <c r="A6971" s="39"/>
    </row>
    <row r="6972" spans="1:1" ht="15.75" customHeight="1" x14ac:dyDescent="0.25">
      <c r="A6972" s="39"/>
    </row>
    <row r="6973" spans="1:1" ht="15.75" customHeight="1" x14ac:dyDescent="0.25">
      <c r="A6973" s="39"/>
    </row>
    <row r="6974" spans="1:1" ht="15.75" customHeight="1" x14ac:dyDescent="0.25">
      <c r="A6974" s="39"/>
    </row>
    <row r="6975" spans="1:1" ht="15.75" customHeight="1" x14ac:dyDescent="0.25">
      <c r="A6975" s="39"/>
    </row>
    <row r="6976" spans="1:1" ht="15.75" customHeight="1" x14ac:dyDescent="0.25">
      <c r="A6976" s="39"/>
    </row>
    <row r="6977" spans="1:1" ht="15.75" customHeight="1" x14ac:dyDescent="0.25">
      <c r="A6977" s="39"/>
    </row>
    <row r="6978" spans="1:1" ht="15.75" customHeight="1" x14ac:dyDescent="0.25">
      <c r="A6978" s="39"/>
    </row>
    <row r="6979" spans="1:1" ht="15.75" customHeight="1" x14ac:dyDescent="0.25">
      <c r="A6979" s="39"/>
    </row>
    <row r="6980" spans="1:1" ht="15.75" customHeight="1" x14ac:dyDescent="0.25">
      <c r="A6980" s="39"/>
    </row>
    <row r="6981" spans="1:1" ht="15.75" customHeight="1" x14ac:dyDescent="0.25">
      <c r="A6981" s="39"/>
    </row>
    <row r="6982" spans="1:1" ht="15.75" customHeight="1" x14ac:dyDescent="0.25">
      <c r="A6982" s="39"/>
    </row>
    <row r="6983" spans="1:1" ht="15.75" customHeight="1" x14ac:dyDescent="0.25">
      <c r="A6983" s="39"/>
    </row>
    <row r="6984" spans="1:1" ht="15.75" customHeight="1" x14ac:dyDescent="0.25">
      <c r="A6984" s="39"/>
    </row>
    <row r="6985" spans="1:1" ht="15.75" customHeight="1" x14ac:dyDescent="0.25">
      <c r="A6985" s="39"/>
    </row>
    <row r="6986" spans="1:1" ht="15.75" customHeight="1" x14ac:dyDescent="0.25">
      <c r="A6986" s="39"/>
    </row>
    <row r="6987" spans="1:1" ht="15.75" customHeight="1" x14ac:dyDescent="0.25">
      <c r="A6987" s="39"/>
    </row>
    <row r="6988" spans="1:1" ht="15.75" customHeight="1" x14ac:dyDescent="0.25">
      <c r="A6988" s="39"/>
    </row>
    <row r="6989" spans="1:1" ht="15.75" customHeight="1" x14ac:dyDescent="0.25">
      <c r="A6989" s="39"/>
    </row>
    <row r="6990" spans="1:1" ht="15.75" customHeight="1" x14ac:dyDescent="0.25">
      <c r="A6990" s="39"/>
    </row>
    <row r="6991" spans="1:1" ht="15.75" customHeight="1" x14ac:dyDescent="0.25">
      <c r="A6991" s="39"/>
    </row>
    <row r="6992" spans="1:1" ht="15.75" customHeight="1" x14ac:dyDescent="0.25">
      <c r="A6992" s="39"/>
    </row>
    <row r="6993" spans="1:1" ht="15.75" customHeight="1" x14ac:dyDescent="0.25">
      <c r="A6993" s="39"/>
    </row>
    <row r="6994" spans="1:1" ht="15.75" customHeight="1" x14ac:dyDescent="0.25">
      <c r="A6994" s="39"/>
    </row>
    <row r="6995" spans="1:1" ht="15.75" customHeight="1" x14ac:dyDescent="0.25">
      <c r="A6995" s="39"/>
    </row>
    <row r="6996" spans="1:1" ht="15.75" customHeight="1" x14ac:dyDescent="0.25">
      <c r="A6996" s="39"/>
    </row>
    <row r="6997" spans="1:1" ht="15.75" customHeight="1" x14ac:dyDescent="0.25">
      <c r="A6997" s="39"/>
    </row>
    <row r="6998" spans="1:1" ht="15.75" customHeight="1" x14ac:dyDescent="0.25">
      <c r="A6998" s="39"/>
    </row>
    <row r="6999" spans="1:1" ht="15.75" customHeight="1" x14ac:dyDescent="0.25">
      <c r="A6999" s="39"/>
    </row>
    <row r="7000" spans="1:1" ht="15.75" customHeight="1" x14ac:dyDescent="0.25">
      <c r="A7000" s="39"/>
    </row>
    <row r="7001" spans="1:1" ht="15.75" customHeight="1" x14ac:dyDescent="0.25">
      <c r="A7001" s="39"/>
    </row>
    <row r="7002" spans="1:1" ht="15.75" customHeight="1" x14ac:dyDescent="0.25">
      <c r="A7002" s="39"/>
    </row>
    <row r="7003" spans="1:1" ht="15.75" customHeight="1" x14ac:dyDescent="0.25">
      <c r="A7003" s="39"/>
    </row>
    <row r="7004" spans="1:1" ht="15.75" customHeight="1" x14ac:dyDescent="0.25">
      <c r="A7004" s="39"/>
    </row>
    <row r="7005" spans="1:1" ht="15.75" customHeight="1" x14ac:dyDescent="0.25">
      <c r="A7005" s="39"/>
    </row>
    <row r="7006" spans="1:1" ht="15.75" customHeight="1" x14ac:dyDescent="0.25">
      <c r="A7006" s="39"/>
    </row>
    <row r="7007" spans="1:1" ht="15.75" customHeight="1" x14ac:dyDescent="0.25">
      <c r="A7007" s="39"/>
    </row>
    <row r="7008" spans="1:1" ht="15.75" customHeight="1" x14ac:dyDescent="0.25">
      <c r="A7008" s="39"/>
    </row>
    <row r="7009" spans="1:1" ht="15.75" customHeight="1" x14ac:dyDescent="0.25">
      <c r="A7009" s="39"/>
    </row>
    <row r="7010" spans="1:1" ht="15.75" customHeight="1" x14ac:dyDescent="0.25">
      <c r="A7010" s="39"/>
    </row>
    <row r="7011" spans="1:1" ht="15.75" customHeight="1" x14ac:dyDescent="0.25">
      <c r="A7011" s="39"/>
    </row>
    <row r="7012" spans="1:1" ht="15.75" customHeight="1" x14ac:dyDescent="0.25">
      <c r="A7012" s="39"/>
    </row>
    <row r="7013" spans="1:1" ht="15.75" customHeight="1" x14ac:dyDescent="0.25">
      <c r="A7013" s="39"/>
    </row>
    <row r="7014" spans="1:1" ht="15.75" customHeight="1" x14ac:dyDescent="0.25">
      <c r="A7014" s="39"/>
    </row>
    <row r="7015" spans="1:1" ht="15.75" customHeight="1" x14ac:dyDescent="0.25">
      <c r="A7015" s="39"/>
    </row>
    <row r="7016" spans="1:1" ht="15.75" customHeight="1" x14ac:dyDescent="0.25">
      <c r="A7016" s="39"/>
    </row>
    <row r="7017" spans="1:1" ht="15.75" customHeight="1" x14ac:dyDescent="0.25">
      <c r="A7017" s="39"/>
    </row>
    <row r="7018" spans="1:1" ht="15.75" customHeight="1" x14ac:dyDescent="0.25">
      <c r="A7018" s="39"/>
    </row>
    <row r="7019" spans="1:1" ht="15.75" customHeight="1" x14ac:dyDescent="0.25">
      <c r="A7019" s="39"/>
    </row>
    <row r="7020" spans="1:1" ht="15.75" customHeight="1" x14ac:dyDescent="0.25">
      <c r="A7020" s="39"/>
    </row>
    <row r="7021" spans="1:1" ht="15.75" customHeight="1" x14ac:dyDescent="0.25">
      <c r="A7021" s="39"/>
    </row>
    <row r="7022" spans="1:1" ht="15.75" customHeight="1" x14ac:dyDescent="0.25">
      <c r="A7022" s="39"/>
    </row>
    <row r="7023" spans="1:1" ht="15.75" customHeight="1" x14ac:dyDescent="0.25">
      <c r="A7023" s="39"/>
    </row>
    <row r="7024" spans="1:1" ht="15.75" customHeight="1" x14ac:dyDescent="0.25">
      <c r="A7024" s="39"/>
    </row>
    <row r="7025" spans="1:1" ht="15.75" customHeight="1" x14ac:dyDescent="0.25">
      <c r="A7025" s="39"/>
    </row>
    <row r="7026" spans="1:1" ht="15.75" customHeight="1" x14ac:dyDescent="0.25">
      <c r="A7026" s="39"/>
    </row>
    <row r="7027" spans="1:1" ht="15.75" customHeight="1" x14ac:dyDescent="0.25">
      <c r="A7027" s="39"/>
    </row>
    <row r="7028" spans="1:1" ht="15.75" customHeight="1" x14ac:dyDescent="0.25">
      <c r="A7028" s="39"/>
    </row>
    <row r="7029" spans="1:1" ht="15.75" customHeight="1" x14ac:dyDescent="0.25">
      <c r="A7029" s="39"/>
    </row>
    <row r="7030" spans="1:1" ht="15.75" customHeight="1" x14ac:dyDescent="0.25">
      <c r="A7030" s="39"/>
    </row>
    <row r="7031" spans="1:1" ht="15.75" customHeight="1" x14ac:dyDescent="0.25">
      <c r="A7031" s="39"/>
    </row>
    <row r="7032" spans="1:1" ht="15.75" customHeight="1" x14ac:dyDescent="0.25">
      <c r="A7032" s="39"/>
    </row>
    <row r="7033" spans="1:1" ht="15.75" customHeight="1" x14ac:dyDescent="0.25">
      <c r="A7033" s="39"/>
    </row>
    <row r="7034" spans="1:1" ht="15.75" customHeight="1" x14ac:dyDescent="0.25">
      <c r="A7034" s="39"/>
    </row>
    <row r="7035" spans="1:1" ht="15.75" customHeight="1" x14ac:dyDescent="0.25">
      <c r="A7035" s="39"/>
    </row>
    <row r="7036" spans="1:1" ht="15.75" customHeight="1" x14ac:dyDescent="0.25">
      <c r="A7036" s="39"/>
    </row>
    <row r="7037" spans="1:1" ht="15.75" customHeight="1" x14ac:dyDescent="0.25">
      <c r="A7037" s="39"/>
    </row>
    <row r="7038" spans="1:1" ht="15.75" customHeight="1" x14ac:dyDescent="0.25">
      <c r="A7038" s="39"/>
    </row>
    <row r="7039" spans="1:1" ht="15.75" customHeight="1" x14ac:dyDescent="0.25">
      <c r="A7039" s="39"/>
    </row>
    <row r="7040" spans="1:1" ht="15.75" customHeight="1" x14ac:dyDescent="0.25">
      <c r="A7040" s="39"/>
    </row>
    <row r="7041" spans="1:1" ht="15.75" customHeight="1" x14ac:dyDescent="0.25">
      <c r="A7041" s="39"/>
    </row>
    <row r="7042" spans="1:1" ht="15.75" customHeight="1" x14ac:dyDescent="0.25">
      <c r="A7042" s="39"/>
    </row>
    <row r="7043" spans="1:1" ht="15.75" customHeight="1" x14ac:dyDescent="0.25">
      <c r="A7043" s="39"/>
    </row>
    <row r="7044" spans="1:1" ht="15.75" customHeight="1" x14ac:dyDescent="0.25">
      <c r="A7044" s="39"/>
    </row>
    <row r="7045" spans="1:1" ht="15.75" customHeight="1" x14ac:dyDescent="0.25">
      <c r="A7045" s="39"/>
    </row>
    <row r="7046" spans="1:1" ht="15.75" customHeight="1" x14ac:dyDescent="0.25">
      <c r="A7046" s="39"/>
    </row>
    <row r="7047" spans="1:1" ht="15.75" customHeight="1" x14ac:dyDescent="0.25">
      <c r="A7047" s="39"/>
    </row>
    <row r="7048" spans="1:1" ht="15.75" customHeight="1" x14ac:dyDescent="0.25">
      <c r="A7048" s="39"/>
    </row>
    <row r="7049" spans="1:1" ht="15.75" customHeight="1" x14ac:dyDescent="0.25">
      <c r="A7049" s="39"/>
    </row>
    <row r="7050" spans="1:1" ht="15.75" customHeight="1" x14ac:dyDescent="0.25">
      <c r="A7050" s="39"/>
    </row>
    <row r="7051" spans="1:1" ht="15.75" customHeight="1" x14ac:dyDescent="0.25">
      <c r="A7051" s="39"/>
    </row>
    <row r="7052" spans="1:1" ht="15.75" customHeight="1" x14ac:dyDescent="0.25">
      <c r="A7052" s="39"/>
    </row>
    <row r="7053" spans="1:1" ht="15.75" customHeight="1" x14ac:dyDescent="0.25">
      <c r="A7053" s="39"/>
    </row>
    <row r="7054" spans="1:1" ht="15.75" customHeight="1" x14ac:dyDescent="0.25">
      <c r="A7054" s="39"/>
    </row>
    <row r="7055" spans="1:1" ht="15.75" customHeight="1" x14ac:dyDescent="0.25">
      <c r="A7055" s="39"/>
    </row>
    <row r="7056" spans="1:1" ht="15.75" customHeight="1" x14ac:dyDescent="0.25">
      <c r="A7056" s="39"/>
    </row>
    <row r="7057" spans="1:1" ht="15.75" customHeight="1" x14ac:dyDescent="0.25">
      <c r="A7057" s="39"/>
    </row>
    <row r="7058" spans="1:1" ht="15.75" customHeight="1" x14ac:dyDescent="0.25">
      <c r="A7058" s="39"/>
    </row>
    <row r="7059" spans="1:1" ht="15.75" customHeight="1" x14ac:dyDescent="0.25">
      <c r="A7059" s="39"/>
    </row>
    <row r="7060" spans="1:1" ht="15.75" customHeight="1" x14ac:dyDescent="0.25">
      <c r="A7060" s="39"/>
    </row>
    <row r="7061" spans="1:1" ht="15.75" customHeight="1" x14ac:dyDescent="0.25">
      <c r="A7061" s="39"/>
    </row>
    <row r="7062" spans="1:1" ht="15.75" customHeight="1" x14ac:dyDescent="0.25">
      <c r="A7062" s="39"/>
    </row>
    <row r="7063" spans="1:1" ht="15.75" customHeight="1" x14ac:dyDescent="0.25">
      <c r="A7063" s="39"/>
    </row>
    <row r="7064" spans="1:1" ht="15.75" customHeight="1" x14ac:dyDescent="0.25">
      <c r="A7064" s="39"/>
    </row>
    <row r="7065" spans="1:1" ht="15.75" customHeight="1" x14ac:dyDescent="0.25">
      <c r="A7065" s="39"/>
    </row>
    <row r="7066" spans="1:1" ht="15.75" customHeight="1" x14ac:dyDescent="0.25">
      <c r="A7066" s="39"/>
    </row>
    <row r="7067" spans="1:1" ht="15.75" customHeight="1" x14ac:dyDescent="0.25">
      <c r="A7067" s="39"/>
    </row>
    <row r="7068" spans="1:1" ht="15.75" customHeight="1" x14ac:dyDescent="0.25">
      <c r="A7068" s="39"/>
    </row>
    <row r="7069" spans="1:1" ht="15.75" customHeight="1" x14ac:dyDescent="0.25">
      <c r="A7069" s="39"/>
    </row>
    <row r="7070" spans="1:1" ht="15.75" customHeight="1" x14ac:dyDescent="0.25">
      <c r="A7070" s="39"/>
    </row>
    <row r="7071" spans="1:1" ht="15.75" customHeight="1" x14ac:dyDescent="0.25">
      <c r="A7071" s="39"/>
    </row>
    <row r="7072" spans="1:1" ht="15.75" customHeight="1" x14ac:dyDescent="0.25">
      <c r="A7072" s="39"/>
    </row>
    <row r="7073" spans="1:1" ht="15.75" customHeight="1" x14ac:dyDescent="0.25">
      <c r="A7073" s="39"/>
    </row>
    <row r="7074" spans="1:1" ht="15.75" customHeight="1" x14ac:dyDescent="0.25">
      <c r="A7074" s="39"/>
    </row>
    <row r="7075" spans="1:1" ht="15.75" customHeight="1" x14ac:dyDescent="0.25">
      <c r="A7075" s="39"/>
    </row>
    <row r="7076" spans="1:1" ht="15.75" customHeight="1" x14ac:dyDescent="0.25">
      <c r="A7076" s="39"/>
    </row>
    <row r="7077" spans="1:1" ht="15.75" customHeight="1" x14ac:dyDescent="0.25">
      <c r="A7077" s="39"/>
    </row>
    <row r="7078" spans="1:1" ht="15.75" customHeight="1" x14ac:dyDescent="0.25">
      <c r="A7078" s="39"/>
    </row>
    <row r="7079" spans="1:1" ht="15.75" customHeight="1" x14ac:dyDescent="0.25">
      <c r="A7079" s="39"/>
    </row>
    <row r="7080" spans="1:1" ht="15.75" customHeight="1" x14ac:dyDescent="0.25">
      <c r="A7080" s="39"/>
    </row>
    <row r="7081" spans="1:1" ht="15.75" customHeight="1" x14ac:dyDescent="0.25">
      <c r="A7081" s="39"/>
    </row>
    <row r="7082" spans="1:1" ht="15.75" customHeight="1" x14ac:dyDescent="0.25">
      <c r="A7082" s="39"/>
    </row>
    <row r="7083" spans="1:1" ht="15.75" customHeight="1" x14ac:dyDescent="0.25">
      <c r="A7083" s="39"/>
    </row>
    <row r="7084" spans="1:1" ht="15.75" customHeight="1" x14ac:dyDescent="0.25">
      <c r="A7084" s="39"/>
    </row>
    <row r="7085" spans="1:1" ht="15.75" customHeight="1" x14ac:dyDescent="0.25">
      <c r="A7085" s="39"/>
    </row>
    <row r="7086" spans="1:1" ht="15.75" customHeight="1" x14ac:dyDescent="0.25">
      <c r="A7086" s="39"/>
    </row>
    <row r="7087" spans="1:1" ht="15.75" customHeight="1" x14ac:dyDescent="0.25">
      <c r="A7087" s="39"/>
    </row>
    <row r="7088" spans="1:1" ht="15.75" customHeight="1" x14ac:dyDescent="0.25">
      <c r="A7088" s="39"/>
    </row>
    <row r="7089" spans="1:1" ht="15.75" customHeight="1" x14ac:dyDescent="0.25">
      <c r="A7089" s="39"/>
    </row>
    <row r="7090" spans="1:1" ht="15.75" customHeight="1" x14ac:dyDescent="0.25">
      <c r="A7090" s="39"/>
    </row>
    <row r="7091" spans="1:1" ht="15.75" customHeight="1" x14ac:dyDescent="0.25">
      <c r="A7091" s="39"/>
    </row>
    <row r="7092" spans="1:1" ht="15.75" customHeight="1" x14ac:dyDescent="0.25">
      <c r="A7092" s="39"/>
    </row>
    <row r="7093" spans="1:1" ht="15.75" customHeight="1" x14ac:dyDescent="0.25">
      <c r="A7093" s="39"/>
    </row>
    <row r="7094" spans="1:1" ht="15.75" customHeight="1" x14ac:dyDescent="0.25">
      <c r="A7094" s="39"/>
    </row>
    <row r="7095" spans="1:1" ht="15.75" customHeight="1" x14ac:dyDescent="0.25">
      <c r="A7095" s="39"/>
    </row>
    <row r="7096" spans="1:1" ht="15.75" customHeight="1" x14ac:dyDescent="0.25">
      <c r="A7096" s="39"/>
    </row>
    <row r="7097" spans="1:1" ht="15.75" customHeight="1" x14ac:dyDescent="0.25">
      <c r="A7097" s="39"/>
    </row>
    <row r="7098" spans="1:1" ht="15.75" customHeight="1" x14ac:dyDescent="0.25">
      <c r="A7098" s="39"/>
    </row>
    <row r="7099" spans="1:1" ht="15.75" customHeight="1" x14ac:dyDescent="0.25">
      <c r="A7099" s="39"/>
    </row>
    <row r="7100" spans="1:1" ht="15.75" customHeight="1" x14ac:dyDescent="0.25">
      <c r="A7100" s="39"/>
    </row>
    <row r="7101" spans="1:1" ht="15.75" customHeight="1" x14ac:dyDescent="0.25">
      <c r="A7101" s="39"/>
    </row>
    <row r="7102" spans="1:1" ht="15.75" customHeight="1" x14ac:dyDescent="0.25">
      <c r="A7102" s="39"/>
    </row>
    <row r="7103" spans="1:1" ht="15.75" customHeight="1" x14ac:dyDescent="0.25">
      <c r="A7103" s="39"/>
    </row>
    <row r="7104" spans="1:1" ht="15.75" customHeight="1" x14ac:dyDescent="0.25">
      <c r="A7104" s="39"/>
    </row>
    <row r="7105" spans="1:1" ht="15.75" customHeight="1" x14ac:dyDescent="0.25">
      <c r="A7105" s="39"/>
    </row>
    <row r="7106" spans="1:1" ht="15.75" customHeight="1" x14ac:dyDescent="0.25">
      <c r="A7106" s="39"/>
    </row>
    <row r="7107" spans="1:1" ht="15.75" customHeight="1" x14ac:dyDescent="0.25">
      <c r="A7107" s="39"/>
    </row>
    <row r="7108" spans="1:1" ht="15.75" customHeight="1" x14ac:dyDescent="0.25">
      <c r="A7108" s="39"/>
    </row>
    <row r="7109" spans="1:1" ht="15.75" customHeight="1" x14ac:dyDescent="0.25">
      <c r="A7109" s="39"/>
    </row>
    <row r="7110" spans="1:1" ht="15.75" customHeight="1" x14ac:dyDescent="0.25">
      <c r="A7110" s="39"/>
    </row>
    <row r="7111" spans="1:1" ht="15.75" customHeight="1" x14ac:dyDescent="0.25">
      <c r="A7111" s="39"/>
    </row>
    <row r="7112" spans="1:1" ht="15.75" customHeight="1" x14ac:dyDescent="0.25">
      <c r="A7112" s="39"/>
    </row>
    <row r="7113" spans="1:1" ht="15.75" customHeight="1" x14ac:dyDescent="0.25">
      <c r="A7113" s="39"/>
    </row>
    <row r="7114" spans="1:1" ht="15.75" customHeight="1" x14ac:dyDescent="0.25">
      <c r="A7114" s="39"/>
    </row>
    <row r="7115" spans="1:1" ht="15.75" customHeight="1" x14ac:dyDescent="0.25">
      <c r="A7115" s="39"/>
    </row>
    <row r="7116" spans="1:1" ht="15.75" customHeight="1" x14ac:dyDescent="0.25">
      <c r="A7116" s="39"/>
    </row>
    <row r="7117" spans="1:1" ht="15.75" customHeight="1" x14ac:dyDescent="0.25">
      <c r="A7117" s="39"/>
    </row>
    <row r="7118" spans="1:1" ht="15.75" customHeight="1" x14ac:dyDescent="0.25">
      <c r="A7118" s="39"/>
    </row>
    <row r="7119" spans="1:1" ht="15.75" customHeight="1" x14ac:dyDescent="0.25">
      <c r="A7119" s="39"/>
    </row>
    <row r="7120" spans="1:1" ht="15.75" customHeight="1" x14ac:dyDescent="0.25">
      <c r="A7120" s="39"/>
    </row>
    <row r="7121" spans="1:1" ht="15.75" customHeight="1" x14ac:dyDescent="0.25">
      <c r="A7121" s="39"/>
    </row>
    <row r="7122" spans="1:1" ht="15.75" customHeight="1" x14ac:dyDescent="0.25">
      <c r="A7122" s="39"/>
    </row>
    <row r="7123" spans="1:1" ht="15.75" customHeight="1" x14ac:dyDescent="0.25">
      <c r="A7123" s="39"/>
    </row>
    <row r="7124" spans="1:1" ht="15.75" customHeight="1" x14ac:dyDescent="0.25">
      <c r="A7124" s="39"/>
    </row>
    <row r="7125" spans="1:1" ht="15.75" customHeight="1" x14ac:dyDescent="0.25">
      <c r="A7125" s="39"/>
    </row>
    <row r="7126" spans="1:1" ht="15.75" customHeight="1" x14ac:dyDescent="0.25">
      <c r="A7126" s="39"/>
    </row>
    <row r="7127" spans="1:1" ht="15.75" customHeight="1" x14ac:dyDescent="0.25">
      <c r="A7127" s="39"/>
    </row>
    <row r="7128" spans="1:1" ht="15.75" customHeight="1" x14ac:dyDescent="0.25">
      <c r="A7128" s="39"/>
    </row>
    <row r="7129" spans="1:1" ht="15.75" customHeight="1" x14ac:dyDescent="0.25">
      <c r="A7129" s="39"/>
    </row>
    <row r="7130" spans="1:1" ht="15.75" customHeight="1" x14ac:dyDescent="0.25">
      <c r="A7130" s="39"/>
    </row>
    <row r="7131" spans="1:1" ht="15.75" customHeight="1" x14ac:dyDescent="0.25">
      <c r="A7131" s="39"/>
    </row>
    <row r="7132" spans="1:1" ht="15.75" customHeight="1" x14ac:dyDescent="0.25">
      <c r="A7132" s="39"/>
    </row>
    <row r="7133" spans="1:1" ht="15.75" customHeight="1" x14ac:dyDescent="0.25">
      <c r="A7133" s="39"/>
    </row>
    <row r="7134" spans="1:1" ht="15.75" customHeight="1" x14ac:dyDescent="0.25">
      <c r="A7134" s="39"/>
    </row>
    <row r="7135" spans="1:1" ht="15.75" customHeight="1" x14ac:dyDescent="0.25">
      <c r="A7135" s="39"/>
    </row>
    <row r="7136" spans="1:1" ht="15.75" customHeight="1" x14ac:dyDescent="0.25">
      <c r="A7136" s="39"/>
    </row>
    <row r="7137" spans="1:1" ht="15.75" customHeight="1" x14ac:dyDescent="0.25">
      <c r="A7137" s="39"/>
    </row>
    <row r="7138" spans="1:1" ht="15.75" customHeight="1" x14ac:dyDescent="0.25">
      <c r="A7138" s="39"/>
    </row>
    <row r="7139" spans="1:1" ht="15.75" customHeight="1" x14ac:dyDescent="0.25">
      <c r="A7139" s="39"/>
    </row>
    <row r="7140" spans="1:1" ht="15.75" customHeight="1" x14ac:dyDescent="0.25">
      <c r="A7140" s="39"/>
    </row>
    <row r="7141" spans="1:1" ht="15.75" customHeight="1" x14ac:dyDescent="0.25">
      <c r="A7141" s="39"/>
    </row>
    <row r="7142" spans="1:1" ht="15.75" customHeight="1" x14ac:dyDescent="0.25">
      <c r="A7142" s="39"/>
    </row>
    <row r="7143" spans="1:1" ht="15.75" customHeight="1" x14ac:dyDescent="0.25">
      <c r="A7143" s="39"/>
    </row>
    <row r="7144" spans="1:1" ht="15.75" customHeight="1" x14ac:dyDescent="0.25">
      <c r="A7144" s="39"/>
    </row>
    <row r="7145" spans="1:1" ht="15.75" customHeight="1" x14ac:dyDescent="0.25">
      <c r="A7145" s="39"/>
    </row>
    <row r="7146" spans="1:1" ht="15.75" customHeight="1" x14ac:dyDescent="0.25">
      <c r="A7146" s="39"/>
    </row>
    <row r="7147" spans="1:1" ht="15.75" customHeight="1" x14ac:dyDescent="0.25">
      <c r="A7147" s="39"/>
    </row>
    <row r="7148" spans="1:1" ht="15.75" customHeight="1" x14ac:dyDescent="0.25">
      <c r="A7148" s="39"/>
    </row>
    <row r="7149" spans="1:1" ht="15.75" customHeight="1" x14ac:dyDescent="0.25">
      <c r="A7149" s="39"/>
    </row>
    <row r="7150" spans="1:1" ht="15.75" customHeight="1" x14ac:dyDescent="0.25">
      <c r="A7150" s="39"/>
    </row>
    <row r="7151" spans="1:1" ht="15.75" customHeight="1" x14ac:dyDescent="0.25">
      <c r="A7151" s="39"/>
    </row>
    <row r="7152" spans="1:1" ht="15.75" customHeight="1" x14ac:dyDescent="0.25">
      <c r="A7152" s="39"/>
    </row>
    <row r="7153" spans="1:1" ht="15.75" customHeight="1" x14ac:dyDescent="0.25">
      <c r="A7153" s="39"/>
    </row>
    <row r="7154" spans="1:1" ht="15.75" customHeight="1" x14ac:dyDescent="0.25">
      <c r="A7154" s="39"/>
    </row>
    <row r="7155" spans="1:1" ht="15.75" customHeight="1" x14ac:dyDescent="0.25">
      <c r="A7155" s="39"/>
    </row>
    <row r="7156" spans="1:1" ht="15.75" customHeight="1" x14ac:dyDescent="0.25">
      <c r="A7156" s="39"/>
    </row>
    <row r="7157" spans="1:1" ht="15.75" customHeight="1" x14ac:dyDescent="0.25">
      <c r="A7157" s="39"/>
    </row>
    <row r="7158" spans="1:1" ht="15.75" customHeight="1" x14ac:dyDescent="0.25">
      <c r="A7158" s="39"/>
    </row>
    <row r="7159" spans="1:1" ht="15.75" customHeight="1" x14ac:dyDescent="0.25">
      <c r="A7159" s="39"/>
    </row>
    <row r="7160" spans="1:1" ht="15.75" customHeight="1" x14ac:dyDescent="0.25">
      <c r="A7160" s="39"/>
    </row>
    <row r="7161" spans="1:1" ht="15.75" customHeight="1" x14ac:dyDescent="0.25">
      <c r="A7161" s="39"/>
    </row>
    <row r="7162" spans="1:1" ht="15.75" customHeight="1" x14ac:dyDescent="0.25">
      <c r="A7162" s="39"/>
    </row>
    <row r="7163" spans="1:1" ht="15.75" customHeight="1" x14ac:dyDescent="0.25">
      <c r="A7163" s="39"/>
    </row>
    <row r="7164" spans="1:1" ht="15.75" customHeight="1" x14ac:dyDescent="0.25">
      <c r="A7164" s="39"/>
    </row>
    <row r="7165" spans="1:1" ht="15.75" customHeight="1" x14ac:dyDescent="0.25">
      <c r="A7165" s="39"/>
    </row>
    <row r="7166" spans="1:1" ht="15.75" customHeight="1" x14ac:dyDescent="0.25">
      <c r="A7166" s="39"/>
    </row>
    <row r="7167" spans="1:1" ht="15.75" customHeight="1" x14ac:dyDescent="0.25">
      <c r="A7167" s="39"/>
    </row>
    <row r="7168" spans="1:1" ht="15.75" customHeight="1" x14ac:dyDescent="0.25">
      <c r="A7168" s="39"/>
    </row>
    <row r="7169" spans="1:1" ht="15.75" customHeight="1" x14ac:dyDescent="0.25">
      <c r="A7169" s="39"/>
    </row>
    <row r="7170" spans="1:1" ht="15.75" customHeight="1" x14ac:dyDescent="0.25">
      <c r="A7170" s="39"/>
    </row>
    <row r="7171" spans="1:1" ht="15.75" customHeight="1" x14ac:dyDescent="0.25">
      <c r="A7171" s="39"/>
    </row>
    <row r="7172" spans="1:1" ht="15.75" customHeight="1" x14ac:dyDescent="0.25">
      <c r="A7172" s="39"/>
    </row>
    <row r="7173" spans="1:1" ht="15.75" customHeight="1" x14ac:dyDescent="0.25">
      <c r="A7173" s="39"/>
    </row>
    <row r="7174" spans="1:1" ht="15.75" customHeight="1" x14ac:dyDescent="0.25">
      <c r="A7174" s="39"/>
    </row>
    <row r="7175" spans="1:1" ht="15.75" customHeight="1" x14ac:dyDescent="0.25">
      <c r="A7175" s="39"/>
    </row>
    <row r="7176" spans="1:1" ht="15.75" customHeight="1" x14ac:dyDescent="0.25">
      <c r="A7176" s="39"/>
    </row>
    <row r="7177" spans="1:1" ht="15.75" customHeight="1" x14ac:dyDescent="0.25">
      <c r="A7177" s="39"/>
    </row>
    <row r="7178" spans="1:1" ht="15.75" customHeight="1" x14ac:dyDescent="0.25">
      <c r="A7178" s="39"/>
    </row>
    <row r="7179" spans="1:1" ht="15.75" customHeight="1" x14ac:dyDescent="0.25">
      <c r="A7179" s="39"/>
    </row>
    <row r="7180" spans="1:1" ht="15.75" customHeight="1" x14ac:dyDescent="0.25">
      <c r="A7180" s="39"/>
    </row>
    <row r="7181" spans="1:1" ht="15.75" customHeight="1" x14ac:dyDescent="0.25">
      <c r="A7181" s="39"/>
    </row>
    <row r="7182" spans="1:1" ht="15.75" customHeight="1" x14ac:dyDescent="0.25">
      <c r="A7182" s="39"/>
    </row>
    <row r="7183" spans="1:1" ht="15.75" customHeight="1" x14ac:dyDescent="0.25">
      <c r="A7183" s="39"/>
    </row>
    <row r="7184" spans="1:1" ht="15.75" customHeight="1" x14ac:dyDescent="0.25">
      <c r="A7184" s="39"/>
    </row>
    <row r="7185" spans="1:1" ht="15.75" customHeight="1" x14ac:dyDescent="0.25">
      <c r="A7185" s="39"/>
    </row>
    <row r="7186" spans="1:1" ht="15.75" customHeight="1" x14ac:dyDescent="0.25">
      <c r="A7186" s="39"/>
    </row>
    <row r="7187" spans="1:1" ht="15.75" customHeight="1" x14ac:dyDescent="0.25">
      <c r="A7187" s="39"/>
    </row>
    <row r="7188" spans="1:1" ht="15.75" customHeight="1" x14ac:dyDescent="0.25">
      <c r="A7188" s="39"/>
    </row>
    <row r="7189" spans="1:1" ht="15.75" customHeight="1" x14ac:dyDescent="0.25">
      <c r="A7189" s="39"/>
    </row>
    <row r="7190" spans="1:1" ht="15.75" customHeight="1" x14ac:dyDescent="0.25">
      <c r="A7190" s="39"/>
    </row>
    <row r="7191" spans="1:1" ht="15.75" customHeight="1" x14ac:dyDescent="0.25">
      <c r="A7191" s="39"/>
    </row>
    <row r="7192" spans="1:1" ht="15.75" customHeight="1" x14ac:dyDescent="0.25">
      <c r="A7192" s="39"/>
    </row>
    <row r="7193" spans="1:1" ht="15.75" customHeight="1" x14ac:dyDescent="0.25">
      <c r="A7193" s="39"/>
    </row>
    <row r="7194" spans="1:1" ht="15.75" customHeight="1" x14ac:dyDescent="0.25">
      <c r="A7194" s="39"/>
    </row>
    <row r="7195" spans="1:1" ht="15.75" customHeight="1" x14ac:dyDescent="0.25">
      <c r="A7195" s="39"/>
    </row>
    <row r="7196" spans="1:1" ht="15.75" customHeight="1" x14ac:dyDescent="0.25">
      <c r="A7196" s="39"/>
    </row>
    <row r="7197" spans="1:1" ht="15.75" customHeight="1" x14ac:dyDescent="0.25">
      <c r="A7197" s="39"/>
    </row>
    <row r="7198" spans="1:1" ht="15.75" customHeight="1" x14ac:dyDescent="0.25">
      <c r="A7198" s="39"/>
    </row>
    <row r="7199" spans="1:1" ht="15.75" customHeight="1" x14ac:dyDescent="0.25">
      <c r="A7199" s="39"/>
    </row>
    <row r="7200" spans="1:1" ht="15.75" customHeight="1" x14ac:dyDescent="0.25">
      <c r="A7200" s="39"/>
    </row>
    <row r="7201" spans="1:1" ht="15.75" customHeight="1" x14ac:dyDescent="0.25">
      <c r="A7201" s="39"/>
    </row>
    <row r="7202" spans="1:1" ht="15.75" customHeight="1" x14ac:dyDescent="0.25">
      <c r="A7202" s="39"/>
    </row>
    <row r="7203" spans="1:1" ht="15.75" customHeight="1" x14ac:dyDescent="0.25">
      <c r="A7203" s="39"/>
    </row>
    <row r="7204" spans="1:1" ht="15.75" customHeight="1" x14ac:dyDescent="0.25">
      <c r="A7204" s="39"/>
    </row>
    <row r="7205" spans="1:1" ht="15.75" customHeight="1" x14ac:dyDescent="0.25">
      <c r="A7205" s="39"/>
    </row>
    <row r="7206" spans="1:1" ht="15.75" customHeight="1" x14ac:dyDescent="0.25">
      <c r="A7206" s="39"/>
    </row>
    <row r="7207" spans="1:1" ht="15.75" customHeight="1" x14ac:dyDescent="0.25">
      <c r="A7207" s="39"/>
    </row>
    <row r="7208" spans="1:1" ht="15.75" customHeight="1" x14ac:dyDescent="0.25">
      <c r="A7208" s="39"/>
    </row>
    <row r="7209" spans="1:1" ht="15.75" customHeight="1" x14ac:dyDescent="0.25">
      <c r="A7209" s="39"/>
    </row>
    <row r="7210" spans="1:1" ht="15.75" customHeight="1" x14ac:dyDescent="0.25">
      <c r="A7210" s="39"/>
    </row>
    <row r="7211" spans="1:1" ht="15.75" customHeight="1" x14ac:dyDescent="0.25">
      <c r="A7211" s="39"/>
    </row>
    <row r="7212" spans="1:1" ht="15.75" customHeight="1" x14ac:dyDescent="0.25">
      <c r="A7212" s="39"/>
    </row>
    <row r="7213" spans="1:1" ht="15.75" customHeight="1" x14ac:dyDescent="0.25">
      <c r="A7213" s="39"/>
    </row>
    <row r="7214" spans="1:1" ht="15.75" customHeight="1" x14ac:dyDescent="0.25">
      <c r="A7214" s="39"/>
    </row>
    <row r="7215" spans="1:1" ht="15.75" customHeight="1" x14ac:dyDescent="0.25">
      <c r="A7215" s="39"/>
    </row>
    <row r="7216" spans="1:1" ht="15.75" customHeight="1" x14ac:dyDescent="0.25">
      <c r="A7216" s="39"/>
    </row>
    <row r="7217" spans="1:1" ht="15.75" customHeight="1" x14ac:dyDescent="0.25">
      <c r="A7217" s="39"/>
    </row>
    <row r="7218" spans="1:1" ht="15.75" customHeight="1" x14ac:dyDescent="0.25">
      <c r="A7218" s="39"/>
    </row>
    <row r="7219" spans="1:1" ht="15.75" customHeight="1" x14ac:dyDescent="0.25">
      <c r="A7219" s="39"/>
    </row>
    <row r="7220" spans="1:1" ht="15.75" customHeight="1" x14ac:dyDescent="0.25">
      <c r="A7220" s="39"/>
    </row>
    <row r="7221" spans="1:1" ht="15.75" customHeight="1" x14ac:dyDescent="0.25">
      <c r="A7221" s="39"/>
    </row>
    <row r="7222" spans="1:1" ht="15.75" customHeight="1" x14ac:dyDescent="0.25">
      <c r="A7222" s="39"/>
    </row>
    <row r="7223" spans="1:1" ht="15.75" customHeight="1" x14ac:dyDescent="0.25">
      <c r="A7223" s="39"/>
    </row>
    <row r="7224" spans="1:1" ht="15.75" customHeight="1" x14ac:dyDescent="0.25">
      <c r="A7224" s="39"/>
    </row>
    <row r="7225" spans="1:1" ht="15.75" customHeight="1" x14ac:dyDescent="0.25">
      <c r="A7225" s="39"/>
    </row>
    <row r="7226" spans="1:1" ht="15.75" customHeight="1" x14ac:dyDescent="0.25">
      <c r="A7226" s="39"/>
    </row>
    <row r="7227" spans="1:1" ht="15.75" customHeight="1" x14ac:dyDescent="0.25">
      <c r="A7227" s="39"/>
    </row>
    <row r="7228" spans="1:1" ht="15.75" customHeight="1" x14ac:dyDescent="0.25">
      <c r="A7228" s="39"/>
    </row>
    <row r="7229" spans="1:1" ht="15.75" customHeight="1" x14ac:dyDescent="0.25">
      <c r="A7229" s="39"/>
    </row>
    <row r="7230" spans="1:1" ht="15.75" customHeight="1" x14ac:dyDescent="0.25">
      <c r="A7230" s="39"/>
    </row>
    <row r="7231" spans="1:1" ht="15.75" customHeight="1" x14ac:dyDescent="0.25">
      <c r="A7231" s="39"/>
    </row>
    <row r="7232" spans="1:1" ht="15.75" customHeight="1" x14ac:dyDescent="0.25">
      <c r="A7232" s="39"/>
    </row>
    <row r="7233" spans="1:1" ht="15.75" customHeight="1" x14ac:dyDescent="0.25">
      <c r="A7233" s="39"/>
    </row>
    <row r="7234" spans="1:1" ht="15.75" customHeight="1" x14ac:dyDescent="0.25">
      <c r="A7234" s="39"/>
    </row>
    <row r="7235" spans="1:1" ht="15.75" customHeight="1" x14ac:dyDescent="0.25">
      <c r="A7235" s="39"/>
    </row>
    <row r="7236" spans="1:1" ht="15.75" customHeight="1" x14ac:dyDescent="0.25">
      <c r="A7236" s="39"/>
    </row>
    <row r="7237" spans="1:1" ht="15.75" customHeight="1" x14ac:dyDescent="0.25">
      <c r="A7237" s="39"/>
    </row>
    <row r="7238" spans="1:1" ht="15.75" customHeight="1" x14ac:dyDescent="0.25">
      <c r="A7238" s="39"/>
    </row>
    <row r="7239" spans="1:1" ht="15.75" customHeight="1" x14ac:dyDescent="0.25">
      <c r="A7239" s="39"/>
    </row>
    <row r="7240" spans="1:1" ht="15.75" customHeight="1" x14ac:dyDescent="0.25">
      <c r="A7240" s="39"/>
    </row>
    <row r="7241" spans="1:1" ht="15.75" customHeight="1" x14ac:dyDescent="0.25">
      <c r="A7241" s="39"/>
    </row>
    <row r="7242" spans="1:1" ht="15.75" customHeight="1" x14ac:dyDescent="0.25">
      <c r="A7242" s="39"/>
    </row>
    <row r="7243" spans="1:1" ht="15.75" customHeight="1" x14ac:dyDescent="0.25">
      <c r="A7243" s="39"/>
    </row>
    <row r="7244" spans="1:1" ht="15.75" customHeight="1" x14ac:dyDescent="0.25">
      <c r="A7244" s="39"/>
    </row>
    <row r="7245" spans="1:1" ht="15.75" customHeight="1" x14ac:dyDescent="0.25">
      <c r="A7245" s="39"/>
    </row>
    <row r="7246" spans="1:1" ht="15.75" customHeight="1" x14ac:dyDescent="0.25">
      <c r="A7246" s="39"/>
    </row>
    <row r="7247" spans="1:1" ht="15.75" customHeight="1" x14ac:dyDescent="0.25">
      <c r="A7247" s="39"/>
    </row>
    <row r="7248" spans="1:1" ht="15.75" customHeight="1" x14ac:dyDescent="0.25">
      <c r="A7248" s="39"/>
    </row>
    <row r="7249" spans="1:1" ht="15.75" customHeight="1" x14ac:dyDescent="0.25">
      <c r="A7249" s="39"/>
    </row>
    <row r="7250" spans="1:1" ht="15.75" customHeight="1" x14ac:dyDescent="0.25">
      <c r="A7250" s="39"/>
    </row>
    <row r="7251" spans="1:1" ht="15.75" customHeight="1" x14ac:dyDescent="0.25">
      <c r="A7251" s="39"/>
    </row>
    <row r="7252" spans="1:1" ht="15.75" customHeight="1" x14ac:dyDescent="0.25">
      <c r="A7252" s="39"/>
    </row>
    <row r="7253" spans="1:1" ht="15.75" customHeight="1" x14ac:dyDescent="0.25">
      <c r="A7253" s="39"/>
    </row>
    <row r="7254" spans="1:1" ht="15.75" customHeight="1" x14ac:dyDescent="0.25">
      <c r="A7254" s="39"/>
    </row>
    <row r="7255" spans="1:1" ht="15.75" customHeight="1" x14ac:dyDescent="0.25">
      <c r="A7255" s="39"/>
    </row>
    <row r="7256" spans="1:1" ht="15.75" customHeight="1" x14ac:dyDescent="0.25">
      <c r="A7256" s="39"/>
    </row>
    <row r="7257" spans="1:1" ht="15.75" customHeight="1" x14ac:dyDescent="0.25">
      <c r="A7257" s="39"/>
    </row>
    <row r="7258" spans="1:1" ht="15.75" customHeight="1" x14ac:dyDescent="0.25">
      <c r="A7258" s="39"/>
    </row>
    <row r="7259" spans="1:1" ht="15.75" customHeight="1" x14ac:dyDescent="0.25">
      <c r="A7259" s="39"/>
    </row>
    <row r="7260" spans="1:1" ht="15.75" customHeight="1" x14ac:dyDescent="0.25">
      <c r="A7260" s="39"/>
    </row>
    <row r="7261" spans="1:1" ht="15.75" customHeight="1" x14ac:dyDescent="0.25">
      <c r="A7261" s="39"/>
    </row>
    <row r="7262" spans="1:1" ht="15.75" customHeight="1" x14ac:dyDescent="0.25">
      <c r="A7262" s="39"/>
    </row>
    <row r="7263" spans="1:1" ht="15.75" customHeight="1" x14ac:dyDescent="0.25">
      <c r="A7263" s="39"/>
    </row>
    <row r="7264" spans="1:1" ht="15.75" customHeight="1" x14ac:dyDescent="0.25">
      <c r="A7264" s="39"/>
    </row>
    <row r="7265" spans="1:1" ht="15.75" customHeight="1" x14ac:dyDescent="0.25">
      <c r="A7265" s="39"/>
    </row>
    <row r="7266" spans="1:1" ht="15.75" customHeight="1" x14ac:dyDescent="0.25">
      <c r="A7266" s="39"/>
    </row>
    <row r="7267" spans="1:1" ht="15.75" customHeight="1" x14ac:dyDescent="0.25">
      <c r="A7267" s="39"/>
    </row>
    <row r="7268" spans="1:1" ht="15.75" customHeight="1" x14ac:dyDescent="0.25">
      <c r="A7268" s="39"/>
    </row>
    <row r="7269" spans="1:1" ht="15.75" customHeight="1" x14ac:dyDescent="0.25">
      <c r="A7269" s="39"/>
    </row>
    <row r="7270" spans="1:1" ht="15.75" customHeight="1" x14ac:dyDescent="0.25">
      <c r="A7270" s="39"/>
    </row>
    <row r="7271" spans="1:1" ht="15.75" customHeight="1" x14ac:dyDescent="0.25">
      <c r="A7271" s="39"/>
    </row>
    <row r="7272" spans="1:1" ht="15.75" customHeight="1" x14ac:dyDescent="0.25">
      <c r="A7272" s="39"/>
    </row>
    <row r="7273" spans="1:1" ht="15.75" customHeight="1" x14ac:dyDescent="0.25">
      <c r="A7273" s="39"/>
    </row>
    <row r="7274" spans="1:1" ht="15.75" customHeight="1" x14ac:dyDescent="0.25">
      <c r="A7274" s="39"/>
    </row>
    <row r="7275" spans="1:1" ht="15.75" customHeight="1" x14ac:dyDescent="0.25">
      <c r="A7275" s="39"/>
    </row>
    <row r="7276" spans="1:1" ht="15.75" customHeight="1" x14ac:dyDescent="0.25">
      <c r="A7276" s="39"/>
    </row>
    <row r="7277" spans="1:1" ht="15.75" customHeight="1" x14ac:dyDescent="0.25">
      <c r="A7277" s="39"/>
    </row>
    <row r="7278" spans="1:1" ht="15.75" customHeight="1" x14ac:dyDescent="0.25">
      <c r="A7278" s="39"/>
    </row>
    <row r="7279" spans="1:1" ht="15.75" customHeight="1" x14ac:dyDescent="0.25">
      <c r="A7279" s="39"/>
    </row>
    <row r="7280" spans="1:1" ht="15.75" customHeight="1" x14ac:dyDescent="0.25">
      <c r="A7280" s="39"/>
    </row>
    <row r="7281" spans="1:1" ht="15.75" customHeight="1" x14ac:dyDescent="0.25">
      <c r="A7281" s="39"/>
    </row>
    <row r="7282" spans="1:1" ht="15.75" customHeight="1" x14ac:dyDescent="0.25">
      <c r="A7282" s="39"/>
    </row>
    <row r="7283" spans="1:1" ht="15.75" customHeight="1" x14ac:dyDescent="0.25">
      <c r="A7283" s="39"/>
    </row>
    <row r="7284" spans="1:1" ht="15.75" customHeight="1" x14ac:dyDescent="0.25">
      <c r="A7284" s="39"/>
    </row>
    <row r="7285" spans="1:1" ht="15.75" customHeight="1" x14ac:dyDescent="0.25">
      <c r="A7285" s="39"/>
    </row>
    <row r="7286" spans="1:1" ht="15.75" customHeight="1" x14ac:dyDescent="0.25">
      <c r="A7286" s="39"/>
    </row>
    <row r="7287" spans="1:1" ht="15.75" customHeight="1" x14ac:dyDescent="0.25">
      <c r="A7287" s="39"/>
    </row>
    <row r="7288" spans="1:1" ht="15.75" customHeight="1" x14ac:dyDescent="0.25">
      <c r="A7288" s="39"/>
    </row>
    <row r="7289" spans="1:1" ht="15.75" customHeight="1" x14ac:dyDescent="0.25">
      <c r="A7289" s="39"/>
    </row>
    <row r="7290" spans="1:1" ht="15.75" customHeight="1" x14ac:dyDescent="0.25">
      <c r="A7290" s="39"/>
    </row>
    <row r="7291" spans="1:1" ht="15.75" customHeight="1" x14ac:dyDescent="0.25">
      <c r="A7291" s="39"/>
    </row>
    <row r="7292" spans="1:1" ht="15.75" customHeight="1" x14ac:dyDescent="0.25">
      <c r="A7292" s="39"/>
    </row>
    <row r="7293" spans="1:1" ht="15.75" customHeight="1" x14ac:dyDescent="0.25">
      <c r="A7293" s="39"/>
    </row>
    <row r="7294" spans="1:1" ht="15.75" customHeight="1" x14ac:dyDescent="0.25">
      <c r="A7294" s="39"/>
    </row>
    <row r="7295" spans="1:1" ht="15.75" customHeight="1" x14ac:dyDescent="0.25">
      <c r="A7295" s="39"/>
    </row>
    <row r="7296" spans="1:1" ht="15.75" customHeight="1" x14ac:dyDescent="0.25">
      <c r="A7296" s="39"/>
    </row>
    <row r="7297" spans="1:1" ht="15.75" customHeight="1" x14ac:dyDescent="0.25">
      <c r="A7297" s="39"/>
    </row>
    <row r="7298" spans="1:1" ht="15.75" customHeight="1" x14ac:dyDescent="0.25">
      <c r="A7298" s="39"/>
    </row>
    <row r="7299" spans="1:1" ht="15.75" customHeight="1" x14ac:dyDescent="0.25">
      <c r="A7299" s="39"/>
    </row>
    <row r="7300" spans="1:1" ht="15.75" customHeight="1" x14ac:dyDescent="0.25">
      <c r="A7300" s="39"/>
    </row>
    <row r="7301" spans="1:1" ht="15.75" customHeight="1" x14ac:dyDescent="0.25">
      <c r="A7301" s="39"/>
    </row>
    <row r="7302" spans="1:1" ht="15.75" customHeight="1" x14ac:dyDescent="0.25">
      <c r="A7302" s="39"/>
    </row>
    <row r="7303" spans="1:1" ht="15.75" customHeight="1" x14ac:dyDescent="0.25">
      <c r="A7303" s="39"/>
    </row>
    <row r="7304" spans="1:1" ht="15.75" customHeight="1" x14ac:dyDescent="0.25">
      <c r="A7304" s="39"/>
    </row>
    <row r="7305" spans="1:1" ht="15.75" customHeight="1" x14ac:dyDescent="0.25">
      <c r="A7305" s="39"/>
    </row>
    <row r="7306" spans="1:1" ht="15.75" customHeight="1" x14ac:dyDescent="0.25">
      <c r="A7306" s="39"/>
    </row>
    <row r="7307" spans="1:1" ht="15.75" customHeight="1" x14ac:dyDescent="0.25">
      <c r="A7307" s="39"/>
    </row>
    <row r="7308" spans="1:1" ht="15.75" customHeight="1" x14ac:dyDescent="0.25">
      <c r="A7308" s="39"/>
    </row>
    <row r="7309" spans="1:1" ht="15.75" customHeight="1" x14ac:dyDescent="0.25">
      <c r="A7309" s="39"/>
    </row>
    <row r="7310" spans="1:1" ht="15.75" customHeight="1" x14ac:dyDescent="0.25">
      <c r="A7310" s="39"/>
    </row>
    <row r="7311" spans="1:1" ht="15.75" customHeight="1" x14ac:dyDescent="0.25">
      <c r="A7311" s="39"/>
    </row>
    <row r="7312" spans="1:1" ht="15.75" customHeight="1" x14ac:dyDescent="0.25">
      <c r="A7312" s="39"/>
    </row>
    <row r="7313" spans="1:1" ht="15.75" customHeight="1" x14ac:dyDescent="0.25">
      <c r="A7313" s="39"/>
    </row>
    <row r="7314" spans="1:1" ht="15.75" customHeight="1" x14ac:dyDescent="0.25">
      <c r="A7314" s="39"/>
    </row>
    <row r="7315" spans="1:1" ht="15.75" customHeight="1" x14ac:dyDescent="0.25">
      <c r="A7315" s="39"/>
    </row>
    <row r="7316" spans="1:1" ht="15.75" customHeight="1" x14ac:dyDescent="0.25">
      <c r="A7316" s="39"/>
    </row>
    <row r="7317" spans="1:1" ht="15.75" customHeight="1" x14ac:dyDescent="0.25">
      <c r="A7317" s="39"/>
    </row>
    <row r="7318" spans="1:1" ht="15.75" customHeight="1" x14ac:dyDescent="0.25">
      <c r="A7318" s="39"/>
    </row>
    <row r="7319" spans="1:1" ht="15.75" customHeight="1" x14ac:dyDescent="0.25">
      <c r="A7319" s="39"/>
    </row>
    <row r="7320" spans="1:1" ht="15.75" customHeight="1" x14ac:dyDescent="0.25">
      <c r="A7320" s="39"/>
    </row>
    <row r="7321" spans="1:1" ht="15.75" customHeight="1" x14ac:dyDescent="0.25">
      <c r="A7321" s="39"/>
    </row>
    <row r="7322" spans="1:1" ht="15.75" customHeight="1" x14ac:dyDescent="0.25">
      <c r="A7322" s="39"/>
    </row>
    <row r="7323" spans="1:1" ht="15.75" customHeight="1" x14ac:dyDescent="0.25">
      <c r="A7323" s="39"/>
    </row>
    <row r="7324" spans="1:1" ht="15.75" customHeight="1" x14ac:dyDescent="0.25">
      <c r="A7324" s="39"/>
    </row>
    <row r="7325" spans="1:1" ht="15.75" customHeight="1" x14ac:dyDescent="0.25">
      <c r="A7325" s="39"/>
    </row>
    <row r="7326" spans="1:1" ht="15.75" customHeight="1" x14ac:dyDescent="0.25">
      <c r="A7326" s="39"/>
    </row>
    <row r="7327" spans="1:1" ht="15.75" customHeight="1" x14ac:dyDescent="0.25">
      <c r="A7327" s="39"/>
    </row>
    <row r="7328" spans="1:1" ht="15.75" customHeight="1" x14ac:dyDescent="0.25">
      <c r="A7328" s="39"/>
    </row>
    <row r="7329" spans="1:1" ht="15.75" customHeight="1" x14ac:dyDescent="0.25">
      <c r="A7329" s="39"/>
    </row>
    <row r="7330" spans="1:1" ht="15.75" customHeight="1" x14ac:dyDescent="0.25">
      <c r="A7330" s="39"/>
    </row>
    <row r="7331" spans="1:1" ht="15.75" customHeight="1" x14ac:dyDescent="0.25">
      <c r="A7331" s="39"/>
    </row>
    <row r="7332" spans="1:1" ht="15.75" customHeight="1" x14ac:dyDescent="0.25">
      <c r="A7332" s="39"/>
    </row>
    <row r="7333" spans="1:1" ht="15.75" customHeight="1" x14ac:dyDescent="0.25">
      <c r="A7333" s="39"/>
    </row>
    <row r="7334" spans="1:1" ht="15.75" customHeight="1" x14ac:dyDescent="0.25">
      <c r="A7334" s="39"/>
    </row>
    <row r="7335" spans="1:1" ht="15.75" customHeight="1" x14ac:dyDescent="0.25">
      <c r="A7335" s="39"/>
    </row>
    <row r="7336" spans="1:1" ht="15.75" customHeight="1" x14ac:dyDescent="0.25">
      <c r="A7336" s="39"/>
    </row>
    <row r="7337" spans="1:1" ht="15.75" customHeight="1" x14ac:dyDescent="0.25">
      <c r="A7337" s="39"/>
    </row>
    <row r="7338" spans="1:1" ht="15.75" customHeight="1" x14ac:dyDescent="0.25">
      <c r="A7338" s="39"/>
    </row>
    <row r="7339" spans="1:1" ht="15.75" customHeight="1" x14ac:dyDescent="0.25">
      <c r="A7339" s="39"/>
    </row>
    <row r="7340" spans="1:1" ht="15.75" customHeight="1" x14ac:dyDescent="0.25">
      <c r="A7340" s="39"/>
    </row>
    <row r="7341" spans="1:1" ht="15.75" customHeight="1" x14ac:dyDescent="0.25">
      <c r="A7341" s="39"/>
    </row>
    <row r="7342" spans="1:1" ht="15.75" customHeight="1" x14ac:dyDescent="0.25">
      <c r="A7342" s="39"/>
    </row>
    <row r="7343" spans="1:1" ht="15.75" customHeight="1" x14ac:dyDescent="0.25">
      <c r="A7343" s="39"/>
    </row>
    <row r="7344" spans="1:1" ht="15.75" customHeight="1" x14ac:dyDescent="0.25">
      <c r="A7344" s="39"/>
    </row>
    <row r="7345" spans="1:1" ht="15.75" customHeight="1" x14ac:dyDescent="0.25">
      <c r="A7345" s="39"/>
    </row>
    <row r="7346" spans="1:1" ht="15.75" customHeight="1" x14ac:dyDescent="0.25">
      <c r="A7346" s="39"/>
    </row>
    <row r="7347" spans="1:1" ht="15.75" customHeight="1" x14ac:dyDescent="0.25">
      <c r="A7347" s="39"/>
    </row>
    <row r="7348" spans="1:1" ht="15.75" customHeight="1" x14ac:dyDescent="0.25">
      <c r="A7348" s="39"/>
    </row>
    <row r="7349" spans="1:1" ht="15.75" customHeight="1" x14ac:dyDescent="0.25">
      <c r="A7349" s="39"/>
    </row>
    <row r="7350" spans="1:1" ht="15.75" customHeight="1" x14ac:dyDescent="0.25">
      <c r="A7350" s="39"/>
    </row>
    <row r="7351" spans="1:1" ht="15.75" customHeight="1" x14ac:dyDescent="0.25">
      <c r="A7351" s="39"/>
    </row>
    <row r="7352" spans="1:1" ht="15.75" customHeight="1" x14ac:dyDescent="0.25">
      <c r="A7352" s="39"/>
    </row>
    <row r="7353" spans="1:1" ht="15.75" customHeight="1" x14ac:dyDescent="0.25">
      <c r="A7353" s="39"/>
    </row>
    <row r="7354" spans="1:1" ht="15.75" customHeight="1" x14ac:dyDescent="0.25">
      <c r="A7354" s="39"/>
    </row>
    <row r="7355" spans="1:1" ht="15.75" customHeight="1" x14ac:dyDescent="0.25">
      <c r="A7355" s="39"/>
    </row>
    <row r="7356" spans="1:1" ht="15.75" customHeight="1" x14ac:dyDescent="0.25">
      <c r="A7356" s="39"/>
    </row>
    <row r="7357" spans="1:1" ht="15.75" customHeight="1" x14ac:dyDescent="0.25">
      <c r="A7357" s="39"/>
    </row>
    <row r="7358" spans="1:1" ht="15.75" customHeight="1" x14ac:dyDescent="0.25">
      <c r="A7358" s="39"/>
    </row>
    <row r="7359" spans="1:1" ht="15.75" customHeight="1" x14ac:dyDescent="0.25">
      <c r="A7359" s="39"/>
    </row>
    <row r="7360" spans="1:1" ht="15.75" customHeight="1" x14ac:dyDescent="0.25">
      <c r="A7360" s="39"/>
    </row>
    <row r="7361" spans="1:1" ht="15.75" customHeight="1" x14ac:dyDescent="0.25">
      <c r="A7361" s="39"/>
    </row>
    <row r="7362" spans="1:1" ht="15.75" customHeight="1" x14ac:dyDescent="0.25">
      <c r="A7362" s="39"/>
    </row>
    <row r="7363" spans="1:1" ht="15.75" customHeight="1" x14ac:dyDescent="0.25">
      <c r="A7363" s="39"/>
    </row>
    <row r="7364" spans="1:1" ht="15.75" customHeight="1" x14ac:dyDescent="0.25">
      <c r="A7364" s="39"/>
    </row>
    <row r="7365" spans="1:1" ht="15.75" customHeight="1" x14ac:dyDescent="0.25">
      <c r="A7365" s="39"/>
    </row>
    <row r="7366" spans="1:1" ht="15.75" customHeight="1" x14ac:dyDescent="0.25">
      <c r="A7366" s="39"/>
    </row>
    <row r="7367" spans="1:1" ht="15.75" customHeight="1" x14ac:dyDescent="0.25">
      <c r="A7367" s="39"/>
    </row>
    <row r="7368" spans="1:1" ht="15.75" customHeight="1" x14ac:dyDescent="0.25">
      <c r="A7368" s="39"/>
    </row>
    <row r="7369" spans="1:1" ht="15.75" customHeight="1" x14ac:dyDescent="0.25">
      <c r="A7369" s="39"/>
    </row>
    <row r="7370" spans="1:1" ht="15.75" customHeight="1" x14ac:dyDescent="0.25">
      <c r="A7370" s="39"/>
    </row>
    <row r="7371" spans="1:1" ht="15.75" customHeight="1" x14ac:dyDescent="0.25">
      <c r="A7371" s="39"/>
    </row>
    <row r="7372" spans="1:1" ht="15.75" customHeight="1" x14ac:dyDescent="0.25">
      <c r="A7372" s="39"/>
    </row>
    <row r="7373" spans="1:1" ht="15.75" customHeight="1" x14ac:dyDescent="0.25">
      <c r="A7373" s="39"/>
    </row>
    <row r="7374" spans="1:1" ht="15.75" customHeight="1" x14ac:dyDescent="0.25">
      <c r="A7374" s="39"/>
    </row>
    <row r="7375" spans="1:1" ht="15.75" customHeight="1" x14ac:dyDescent="0.25">
      <c r="A7375" s="39"/>
    </row>
    <row r="7376" spans="1:1" ht="15.75" customHeight="1" x14ac:dyDescent="0.25">
      <c r="A7376" s="39"/>
    </row>
    <row r="7377" spans="1:1" ht="15.75" customHeight="1" x14ac:dyDescent="0.25">
      <c r="A7377" s="39"/>
    </row>
    <row r="7378" spans="1:1" ht="15.75" customHeight="1" x14ac:dyDescent="0.25">
      <c r="A7378" s="39"/>
    </row>
    <row r="7379" spans="1:1" ht="15.75" customHeight="1" x14ac:dyDescent="0.25">
      <c r="A7379" s="39"/>
    </row>
    <row r="7380" spans="1:1" ht="15.75" customHeight="1" x14ac:dyDescent="0.25">
      <c r="A7380" s="39"/>
    </row>
    <row r="7381" spans="1:1" ht="15.75" customHeight="1" x14ac:dyDescent="0.25">
      <c r="A7381" s="39"/>
    </row>
    <row r="7382" spans="1:1" ht="15.75" customHeight="1" x14ac:dyDescent="0.25">
      <c r="A7382" s="39"/>
    </row>
    <row r="7383" spans="1:1" ht="15.75" customHeight="1" x14ac:dyDescent="0.25">
      <c r="A7383" s="39"/>
    </row>
    <row r="7384" spans="1:1" ht="15.75" customHeight="1" x14ac:dyDescent="0.25">
      <c r="A7384" s="39"/>
    </row>
    <row r="7385" spans="1:1" ht="15.75" customHeight="1" x14ac:dyDescent="0.25">
      <c r="A7385" s="39"/>
    </row>
    <row r="7386" spans="1:1" ht="15.75" customHeight="1" x14ac:dyDescent="0.25">
      <c r="A7386" s="39"/>
    </row>
    <row r="7387" spans="1:1" ht="15.75" customHeight="1" x14ac:dyDescent="0.25">
      <c r="A7387" s="39"/>
    </row>
    <row r="7388" spans="1:1" ht="15.75" customHeight="1" x14ac:dyDescent="0.25">
      <c r="A7388" s="39"/>
    </row>
    <row r="7389" spans="1:1" ht="15.75" customHeight="1" x14ac:dyDescent="0.25">
      <c r="A7389" s="39"/>
    </row>
    <row r="7390" spans="1:1" ht="15.75" customHeight="1" x14ac:dyDescent="0.25">
      <c r="A7390" s="39"/>
    </row>
    <row r="7391" spans="1:1" ht="15.75" customHeight="1" x14ac:dyDescent="0.25">
      <c r="A7391" s="39"/>
    </row>
    <row r="7392" spans="1:1" ht="15.75" customHeight="1" x14ac:dyDescent="0.25">
      <c r="A7392" s="39"/>
    </row>
    <row r="7393" spans="1:1" ht="15.75" customHeight="1" x14ac:dyDescent="0.25">
      <c r="A7393" s="39"/>
    </row>
    <row r="7394" spans="1:1" ht="15.75" customHeight="1" x14ac:dyDescent="0.25">
      <c r="A7394" s="39"/>
    </row>
    <row r="7395" spans="1:1" ht="15.75" customHeight="1" x14ac:dyDescent="0.25">
      <c r="A7395" s="39"/>
    </row>
    <row r="7396" spans="1:1" ht="15.75" customHeight="1" x14ac:dyDescent="0.25">
      <c r="A7396" s="39"/>
    </row>
    <row r="7397" spans="1:1" ht="15.75" customHeight="1" x14ac:dyDescent="0.25">
      <c r="A7397" s="39"/>
    </row>
    <row r="7398" spans="1:1" ht="15.75" customHeight="1" x14ac:dyDescent="0.25">
      <c r="A7398" s="39"/>
    </row>
    <row r="7399" spans="1:1" ht="15.75" customHeight="1" x14ac:dyDescent="0.25">
      <c r="A7399" s="39"/>
    </row>
    <row r="7400" spans="1:1" ht="15.75" customHeight="1" x14ac:dyDescent="0.25">
      <c r="A7400" s="39"/>
    </row>
    <row r="7401" spans="1:1" ht="15.75" customHeight="1" x14ac:dyDescent="0.25">
      <c r="A7401" s="39"/>
    </row>
    <row r="7402" spans="1:1" ht="15.75" customHeight="1" x14ac:dyDescent="0.25">
      <c r="A7402" s="39"/>
    </row>
    <row r="7403" spans="1:1" ht="15.75" customHeight="1" x14ac:dyDescent="0.25">
      <c r="A7403" s="39"/>
    </row>
    <row r="7404" spans="1:1" ht="15.75" customHeight="1" x14ac:dyDescent="0.25">
      <c r="A7404" s="39"/>
    </row>
    <row r="7405" spans="1:1" ht="15.75" customHeight="1" x14ac:dyDescent="0.25">
      <c r="A7405" s="39"/>
    </row>
    <row r="7406" spans="1:1" ht="15.75" customHeight="1" x14ac:dyDescent="0.25">
      <c r="A7406" s="39"/>
    </row>
    <row r="7407" spans="1:1" ht="15.75" customHeight="1" x14ac:dyDescent="0.25">
      <c r="A7407" s="39"/>
    </row>
    <row r="7408" spans="1:1" ht="15.75" customHeight="1" x14ac:dyDescent="0.25">
      <c r="A7408" s="39"/>
    </row>
    <row r="7409" spans="1:1" ht="15.75" customHeight="1" x14ac:dyDescent="0.25">
      <c r="A7409" s="39"/>
    </row>
    <row r="7410" spans="1:1" ht="15.75" customHeight="1" x14ac:dyDescent="0.25">
      <c r="A7410" s="39"/>
    </row>
    <row r="7411" spans="1:1" ht="15.75" customHeight="1" x14ac:dyDescent="0.25">
      <c r="A7411" s="39"/>
    </row>
    <row r="7412" spans="1:1" ht="15.75" customHeight="1" x14ac:dyDescent="0.25">
      <c r="A7412" s="39"/>
    </row>
    <row r="7413" spans="1:1" ht="15.75" customHeight="1" x14ac:dyDescent="0.25">
      <c r="A7413" s="39"/>
    </row>
    <row r="7414" spans="1:1" ht="15.75" customHeight="1" x14ac:dyDescent="0.25">
      <c r="A7414" s="39"/>
    </row>
    <row r="7415" spans="1:1" ht="15.75" customHeight="1" x14ac:dyDescent="0.25">
      <c r="A7415" s="39"/>
    </row>
    <row r="7416" spans="1:1" ht="15.75" customHeight="1" x14ac:dyDescent="0.25">
      <c r="A7416" s="39"/>
    </row>
    <row r="7417" spans="1:1" ht="15.75" customHeight="1" x14ac:dyDescent="0.25">
      <c r="A7417" s="39"/>
    </row>
    <row r="7418" spans="1:1" ht="15.75" customHeight="1" x14ac:dyDescent="0.25">
      <c r="A7418" s="39"/>
    </row>
    <row r="7419" spans="1:1" ht="15.75" customHeight="1" x14ac:dyDescent="0.25">
      <c r="A7419" s="39"/>
    </row>
    <row r="7420" spans="1:1" ht="15.75" customHeight="1" x14ac:dyDescent="0.25">
      <c r="A7420" s="39"/>
    </row>
    <row r="7421" spans="1:1" ht="15.75" customHeight="1" x14ac:dyDescent="0.25">
      <c r="A7421" s="39"/>
    </row>
    <row r="7422" spans="1:1" ht="15.75" customHeight="1" x14ac:dyDescent="0.25">
      <c r="A7422" s="39"/>
    </row>
    <row r="7423" spans="1:1" ht="15.75" customHeight="1" x14ac:dyDescent="0.25">
      <c r="A7423" s="39"/>
    </row>
    <row r="7424" spans="1:1" ht="15.75" customHeight="1" x14ac:dyDescent="0.25">
      <c r="A7424" s="39"/>
    </row>
    <row r="7425" spans="1:1" ht="15.75" customHeight="1" x14ac:dyDescent="0.25">
      <c r="A7425" s="39"/>
    </row>
    <row r="7426" spans="1:1" ht="15.75" customHeight="1" x14ac:dyDescent="0.25">
      <c r="A7426" s="39"/>
    </row>
    <row r="7427" spans="1:1" ht="15.75" customHeight="1" x14ac:dyDescent="0.25">
      <c r="A7427" s="39"/>
    </row>
    <row r="7428" spans="1:1" ht="15.75" customHeight="1" x14ac:dyDescent="0.25">
      <c r="A7428" s="39"/>
    </row>
    <row r="7429" spans="1:1" ht="15.75" customHeight="1" x14ac:dyDescent="0.25">
      <c r="A7429" s="39"/>
    </row>
    <row r="7430" spans="1:1" ht="15.75" customHeight="1" x14ac:dyDescent="0.25">
      <c r="A7430" s="39"/>
    </row>
    <row r="7431" spans="1:1" ht="15.75" customHeight="1" x14ac:dyDescent="0.25">
      <c r="A7431" s="39"/>
    </row>
    <row r="7432" spans="1:1" ht="15.75" customHeight="1" x14ac:dyDescent="0.25">
      <c r="A7432" s="39"/>
    </row>
    <row r="7433" spans="1:1" ht="15.75" customHeight="1" x14ac:dyDescent="0.25">
      <c r="A7433" s="39"/>
    </row>
    <row r="7434" spans="1:1" ht="15.75" customHeight="1" x14ac:dyDescent="0.25">
      <c r="A7434" s="39"/>
    </row>
    <row r="7435" spans="1:1" ht="15.75" customHeight="1" x14ac:dyDescent="0.25">
      <c r="A7435" s="39"/>
    </row>
    <row r="7436" spans="1:1" ht="15.75" customHeight="1" x14ac:dyDescent="0.25">
      <c r="A7436" s="39"/>
    </row>
    <row r="7437" spans="1:1" ht="15.75" customHeight="1" x14ac:dyDescent="0.25">
      <c r="A7437" s="39"/>
    </row>
    <row r="7438" spans="1:1" ht="15.75" customHeight="1" x14ac:dyDescent="0.25">
      <c r="A7438" s="39"/>
    </row>
    <row r="7439" spans="1:1" ht="15.75" customHeight="1" x14ac:dyDescent="0.25">
      <c r="A7439" s="39"/>
    </row>
    <row r="7440" spans="1:1" ht="15.75" customHeight="1" x14ac:dyDescent="0.25">
      <c r="A7440" s="39"/>
    </row>
    <row r="7441" spans="1:1" ht="15.75" customHeight="1" x14ac:dyDescent="0.25">
      <c r="A7441" s="39"/>
    </row>
    <row r="7442" spans="1:1" ht="15.75" customHeight="1" x14ac:dyDescent="0.25">
      <c r="A7442" s="39"/>
    </row>
    <row r="7443" spans="1:1" ht="15.75" customHeight="1" x14ac:dyDescent="0.25">
      <c r="A7443" s="39"/>
    </row>
    <row r="7444" spans="1:1" ht="15.75" customHeight="1" x14ac:dyDescent="0.25">
      <c r="A7444" s="39"/>
    </row>
    <row r="7445" spans="1:1" ht="15.75" customHeight="1" x14ac:dyDescent="0.25">
      <c r="A7445" s="39"/>
    </row>
    <row r="7446" spans="1:1" ht="15.75" customHeight="1" x14ac:dyDescent="0.25">
      <c r="A7446" s="39"/>
    </row>
    <row r="7447" spans="1:1" ht="15.75" customHeight="1" x14ac:dyDescent="0.25">
      <c r="A7447" s="39"/>
    </row>
    <row r="7448" spans="1:1" ht="15.75" customHeight="1" x14ac:dyDescent="0.25">
      <c r="A7448" s="39"/>
    </row>
    <row r="7449" spans="1:1" ht="15.75" customHeight="1" x14ac:dyDescent="0.25">
      <c r="A7449" s="39"/>
    </row>
    <row r="7450" spans="1:1" ht="15.75" customHeight="1" x14ac:dyDescent="0.25">
      <c r="A7450" s="39"/>
    </row>
    <row r="7451" spans="1:1" ht="15.75" customHeight="1" x14ac:dyDescent="0.25">
      <c r="A7451" s="39"/>
    </row>
    <row r="7452" spans="1:1" ht="15.75" customHeight="1" x14ac:dyDescent="0.25">
      <c r="A7452" s="39"/>
    </row>
    <row r="7453" spans="1:1" ht="15.75" customHeight="1" x14ac:dyDescent="0.25">
      <c r="A7453" s="39"/>
    </row>
    <row r="7454" spans="1:1" ht="15.75" customHeight="1" x14ac:dyDescent="0.25">
      <c r="A7454" s="39"/>
    </row>
    <row r="7455" spans="1:1" ht="15.75" customHeight="1" x14ac:dyDescent="0.25">
      <c r="A7455" s="39"/>
    </row>
    <row r="7456" spans="1:1" ht="15.75" customHeight="1" x14ac:dyDescent="0.25">
      <c r="A7456" s="39"/>
    </row>
    <row r="7457" spans="1:1" ht="15.75" customHeight="1" x14ac:dyDescent="0.25">
      <c r="A7457" s="39"/>
    </row>
    <row r="7458" spans="1:1" ht="15.75" customHeight="1" x14ac:dyDescent="0.25">
      <c r="A7458" s="39"/>
    </row>
    <row r="7459" spans="1:1" ht="15.75" customHeight="1" x14ac:dyDescent="0.25">
      <c r="A7459" s="39"/>
    </row>
    <row r="7460" spans="1:1" ht="15.75" customHeight="1" x14ac:dyDescent="0.25">
      <c r="A7460" s="39"/>
    </row>
    <row r="7461" spans="1:1" ht="15.75" customHeight="1" x14ac:dyDescent="0.25">
      <c r="A7461" s="39"/>
    </row>
    <row r="7462" spans="1:1" ht="15.75" customHeight="1" x14ac:dyDescent="0.25">
      <c r="A7462" s="39"/>
    </row>
    <row r="7463" spans="1:1" ht="15.75" customHeight="1" x14ac:dyDescent="0.25">
      <c r="A7463" s="39"/>
    </row>
    <row r="7464" spans="1:1" ht="15.75" customHeight="1" x14ac:dyDescent="0.25">
      <c r="A7464" s="39"/>
    </row>
    <row r="7465" spans="1:1" ht="15.75" customHeight="1" x14ac:dyDescent="0.25">
      <c r="A7465" s="39"/>
    </row>
    <row r="7466" spans="1:1" ht="15.75" customHeight="1" x14ac:dyDescent="0.25">
      <c r="A7466" s="39"/>
    </row>
    <row r="7467" spans="1:1" ht="15.75" customHeight="1" x14ac:dyDescent="0.25">
      <c r="A7467" s="39"/>
    </row>
    <row r="7468" spans="1:1" ht="15.75" customHeight="1" x14ac:dyDescent="0.25">
      <c r="A7468" s="39"/>
    </row>
    <row r="7469" spans="1:1" ht="15.75" customHeight="1" x14ac:dyDescent="0.25">
      <c r="A7469" s="39"/>
    </row>
    <row r="7470" spans="1:1" ht="15.75" customHeight="1" x14ac:dyDescent="0.25">
      <c r="A7470" s="39"/>
    </row>
    <row r="7471" spans="1:1" ht="15.75" customHeight="1" x14ac:dyDescent="0.25">
      <c r="A7471" s="39"/>
    </row>
    <row r="7472" spans="1:1" ht="15.75" customHeight="1" x14ac:dyDescent="0.25">
      <c r="A7472" s="39"/>
    </row>
    <row r="7473" spans="1:1" ht="15.75" customHeight="1" x14ac:dyDescent="0.25">
      <c r="A7473" s="39"/>
    </row>
    <row r="7474" spans="1:1" ht="15.75" customHeight="1" x14ac:dyDescent="0.25">
      <c r="A7474" s="39"/>
    </row>
    <row r="7475" spans="1:1" ht="15.75" customHeight="1" x14ac:dyDescent="0.25">
      <c r="A7475" s="39"/>
    </row>
    <row r="7476" spans="1:1" ht="15.75" customHeight="1" x14ac:dyDescent="0.25">
      <c r="A7476" s="39"/>
    </row>
    <row r="7477" spans="1:1" ht="15.75" customHeight="1" x14ac:dyDescent="0.25">
      <c r="A7477" s="39"/>
    </row>
    <row r="7478" spans="1:1" ht="15.75" customHeight="1" x14ac:dyDescent="0.25">
      <c r="A7478" s="39"/>
    </row>
    <row r="7479" spans="1:1" ht="15.75" customHeight="1" x14ac:dyDescent="0.25">
      <c r="A7479" s="39"/>
    </row>
    <row r="7480" spans="1:1" ht="15.75" customHeight="1" x14ac:dyDescent="0.25">
      <c r="A7480" s="39"/>
    </row>
    <row r="7481" spans="1:1" ht="15.75" customHeight="1" x14ac:dyDescent="0.25">
      <c r="A7481" s="39"/>
    </row>
    <row r="7482" spans="1:1" ht="15.75" customHeight="1" x14ac:dyDescent="0.25">
      <c r="A7482" s="39"/>
    </row>
    <row r="7483" spans="1:1" ht="15.75" customHeight="1" x14ac:dyDescent="0.25">
      <c r="A7483" s="39"/>
    </row>
    <row r="7484" spans="1:1" ht="15.75" customHeight="1" x14ac:dyDescent="0.25">
      <c r="A7484" s="39"/>
    </row>
    <row r="7485" spans="1:1" ht="15.75" customHeight="1" x14ac:dyDescent="0.25">
      <c r="A7485" s="39"/>
    </row>
    <row r="7486" spans="1:1" ht="15.75" customHeight="1" x14ac:dyDescent="0.25">
      <c r="A7486" s="39"/>
    </row>
    <row r="7487" spans="1:1" ht="15.75" customHeight="1" x14ac:dyDescent="0.25">
      <c r="A7487" s="39"/>
    </row>
    <row r="7488" spans="1:1" ht="15.75" customHeight="1" x14ac:dyDescent="0.25">
      <c r="A7488" s="39"/>
    </row>
    <row r="7489" spans="1:1" ht="15.75" customHeight="1" x14ac:dyDescent="0.25">
      <c r="A7489" s="39"/>
    </row>
    <row r="7490" spans="1:1" ht="15.75" customHeight="1" x14ac:dyDescent="0.25">
      <c r="A7490" s="39"/>
    </row>
    <row r="7491" spans="1:1" ht="15.75" customHeight="1" x14ac:dyDescent="0.25">
      <c r="A7491" s="39"/>
    </row>
    <row r="7492" spans="1:1" ht="15.75" customHeight="1" x14ac:dyDescent="0.25">
      <c r="A7492" s="39"/>
    </row>
    <row r="7493" spans="1:1" ht="15.75" customHeight="1" x14ac:dyDescent="0.25">
      <c r="A7493" s="39"/>
    </row>
    <row r="7494" spans="1:1" ht="15.75" customHeight="1" x14ac:dyDescent="0.25">
      <c r="A7494" s="39"/>
    </row>
    <row r="7495" spans="1:1" ht="15.75" customHeight="1" x14ac:dyDescent="0.25">
      <c r="A7495" s="39"/>
    </row>
    <row r="7496" spans="1:1" ht="15.75" customHeight="1" x14ac:dyDescent="0.25">
      <c r="A7496" s="39"/>
    </row>
    <row r="7497" spans="1:1" ht="15.75" customHeight="1" x14ac:dyDescent="0.25">
      <c r="A7497" s="39"/>
    </row>
    <row r="7498" spans="1:1" ht="15.75" customHeight="1" x14ac:dyDescent="0.25">
      <c r="A7498" s="39"/>
    </row>
    <row r="7499" spans="1:1" ht="15.75" customHeight="1" x14ac:dyDescent="0.25">
      <c r="A7499" s="39"/>
    </row>
    <row r="7500" spans="1:1" ht="15.75" customHeight="1" x14ac:dyDescent="0.25">
      <c r="A7500" s="39"/>
    </row>
    <row r="7501" spans="1:1" ht="15.75" customHeight="1" x14ac:dyDescent="0.25">
      <c r="A7501" s="39"/>
    </row>
    <row r="7502" spans="1:1" ht="15.75" customHeight="1" x14ac:dyDescent="0.25">
      <c r="A7502" s="39"/>
    </row>
    <row r="7503" spans="1:1" ht="15.75" customHeight="1" x14ac:dyDescent="0.25">
      <c r="A7503" s="39"/>
    </row>
    <row r="7504" spans="1:1" ht="15.75" customHeight="1" x14ac:dyDescent="0.25">
      <c r="A7504" s="39"/>
    </row>
    <row r="7505" spans="1:1" ht="15.75" customHeight="1" x14ac:dyDescent="0.25">
      <c r="A7505" s="39"/>
    </row>
    <row r="7506" spans="1:1" ht="15.75" customHeight="1" x14ac:dyDescent="0.25">
      <c r="A7506" s="39"/>
    </row>
    <row r="7507" spans="1:1" ht="15.75" customHeight="1" x14ac:dyDescent="0.25">
      <c r="A7507" s="39"/>
    </row>
    <row r="7508" spans="1:1" ht="15.75" customHeight="1" x14ac:dyDescent="0.25">
      <c r="A7508" s="39"/>
    </row>
    <row r="7509" spans="1:1" ht="15.75" customHeight="1" x14ac:dyDescent="0.25">
      <c r="A7509" s="39"/>
    </row>
    <row r="7510" spans="1:1" ht="15.75" customHeight="1" x14ac:dyDescent="0.25">
      <c r="A7510" s="39"/>
    </row>
    <row r="7511" spans="1:1" ht="15.75" customHeight="1" x14ac:dyDescent="0.25">
      <c r="A7511" s="39"/>
    </row>
    <row r="7512" spans="1:1" ht="15.75" customHeight="1" x14ac:dyDescent="0.25">
      <c r="A7512" s="39"/>
    </row>
    <row r="7513" spans="1:1" ht="15.75" customHeight="1" x14ac:dyDescent="0.25">
      <c r="A7513" s="39"/>
    </row>
    <row r="7514" spans="1:1" ht="15.75" customHeight="1" x14ac:dyDescent="0.25">
      <c r="A7514" s="39"/>
    </row>
    <row r="7515" spans="1:1" ht="15.75" customHeight="1" x14ac:dyDescent="0.25">
      <c r="A7515" s="39"/>
    </row>
    <row r="7516" spans="1:1" ht="15.75" customHeight="1" x14ac:dyDescent="0.25">
      <c r="A7516" s="39"/>
    </row>
    <row r="7517" spans="1:1" ht="15.75" customHeight="1" x14ac:dyDescent="0.25">
      <c r="A7517" s="39"/>
    </row>
    <row r="7518" spans="1:1" ht="15.75" customHeight="1" x14ac:dyDescent="0.25">
      <c r="A7518" s="39"/>
    </row>
    <row r="7519" spans="1:1" ht="15.75" customHeight="1" x14ac:dyDescent="0.25">
      <c r="A7519" s="39"/>
    </row>
    <row r="7520" spans="1:1" ht="15.75" customHeight="1" x14ac:dyDescent="0.25">
      <c r="A7520" s="39"/>
    </row>
    <row r="7521" spans="1:1" ht="15.75" customHeight="1" x14ac:dyDescent="0.25">
      <c r="A7521" s="39"/>
    </row>
    <row r="7522" spans="1:1" ht="15.75" customHeight="1" x14ac:dyDescent="0.25">
      <c r="A7522" s="39"/>
    </row>
    <row r="7523" spans="1:1" ht="15.75" customHeight="1" x14ac:dyDescent="0.25">
      <c r="A7523" s="39"/>
    </row>
    <row r="7524" spans="1:1" ht="15.75" customHeight="1" x14ac:dyDescent="0.25">
      <c r="A7524" s="39"/>
    </row>
    <row r="7525" spans="1:1" ht="15.75" customHeight="1" x14ac:dyDescent="0.25">
      <c r="A7525" s="39"/>
    </row>
    <row r="7526" spans="1:1" ht="15.75" customHeight="1" x14ac:dyDescent="0.25">
      <c r="A7526" s="39"/>
    </row>
    <row r="7527" spans="1:1" ht="15.75" customHeight="1" x14ac:dyDescent="0.25">
      <c r="A7527" s="39"/>
    </row>
    <row r="7528" spans="1:1" ht="15.75" customHeight="1" x14ac:dyDescent="0.25">
      <c r="A7528" s="39"/>
    </row>
    <row r="7529" spans="1:1" ht="15.75" customHeight="1" x14ac:dyDescent="0.25">
      <c r="A7529" s="39"/>
    </row>
    <row r="7530" spans="1:1" ht="15.75" customHeight="1" x14ac:dyDescent="0.25">
      <c r="A7530" s="39"/>
    </row>
    <row r="7531" spans="1:1" ht="15.75" customHeight="1" x14ac:dyDescent="0.25">
      <c r="A7531" s="39"/>
    </row>
    <row r="7532" spans="1:1" ht="15.75" customHeight="1" x14ac:dyDescent="0.25">
      <c r="A7532" s="39"/>
    </row>
    <row r="7533" spans="1:1" ht="15.75" customHeight="1" x14ac:dyDescent="0.25">
      <c r="A7533" s="39"/>
    </row>
    <row r="7534" spans="1:1" ht="15.75" customHeight="1" x14ac:dyDescent="0.25">
      <c r="A7534" s="39"/>
    </row>
    <row r="7535" spans="1:1" ht="15.75" customHeight="1" x14ac:dyDescent="0.25">
      <c r="A7535" s="39"/>
    </row>
    <row r="7536" spans="1:1" ht="15.75" customHeight="1" x14ac:dyDescent="0.25">
      <c r="A7536" s="39"/>
    </row>
    <row r="7537" spans="1:1" ht="15.75" customHeight="1" x14ac:dyDescent="0.25">
      <c r="A7537" s="39"/>
    </row>
    <row r="7538" spans="1:1" ht="15.75" customHeight="1" x14ac:dyDescent="0.25">
      <c r="A7538" s="39"/>
    </row>
    <row r="7539" spans="1:1" ht="15.75" customHeight="1" x14ac:dyDescent="0.25">
      <c r="A7539" s="39"/>
    </row>
    <row r="7540" spans="1:1" ht="15.75" customHeight="1" x14ac:dyDescent="0.25">
      <c r="A7540" s="39"/>
    </row>
    <row r="7541" spans="1:1" ht="15.75" customHeight="1" x14ac:dyDescent="0.25">
      <c r="A7541" s="39"/>
    </row>
    <row r="7542" spans="1:1" ht="15.75" customHeight="1" x14ac:dyDescent="0.25">
      <c r="A7542" s="39"/>
    </row>
    <row r="7543" spans="1:1" ht="15.75" customHeight="1" x14ac:dyDescent="0.25">
      <c r="A7543" s="39"/>
    </row>
    <row r="7544" spans="1:1" ht="15.75" customHeight="1" x14ac:dyDescent="0.25">
      <c r="A7544" s="39"/>
    </row>
    <row r="7545" spans="1:1" ht="15.75" customHeight="1" x14ac:dyDescent="0.25">
      <c r="A7545" s="39"/>
    </row>
    <row r="7546" spans="1:1" ht="15.75" customHeight="1" x14ac:dyDescent="0.25">
      <c r="A7546" s="39"/>
    </row>
    <row r="7547" spans="1:1" ht="15.75" customHeight="1" x14ac:dyDescent="0.25">
      <c r="A7547" s="39"/>
    </row>
    <row r="7548" spans="1:1" ht="15.75" customHeight="1" x14ac:dyDescent="0.25">
      <c r="A7548" s="39"/>
    </row>
    <row r="7549" spans="1:1" ht="15.75" customHeight="1" x14ac:dyDescent="0.25">
      <c r="A7549" s="39"/>
    </row>
    <row r="7550" spans="1:1" ht="15.75" customHeight="1" x14ac:dyDescent="0.25">
      <c r="A7550" s="39"/>
    </row>
    <row r="7551" spans="1:1" ht="15.75" customHeight="1" x14ac:dyDescent="0.25">
      <c r="A7551" s="39"/>
    </row>
    <row r="7552" spans="1:1" ht="15.75" customHeight="1" x14ac:dyDescent="0.25">
      <c r="A7552" s="39"/>
    </row>
    <row r="7553" spans="1:1" ht="15.75" customHeight="1" x14ac:dyDescent="0.25">
      <c r="A7553" s="39"/>
    </row>
    <row r="7554" spans="1:1" ht="15.75" customHeight="1" x14ac:dyDescent="0.25">
      <c r="A7554" s="39"/>
    </row>
    <row r="7555" spans="1:1" ht="15.75" customHeight="1" x14ac:dyDescent="0.25">
      <c r="A7555" s="39"/>
    </row>
    <row r="7556" spans="1:1" ht="15.75" customHeight="1" x14ac:dyDescent="0.25">
      <c r="A7556" s="39"/>
    </row>
    <row r="7557" spans="1:1" ht="15.75" customHeight="1" x14ac:dyDescent="0.25">
      <c r="A7557" s="39"/>
    </row>
    <row r="7558" spans="1:1" ht="15.75" customHeight="1" x14ac:dyDescent="0.25">
      <c r="A7558" s="39"/>
    </row>
    <row r="7559" spans="1:1" ht="15.75" customHeight="1" x14ac:dyDescent="0.25">
      <c r="A7559" s="39"/>
    </row>
    <row r="7560" spans="1:1" ht="15.75" customHeight="1" x14ac:dyDescent="0.25">
      <c r="A7560" s="39"/>
    </row>
    <row r="7561" spans="1:1" ht="15.75" customHeight="1" x14ac:dyDescent="0.25">
      <c r="A7561" s="39"/>
    </row>
    <row r="7562" spans="1:1" ht="15.75" customHeight="1" x14ac:dyDescent="0.25">
      <c r="A7562" s="39"/>
    </row>
    <row r="7563" spans="1:1" ht="15.75" customHeight="1" x14ac:dyDescent="0.25">
      <c r="A7563" s="39"/>
    </row>
    <row r="7564" spans="1:1" ht="15.75" customHeight="1" x14ac:dyDescent="0.25">
      <c r="A7564" s="39"/>
    </row>
    <row r="7565" spans="1:1" ht="15.75" customHeight="1" x14ac:dyDescent="0.25">
      <c r="A7565" s="39"/>
    </row>
    <row r="7566" spans="1:1" ht="15.75" customHeight="1" x14ac:dyDescent="0.25">
      <c r="A7566" s="39"/>
    </row>
    <row r="7567" spans="1:1" ht="15.75" customHeight="1" x14ac:dyDescent="0.25">
      <c r="A7567" s="39"/>
    </row>
    <row r="7568" spans="1:1" ht="15.75" customHeight="1" x14ac:dyDescent="0.25">
      <c r="A7568" s="39"/>
    </row>
    <row r="7569" spans="1:1" ht="15.75" customHeight="1" x14ac:dyDescent="0.25">
      <c r="A7569" s="39"/>
    </row>
    <row r="7570" spans="1:1" ht="15.75" customHeight="1" x14ac:dyDescent="0.25">
      <c r="A7570" s="39"/>
    </row>
    <row r="7571" spans="1:1" ht="15.75" customHeight="1" x14ac:dyDescent="0.25">
      <c r="A7571" s="39"/>
    </row>
    <row r="7572" spans="1:1" ht="15.75" customHeight="1" x14ac:dyDescent="0.25">
      <c r="A7572" s="39"/>
    </row>
    <row r="7573" spans="1:1" ht="15.75" customHeight="1" x14ac:dyDescent="0.25">
      <c r="A7573" s="39"/>
    </row>
    <row r="7574" spans="1:1" ht="15.75" customHeight="1" x14ac:dyDescent="0.25">
      <c r="A7574" s="39"/>
    </row>
    <row r="7575" spans="1:1" ht="15.75" customHeight="1" x14ac:dyDescent="0.25">
      <c r="A7575" s="39"/>
    </row>
    <row r="7576" spans="1:1" ht="15.75" customHeight="1" x14ac:dyDescent="0.25">
      <c r="A7576" s="39"/>
    </row>
    <row r="7577" spans="1:1" ht="15.75" customHeight="1" x14ac:dyDescent="0.25">
      <c r="A7577" s="39"/>
    </row>
    <row r="7578" spans="1:1" ht="15.75" customHeight="1" x14ac:dyDescent="0.25">
      <c r="A7578" s="39"/>
    </row>
    <row r="7579" spans="1:1" ht="15.75" customHeight="1" x14ac:dyDescent="0.25">
      <c r="A7579" s="39"/>
    </row>
    <row r="7580" spans="1:1" ht="15.75" customHeight="1" x14ac:dyDescent="0.25">
      <c r="A7580" s="39"/>
    </row>
    <row r="7581" spans="1:1" ht="15.75" customHeight="1" x14ac:dyDescent="0.25">
      <c r="A7581" s="39"/>
    </row>
    <row r="7582" spans="1:1" ht="15.75" customHeight="1" x14ac:dyDescent="0.25">
      <c r="A7582" s="39"/>
    </row>
    <row r="7583" spans="1:1" ht="15.75" customHeight="1" x14ac:dyDescent="0.25">
      <c r="A7583" s="39"/>
    </row>
    <row r="7584" spans="1:1" ht="15.75" customHeight="1" x14ac:dyDescent="0.25">
      <c r="A7584" s="39"/>
    </row>
    <row r="7585" spans="1:1" ht="15.75" customHeight="1" x14ac:dyDescent="0.25">
      <c r="A7585" s="39"/>
    </row>
    <row r="7586" spans="1:1" ht="15.75" customHeight="1" x14ac:dyDescent="0.25">
      <c r="A7586" s="39"/>
    </row>
    <row r="7587" spans="1:1" ht="15.75" customHeight="1" x14ac:dyDescent="0.25">
      <c r="A7587" s="39"/>
    </row>
    <row r="7588" spans="1:1" ht="15.75" customHeight="1" x14ac:dyDescent="0.25">
      <c r="A7588" s="39"/>
    </row>
    <row r="7589" spans="1:1" ht="15.75" customHeight="1" x14ac:dyDescent="0.25">
      <c r="A7589" s="39"/>
    </row>
    <row r="7590" spans="1:1" ht="15.75" customHeight="1" x14ac:dyDescent="0.25">
      <c r="A7590" s="39"/>
    </row>
    <row r="7591" spans="1:1" ht="15.75" customHeight="1" x14ac:dyDescent="0.25">
      <c r="A7591" s="39"/>
    </row>
    <row r="7592" spans="1:1" ht="15.75" customHeight="1" x14ac:dyDescent="0.25">
      <c r="A7592" s="39"/>
    </row>
    <row r="7593" spans="1:1" ht="15.75" customHeight="1" x14ac:dyDescent="0.25">
      <c r="A7593" s="39"/>
    </row>
    <row r="7594" spans="1:1" ht="15.75" customHeight="1" x14ac:dyDescent="0.25">
      <c r="A7594" s="39"/>
    </row>
    <row r="7595" spans="1:1" ht="15.75" customHeight="1" x14ac:dyDescent="0.25">
      <c r="A7595" s="39"/>
    </row>
    <row r="7596" spans="1:1" ht="15.75" customHeight="1" x14ac:dyDescent="0.25">
      <c r="A7596" s="39"/>
    </row>
    <row r="7597" spans="1:1" ht="15.75" customHeight="1" x14ac:dyDescent="0.25">
      <c r="A7597" s="39"/>
    </row>
    <row r="7598" spans="1:1" ht="15.75" customHeight="1" x14ac:dyDescent="0.25">
      <c r="A7598" s="39"/>
    </row>
    <row r="7599" spans="1:1" ht="15.75" customHeight="1" x14ac:dyDescent="0.25">
      <c r="A7599" s="39"/>
    </row>
    <row r="7600" spans="1:1" ht="15.75" customHeight="1" x14ac:dyDescent="0.25">
      <c r="A7600" s="39"/>
    </row>
    <row r="7601" spans="1:1" ht="15.75" customHeight="1" x14ac:dyDescent="0.25">
      <c r="A7601" s="39"/>
    </row>
    <row r="7602" spans="1:1" ht="15.75" customHeight="1" x14ac:dyDescent="0.25">
      <c r="A7602" s="39"/>
    </row>
    <row r="7603" spans="1:1" ht="15.75" customHeight="1" x14ac:dyDescent="0.25">
      <c r="A7603" s="39"/>
    </row>
    <row r="7604" spans="1:1" ht="15.75" customHeight="1" x14ac:dyDescent="0.25">
      <c r="A7604" s="39"/>
    </row>
    <row r="7605" spans="1:1" ht="15.75" customHeight="1" x14ac:dyDescent="0.25">
      <c r="A7605" s="39"/>
    </row>
    <row r="7606" spans="1:1" ht="15.75" customHeight="1" x14ac:dyDescent="0.25">
      <c r="A7606" s="39"/>
    </row>
    <row r="7607" spans="1:1" ht="15.75" customHeight="1" x14ac:dyDescent="0.25">
      <c r="A7607" s="39"/>
    </row>
    <row r="7608" spans="1:1" ht="15.75" customHeight="1" x14ac:dyDescent="0.25">
      <c r="A7608" s="39"/>
    </row>
    <row r="7609" spans="1:1" ht="15.75" customHeight="1" x14ac:dyDescent="0.25">
      <c r="A7609" s="39"/>
    </row>
    <row r="7610" spans="1:1" ht="15.75" customHeight="1" x14ac:dyDescent="0.25">
      <c r="A7610" s="39"/>
    </row>
    <row r="7611" spans="1:1" ht="15.75" customHeight="1" x14ac:dyDescent="0.25">
      <c r="A7611" s="39"/>
    </row>
    <row r="7612" spans="1:1" ht="15.75" customHeight="1" x14ac:dyDescent="0.25">
      <c r="A7612" s="39"/>
    </row>
    <row r="7613" spans="1:1" ht="15.75" customHeight="1" x14ac:dyDescent="0.25">
      <c r="A7613" s="39"/>
    </row>
    <row r="7614" spans="1:1" ht="15.75" customHeight="1" x14ac:dyDescent="0.25">
      <c r="A7614" s="39"/>
    </row>
    <row r="7615" spans="1:1" ht="15.75" customHeight="1" x14ac:dyDescent="0.25">
      <c r="A7615" s="39"/>
    </row>
    <row r="7616" spans="1:1" ht="15.75" customHeight="1" x14ac:dyDescent="0.25">
      <c r="A7616" s="39"/>
    </row>
    <row r="7617" spans="1:1" ht="15.75" customHeight="1" x14ac:dyDescent="0.25">
      <c r="A7617" s="39"/>
    </row>
    <row r="7618" spans="1:1" ht="15.75" customHeight="1" x14ac:dyDescent="0.25">
      <c r="A7618" s="39"/>
    </row>
    <row r="7619" spans="1:1" ht="15.75" customHeight="1" x14ac:dyDescent="0.25">
      <c r="A7619" s="39"/>
    </row>
    <row r="7620" spans="1:1" ht="15.75" customHeight="1" x14ac:dyDescent="0.25">
      <c r="A7620" s="39"/>
    </row>
    <row r="7621" spans="1:1" ht="15.75" customHeight="1" x14ac:dyDescent="0.25">
      <c r="A7621" s="39"/>
    </row>
    <row r="7622" spans="1:1" ht="15.75" customHeight="1" x14ac:dyDescent="0.25">
      <c r="A7622" s="39"/>
    </row>
    <row r="7623" spans="1:1" ht="15.75" customHeight="1" x14ac:dyDescent="0.25">
      <c r="A7623" s="39"/>
    </row>
    <row r="7624" spans="1:1" ht="15.75" customHeight="1" x14ac:dyDescent="0.25">
      <c r="A7624" s="39"/>
    </row>
    <row r="7625" spans="1:1" ht="15.75" customHeight="1" x14ac:dyDescent="0.25">
      <c r="A7625" s="39"/>
    </row>
    <row r="7626" spans="1:1" ht="15.75" customHeight="1" x14ac:dyDescent="0.25">
      <c r="A7626" s="39"/>
    </row>
    <row r="7627" spans="1:1" ht="15.75" customHeight="1" x14ac:dyDescent="0.25">
      <c r="A7627" s="39"/>
    </row>
    <row r="7628" spans="1:1" ht="15.75" customHeight="1" x14ac:dyDescent="0.25">
      <c r="A7628" s="39"/>
    </row>
    <row r="7629" spans="1:1" ht="15.75" customHeight="1" x14ac:dyDescent="0.25">
      <c r="A7629" s="39"/>
    </row>
    <row r="7630" spans="1:1" ht="15.75" customHeight="1" x14ac:dyDescent="0.25">
      <c r="A7630" s="39"/>
    </row>
    <row r="7631" spans="1:1" ht="15.75" customHeight="1" x14ac:dyDescent="0.25">
      <c r="A7631" s="39"/>
    </row>
    <row r="7632" spans="1:1" ht="15.75" customHeight="1" x14ac:dyDescent="0.25">
      <c r="A7632" s="39"/>
    </row>
    <row r="7633" spans="1:1" ht="15.75" customHeight="1" x14ac:dyDescent="0.25">
      <c r="A7633" s="39"/>
    </row>
    <row r="7634" spans="1:1" ht="15.75" customHeight="1" x14ac:dyDescent="0.25">
      <c r="A7634" s="39"/>
    </row>
    <row r="7635" spans="1:1" ht="15.75" customHeight="1" x14ac:dyDescent="0.25">
      <c r="A7635" s="39"/>
    </row>
    <row r="7636" spans="1:1" ht="15.75" customHeight="1" x14ac:dyDescent="0.25">
      <c r="A7636" s="39"/>
    </row>
    <row r="7637" spans="1:1" ht="15.75" customHeight="1" x14ac:dyDescent="0.25">
      <c r="A7637" s="39"/>
    </row>
    <row r="7638" spans="1:1" ht="15.75" customHeight="1" x14ac:dyDescent="0.25">
      <c r="A7638" s="39"/>
    </row>
    <row r="7639" spans="1:1" ht="15.75" customHeight="1" x14ac:dyDescent="0.25">
      <c r="A7639" s="39"/>
    </row>
    <row r="7640" spans="1:1" ht="15.75" customHeight="1" x14ac:dyDescent="0.25">
      <c r="A7640" s="39"/>
    </row>
    <row r="7641" spans="1:1" ht="15.75" customHeight="1" x14ac:dyDescent="0.25">
      <c r="A7641" s="39"/>
    </row>
    <row r="7642" spans="1:1" ht="15.75" customHeight="1" x14ac:dyDescent="0.25">
      <c r="A7642" s="39"/>
    </row>
    <row r="7643" spans="1:1" ht="15.75" customHeight="1" x14ac:dyDescent="0.25">
      <c r="A7643" s="39"/>
    </row>
    <row r="7644" spans="1:1" ht="15.75" customHeight="1" x14ac:dyDescent="0.25">
      <c r="A7644" s="39"/>
    </row>
    <row r="7645" spans="1:1" ht="15.75" customHeight="1" x14ac:dyDescent="0.25">
      <c r="A7645" s="39"/>
    </row>
    <row r="7646" spans="1:1" ht="15.75" customHeight="1" x14ac:dyDescent="0.25">
      <c r="A7646" s="39"/>
    </row>
    <row r="7647" spans="1:1" ht="15.75" customHeight="1" x14ac:dyDescent="0.25">
      <c r="A7647" s="39"/>
    </row>
    <row r="7648" spans="1:1" ht="15.75" customHeight="1" x14ac:dyDescent="0.25">
      <c r="A7648" s="39"/>
    </row>
    <row r="7649" spans="1:1" ht="15.75" customHeight="1" x14ac:dyDescent="0.25">
      <c r="A7649" s="39"/>
    </row>
    <row r="7650" spans="1:1" ht="15.75" customHeight="1" x14ac:dyDescent="0.25">
      <c r="A7650" s="39"/>
    </row>
    <row r="7651" spans="1:1" ht="15.75" customHeight="1" x14ac:dyDescent="0.25">
      <c r="A7651" s="39"/>
    </row>
    <row r="7652" spans="1:1" ht="15.75" customHeight="1" x14ac:dyDescent="0.25">
      <c r="A7652" s="39"/>
    </row>
    <row r="7653" spans="1:1" ht="15.75" customHeight="1" x14ac:dyDescent="0.25">
      <c r="A7653" s="39"/>
    </row>
    <row r="7654" spans="1:1" ht="15.75" customHeight="1" x14ac:dyDescent="0.25">
      <c r="A7654" s="39"/>
    </row>
    <row r="7655" spans="1:1" ht="15.75" customHeight="1" x14ac:dyDescent="0.25">
      <c r="A7655" s="39"/>
    </row>
    <row r="7656" spans="1:1" ht="15.75" customHeight="1" x14ac:dyDescent="0.25">
      <c r="A7656" s="39"/>
    </row>
    <row r="7657" spans="1:1" ht="15.75" customHeight="1" x14ac:dyDescent="0.25">
      <c r="A7657" s="39"/>
    </row>
    <row r="7658" spans="1:1" ht="15.75" customHeight="1" x14ac:dyDescent="0.25">
      <c r="A7658" s="39"/>
    </row>
    <row r="7659" spans="1:1" ht="15.75" customHeight="1" x14ac:dyDescent="0.25">
      <c r="A7659" s="39"/>
    </row>
    <row r="7660" spans="1:1" ht="15.75" customHeight="1" x14ac:dyDescent="0.25">
      <c r="A7660" s="39"/>
    </row>
    <row r="7661" spans="1:1" ht="15.75" customHeight="1" x14ac:dyDescent="0.25">
      <c r="A7661" s="39"/>
    </row>
    <row r="7662" spans="1:1" ht="15.75" customHeight="1" x14ac:dyDescent="0.25">
      <c r="A7662" s="39"/>
    </row>
    <row r="7663" spans="1:1" ht="15.75" customHeight="1" x14ac:dyDescent="0.25">
      <c r="A7663" s="39"/>
    </row>
    <row r="7664" spans="1:1" ht="15.75" customHeight="1" x14ac:dyDescent="0.25">
      <c r="A7664" s="39"/>
    </row>
    <row r="7665" spans="1:1" ht="15.75" customHeight="1" x14ac:dyDescent="0.25">
      <c r="A7665" s="39"/>
    </row>
    <row r="7666" spans="1:1" ht="15.75" customHeight="1" x14ac:dyDescent="0.25">
      <c r="A7666" s="39"/>
    </row>
    <row r="7667" spans="1:1" ht="15.75" customHeight="1" x14ac:dyDescent="0.25">
      <c r="A7667" s="39"/>
    </row>
    <row r="7668" spans="1:1" ht="15.75" customHeight="1" x14ac:dyDescent="0.25">
      <c r="A7668" s="39"/>
    </row>
    <row r="7669" spans="1:1" ht="15.75" customHeight="1" x14ac:dyDescent="0.25">
      <c r="A7669" s="39"/>
    </row>
    <row r="7670" spans="1:1" ht="15.75" customHeight="1" x14ac:dyDescent="0.25">
      <c r="A7670" s="39"/>
    </row>
    <row r="7671" spans="1:1" ht="15.75" customHeight="1" x14ac:dyDescent="0.25">
      <c r="A7671" s="39"/>
    </row>
    <row r="7672" spans="1:1" ht="15.75" customHeight="1" x14ac:dyDescent="0.25">
      <c r="A7672" s="39"/>
    </row>
    <row r="7673" spans="1:1" ht="15.75" customHeight="1" x14ac:dyDescent="0.25">
      <c r="A7673" s="39"/>
    </row>
    <row r="7674" spans="1:1" ht="15.75" customHeight="1" x14ac:dyDescent="0.25">
      <c r="A7674" s="39"/>
    </row>
    <row r="7675" spans="1:1" ht="15.75" customHeight="1" x14ac:dyDescent="0.25">
      <c r="A7675" s="39"/>
    </row>
    <row r="7676" spans="1:1" ht="15.75" customHeight="1" x14ac:dyDescent="0.25">
      <c r="A7676" s="39"/>
    </row>
    <row r="7677" spans="1:1" ht="15.75" customHeight="1" x14ac:dyDescent="0.25">
      <c r="A7677" s="39"/>
    </row>
    <row r="7678" spans="1:1" ht="15.75" customHeight="1" x14ac:dyDescent="0.25">
      <c r="A7678" s="39"/>
    </row>
    <row r="7679" spans="1:1" ht="15.75" customHeight="1" x14ac:dyDescent="0.25">
      <c r="A7679" s="39"/>
    </row>
    <row r="7680" spans="1:1" ht="15.75" customHeight="1" x14ac:dyDescent="0.25">
      <c r="A7680" s="39"/>
    </row>
    <row r="7681" spans="1:1" ht="15.75" customHeight="1" x14ac:dyDescent="0.25">
      <c r="A7681" s="39"/>
    </row>
    <row r="7682" spans="1:1" ht="15.75" customHeight="1" x14ac:dyDescent="0.25">
      <c r="A7682" s="39"/>
    </row>
    <row r="7683" spans="1:1" ht="15.75" customHeight="1" x14ac:dyDescent="0.25">
      <c r="A7683" s="39"/>
    </row>
    <row r="7684" spans="1:1" ht="15.75" customHeight="1" x14ac:dyDescent="0.25">
      <c r="A7684" s="39"/>
    </row>
    <row r="7685" spans="1:1" ht="15.75" customHeight="1" x14ac:dyDescent="0.25">
      <c r="A7685" s="39"/>
    </row>
    <row r="7686" spans="1:1" ht="15.75" customHeight="1" x14ac:dyDescent="0.25">
      <c r="A7686" s="39"/>
    </row>
    <row r="7687" spans="1:1" ht="15.75" customHeight="1" x14ac:dyDescent="0.25">
      <c r="A7687" s="39"/>
    </row>
    <row r="7688" spans="1:1" ht="15.75" customHeight="1" x14ac:dyDescent="0.25">
      <c r="A7688" s="39"/>
    </row>
    <row r="7689" spans="1:1" ht="15.75" customHeight="1" x14ac:dyDescent="0.25">
      <c r="A7689" s="39"/>
    </row>
    <row r="7690" spans="1:1" ht="15.75" customHeight="1" x14ac:dyDescent="0.25">
      <c r="A7690" s="39"/>
    </row>
    <row r="7691" spans="1:1" ht="15.75" customHeight="1" x14ac:dyDescent="0.25">
      <c r="A7691" s="39"/>
    </row>
    <row r="7692" spans="1:1" ht="15.75" customHeight="1" x14ac:dyDescent="0.25">
      <c r="A7692" s="39"/>
    </row>
    <row r="7693" spans="1:1" ht="15.75" customHeight="1" x14ac:dyDescent="0.25">
      <c r="A7693" s="39"/>
    </row>
    <row r="7694" spans="1:1" ht="15.75" customHeight="1" x14ac:dyDescent="0.25">
      <c r="A7694" s="39"/>
    </row>
    <row r="7695" spans="1:1" ht="15.75" customHeight="1" x14ac:dyDescent="0.25">
      <c r="A7695" s="39"/>
    </row>
    <row r="7696" spans="1:1" ht="15.75" customHeight="1" x14ac:dyDescent="0.25">
      <c r="A7696" s="39"/>
    </row>
    <row r="7697" spans="1:1" ht="15.75" customHeight="1" x14ac:dyDescent="0.25">
      <c r="A7697" s="39"/>
    </row>
    <row r="7698" spans="1:1" ht="15.75" customHeight="1" x14ac:dyDescent="0.25">
      <c r="A7698" s="39"/>
    </row>
    <row r="7699" spans="1:1" ht="15.75" customHeight="1" x14ac:dyDescent="0.25">
      <c r="A7699" s="39"/>
    </row>
    <row r="7700" spans="1:1" ht="15.75" customHeight="1" x14ac:dyDescent="0.25">
      <c r="A7700" s="39"/>
    </row>
    <row r="7701" spans="1:1" ht="15.75" customHeight="1" x14ac:dyDescent="0.25">
      <c r="A7701" s="39"/>
    </row>
    <row r="7702" spans="1:1" ht="15.75" customHeight="1" x14ac:dyDescent="0.25">
      <c r="A7702" s="39"/>
    </row>
    <row r="7703" spans="1:1" ht="15.75" customHeight="1" x14ac:dyDescent="0.25">
      <c r="A7703" s="39"/>
    </row>
    <row r="7704" spans="1:1" ht="15.75" customHeight="1" x14ac:dyDescent="0.25">
      <c r="A7704" s="39"/>
    </row>
    <row r="7705" spans="1:1" ht="15.75" customHeight="1" x14ac:dyDescent="0.25">
      <c r="A7705" s="39"/>
    </row>
    <row r="7706" spans="1:1" ht="15.75" customHeight="1" x14ac:dyDescent="0.25">
      <c r="A7706" s="39"/>
    </row>
    <row r="7707" spans="1:1" ht="15.75" customHeight="1" x14ac:dyDescent="0.25">
      <c r="A7707" s="39"/>
    </row>
    <row r="7708" spans="1:1" ht="15.75" customHeight="1" x14ac:dyDescent="0.25">
      <c r="A7708" s="39"/>
    </row>
    <row r="7709" spans="1:1" ht="15.75" customHeight="1" x14ac:dyDescent="0.25">
      <c r="A7709" s="39"/>
    </row>
    <row r="7710" spans="1:1" ht="15.75" customHeight="1" x14ac:dyDescent="0.25">
      <c r="A7710" s="39"/>
    </row>
    <row r="7711" spans="1:1" ht="15.75" customHeight="1" x14ac:dyDescent="0.25">
      <c r="A7711" s="39"/>
    </row>
    <row r="7712" spans="1:1" ht="15.75" customHeight="1" x14ac:dyDescent="0.25">
      <c r="A7712" s="39"/>
    </row>
    <row r="7713" spans="1:1" ht="15.75" customHeight="1" x14ac:dyDescent="0.25">
      <c r="A7713" s="39"/>
    </row>
    <row r="7714" spans="1:1" ht="15.75" customHeight="1" x14ac:dyDescent="0.25">
      <c r="A7714" s="39"/>
    </row>
    <row r="7715" spans="1:1" ht="15.75" customHeight="1" x14ac:dyDescent="0.25">
      <c r="A7715" s="39"/>
    </row>
    <row r="7716" spans="1:1" ht="15.75" customHeight="1" x14ac:dyDescent="0.25">
      <c r="A7716" s="39"/>
    </row>
    <row r="7717" spans="1:1" ht="15.75" customHeight="1" x14ac:dyDescent="0.25">
      <c r="A7717" s="39"/>
    </row>
    <row r="7718" spans="1:1" ht="15.75" customHeight="1" x14ac:dyDescent="0.25">
      <c r="A7718" s="39"/>
    </row>
    <row r="7719" spans="1:1" ht="15.75" customHeight="1" x14ac:dyDescent="0.25">
      <c r="A7719" s="39"/>
    </row>
    <row r="7720" spans="1:1" ht="15.75" customHeight="1" x14ac:dyDescent="0.25">
      <c r="A7720" s="39"/>
    </row>
    <row r="7721" spans="1:1" ht="15.75" customHeight="1" x14ac:dyDescent="0.25">
      <c r="A7721" s="39"/>
    </row>
    <row r="7722" spans="1:1" ht="15.75" customHeight="1" x14ac:dyDescent="0.25">
      <c r="A7722" s="39"/>
    </row>
    <row r="7723" spans="1:1" ht="15.75" customHeight="1" x14ac:dyDescent="0.25">
      <c r="A7723" s="39"/>
    </row>
    <row r="7724" spans="1:1" ht="15.75" customHeight="1" x14ac:dyDescent="0.25">
      <c r="A7724" s="39"/>
    </row>
    <row r="7725" spans="1:1" ht="15.75" customHeight="1" x14ac:dyDescent="0.25">
      <c r="A7725" s="39"/>
    </row>
    <row r="7726" spans="1:1" ht="15.75" customHeight="1" x14ac:dyDescent="0.25">
      <c r="A7726" s="39"/>
    </row>
    <row r="7727" spans="1:1" ht="15.75" customHeight="1" x14ac:dyDescent="0.25">
      <c r="A7727" s="39"/>
    </row>
    <row r="7728" spans="1:1" ht="15.75" customHeight="1" x14ac:dyDescent="0.25">
      <c r="A7728" s="39"/>
    </row>
    <row r="7729" spans="1:1" ht="15.75" customHeight="1" x14ac:dyDescent="0.25">
      <c r="A7729" s="39"/>
    </row>
    <row r="7730" spans="1:1" ht="15.75" customHeight="1" x14ac:dyDescent="0.25">
      <c r="A7730" s="39"/>
    </row>
    <row r="7731" spans="1:1" ht="15.75" customHeight="1" x14ac:dyDescent="0.25">
      <c r="A7731" s="39"/>
    </row>
    <row r="7732" spans="1:1" ht="15.75" customHeight="1" x14ac:dyDescent="0.25">
      <c r="A7732" s="39"/>
    </row>
    <row r="7733" spans="1:1" ht="15.75" customHeight="1" x14ac:dyDescent="0.25">
      <c r="A7733" s="39"/>
    </row>
    <row r="7734" spans="1:1" ht="15.75" customHeight="1" x14ac:dyDescent="0.25">
      <c r="A7734" s="39"/>
    </row>
    <row r="7735" spans="1:1" ht="15.75" customHeight="1" x14ac:dyDescent="0.25">
      <c r="A7735" s="39"/>
    </row>
    <row r="7736" spans="1:1" ht="15.75" customHeight="1" x14ac:dyDescent="0.25">
      <c r="A7736" s="39"/>
    </row>
    <row r="7737" spans="1:1" ht="15.75" customHeight="1" x14ac:dyDescent="0.25">
      <c r="A7737" s="39"/>
    </row>
    <row r="7738" spans="1:1" ht="15.75" customHeight="1" x14ac:dyDescent="0.25">
      <c r="A7738" s="39"/>
    </row>
    <row r="7739" spans="1:1" ht="15.75" customHeight="1" x14ac:dyDescent="0.25">
      <c r="A7739" s="39"/>
    </row>
    <row r="7740" spans="1:1" ht="15.75" customHeight="1" x14ac:dyDescent="0.25">
      <c r="A7740" s="39"/>
    </row>
    <row r="7741" spans="1:1" ht="15.75" customHeight="1" x14ac:dyDescent="0.25">
      <c r="A7741" s="39"/>
    </row>
    <row r="7742" spans="1:1" ht="15.75" customHeight="1" x14ac:dyDescent="0.25">
      <c r="A7742" s="39"/>
    </row>
    <row r="7743" spans="1:1" ht="15.75" customHeight="1" x14ac:dyDescent="0.25">
      <c r="A7743" s="39"/>
    </row>
    <row r="7744" spans="1:1" ht="15.75" customHeight="1" x14ac:dyDescent="0.25">
      <c r="A7744" s="39"/>
    </row>
    <row r="7745" spans="1:1" ht="15.75" customHeight="1" x14ac:dyDescent="0.25">
      <c r="A7745" s="39"/>
    </row>
    <row r="7746" spans="1:1" ht="15.75" customHeight="1" x14ac:dyDescent="0.25">
      <c r="A7746" s="39"/>
    </row>
    <row r="7747" spans="1:1" ht="15.75" customHeight="1" x14ac:dyDescent="0.25">
      <c r="A7747" s="39"/>
    </row>
    <row r="7748" spans="1:1" ht="15.75" customHeight="1" x14ac:dyDescent="0.25">
      <c r="A7748" s="39"/>
    </row>
    <row r="7749" spans="1:1" ht="15.75" customHeight="1" x14ac:dyDescent="0.25">
      <c r="A7749" s="39"/>
    </row>
    <row r="7750" spans="1:1" ht="15.75" customHeight="1" x14ac:dyDescent="0.25">
      <c r="A7750" s="39"/>
    </row>
    <row r="7751" spans="1:1" ht="15.75" customHeight="1" x14ac:dyDescent="0.25">
      <c r="A7751" s="39"/>
    </row>
    <row r="7752" spans="1:1" ht="15.75" customHeight="1" x14ac:dyDescent="0.25">
      <c r="A7752" s="39"/>
    </row>
    <row r="7753" spans="1:1" ht="15.75" customHeight="1" x14ac:dyDescent="0.25">
      <c r="A7753" s="39"/>
    </row>
    <row r="7754" spans="1:1" ht="15.75" customHeight="1" x14ac:dyDescent="0.25">
      <c r="A7754" s="39"/>
    </row>
    <row r="7755" spans="1:1" ht="15.75" customHeight="1" x14ac:dyDescent="0.25">
      <c r="A7755" s="39"/>
    </row>
    <row r="7756" spans="1:1" ht="15.75" customHeight="1" x14ac:dyDescent="0.25">
      <c r="A7756" s="39"/>
    </row>
    <row r="7757" spans="1:1" ht="15.75" customHeight="1" x14ac:dyDescent="0.25">
      <c r="A7757" s="39"/>
    </row>
    <row r="7758" spans="1:1" ht="15.75" customHeight="1" x14ac:dyDescent="0.25">
      <c r="A7758" s="39"/>
    </row>
    <row r="7759" spans="1:1" ht="15.75" customHeight="1" x14ac:dyDescent="0.25">
      <c r="A7759" s="39"/>
    </row>
    <row r="7760" spans="1:1" ht="15.75" customHeight="1" x14ac:dyDescent="0.25">
      <c r="A7760" s="39"/>
    </row>
    <row r="7761" spans="1:1" ht="15.75" customHeight="1" x14ac:dyDescent="0.25">
      <c r="A7761" s="39"/>
    </row>
    <row r="7762" spans="1:1" ht="15.75" customHeight="1" x14ac:dyDescent="0.25">
      <c r="A7762" s="39"/>
    </row>
    <row r="7763" spans="1:1" ht="15.75" customHeight="1" x14ac:dyDescent="0.25">
      <c r="A7763" s="39"/>
    </row>
    <row r="7764" spans="1:1" ht="15.75" customHeight="1" x14ac:dyDescent="0.25">
      <c r="A7764" s="39"/>
    </row>
    <row r="7765" spans="1:1" ht="15.75" customHeight="1" x14ac:dyDescent="0.25">
      <c r="A7765" s="39"/>
    </row>
    <row r="7766" spans="1:1" ht="15.75" customHeight="1" x14ac:dyDescent="0.25">
      <c r="A7766" s="39"/>
    </row>
    <row r="7767" spans="1:1" ht="15.75" customHeight="1" x14ac:dyDescent="0.25">
      <c r="A7767" s="39"/>
    </row>
    <row r="7768" spans="1:1" ht="15.75" customHeight="1" x14ac:dyDescent="0.25">
      <c r="A7768" s="39"/>
    </row>
    <row r="7769" spans="1:1" ht="15.75" customHeight="1" x14ac:dyDescent="0.25">
      <c r="A7769" s="39"/>
    </row>
    <row r="7770" spans="1:1" ht="15.75" customHeight="1" x14ac:dyDescent="0.25">
      <c r="A7770" s="39"/>
    </row>
    <row r="7771" spans="1:1" ht="15.75" customHeight="1" x14ac:dyDescent="0.25">
      <c r="A7771" s="39"/>
    </row>
    <row r="7772" spans="1:1" ht="15.75" customHeight="1" x14ac:dyDescent="0.25">
      <c r="A7772" s="39"/>
    </row>
    <row r="7773" spans="1:1" ht="15.75" customHeight="1" x14ac:dyDescent="0.25">
      <c r="A7773" s="39"/>
    </row>
    <row r="7774" spans="1:1" ht="15.75" customHeight="1" x14ac:dyDescent="0.25">
      <c r="A7774" s="39"/>
    </row>
    <row r="7775" spans="1:1" ht="15.75" customHeight="1" x14ac:dyDescent="0.25">
      <c r="A7775" s="39"/>
    </row>
    <row r="7776" spans="1:1" ht="15.75" customHeight="1" x14ac:dyDescent="0.25">
      <c r="A7776" s="39"/>
    </row>
    <row r="7777" spans="1:1" ht="15.75" customHeight="1" x14ac:dyDescent="0.25">
      <c r="A7777" s="39"/>
    </row>
    <row r="7778" spans="1:1" ht="15.75" customHeight="1" x14ac:dyDescent="0.25">
      <c r="A7778" s="39"/>
    </row>
    <row r="7779" spans="1:1" ht="15.75" customHeight="1" x14ac:dyDescent="0.25">
      <c r="A7779" s="39"/>
    </row>
    <row r="7780" spans="1:1" ht="15.75" customHeight="1" x14ac:dyDescent="0.25">
      <c r="A7780" s="39"/>
    </row>
    <row r="7781" spans="1:1" ht="15.75" customHeight="1" x14ac:dyDescent="0.25">
      <c r="A7781" s="39"/>
    </row>
    <row r="7782" spans="1:1" ht="15.75" customHeight="1" x14ac:dyDescent="0.25">
      <c r="A7782" s="39"/>
    </row>
    <row r="7783" spans="1:1" ht="15.75" customHeight="1" x14ac:dyDescent="0.25">
      <c r="A7783" s="39"/>
    </row>
    <row r="7784" spans="1:1" ht="15.75" customHeight="1" x14ac:dyDescent="0.25">
      <c r="A7784" s="39"/>
    </row>
    <row r="7785" spans="1:1" ht="15.75" customHeight="1" x14ac:dyDescent="0.25">
      <c r="A7785" s="39"/>
    </row>
    <row r="7786" spans="1:1" ht="15.75" customHeight="1" x14ac:dyDescent="0.25">
      <c r="A7786" s="39"/>
    </row>
    <row r="7787" spans="1:1" ht="15.75" customHeight="1" x14ac:dyDescent="0.25">
      <c r="A7787" s="39"/>
    </row>
    <row r="7788" spans="1:1" ht="15.75" customHeight="1" x14ac:dyDescent="0.25">
      <c r="A7788" s="39"/>
    </row>
    <row r="7789" spans="1:1" ht="15.75" customHeight="1" x14ac:dyDescent="0.25">
      <c r="A7789" s="39"/>
    </row>
    <row r="7790" spans="1:1" ht="15.75" customHeight="1" x14ac:dyDescent="0.25">
      <c r="A7790" s="39"/>
    </row>
    <row r="7791" spans="1:1" ht="15.75" customHeight="1" x14ac:dyDescent="0.25">
      <c r="A7791" s="39"/>
    </row>
    <row r="7792" spans="1:1" ht="15.75" customHeight="1" x14ac:dyDescent="0.25">
      <c r="A7792" s="39"/>
    </row>
    <row r="7793" spans="1:1" ht="15.75" customHeight="1" x14ac:dyDescent="0.25">
      <c r="A7793" s="39"/>
    </row>
    <row r="7794" spans="1:1" ht="15.75" customHeight="1" x14ac:dyDescent="0.25">
      <c r="A7794" s="39"/>
    </row>
    <row r="7795" spans="1:1" ht="15.75" customHeight="1" x14ac:dyDescent="0.25">
      <c r="A7795" s="39"/>
    </row>
    <row r="7796" spans="1:1" ht="15.75" customHeight="1" x14ac:dyDescent="0.25">
      <c r="A7796" s="39"/>
    </row>
    <row r="7797" spans="1:1" ht="15.75" customHeight="1" x14ac:dyDescent="0.25">
      <c r="A7797" s="39"/>
    </row>
    <row r="7798" spans="1:1" ht="15.75" customHeight="1" x14ac:dyDescent="0.25">
      <c r="A7798" s="39"/>
    </row>
    <row r="7799" spans="1:1" ht="15.75" customHeight="1" x14ac:dyDescent="0.25">
      <c r="A7799" s="39"/>
    </row>
    <row r="7800" spans="1:1" ht="15.75" customHeight="1" x14ac:dyDescent="0.25">
      <c r="A7800" s="39"/>
    </row>
    <row r="7801" spans="1:1" ht="15.75" customHeight="1" x14ac:dyDescent="0.25">
      <c r="A7801" s="39"/>
    </row>
    <row r="7802" spans="1:1" ht="15.75" customHeight="1" x14ac:dyDescent="0.25">
      <c r="A7802" s="39"/>
    </row>
    <row r="7803" spans="1:1" ht="15.75" customHeight="1" x14ac:dyDescent="0.25">
      <c r="A7803" s="39"/>
    </row>
    <row r="7804" spans="1:1" ht="15.75" customHeight="1" x14ac:dyDescent="0.25">
      <c r="A7804" s="39"/>
    </row>
    <row r="7805" spans="1:1" ht="15.75" customHeight="1" x14ac:dyDescent="0.25">
      <c r="A7805" s="39"/>
    </row>
    <row r="7806" spans="1:1" ht="15.75" customHeight="1" x14ac:dyDescent="0.25">
      <c r="A7806" s="39"/>
    </row>
    <row r="7807" spans="1:1" ht="15.75" customHeight="1" x14ac:dyDescent="0.25">
      <c r="A7807" s="39"/>
    </row>
    <row r="7808" spans="1:1" ht="15.75" customHeight="1" x14ac:dyDescent="0.25">
      <c r="A7808" s="39"/>
    </row>
    <row r="7809" spans="1:1" ht="15.75" customHeight="1" x14ac:dyDescent="0.25">
      <c r="A7809" s="39"/>
    </row>
    <row r="7810" spans="1:1" ht="15.75" customHeight="1" x14ac:dyDescent="0.25">
      <c r="A7810" s="39"/>
    </row>
    <row r="7811" spans="1:1" ht="15.75" customHeight="1" x14ac:dyDescent="0.25">
      <c r="A7811" s="39"/>
    </row>
    <row r="7812" spans="1:1" ht="15.75" customHeight="1" x14ac:dyDescent="0.25">
      <c r="A7812" s="39"/>
    </row>
    <row r="7813" spans="1:1" ht="15.75" customHeight="1" x14ac:dyDescent="0.25">
      <c r="A7813" s="39"/>
    </row>
    <row r="7814" spans="1:1" ht="15.75" customHeight="1" x14ac:dyDescent="0.25">
      <c r="A7814" s="39"/>
    </row>
    <row r="7815" spans="1:1" ht="15.75" customHeight="1" x14ac:dyDescent="0.25">
      <c r="A7815" s="39"/>
    </row>
    <row r="7816" spans="1:1" ht="15.75" customHeight="1" x14ac:dyDescent="0.25">
      <c r="A7816" s="39"/>
    </row>
    <row r="7817" spans="1:1" ht="15.75" customHeight="1" x14ac:dyDescent="0.25">
      <c r="A7817" s="39"/>
    </row>
    <row r="7818" spans="1:1" ht="15.75" customHeight="1" x14ac:dyDescent="0.25">
      <c r="A7818" s="39"/>
    </row>
    <row r="7819" spans="1:1" ht="15.75" customHeight="1" x14ac:dyDescent="0.25">
      <c r="A7819" s="39"/>
    </row>
    <row r="7820" spans="1:1" ht="15.75" customHeight="1" x14ac:dyDescent="0.25">
      <c r="A7820" s="39"/>
    </row>
    <row r="7821" spans="1:1" ht="15.75" customHeight="1" x14ac:dyDescent="0.25">
      <c r="A7821" s="39"/>
    </row>
    <row r="7822" spans="1:1" ht="15.75" customHeight="1" x14ac:dyDescent="0.25">
      <c r="A7822" s="39"/>
    </row>
    <row r="7823" spans="1:1" ht="15.75" customHeight="1" x14ac:dyDescent="0.25">
      <c r="A7823" s="39"/>
    </row>
    <row r="7824" spans="1:1" ht="15.75" customHeight="1" x14ac:dyDescent="0.25">
      <c r="A7824" s="39"/>
    </row>
    <row r="7825" spans="1:1" ht="15.75" customHeight="1" x14ac:dyDescent="0.25">
      <c r="A7825" s="39"/>
    </row>
    <row r="7826" spans="1:1" ht="15.75" customHeight="1" x14ac:dyDescent="0.25">
      <c r="A7826" s="39"/>
    </row>
    <row r="7827" spans="1:1" ht="15.75" customHeight="1" x14ac:dyDescent="0.25">
      <c r="A7827" s="39"/>
    </row>
    <row r="7828" spans="1:1" ht="15.75" customHeight="1" x14ac:dyDescent="0.25">
      <c r="A7828" s="39"/>
    </row>
    <row r="7829" spans="1:1" ht="15.75" customHeight="1" x14ac:dyDescent="0.25">
      <c r="A7829" s="39"/>
    </row>
    <row r="7830" spans="1:1" ht="15.75" customHeight="1" x14ac:dyDescent="0.25">
      <c r="A7830" s="39"/>
    </row>
    <row r="7831" spans="1:1" ht="15.75" customHeight="1" x14ac:dyDescent="0.25">
      <c r="A7831" s="39"/>
    </row>
    <row r="7832" spans="1:1" ht="15.75" customHeight="1" x14ac:dyDescent="0.25">
      <c r="A7832" s="39"/>
    </row>
    <row r="7833" spans="1:1" ht="15.75" customHeight="1" x14ac:dyDescent="0.25">
      <c r="A7833" s="39"/>
    </row>
    <row r="7834" spans="1:1" ht="15.75" customHeight="1" x14ac:dyDescent="0.25">
      <c r="A7834" s="39"/>
    </row>
    <row r="7835" spans="1:1" ht="15.75" customHeight="1" x14ac:dyDescent="0.25">
      <c r="A7835" s="39"/>
    </row>
    <row r="7836" spans="1:1" ht="15.75" customHeight="1" x14ac:dyDescent="0.25">
      <c r="A7836" s="39"/>
    </row>
    <row r="7837" spans="1:1" ht="15.75" customHeight="1" x14ac:dyDescent="0.25">
      <c r="A7837" s="39"/>
    </row>
    <row r="7838" spans="1:1" ht="15.75" customHeight="1" x14ac:dyDescent="0.25">
      <c r="A7838" s="39"/>
    </row>
    <row r="7839" spans="1:1" ht="15.75" customHeight="1" x14ac:dyDescent="0.25">
      <c r="A7839" s="39"/>
    </row>
    <row r="7840" spans="1:1" ht="15.75" customHeight="1" x14ac:dyDescent="0.25">
      <c r="A7840" s="39"/>
    </row>
    <row r="7841" spans="1:1" ht="15.75" customHeight="1" x14ac:dyDescent="0.25">
      <c r="A7841" s="39"/>
    </row>
    <row r="7842" spans="1:1" ht="15.75" customHeight="1" x14ac:dyDescent="0.25">
      <c r="A7842" s="39"/>
    </row>
    <row r="7843" spans="1:1" ht="15.75" customHeight="1" x14ac:dyDescent="0.25">
      <c r="A7843" s="39"/>
    </row>
    <row r="7844" spans="1:1" ht="15.75" customHeight="1" x14ac:dyDescent="0.25">
      <c r="A7844" s="39"/>
    </row>
    <row r="7845" spans="1:1" ht="15.75" customHeight="1" x14ac:dyDescent="0.25">
      <c r="A7845" s="39"/>
    </row>
    <row r="7846" spans="1:1" ht="15.75" customHeight="1" x14ac:dyDescent="0.25">
      <c r="A7846" s="39"/>
    </row>
    <row r="7847" spans="1:1" ht="15.75" customHeight="1" x14ac:dyDescent="0.25">
      <c r="A7847" s="39"/>
    </row>
    <row r="7848" spans="1:1" ht="15.75" customHeight="1" x14ac:dyDescent="0.25">
      <c r="A7848" s="39"/>
    </row>
    <row r="7849" spans="1:1" ht="15.75" customHeight="1" x14ac:dyDescent="0.25">
      <c r="A7849" s="39"/>
    </row>
    <row r="7850" spans="1:1" ht="15.75" customHeight="1" x14ac:dyDescent="0.25">
      <c r="A7850" s="39"/>
    </row>
    <row r="7851" spans="1:1" ht="15.75" customHeight="1" x14ac:dyDescent="0.25">
      <c r="A7851" s="39"/>
    </row>
    <row r="7852" spans="1:1" ht="15.75" customHeight="1" x14ac:dyDescent="0.25">
      <c r="A7852" s="39"/>
    </row>
    <row r="7853" spans="1:1" ht="15.75" customHeight="1" x14ac:dyDescent="0.25">
      <c r="A7853" s="39"/>
    </row>
    <row r="7854" spans="1:1" ht="15.75" customHeight="1" x14ac:dyDescent="0.25">
      <c r="A7854" s="39"/>
    </row>
    <row r="7855" spans="1:1" ht="15.75" customHeight="1" x14ac:dyDescent="0.25">
      <c r="A7855" s="39"/>
    </row>
    <row r="7856" spans="1:1" ht="15.75" customHeight="1" x14ac:dyDescent="0.25">
      <c r="A7856" s="39"/>
    </row>
    <row r="7857" spans="1:1" ht="15.75" customHeight="1" x14ac:dyDescent="0.25">
      <c r="A7857" s="39"/>
    </row>
    <row r="7858" spans="1:1" ht="15.75" customHeight="1" x14ac:dyDescent="0.25">
      <c r="A7858" s="39"/>
    </row>
    <row r="7859" spans="1:1" ht="15.75" customHeight="1" x14ac:dyDescent="0.25">
      <c r="A7859" s="39"/>
    </row>
    <row r="7860" spans="1:1" ht="15.75" customHeight="1" x14ac:dyDescent="0.25">
      <c r="A7860" s="39"/>
    </row>
    <row r="7861" spans="1:1" ht="15.75" customHeight="1" x14ac:dyDescent="0.25">
      <c r="A7861" s="39"/>
    </row>
    <row r="7862" spans="1:1" ht="15.75" customHeight="1" x14ac:dyDescent="0.25">
      <c r="A7862" s="39"/>
    </row>
    <row r="7863" spans="1:1" ht="15.75" customHeight="1" x14ac:dyDescent="0.25">
      <c r="A7863" s="39"/>
    </row>
    <row r="7864" spans="1:1" ht="15.75" customHeight="1" x14ac:dyDescent="0.25">
      <c r="A7864" s="39"/>
    </row>
    <row r="7865" spans="1:1" ht="15.75" customHeight="1" x14ac:dyDescent="0.25">
      <c r="A7865" s="39"/>
    </row>
    <row r="7866" spans="1:1" ht="15.75" customHeight="1" x14ac:dyDescent="0.25">
      <c r="A7866" s="39"/>
    </row>
    <row r="7867" spans="1:1" ht="15.75" customHeight="1" x14ac:dyDescent="0.25">
      <c r="A7867" s="39"/>
    </row>
    <row r="7868" spans="1:1" ht="15.75" customHeight="1" x14ac:dyDescent="0.25">
      <c r="A7868" s="39"/>
    </row>
    <row r="7869" spans="1:1" ht="15.75" customHeight="1" x14ac:dyDescent="0.25">
      <c r="A7869" s="39"/>
    </row>
    <row r="7870" spans="1:1" ht="15.75" customHeight="1" x14ac:dyDescent="0.25">
      <c r="A7870" s="39"/>
    </row>
    <row r="7871" spans="1:1" ht="15.75" customHeight="1" x14ac:dyDescent="0.25">
      <c r="A7871" s="39"/>
    </row>
    <row r="7872" spans="1:1" ht="15.75" customHeight="1" x14ac:dyDescent="0.25">
      <c r="A7872" s="39"/>
    </row>
    <row r="7873" spans="1:1" ht="15.75" customHeight="1" x14ac:dyDescent="0.25">
      <c r="A7873" s="39"/>
    </row>
    <row r="7874" spans="1:1" ht="15.75" customHeight="1" x14ac:dyDescent="0.25">
      <c r="A7874" s="39"/>
    </row>
    <row r="7875" spans="1:1" ht="15.75" customHeight="1" x14ac:dyDescent="0.25">
      <c r="A7875" s="39"/>
    </row>
    <row r="7876" spans="1:1" ht="15.75" customHeight="1" x14ac:dyDescent="0.25">
      <c r="A7876" s="39"/>
    </row>
    <row r="7877" spans="1:1" ht="15.75" customHeight="1" x14ac:dyDescent="0.25">
      <c r="A7877" s="39"/>
    </row>
    <row r="7878" spans="1:1" ht="15.75" customHeight="1" x14ac:dyDescent="0.25">
      <c r="A7878" s="39"/>
    </row>
    <row r="7879" spans="1:1" ht="15.75" customHeight="1" x14ac:dyDescent="0.25">
      <c r="A7879" s="39"/>
    </row>
    <row r="7880" spans="1:1" ht="15.75" customHeight="1" x14ac:dyDescent="0.25">
      <c r="A7880" s="39"/>
    </row>
    <row r="7881" spans="1:1" ht="15.75" customHeight="1" x14ac:dyDescent="0.25">
      <c r="A7881" s="39"/>
    </row>
    <row r="7882" spans="1:1" ht="15.75" customHeight="1" x14ac:dyDescent="0.25">
      <c r="A7882" s="39"/>
    </row>
    <row r="7883" spans="1:1" ht="15.75" customHeight="1" x14ac:dyDescent="0.25">
      <c r="A7883" s="39"/>
    </row>
    <row r="7884" spans="1:1" ht="15.75" customHeight="1" x14ac:dyDescent="0.25">
      <c r="A7884" s="39"/>
    </row>
    <row r="7885" spans="1:1" ht="15.75" customHeight="1" x14ac:dyDescent="0.25">
      <c r="A7885" s="39"/>
    </row>
    <row r="7886" spans="1:1" ht="15.75" customHeight="1" x14ac:dyDescent="0.25">
      <c r="A7886" s="39"/>
    </row>
    <row r="7887" spans="1:1" ht="15.75" customHeight="1" x14ac:dyDescent="0.25">
      <c r="A7887" s="39"/>
    </row>
    <row r="7888" spans="1:1" ht="15.75" customHeight="1" x14ac:dyDescent="0.25">
      <c r="A7888" s="39"/>
    </row>
    <row r="7889" spans="1:1" ht="15.75" customHeight="1" x14ac:dyDescent="0.25">
      <c r="A7889" s="39"/>
    </row>
    <row r="7890" spans="1:1" ht="15.75" customHeight="1" x14ac:dyDescent="0.25">
      <c r="A7890" s="39"/>
    </row>
    <row r="7891" spans="1:1" ht="15.75" customHeight="1" x14ac:dyDescent="0.25">
      <c r="A7891" s="39"/>
    </row>
    <row r="7892" spans="1:1" ht="15.75" customHeight="1" x14ac:dyDescent="0.25">
      <c r="A7892" s="39"/>
    </row>
    <row r="7893" spans="1:1" ht="15.75" customHeight="1" x14ac:dyDescent="0.25">
      <c r="A7893" s="39"/>
    </row>
    <row r="7894" spans="1:1" ht="15.75" customHeight="1" x14ac:dyDescent="0.25">
      <c r="A7894" s="39"/>
    </row>
    <row r="7895" spans="1:1" ht="15.75" customHeight="1" x14ac:dyDescent="0.25">
      <c r="A7895" s="39"/>
    </row>
    <row r="7896" spans="1:1" ht="15.75" customHeight="1" x14ac:dyDescent="0.25">
      <c r="A7896" s="39"/>
    </row>
    <row r="7897" spans="1:1" ht="15.75" customHeight="1" x14ac:dyDescent="0.25">
      <c r="A7897" s="39"/>
    </row>
    <row r="7898" spans="1:1" ht="15.75" customHeight="1" x14ac:dyDescent="0.25">
      <c r="A7898" s="39"/>
    </row>
    <row r="7899" spans="1:1" ht="15.75" customHeight="1" x14ac:dyDescent="0.25">
      <c r="A7899" s="39"/>
    </row>
    <row r="7900" spans="1:1" ht="15.75" customHeight="1" x14ac:dyDescent="0.25">
      <c r="A7900" s="39"/>
    </row>
    <row r="7901" spans="1:1" ht="15.75" customHeight="1" x14ac:dyDescent="0.25">
      <c r="A7901" s="39"/>
    </row>
    <row r="7902" spans="1:1" ht="15.75" customHeight="1" x14ac:dyDescent="0.25">
      <c r="A7902" s="39"/>
    </row>
    <row r="7903" spans="1:1" ht="15.75" customHeight="1" x14ac:dyDescent="0.25">
      <c r="A7903" s="39"/>
    </row>
    <row r="7904" spans="1:1" ht="15.75" customHeight="1" x14ac:dyDescent="0.25">
      <c r="A7904" s="39"/>
    </row>
    <row r="7905" spans="1:1" ht="15.75" customHeight="1" x14ac:dyDescent="0.25">
      <c r="A7905" s="39"/>
    </row>
    <row r="7906" spans="1:1" ht="15.75" customHeight="1" x14ac:dyDescent="0.25">
      <c r="A7906" s="39"/>
    </row>
    <row r="7907" spans="1:1" ht="15.75" customHeight="1" x14ac:dyDescent="0.25">
      <c r="A7907" s="39"/>
    </row>
    <row r="7908" spans="1:1" ht="15.75" customHeight="1" x14ac:dyDescent="0.25">
      <c r="A7908" s="39"/>
    </row>
    <row r="7909" spans="1:1" ht="15.75" customHeight="1" x14ac:dyDescent="0.25">
      <c r="A7909" s="39"/>
    </row>
    <row r="7910" spans="1:1" ht="15.75" customHeight="1" x14ac:dyDescent="0.25">
      <c r="A7910" s="39"/>
    </row>
    <row r="7911" spans="1:1" ht="15.75" customHeight="1" x14ac:dyDescent="0.25">
      <c r="A7911" s="39"/>
    </row>
    <row r="7912" spans="1:1" ht="15.75" customHeight="1" x14ac:dyDescent="0.25">
      <c r="A7912" s="39"/>
    </row>
    <row r="7913" spans="1:1" ht="15.75" customHeight="1" x14ac:dyDescent="0.25">
      <c r="A7913" s="39"/>
    </row>
    <row r="7914" spans="1:1" ht="15.75" customHeight="1" x14ac:dyDescent="0.25">
      <c r="A7914" s="39"/>
    </row>
    <row r="7915" spans="1:1" ht="15.75" customHeight="1" x14ac:dyDescent="0.25">
      <c r="A7915" s="39"/>
    </row>
    <row r="7916" spans="1:1" ht="15.75" customHeight="1" x14ac:dyDescent="0.25">
      <c r="A7916" s="39"/>
    </row>
    <row r="7917" spans="1:1" ht="15.75" customHeight="1" x14ac:dyDescent="0.25">
      <c r="A7917" s="39"/>
    </row>
    <row r="7918" spans="1:1" ht="15.75" customHeight="1" x14ac:dyDescent="0.25">
      <c r="A7918" s="39"/>
    </row>
    <row r="7919" spans="1:1" ht="15.75" customHeight="1" x14ac:dyDescent="0.25">
      <c r="A7919" s="39"/>
    </row>
    <row r="7920" spans="1:1" ht="15.75" customHeight="1" x14ac:dyDescent="0.25">
      <c r="A7920" s="39"/>
    </row>
    <row r="7921" spans="1:1" ht="15.75" customHeight="1" x14ac:dyDescent="0.25">
      <c r="A7921" s="39"/>
    </row>
    <row r="7922" spans="1:1" ht="15.75" customHeight="1" x14ac:dyDescent="0.25">
      <c r="A7922" s="39"/>
    </row>
    <row r="7923" spans="1:1" ht="15.75" customHeight="1" x14ac:dyDescent="0.25">
      <c r="A7923" s="39"/>
    </row>
    <row r="7924" spans="1:1" ht="15.75" customHeight="1" x14ac:dyDescent="0.25">
      <c r="A7924" s="39"/>
    </row>
    <row r="7925" spans="1:1" ht="15.75" customHeight="1" x14ac:dyDescent="0.25">
      <c r="A7925" s="39"/>
    </row>
    <row r="7926" spans="1:1" ht="15.75" customHeight="1" x14ac:dyDescent="0.25">
      <c r="A7926" s="39"/>
    </row>
    <row r="7927" spans="1:1" ht="15.75" customHeight="1" x14ac:dyDescent="0.25">
      <c r="A7927" s="39"/>
    </row>
    <row r="7928" spans="1:1" ht="15.75" customHeight="1" x14ac:dyDescent="0.25">
      <c r="A7928" s="39"/>
    </row>
    <row r="7929" spans="1:1" ht="15.75" customHeight="1" x14ac:dyDescent="0.25">
      <c r="A7929" s="39"/>
    </row>
    <row r="7930" spans="1:1" ht="15.75" customHeight="1" x14ac:dyDescent="0.25">
      <c r="A7930" s="39"/>
    </row>
    <row r="7931" spans="1:1" ht="15.75" customHeight="1" x14ac:dyDescent="0.25">
      <c r="A7931" s="39"/>
    </row>
    <row r="7932" spans="1:1" ht="15.75" customHeight="1" x14ac:dyDescent="0.25">
      <c r="A7932" s="39"/>
    </row>
    <row r="7933" spans="1:1" ht="15.75" customHeight="1" x14ac:dyDescent="0.25">
      <c r="A7933" s="39"/>
    </row>
    <row r="7934" spans="1:1" ht="15.75" customHeight="1" x14ac:dyDescent="0.25">
      <c r="A7934" s="39"/>
    </row>
    <row r="7935" spans="1:1" ht="15.75" customHeight="1" x14ac:dyDescent="0.25">
      <c r="A7935" s="39"/>
    </row>
    <row r="7936" spans="1:1" ht="15.75" customHeight="1" x14ac:dyDescent="0.25">
      <c r="A7936" s="39"/>
    </row>
    <row r="7937" spans="1:1" ht="15.75" customHeight="1" x14ac:dyDescent="0.25">
      <c r="A7937" s="39"/>
    </row>
    <row r="7938" spans="1:1" ht="15.75" customHeight="1" x14ac:dyDescent="0.25">
      <c r="A7938" s="39"/>
    </row>
    <row r="7939" spans="1:1" ht="15.75" customHeight="1" x14ac:dyDescent="0.25">
      <c r="A7939" s="39"/>
    </row>
    <row r="7940" spans="1:1" ht="15.75" customHeight="1" x14ac:dyDescent="0.25">
      <c r="A7940" s="39"/>
    </row>
    <row r="7941" spans="1:1" ht="15.75" customHeight="1" x14ac:dyDescent="0.25">
      <c r="A7941" s="39"/>
    </row>
    <row r="7942" spans="1:1" ht="15.75" customHeight="1" x14ac:dyDescent="0.25">
      <c r="A7942" s="39"/>
    </row>
    <row r="7943" spans="1:1" ht="15.75" customHeight="1" x14ac:dyDescent="0.25">
      <c r="A7943" s="39"/>
    </row>
    <row r="7944" spans="1:1" ht="15.75" customHeight="1" x14ac:dyDescent="0.25">
      <c r="A7944" s="39"/>
    </row>
    <row r="7945" spans="1:1" ht="15.75" customHeight="1" x14ac:dyDescent="0.25">
      <c r="A7945" s="39"/>
    </row>
    <row r="7946" spans="1:1" ht="15.75" customHeight="1" x14ac:dyDescent="0.25">
      <c r="A7946" s="39"/>
    </row>
    <row r="7947" spans="1:1" ht="15.75" customHeight="1" x14ac:dyDescent="0.25">
      <c r="A7947" s="39"/>
    </row>
    <row r="7948" spans="1:1" ht="15.75" customHeight="1" x14ac:dyDescent="0.25">
      <c r="A7948" s="39"/>
    </row>
    <row r="7949" spans="1:1" ht="15.75" customHeight="1" x14ac:dyDescent="0.25">
      <c r="A7949" s="39"/>
    </row>
    <row r="7950" spans="1:1" ht="15.75" customHeight="1" x14ac:dyDescent="0.25">
      <c r="A7950" s="39"/>
    </row>
    <row r="7951" spans="1:1" ht="15.75" customHeight="1" x14ac:dyDescent="0.25">
      <c r="A7951" s="39"/>
    </row>
    <row r="7952" spans="1:1" ht="15.75" customHeight="1" x14ac:dyDescent="0.25">
      <c r="A7952" s="39"/>
    </row>
    <row r="7953" spans="1:1" ht="15.75" customHeight="1" x14ac:dyDescent="0.25">
      <c r="A7953" s="39"/>
    </row>
    <row r="7954" spans="1:1" ht="15.75" customHeight="1" x14ac:dyDescent="0.25">
      <c r="A7954" s="39"/>
    </row>
    <row r="7955" spans="1:1" ht="15.75" customHeight="1" x14ac:dyDescent="0.25">
      <c r="A7955" s="39"/>
    </row>
    <row r="7956" spans="1:1" ht="15.75" customHeight="1" x14ac:dyDescent="0.25">
      <c r="A7956" s="39"/>
    </row>
    <row r="7957" spans="1:1" ht="15.75" customHeight="1" x14ac:dyDescent="0.25">
      <c r="A7957" s="39"/>
    </row>
    <row r="7958" spans="1:1" ht="15.75" customHeight="1" x14ac:dyDescent="0.25">
      <c r="A7958" s="39"/>
    </row>
    <row r="7959" spans="1:1" ht="15.75" customHeight="1" x14ac:dyDescent="0.25">
      <c r="A7959" s="39"/>
    </row>
    <row r="7960" spans="1:1" ht="15.75" customHeight="1" x14ac:dyDescent="0.25">
      <c r="A7960" s="39"/>
    </row>
    <row r="7961" spans="1:1" ht="15.75" customHeight="1" x14ac:dyDescent="0.25">
      <c r="A7961" s="39"/>
    </row>
    <row r="7962" spans="1:1" ht="15.75" customHeight="1" x14ac:dyDescent="0.25">
      <c r="A7962" s="39"/>
    </row>
    <row r="7963" spans="1:1" ht="15.75" customHeight="1" x14ac:dyDescent="0.25">
      <c r="A7963" s="39"/>
    </row>
    <row r="7964" spans="1:1" ht="15.75" customHeight="1" x14ac:dyDescent="0.25">
      <c r="A7964" s="39"/>
    </row>
    <row r="7965" spans="1:1" ht="15.75" customHeight="1" x14ac:dyDescent="0.25">
      <c r="A7965" s="39"/>
    </row>
    <row r="7966" spans="1:1" ht="15.75" customHeight="1" x14ac:dyDescent="0.25">
      <c r="A7966" s="39"/>
    </row>
    <row r="7967" spans="1:1" ht="15.75" customHeight="1" x14ac:dyDescent="0.25">
      <c r="A7967" s="39"/>
    </row>
    <row r="7968" spans="1:1" ht="15.75" customHeight="1" x14ac:dyDescent="0.25">
      <c r="A7968" s="39"/>
    </row>
    <row r="7969" spans="1:1" ht="15.75" customHeight="1" x14ac:dyDescent="0.25">
      <c r="A7969" s="39"/>
    </row>
    <row r="7970" spans="1:1" ht="15.75" customHeight="1" x14ac:dyDescent="0.25">
      <c r="A7970" s="39"/>
    </row>
    <row r="7971" spans="1:1" ht="15.75" customHeight="1" x14ac:dyDescent="0.25">
      <c r="A7971" s="39"/>
    </row>
    <row r="7972" spans="1:1" ht="15.75" customHeight="1" x14ac:dyDescent="0.25">
      <c r="A7972" s="39"/>
    </row>
    <row r="7973" spans="1:1" ht="15.75" customHeight="1" x14ac:dyDescent="0.25">
      <c r="A7973" s="39"/>
    </row>
    <row r="7974" spans="1:1" ht="15.75" customHeight="1" x14ac:dyDescent="0.25">
      <c r="A7974" s="39"/>
    </row>
    <row r="7975" spans="1:1" ht="15.75" customHeight="1" x14ac:dyDescent="0.25">
      <c r="A7975" s="39"/>
    </row>
    <row r="7976" spans="1:1" ht="15.75" customHeight="1" x14ac:dyDescent="0.25">
      <c r="A7976" s="39"/>
    </row>
    <row r="7977" spans="1:1" ht="15.75" customHeight="1" x14ac:dyDescent="0.25">
      <c r="A7977" s="39"/>
    </row>
    <row r="7978" spans="1:1" ht="15.75" customHeight="1" x14ac:dyDescent="0.25">
      <c r="A7978" s="39"/>
    </row>
    <row r="7979" spans="1:1" ht="15.75" customHeight="1" x14ac:dyDescent="0.25">
      <c r="A7979" s="39"/>
    </row>
    <row r="7980" spans="1:1" ht="15.75" customHeight="1" x14ac:dyDescent="0.25">
      <c r="A7980" s="39"/>
    </row>
    <row r="7981" spans="1:1" ht="15.75" customHeight="1" x14ac:dyDescent="0.25">
      <c r="A7981" s="39"/>
    </row>
    <row r="7982" spans="1:1" ht="15.75" customHeight="1" x14ac:dyDescent="0.25">
      <c r="A7982" s="39"/>
    </row>
    <row r="7983" spans="1:1" ht="15.75" customHeight="1" x14ac:dyDescent="0.25">
      <c r="A7983" s="39"/>
    </row>
    <row r="7984" spans="1:1" ht="15.75" customHeight="1" x14ac:dyDescent="0.25">
      <c r="A7984" s="39"/>
    </row>
    <row r="7985" spans="1:1" ht="15.75" customHeight="1" x14ac:dyDescent="0.25">
      <c r="A7985" s="39"/>
    </row>
    <row r="7986" spans="1:1" ht="15.75" customHeight="1" x14ac:dyDescent="0.25">
      <c r="A7986" s="39"/>
    </row>
    <row r="7987" spans="1:1" ht="15.75" customHeight="1" x14ac:dyDescent="0.25">
      <c r="A7987" s="39"/>
    </row>
    <row r="7988" spans="1:1" ht="15.75" customHeight="1" x14ac:dyDescent="0.25">
      <c r="A7988" s="39"/>
    </row>
    <row r="7989" spans="1:1" ht="15.75" customHeight="1" x14ac:dyDescent="0.25">
      <c r="A7989" s="39"/>
    </row>
    <row r="7990" spans="1:1" ht="15.75" customHeight="1" x14ac:dyDescent="0.25">
      <c r="A7990" s="39"/>
    </row>
    <row r="7991" spans="1:1" ht="15.75" customHeight="1" x14ac:dyDescent="0.25">
      <c r="A7991" s="39"/>
    </row>
    <row r="7992" spans="1:1" ht="15.75" customHeight="1" x14ac:dyDescent="0.25">
      <c r="A7992" s="39"/>
    </row>
    <row r="7993" spans="1:1" ht="15.75" customHeight="1" x14ac:dyDescent="0.25">
      <c r="A7993" s="39"/>
    </row>
    <row r="7994" spans="1:1" ht="15.75" customHeight="1" x14ac:dyDescent="0.25">
      <c r="A7994" s="39"/>
    </row>
    <row r="7995" spans="1:1" ht="15.75" customHeight="1" x14ac:dyDescent="0.25">
      <c r="A7995" s="39"/>
    </row>
    <row r="7996" spans="1:1" ht="15.75" customHeight="1" x14ac:dyDescent="0.25">
      <c r="A7996" s="39"/>
    </row>
    <row r="7997" spans="1:1" ht="15.75" customHeight="1" x14ac:dyDescent="0.25">
      <c r="A7997" s="39"/>
    </row>
    <row r="7998" spans="1:1" ht="15.75" customHeight="1" x14ac:dyDescent="0.25">
      <c r="A7998" s="39"/>
    </row>
    <row r="7999" spans="1:1" ht="15.75" customHeight="1" x14ac:dyDescent="0.25">
      <c r="A7999" s="39"/>
    </row>
    <row r="8000" spans="1:1" ht="15.75" customHeight="1" x14ac:dyDescent="0.25">
      <c r="A8000" s="39"/>
    </row>
    <row r="8001" spans="1:1" ht="15.75" customHeight="1" x14ac:dyDescent="0.25">
      <c r="A8001" s="39"/>
    </row>
    <row r="8002" spans="1:1" ht="15.75" customHeight="1" x14ac:dyDescent="0.25">
      <c r="A8002" s="39"/>
    </row>
    <row r="8003" spans="1:1" ht="15.75" customHeight="1" x14ac:dyDescent="0.25">
      <c r="A8003" s="39"/>
    </row>
    <row r="8004" spans="1:1" ht="15.75" customHeight="1" x14ac:dyDescent="0.25">
      <c r="A8004" s="39"/>
    </row>
    <row r="8005" spans="1:1" ht="15.75" customHeight="1" x14ac:dyDescent="0.25">
      <c r="A8005" s="39"/>
    </row>
    <row r="8006" spans="1:1" ht="15.75" customHeight="1" x14ac:dyDescent="0.25">
      <c r="A8006" s="39"/>
    </row>
    <row r="8007" spans="1:1" ht="15.75" customHeight="1" x14ac:dyDescent="0.25">
      <c r="A8007" s="39"/>
    </row>
    <row r="8008" spans="1:1" ht="15.75" customHeight="1" x14ac:dyDescent="0.25">
      <c r="A8008" s="39"/>
    </row>
    <row r="8009" spans="1:1" ht="15.75" customHeight="1" x14ac:dyDescent="0.25">
      <c r="A8009" s="39"/>
    </row>
    <row r="8010" spans="1:1" ht="15.75" customHeight="1" x14ac:dyDescent="0.25">
      <c r="A8010" s="39"/>
    </row>
    <row r="8011" spans="1:1" ht="15.75" customHeight="1" x14ac:dyDescent="0.25">
      <c r="A8011" s="39"/>
    </row>
    <row r="8012" spans="1:1" ht="15.75" customHeight="1" x14ac:dyDescent="0.25">
      <c r="A8012" s="39"/>
    </row>
    <row r="8013" spans="1:1" ht="15.75" customHeight="1" x14ac:dyDescent="0.25">
      <c r="A8013" s="39"/>
    </row>
    <row r="8014" spans="1:1" ht="15.75" customHeight="1" x14ac:dyDescent="0.25">
      <c r="A8014" s="39"/>
    </row>
    <row r="8015" spans="1:1" ht="15.75" customHeight="1" x14ac:dyDescent="0.25">
      <c r="A8015" s="39"/>
    </row>
    <row r="8016" spans="1:1" ht="15.75" customHeight="1" x14ac:dyDescent="0.25">
      <c r="A8016" s="39"/>
    </row>
    <row r="8017" spans="1:1" ht="15.75" customHeight="1" x14ac:dyDescent="0.25">
      <c r="A8017" s="39"/>
    </row>
    <row r="8018" spans="1:1" ht="15.75" customHeight="1" x14ac:dyDescent="0.25">
      <c r="A8018" s="39"/>
    </row>
    <row r="8019" spans="1:1" ht="15.75" customHeight="1" x14ac:dyDescent="0.25">
      <c r="A8019" s="39"/>
    </row>
    <row r="8020" spans="1:1" ht="15.75" customHeight="1" x14ac:dyDescent="0.25">
      <c r="A8020" s="39"/>
    </row>
    <row r="8021" spans="1:1" ht="15.75" customHeight="1" x14ac:dyDescent="0.25">
      <c r="A8021" s="39"/>
    </row>
    <row r="8022" spans="1:1" ht="15.75" customHeight="1" x14ac:dyDescent="0.25">
      <c r="A8022" s="39"/>
    </row>
    <row r="8023" spans="1:1" ht="15.75" customHeight="1" x14ac:dyDescent="0.25">
      <c r="A8023" s="39"/>
    </row>
    <row r="8024" spans="1:1" ht="15.75" customHeight="1" x14ac:dyDescent="0.25">
      <c r="A8024" s="39"/>
    </row>
    <row r="8025" spans="1:1" ht="15.75" customHeight="1" x14ac:dyDescent="0.25">
      <c r="A8025" s="39"/>
    </row>
    <row r="8026" spans="1:1" ht="15.75" customHeight="1" x14ac:dyDescent="0.25">
      <c r="A8026" s="39"/>
    </row>
    <row r="8027" spans="1:1" ht="15.75" customHeight="1" x14ac:dyDescent="0.25">
      <c r="A8027" s="39"/>
    </row>
    <row r="8028" spans="1:1" ht="15.75" customHeight="1" x14ac:dyDescent="0.25">
      <c r="A8028" s="39"/>
    </row>
    <row r="8029" spans="1:1" ht="15.75" customHeight="1" x14ac:dyDescent="0.25">
      <c r="A8029" s="39"/>
    </row>
    <row r="8030" spans="1:1" ht="15.75" customHeight="1" x14ac:dyDescent="0.25">
      <c r="A8030" s="39"/>
    </row>
    <row r="8031" spans="1:1" ht="15.75" customHeight="1" x14ac:dyDescent="0.25">
      <c r="A8031" s="39"/>
    </row>
    <row r="8032" spans="1:1" ht="15.75" customHeight="1" x14ac:dyDescent="0.25">
      <c r="A8032" s="39"/>
    </row>
    <row r="8033" spans="1:1" ht="15.75" customHeight="1" x14ac:dyDescent="0.25">
      <c r="A8033" s="39"/>
    </row>
    <row r="8034" spans="1:1" ht="15.75" customHeight="1" x14ac:dyDescent="0.25">
      <c r="A8034" s="39"/>
    </row>
    <row r="8035" spans="1:1" ht="15.75" customHeight="1" x14ac:dyDescent="0.25">
      <c r="A8035" s="39"/>
    </row>
    <row r="8036" spans="1:1" ht="15.75" customHeight="1" x14ac:dyDescent="0.25">
      <c r="A8036" s="39"/>
    </row>
    <row r="8037" spans="1:1" ht="15.75" customHeight="1" x14ac:dyDescent="0.25">
      <c r="A8037" s="39"/>
    </row>
    <row r="8038" spans="1:1" ht="15.75" customHeight="1" x14ac:dyDescent="0.25">
      <c r="A8038" s="39"/>
    </row>
    <row r="8039" spans="1:1" ht="15.75" customHeight="1" x14ac:dyDescent="0.25">
      <c r="A8039" s="39"/>
    </row>
    <row r="8040" spans="1:1" ht="15.75" customHeight="1" x14ac:dyDescent="0.25">
      <c r="A8040" s="39"/>
    </row>
    <row r="8041" spans="1:1" ht="15.75" customHeight="1" x14ac:dyDescent="0.25">
      <c r="A8041" s="39"/>
    </row>
    <row r="8042" spans="1:1" ht="15.75" customHeight="1" x14ac:dyDescent="0.25">
      <c r="A8042" s="39"/>
    </row>
    <row r="8043" spans="1:1" ht="15.75" customHeight="1" x14ac:dyDescent="0.25">
      <c r="A8043" s="39"/>
    </row>
    <row r="8044" spans="1:1" ht="15.75" customHeight="1" x14ac:dyDescent="0.25">
      <c r="A8044" s="39"/>
    </row>
    <row r="8045" spans="1:1" ht="15.75" customHeight="1" x14ac:dyDescent="0.25">
      <c r="A8045" s="39"/>
    </row>
    <row r="8046" spans="1:1" ht="15.75" customHeight="1" x14ac:dyDescent="0.25">
      <c r="A8046" s="39"/>
    </row>
    <row r="8047" spans="1:1" ht="15.75" customHeight="1" x14ac:dyDescent="0.25">
      <c r="A8047" s="39"/>
    </row>
    <row r="8048" spans="1:1" ht="15.75" customHeight="1" x14ac:dyDescent="0.25">
      <c r="A8048" s="39"/>
    </row>
    <row r="8049" spans="1:1" ht="15.75" customHeight="1" x14ac:dyDescent="0.25">
      <c r="A8049" s="39"/>
    </row>
    <row r="8050" spans="1:1" ht="15.75" customHeight="1" x14ac:dyDescent="0.25">
      <c r="A8050" s="39"/>
    </row>
    <row r="8051" spans="1:1" ht="15.75" customHeight="1" x14ac:dyDescent="0.25">
      <c r="A8051" s="39"/>
    </row>
    <row r="8052" spans="1:1" ht="15.75" customHeight="1" x14ac:dyDescent="0.25">
      <c r="A8052" s="39"/>
    </row>
    <row r="8053" spans="1:1" ht="15.75" customHeight="1" x14ac:dyDescent="0.25">
      <c r="A8053" s="39"/>
    </row>
    <row r="8054" spans="1:1" ht="15.75" customHeight="1" x14ac:dyDescent="0.25">
      <c r="A8054" s="39"/>
    </row>
    <row r="8055" spans="1:1" ht="15.75" customHeight="1" x14ac:dyDescent="0.25">
      <c r="A8055" s="39"/>
    </row>
    <row r="8056" spans="1:1" ht="15.75" customHeight="1" x14ac:dyDescent="0.25">
      <c r="A8056" s="39"/>
    </row>
    <row r="8057" spans="1:1" ht="15.75" customHeight="1" x14ac:dyDescent="0.25">
      <c r="A8057" s="39"/>
    </row>
    <row r="8058" spans="1:1" ht="15.75" customHeight="1" x14ac:dyDescent="0.25">
      <c r="A8058" s="39"/>
    </row>
    <row r="8059" spans="1:1" ht="15.75" customHeight="1" x14ac:dyDescent="0.25">
      <c r="A8059" s="39"/>
    </row>
    <row r="8060" spans="1:1" ht="15.75" customHeight="1" x14ac:dyDescent="0.25">
      <c r="A8060" s="39"/>
    </row>
    <row r="8061" spans="1:1" ht="15.75" customHeight="1" x14ac:dyDescent="0.25">
      <c r="A8061" s="39"/>
    </row>
    <row r="8062" spans="1:1" ht="15.75" customHeight="1" x14ac:dyDescent="0.25">
      <c r="A8062" s="39"/>
    </row>
    <row r="8063" spans="1:1" ht="15.75" customHeight="1" x14ac:dyDescent="0.25">
      <c r="A8063" s="39"/>
    </row>
    <row r="8064" spans="1:1" ht="15.75" customHeight="1" x14ac:dyDescent="0.25">
      <c r="A8064" s="39"/>
    </row>
    <row r="8065" spans="1:1" ht="15.75" customHeight="1" x14ac:dyDescent="0.25">
      <c r="A8065" s="39"/>
    </row>
    <row r="8066" spans="1:1" ht="15.75" customHeight="1" x14ac:dyDescent="0.25">
      <c r="A8066" s="39"/>
    </row>
    <row r="8067" spans="1:1" ht="15.75" customHeight="1" x14ac:dyDescent="0.25">
      <c r="A8067" s="39"/>
    </row>
    <row r="8068" spans="1:1" ht="15.75" customHeight="1" x14ac:dyDescent="0.25">
      <c r="A8068" s="39"/>
    </row>
    <row r="8069" spans="1:1" ht="15.75" customHeight="1" x14ac:dyDescent="0.25">
      <c r="A8069" s="39"/>
    </row>
    <row r="8070" spans="1:1" ht="15.75" customHeight="1" x14ac:dyDescent="0.25">
      <c r="A8070" s="39"/>
    </row>
    <row r="8071" spans="1:1" ht="15.75" customHeight="1" x14ac:dyDescent="0.25">
      <c r="A8071" s="39"/>
    </row>
    <row r="8072" spans="1:1" ht="15.75" customHeight="1" x14ac:dyDescent="0.25">
      <c r="A8072" s="39"/>
    </row>
    <row r="8073" spans="1:1" ht="15.75" customHeight="1" x14ac:dyDescent="0.25">
      <c r="A8073" s="39"/>
    </row>
    <row r="8074" spans="1:1" ht="15.75" customHeight="1" x14ac:dyDescent="0.25">
      <c r="A8074" s="39"/>
    </row>
    <row r="8075" spans="1:1" ht="15.75" customHeight="1" x14ac:dyDescent="0.25">
      <c r="A8075" s="39"/>
    </row>
    <row r="8076" spans="1:1" ht="15.75" customHeight="1" x14ac:dyDescent="0.25">
      <c r="A8076" s="39"/>
    </row>
    <row r="8077" spans="1:1" ht="15.75" customHeight="1" x14ac:dyDescent="0.25">
      <c r="A8077" s="39"/>
    </row>
    <row r="8078" spans="1:1" ht="15.75" customHeight="1" x14ac:dyDescent="0.25">
      <c r="A8078" s="39"/>
    </row>
    <row r="8079" spans="1:1" ht="15.75" customHeight="1" x14ac:dyDescent="0.25">
      <c r="A8079" s="39"/>
    </row>
    <row r="8080" spans="1:1" ht="15.75" customHeight="1" x14ac:dyDescent="0.25">
      <c r="A8080" s="39"/>
    </row>
    <row r="8081" spans="1:1" ht="15.75" customHeight="1" x14ac:dyDescent="0.25">
      <c r="A8081" s="39"/>
    </row>
    <row r="8082" spans="1:1" ht="15.75" customHeight="1" x14ac:dyDescent="0.25">
      <c r="A8082" s="39"/>
    </row>
    <row r="8083" spans="1:1" ht="15.75" customHeight="1" x14ac:dyDescent="0.25">
      <c r="A8083" s="39"/>
    </row>
    <row r="8084" spans="1:1" ht="15.75" customHeight="1" x14ac:dyDescent="0.25">
      <c r="A8084" s="39"/>
    </row>
    <row r="8085" spans="1:1" ht="15.75" customHeight="1" x14ac:dyDescent="0.25">
      <c r="A8085" s="39"/>
    </row>
    <row r="8086" spans="1:1" ht="15.75" customHeight="1" x14ac:dyDescent="0.25">
      <c r="A8086" s="39"/>
    </row>
    <row r="8087" spans="1:1" ht="15.75" customHeight="1" x14ac:dyDescent="0.25">
      <c r="A8087" s="39"/>
    </row>
    <row r="8088" spans="1:1" ht="15.75" customHeight="1" x14ac:dyDescent="0.25">
      <c r="A8088" s="39"/>
    </row>
    <row r="8089" spans="1:1" ht="15.75" customHeight="1" x14ac:dyDescent="0.25">
      <c r="A8089" s="39"/>
    </row>
    <row r="8090" spans="1:1" ht="15.75" customHeight="1" x14ac:dyDescent="0.25">
      <c r="A8090" s="39"/>
    </row>
    <row r="8091" spans="1:1" ht="15.75" customHeight="1" x14ac:dyDescent="0.25">
      <c r="A8091" s="39"/>
    </row>
    <row r="8092" spans="1:1" ht="15.75" customHeight="1" x14ac:dyDescent="0.25">
      <c r="A8092" s="39"/>
    </row>
    <row r="8093" spans="1:1" ht="15.75" customHeight="1" x14ac:dyDescent="0.25">
      <c r="A8093" s="39"/>
    </row>
    <row r="8094" spans="1:1" ht="15.75" customHeight="1" x14ac:dyDescent="0.25">
      <c r="A8094" s="39"/>
    </row>
    <row r="8095" spans="1:1" ht="15.75" customHeight="1" x14ac:dyDescent="0.25">
      <c r="A8095" s="39"/>
    </row>
    <row r="8096" spans="1:1" ht="15.75" customHeight="1" x14ac:dyDescent="0.25">
      <c r="A8096" s="39"/>
    </row>
    <row r="8097" spans="1:1" ht="15.75" customHeight="1" x14ac:dyDescent="0.25">
      <c r="A8097" s="39"/>
    </row>
    <row r="8098" spans="1:1" ht="15.75" customHeight="1" x14ac:dyDescent="0.25">
      <c r="A8098" s="39"/>
    </row>
    <row r="8099" spans="1:1" ht="15.75" customHeight="1" x14ac:dyDescent="0.25">
      <c r="A8099" s="39"/>
    </row>
    <row r="8100" spans="1:1" ht="15.75" customHeight="1" x14ac:dyDescent="0.25">
      <c r="A8100" s="39"/>
    </row>
    <row r="8101" spans="1:1" ht="15.75" customHeight="1" x14ac:dyDescent="0.25">
      <c r="A8101" s="39"/>
    </row>
    <row r="8102" spans="1:1" ht="15.75" customHeight="1" x14ac:dyDescent="0.25">
      <c r="A8102" s="39"/>
    </row>
    <row r="8103" spans="1:1" ht="15.75" customHeight="1" x14ac:dyDescent="0.25">
      <c r="A8103" s="39"/>
    </row>
    <row r="8104" spans="1:1" ht="15.75" customHeight="1" x14ac:dyDescent="0.25">
      <c r="A8104" s="39"/>
    </row>
    <row r="8105" spans="1:1" ht="15.75" customHeight="1" x14ac:dyDescent="0.25">
      <c r="A8105" s="39"/>
    </row>
    <row r="8106" spans="1:1" ht="15.75" customHeight="1" x14ac:dyDescent="0.25">
      <c r="A8106" s="39"/>
    </row>
    <row r="8107" spans="1:1" ht="15.75" customHeight="1" x14ac:dyDescent="0.25">
      <c r="A8107" s="39"/>
    </row>
    <row r="8108" spans="1:1" ht="15.75" customHeight="1" x14ac:dyDescent="0.25">
      <c r="A8108" s="39"/>
    </row>
    <row r="8109" spans="1:1" ht="15.75" customHeight="1" x14ac:dyDescent="0.25">
      <c r="A8109" s="39"/>
    </row>
    <row r="8110" spans="1:1" ht="15.75" customHeight="1" x14ac:dyDescent="0.25">
      <c r="A8110" s="39"/>
    </row>
    <row r="8111" spans="1:1" ht="15.75" customHeight="1" x14ac:dyDescent="0.25">
      <c r="A8111" s="39"/>
    </row>
    <row r="8112" spans="1:1" ht="15.75" customHeight="1" x14ac:dyDescent="0.25">
      <c r="A8112" s="39"/>
    </row>
    <row r="8113" spans="1:1" ht="15.75" customHeight="1" x14ac:dyDescent="0.25">
      <c r="A8113" s="39"/>
    </row>
    <row r="8114" spans="1:1" ht="15.75" customHeight="1" x14ac:dyDescent="0.25">
      <c r="A8114" s="39"/>
    </row>
    <row r="8115" spans="1:1" ht="15.75" customHeight="1" x14ac:dyDescent="0.25">
      <c r="A8115" s="39"/>
    </row>
    <row r="8116" spans="1:1" ht="15.75" customHeight="1" x14ac:dyDescent="0.25">
      <c r="A8116" s="39"/>
    </row>
    <row r="8117" spans="1:1" ht="15.75" customHeight="1" x14ac:dyDescent="0.25">
      <c r="A8117" s="39"/>
    </row>
    <row r="8118" spans="1:1" ht="15.75" customHeight="1" x14ac:dyDescent="0.25">
      <c r="A8118" s="39"/>
    </row>
    <row r="8119" spans="1:1" ht="15.75" customHeight="1" x14ac:dyDescent="0.25">
      <c r="A8119" s="39"/>
    </row>
    <row r="8120" spans="1:1" ht="15.75" customHeight="1" x14ac:dyDescent="0.25">
      <c r="A8120" s="39"/>
    </row>
    <row r="8121" spans="1:1" ht="15.75" customHeight="1" x14ac:dyDescent="0.25">
      <c r="A8121" s="39"/>
    </row>
    <row r="8122" spans="1:1" ht="15.75" customHeight="1" x14ac:dyDescent="0.25">
      <c r="A8122" s="39"/>
    </row>
    <row r="8123" spans="1:1" ht="15.75" customHeight="1" x14ac:dyDescent="0.25">
      <c r="A8123" s="39"/>
    </row>
    <row r="8124" spans="1:1" ht="15.75" customHeight="1" x14ac:dyDescent="0.25">
      <c r="A8124" s="39"/>
    </row>
    <row r="8125" spans="1:1" ht="15.75" customHeight="1" x14ac:dyDescent="0.25">
      <c r="A8125" s="39"/>
    </row>
    <row r="8126" spans="1:1" ht="15.75" customHeight="1" x14ac:dyDescent="0.25">
      <c r="A8126" s="39"/>
    </row>
    <row r="8127" spans="1:1" ht="15.75" customHeight="1" x14ac:dyDescent="0.25">
      <c r="A8127" s="39"/>
    </row>
    <row r="8128" spans="1:1" ht="15.75" customHeight="1" x14ac:dyDescent="0.25">
      <c r="A8128" s="39"/>
    </row>
    <row r="8129" spans="1:1" ht="15.75" customHeight="1" x14ac:dyDescent="0.25">
      <c r="A8129" s="39"/>
    </row>
    <row r="8130" spans="1:1" ht="15.75" customHeight="1" x14ac:dyDescent="0.25">
      <c r="A8130" s="39"/>
    </row>
    <row r="8131" spans="1:1" ht="15.75" customHeight="1" x14ac:dyDescent="0.25">
      <c r="A8131" s="39"/>
    </row>
    <row r="8132" spans="1:1" ht="15.75" customHeight="1" x14ac:dyDescent="0.25">
      <c r="A8132" s="39"/>
    </row>
    <row r="8133" spans="1:1" ht="15.75" customHeight="1" x14ac:dyDescent="0.25">
      <c r="A8133" s="39"/>
    </row>
    <row r="8134" spans="1:1" ht="15.75" customHeight="1" x14ac:dyDescent="0.25">
      <c r="A8134" s="39"/>
    </row>
    <row r="8135" spans="1:1" ht="15.75" customHeight="1" x14ac:dyDescent="0.25">
      <c r="A8135" s="39"/>
    </row>
    <row r="8136" spans="1:1" ht="15.75" customHeight="1" x14ac:dyDescent="0.25">
      <c r="A8136" s="39"/>
    </row>
    <row r="8137" spans="1:1" ht="15.75" customHeight="1" x14ac:dyDescent="0.25">
      <c r="A8137" s="39"/>
    </row>
    <row r="8138" spans="1:1" ht="15.75" customHeight="1" x14ac:dyDescent="0.25">
      <c r="A8138" s="39"/>
    </row>
    <row r="8139" spans="1:1" ht="15.75" customHeight="1" x14ac:dyDescent="0.25">
      <c r="A8139" s="39"/>
    </row>
    <row r="8140" spans="1:1" ht="15.75" customHeight="1" x14ac:dyDescent="0.25">
      <c r="A8140" s="39"/>
    </row>
    <row r="8141" spans="1:1" ht="15.75" customHeight="1" x14ac:dyDescent="0.25">
      <c r="A8141" s="39"/>
    </row>
    <row r="8142" spans="1:1" ht="15.75" customHeight="1" x14ac:dyDescent="0.25">
      <c r="A8142" s="39"/>
    </row>
    <row r="8143" spans="1:1" ht="15.75" customHeight="1" x14ac:dyDescent="0.25">
      <c r="A8143" s="39"/>
    </row>
    <row r="8144" spans="1:1" ht="15.75" customHeight="1" x14ac:dyDescent="0.25">
      <c r="A8144" s="39"/>
    </row>
    <row r="8145" spans="1:1" ht="15.75" customHeight="1" x14ac:dyDescent="0.25">
      <c r="A8145" s="39"/>
    </row>
    <row r="8146" spans="1:1" ht="15.75" customHeight="1" x14ac:dyDescent="0.25">
      <c r="A8146" s="39"/>
    </row>
    <row r="8147" spans="1:1" ht="15.75" customHeight="1" x14ac:dyDescent="0.25">
      <c r="A8147" s="39"/>
    </row>
    <row r="8148" spans="1:1" ht="15.75" customHeight="1" x14ac:dyDescent="0.25">
      <c r="A8148" s="39"/>
    </row>
    <row r="8149" spans="1:1" ht="15.75" customHeight="1" x14ac:dyDescent="0.25">
      <c r="A8149" s="39"/>
    </row>
    <row r="8150" spans="1:1" ht="15.75" customHeight="1" x14ac:dyDescent="0.25">
      <c r="A8150" s="39"/>
    </row>
    <row r="8151" spans="1:1" ht="15.75" customHeight="1" x14ac:dyDescent="0.25">
      <c r="A8151" s="39"/>
    </row>
    <row r="8152" spans="1:1" ht="15.75" customHeight="1" x14ac:dyDescent="0.25">
      <c r="A8152" s="39"/>
    </row>
    <row r="8153" spans="1:1" ht="15.75" customHeight="1" x14ac:dyDescent="0.25">
      <c r="A8153" s="39"/>
    </row>
    <row r="8154" spans="1:1" ht="15.75" customHeight="1" x14ac:dyDescent="0.25">
      <c r="A8154" s="39"/>
    </row>
    <row r="8155" spans="1:1" ht="15.75" customHeight="1" x14ac:dyDescent="0.25">
      <c r="A8155" s="39"/>
    </row>
    <row r="8156" spans="1:1" ht="15.75" customHeight="1" x14ac:dyDescent="0.25">
      <c r="A8156" s="39"/>
    </row>
    <row r="8157" spans="1:1" ht="15.75" customHeight="1" x14ac:dyDescent="0.25">
      <c r="A8157" s="39"/>
    </row>
    <row r="8158" spans="1:1" ht="15.75" customHeight="1" x14ac:dyDescent="0.25">
      <c r="A8158" s="39"/>
    </row>
    <row r="8159" spans="1:1" ht="15.75" customHeight="1" x14ac:dyDescent="0.25">
      <c r="A8159" s="39"/>
    </row>
    <row r="8160" spans="1:1" ht="15.75" customHeight="1" x14ac:dyDescent="0.25">
      <c r="A8160" s="39"/>
    </row>
    <row r="8161" spans="1:1" ht="15.75" customHeight="1" x14ac:dyDescent="0.25">
      <c r="A8161" s="39"/>
    </row>
    <row r="8162" spans="1:1" ht="15.75" customHeight="1" x14ac:dyDescent="0.25">
      <c r="A8162" s="39"/>
    </row>
    <row r="8163" spans="1:1" ht="15.75" customHeight="1" x14ac:dyDescent="0.25">
      <c r="A8163" s="39"/>
    </row>
    <row r="8164" spans="1:1" ht="15.75" customHeight="1" x14ac:dyDescent="0.25">
      <c r="A8164" s="39"/>
    </row>
    <row r="8165" spans="1:1" ht="15.75" customHeight="1" x14ac:dyDescent="0.25">
      <c r="A8165" s="39"/>
    </row>
    <row r="8166" spans="1:1" ht="15.75" customHeight="1" x14ac:dyDescent="0.25">
      <c r="A8166" s="39"/>
    </row>
    <row r="8167" spans="1:1" ht="15.75" customHeight="1" x14ac:dyDescent="0.25">
      <c r="A8167" s="39"/>
    </row>
    <row r="8168" spans="1:1" ht="15.75" customHeight="1" x14ac:dyDescent="0.25">
      <c r="A8168" s="39"/>
    </row>
    <row r="8169" spans="1:1" ht="15.75" customHeight="1" x14ac:dyDescent="0.25">
      <c r="A8169" s="39"/>
    </row>
    <row r="8170" spans="1:1" ht="15.75" customHeight="1" x14ac:dyDescent="0.25">
      <c r="A8170" s="39"/>
    </row>
    <row r="8171" spans="1:1" ht="15.75" customHeight="1" x14ac:dyDescent="0.25">
      <c r="A8171" s="39"/>
    </row>
    <row r="8172" spans="1:1" ht="15.75" customHeight="1" x14ac:dyDescent="0.25">
      <c r="A8172" s="39"/>
    </row>
    <row r="8173" spans="1:1" ht="15.75" customHeight="1" x14ac:dyDescent="0.25">
      <c r="A8173" s="39"/>
    </row>
    <row r="8174" spans="1:1" ht="15.75" customHeight="1" x14ac:dyDescent="0.25">
      <c r="A8174" s="39"/>
    </row>
    <row r="8175" spans="1:1" ht="15.75" customHeight="1" x14ac:dyDescent="0.25">
      <c r="A8175" s="39"/>
    </row>
    <row r="8176" spans="1:1" ht="15.75" customHeight="1" x14ac:dyDescent="0.25">
      <c r="A8176" s="39"/>
    </row>
    <row r="8177" spans="1:1" ht="15.75" customHeight="1" x14ac:dyDescent="0.25">
      <c r="A8177" s="39"/>
    </row>
    <row r="8178" spans="1:1" ht="15.75" customHeight="1" x14ac:dyDescent="0.25">
      <c r="A8178" s="39"/>
    </row>
    <row r="8179" spans="1:1" ht="15.75" customHeight="1" x14ac:dyDescent="0.25">
      <c r="A8179" s="39"/>
    </row>
    <row r="8180" spans="1:1" ht="15.75" customHeight="1" x14ac:dyDescent="0.25">
      <c r="A8180" s="39"/>
    </row>
    <row r="8181" spans="1:1" ht="15.75" customHeight="1" x14ac:dyDescent="0.25">
      <c r="A8181" s="39"/>
    </row>
    <row r="8182" spans="1:1" ht="15.75" customHeight="1" x14ac:dyDescent="0.25">
      <c r="A8182" s="39"/>
    </row>
    <row r="8183" spans="1:1" ht="15.75" customHeight="1" x14ac:dyDescent="0.25">
      <c r="A8183" s="39"/>
    </row>
    <row r="8184" spans="1:1" ht="15.75" customHeight="1" x14ac:dyDescent="0.25">
      <c r="A8184" s="39"/>
    </row>
    <row r="8185" spans="1:1" ht="15.75" customHeight="1" x14ac:dyDescent="0.25">
      <c r="A8185" s="39"/>
    </row>
    <row r="8186" spans="1:1" ht="15.75" customHeight="1" x14ac:dyDescent="0.25">
      <c r="A8186" s="39"/>
    </row>
    <row r="8187" spans="1:1" ht="15.75" customHeight="1" x14ac:dyDescent="0.25">
      <c r="A8187" s="39"/>
    </row>
    <row r="8188" spans="1:1" ht="15.75" customHeight="1" x14ac:dyDescent="0.25">
      <c r="A8188" s="39"/>
    </row>
    <row r="8189" spans="1:1" ht="15.75" customHeight="1" x14ac:dyDescent="0.25">
      <c r="A8189" s="39"/>
    </row>
    <row r="8190" spans="1:1" ht="15.75" customHeight="1" x14ac:dyDescent="0.25">
      <c r="A8190" s="39"/>
    </row>
    <row r="8191" spans="1:1" ht="15.75" customHeight="1" x14ac:dyDescent="0.25">
      <c r="A8191" s="39"/>
    </row>
    <row r="8192" spans="1:1" ht="15.75" customHeight="1" x14ac:dyDescent="0.25">
      <c r="A8192" s="39"/>
    </row>
    <row r="8193" spans="1:1" ht="15.75" customHeight="1" x14ac:dyDescent="0.25">
      <c r="A8193" s="39"/>
    </row>
    <row r="8194" spans="1:1" ht="15.75" customHeight="1" x14ac:dyDescent="0.25">
      <c r="A8194" s="39"/>
    </row>
    <row r="8195" spans="1:1" ht="15.75" customHeight="1" x14ac:dyDescent="0.25">
      <c r="A8195" s="39"/>
    </row>
    <row r="8196" spans="1:1" ht="15.75" customHeight="1" x14ac:dyDescent="0.25">
      <c r="A8196" s="39"/>
    </row>
    <row r="8197" spans="1:1" ht="15.75" customHeight="1" x14ac:dyDescent="0.25">
      <c r="A8197" s="39"/>
    </row>
    <row r="8198" spans="1:1" ht="15.75" customHeight="1" x14ac:dyDescent="0.25">
      <c r="A8198" s="39"/>
    </row>
    <row r="8199" spans="1:1" ht="15.75" customHeight="1" x14ac:dyDescent="0.25">
      <c r="A8199" s="39"/>
    </row>
    <row r="8200" spans="1:1" ht="15.75" customHeight="1" x14ac:dyDescent="0.25">
      <c r="A8200" s="39"/>
    </row>
    <row r="8201" spans="1:1" ht="15.75" customHeight="1" x14ac:dyDescent="0.25">
      <c r="A8201" s="39"/>
    </row>
    <row r="8202" spans="1:1" ht="15.75" customHeight="1" x14ac:dyDescent="0.25">
      <c r="A8202" s="39"/>
    </row>
    <row r="8203" spans="1:1" ht="15.75" customHeight="1" x14ac:dyDescent="0.25">
      <c r="A8203" s="39"/>
    </row>
    <row r="8204" spans="1:1" ht="15.75" customHeight="1" x14ac:dyDescent="0.25">
      <c r="A8204" s="39"/>
    </row>
    <row r="8205" spans="1:1" ht="15.75" customHeight="1" x14ac:dyDescent="0.25">
      <c r="A8205" s="39"/>
    </row>
    <row r="8206" spans="1:1" ht="15.75" customHeight="1" x14ac:dyDescent="0.25">
      <c r="A8206" s="39"/>
    </row>
    <row r="8207" spans="1:1" ht="15.75" customHeight="1" x14ac:dyDescent="0.25">
      <c r="A8207" s="39"/>
    </row>
    <row r="8208" spans="1:1" ht="15.75" customHeight="1" x14ac:dyDescent="0.25">
      <c r="A8208" s="39"/>
    </row>
    <row r="8209" spans="1:1" ht="15.75" customHeight="1" x14ac:dyDescent="0.25">
      <c r="A8209" s="39"/>
    </row>
    <row r="8210" spans="1:1" ht="15.75" customHeight="1" x14ac:dyDescent="0.25">
      <c r="A8210" s="39"/>
    </row>
    <row r="8211" spans="1:1" ht="15.75" customHeight="1" x14ac:dyDescent="0.25">
      <c r="A8211" s="39"/>
    </row>
    <row r="8212" spans="1:1" ht="15.75" customHeight="1" x14ac:dyDescent="0.25">
      <c r="A8212" s="39"/>
    </row>
    <row r="8213" spans="1:1" ht="15.75" customHeight="1" x14ac:dyDescent="0.25">
      <c r="A8213" s="39"/>
    </row>
    <row r="8214" spans="1:1" ht="15.75" customHeight="1" x14ac:dyDescent="0.25">
      <c r="A8214" s="39"/>
    </row>
    <row r="8215" spans="1:1" ht="15.75" customHeight="1" x14ac:dyDescent="0.25">
      <c r="A8215" s="39"/>
    </row>
    <row r="8216" spans="1:1" ht="15.75" customHeight="1" x14ac:dyDescent="0.25">
      <c r="A8216" s="39"/>
    </row>
    <row r="8217" spans="1:1" ht="15.75" customHeight="1" x14ac:dyDescent="0.25">
      <c r="A8217" s="39"/>
    </row>
    <row r="8218" spans="1:1" ht="15.75" customHeight="1" x14ac:dyDescent="0.25">
      <c r="A8218" s="39"/>
    </row>
    <row r="8219" spans="1:1" ht="15.75" customHeight="1" x14ac:dyDescent="0.25">
      <c r="A8219" s="39"/>
    </row>
    <row r="8220" spans="1:1" ht="15.75" customHeight="1" x14ac:dyDescent="0.25">
      <c r="A8220" s="39"/>
    </row>
    <row r="8221" spans="1:1" ht="15.75" customHeight="1" x14ac:dyDescent="0.25">
      <c r="A8221" s="39"/>
    </row>
    <row r="8222" spans="1:1" ht="15.75" customHeight="1" x14ac:dyDescent="0.25">
      <c r="A8222" s="39"/>
    </row>
    <row r="8223" spans="1:1" ht="15.75" customHeight="1" x14ac:dyDescent="0.25">
      <c r="A8223" s="39"/>
    </row>
    <row r="8224" spans="1:1" ht="15.75" customHeight="1" x14ac:dyDescent="0.25">
      <c r="A8224" s="39"/>
    </row>
    <row r="8225" spans="1:1" ht="15.75" customHeight="1" x14ac:dyDescent="0.25">
      <c r="A8225" s="39"/>
    </row>
    <row r="8226" spans="1:1" ht="15.75" customHeight="1" x14ac:dyDescent="0.25">
      <c r="A8226" s="39"/>
    </row>
    <row r="8227" spans="1:1" ht="15.75" customHeight="1" x14ac:dyDescent="0.25">
      <c r="A8227" s="39"/>
    </row>
    <row r="8228" spans="1:1" ht="15.75" customHeight="1" x14ac:dyDescent="0.25">
      <c r="A8228" s="39"/>
    </row>
    <row r="8229" spans="1:1" ht="15.75" customHeight="1" x14ac:dyDescent="0.25">
      <c r="A8229" s="39"/>
    </row>
    <row r="8230" spans="1:1" ht="15.75" customHeight="1" x14ac:dyDescent="0.25">
      <c r="A8230" s="39"/>
    </row>
    <row r="8231" spans="1:1" ht="15.75" customHeight="1" x14ac:dyDescent="0.25">
      <c r="A8231" s="39"/>
    </row>
    <row r="8232" spans="1:1" ht="15.75" customHeight="1" x14ac:dyDescent="0.25">
      <c r="A8232" s="39"/>
    </row>
    <row r="8233" spans="1:1" ht="15.75" customHeight="1" x14ac:dyDescent="0.25">
      <c r="A8233" s="39"/>
    </row>
    <row r="8234" spans="1:1" ht="15.75" customHeight="1" x14ac:dyDescent="0.25">
      <c r="A8234" s="39"/>
    </row>
    <row r="8235" spans="1:1" ht="15.75" customHeight="1" x14ac:dyDescent="0.25">
      <c r="A8235" s="39"/>
    </row>
    <row r="8236" spans="1:1" ht="15.75" customHeight="1" x14ac:dyDescent="0.25">
      <c r="A8236" s="39"/>
    </row>
    <row r="8237" spans="1:1" ht="15.75" customHeight="1" x14ac:dyDescent="0.25">
      <c r="A8237" s="39"/>
    </row>
    <row r="8238" spans="1:1" ht="15.75" customHeight="1" x14ac:dyDescent="0.25">
      <c r="A8238" s="39"/>
    </row>
    <row r="8239" spans="1:1" ht="15.75" customHeight="1" x14ac:dyDescent="0.25">
      <c r="A8239" s="39"/>
    </row>
    <row r="8240" spans="1:1" ht="15.75" customHeight="1" x14ac:dyDescent="0.25">
      <c r="A8240" s="39"/>
    </row>
    <row r="8241" spans="1:1" ht="15.75" customHeight="1" x14ac:dyDescent="0.25">
      <c r="A8241" s="39"/>
    </row>
    <row r="8242" spans="1:1" ht="15.75" customHeight="1" x14ac:dyDescent="0.25">
      <c r="A8242" s="39"/>
    </row>
    <row r="8243" spans="1:1" ht="15.75" customHeight="1" x14ac:dyDescent="0.25">
      <c r="A8243" s="39"/>
    </row>
    <row r="8244" spans="1:1" ht="15.75" customHeight="1" x14ac:dyDescent="0.25">
      <c r="A8244" s="39"/>
    </row>
    <row r="8245" spans="1:1" ht="15.75" customHeight="1" x14ac:dyDescent="0.25">
      <c r="A8245" s="39"/>
    </row>
    <row r="8246" spans="1:1" ht="15.75" customHeight="1" x14ac:dyDescent="0.25">
      <c r="A8246" s="39"/>
    </row>
    <row r="8247" spans="1:1" ht="15.75" customHeight="1" x14ac:dyDescent="0.25">
      <c r="A8247" s="39"/>
    </row>
    <row r="8248" spans="1:1" ht="15.75" customHeight="1" x14ac:dyDescent="0.25">
      <c r="A8248" s="39"/>
    </row>
    <row r="8249" spans="1:1" ht="15.75" customHeight="1" x14ac:dyDescent="0.25">
      <c r="A8249" s="39"/>
    </row>
    <row r="8250" spans="1:1" ht="15.75" customHeight="1" x14ac:dyDescent="0.25">
      <c r="A8250" s="39"/>
    </row>
    <row r="8251" spans="1:1" ht="15.75" customHeight="1" x14ac:dyDescent="0.25">
      <c r="A8251" s="39"/>
    </row>
    <row r="8252" spans="1:1" ht="15.75" customHeight="1" x14ac:dyDescent="0.25">
      <c r="A8252" s="39"/>
    </row>
    <row r="8253" spans="1:1" ht="15.75" customHeight="1" x14ac:dyDescent="0.25">
      <c r="A8253" s="39"/>
    </row>
    <row r="8254" spans="1:1" ht="15.75" customHeight="1" x14ac:dyDescent="0.25">
      <c r="A8254" s="39"/>
    </row>
    <row r="8255" spans="1:1" ht="15.75" customHeight="1" x14ac:dyDescent="0.25">
      <c r="A8255" s="39"/>
    </row>
    <row r="8256" spans="1:1" ht="15.75" customHeight="1" x14ac:dyDescent="0.25">
      <c r="A8256" s="39"/>
    </row>
    <row r="8257" spans="1:1" ht="15.75" customHeight="1" x14ac:dyDescent="0.25">
      <c r="A8257" s="39"/>
    </row>
    <row r="8258" spans="1:1" ht="15.75" customHeight="1" x14ac:dyDescent="0.25">
      <c r="A8258" s="39"/>
    </row>
    <row r="8259" spans="1:1" ht="15.75" customHeight="1" x14ac:dyDescent="0.25">
      <c r="A8259" s="39"/>
    </row>
    <row r="8260" spans="1:1" ht="15.75" customHeight="1" x14ac:dyDescent="0.25">
      <c r="A8260" s="39"/>
    </row>
    <row r="8261" spans="1:1" ht="15.75" customHeight="1" x14ac:dyDescent="0.25">
      <c r="A8261" s="39"/>
    </row>
    <row r="8262" spans="1:1" ht="15.75" customHeight="1" x14ac:dyDescent="0.25">
      <c r="A8262" s="39"/>
    </row>
    <row r="8263" spans="1:1" ht="15.75" customHeight="1" x14ac:dyDescent="0.25">
      <c r="A8263" s="39"/>
    </row>
    <row r="8264" spans="1:1" ht="15.75" customHeight="1" x14ac:dyDescent="0.25">
      <c r="A8264" s="39"/>
    </row>
    <row r="8265" spans="1:1" ht="15.75" customHeight="1" x14ac:dyDescent="0.25">
      <c r="A8265" s="39"/>
    </row>
    <row r="8266" spans="1:1" ht="15.75" customHeight="1" x14ac:dyDescent="0.25">
      <c r="A8266" s="39"/>
    </row>
    <row r="8267" spans="1:1" ht="15.75" customHeight="1" x14ac:dyDescent="0.25">
      <c r="A8267" s="39"/>
    </row>
    <row r="8268" spans="1:1" ht="15.75" customHeight="1" x14ac:dyDescent="0.25">
      <c r="A8268" s="39"/>
    </row>
    <row r="8269" spans="1:1" ht="15.75" customHeight="1" x14ac:dyDescent="0.25">
      <c r="A8269" s="39"/>
    </row>
    <row r="8270" spans="1:1" ht="15.75" customHeight="1" x14ac:dyDescent="0.25">
      <c r="A8270" s="39"/>
    </row>
    <row r="8271" spans="1:1" ht="15.75" customHeight="1" x14ac:dyDescent="0.25">
      <c r="A8271" s="39"/>
    </row>
    <row r="8272" spans="1:1" ht="15.75" customHeight="1" x14ac:dyDescent="0.25">
      <c r="A8272" s="39"/>
    </row>
    <row r="8273" spans="1:1" ht="15.75" customHeight="1" x14ac:dyDescent="0.25">
      <c r="A8273" s="39"/>
    </row>
    <row r="8274" spans="1:1" ht="15.75" customHeight="1" x14ac:dyDescent="0.25">
      <c r="A8274" s="39"/>
    </row>
    <row r="8275" spans="1:1" ht="15.75" customHeight="1" x14ac:dyDescent="0.25">
      <c r="A8275" s="39"/>
    </row>
    <row r="8276" spans="1:1" ht="15.75" customHeight="1" x14ac:dyDescent="0.25">
      <c r="A8276" s="39"/>
    </row>
    <row r="8277" spans="1:1" ht="15.75" customHeight="1" x14ac:dyDescent="0.25">
      <c r="A8277" s="39"/>
    </row>
    <row r="8278" spans="1:1" ht="15.75" customHeight="1" x14ac:dyDescent="0.25">
      <c r="A8278" s="39"/>
    </row>
    <row r="8279" spans="1:1" ht="15.75" customHeight="1" x14ac:dyDescent="0.25">
      <c r="A8279" s="39"/>
    </row>
    <row r="8280" spans="1:1" ht="15.75" customHeight="1" x14ac:dyDescent="0.25">
      <c r="A8280" s="39"/>
    </row>
    <row r="8281" spans="1:1" ht="15.75" customHeight="1" x14ac:dyDescent="0.25">
      <c r="A8281" s="39"/>
    </row>
    <row r="8282" spans="1:1" ht="15.75" customHeight="1" x14ac:dyDescent="0.25">
      <c r="A8282" s="39"/>
    </row>
    <row r="8283" spans="1:1" ht="15.75" customHeight="1" x14ac:dyDescent="0.25">
      <c r="A8283" s="39"/>
    </row>
    <row r="8284" spans="1:1" ht="15.75" customHeight="1" x14ac:dyDescent="0.25">
      <c r="A8284" s="39"/>
    </row>
    <row r="8285" spans="1:1" ht="15.75" customHeight="1" x14ac:dyDescent="0.25">
      <c r="A8285" s="39"/>
    </row>
    <row r="8286" spans="1:1" ht="15.75" customHeight="1" x14ac:dyDescent="0.25">
      <c r="A8286" s="39"/>
    </row>
    <row r="8287" spans="1:1" ht="15.75" customHeight="1" x14ac:dyDescent="0.25">
      <c r="A8287" s="39"/>
    </row>
    <row r="8288" spans="1:1" ht="15.75" customHeight="1" x14ac:dyDescent="0.25">
      <c r="A8288" s="39"/>
    </row>
    <row r="8289" spans="1:1" ht="15.75" customHeight="1" x14ac:dyDescent="0.25">
      <c r="A8289" s="39"/>
    </row>
    <row r="8290" spans="1:1" ht="15.75" customHeight="1" x14ac:dyDescent="0.25">
      <c r="A8290" s="39"/>
    </row>
    <row r="8291" spans="1:1" ht="15.75" customHeight="1" x14ac:dyDescent="0.25">
      <c r="A8291" s="39"/>
    </row>
    <row r="8292" spans="1:1" ht="15.75" customHeight="1" x14ac:dyDescent="0.25">
      <c r="A8292" s="39"/>
    </row>
    <row r="8293" spans="1:1" ht="15.75" customHeight="1" x14ac:dyDescent="0.25">
      <c r="A8293" s="39"/>
    </row>
    <row r="8294" spans="1:1" ht="15.75" customHeight="1" x14ac:dyDescent="0.25">
      <c r="A8294" s="39"/>
    </row>
    <row r="8295" spans="1:1" ht="15.75" customHeight="1" x14ac:dyDescent="0.25">
      <c r="A8295" s="39"/>
    </row>
    <row r="8296" spans="1:1" ht="15.75" customHeight="1" x14ac:dyDescent="0.25">
      <c r="A8296" s="39"/>
    </row>
    <row r="8297" spans="1:1" ht="15.75" customHeight="1" x14ac:dyDescent="0.25">
      <c r="A8297" s="39"/>
    </row>
    <row r="8298" spans="1:1" ht="15.75" customHeight="1" x14ac:dyDescent="0.25">
      <c r="A8298" s="39"/>
    </row>
    <row r="8299" spans="1:1" ht="15.75" customHeight="1" x14ac:dyDescent="0.25">
      <c r="A8299" s="39"/>
    </row>
    <row r="8300" spans="1:1" ht="15.75" customHeight="1" x14ac:dyDescent="0.25">
      <c r="A8300" s="39"/>
    </row>
    <row r="8301" spans="1:1" ht="15.75" customHeight="1" x14ac:dyDescent="0.25">
      <c r="A8301" s="39"/>
    </row>
    <row r="8302" spans="1:1" ht="15.75" customHeight="1" x14ac:dyDescent="0.25">
      <c r="A8302" s="39"/>
    </row>
    <row r="8303" spans="1:1" ht="15.75" customHeight="1" x14ac:dyDescent="0.25">
      <c r="A8303" s="39"/>
    </row>
    <row r="8304" spans="1:1" ht="15.75" customHeight="1" x14ac:dyDescent="0.25">
      <c r="A8304" s="39"/>
    </row>
    <row r="8305" spans="1:1" ht="15.75" customHeight="1" x14ac:dyDescent="0.25">
      <c r="A8305" s="39"/>
    </row>
    <row r="8306" spans="1:1" ht="15.75" customHeight="1" x14ac:dyDescent="0.25">
      <c r="A8306" s="39"/>
    </row>
    <row r="8307" spans="1:1" ht="15.75" customHeight="1" x14ac:dyDescent="0.25">
      <c r="A8307" s="39"/>
    </row>
    <row r="8308" spans="1:1" ht="15.75" customHeight="1" x14ac:dyDescent="0.25">
      <c r="A8308" s="39"/>
    </row>
    <row r="8309" spans="1:1" ht="15.75" customHeight="1" x14ac:dyDescent="0.25">
      <c r="A8309" s="39"/>
    </row>
    <row r="8310" spans="1:1" ht="15.75" customHeight="1" x14ac:dyDescent="0.25">
      <c r="A8310" s="39"/>
    </row>
    <row r="8311" spans="1:1" ht="15.75" customHeight="1" x14ac:dyDescent="0.25">
      <c r="A8311" s="39"/>
    </row>
    <row r="8312" spans="1:1" ht="15.75" customHeight="1" x14ac:dyDescent="0.25">
      <c r="A8312" s="39"/>
    </row>
    <row r="8313" spans="1:1" ht="15.75" customHeight="1" x14ac:dyDescent="0.25">
      <c r="A8313" s="39"/>
    </row>
    <row r="8314" spans="1:1" ht="15.75" customHeight="1" x14ac:dyDescent="0.25">
      <c r="A8314" s="39"/>
    </row>
    <row r="8315" spans="1:1" ht="15.75" customHeight="1" x14ac:dyDescent="0.25">
      <c r="A8315" s="39"/>
    </row>
    <row r="8316" spans="1:1" ht="15.75" customHeight="1" x14ac:dyDescent="0.25">
      <c r="A8316" s="39"/>
    </row>
    <row r="8317" spans="1:1" ht="15.75" customHeight="1" x14ac:dyDescent="0.25">
      <c r="A8317" s="39"/>
    </row>
    <row r="8318" spans="1:1" ht="15.75" customHeight="1" x14ac:dyDescent="0.25">
      <c r="A8318" s="39"/>
    </row>
    <row r="8319" spans="1:1" ht="15.75" customHeight="1" x14ac:dyDescent="0.25">
      <c r="A8319" s="39"/>
    </row>
    <row r="8320" spans="1:1" ht="15.75" customHeight="1" x14ac:dyDescent="0.25">
      <c r="A8320" s="39"/>
    </row>
    <row r="8321" spans="1:1" ht="15.75" customHeight="1" x14ac:dyDescent="0.25">
      <c r="A8321" s="39"/>
    </row>
    <row r="8322" spans="1:1" ht="15.75" customHeight="1" x14ac:dyDescent="0.25">
      <c r="A8322" s="39"/>
    </row>
    <row r="8323" spans="1:1" ht="15.75" customHeight="1" x14ac:dyDescent="0.25">
      <c r="A8323" s="39"/>
    </row>
    <row r="8324" spans="1:1" ht="15.75" customHeight="1" x14ac:dyDescent="0.25">
      <c r="A8324" s="39"/>
    </row>
    <row r="8325" spans="1:1" ht="15.75" customHeight="1" x14ac:dyDescent="0.25">
      <c r="A8325" s="39"/>
    </row>
    <row r="8326" spans="1:1" ht="15.75" customHeight="1" x14ac:dyDescent="0.25">
      <c r="A8326" s="39"/>
    </row>
    <row r="8327" spans="1:1" ht="15.75" customHeight="1" x14ac:dyDescent="0.25">
      <c r="A8327" s="39"/>
    </row>
    <row r="8328" spans="1:1" ht="15.75" customHeight="1" x14ac:dyDescent="0.25">
      <c r="A8328" s="39"/>
    </row>
    <row r="8329" spans="1:1" ht="15.75" customHeight="1" x14ac:dyDescent="0.25">
      <c r="A8329" s="39"/>
    </row>
    <row r="8330" spans="1:1" ht="15.75" customHeight="1" x14ac:dyDescent="0.25">
      <c r="A8330" s="39"/>
    </row>
    <row r="8331" spans="1:1" ht="15.75" customHeight="1" x14ac:dyDescent="0.25">
      <c r="A8331" s="39"/>
    </row>
    <row r="8332" spans="1:1" ht="15.75" customHeight="1" x14ac:dyDescent="0.25">
      <c r="A8332" s="39"/>
    </row>
    <row r="8333" spans="1:1" ht="15.75" customHeight="1" x14ac:dyDescent="0.25">
      <c r="A8333" s="39"/>
    </row>
    <row r="8334" spans="1:1" ht="15.75" customHeight="1" x14ac:dyDescent="0.25">
      <c r="A8334" s="39"/>
    </row>
    <row r="8335" spans="1:1" ht="15.75" customHeight="1" x14ac:dyDescent="0.25">
      <c r="A8335" s="39"/>
    </row>
    <row r="8336" spans="1:1" ht="15.75" customHeight="1" x14ac:dyDescent="0.25">
      <c r="A8336" s="39"/>
    </row>
    <row r="8337" spans="1:1" ht="15.75" customHeight="1" x14ac:dyDescent="0.25">
      <c r="A8337" s="39"/>
    </row>
    <row r="8338" spans="1:1" ht="15.75" customHeight="1" x14ac:dyDescent="0.25">
      <c r="A8338" s="39"/>
    </row>
    <row r="8339" spans="1:1" ht="15.75" customHeight="1" x14ac:dyDescent="0.25">
      <c r="A8339" s="39"/>
    </row>
    <row r="8340" spans="1:1" ht="15.75" customHeight="1" x14ac:dyDescent="0.25">
      <c r="A8340" s="39"/>
    </row>
    <row r="8341" spans="1:1" ht="15.75" customHeight="1" x14ac:dyDescent="0.25">
      <c r="A8341" s="39"/>
    </row>
    <row r="8342" spans="1:1" ht="15.75" customHeight="1" x14ac:dyDescent="0.25">
      <c r="A8342" s="39"/>
    </row>
    <row r="8343" spans="1:1" ht="15.75" customHeight="1" x14ac:dyDescent="0.25">
      <c r="A8343" s="39"/>
    </row>
    <row r="8344" spans="1:1" ht="15.75" customHeight="1" x14ac:dyDescent="0.25">
      <c r="A8344" s="39"/>
    </row>
    <row r="8345" spans="1:1" ht="15.75" customHeight="1" x14ac:dyDescent="0.25">
      <c r="A8345" s="39"/>
    </row>
    <row r="8346" spans="1:1" ht="15.75" customHeight="1" x14ac:dyDescent="0.25">
      <c r="A8346" s="39"/>
    </row>
    <row r="8347" spans="1:1" ht="15.75" customHeight="1" x14ac:dyDescent="0.25">
      <c r="A8347" s="39"/>
    </row>
    <row r="8348" spans="1:1" ht="15.75" customHeight="1" x14ac:dyDescent="0.25">
      <c r="A8348" s="39"/>
    </row>
    <row r="8349" spans="1:1" ht="15.75" customHeight="1" x14ac:dyDescent="0.25">
      <c r="A8349" s="39"/>
    </row>
    <row r="8350" spans="1:1" ht="15.75" customHeight="1" x14ac:dyDescent="0.25">
      <c r="A8350" s="39"/>
    </row>
    <row r="8351" spans="1:1" ht="15.75" customHeight="1" x14ac:dyDescent="0.25">
      <c r="A8351" s="39"/>
    </row>
    <row r="8352" spans="1:1" ht="15.75" customHeight="1" x14ac:dyDescent="0.25">
      <c r="A8352" s="39"/>
    </row>
    <row r="8353" spans="1:1" ht="15.75" customHeight="1" x14ac:dyDescent="0.25">
      <c r="A8353" s="39"/>
    </row>
    <row r="8354" spans="1:1" ht="15.75" customHeight="1" x14ac:dyDescent="0.25">
      <c r="A8354" s="39"/>
    </row>
    <row r="8355" spans="1:1" ht="15.75" customHeight="1" x14ac:dyDescent="0.25">
      <c r="A8355" s="39"/>
    </row>
    <row r="8356" spans="1:1" ht="15.75" customHeight="1" x14ac:dyDescent="0.25">
      <c r="A8356" s="39"/>
    </row>
    <row r="8357" spans="1:1" ht="15.75" customHeight="1" x14ac:dyDescent="0.25">
      <c r="A8357" s="39"/>
    </row>
    <row r="8358" spans="1:1" ht="15.75" customHeight="1" x14ac:dyDescent="0.25">
      <c r="A8358" s="39"/>
    </row>
    <row r="8359" spans="1:1" ht="15.75" customHeight="1" x14ac:dyDescent="0.25">
      <c r="A8359" s="39"/>
    </row>
    <row r="8360" spans="1:1" ht="15.75" customHeight="1" x14ac:dyDescent="0.25">
      <c r="A8360" s="39"/>
    </row>
    <row r="8361" spans="1:1" ht="15.75" customHeight="1" x14ac:dyDescent="0.25">
      <c r="A8361" s="39"/>
    </row>
    <row r="8362" spans="1:1" ht="15.75" customHeight="1" x14ac:dyDescent="0.25">
      <c r="A8362" s="39"/>
    </row>
    <row r="8363" spans="1:1" ht="15.75" customHeight="1" x14ac:dyDescent="0.25">
      <c r="A8363" s="39"/>
    </row>
    <row r="8364" spans="1:1" ht="15.75" customHeight="1" x14ac:dyDescent="0.25">
      <c r="A8364" s="39"/>
    </row>
    <row r="8365" spans="1:1" ht="15.75" customHeight="1" x14ac:dyDescent="0.25">
      <c r="A8365" s="39"/>
    </row>
    <row r="8366" spans="1:1" ht="15.75" customHeight="1" x14ac:dyDescent="0.25">
      <c r="A8366" s="39"/>
    </row>
    <row r="8367" spans="1:1" ht="15.75" customHeight="1" x14ac:dyDescent="0.25">
      <c r="A8367" s="39"/>
    </row>
    <row r="8368" spans="1:1" ht="15.75" customHeight="1" x14ac:dyDescent="0.25">
      <c r="A8368" s="39"/>
    </row>
    <row r="8369" spans="1:1" ht="15.75" customHeight="1" x14ac:dyDescent="0.25">
      <c r="A8369" s="39"/>
    </row>
    <row r="8370" spans="1:1" ht="15.75" customHeight="1" x14ac:dyDescent="0.25">
      <c r="A8370" s="39"/>
    </row>
    <row r="8371" spans="1:1" ht="15.75" customHeight="1" x14ac:dyDescent="0.25">
      <c r="A8371" s="39"/>
    </row>
    <row r="8372" spans="1:1" ht="15.75" customHeight="1" x14ac:dyDescent="0.25">
      <c r="A8372" s="39"/>
    </row>
    <row r="8373" spans="1:1" ht="15.75" customHeight="1" x14ac:dyDescent="0.25">
      <c r="A8373" s="39"/>
    </row>
    <row r="8374" spans="1:1" ht="15.75" customHeight="1" x14ac:dyDescent="0.25">
      <c r="A8374" s="39"/>
    </row>
    <row r="8375" spans="1:1" ht="15.75" customHeight="1" x14ac:dyDescent="0.25">
      <c r="A8375" s="39"/>
    </row>
    <row r="8376" spans="1:1" ht="15.75" customHeight="1" x14ac:dyDescent="0.25">
      <c r="A8376" s="39"/>
    </row>
    <row r="8377" spans="1:1" ht="15.75" customHeight="1" x14ac:dyDescent="0.25">
      <c r="A8377" s="39"/>
    </row>
    <row r="8378" spans="1:1" ht="15.75" customHeight="1" x14ac:dyDescent="0.25">
      <c r="A8378" s="39"/>
    </row>
    <row r="8379" spans="1:1" ht="15.75" customHeight="1" x14ac:dyDescent="0.25">
      <c r="A8379" s="39"/>
    </row>
    <row r="8380" spans="1:1" ht="15.75" customHeight="1" x14ac:dyDescent="0.25">
      <c r="A8380" s="39"/>
    </row>
    <row r="8381" spans="1:1" ht="15.75" customHeight="1" x14ac:dyDescent="0.25">
      <c r="A8381" s="39"/>
    </row>
    <row r="8382" spans="1:1" ht="15.75" customHeight="1" x14ac:dyDescent="0.25">
      <c r="A8382" s="39"/>
    </row>
    <row r="8383" spans="1:1" ht="15.75" customHeight="1" x14ac:dyDescent="0.25">
      <c r="A8383" s="39"/>
    </row>
    <row r="8384" spans="1:1" ht="15.75" customHeight="1" x14ac:dyDescent="0.25">
      <c r="A8384" s="39"/>
    </row>
    <row r="8385" spans="1:1" ht="15.75" customHeight="1" x14ac:dyDescent="0.25">
      <c r="A8385" s="39"/>
    </row>
    <row r="8386" spans="1:1" ht="15.75" customHeight="1" x14ac:dyDescent="0.25">
      <c r="A8386" s="39"/>
    </row>
    <row r="8387" spans="1:1" ht="15.75" customHeight="1" x14ac:dyDescent="0.25">
      <c r="A8387" s="39"/>
    </row>
    <row r="8388" spans="1:1" ht="15.75" customHeight="1" x14ac:dyDescent="0.25">
      <c r="A8388" s="39"/>
    </row>
    <row r="8389" spans="1:1" ht="15.75" customHeight="1" x14ac:dyDescent="0.25">
      <c r="A8389" s="39"/>
    </row>
    <row r="8390" spans="1:1" ht="15.75" customHeight="1" x14ac:dyDescent="0.25">
      <c r="A8390" s="39"/>
    </row>
    <row r="8391" spans="1:1" ht="15.75" customHeight="1" x14ac:dyDescent="0.25">
      <c r="A8391" s="39"/>
    </row>
    <row r="8392" spans="1:1" ht="15.75" customHeight="1" x14ac:dyDescent="0.25">
      <c r="A8392" s="39"/>
    </row>
    <row r="8393" spans="1:1" ht="15.75" customHeight="1" x14ac:dyDescent="0.25">
      <c r="A8393" s="39"/>
    </row>
    <row r="8394" spans="1:1" ht="15.75" customHeight="1" x14ac:dyDescent="0.25">
      <c r="A8394" s="39"/>
    </row>
    <row r="8395" spans="1:1" ht="15.75" customHeight="1" x14ac:dyDescent="0.25">
      <c r="A8395" s="39"/>
    </row>
    <row r="8396" spans="1:1" ht="15.75" customHeight="1" x14ac:dyDescent="0.25">
      <c r="A8396" s="39"/>
    </row>
    <row r="8397" spans="1:1" ht="15.75" customHeight="1" x14ac:dyDescent="0.25">
      <c r="A8397" s="39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37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93.52</v>
      </c>
      <c r="C3">
        <v>94.07</v>
      </c>
      <c r="D3">
        <v>93.13</v>
      </c>
      <c r="E3">
        <v>93.52</v>
      </c>
      <c r="F3">
        <v>38223000</v>
      </c>
      <c r="G3">
        <v>93.06</v>
      </c>
    </row>
    <row r="4" spans="1:7" x14ac:dyDescent="0.25">
      <c r="A4" s="34">
        <v>41822</v>
      </c>
      <c r="B4">
        <v>93.87</v>
      </c>
      <c r="C4">
        <v>94.06</v>
      </c>
      <c r="D4">
        <v>93.09</v>
      </c>
      <c r="E4">
        <v>93.48</v>
      </c>
      <c r="F4">
        <v>28465000</v>
      </c>
      <c r="G4">
        <v>93.02</v>
      </c>
    </row>
    <row r="5" spans="1:7" x14ac:dyDescent="0.25">
      <c r="A5" s="34">
        <v>41823</v>
      </c>
      <c r="B5">
        <v>93.67</v>
      </c>
      <c r="C5">
        <v>94.1</v>
      </c>
      <c r="D5">
        <v>93.2</v>
      </c>
      <c r="E5">
        <v>94.03</v>
      </c>
      <c r="F5">
        <v>22891800</v>
      </c>
      <c r="G5">
        <v>93.56</v>
      </c>
    </row>
    <row r="6" spans="1:7" x14ac:dyDescent="0.25">
      <c r="A6" s="34">
        <v>41827</v>
      </c>
      <c r="B6">
        <v>94.14</v>
      </c>
      <c r="C6">
        <v>95.99</v>
      </c>
      <c r="D6">
        <v>94.1</v>
      </c>
      <c r="E6">
        <v>95.97</v>
      </c>
      <c r="F6">
        <v>56468000</v>
      </c>
      <c r="G6">
        <v>95.5</v>
      </c>
    </row>
    <row r="7" spans="1:7" x14ac:dyDescent="0.25">
      <c r="A7" s="34">
        <v>41828</v>
      </c>
      <c r="B7">
        <v>96.27</v>
      </c>
      <c r="C7">
        <v>96.8</v>
      </c>
      <c r="D7">
        <v>93.92</v>
      </c>
      <c r="E7">
        <v>95.35</v>
      </c>
      <c r="F7">
        <v>65222000</v>
      </c>
      <c r="G7">
        <v>94.88</v>
      </c>
    </row>
    <row r="8" spans="1:7" x14ac:dyDescent="0.25">
      <c r="A8" s="34">
        <v>41829</v>
      </c>
      <c r="B8">
        <v>95.44</v>
      </c>
      <c r="C8">
        <v>95.95</v>
      </c>
      <c r="D8">
        <v>94.76</v>
      </c>
      <c r="E8">
        <v>95.39</v>
      </c>
      <c r="F8">
        <v>36436000</v>
      </c>
      <c r="G8">
        <v>94.92</v>
      </c>
    </row>
    <row r="9" spans="1:7" x14ac:dyDescent="0.25">
      <c r="A9" s="34">
        <v>41830</v>
      </c>
      <c r="B9">
        <v>93.76</v>
      </c>
      <c r="C9">
        <v>95.55</v>
      </c>
      <c r="D9">
        <v>93.52</v>
      </c>
      <c r="E9">
        <v>95.04</v>
      </c>
      <c r="F9">
        <v>39686000</v>
      </c>
      <c r="G9">
        <v>94.57</v>
      </c>
    </row>
    <row r="10" spans="1:7" x14ac:dyDescent="0.25">
      <c r="A10" s="34">
        <v>41831</v>
      </c>
      <c r="B10">
        <v>95.36</v>
      </c>
      <c r="C10">
        <v>95.89</v>
      </c>
      <c r="D10">
        <v>94.86</v>
      </c>
      <c r="E10">
        <v>95.22</v>
      </c>
      <c r="F10">
        <v>34018000</v>
      </c>
      <c r="G10">
        <v>94.75</v>
      </c>
    </row>
    <row r="11" spans="1:7" x14ac:dyDescent="0.25">
      <c r="A11" s="34">
        <v>41834</v>
      </c>
      <c r="B11">
        <v>95.86</v>
      </c>
      <c r="C11">
        <v>96.89</v>
      </c>
      <c r="D11">
        <v>95.65</v>
      </c>
      <c r="E11">
        <v>96.45</v>
      </c>
      <c r="F11">
        <v>42810000</v>
      </c>
      <c r="G11">
        <v>95.97</v>
      </c>
    </row>
    <row r="12" spans="1:7" x14ac:dyDescent="0.25">
      <c r="A12" s="34">
        <v>41835</v>
      </c>
      <c r="B12">
        <v>96.8</v>
      </c>
      <c r="C12">
        <v>96.85</v>
      </c>
      <c r="D12">
        <v>95.03</v>
      </c>
      <c r="E12">
        <v>95.32</v>
      </c>
      <c r="F12">
        <v>45477900</v>
      </c>
      <c r="G12">
        <v>94.85</v>
      </c>
    </row>
    <row r="13" spans="1:7" x14ac:dyDescent="0.25">
      <c r="A13" s="34">
        <v>41836</v>
      </c>
      <c r="B13">
        <v>96.97</v>
      </c>
      <c r="C13">
        <v>97.1</v>
      </c>
      <c r="D13">
        <v>94.74</v>
      </c>
      <c r="E13">
        <v>94.78</v>
      </c>
      <c r="F13">
        <v>53502000</v>
      </c>
      <c r="G13">
        <v>94.31</v>
      </c>
    </row>
    <row r="14" spans="1:7" x14ac:dyDescent="0.25">
      <c r="A14" s="34">
        <v>41837</v>
      </c>
      <c r="B14">
        <v>95.03</v>
      </c>
      <c r="C14">
        <v>95.28</v>
      </c>
      <c r="D14">
        <v>92.57</v>
      </c>
      <c r="E14">
        <v>93.09</v>
      </c>
      <c r="F14">
        <v>57298000</v>
      </c>
      <c r="G14">
        <v>92.63</v>
      </c>
    </row>
    <row r="15" spans="1:7" x14ac:dyDescent="0.25">
      <c r="A15" s="34">
        <v>41838</v>
      </c>
      <c r="B15">
        <v>93.62</v>
      </c>
      <c r="C15">
        <v>94.74</v>
      </c>
      <c r="D15">
        <v>93.02</v>
      </c>
      <c r="E15">
        <v>94.43</v>
      </c>
      <c r="F15">
        <v>49988000</v>
      </c>
      <c r="G15">
        <v>93.96</v>
      </c>
    </row>
    <row r="16" spans="1:7" x14ac:dyDescent="0.25">
      <c r="A16" s="34">
        <v>41841</v>
      </c>
      <c r="B16">
        <v>94.99</v>
      </c>
      <c r="C16">
        <v>95</v>
      </c>
      <c r="D16">
        <v>93.72</v>
      </c>
      <c r="E16">
        <v>93.94</v>
      </c>
      <c r="F16">
        <v>39079000</v>
      </c>
      <c r="G16">
        <v>93.48</v>
      </c>
    </row>
    <row r="17" spans="1:7" x14ac:dyDescent="0.25">
      <c r="A17" s="34">
        <v>41842</v>
      </c>
      <c r="B17">
        <v>94.68</v>
      </c>
      <c r="C17">
        <v>94.89</v>
      </c>
      <c r="D17">
        <v>94.12</v>
      </c>
      <c r="E17">
        <v>94.72</v>
      </c>
      <c r="F17">
        <v>55197000</v>
      </c>
      <c r="G17">
        <v>94.25</v>
      </c>
    </row>
    <row r="18" spans="1:7" x14ac:dyDescent="0.25">
      <c r="A18" s="34">
        <v>41843</v>
      </c>
      <c r="B18">
        <v>95.42</v>
      </c>
      <c r="C18">
        <v>97.88</v>
      </c>
      <c r="D18">
        <v>95.17</v>
      </c>
      <c r="E18">
        <v>97.19</v>
      </c>
      <c r="F18">
        <v>92918000</v>
      </c>
      <c r="G18">
        <v>96.71</v>
      </c>
    </row>
    <row r="19" spans="1:7" x14ac:dyDescent="0.25">
      <c r="A19" s="34">
        <v>41844</v>
      </c>
      <c r="B19">
        <v>97.04</v>
      </c>
      <c r="C19">
        <v>97.32</v>
      </c>
      <c r="D19">
        <v>96.42</v>
      </c>
      <c r="E19">
        <v>97.03</v>
      </c>
      <c r="F19">
        <v>45729000</v>
      </c>
      <c r="G19">
        <v>96.55</v>
      </c>
    </row>
    <row r="20" spans="1:7" x14ac:dyDescent="0.25">
      <c r="A20" s="34">
        <v>41845</v>
      </c>
      <c r="B20">
        <v>96.85</v>
      </c>
      <c r="C20">
        <v>97.84</v>
      </c>
      <c r="D20">
        <v>96.64</v>
      </c>
      <c r="E20">
        <v>97.67</v>
      </c>
      <c r="F20">
        <v>43469000</v>
      </c>
      <c r="G20">
        <v>97.19</v>
      </c>
    </row>
    <row r="21" spans="1:7" x14ac:dyDescent="0.25">
      <c r="A21" s="34">
        <v>41848</v>
      </c>
      <c r="B21">
        <v>97.82</v>
      </c>
      <c r="C21">
        <v>99.24</v>
      </c>
      <c r="D21">
        <v>97.55</v>
      </c>
      <c r="E21">
        <v>99.02</v>
      </c>
      <c r="F21">
        <v>55318000</v>
      </c>
      <c r="G21">
        <v>98.53</v>
      </c>
    </row>
    <row r="22" spans="1:7" x14ac:dyDescent="0.25">
      <c r="A22" s="34">
        <v>41849</v>
      </c>
      <c r="B22">
        <v>99.33</v>
      </c>
      <c r="C22">
        <v>99.44</v>
      </c>
      <c r="D22">
        <v>98.25</v>
      </c>
      <c r="E22">
        <v>98.38</v>
      </c>
      <c r="F22">
        <v>43143000</v>
      </c>
      <c r="G22">
        <v>97.89</v>
      </c>
    </row>
    <row r="23" spans="1:7" x14ac:dyDescent="0.25">
      <c r="A23" s="34">
        <v>41850</v>
      </c>
      <c r="B23">
        <v>98.44</v>
      </c>
      <c r="C23">
        <v>98.7</v>
      </c>
      <c r="D23">
        <v>97.67</v>
      </c>
      <c r="E23">
        <v>98.15</v>
      </c>
      <c r="F23">
        <v>33010000</v>
      </c>
      <c r="G23">
        <v>97.66</v>
      </c>
    </row>
    <row r="24" spans="1:7" x14ac:dyDescent="0.25">
      <c r="A24" s="34">
        <v>41851</v>
      </c>
      <c r="B24">
        <v>97.16</v>
      </c>
      <c r="C24">
        <v>97.45</v>
      </c>
      <c r="D24">
        <v>95.33</v>
      </c>
      <c r="E24">
        <v>95.6</v>
      </c>
      <c r="F24">
        <v>56843000</v>
      </c>
      <c r="G24">
        <v>95.13</v>
      </c>
    </row>
    <row r="25" spans="1:7" x14ac:dyDescent="0.25">
      <c r="A25" s="34">
        <v>41852</v>
      </c>
      <c r="B25">
        <v>94.9</v>
      </c>
      <c r="C25">
        <v>96.62</v>
      </c>
      <c r="D25">
        <v>94.81</v>
      </c>
      <c r="E25">
        <v>96.13</v>
      </c>
      <c r="F25">
        <v>48511000</v>
      </c>
      <c r="G25">
        <v>95.65</v>
      </c>
    </row>
    <row r="26" spans="1:7" x14ac:dyDescent="0.25">
      <c r="A26" s="34">
        <v>41855</v>
      </c>
      <c r="B26">
        <v>96.37</v>
      </c>
      <c r="C26">
        <v>96.58</v>
      </c>
      <c r="D26">
        <v>95.17</v>
      </c>
      <c r="E26">
        <v>95.59</v>
      </c>
      <c r="F26">
        <v>39958000</v>
      </c>
      <c r="G26">
        <v>95.12</v>
      </c>
    </row>
    <row r="27" spans="1:7" x14ac:dyDescent="0.25">
      <c r="A27" s="34">
        <v>41856</v>
      </c>
      <c r="B27">
        <v>95.36</v>
      </c>
      <c r="C27">
        <v>95.68</v>
      </c>
      <c r="D27">
        <v>94.36</v>
      </c>
      <c r="E27">
        <v>95.12</v>
      </c>
      <c r="F27">
        <v>55933000</v>
      </c>
      <c r="G27">
        <v>94.65</v>
      </c>
    </row>
    <row r="28" spans="1:7" x14ac:dyDescent="0.25">
      <c r="A28" s="34">
        <v>41857</v>
      </c>
      <c r="B28">
        <v>94.75</v>
      </c>
      <c r="C28">
        <v>95.48</v>
      </c>
      <c r="D28">
        <v>94.71</v>
      </c>
      <c r="E28">
        <v>94.96</v>
      </c>
      <c r="F28">
        <v>38558000</v>
      </c>
      <c r="G28">
        <v>94.49</v>
      </c>
    </row>
    <row r="29" spans="1:7" x14ac:dyDescent="0.25">
      <c r="A29" s="34">
        <v>41858</v>
      </c>
      <c r="B29">
        <v>94.93</v>
      </c>
      <c r="C29">
        <v>95.95</v>
      </c>
      <c r="D29">
        <v>94.1</v>
      </c>
      <c r="E29">
        <v>94.48</v>
      </c>
      <c r="F29">
        <v>46711000</v>
      </c>
      <c r="G29">
        <v>94.48</v>
      </c>
    </row>
    <row r="30" spans="1:7" x14ac:dyDescent="0.25">
      <c r="A30" s="34">
        <v>41859</v>
      </c>
      <c r="B30">
        <v>94.26</v>
      </c>
      <c r="C30">
        <v>94.82</v>
      </c>
      <c r="D30">
        <v>93.28</v>
      </c>
      <c r="E30">
        <v>94.74</v>
      </c>
      <c r="F30">
        <v>41865000</v>
      </c>
      <c r="G30">
        <v>94.74</v>
      </c>
    </row>
    <row r="31" spans="1:7" x14ac:dyDescent="0.25">
      <c r="A31" s="34">
        <v>41862</v>
      </c>
      <c r="B31">
        <v>95.27</v>
      </c>
      <c r="C31">
        <v>96.08</v>
      </c>
      <c r="D31">
        <v>94.84</v>
      </c>
      <c r="E31">
        <v>95.99</v>
      </c>
      <c r="F31">
        <v>36585000</v>
      </c>
      <c r="G31">
        <v>95.99</v>
      </c>
    </row>
    <row r="32" spans="1:7" x14ac:dyDescent="0.25">
      <c r="A32" s="34">
        <v>41863</v>
      </c>
      <c r="B32">
        <v>96.04</v>
      </c>
      <c r="C32">
        <v>96.88</v>
      </c>
      <c r="D32">
        <v>95.61</v>
      </c>
      <c r="E32">
        <v>95.97</v>
      </c>
      <c r="F32">
        <v>33795000</v>
      </c>
      <c r="G32">
        <v>95.97</v>
      </c>
    </row>
    <row r="33" spans="1:7" x14ac:dyDescent="0.25">
      <c r="A33" s="34">
        <v>41864</v>
      </c>
      <c r="B33">
        <v>96.15</v>
      </c>
      <c r="C33">
        <v>97.24</v>
      </c>
      <c r="D33">
        <v>96.04</v>
      </c>
      <c r="E33">
        <v>97.24</v>
      </c>
      <c r="F33">
        <v>31916000</v>
      </c>
      <c r="G33">
        <v>97.24</v>
      </c>
    </row>
    <row r="34" spans="1:7" x14ac:dyDescent="0.25">
      <c r="A34" s="34">
        <v>41865</v>
      </c>
      <c r="B34">
        <v>97.33</v>
      </c>
      <c r="C34">
        <v>97.57</v>
      </c>
      <c r="D34">
        <v>96.8</v>
      </c>
      <c r="E34">
        <v>97.5</v>
      </c>
      <c r="F34">
        <v>28116000</v>
      </c>
      <c r="G34">
        <v>97.5</v>
      </c>
    </row>
    <row r="35" spans="1:7" x14ac:dyDescent="0.25">
      <c r="A35" s="34">
        <v>41866</v>
      </c>
      <c r="B35">
        <v>97.9</v>
      </c>
      <c r="C35">
        <v>98.19</v>
      </c>
      <c r="D35">
        <v>96.86</v>
      </c>
      <c r="E35">
        <v>97.98</v>
      </c>
      <c r="F35">
        <v>48951000</v>
      </c>
      <c r="G35">
        <v>97.98</v>
      </c>
    </row>
    <row r="36" spans="1:7" x14ac:dyDescent="0.25">
      <c r="A36" s="34">
        <v>41869</v>
      </c>
      <c r="B36">
        <v>98.49</v>
      </c>
      <c r="C36">
        <v>99.37</v>
      </c>
      <c r="D36">
        <v>97.98</v>
      </c>
      <c r="E36">
        <v>99.16</v>
      </c>
      <c r="F36">
        <v>47572000</v>
      </c>
      <c r="G36">
        <v>99.16</v>
      </c>
    </row>
    <row r="37" spans="1:7" x14ac:dyDescent="0.25">
      <c r="A37" s="34">
        <v>41870</v>
      </c>
      <c r="B37">
        <v>99.41</v>
      </c>
      <c r="C37">
        <v>100.68</v>
      </c>
      <c r="D37">
        <v>99.32</v>
      </c>
      <c r="E37">
        <v>100.53</v>
      </c>
      <c r="F37">
        <v>69274700</v>
      </c>
      <c r="G37">
        <v>100.53</v>
      </c>
    </row>
    <row r="38" spans="1:7" x14ac:dyDescent="0.25">
      <c r="A38" s="34">
        <v>41871</v>
      </c>
      <c r="B38">
        <v>100.44</v>
      </c>
      <c r="C38">
        <v>101.09</v>
      </c>
      <c r="D38">
        <v>99.95</v>
      </c>
      <c r="E38">
        <v>100.57</v>
      </c>
      <c r="F38">
        <v>52612800</v>
      </c>
      <c r="G38">
        <v>100.57</v>
      </c>
    </row>
    <row r="39" spans="1:7" x14ac:dyDescent="0.25">
      <c r="A39" s="34">
        <v>41872</v>
      </c>
      <c r="B39">
        <v>100.57</v>
      </c>
      <c r="C39">
        <v>100.94</v>
      </c>
      <c r="D39">
        <v>100.11</v>
      </c>
      <c r="E39">
        <v>100.58</v>
      </c>
      <c r="F39">
        <v>33421900</v>
      </c>
      <c r="G39">
        <v>100.58</v>
      </c>
    </row>
    <row r="40" spans="1:7" x14ac:dyDescent="0.25">
      <c r="A40" s="34">
        <v>41873</v>
      </c>
      <c r="B40">
        <v>100.29</v>
      </c>
      <c r="C40">
        <v>101.47</v>
      </c>
      <c r="D40">
        <v>100.19</v>
      </c>
      <c r="E40">
        <v>101.32</v>
      </c>
      <c r="F40">
        <v>44102400</v>
      </c>
      <c r="G40">
        <v>101.32</v>
      </c>
    </row>
    <row r="41" spans="1:7" x14ac:dyDescent="0.25">
      <c r="A41" s="34">
        <v>41876</v>
      </c>
      <c r="B41">
        <v>101.79</v>
      </c>
      <c r="C41">
        <v>102.17</v>
      </c>
      <c r="D41">
        <v>101.28</v>
      </c>
      <c r="E41">
        <v>101.54</v>
      </c>
      <c r="F41">
        <v>40144700</v>
      </c>
      <c r="G41">
        <v>101.54</v>
      </c>
    </row>
    <row r="42" spans="1:7" x14ac:dyDescent="0.25">
      <c r="A42" s="34">
        <v>41877</v>
      </c>
      <c r="B42">
        <v>101.42</v>
      </c>
      <c r="C42">
        <v>101.5</v>
      </c>
      <c r="D42">
        <v>100.86</v>
      </c>
      <c r="E42">
        <v>100.89</v>
      </c>
      <c r="F42">
        <v>33119800</v>
      </c>
      <c r="G42">
        <v>100.89</v>
      </c>
    </row>
    <row r="43" spans="1:7" x14ac:dyDescent="0.25">
      <c r="A43" s="34">
        <v>41878</v>
      </c>
      <c r="B43">
        <v>101.02</v>
      </c>
      <c r="C43">
        <v>102.57</v>
      </c>
      <c r="D43">
        <v>100.7</v>
      </c>
      <c r="E43">
        <v>102.13</v>
      </c>
      <c r="F43">
        <v>46827400</v>
      </c>
      <c r="G43">
        <v>102.13</v>
      </c>
    </row>
    <row r="44" spans="1:7" x14ac:dyDescent="0.25">
      <c r="A44" s="34">
        <v>41879</v>
      </c>
      <c r="B44">
        <v>101.59</v>
      </c>
      <c r="C44">
        <v>102.78</v>
      </c>
      <c r="D44">
        <v>101.56</v>
      </c>
      <c r="E44">
        <v>102.25</v>
      </c>
      <c r="F44">
        <v>68389800</v>
      </c>
      <c r="G44">
        <v>102.25</v>
      </c>
    </row>
    <row r="45" spans="1:7" x14ac:dyDescent="0.25">
      <c r="A45" s="34">
        <v>41880</v>
      </c>
      <c r="B45">
        <v>102.86</v>
      </c>
      <c r="C45">
        <v>102.9</v>
      </c>
      <c r="D45">
        <v>102.2</v>
      </c>
      <c r="E45">
        <v>102.5</v>
      </c>
      <c r="F45">
        <v>44567000</v>
      </c>
      <c r="G45">
        <v>102.5</v>
      </c>
    </row>
    <row r="46" spans="1:7" x14ac:dyDescent="0.25">
      <c r="A46" s="34">
        <v>41884</v>
      </c>
      <c r="B46">
        <v>103.06</v>
      </c>
      <c r="C46">
        <v>103.74</v>
      </c>
      <c r="D46">
        <v>102.72</v>
      </c>
      <c r="E46">
        <v>103.3</v>
      </c>
      <c r="F46">
        <v>53491400</v>
      </c>
      <c r="G46">
        <v>103.3</v>
      </c>
    </row>
    <row r="47" spans="1:7" x14ac:dyDescent="0.25">
      <c r="A47" s="34">
        <v>41885</v>
      </c>
      <c r="B47">
        <v>103.1</v>
      </c>
      <c r="C47">
        <v>103.2</v>
      </c>
      <c r="D47">
        <v>98.58</v>
      </c>
      <c r="E47">
        <v>98.94</v>
      </c>
      <c r="F47">
        <v>125233100</v>
      </c>
      <c r="G47">
        <v>98.94</v>
      </c>
    </row>
    <row r="48" spans="1:7" x14ac:dyDescent="0.25">
      <c r="A48" s="34">
        <v>41886</v>
      </c>
      <c r="B48">
        <v>98.85</v>
      </c>
      <c r="C48">
        <v>100.09</v>
      </c>
      <c r="D48">
        <v>97.79</v>
      </c>
      <c r="E48">
        <v>98.12</v>
      </c>
      <c r="F48">
        <v>85594800</v>
      </c>
      <c r="G48">
        <v>98.12</v>
      </c>
    </row>
    <row r="49" spans="1:7" x14ac:dyDescent="0.25">
      <c r="A49" s="34">
        <v>41887</v>
      </c>
      <c r="B49">
        <v>98.8</v>
      </c>
      <c r="C49">
        <v>99.39</v>
      </c>
      <c r="D49">
        <v>98.31</v>
      </c>
      <c r="E49">
        <v>98.97</v>
      </c>
      <c r="F49">
        <v>58353200</v>
      </c>
      <c r="G49">
        <v>98.97</v>
      </c>
    </row>
    <row r="50" spans="1:7" x14ac:dyDescent="0.25">
      <c r="A50" s="34">
        <v>41890</v>
      </c>
      <c r="B50">
        <v>99.3</v>
      </c>
      <c r="C50">
        <v>99.31</v>
      </c>
      <c r="D50">
        <v>98.05</v>
      </c>
      <c r="E50">
        <v>98.36</v>
      </c>
      <c r="F50">
        <v>46277800</v>
      </c>
      <c r="G50">
        <v>98.36</v>
      </c>
    </row>
    <row r="51" spans="1:7" x14ac:dyDescent="0.25">
      <c r="A51" s="34">
        <v>41891</v>
      </c>
      <c r="B51">
        <v>99.08</v>
      </c>
      <c r="C51">
        <v>103.08</v>
      </c>
      <c r="D51">
        <v>96.14</v>
      </c>
      <c r="E51">
        <v>97.99</v>
      </c>
      <c r="F51">
        <v>189560600</v>
      </c>
      <c r="G51">
        <v>97.99</v>
      </c>
    </row>
    <row r="52" spans="1:7" x14ac:dyDescent="0.25">
      <c r="A52" s="34">
        <v>41892</v>
      </c>
      <c r="B52">
        <v>98.01</v>
      </c>
      <c r="C52">
        <v>101.11</v>
      </c>
      <c r="D52">
        <v>97.76</v>
      </c>
      <c r="E52">
        <v>101</v>
      </c>
      <c r="F52">
        <v>100741900</v>
      </c>
      <c r="G52">
        <v>101</v>
      </c>
    </row>
    <row r="53" spans="1:7" x14ac:dyDescent="0.25">
      <c r="A53" s="34">
        <v>41893</v>
      </c>
      <c r="B53">
        <v>100.41</v>
      </c>
      <c r="C53">
        <v>101.44</v>
      </c>
      <c r="D53">
        <v>99.62</v>
      </c>
      <c r="E53">
        <v>101.43</v>
      </c>
      <c r="F53">
        <v>62353100</v>
      </c>
      <c r="G53">
        <v>101.43</v>
      </c>
    </row>
    <row r="54" spans="1:7" x14ac:dyDescent="0.25">
      <c r="A54" s="34">
        <v>41894</v>
      </c>
      <c r="B54">
        <v>101.21</v>
      </c>
      <c r="C54">
        <v>102.19</v>
      </c>
      <c r="D54">
        <v>101.08</v>
      </c>
      <c r="E54">
        <v>101.66</v>
      </c>
      <c r="F54">
        <v>62626100</v>
      </c>
      <c r="G54">
        <v>101.66</v>
      </c>
    </row>
    <row r="55" spans="1:7" x14ac:dyDescent="0.25">
      <c r="A55" s="34">
        <v>41897</v>
      </c>
      <c r="B55">
        <v>102.81</v>
      </c>
      <c r="C55">
        <v>103.05</v>
      </c>
      <c r="D55">
        <v>101.44</v>
      </c>
      <c r="E55">
        <v>101.63</v>
      </c>
      <c r="F55">
        <v>61216500</v>
      </c>
      <c r="G55">
        <v>101.63</v>
      </c>
    </row>
  </sheetData>
  <sortState ref="A3:G55">
    <sortCondition ref="A3:A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56.42</v>
      </c>
      <c r="C3">
        <v>57.2</v>
      </c>
      <c r="D3">
        <v>56.17</v>
      </c>
      <c r="E3">
        <v>56.89</v>
      </c>
      <c r="F3">
        <v>6869800</v>
      </c>
      <c r="G3">
        <v>56.46</v>
      </c>
    </row>
    <row r="4" spans="1:7" x14ac:dyDescent="0.25">
      <c r="A4" s="34">
        <v>41822</v>
      </c>
      <c r="B4">
        <v>57.46</v>
      </c>
      <c r="C4">
        <v>58.11</v>
      </c>
      <c r="D4">
        <v>56.92</v>
      </c>
      <c r="E4">
        <v>58.11</v>
      </c>
      <c r="F4">
        <v>6198500</v>
      </c>
      <c r="G4">
        <v>57.67</v>
      </c>
    </row>
    <row r="5" spans="1:7" x14ac:dyDescent="0.25">
      <c r="A5" s="34">
        <v>41823</v>
      </c>
      <c r="B5">
        <v>57.9</v>
      </c>
      <c r="C5">
        <v>58.27</v>
      </c>
      <c r="D5">
        <v>57.65</v>
      </c>
      <c r="E5">
        <v>58.22</v>
      </c>
      <c r="F5">
        <v>3828900</v>
      </c>
      <c r="G5">
        <v>57.78</v>
      </c>
    </row>
    <row r="6" spans="1:7" x14ac:dyDescent="0.25">
      <c r="A6" s="34">
        <v>41827</v>
      </c>
      <c r="B6">
        <v>57.91</v>
      </c>
      <c r="C6">
        <v>58.15</v>
      </c>
      <c r="D6">
        <v>57.39</v>
      </c>
      <c r="E6">
        <v>57.4</v>
      </c>
      <c r="F6">
        <v>4736300</v>
      </c>
      <c r="G6">
        <v>56.97</v>
      </c>
    </row>
    <row r="7" spans="1:7" x14ac:dyDescent="0.25">
      <c r="A7" s="34">
        <v>41828</v>
      </c>
      <c r="B7">
        <v>56.68</v>
      </c>
      <c r="C7">
        <v>56.97</v>
      </c>
      <c r="D7">
        <v>55.48</v>
      </c>
      <c r="E7">
        <v>55.69</v>
      </c>
      <c r="F7">
        <v>9297300</v>
      </c>
      <c r="G7">
        <v>55.27</v>
      </c>
    </row>
    <row r="8" spans="1:7" x14ac:dyDescent="0.25">
      <c r="A8" s="34">
        <v>41829</v>
      </c>
      <c r="B8">
        <v>55.56</v>
      </c>
      <c r="C8">
        <v>55.64</v>
      </c>
      <c r="D8">
        <v>54.82</v>
      </c>
      <c r="E8">
        <v>55.01</v>
      </c>
      <c r="F8">
        <v>11516300</v>
      </c>
      <c r="G8">
        <v>54.6</v>
      </c>
    </row>
    <row r="9" spans="1:7" x14ac:dyDescent="0.25">
      <c r="A9" s="34">
        <v>41830</v>
      </c>
      <c r="B9">
        <v>54.5</v>
      </c>
      <c r="C9">
        <v>55.88</v>
      </c>
      <c r="D9">
        <v>54.28</v>
      </c>
      <c r="E9">
        <v>55.79</v>
      </c>
      <c r="F9">
        <v>7553100</v>
      </c>
      <c r="G9">
        <v>55.37</v>
      </c>
    </row>
    <row r="10" spans="1:7" x14ac:dyDescent="0.25">
      <c r="A10" s="34">
        <v>41831</v>
      </c>
      <c r="B10">
        <v>55.34</v>
      </c>
      <c r="C10">
        <v>56.6</v>
      </c>
      <c r="D10">
        <v>54.48</v>
      </c>
      <c r="E10">
        <v>54.96</v>
      </c>
      <c r="F10">
        <v>13586800</v>
      </c>
      <c r="G10">
        <v>54.96</v>
      </c>
    </row>
    <row r="11" spans="1:7" x14ac:dyDescent="0.25">
      <c r="A11" s="34">
        <v>41834</v>
      </c>
      <c r="B11">
        <v>53.89</v>
      </c>
      <c r="C11">
        <v>55.05</v>
      </c>
      <c r="D11">
        <v>53.72</v>
      </c>
      <c r="E11">
        <v>54.85</v>
      </c>
      <c r="F11">
        <v>30823300</v>
      </c>
      <c r="G11">
        <v>54.85</v>
      </c>
    </row>
    <row r="12" spans="1:7" x14ac:dyDescent="0.25">
      <c r="A12" s="34">
        <v>41835</v>
      </c>
      <c r="B12">
        <v>54.52</v>
      </c>
      <c r="C12">
        <v>54.69</v>
      </c>
      <c r="D12">
        <v>53.39</v>
      </c>
      <c r="E12">
        <v>53.44</v>
      </c>
      <c r="F12">
        <v>16796400</v>
      </c>
      <c r="G12">
        <v>53.44</v>
      </c>
    </row>
    <row r="13" spans="1:7" x14ac:dyDescent="0.25">
      <c r="A13" s="34">
        <v>41836</v>
      </c>
      <c r="B13">
        <v>53.25</v>
      </c>
      <c r="C13">
        <v>53.67</v>
      </c>
      <c r="D13">
        <v>51.82</v>
      </c>
      <c r="E13">
        <v>53.65</v>
      </c>
      <c r="F13">
        <v>23291200</v>
      </c>
      <c r="G13">
        <v>53.65</v>
      </c>
    </row>
    <row r="14" spans="1:7" x14ac:dyDescent="0.25">
      <c r="A14" s="34">
        <v>41837</v>
      </c>
      <c r="B14">
        <v>53.21</v>
      </c>
      <c r="C14">
        <v>55</v>
      </c>
      <c r="D14">
        <v>52.88</v>
      </c>
      <c r="E14">
        <v>53.52</v>
      </c>
      <c r="F14">
        <v>18699000</v>
      </c>
      <c r="G14">
        <v>53.52</v>
      </c>
    </row>
    <row r="15" spans="1:7" x14ac:dyDescent="0.25">
      <c r="A15" s="34">
        <v>41838</v>
      </c>
      <c r="B15">
        <v>53</v>
      </c>
      <c r="C15">
        <v>55.12</v>
      </c>
      <c r="D15">
        <v>53</v>
      </c>
      <c r="E15">
        <v>54.91</v>
      </c>
      <c r="F15">
        <v>42456000</v>
      </c>
      <c r="G15">
        <v>54.91</v>
      </c>
    </row>
    <row r="16" spans="1:7" x14ac:dyDescent="0.25">
      <c r="A16" s="34">
        <v>41841</v>
      </c>
      <c r="B16">
        <v>54.14</v>
      </c>
      <c r="C16">
        <v>54.45</v>
      </c>
      <c r="D16">
        <v>53.91</v>
      </c>
      <c r="E16">
        <v>54</v>
      </c>
      <c r="F16">
        <v>22334900</v>
      </c>
      <c r="G16">
        <v>54</v>
      </c>
    </row>
    <row r="17" spans="1:7" x14ac:dyDescent="0.25">
      <c r="A17" s="34">
        <v>41842</v>
      </c>
      <c r="B17">
        <v>53.82</v>
      </c>
      <c r="C17">
        <v>54.38</v>
      </c>
      <c r="D17">
        <v>53.75</v>
      </c>
      <c r="E17">
        <v>54.05</v>
      </c>
      <c r="F17">
        <v>14724300</v>
      </c>
      <c r="G17">
        <v>54.05</v>
      </c>
    </row>
    <row r="18" spans="1:7" x14ac:dyDescent="0.25">
      <c r="A18" s="34">
        <v>41843</v>
      </c>
      <c r="B18">
        <v>54.48</v>
      </c>
      <c r="C18">
        <v>54.81</v>
      </c>
      <c r="D18">
        <v>54.07</v>
      </c>
      <c r="E18">
        <v>54.48</v>
      </c>
      <c r="F18">
        <v>15011300</v>
      </c>
      <c r="G18">
        <v>54.48</v>
      </c>
    </row>
    <row r="19" spans="1:7" x14ac:dyDescent="0.25">
      <c r="A19" s="34">
        <v>41844</v>
      </c>
      <c r="B19">
        <v>54.22</v>
      </c>
      <c r="C19">
        <v>54.56</v>
      </c>
      <c r="D19">
        <v>53.97</v>
      </c>
      <c r="E19">
        <v>54.08</v>
      </c>
      <c r="F19">
        <v>11409600</v>
      </c>
      <c r="G19">
        <v>54.08</v>
      </c>
    </row>
    <row r="20" spans="1:7" x14ac:dyDescent="0.25">
      <c r="A20" s="34">
        <v>41845</v>
      </c>
      <c r="B20">
        <v>54.4</v>
      </c>
      <c r="C20">
        <v>54.49</v>
      </c>
      <c r="D20">
        <v>53.03</v>
      </c>
      <c r="E20">
        <v>53.18</v>
      </c>
      <c r="F20">
        <v>11680900</v>
      </c>
      <c r="G20">
        <v>53.18</v>
      </c>
    </row>
    <row r="21" spans="1:7" x14ac:dyDescent="0.25">
      <c r="A21" s="34">
        <v>41848</v>
      </c>
      <c r="B21">
        <v>53.42</v>
      </c>
      <c r="C21">
        <v>54</v>
      </c>
      <c r="D21">
        <v>53.17</v>
      </c>
      <c r="E21">
        <v>53.74</v>
      </c>
      <c r="F21">
        <v>10466000</v>
      </c>
      <c r="G21">
        <v>53.74</v>
      </c>
    </row>
    <row r="22" spans="1:7" x14ac:dyDescent="0.25">
      <c r="A22" s="34">
        <v>41849</v>
      </c>
      <c r="B22">
        <v>53.55</v>
      </c>
      <c r="C22">
        <v>53.66</v>
      </c>
      <c r="D22">
        <v>53.24</v>
      </c>
      <c r="E22">
        <v>53.43</v>
      </c>
      <c r="F22">
        <v>16171500</v>
      </c>
      <c r="G22">
        <v>53.43</v>
      </c>
    </row>
    <row r="23" spans="1:7" x14ac:dyDescent="0.25">
      <c r="A23" s="34">
        <v>41850</v>
      </c>
      <c r="B23">
        <v>53.28</v>
      </c>
      <c r="C23">
        <v>53.89</v>
      </c>
      <c r="D23">
        <v>53.03</v>
      </c>
      <c r="E23">
        <v>53.75</v>
      </c>
      <c r="F23">
        <v>12659500</v>
      </c>
      <c r="G23">
        <v>53.75</v>
      </c>
    </row>
    <row r="24" spans="1:7" x14ac:dyDescent="0.25">
      <c r="A24" s="34">
        <v>41851</v>
      </c>
      <c r="B24">
        <v>53.13</v>
      </c>
      <c r="C24">
        <v>53.4</v>
      </c>
      <c r="D24">
        <v>52.3</v>
      </c>
      <c r="E24">
        <v>52.34</v>
      </c>
      <c r="F24">
        <v>15479900</v>
      </c>
      <c r="G24">
        <v>52.34</v>
      </c>
    </row>
    <row r="25" spans="1:7" x14ac:dyDescent="0.25">
      <c r="A25" s="34">
        <v>41852</v>
      </c>
      <c r="B25">
        <v>52.03</v>
      </c>
      <c r="C25">
        <v>52.64</v>
      </c>
      <c r="D25">
        <v>51.75</v>
      </c>
      <c r="E25">
        <v>52.48</v>
      </c>
      <c r="F25">
        <v>11593200</v>
      </c>
      <c r="G25">
        <v>52.48</v>
      </c>
    </row>
    <row r="26" spans="1:7" x14ac:dyDescent="0.25">
      <c r="A26" s="34">
        <v>41855</v>
      </c>
      <c r="B26">
        <v>52.58</v>
      </c>
      <c r="C26">
        <v>53.4</v>
      </c>
      <c r="D26">
        <v>52.37</v>
      </c>
      <c r="E26">
        <v>53.29</v>
      </c>
      <c r="F26">
        <v>10440600</v>
      </c>
      <c r="G26">
        <v>53.29</v>
      </c>
    </row>
    <row r="27" spans="1:7" x14ac:dyDescent="0.25">
      <c r="A27" s="34">
        <v>41856</v>
      </c>
      <c r="B27">
        <v>52.77</v>
      </c>
      <c r="C27">
        <v>53.19</v>
      </c>
      <c r="D27">
        <v>52.45</v>
      </c>
      <c r="E27">
        <v>52.79</v>
      </c>
      <c r="F27">
        <v>12765800</v>
      </c>
      <c r="G27">
        <v>52.79</v>
      </c>
    </row>
    <row r="28" spans="1:7" x14ac:dyDescent="0.25">
      <c r="A28" s="34">
        <v>41857</v>
      </c>
      <c r="B28">
        <v>51.48</v>
      </c>
      <c r="C28">
        <v>52.66</v>
      </c>
      <c r="D28">
        <v>51.37</v>
      </c>
      <c r="E28">
        <v>52.05</v>
      </c>
      <c r="F28">
        <v>18112900</v>
      </c>
      <c r="G28">
        <v>52.05</v>
      </c>
    </row>
    <row r="29" spans="1:7" x14ac:dyDescent="0.25">
      <c r="A29" s="34">
        <v>41858</v>
      </c>
      <c r="B29">
        <v>51.59</v>
      </c>
      <c r="C29">
        <v>52.71</v>
      </c>
      <c r="D29">
        <v>51.42</v>
      </c>
      <c r="E29">
        <v>52.43</v>
      </c>
      <c r="F29">
        <v>17171700</v>
      </c>
      <c r="G29">
        <v>52.43</v>
      </c>
    </row>
    <row r="30" spans="1:7" x14ac:dyDescent="0.25">
      <c r="A30" s="34">
        <v>41859</v>
      </c>
      <c r="B30">
        <v>52.72</v>
      </c>
      <c r="C30">
        <v>52.89</v>
      </c>
      <c r="D30">
        <v>52.29</v>
      </c>
      <c r="E30">
        <v>52.82</v>
      </c>
      <c r="F30">
        <v>13117700</v>
      </c>
      <c r="G30">
        <v>52.82</v>
      </c>
    </row>
    <row r="31" spans="1:7" x14ac:dyDescent="0.25">
      <c r="A31" s="34">
        <v>41862</v>
      </c>
      <c r="B31">
        <v>53</v>
      </c>
      <c r="C31">
        <v>53.65</v>
      </c>
      <c r="D31">
        <v>52.77</v>
      </c>
      <c r="E31">
        <v>53.31</v>
      </c>
      <c r="F31">
        <v>10063300</v>
      </c>
      <c r="G31">
        <v>53.31</v>
      </c>
    </row>
    <row r="32" spans="1:7" x14ac:dyDescent="0.25">
      <c r="A32" s="34">
        <v>41863</v>
      </c>
      <c r="B32">
        <v>53.22</v>
      </c>
      <c r="C32">
        <v>53.3</v>
      </c>
      <c r="D32">
        <v>52.57</v>
      </c>
      <c r="E32">
        <v>52.84</v>
      </c>
      <c r="F32">
        <v>8524600</v>
      </c>
      <c r="G32">
        <v>52.84</v>
      </c>
    </row>
    <row r="33" spans="1:7" x14ac:dyDescent="0.25">
      <c r="A33" s="34">
        <v>41864</v>
      </c>
      <c r="B33">
        <v>52.97</v>
      </c>
      <c r="C33">
        <v>53.64</v>
      </c>
      <c r="D33">
        <v>52.75</v>
      </c>
      <c r="E33">
        <v>53.6</v>
      </c>
      <c r="F33">
        <v>9004400</v>
      </c>
      <c r="G33">
        <v>53.6</v>
      </c>
    </row>
    <row r="34" spans="1:7" x14ac:dyDescent="0.25">
      <c r="A34" s="34">
        <v>41865</v>
      </c>
      <c r="B34">
        <v>53.62</v>
      </c>
      <c r="C34">
        <v>54.23</v>
      </c>
      <c r="D34">
        <v>53.53</v>
      </c>
      <c r="E34">
        <v>54.19</v>
      </c>
      <c r="F34">
        <v>7959800</v>
      </c>
      <c r="G34">
        <v>54.19</v>
      </c>
    </row>
    <row r="35" spans="1:7" x14ac:dyDescent="0.25">
      <c r="A35" s="34">
        <v>41866</v>
      </c>
      <c r="B35">
        <v>54.34</v>
      </c>
      <c r="C35">
        <v>54.59</v>
      </c>
      <c r="D35">
        <v>53.58</v>
      </c>
      <c r="E35">
        <v>53.9</v>
      </c>
      <c r="F35">
        <v>10109300</v>
      </c>
      <c r="G35">
        <v>53.9</v>
      </c>
    </row>
    <row r="36" spans="1:7" x14ac:dyDescent="0.25">
      <c r="A36" s="34">
        <v>41869</v>
      </c>
      <c r="B36">
        <v>54.39</v>
      </c>
      <c r="C36">
        <v>54.52</v>
      </c>
      <c r="D36">
        <v>53.84</v>
      </c>
      <c r="E36">
        <v>54.31</v>
      </c>
      <c r="F36">
        <v>7370500</v>
      </c>
      <c r="G36">
        <v>54.31</v>
      </c>
    </row>
    <row r="37" spans="1:7" x14ac:dyDescent="0.25">
      <c r="A37" s="34">
        <v>41870</v>
      </c>
      <c r="B37">
        <v>54.48</v>
      </c>
      <c r="C37">
        <v>55.31</v>
      </c>
      <c r="D37">
        <v>54.18</v>
      </c>
      <c r="E37">
        <v>55.29</v>
      </c>
      <c r="F37">
        <v>9159300</v>
      </c>
      <c r="G37">
        <v>55.29</v>
      </c>
    </row>
    <row r="38" spans="1:7" x14ac:dyDescent="0.25">
      <c r="A38" s="34">
        <v>41871</v>
      </c>
      <c r="B38">
        <v>54.82</v>
      </c>
      <c r="C38">
        <v>55.18</v>
      </c>
      <c r="D38">
        <v>54.69</v>
      </c>
      <c r="E38">
        <v>55.06</v>
      </c>
      <c r="F38">
        <v>7612200</v>
      </c>
      <c r="G38">
        <v>55.06</v>
      </c>
    </row>
    <row r="39" spans="1:7" x14ac:dyDescent="0.25">
      <c r="A39" s="34">
        <v>41872</v>
      </c>
      <c r="B39">
        <v>54.79</v>
      </c>
      <c r="C39">
        <v>55.12</v>
      </c>
      <c r="D39">
        <v>54.68</v>
      </c>
      <c r="E39">
        <v>54.96</v>
      </c>
      <c r="F39">
        <v>8063200</v>
      </c>
      <c r="G39">
        <v>54.96</v>
      </c>
    </row>
    <row r="40" spans="1:7" x14ac:dyDescent="0.25">
      <c r="A40" s="34">
        <v>41873</v>
      </c>
      <c r="B40">
        <v>54.87</v>
      </c>
      <c r="C40">
        <v>55.27</v>
      </c>
      <c r="D40">
        <v>54.36</v>
      </c>
      <c r="E40">
        <v>55.2</v>
      </c>
      <c r="F40">
        <v>9314600</v>
      </c>
      <c r="G40">
        <v>55.2</v>
      </c>
    </row>
    <row r="41" spans="1:7" x14ac:dyDescent="0.25">
      <c r="A41" s="34">
        <v>41876</v>
      </c>
      <c r="B41">
        <v>55.38</v>
      </c>
      <c r="C41">
        <v>55.92</v>
      </c>
      <c r="D41">
        <v>55.18</v>
      </c>
      <c r="E41">
        <v>55.87</v>
      </c>
      <c r="F41">
        <v>7553500</v>
      </c>
      <c r="G41">
        <v>55.87</v>
      </c>
    </row>
    <row r="42" spans="1:7" x14ac:dyDescent="0.25">
      <c r="A42" s="34">
        <v>41877</v>
      </c>
      <c r="B42">
        <v>55.68</v>
      </c>
      <c r="C42">
        <v>55.94</v>
      </c>
      <c r="D42">
        <v>55.64</v>
      </c>
      <c r="E42">
        <v>55.75</v>
      </c>
      <c r="F42">
        <v>9231700</v>
      </c>
      <c r="G42">
        <v>55.75</v>
      </c>
    </row>
    <row r="43" spans="1:7" x14ac:dyDescent="0.25">
      <c r="A43" s="34">
        <v>41878</v>
      </c>
      <c r="B43">
        <v>55.85</v>
      </c>
      <c r="C43">
        <v>55.85</v>
      </c>
      <c r="D43">
        <v>55.4</v>
      </c>
      <c r="E43">
        <v>55.7</v>
      </c>
      <c r="F43">
        <v>11022600</v>
      </c>
      <c r="G43">
        <v>55.7</v>
      </c>
    </row>
    <row r="44" spans="1:7" x14ac:dyDescent="0.25">
      <c r="A44" s="34">
        <v>41879</v>
      </c>
      <c r="B44">
        <v>55.52</v>
      </c>
      <c r="C44">
        <v>55.68</v>
      </c>
      <c r="D44">
        <v>55.25</v>
      </c>
      <c r="E44">
        <v>55.6</v>
      </c>
      <c r="F44">
        <v>7277900</v>
      </c>
      <c r="G44">
        <v>55.6</v>
      </c>
    </row>
    <row r="45" spans="1:7" x14ac:dyDescent="0.25">
      <c r="A45" s="34">
        <v>41880</v>
      </c>
      <c r="B45">
        <v>55.75</v>
      </c>
      <c r="C45">
        <v>55.8</v>
      </c>
      <c r="D45">
        <v>55.24</v>
      </c>
      <c r="E45">
        <v>55.28</v>
      </c>
      <c r="F45">
        <v>7487200</v>
      </c>
      <c r="G45">
        <v>55.28</v>
      </c>
    </row>
    <row r="46" spans="1:7" x14ac:dyDescent="0.25">
      <c r="A46" s="34">
        <v>41884</v>
      </c>
      <c r="B46">
        <v>55.43</v>
      </c>
      <c r="C46">
        <v>55.53</v>
      </c>
      <c r="D46">
        <v>54.96</v>
      </c>
      <c r="E46">
        <v>55.07</v>
      </c>
      <c r="F46">
        <v>7354900</v>
      </c>
      <c r="G46">
        <v>55.07</v>
      </c>
    </row>
    <row r="47" spans="1:7" x14ac:dyDescent="0.25">
      <c r="A47" s="34">
        <v>41885</v>
      </c>
      <c r="B47">
        <v>55.16</v>
      </c>
      <c r="C47">
        <v>55.53</v>
      </c>
      <c r="D47">
        <v>54.83</v>
      </c>
      <c r="E47">
        <v>55.51</v>
      </c>
      <c r="F47">
        <v>7562100</v>
      </c>
      <c r="G47">
        <v>55.51</v>
      </c>
    </row>
    <row r="48" spans="1:7" x14ac:dyDescent="0.25">
      <c r="A48" s="34">
        <v>41886</v>
      </c>
      <c r="B48">
        <v>55.36</v>
      </c>
      <c r="C48">
        <v>55.6</v>
      </c>
      <c r="D48">
        <v>55.09</v>
      </c>
      <c r="E48">
        <v>55.54</v>
      </c>
      <c r="F48">
        <v>10019400</v>
      </c>
      <c r="G48">
        <v>55.54</v>
      </c>
    </row>
    <row r="49" spans="1:7" x14ac:dyDescent="0.25">
      <c r="A49" s="34">
        <v>41887</v>
      </c>
      <c r="B49">
        <v>55.49</v>
      </c>
      <c r="C49">
        <v>55.94</v>
      </c>
      <c r="D49">
        <v>54.87</v>
      </c>
      <c r="E49">
        <v>55.94</v>
      </c>
      <c r="F49">
        <v>9914300</v>
      </c>
      <c r="G49">
        <v>55.94</v>
      </c>
    </row>
    <row r="50" spans="1:7" x14ac:dyDescent="0.25">
      <c r="A50" s="34">
        <v>41890</v>
      </c>
      <c r="B50">
        <v>55.78</v>
      </c>
      <c r="C50">
        <v>55.95</v>
      </c>
      <c r="D50">
        <v>55.37</v>
      </c>
      <c r="E50">
        <v>55.57</v>
      </c>
      <c r="F50">
        <v>6568800</v>
      </c>
      <c r="G50">
        <v>55.57</v>
      </c>
    </row>
    <row r="51" spans="1:7" x14ac:dyDescent="0.25">
      <c r="A51" s="34">
        <v>41891</v>
      </c>
      <c r="B51">
        <v>55.53</v>
      </c>
      <c r="C51">
        <v>57.18</v>
      </c>
      <c r="D51">
        <v>55.43</v>
      </c>
      <c r="E51">
        <v>56.95</v>
      </c>
      <c r="F51">
        <v>17558900</v>
      </c>
      <c r="G51">
        <v>56.95</v>
      </c>
    </row>
    <row r="52" spans="1:7" x14ac:dyDescent="0.25">
      <c r="A52" s="34">
        <v>41892</v>
      </c>
      <c r="B52">
        <v>56.9</v>
      </c>
      <c r="C52">
        <v>57.32</v>
      </c>
      <c r="D52">
        <v>56.51</v>
      </c>
      <c r="E52">
        <v>57.19</v>
      </c>
      <c r="F52">
        <v>8740300</v>
      </c>
      <c r="G52">
        <v>57.19</v>
      </c>
    </row>
    <row r="53" spans="1:7" x14ac:dyDescent="0.25">
      <c r="A53" s="34">
        <v>41893</v>
      </c>
      <c r="B53">
        <v>57</v>
      </c>
      <c r="C53">
        <v>57.88</v>
      </c>
      <c r="D53">
        <v>56.85</v>
      </c>
      <c r="E53">
        <v>57.85</v>
      </c>
      <c r="F53">
        <v>9943900</v>
      </c>
      <c r="G53">
        <v>57.85</v>
      </c>
    </row>
    <row r="54" spans="1:7" x14ac:dyDescent="0.25">
      <c r="A54" s="34">
        <v>41894</v>
      </c>
      <c r="B54">
        <v>57.85</v>
      </c>
      <c r="C54">
        <v>58.77</v>
      </c>
      <c r="D54">
        <v>57.74</v>
      </c>
      <c r="E54">
        <v>57.88</v>
      </c>
      <c r="F54">
        <v>15556200</v>
      </c>
      <c r="G54">
        <v>57.88</v>
      </c>
    </row>
    <row r="55" spans="1:7" x14ac:dyDescent="0.25">
      <c r="A55" s="34">
        <v>41897</v>
      </c>
      <c r="B55">
        <v>57.75</v>
      </c>
      <c r="C55">
        <v>58.15</v>
      </c>
      <c r="D55">
        <v>57.47</v>
      </c>
      <c r="E55">
        <v>57.93</v>
      </c>
      <c r="F55">
        <v>8632700</v>
      </c>
      <c r="G55">
        <v>57.93</v>
      </c>
    </row>
  </sheetData>
  <sortState ref="A3:G55">
    <sortCondition ref="A3:A5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129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41.18</v>
      </c>
      <c r="C3">
        <v>41.3</v>
      </c>
      <c r="D3">
        <v>40.98</v>
      </c>
      <c r="E3">
        <v>41.18</v>
      </c>
      <c r="F3">
        <v>5472200</v>
      </c>
      <c r="G3">
        <v>40.96</v>
      </c>
    </row>
    <row r="4" spans="1:7" x14ac:dyDescent="0.25">
      <c r="A4" s="34">
        <v>41822</v>
      </c>
      <c r="B4">
        <v>41.23</v>
      </c>
      <c r="C4">
        <v>41.85</v>
      </c>
      <c r="D4">
        <v>41.12</v>
      </c>
      <c r="E4">
        <v>41.79</v>
      </c>
      <c r="F4">
        <v>5766000</v>
      </c>
      <c r="G4">
        <v>41.57</v>
      </c>
    </row>
    <row r="5" spans="1:7" x14ac:dyDescent="0.25">
      <c r="A5" s="34">
        <v>41823</v>
      </c>
      <c r="B5">
        <v>41.81</v>
      </c>
      <c r="C5">
        <v>41.96</v>
      </c>
      <c r="D5">
        <v>41.63</v>
      </c>
      <c r="E5">
        <v>41.89</v>
      </c>
      <c r="F5">
        <v>3000000</v>
      </c>
      <c r="G5">
        <v>41.67</v>
      </c>
    </row>
    <row r="6" spans="1:7" x14ac:dyDescent="0.25">
      <c r="A6" s="34">
        <v>41827</v>
      </c>
      <c r="B6">
        <v>41.68</v>
      </c>
      <c r="C6">
        <v>41.82</v>
      </c>
      <c r="D6">
        <v>41.49</v>
      </c>
      <c r="E6">
        <v>41.51</v>
      </c>
      <c r="F6">
        <v>4043400</v>
      </c>
      <c r="G6">
        <v>41.29</v>
      </c>
    </row>
    <row r="7" spans="1:7" x14ac:dyDescent="0.25">
      <c r="A7" s="34">
        <v>41828</v>
      </c>
      <c r="B7">
        <v>41.33</v>
      </c>
      <c r="C7">
        <v>41.43</v>
      </c>
      <c r="D7">
        <v>40.94</v>
      </c>
      <c r="E7">
        <v>41.05</v>
      </c>
      <c r="F7">
        <v>4789500</v>
      </c>
      <c r="G7">
        <v>40.83</v>
      </c>
    </row>
    <row r="8" spans="1:7" x14ac:dyDescent="0.25">
      <c r="A8" s="34">
        <v>41829</v>
      </c>
      <c r="B8">
        <v>41.21</v>
      </c>
      <c r="C8">
        <v>41.38</v>
      </c>
      <c r="D8">
        <v>40.950000000000003</v>
      </c>
      <c r="E8">
        <v>41.27</v>
      </c>
      <c r="F8">
        <v>3562400</v>
      </c>
      <c r="G8">
        <v>41.05</v>
      </c>
    </row>
    <row r="9" spans="1:7" x14ac:dyDescent="0.25">
      <c r="A9" s="34">
        <v>41830</v>
      </c>
      <c r="B9">
        <v>41.03</v>
      </c>
      <c r="C9">
        <v>41.3</v>
      </c>
      <c r="D9">
        <v>40.92</v>
      </c>
      <c r="E9">
        <v>41.24</v>
      </c>
      <c r="F9">
        <v>4839200</v>
      </c>
      <c r="G9">
        <v>41.02</v>
      </c>
    </row>
    <row r="10" spans="1:7" x14ac:dyDescent="0.25">
      <c r="A10" s="34">
        <v>41831</v>
      </c>
      <c r="B10">
        <v>41.09</v>
      </c>
      <c r="C10">
        <v>41.36</v>
      </c>
      <c r="D10">
        <v>40.98</v>
      </c>
      <c r="E10">
        <v>41.3</v>
      </c>
      <c r="F10">
        <v>5077900</v>
      </c>
      <c r="G10">
        <v>41.3</v>
      </c>
    </row>
    <row r="11" spans="1:7" x14ac:dyDescent="0.25">
      <c r="A11" s="34">
        <v>41834</v>
      </c>
      <c r="B11">
        <v>41.95</v>
      </c>
      <c r="C11">
        <v>41.95</v>
      </c>
      <c r="D11">
        <v>41.5</v>
      </c>
      <c r="E11">
        <v>41.82</v>
      </c>
      <c r="F11">
        <v>6699800</v>
      </c>
      <c r="G11">
        <v>41.82</v>
      </c>
    </row>
    <row r="12" spans="1:7" x14ac:dyDescent="0.25">
      <c r="A12" s="34">
        <v>41835</v>
      </c>
      <c r="B12">
        <v>41.74</v>
      </c>
      <c r="C12">
        <v>41.8</v>
      </c>
      <c r="D12">
        <v>41.17</v>
      </c>
      <c r="E12">
        <v>41.17</v>
      </c>
      <c r="F12">
        <v>10954200</v>
      </c>
      <c r="G12">
        <v>41.17</v>
      </c>
    </row>
    <row r="13" spans="1:7" x14ac:dyDescent="0.25">
      <c r="A13" s="34">
        <v>41836</v>
      </c>
      <c r="B13">
        <v>41.57</v>
      </c>
      <c r="C13">
        <v>41.58</v>
      </c>
      <c r="D13">
        <v>41</v>
      </c>
      <c r="E13">
        <v>41.05</v>
      </c>
      <c r="F13">
        <v>5564800</v>
      </c>
      <c r="G13">
        <v>41.05</v>
      </c>
    </row>
    <row r="14" spans="1:7" x14ac:dyDescent="0.25">
      <c r="A14" s="34">
        <v>41837</v>
      </c>
      <c r="B14">
        <v>41.02</v>
      </c>
      <c r="C14">
        <v>42.99</v>
      </c>
      <c r="D14">
        <v>41</v>
      </c>
      <c r="E14">
        <v>41.9</v>
      </c>
      <c r="F14">
        <v>12228300</v>
      </c>
      <c r="G14">
        <v>41.9</v>
      </c>
    </row>
    <row r="15" spans="1:7" x14ac:dyDescent="0.25">
      <c r="A15" s="34">
        <v>41838</v>
      </c>
      <c r="B15">
        <v>41.9</v>
      </c>
      <c r="C15">
        <v>42.8</v>
      </c>
      <c r="D15">
        <v>41.78</v>
      </c>
      <c r="E15">
        <v>42.73</v>
      </c>
      <c r="F15">
        <v>9538000</v>
      </c>
      <c r="G15">
        <v>42.73</v>
      </c>
    </row>
    <row r="16" spans="1:7" x14ac:dyDescent="0.25">
      <c r="A16" s="34">
        <v>41841</v>
      </c>
      <c r="B16">
        <v>42.5</v>
      </c>
      <c r="C16">
        <v>43.03</v>
      </c>
      <c r="D16">
        <v>42.26</v>
      </c>
      <c r="E16">
        <v>42.96</v>
      </c>
      <c r="F16">
        <v>8027300</v>
      </c>
      <c r="G16">
        <v>42.96</v>
      </c>
    </row>
    <row r="17" spans="1:7" x14ac:dyDescent="0.25">
      <c r="A17" s="34">
        <v>41842</v>
      </c>
      <c r="B17">
        <v>43</v>
      </c>
      <c r="C17">
        <v>43.23</v>
      </c>
      <c r="D17">
        <v>42.88</v>
      </c>
      <c r="E17">
        <v>43.09</v>
      </c>
      <c r="F17">
        <v>8315800</v>
      </c>
      <c r="G17">
        <v>43.09</v>
      </c>
    </row>
    <row r="18" spans="1:7" x14ac:dyDescent="0.25">
      <c r="A18" s="34">
        <v>41843</v>
      </c>
      <c r="B18">
        <v>43.24</v>
      </c>
      <c r="C18">
        <v>43.27</v>
      </c>
      <c r="D18">
        <v>42.87</v>
      </c>
      <c r="E18">
        <v>42.97</v>
      </c>
      <c r="F18">
        <v>4315900</v>
      </c>
      <c r="G18">
        <v>42.97</v>
      </c>
    </row>
    <row r="19" spans="1:7" x14ac:dyDescent="0.25">
      <c r="A19" s="34">
        <v>41844</v>
      </c>
      <c r="B19">
        <v>42.94</v>
      </c>
      <c r="C19">
        <v>43.17</v>
      </c>
      <c r="D19">
        <v>42.74</v>
      </c>
      <c r="E19">
        <v>42.89</v>
      </c>
      <c r="F19">
        <v>4890700</v>
      </c>
      <c r="G19">
        <v>42.89</v>
      </c>
    </row>
    <row r="20" spans="1:7" x14ac:dyDescent="0.25">
      <c r="A20" s="34">
        <v>41845</v>
      </c>
      <c r="B20">
        <v>42.89</v>
      </c>
      <c r="C20">
        <v>43.11</v>
      </c>
      <c r="D20">
        <v>42.76</v>
      </c>
      <c r="E20">
        <v>43.04</v>
      </c>
      <c r="F20">
        <v>3979100</v>
      </c>
      <c r="G20">
        <v>43.04</v>
      </c>
    </row>
    <row r="21" spans="1:7" x14ac:dyDescent="0.25">
      <c r="A21" s="34">
        <v>41848</v>
      </c>
      <c r="B21">
        <v>42.95</v>
      </c>
      <c r="C21">
        <v>43.05</v>
      </c>
      <c r="D21">
        <v>42.62</v>
      </c>
      <c r="E21">
        <v>42.93</v>
      </c>
      <c r="F21">
        <v>3449200</v>
      </c>
      <c r="G21">
        <v>42.93</v>
      </c>
    </row>
    <row r="22" spans="1:7" x14ac:dyDescent="0.25">
      <c r="A22" s="34">
        <v>41849</v>
      </c>
      <c r="B22">
        <v>42.97</v>
      </c>
      <c r="C22">
        <v>42.98</v>
      </c>
      <c r="D22">
        <v>42.55</v>
      </c>
      <c r="E22">
        <v>42.75</v>
      </c>
      <c r="F22">
        <v>4575300</v>
      </c>
      <c r="G22">
        <v>42.75</v>
      </c>
    </row>
    <row r="23" spans="1:7" x14ac:dyDescent="0.25">
      <c r="A23" s="34">
        <v>41850</v>
      </c>
      <c r="B23">
        <v>42.96</v>
      </c>
      <c r="C23">
        <v>43.09</v>
      </c>
      <c r="D23">
        <v>42.66</v>
      </c>
      <c r="E23">
        <v>42.86</v>
      </c>
      <c r="F23">
        <v>3564000</v>
      </c>
      <c r="G23">
        <v>42.86</v>
      </c>
    </row>
    <row r="24" spans="1:7" x14ac:dyDescent="0.25">
      <c r="A24" s="34">
        <v>41851</v>
      </c>
      <c r="B24">
        <v>42.52</v>
      </c>
      <c r="C24">
        <v>42.88</v>
      </c>
      <c r="D24">
        <v>42.08</v>
      </c>
      <c r="E24">
        <v>42.12</v>
      </c>
      <c r="F24">
        <v>4658700</v>
      </c>
      <c r="G24">
        <v>42.12</v>
      </c>
    </row>
    <row r="25" spans="1:7" x14ac:dyDescent="0.25">
      <c r="A25" s="34">
        <v>41852</v>
      </c>
      <c r="B25">
        <v>42</v>
      </c>
      <c r="C25">
        <v>42.36</v>
      </c>
      <c r="D25">
        <v>41.81</v>
      </c>
      <c r="E25">
        <v>42.03</v>
      </c>
      <c r="F25">
        <v>3905900</v>
      </c>
      <c r="G25">
        <v>42.03</v>
      </c>
    </row>
    <row r="26" spans="1:7" x14ac:dyDescent="0.25">
      <c r="A26" s="34">
        <v>41855</v>
      </c>
      <c r="B26">
        <v>42.12</v>
      </c>
      <c r="C26">
        <v>42.5</v>
      </c>
      <c r="D26">
        <v>41.84</v>
      </c>
      <c r="E26">
        <v>42.39</v>
      </c>
      <c r="F26">
        <v>3639100</v>
      </c>
      <c r="G26">
        <v>42.39</v>
      </c>
    </row>
    <row r="27" spans="1:7" x14ac:dyDescent="0.25">
      <c r="A27" s="34">
        <v>41856</v>
      </c>
      <c r="B27">
        <v>42.14</v>
      </c>
      <c r="C27">
        <v>42.37</v>
      </c>
      <c r="D27">
        <v>41.66</v>
      </c>
      <c r="E27">
        <v>41.78</v>
      </c>
      <c r="F27">
        <v>4190500</v>
      </c>
      <c r="G27">
        <v>41.78</v>
      </c>
    </row>
    <row r="28" spans="1:7" x14ac:dyDescent="0.25">
      <c r="A28" s="34">
        <v>41857</v>
      </c>
      <c r="B28">
        <v>41.67</v>
      </c>
      <c r="C28">
        <v>41.97</v>
      </c>
      <c r="D28">
        <v>41.44</v>
      </c>
      <c r="E28">
        <v>41.77</v>
      </c>
      <c r="F28">
        <v>3726900</v>
      </c>
      <c r="G28">
        <v>41.77</v>
      </c>
    </row>
    <row r="29" spans="1:7" x14ac:dyDescent="0.25">
      <c r="A29" s="34">
        <v>41858</v>
      </c>
      <c r="B29">
        <v>41.75</v>
      </c>
      <c r="C29">
        <v>41.98</v>
      </c>
      <c r="D29">
        <v>41.48</v>
      </c>
      <c r="E29">
        <v>41.53</v>
      </c>
      <c r="F29">
        <v>4013800</v>
      </c>
      <c r="G29">
        <v>41.53</v>
      </c>
    </row>
    <row r="30" spans="1:7" x14ac:dyDescent="0.25">
      <c r="A30" s="34">
        <v>41859</v>
      </c>
      <c r="B30">
        <v>41.48</v>
      </c>
      <c r="C30">
        <v>41.72</v>
      </c>
      <c r="D30">
        <v>41.15</v>
      </c>
      <c r="E30">
        <v>41.69</v>
      </c>
      <c r="F30">
        <v>4417600</v>
      </c>
      <c r="G30">
        <v>41.69</v>
      </c>
    </row>
    <row r="31" spans="1:7" x14ac:dyDescent="0.25">
      <c r="A31" s="34">
        <v>41862</v>
      </c>
      <c r="B31">
        <v>41.92</v>
      </c>
      <c r="C31">
        <v>42.16</v>
      </c>
      <c r="D31">
        <v>41.63</v>
      </c>
      <c r="E31">
        <v>42.05</v>
      </c>
      <c r="F31">
        <v>2630400</v>
      </c>
      <c r="G31">
        <v>42.05</v>
      </c>
    </row>
    <row r="32" spans="1:7" x14ac:dyDescent="0.25">
      <c r="A32" s="34">
        <v>41863</v>
      </c>
      <c r="B32">
        <v>41.91</v>
      </c>
      <c r="C32">
        <v>42.11</v>
      </c>
      <c r="D32">
        <v>41.42</v>
      </c>
      <c r="E32">
        <v>41.57</v>
      </c>
      <c r="F32">
        <v>3337500</v>
      </c>
      <c r="G32">
        <v>41.57</v>
      </c>
    </row>
    <row r="33" spans="1:7" x14ac:dyDescent="0.25">
      <c r="A33" s="34">
        <v>41864</v>
      </c>
      <c r="B33">
        <v>41.88</v>
      </c>
      <c r="C33">
        <v>42.16</v>
      </c>
      <c r="D33">
        <v>41.83</v>
      </c>
      <c r="E33">
        <v>42.16</v>
      </c>
      <c r="F33">
        <v>3441500</v>
      </c>
      <c r="G33">
        <v>42.16</v>
      </c>
    </row>
    <row r="34" spans="1:7" x14ac:dyDescent="0.25">
      <c r="A34" s="34">
        <v>41865</v>
      </c>
      <c r="B34">
        <v>42.15</v>
      </c>
      <c r="C34">
        <v>42.45</v>
      </c>
      <c r="D34">
        <v>42.15</v>
      </c>
      <c r="E34">
        <v>42.33</v>
      </c>
      <c r="F34">
        <v>4679900</v>
      </c>
      <c r="G34">
        <v>42.33</v>
      </c>
    </row>
    <row r="35" spans="1:7" x14ac:dyDescent="0.25">
      <c r="A35" s="34">
        <v>41866</v>
      </c>
      <c r="B35">
        <v>42.36</v>
      </c>
      <c r="C35">
        <v>42.65</v>
      </c>
      <c r="D35">
        <v>41.71</v>
      </c>
      <c r="E35">
        <v>42.06</v>
      </c>
      <c r="F35">
        <v>5031600</v>
      </c>
      <c r="G35">
        <v>42.06</v>
      </c>
    </row>
    <row r="36" spans="1:7" x14ac:dyDescent="0.25">
      <c r="A36" s="34">
        <v>41869</v>
      </c>
      <c r="B36">
        <v>42.62</v>
      </c>
      <c r="C36">
        <v>42.62</v>
      </c>
      <c r="D36">
        <v>42.1</v>
      </c>
      <c r="E36">
        <v>42.23</v>
      </c>
      <c r="F36">
        <v>3234800</v>
      </c>
      <c r="G36">
        <v>42.23</v>
      </c>
    </row>
    <row r="37" spans="1:7" x14ac:dyDescent="0.25">
      <c r="A37" s="34">
        <v>41870</v>
      </c>
      <c r="B37">
        <v>42.3</v>
      </c>
      <c r="C37">
        <v>42.62</v>
      </c>
      <c r="D37">
        <v>42.09</v>
      </c>
      <c r="E37">
        <v>42.54</v>
      </c>
      <c r="F37">
        <v>2963300</v>
      </c>
      <c r="G37">
        <v>42.54</v>
      </c>
    </row>
    <row r="38" spans="1:7" x14ac:dyDescent="0.25">
      <c r="A38" s="34">
        <v>41871</v>
      </c>
      <c r="B38">
        <v>42.22</v>
      </c>
      <c r="C38">
        <v>42.49</v>
      </c>
      <c r="D38">
        <v>41.96</v>
      </c>
      <c r="E38">
        <v>42.14</v>
      </c>
      <c r="F38">
        <v>4953600</v>
      </c>
      <c r="G38">
        <v>42.14</v>
      </c>
    </row>
    <row r="39" spans="1:7" x14ac:dyDescent="0.25">
      <c r="A39" s="34">
        <v>41872</v>
      </c>
      <c r="B39">
        <v>42.29</v>
      </c>
      <c r="C39">
        <v>42.52</v>
      </c>
      <c r="D39">
        <v>42.2</v>
      </c>
      <c r="E39">
        <v>42.32</v>
      </c>
      <c r="F39">
        <v>3060800</v>
      </c>
      <c r="G39">
        <v>42.32</v>
      </c>
    </row>
    <row r="40" spans="1:7" x14ac:dyDescent="0.25">
      <c r="A40" s="34">
        <v>41873</v>
      </c>
      <c r="B40">
        <v>42.22</v>
      </c>
      <c r="C40">
        <v>42.33</v>
      </c>
      <c r="D40">
        <v>42</v>
      </c>
      <c r="E40">
        <v>42.11</v>
      </c>
      <c r="F40">
        <v>2462400</v>
      </c>
      <c r="G40">
        <v>42.11</v>
      </c>
    </row>
    <row r="41" spans="1:7" x14ac:dyDescent="0.25">
      <c r="A41" s="34">
        <v>41876</v>
      </c>
      <c r="B41">
        <v>42.41</v>
      </c>
      <c r="C41">
        <v>42.7</v>
      </c>
      <c r="D41">
        <v>42.27</v>
      </c>
      <c r="E41">
        <v>42.49</v>
      </c>
      <c r="F41">
        <v>2424000</v>
      </c>
      <c r="G41">
        <v>42.49</v>
      </c>
    </row>
    <row r="42" spans="1:7" x14ac:dyDescent="0.25">
      <c r="A42" s="34">
        <v>41877</v>
      </c>
      <c r="B42">
        <v>42.5</v>
      </c>
      <c r="C42">
        <v>42.93</v>
      </c>
      <c r="D42">
        <v>42.37</v>
      </c>
      <c r="E42">
        <v>42.8</v>
      </c>
      <c r="F42">
        <v>3229100</v>
      </c>
      <c r="G42">
        <v>42.8</v>
      </c>
    </row>
    <row r="43" spans="1:7" x14ac:dyDescent="0.25">
      <c r="A43" s="34">
        <v>41878</v>
      </c>
      <c r="B43">
        <v>42.73</v>
      </c>
      <c r="C43">
        <v>42.88</v>
      </c>
      <c r="D43">
        <v>42.5</v>
      </c>
      <c r="E43">
        <v>42.6</v>
      </c>
      <c r="F43">
        <v>2805100</v>
      </c>
      <c r="G43">
        <v>42.6</v>
      </c>
    </row>
    <row r="44" spans="1:7" x14ac:dyDescent="0.25">
      <c r="A44" s="34">
        <v>41879</v>
      </c>
      <c r="B44">
        <v>42.43</v>
      </c>
      <c r="C44">
        <v>42.6</v>
      </c>
      <c r="D44">
        <v>42.27</v>
      </c>
      <c r="E44">
        <v>42.35</v>
      </c>
      <c r="F44">
        <v>2525300</v>
      </c>
      <c r="G44">
        <v>42.35</v>
      </c>
    </row>
    <row r="45" spans="1:7" x14ac:dyDescent="0.25">
      <c r="A45" s="34">
        <v>41880</v>
      </c>
      <c r="B45">
        <v>42.41</v>
      </c>
      <c r="C45">
        <v>42.41</v>
      </c>
      <c r="D45">
        <v>42.06</v>
      </c>
      <c r="E45">
        <v>42.24</v>
      </c>
      <c r="F45">
        <v>4384400</v>
      </c>
      <c r="G45">
        <v>42.24</v>
      </c>
    </row>
    <row r="46" spans="1:7" x14ac:dyDescent="0.25">
      <c r="A46" s="34">
        <v>41884</v>
      </c>
      <c r="B46">
        <v>42.17</v>
      </c>
      <c r="C46">
        <v>42.4</v>
      </c>
      <c r="D46">
        <v>41.94</v>
      </c>
      <c r="E46">
        <v>42.23</v>
      </c>
      <c r="F46">
        <v>4300900</v>
      </c>
      <c r="G46">
        <v>42.23</v>
      </c>
    </row>
    <row r="47" spans="1:7" x14ac:dyDescent="0.25">
      <c r="A47" s="34">
        <v>41885</v>
      </c>
      <c r="B47">
        <v>42.4</v>
      </c>
      <c r="C47">
        <v>42.79</v>
      </c>
      <c r="D47">
        <v>42.35</v>
      </c>
      <c r="E47">
        <v>42.76</v>
      </c>
      <c r="F47">
        <v>4143500</v>
      </c>
      <c r="G47">
        <v>42.76</v>
      </c>
    </row>
    <row r="48" spans="1:7" x14ac:dyDescent="0.25">
      <c r="A48" s="34">
        <v>41886</v>
      </c>
      <c r="B48">
        <v>42.8</v>
      </c>
      <c r="C48">
        <v>43.08</v>
      </c>
      <c r="D48">
        <v>42.67</v>
      </c>
      <c r="E48">
        <v>42.9</v>
      </c>
      <c r="F48">
        <v>4123200</v>
      </c>
      <c r="G48">
        <v>42.9</v>
      </c>
    </row>
    <row r="49" spans="1:7" x14ac:dyDescent="0.25">
      <c r="A49" s="34">
        <v>41887</v>
      </c>
      <c r="B49">
        <v>42.88</v>
      </c>
      <c r="C49">
        <v>42.96</v>
      </c>
      <c r="D49">
        <v>42.45</v>
      </c>
      <c r="E49">
        <v>42.95</v>
      </c>
      <c r="F49">
        <v>3484300</v>
      </c>
      <c r="G49">
        <v>42.95</v>
      </c>
    </row>
    <row r="50" spans="1:7" x14ac:dyDescent="0.25">
      <c r="A50" s="34">
        <v>41890</v>
      </c>
      <c r="B50">
        <v>42.88</v>
      </c>
      <c r="C50">
        <v>43.08</v>
      </c>
      <c r="D50">
        <v>42.6</v>
      </c>
      <c r="E50">
        <v>42.81</v>
      </c>
      <c r="F50">
        <v>2602900</v>
      </c>
      <c r="G50">
        <v>42.81</v>
      </c>
    </row>
    <row r="51" spans="1:7" x14ac:dyDescent="0.25">
      <c r="A51" s="34">
        <v>41891</v>
      </c>
      <c r="B51">
        <v>42.83</v>
      </c>
      <c r="C51">
        <v>42.98</v>
      </c>
      <c r="D51">
        <v>42.64</v>
      </c>
      <c r="E51">
        <v>42.83</v>
      </c>
      <c r="F51">
        <v>3586800</v>
      </c>
      <c r="G51">
        <v>42.83</v>
      </c>
    </row>
    <row r="52" spans="1:7" x14ac:dyDescent="0.25">
      <c r="A52" s="34">
        <v>41892</v>
      </c>
      <c r="B52">
        <v>42.98</v>
      </c>
      <c r="C52">
        <v>43.05</v>
      </c>
      <c r="D52">
        <v>42.63</v>
      </c>
      <c r="E52">
        <v>42.9</v>
      </c>
      <c r="F52">
        <v>3503000</v>
      </c>
      <c r="G52">
        <v>42.9</v>
      </c>
    </row>
    <row r="53" spans="1:7" x14ac:dyDescent="0.25">
      <c r="A53" s="34">
        <v>41893</v>
      </c>
      <c r="B53">
        <v>42.69</v>
      </c>
      <c r="C53">
        <v>43.03</v>
      </c>
      <c r="D53">
        <v>42.38</v>
      </c>
      <c r="E53">
        <v>42.56</v>
      </c>
      <c r="F53">
        <v>7754900</v>
      </c>
      <c r="G53">
        <v>42.56</v>
      </c>
    </row>
    <row r="54" spans="1:7" x14ac:dyDescent="0.25">
      <c r="A54" s="34">
        <v>41894</v>
      </c>
      <c r="B54">
        <v>42.62</v>
      </c>
      <c r="C54">
        <v>42.87</v>
      </c>
      <c r="D54">
        <v>42.45</v>
      </c>
      <c r="E54">
        <v>42.55</v>
      </c>
      <c r="F54">
        <v>4259600</v>
      </c>
      <c r="G54">
        <v>42.55</v>
      </c>
    </row>
    <row r="55" spans="1:7" x14ac:dyDescent="0.25">
      <c r="A55" s="34">
        <v>41897</v>
      </c>
      <c r="B55">
        <v>42.61</v>
      </c>
      <c r="C55">
        <v>42.78</v>
      </c>
      <c r="D55">
        <v>42.44</v>
      </c>
      <c r="E55">
        <v>42.72</v>
      </c>
      <c r="F55">
        <v>3067500</v>
      </c>
      <c r="G55">
        <v>42.72</v>
      </c>
    </row>
  </sheetData>
  <sortState ref="A3:G55">
    <sortCondition ref="A3:A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81.09</v>
      </c>
      <c r="C3">
        <v>81.62</v>
      </c>
      <c r="D3">
        <v>80.91</v>
      </c>
      <c r="E3">
        <v>81.25</v>
      </c>
      <c r="F3">
        <v>2141600</v>
      </c>
      <c r="G3">
        <v>81.25</v>
      </c>
    </row>
    <row r="4" spans="1:7" x14ac:dyDescent="0.25">
      <c r="A4" s="34">
        <v>41822</v>
      </c>
      <c r="B4">
        <v>81</v>
      </c>
      <c r="C4">
        <v>81.489999999999995</v>
      </c>
      <c r="D4">
        <v>80.650000000000006</v>
      </c>
      <c r="E4">
        <v>81.06</v>
      </c>
      <c r="F4">
        <v>2400500</v>
      </c>
      <c r="G4">
        <v>81.06</v>
      </c>
    </row>
    <row r="5" spans="1:7" x14ac:dyDescent="0.25">
      <c r="A5" s="34">
        <v>41823</v>
      </c>
      <c r="B5">
        <v>81.260000000000005</v>
      </c>
      <c r="C5">
        <v>81.69</v>
      </c>
      <c r="D5">
        <v>81.22</v>
      </c>
      <c r="E5">
        <v>81.55</v>
      </c>
      <c r="F5">
        <v>1042900</v>
      </c>
      <c r="G5">
        <v>81.55</v>
      </c>
    </row>
    <row r="6" spans="1:7" x14ac:dyDescent="0.25">
      <c r="A6" s="34">
        <v>41827</v>
      </c>
      <c r="B6">
        <v>81.12</v>
      </c>
      <c r="C6">
        <v>81.319999999999993</v>
      </c>
      <c r="D6">
        <v>80.77</v>
      </c>
      <c r="E6">
        <v>81.05</v>
      </c>
      <c r="F6">
        <v>2083500</v>
      </c>
      <c r="G6">
        <v>81.05</v>
      </c>
    </row>
    <row r="7" spans="1:7" x14ac:dyDescent="0.25">
      <c r="A7" s="34">
        <v>41828</v>
      </c>
      <c r="B7">
        <v>80.989999999999995</v>
      </c>
      <c r="C7">
        <v>81.260000000000005</v>
      </c>
      <c r="D7">
        <v>80.81</v>
      </c>
      <c r="E7">
        <v>81.11</v>
      </c>
      <c r="F7">
        <v>1815600</v>
      </c>
      <c r="G7">
        <v>81.11</v>
      </c>
    </row>
    <row r="8" spans="1:7" x14ac:dyDescent="0.25">
      <c r="A8" s="34">
        <v>41829</v>
      </c>
      <c r="B8">
        <v>81.150000000000006</v>
      </c>
      <c r="C8">
        <v>81.48</v>
      </c>
      <c r="D8">
        <v>80.53</v>
      </c>
      <c r="E8">
        <v>80.64</v>
      </c>
      <c r="F8">
        <v>2884000</v>
      </c>
      <c r="G8">
        <v>80.64</v>
      </c>
    </row>
    <row r="9" spans="1:7" x14ac:dyDescent="0.25">
      <c r="A9" s="34">
        <v>41830</v>
      </c>
      <c r="B9">
        <v>80.08</v>
      </c>
      <c r="C9">
        <v>80.42</v>
      </c>
      <c r="D9">
        <v>79.7</v>
      </c>
      <c r="E9">
        <v>79.77</v>
      </c>
      <c r="F9">
        <v>2965000</v>
      </c>
      <c r="G9">
        <v>79.77</v>
      </c>
    </row>
    <row r="10" spans="1:7" x14ac:dyDescent="0.25">
      <c r="A10" s="34">
        <v>41831</v>
      </c>
      <c r="B10">
        <v>79.88</v>
      </c>
      <c r="C10">
        <v>80.11</v>
      </c>
      <c r="D10">
        <v>79.55</v>
      </c>
      <c r="E10">
        <v>79.77</v>
      </c>
      <c r="F10">
        <v>2586700</v>
      </c>
      <c r="G10">
        <v>79.77</v>
      </c>
    </row>
    <row r="11" spans="1:7" x14ac:dyDescent="0.25">
      <c r="A11" s="34">
        <v>41834</v>
      </c>
      <c r="B11">
        <v>80.16</v>
      </c>
      <c r="C11">
        <v>80.319999999999993</v>
      </c>
      <c r="D11">
        <v>79.260000000000005</v>
      </c>
      <c r="E11">
        <v>79.459999999999994</v>
      </c>
      <c r="F11">
        <v>2595800</v>
      </c>
      <c r="G11">
        <v>79.459999999999994</v>
      </c>
    </row>
    <row r="12" spans="1:7" x14ac:dyDescent="0.25">
      <c r="A12" s="34">
        <v>41835</v>
      </c>
      <c r="B12">
        <v>79.36</v>
      </c>
      <c r="C12">
        <v>79.86</v>
      </c>
      <c r="D12">
        <v>79.099999999999994</v>
      </c>
      <c r="E12">
        <v>79.36</v>
      </c>
      <c r="F12">
        <v>3195000</v>
      </c>
      <c r="G12">
        <v>79.36</v>
      </c>
    </row>
    <row r="13" spans="1:7" x14ac:dyDescent="0.25">
      <c r="A13" s="34">
        <v>41836</v>
      </c>
      <c r="B13">
        <v>79.87</v>
      </c>
      <c r="C13">
        <v>80.11</v>
      </c>
      <c r="D13">
        <v>79.45</v>
      </c>
      <c r="E13">
        <v>79.739999999999995</v>
      </c>
      <c r="F13">
        <v>3423500</v>
      </c>
      <c r="G13">
        <v>79.739999999999995</v>
      </c>
    </row>
    <row r="14" spans="1:7" x14ac:dyDescent="0.25">
      <c r="A14" s="34">
        <v>41837</v>
      </c>
      <c r="B14">
        <v>79.650000000000006</v>
      </c>
      <c r="C14">
        <v>80.099999999999994</v>
      </c>
      <c r="D14">
        <v>79.180000000000007</v>
      </c>
      <c r="E14">
        <v>79.239999999999995</v>
      </c>
      <c r="F14">
        <v>2107700</v>
      </c>
      <c r="G14">
        <v>79.239999999999995</v>
      </c>
    </row>
    <row r="15" spans="1:7" x14ac:dyDescent="0.25">
      <c r="A15" s="34">
        <v>41838</v>
      </c>
      <c r="B15">
        <v>79.489999999999995</v>
      </c>
      <c r="C15">
        <v>79.790000000000006</v>
      </c>
      <c r="D15">
        <v>78.849999999999994</v>
      </c>
      <c r="E15">
        <v>79.739999999999995</v>
      </c>
      <c r="F15">
        <v>2818900</v>
      </c>
      <c r="G15">
        <v>79.739999999999995</v>
      </c>
    </row>
    <row r="16" spans="1:7" x14ac:dyDescent="0.25">
      <c r="A16" s="34">
        <v>41841</v>
      </c>
      <c r="B16">
        <v>79.849999999999994</v>
      </c>
      <c r="C16">
        <v>80.2</v>
      </c>
      <c r="D16">
        <v>79.39</v>
      </c>
      <c r="E16">
        <v>79.8</v>
      </c>
      <c r="F16">
        <v>1985800</v>
      </c>
      <c r="G16">
        <v>79.8</v>
      </c>
    </row>
    <row r="17" spans="1:7" x14ac:dyDescent="0.25">
      <c r="A17" s="34">
        <v>41842</v>
      </c>
      <c r="B17">
        <v>80</v>
      </c>
      <c r="C17">
        <v>80.67</v>
      </c>
      <c r="D17">
        <v>79.989999999999995</v>
      </c>
      <c r="E17">
        <v>80.290000000000006</v>
      </c>
      <c r="F17">
        <v>2105700</v>
      </c>
      <c r="G17">
        <v>80.290000000000006</v>
      </c>
    </row>
    <row r="18" spans="1:7" x14ac:dyDescent="0.25">
      <c r="A18" s="34">
        <v>41843</v>
      </c>
      <c r="B18">
        <v>80.400000000000006</v>
      </c>
      <c r="C18">
        <v>80.78</v>
      </c>
      <c r="D18">
        <v>80.19</v>
      </c>
      <c r="E18">
        <v>80.59</v>
      </c>
      <c r="F18">
        <v>2483700</v>
      </c>
      <c r="G18">
        <v>80.59</v>
      </c>
    </row>
    <row r="19" spans="1:7" x14ac:dyDescent="0.25">
      <c r="A19" s="34">
        <v>41844</v>
      </c>
      <c r="B19">
        <v>80.33</v>
      </c>
      <c r="C19">
        <v>80.900000000000006</v>
      </c>
      <c r="D19">
        <v>80.23</v>
      </c>
      <c r="E19">
        <v>80.69</v>
      </c>
      <c r="F19">
        <v>2065600</v>
      </c>
      <c r="G19">
        <v>80.69</v>
      </c>
    </row>
    <row r="20" spans="1:7" x14ac:dyDescent="0.25">
      <c r="A20" s="34">
        <v>41845</v>
      </c>
      <c r="B20">
        <v>80.319999999999993</v>
      </c>
      <c r="C20">
        <v>80.83</v>
      </c>
      <c r="D20">
        <v>80.12</v>
      </c>
      <c r="E20">
        <v>80.38</v>
      </c>
      <c r="F20">
        <v>1487600</v>
      </c>
      <c r="G20">
        <v>80.38</v>
      </c>
    </row>
    <row r="21" spans="1:7" x14ac:dyDescent="0.25">
      <c r="A21" s="34">
        <v>41848</v>
      </c>
      <c r="B21">
        <v>80.180000000000007</v>
      </c>
      <c r="C21">
        <v>80.92</v>
      </c>
      <c r="D21">
        <v>79.97</v>
      </c>
      <c r="E21">
        <v>80.650000000000006</v>
      </c>
      <c r="F21">
        <v>1799200</v>
      </c>
      <c r="G21">
        <v>80.650000000000006</v>
      </c>
    </row>
    <row r="22" spans="1:7" x14ac:dyDescent="0.25">
      <c r="A22" s="34">
        <v>41849</v>
      </c>
      <c r="B22">
        <v>80.59</v>
      </c>
      <c r="C22">
        <v>80.959999999999994</v>
      </c>
      <c r="D22">
        <v>80.459999999999994</v>
      </c>
      <c r="E22">
        <v>80.569999999999993</v>
      </c>
      <c r="F22">
        <v>2416900</v>
      </c>
      <c r="G22">
        <v>80.569999999999993</v>
      </c>
    </row>
    <row r="23" spans="1:7" x14ac:dyDescent="0.25">
      <c r="A23" s="34">
        <v>41850</v>
      </c>
      <c r="B23">
        <v>80.599999999999994</v>
      </c>
      <c r="C23">
        <v>80.87</v>
      </c>
      <c r="D23">
        <v>80.150000000000006</v>
      </c>
      <c r="E23">
        <v>80.489999999999995</v>
      </c>
      <c r="F23">
        <v>1722500</v>
      </c>
      <c r="G23">
        <v>80.489999999999995</v>
      </c>
    </row>
    <row r="24" spans="1:7" x14ac:dyDescent="0.25">
      <c r="A24" s="34">
        <v>41851</v>
      </c>
      <c r="B24">
        <v>79.91</v>
      </c>
      <c r="C24">
        <v>80.66</v>
      </c>
      <c r="D24">
        <v>79.22</v>
      </c>
      <c r="E24">
        <v>79.28</v>
      </c>
      <c r="F24">
        <v>2745800</v>
      </c>
      <c r="G24">
        <v>79.28</v>
      </c>
    </row>
    <row r="25" spans="1:7" x14ac:dyDescent="0.25">
      <c r="A25" s="34">
        <v>41852</v>
      </c>
      <c r="B25">
        <v>78.849999999999994</v>
      </c>
      <c r="C25">
        <v>79.48</v>
      </c>
      <c r="D25">
        <v>78.349999999999994</v>
      </c>
      <c r="E25">
        <v>78.7</v>
      </c>
      <c r="F25">
        <v>2402700</v>
      </c>
      <c r="G25">
        <v>78.7</v>
      </c>
    </row>
    <row r="26" spans="1:7" x14ac:dyDescent="0.25">
      <c r="A26" s="34">
        <v>41855</v>
      </c>
      <c r="B26">
        <v>78.97</v>
      </c>
      <c r="C26">
        <v>79.489999999999995</v>
      </c>
      <c r="D26">
        <v>78.5</v>
      </c>
      <c r="E26">
        <v>79.349999999999994</v>
      </c>
      <c r="F26">
        <v>2160900</v>
      </c>
      <c r="G26">
        <v>79.349999999999994</v>
      </c>
    </row>
    <row r="27" spans="1:7" x14ac:dyDescent="0.25">
      <c r="A27" s="34">
        <v>41856</v>
      </c>
      <c r="B27">
        <v>78.959999999999994</v>
      </c>
      <c r="C27">
        <v>79.27</v>
      </c>
      <c r="D27">
        <v>78.040000000000006</v>
      </c>
      <c r="E27">
        <v>78.45</v>
      </c>
      <c r="F27">
        <v>2150200</v>
      </c>
      <c r="G27">
        <v>78.45</v>
      </c>
    </row>
    <row r="28" spans="1:7" x14ac:dyDescent="0.25">
      <c r="A28" s="34">
        <v>41857</v>
      </c>
      <c r="B28">
        <v>77.260000000000005</v>
      </c>
      <c r="C28">
        <v>78.14</v>
      </c>
      <c r="D28">
        <v>76.87</v>
      </c>
      <c r="E28">
        <v>77.84</v>
      </c>
      <c r="F28">
        <v>3093600</v>
      </c>
      <c r="G28">
        <v>77.84</v>
      </c>
    </row>
    <row r="29" spans="1:7" x14ac:dyDescent="0.25">
      <c r="A29" s="34">
        <v>41858</v>
      </c>
      <c r="B29">
        <v>78.31</v>
      </c>
      <c r="C29">
        <v>78.59</v>
      </c>
      <c r="D29">
        <v>77.34</v>
      </c>
      <c r="E29">
        <v>77.5</v>
      </c>
      <c r="F29">
        <v>2138100</v>
      </c>
      <c r="G29">
        <v>77.5</v>
      </c>
    </row>
    <row r="30" spans="1:7" x14ac:dyDescent="0.25">
      <c r="A30" s="34">
        <v>41859</v>
      </c>
      <c r="B30">
        <v>77.72</v>
      </c>
      <c r="C30">
        <v>78.92</v>
      </c>
      <c r="D30">
        <v>77.38</v>
      </c>
      <c r="E30">
        <v>78.87</v>
      </c>
      <c r="F30">
        <v>2523000</v>
      </c>
      <c r="G30">
        <v>78.87</v>
      </c>
    </row>
    <row r="31" spans="1:7" x14ac:dyDescent="0.25">
      <c r="A31" s="34">
        <v>41862</v>
      </c>
      <c r="B31">
        <v>78.959999999999994</v>
      </c>
      <c r="C31">
        <v>79.52</v>
      </c>
      <c r="D31">
        <v>78.61</v>
      </c>
      <c r="E31">
        <v>78.959999999999994</v>
      </c>
      <c r="F31">
        <v>2931600</v>
      </c>
      <c r="G31">
        <v>78.959999999999994</v>
      </c>
    </row>
    <row r="32" spans="1:7" x14ac:dyDescent="0.25">
      <c r="A32" s="34">
        <v>41863</v>
      </c>
      <c r="B32">
        <v>78.89</v>
      </c>
      <c r="C32">
        <v>79.25</v>
      </c>
      <c r="D32">
        <v>78.33</v>
      </c>
      <c r="E32">
        <v>78.569999999999993</v>
      </c>
      <c r="F32">
        <v>2062500</v>
      </c>
      <c r="G32">
        <v>78.569999999999993</v>
      </c>
    </row>
    <row r="33" spans="1:7" x14ac:dyDescent="0.25">
      <c r="A33" s="34">
        <v>41864</v>
      </c>
      <c r="B33">
        <v>78.989999999999995</v>
      </c>
      <c r="C33">
        <v>79.25</v>
      </c>
      <c r="D33">
        <v>78.52</v>
      </c>
      <c r="E33">
        <v>78.989999999999995</v>
      </c>
      <c r="F33">
        <v>2103700</v>
      </c>
      <c r="G33">
        <v>78.989999999999995</v>
      </c>
    </row>
    <row r="34" spans="1:7" x14ac:dyDescent="0.25">
      <c r="A34" s="34">
        <v>41865</v>
      </c>
      <c r="B34">
        <v>79.19</v>
      </c>
      <c r="C34">
        <v>79.27</v>
      </c>
      <c r="D34">
        <v>78.88</v>
      </c>
      <c r="E34">
        <v>79.27</v>
      </c>
      <c r="F34">
        <v>1682400</v>
      </c>
      <c r="G34">
        <v>79.27</v>
      </c>
    </row>
    <row r="35" spans="1:7" x14ac:dyDescent="0.25">
      <c r="A35" s="34">
        <v>41866</v>
      </c>
      <c r="B35">
        <v>79.48</v>
      </c>
      <c r="C35">
        <v>79.930000000000007</v>
      </c>
      <c r="D35">
        <v>78.599999999999994</v>
      </c>
      <c r="E35">
        <v>79.010000000000005</v>
      </c>
      <c r="F35">
        <v>2533800</v>
      </c>
      <c r="G35">
        <v>79.010000000000005</v>
      </c>
    </row>
    <row r="36" spans="1:7" x14ac:dyDescent="0.25">
      <c r="A36" s="34">
        <v>41869</v>
      </c>
      <c r="B36">
        <v>79.41</v>
      </c>
      <c r="C36">
        <v>79.98</v>
      </c>
      <c r="D36">
        <v>79.33</v>
      </c>
      <c r="E36">
        <v>79.81</v>
      </c>
      <c r="F36">
        <v>1920700</v>
      </c>
      <c r="G36">
        <v>79.81</v>
      </c>
    </row>
    <row r="37" spans="1:7" x14ac:dyDescent="0.25">
      <c r="A37" s="34">
        <v>41870</v>
      </c>
      <c r="B37">
        <v>79.94</v>
      </c>
      <c r="C37">
        <v>80.5</v>
      </c>
      <c r="D37">
        <v>79.650000000000006</v>
      </c>
      <c r="E37">
        <v>80.319999999999993</v>
      </c>
      <c r="F37">
        <v>1663000</v>
      </c>
      <c r="G37">
        <v>80.319999999999993</v>
      </c>
    </row>
    <row r="38" spans="1:7" x14ac:dyDescent="0.25">
      <c r="A38" s="34">
        <v>41871</v>
      </c>
      <c r="B38">
        <v>80.319999999999993</v>
      </c>
      <c r="C38">
        <v>80.489999999999995</v>
      </c>
      <c r="D38">
        <v>79.88</v>
      </c>
      <c r="E38">
        <v>80.400000000000006</v>
      </c>
      <c r="F38">
        <v>1214500</v>
      </c>
      <c r="G38">
        <v>80.400000000000006</v>
      </c>
    </row>
    <row r="39" spans="1:7" x14ac:dyDescent="0.25">
      <c r="A39" s="34">
        <v>41872</v>
      </c>
      <c r="B39">
        <v>80.66</v>
      </c>
      <c r="C39">
        <v>81.03</v>
      </c>
      <c r="D39">
        <v>80.42</v>
      </c>
      <c r="E39">
        <v>80.819999999999993</v>
      </c>
      <c r="F39">
        <v>1360100</v>
      </c>
      <c r="G39">
        <v>80.819999999999993</v>
      </c>
    </row>
    <row r="40" spans="1:7" x14ac:dyDescent="0.25">
      <c r="A40" s="34">
        <v>41873</v>
      </c>
      <c r="B40">
        <v>80.599999999999994</v>
      </c>
      <c r="C40">
        <v>80.819999999999993</v>
      </c>
      <c r="D40">
        <v>80.400000000000006</v>
      </c>
      <c r="E40">
        <v>80.510000000000005</v>
      </c>
      <c r="F40">
        <v>1810200</v>
      </c>
      <c r="G40">
        <v>80.510000000000005</v>
      </c>
    </row>
    <row r="41" spans="1:7" x14ac:dyDescent="0.25">
      <c r="A41" s="34">
        <v>41876</v>
      </c>
      <c r="B41">
        <v>81.040000000000006</v>
      </c>
      <c r="C41">
        <v>81.599999999999994</v>
      </c>
      <c r="D41">
        <v>80.88</v>
      </c>
      <c r="E41">
        <v>80.98</v>
      </c>
      <c r="F41">
        <v>1733300</v>
      </c>
      <c r="G41">
        <v>80.98</v>
      </c>
    </row>
    <row r="42" spans="1:7" x14ac:dyDescent="0.25">
      <c r="A42" s="34">
        <v>41877</v>
      </c>
      <c r="B42">
        <v>81.3</v>
      </c>
      <c r="C42">
        <v>81.99</v>
      </c>
      <c r="D42">
        <v>81.2</v>
      </c>
      <c r="E42">
        <v>81.62</v>
      </c>
      <c r="F42">
        <v>2432900</v>
      </c>
      <c r="G42">
        <v>81.62</v>
      </c>
    </row>
    <row r="43" spans="1:7" x14ac:dyDescent="0.25">
      <c r="A43" s="34">
        <v>41878</v>
      </c>
      <c r="B43">
        <v>81.459999999999994</v>
      </c>
      <c r="C43">
        <v>81.58</v>
      </c>
      <c r="D43">
        <v>80.760000000000005</v>
      </c>
      <c r="E43">
        <v>80.98</v>
      </c>
      <c r="F43">
        <v>1728000</v>
      </c>
      <c r="G43">
        <v>80.98</v>
      </c>
    </row>
    <row r="44" spans="1:7" x14ac:dyDescent="0.25">
      <c r="A44" s="34">
        <v>41879</v>
      </c>
      <c r="B44">
        <v>80.59</v>
      </c>
      <c r="C44">
        <v>81.8</v>
      </c>
      <c r="D44">
        <v>80.33</v>
      </c>
      <c r="E44">
        <v>81.02</v>
      </c>
      <c r="F44">
        <v>1846100</v>
      </c>
      <c r="G44">
        <v>81.02</v>
      </c>
    </row>
    <row r="45" spans="1:7" x14ac:dyDescent="0.25">
      <c r="A45" s="34">
        <v>41880</v>
      </c>
      <c r="B45">
        <v>81.319999999999993</v>
      </c>
      <c r="C45">
        <v>81.319999999999993</v>
      </c>
      <c r="D45">
        <v>80.52</v>
      </c>
      <c r="E45">
        <v>81.06</v>
      </c>
      <c r="F45">
        <v>1416600</v>
      </c>
      <c r="G45">
        <v>81.06</v>
      </c>
    </row>
    <row r="46" spans="1:7" x14ac:dyDescent="0.25">
      <c r="A46" s="34">
        <v>41884</v>
      </c>
      <c r="B46">
        <v>80.95</v>
      </c>
      <c r="C46">
        <v>81.489999999999995</v>
      </c>
      <c r="D46">
        <v>80.91</v>
      </c>
      <c r="E46">
        <v>81.12</v>
      </c>
      <c r="F46">
        <v>1754000</v>
      </c>
      <c r="G46">
        <v>81.12</v>
      </c>
    </row>
    <row r="47" spans="1:7" x14ac:dyDescent="0.25">
      <c r="A47" s="34">
        <v>41885</v>
      </c>
      <c r="B47">
        <v>81.55</v>
      </c>
      <c r="C47">
        <v>81.96</v>
      </c>
      <c r="D47">
        <v>81.3</v>
      </c>
      <c r="E47">
        <v>81.86</v>
      </c>
      <c r="F47">
        <v>2041300</v>
      </c>
      <c r="G47">
        <v>81.86</v>
      </c>
    </row>
    <row r="48" spans="1:7" x14ac:dyDescent="0.25">
      <c r="A48" s="34">
        <v>41886</v>
      </c>
      <c r="B48">
        <v>82.14</v>
      </c>
      <c r="C48">
        <v>82.16</v>
      </c>
      <c r="D48">
        <v>81.52</v>
      </c>
      <c r="E48">
        <v>81.760000000000005</v>
      </c>
      <c r="F48">
        <v>2781100</v>
      </c>
      <c r="G48">
        <v>81.760000000000005</v>
      </c>
    </row>
    <row r="49" spans="1:7" x14ac:dyDescent="0.25">
      <c r="A49" s="34">
        <v>41887</v>
      </c>
      <c r="B49">
        <v>81.7</v>
      </c>
      <c r="C49">
        <v>82.07</v>
      </c>
      <c r="D49">
        <v>81.47</v>
      </c>
      <c r="E49">
        <v>81.83</v>
      </c>
      <c r="F49">
        <v>2276700</v>
      </c>
      <c r="G49">
        <v>81.83</v>
      </c>
    </row>
    <row r="50" spans="1:7" x14ac:dyDescent="0.25">
      <c r="A50" s="34">
        <v>41890</v>
      </c>
      <c r="B50">
        <v>81.75</v>
      </c>
      <c r="C50">
        <v>82.05</v>
      </c>
      <c r="D50">
        <v>81.540000000000006</v>
      </c>
      <c r="E50">
        <v>81.73</v>
      </c>
      <c r="F50">
        <v>1880100</v>
      </c>
      <c r="G50">
        <v>81.73</v>
      </c>
    </row>
    <row r="51" spans="1:7" x14ac:dyDescent="0.25">
      <c r="A51" s="34">
        <v>41891</v>
      </c>
      <c r="B51">
        <v>81.7</v>
      </c>
      <c r="C51">
        <v>81.739999999999995</v>
      </c>
      <c r="D51">
        <v>80.7</v>
      </c>
      <c r="E51">
        <v>80.95</v>
      </c>
      <c r="F51">
        <v>2173800</v>
      </c>
      <c r="G51">
        <v>80.95</v>
      </c>
    </row>
    <row r="52" spans="1:7" x14ac:dyDescent="0.25">
      <c r="A52" s="34">
        <v>41892</v>
      </c>
      <c r="B52">
        <v>80.95</v>
      </c>
      <c r="C52">
        <v>81.349999999999994</v>
      </c>
      <c r="D52">
        <v>80.7</v>
      </c>
      <c r="E52">
        <v>81.209999999999994</v>
      </c>
      <c r="F52">
        <v>1922600</v>
      </c>
      <c r="G52">
        <v>81.209999999999994</v>
      </c>
    </row>
    <row r="53" spans="1:7" x14ac:dyDescent="0.25">
      <c r="A53" s="34">
        <v>41893</v>
      </c>
      <c r="B53">
        <v>81.06</v>
      </c>
      <c r="C53">
        <v>81.53</v>
      </c>
      <c r="D53">
        <v>80.819999999999993</v>
      </c>
      <c r="E53">
        <v>81.510000000000005</v>
      </c>
      <c r="F53">
        <v>1856200</v>
      </c>
      <c r="G53">
        <v>81.510000000000005</v>
      </c>
    </row>
    <row r="54" spans="1:7" x14ac:dyDescent="0.25">
      <c r="A54" s="34">
        <v>41894</v>
      </c>
      <c r="B54">
        <v>81.3</v>
      </c>
      <c r="C54">
        <v>81.56</v>
      </c>
      <c r="D54">
        <v>80.58</v>
      </c>
      <c r="E54">
        <v>80.97</v>
      </c>
      <c r="F54">
        <v>2801800</v>
      </c>
      <c r="G54">
        <v>80.97</v>
      </c>
    </row>
    <row r="55" spans="1:7" x14ac:dyDescent="0.25">
      <c r="A55" s="34">
        <v>41897</v>
      </c>
      <c r="B55">
        <v>80.989999999999995</v>
      </c>
      <c r="C55">
        <v>81.150000000000006</v>
      </c>
      <c r="D55">
        <v>80.45</v>
      </c>
      <c r="E55">
        <v>80.599999999999994</v>
      </c>
      <c r="F55">
        <v>1949200</v>
      </c>
      <c r="G55">
        <v>80.599999999999994</v>
      </c>
    </row>
  </sheetData>
  <sortState ref="A3:G55">
    <sortCondition ref="A3:A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54.99</v>
      </c>
      <c r="C3">
        <v>55.71</v>
      </c>
      <c r="D3">
        <v>54.94</v>
      </c>
      <c r="E3">
        <v>55.38</v>
      </c>
      <c r="F3">
        <v>6850700</v>
      </c>
      <c r="G3">
        <v>55.25</v>
      </c>
    </row>
    <row r="4" spans="1:7" x14ac:dyDescent="0.25">
      <c r="A4" s="34">
        <v>41822</v>
      </c>
      <c r="B4">
        <v>55.08</v>
      </c>
      <c r="C4">
        <v>55.63</v>
      </c>
      <c r="D4">
        <v>55.04</v>
      </c>
      <c r="E4">
        <v>55.25</v>
      </c>
      <c r="F4">
        <v>4718400</v>
      </c>
      <c r="G4">
        <v>55.13</v>
      </c>
    </row>
    <row r="5" spans="1:7" x14ac:dyDescent="0.25">
      <c r="A5" s="34">
        <v>41823</v>
      </c>
      <c r="B5">
        <v>55.51</v>
      </c>
      <c r="C5">
        <v>55.99</v>
      </c>
      <c r="D5">
        <v>55.36</v>
      </c>
      <c r="E5">
        <v>55.64</v>
      </c>
      <c r="F5">
        <v>3690000</v>
      </c>
      <c r="G5">
        <v>55.51</v>
      </c>
    </row>
    <row r="6" spans="1:7" x14ac:dyDescent="0.25">
      <c r="A6" s="34">
        <v>41827</v>
      </c>
      <c r="B6">
        <v>55.41</v>
      </c>
      <c r="C6">
        <v>55.49</v>
      </c>
      <c r="D6">
        <v>55.01</v>
      </c>
      <c r="E6">
        <v>55.31</v>
      </c>
      <c r="F6">
        <v>4264400</v>
      </c>
      <c r="G6">
        <v>55.19</v>
      </c>
    </row>
    <row r="7" spans="1:7" x14ac:dyDescent="0.25">
      <c r="A7" s="34">
        <v>41828</v>
      </c>
      <c r="B7">
        <v>55.1</v>
      </c>
      <c r="C7">
        <v>55.15</v>
      </c>
      <c r="D7">
        <v>54.72</v>
      </c>
      <c r="E7">
        <v>54.93</v>
      </c>
      <c r="F7">
        <v>7342700</v>
      </c>
      <c r="G7">
        <v>54.81</v>
      </c>
    </row>
    <row r="8" spans="1:7" x14ac:dyDescent="0.25">
      <c r="A8" s="34">
        <v>41829</v>
      </c>
      <c r="B8">
        <v>55.15</v>
      </c>
      <c r="C8">
        <v>55.32</v>
      </c>
      <c r="D8">
        <v>54.73</v>
      </c>
      <c r="E8">
        <v>55.07</v>
      </c>
      <c r="F8">
        <v>4087100</v>
      </c>
      <c r="G8">
        <v>54.95</v>
      </c>
    </row>
    <row r="9" spans="1:7" x14ac:dyDescent="0.25">
      <c r="A9" s="34">
        <v>41830</v>
      </c>
      <c r="B9">
        <v>54.07</v>
      </c>
      <c r="C9">
        <v>54.57</v>
      </c>
      <c r="D9">
        <v>53.13</v>
      </c>
      <c r="E9">
        <v>54.48</v>
      </c>
      <c r="F9">
        <v>8825100</v>
      </c>
      <c r="G9">
        <v>54.36</v>
      </c>
    </row>
    <row r="10" spans="1:7" x14ac:dyDescent="0.25">
      <c r="A10" s="34">
        <v>41831</v>
      </c>
      <c r="B10">
        <v>54.31</v>
      </c>
      <c r="C10">
        <v>54.67</v>
      </c>
      <c r="D10">
        <v>54.04</v>
      </c>
      <c r="E10">
        <v>54.52</v>
      </c>
      <c r="F10">
        <v>4044100</v>
      </c>
      <c r="G10">
        <v>54.4</v>
      </c>
    </row>
    <row r="11" spans="1:7" x14ac:dyDescent="0.25">
      <c r="A11" s="34">
        <v>41834</v>
      </c>
      <c r="B11">
        <v>54.93</v>
      </c>
      <c r="C11">
        <v>55.25</v>
      </c>
      <c r="D11">
        <v>54.87</v>
      </c>
      <c r="E11">
        <v>55.1</v>
      </c>
      <c r="F11">
        <v>5501100</v>
      </c>
      <c r="G11">
        <v>54.98</v>
      </c>
    </row>
    <row r="12" spans="1:7" x14ac:dyDescent="0.25">
      <c r="A12" s="34">
        <v>41835</v>
      </c>
      <c r="B12">
        <v>55.12</v>
      </c>
      <c r="C12">
        <v>55.52</v>
      </c>
      <c r="D12">
        <v>54.89</v>
      </c>
      <c r="E12">
        <v>55.05</v>
      </c>
      <c r="F12">
        <v>6686000</v>
      </c>
      <c r="G12">
        <v>54.93</v>
      </c>
    </row>
    <row r="13" spans="1:7" x14ac:dyDescent="0.25">
      <c r="A13" s="34">
        <v>41836</v>
      </c>
      <c r="B13">
        <v>55.34</v>
      </c>
      <c r="C13">
        <v>55.46</v>
      </c>
      <c r="D13">
        <v>54.87</v>
      </c>
      <c r="E13">
        <v>55.04</v>
      </c>
      <c r="F13">
        <v>5175900</v>
      </c>
      <c r="G13">
        <v>54.92</v>
      </c>
    </row>
    <row r="14" spans="1:7" x14ac:dyDescent="0.25">
      <c r="A14" s="34">
        <v>41837</v>
      </c>
      <c r="B14">
        <v>54.92</v>
      </c>
      <c r="C14">
        <v>55.33</v>
      </c>
      <c r="D14">
        <v>54.66</v>
      </c>
      <c r="E14">
        <v>54.7</v>
      </c>
      <c r="F14">
        <v>7546700</v>
      </c>
      <c r="G14">
        <v>54.58</v>
      </c>
    </row>
    <row r="15" spans="1:7" x14ac:dyDescent="0.25">
      <c r="A15" s="34">
        <v>41838</v>
      </c>
      <c r="B15">
        <v>54.91</v>
      </c>
      <c r="C15">
        <v>55.26</v>
      </c>
      <c r="D15">
        <v>54.64</v>
      </c>
      <c r="E15">
        <v>55.2</v>
      </c>
      <c r="F15">
        <v>4928400</v>
      </c>
      <c r="G15">
        <v>55.08</v>
      </c>
    </row>
    <row r="16" spans="1:7" x14ac:dyDescent="0.25">
      <c r="A16" s="34">
        <v>41841</v>
      </c>
      <c r="B16">
        <v>54.74</v>
      </c>
      <c r="C16">
        <v>55.19</v>
      </c>
      <c r="D16">
        <v>54.65</v>
      </c>
      <c r="E16">
        <v>55.11</v>
      </c>
      <c r="F16">
        <v>6565000</v>
      </c>
      <c r="G16">
        <v>54.99</v>
      </c>
    </row>
    <row r="17" spans="1:7" x14ac:dyDescent="0.25">
      <c r="A17" s="34">
        <v>41842</v>
      </c>
      <c r="B17">
        <v>54.8</v>
      </c>
      <c r="C17">
        <v>55.05</v>
      </c>
      <c r="D17">
        <v>54.54</v>
      </c>
      <c r="E17">
        <v>54.7</v>
      </c>
      <c r="F17">
        <v>8308600</v>
      </c>
      <c r="G17">
        <v>54.58</v>
      </c>
    </row>
    <row r="18" spans="1:7" x14ac:dyDescent="0.25">
      <c r="A18" s="34">
        <v>41843</v>
      </c>
      <c r="B18">
        <v>54.85</v>
      </c>
      <c r="C18">
        <v>55.13</v>
      </c>
      <c r="D18">
        <v>54.7</v>
      </c>
      <c r="E18">
        <v>55.02</v>
      </c>
      <c r="F18">
        <v>3877500</v>
      </c>
      <c r="G18">
        <v>54.9</v>
      </c>
    </row>
    <row r="19" spans="1:7" x14ac:dyDescent="0.25">
      <c r="A19" s="34">
        <v>41844</v>
      </c>
      <c r="B19">
        <v>55.2</v>
      </c>
      <c r="C19">
        <v>55.39</v>
      </c>
      <c r="D19">
        <v>54.9</v>
      </c>
      <c r="E19">
        <v>55.17</v>
      </c>
      <c r="F19">
        <v>4241400</v>
      </c>
      <c r="G19">
        <v>55.05</v>
      </c>
    </row>
    <row r="20" spans="1:7" x14ac:dyDescent="0.25">
      <c r="A20" s="34">
        <v>41845</v>
      </c>
      <c r="B20">
        <v>54.84</v>
      </c>
      <c r="C20">
        <v>54.98</v>
      </c>
      <c r="D20">
        <v>54.15</v>
      </c>
      <c r="E20">
        <v>54.16</v>
      </c>
      <c r="F20">
        <v>7389100</v>
      </c>
      <c r="G20">
        <v>54.04</v>
      </c>
    </row>
    <row r="21" spans="1:7" x14ac:dyDescent="0.25">
      <c r="A21" s="34">
        <v>41848</v>
      </c>
      <c r="B21">
        <v>54.14</v>
      </c>
      <c r="C21">
        <v>54.17</v>
      </c>
      <c r="D21">
        <v>53.46</v>
      </c>
      <c r="E21">
        <v>53.95</v>
      </c>
      <c r="F21">
        <v>7135500</v>
      </c>
      <c r="G21">
        <v>53.83</v>
      </c>
    </row>
    <row r="22" spans="1:7" x14ac:dyDescent="0.25">
      <c r="A22" s="34">
        <v>41849</v>
      </c>
      <c r="B22">
        <v>54</v>
      </c>
      <c r="C22">
        <v>54.14</v>
      </c>
      <c r="D22">
        <v>53.31</v>
      </c>
      <c r="E22">
        <v>53.35</v>
      </c>
      <c r="F22">
        <v>6326600</v>
      </c>
      <c r="G22">
        <v>53.23</v>
      </c>
    </row>
    <row r="23" spans="1:7" x14ac:dyDescent="0.25">
      <c r="A23" s="34">
        <v>41850</v>
      </c>
      <c r="B23">
        <v>53.66</v>
      </c>
      <c r="C23">
        <v>53.74</v>
      </c>
      <c r="D23">
        <v>52.95</v>
      </c>
      <c r="E23">
        <v>53.05</v>
      </c>
      <c r="F23">
        <v>6834900</v>
      </c>
      <c r="G23">
        <v>52.93</v>
      </c>
    </row>
    <row r="24" spans="1:7" x14ac:dyDescent="0.25">
      <c r="A24" s="34">
        <v>41851</v>
      </c>
      <c r="B24">
        <v>52.6</v>
      </c>
      <c r="C24">
        <v>52.96</v>
      </c>
      <c r="D24">
        <v>51.9</v>
      </c>
      <c r="E24">
        <v>51.98</v>
      </c>
      <c r="F24">
        <v>8272100</v>
      </c>
      <c r="G24">
        <v>51.86</v>
      </c>
    </row>
    <row r="25" spans="1:7" x14ac:dyDescent="0.25">
      <c r="A25" s="34">
        <v>41852</v>
      </c>
      <c r="B25">
        <v>51.82</v>
      </c>
      <c r="C25">
        <v>52.41</v>
      </c>
      <c r="D25">
        <v>51.61</v>
      </c>
      <c r="E25">
        <v>52.05</v>
      </c>
      <c r="F25">
        <v>9385500</v>
      </c>
      <c r="G25">
        <v>51.93</v>
      </c>
    </row>
    <row r="26" spans="1:7" x14ac:dyDescent="0.25">
      <c r="A26" s="34">
        <v>41855</v>
      </c>
      <c r="B26">
        <v>52.5</v>
      </c>
      <c r="C26">
        <v>52.76</v>
      </c>
      <c r="D26">
        <v>52.03</v>
      </c>
      <c r="E26">
        <v>52.66</v>
      </c>
      <c r="F26">
        <v>8888200</v>
      </c>
      <c r="G26">
        <v>52.54</v>
      </c>
    </row>
    <row r="27" spans="1:7" x14ac:dyDescent="0.25">
      <c r="A27" s="34">
        <v>41856</v>
      </c>
      <c r="B27">
        <v>53.53</v>
      </c>
      <c r="C27">
        <v>53.7</v>
      </c>
      <c r="D27">
        <v>51.75</v>
      </c>
      <c r="E27">
        <v>52.2</v>
      </c>
      <c r="F27">
        <v>22628800</v>
      </c>
      <c r="G27">
        <v>52.08</v>
      </c>
    </row>
    <row r="28" spans="1:7" x14ac:dyDescent="0.25">
      <c r="A28" s="34">
        <v>41857</v>
      </c>
      <c r="B28">
        <v>51.9</v>
      </c>
      <c r="C28">
        <v>52.65</v>
      </c>
      <c r="D28">
        <v>51.9</v>
      </c>
      <c r="E28">
        <v>52.5</v>
      </c>
      <c r="F28">
        <v>9990400</v>
      </c>
      <c r="G28">
        <v>52.38</v>
      </c>
    </row>
    <row r="29" spans="1:7" x14ac:dyDescent="0.25">
      <c r="A29" s="34">
        <v>41858</v>
      </c>
      <c r="B29">
        <v>52.83</v>
      </c>
      <c r="C29">
        <v>53</v>
      </c>
      <c r="D29">
        <v>51.98</v>
      </c>
      <c r="E29">
        <v>52.06</v>
      </c>
      <c r="F29">
        <v>13327800</v>
      </c>
      <c r="G29">
        <v>51.94</v>
      </c>
    </row>
    <row r="30" spans="1:7" x14ac:dyDescent="0.25">
      <c r="A30" s="34">
        <v>41859</v>
      </c>
      <c r="B30">
        <v>52.16</v>
      </c>
      <c r="C30">
        <v>52.48</v>
      </c>
      <c r="D30">
        <v>51.98</v>
      </c>
      <c r="E30">
        <v>52.45</v>
      </c>
      <c r="F30">
        <v>8128800</v>
      </c>
      <c r="G30">
        <v>52.33</v>
      </c>
    </row>
    <row r="31" spans="1:7" x14ac:dyDescent="0.25">
      <c r="A31" s="34">
        <v>41862</v>
      </c>
      <c r="B31">
        <v>52.56</v>
      </c>
      <c r="C31">
        <v>53.04</v>
      </c>
      <c r="D31">
        <v>52.4</v>
      </c>
      <c r="E31">
        <v>52.9</v>
      </c>
      <c r="F31">
        <v>6152200</v>
      </c>
      <c r="G31">
        <v>52.78</v>
      </c>
    </row>
    <row r="32" spans="1:7" x14ac:dyDescent="0.25">
      <c r="A32" s="34">
        <v>41863</v>
      </c>
      <c r="B32">
        <v>52.96</v>
      </c>
      <c r="C32">
        <v>53.5</v>
      </c>
      <c r="D32">
        <v>52.93</v>
      </c>
      <c r="E32">
        <v>53.35</v>
      </c>
      <c r="F32">
        <v>8064200</v>
      </c>
      <c r="G32">
        <v>53.23</v>
      </c>
    </row>
    <row r="33" spans="1:7" x14ac:dyDescent="0.25">
      <c r="A33" s="34">
        <v>41864</v>
      </c>
      <c r="B33">
        <v>53.61</v>
      </c>
      <c r="C33">
        <v>53.78</v>
      </c>
      <c r="D33">
        <v>53.35</v>
      </c>
      <c r="E33">
        <v>53.53</v>
      </c>
      <c r="F33">
        <v>8864600</v>
      </c>
      <c r="G33">
        <v>53.41</v>
      </c>
    </row>
    <row r="34" spans="1:7" x14ac:dyDescent="0.25">
      <c r="A34" s="34">
        <v>41865</v>
      </c>
      <c r="B34">
        <v>53.64</v>
      </c>
      <c r="C34">
        <v>54.27</v>
      </c>
      <c r="D34">
        <v>53.58</v>
      </c>
      <c r="E34">
        <v>54.06</v>
      </c>
      <c r="F34">
        <v>6442800</v>
      </c>
      <c r="G34">
        <v>53.94</v>
      </c>
    </row>
    <row r="35" spans="1:7" x14ac:dyDescent="0.25">
      <c r="A35" s="34">
        <v>41866</v>
      </c>
      <c r="B35">
        <v>54.32</v>
      </c>
      <c r="C35">
        <v>54.37</v>
      </c>
      <c r="D35">
        <v>53.42</v>
      </c>
      <c r="E35">
        <v>53.99</v>
      </c>
      <c r="F35">
        <v>5886300</v>
      </c>
      <c r="G35">
        <v>53.87</v>
      </c>
    </row>
    <row r="36" spans="1:7" x14ac:dyDescent="0.25">
      <c r="A36" s="34">
        <v>41869</v>
      </c>
      <c r="B36">
        <v>54.36</v>
      </c>
      <c r="C36">
        <v>54.55</v>
      </c>
      <c r="D36">
        <v>54.09</v>
      </c>
      <c r="E36">
        <v>54.48</v>
      </c>
      <c r="F36">
        <v>5614300</v>
      </c>
      <c r="G36">
        <v>54.36</v>
      </c>
    </row>
    <row r="37" spans="1:7" x14ac:dyDescent="0.25">
      <c r="A37" s="34">
        <v>41870</v>
      </c>
      <c r="B37">
        <v>54.67</v>
      </c>
      <c r="C37">
        <v>54.9</v>
      </c>
      <c r="D37">
        <v>54.5</v>
      </c>
      <c r="E37">
        <v>54.62</v>
      </c>
      <c r="F37">
        <v>5825400</v>
      </c>
      <c r="G37">
        <v>54.5</v>
      </c>
    </row>
    <row r="38" spans="1:7" x14ac:dyDescent="0.25">
      <c r="A38" s="34">
        <v>41871</v>
      </c>
      <c r="B38">
        <v>54.49</v>
      </c>
      <c r="C38">
        <v>55.01</v>
      </c>
      <c r="D38">
        <v>54.49</v>
      </c>
      <c r="E38">
        <v>54.87</v>
      </c>
      <c r="F38">
        <v>6276000</v>
      </c>
      <c r="G38">
        <v>54.75</v>
      </c>
    </row>
    <row r="39" spans="1:7" x14ac:dyDescent="0.25">
      <c r="A39" s="34">
        <v>41872</v>
      </c>
      <c r="B39">
        <v>54.81</v>
      </c>
      <c r="C39">
        <v>55.75</v>
      </c>
      <c r="D39">
        <v>54.73</v>
      </c>
      <c r="E39">
        <v>55.58</v>
      </c>
      <c r="F39">
        <v>8043700</v>
      </c>
      <c r="G39">
        <v>55.45</v>
      </c>
    </row>
    <row r="40" spans="1:7" x14ac:dyDescent="0.25">
      <c r="A40" s="34">
        <v>41873</v>
      </c>
      <c r="B40">
        <v>55.4</v>
      </c>
      <c r="C40">
        <v>55.55</v>
      </c>
      <c r="D40">
        <v>55.04</v>
      </c>
      <c r="E40">
        <v>55.33</v>
      </c>
      <c r="F40">
        <v>7236200</v>
      </c>
      <c r="G40">
        <v>55.2</v>
      </c>
    </row>
    <row r="41" spans="1:7" x14ac:dyDescent="0.25">
      <c r="A41" s="34">
        <v>41876</v>
      </c>
      <c r="B41">
        <v>55.7</v>
      </c>
      <c r="C41">
        <v>56.09</v>
      </c>
      <c r="D41">
        <v>55.6</v>
      </c>
      <c r="E41">
        <v>55.89</v>
      </c>
      <c r="F41">
        <v>8407700</v>
      </c>
      <c r="G41">
        <v>55.76</v>
      </c>
    </row>
    <row r="42" spans="1:7" x14ac:dyDescent="0.25">
      <c r="A42" s="34">
        <v>41877</v>
      </c>
      <c r="B42">
        <v>56.01</v>
      </c>
      <c r="C42">
        <v>56.22</v>
      </c>
      <c r="D42">
        <v>55.89</v>
      </c>
      <c r="E42">
        <v>56.08</v>
      </c>
      <c r="F42">
        <v>4749200</v>
      </c>
      <c r="G42">
        <v>55.95</v>
      </c>
    </row>
    <row r="43" spans="1:7" x14ac:dyDescent="0.25">
      <c r="A43" s="34">
        <v>41878</v>
      </c>
      <c r="B43">
        <v>56.27</v>
      </c>
      <c r="C43">
        <v>56.31</v>
      </c>
      <c r="D43">
        <v>56</v>
      </c>
      <c r="E43">
        <v>56.16</v>
      </c>
      <c r="F43">
        <v>6376900</v>
      </c>
      <c r="G43">
        <v>56.03</v>
      </c>
    </row>
    <row r="44" spans="1:7" x14ac:dyDescent="0.25">
      <c r="A44" s="34">
        <v>41879</v>
      </c>
      <c r="B44">
        <v>55.83</v>
      </c>
      <c r="C44">
        <v>55.87</v>
      </c>
      <c r="D44">
        <v>55.47</v>
      </c>
      <c r="E44">
        <v>55.73</v>
      </c>
      <c r="F44">
        <v>5346900</v>
      </c>
      <c r="G44">
        <v>55.6</v>
      </c>
    </row>
    <row r="45" spans="1:7" x14ac:dyDescent="0.25">
      <c r="A45" s="34">
        <v>41880</v>
      </c>
      <c r="B45">
        <v>55.95</v>
      </c>
      <c r="C45">
        <v>56.09</v>
      </c>
      <c r="D45">
        <v>55.74</v>
      </c>
      <c r="E45">
        <v>56.06</v>
      </c>
      <c r="F45">
        <v>4420100</v>
      </c>
      <c r="G45">
        <v>55.93</v>
      </c>
    </row>
    <row r="46" spans="1:7" x14ac:dyDescent="0.25">
      <c r="A46" s="34">
        <v>41884</v>
      </c>
      <c r="B46">
        <v>56.29</v>
      </c>
      <c r="C46">
        <v>56.37</v>
      </c>
      <c r="D46">
        <v>55.46</v>
      </c>
      <c r="E46">
        <v>55.8</v>
      </c>
      <c r="F46">
        <v>6048600</v>
      </c>
      <c r="G46">
        <v>55.67</v>
      </c>
    </row>
    <row r="47" spans="1:7" x14ac:dyDescent="0.25">
      <c r="A47" s="34">
        <v>41885</v>
      </c>
      <c r="B47">
        <v>55.93</v>
      </c>
      <c r="C47">
        <v>56.06</v>
      </c>
      <c r="D47">
        <v>55.56</v>
      </c>
      <c r="E47">
        <v>55.58</v>
      </c>
      <c r="F47">
        <v>5529300</v>
      </c>
      <c r="G47">
        <v>55.45</v>
      </c>
    </row>
    <row r="48" spans="1:7" x14ac:dyDescent="0.25">
      <c r="A48" s="34">
        <v>41886</v>
      </c>
      <c r="B48">
        <v>55.82</v>
      </c>
      <c r="C48">
        <v>55.95</v>
      </c>
      <c r="D48">
        <v>54.97</v>
      </c>
      <c r="E48">
        <v>55.23</v>
      </c>
      <c r="F48">
        <v>6436800</v>
      </c>
      <c r="G48">
        <v>55.11</v>
      </c>
    </row>
    <row r="49" spans="1:7" x14ac:dyDescent="0.25">
      <c r="A49" s="34">
        <v>41887</v>
      </c>
      <c r="B49">
        <v>55.06</v>
      </c>
      <c r="C49">
        <v>55.35</v>
      </c>
      <c r="D49">
        <v>54.64</v>
      </c>
      <c r="E49">
        <v>55.04</v>
      </c>
      <c r="F49">
        <v>5861100</v>
      </c>
      <c r="G49">
        <v>54.92</v>
      </c>
    </row>
    <row r="50" spans="1:7" x14ac:dyDescent="0.25">
      <c r="A50" s="34">
        <v>41890</v>
      </c>
      <c r="B50">
        <v>55.32</v>
      </c>
      <c r="C50">
        <v>55.61</v>
      </c>
      <c r="D50">
        <v>54.94</v>
      </c>
      <c r="E50">
        <v>55.32</v>
      </c>
      <c r="F50">
        <v>7415400</v>
      </c>
      <c r="G50">
        <v>55.2</v>
      </c>
    </row>
    <row r="51" spans="1:7" x14ac:dyDescent="0.25">
      <c r="A51" s="34">
        <v>41891</v>
      </c>
      <c r="B51">
        <v>55.03</v>
      </c>
      <c r="C51">
        <v>55.25</v>
      </c>
      <c r="D51">
        <v>54.51</v>
      </c>
      <c r="E51">
        <v>55.08</v>
      </c>
      <c r="F51">
        <v>6367700</v>
      </c>
      <c r="G51">
        <v>55.08</v>
      </c>
    </row>
    <row r="52" spans="1:7" x14ac:dyDescent="0.25">
      <c r="A52" s="34">
        <v>41892</v>
      </c>
      <c r="B52">
        <v>55.11</v>
      </c>
      <c r="C52">
        <v>55.54</v>
      </c>
      <c r="D52">
        <v>55.02</v>
      </c>
      <c r="E52">
        <v>55.35</v>
      </c>
      <c r="F52">
        <v>6888200</v>
      </c>
      <c r="G52">
        <v>55.35</v>
      </c>
    </row>
    <row r="53" spans="1:7" x14ac:dyDescent="0.25">
      <c r="A53" s="34">
        <v>41893</v>
      </c>
      <c r="B53">
        <v>55.08</v>
      </c>
      <c r="C53">
        <v>55.63</v>
      </c>
      <c r="D53">
        <v>55.03</v>
      </c>
      <c r="E53">
        <v>55.43</v>
      </c>
      <c r="F53">
        <v>4337300</v>
      </c>
      <c r="G53">
        <v>55.43</v>
      </c>
    </row>
    <row r="54" spans="1:7" x14ac:dyDescent="0.25">
      <c r="A54" s="34">
        <v>41894</v>
      </c>
      <c r="B54">
        <v>55.29</v>
      </c>
      <c r="C54">
        <v>55.5</v>
      </c>
      <c r="D54">
        <v>55.01</v>
      </c>
      <c r="E54">
        <v>55.19</v>
      </c>
      <c r="F54">
        <v>5654300</v>
      </c>
      <c r="G54">
        <v>55.19</v>
      </c>
    </row>
    <row r="55" spans="1:7" x14ac:dyDescent="0.25">
      <c r="A55" s="34">
        <v>41897</v>
      </c>
      <c r="B55">
        <v>55.11</v>
      </c>
      <c r="C55">
        <v>55.45</v>
      </c>
      <c r="D55">
        <v>54.74</v>
      </c>
      <c r="E55">
        <v>55.4</v>
      </c>
      <c r="F55">
        <v>5698300</v>
      </c>
      <c r="G55">
        <v>55.4</v>
      </c>
    </row>
  </sheetData>
  <sortState ref="A3:G55">
    <sortCondition ref="A3:A5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58.93</v>
      </c>
      <c r="C3">
        <v>59.29</v>
      </c>
      <c r="D3">
        <v>58.92</v>
      </c>
      <c r="E3">
        <v>59.12</v>
      </c>
      <c r="F3">
        <v>1789600</v>
      </c>
      <c r="G3">
        <v>58.85</v>
      </c>
    </row>
    <row r="4" spans="1:7" x14ac:dyDescent="0.25">
      <c r="A4" s="34">
        <v>41822</v>
      </c>
      <c r="B4">
        <v>59.08</v>
      </c>
      <c r="C4">
        <v>59.49</v>
      </c>
      <c r="D4">
        <v>58.89</v>
      </c>
      <c r="E4">
        <v>59</v>
      </c>
      <c r="F4">
        <v>1590200</v>
      </c>
      <c r="G4">
        <v>58.73</v>
      </c>
    </row>
    <row r="5" spans="1:7" x14ac:dyDescent="0.25">
      <c r="A5" s="34">
        <v>41823</v>
      </c>
      <c r="B5">
        <v>59.22</v>
      </c>
      <c r="C5">
        <v>59.4</v>
      </c>
      <c r="D5">
        <v>58.93</v>
      </c>
      <c r="E5">
        <v>58.97</v>
      </c>
      <c r="F5">
        <v>1530200</v>
      </c>
      <c r="G5">
        <v>58.7</v>
      </c>
    </row>
    <row r="6" spans="1:7" x14ac:dyDescent="0.25">
      <c r="A6" s="34">
        <v>41827</v>
      </c>
      <c r="B6">
        <v>58.72</v>
      </c>
      <c r="C6">
        <v>58.81</v>
      </c>
      <c r="D6">
        <v>58.4</v>
      </c>
      <c r="E6">
        <v>58.53</v>
      </c>
      <c r="F6">
        <v>2763600</v>
      </c>
      <c r="G6">
        <v>58.27</v>
      </c>
    </row>
    <row r="7" spans="1:7" x14ac:dyDescent="0.25">
      <c r="A7" s="34">
        <v>41828</v>
      </c>
      <c r="B7">
        <v>58.48</v>
      </c>
      <c r="C7">
        <v>58.72</v>
      </c>
      <c r="D7">
        <v>58.38</v>
      </c>
      <c r="E7">
        <v>58.48</v>
      </c>
      <c r="F7">
        <v>2882000</v>
      </c>
      <c r="G7">
        <v>58.22</v>
      </c>
    </row>
    <row r="8" spans="1:7" x14ac:dyDescent="0.25">
      <c r="A8" s="34">
        <v>41829</v>
      </c>
      <c r="B8">
        <v>58.38</v>
      </c>
      <c r="C8">
        <v>58.7</v>
      </c>
      <c r="D8">
        <v>58.18</v>
      </c>
      <c r="E8">
        <v>58.48</v>
      </c>
      <c r="F8">
        <v>2808700</v>
      </c>
      <c r="G8">
        <v>58.22</v>
      </c>
    </row>
    <row r="9" spans="1:7" x14ac:dyDescent="0.25">
      <c r="A9" s="34">
        <v>41830</v>
      </c>
      <c r="B9">
        <v>58.07</v>
      </c>
      <c r="C9">
        <v>58.29</v>
      </c>
      <c r="D9">
        <v>57.69</v>
      </c>
      <c r="E9">
        <v>58.07</v>
      </c>
      <c r="F9">
        <v>2701900</v>
      </c>
      <c r="G9">
        <v>57.81</v>
      </c>
    </row>
    <row r="10" spans="1:7" x14ac:dyDescent="0.25">
      <c r="A10" s="34">
        <v>41831</v>
      </c>
      <c r="B10">
        <v>57.94</v>
      </c>
      <c r="C10">
        <v>58.25</v>
      </c>
      <c r="D10">
        <v>57.76</v>
      </c>
      <c r="E10">
        <v>58.2</v>
      </c>
      <c r="F10">
        <v>1422800</v>
      </c>
      <c r="G10">
        <v>57.94</v>
      </c>
    </row>
    <row r="11" spans="1:7" x14ac:dyDescent="0.25">
      <c r="A11" s="34">
        <v>41834</v>
      </c>
      <c r="B11">
        <v>58.5</v>
      </c>
      <c r="C11">
        <v>58.68</v>
      </c>
      <c r="D11">
        <v>58.09</v>
      </c>
      <c r="E11">
        <v>58.28</v>
      </c>
      <c r="F11">
        <v>2224600</v>
      </c>
      <c r="G11">
        <v>58.02</v>
      </c>
    </row>
    <row r="12" spans="1:7" x14ac:dyDescent="0.25">
      <c r="A12" s="34">
        <v>41835</v>
      </c>
      <c r="B12">
        <v>58.46</v>
      </c>
      <c r="C12">
        <v>58.65</v>
      </c>
      <c r="D12">
        <v>58.31</v>
      </c>
      <c r="E12">
        <v>58.46</v>
      </c>
      <c r="F12">
        <v>2049100</v>
      </c>
      <c r="G12">
        <v>58.2</v>
      </c>
    </row>
    <row r="13" spans="1:7" x14ac:dyDescent="0.25">
      <c r="A13" s="34">
        <v>41836</v>
      </c>
      <c r="B13">
        <v>58.56</v>
      </c>
      <c r="C13">
        <v>58.67</v>
      </c>
      <c r="D13">
        <v>58.11</v>
      </c>
      <c r="E13">
        <v>58.16</v>
      </c>
      <c r="F13">
        <v>1901700</v>
      </c>
      <c r="G13">
        <v>57.9</v>
      </c>
    </row>
    <row r="14" spans="1:7" x14ac:dyDescent="0.25">
      <c r="A14" s="34">
        <v>41837</v>
      </c>
      <c r="B14">
        <v>58.03</v>
      </c>
      <c r="C14">
        <v>58.6</v>
      </c>
      <c r="D14">
        <v>57.81</v>
      </c>
      <c r="E14">
        <v>57.82</v>
      </c>
      <c r="F14">
        <v>1970400</v>
      </c>
      <c r="G14">
        <v>57.56</v>
      </c>
    </row>
    <row r="15" spans="1:7" x14ac:dyDescent="0.25">
      <c r="A15" s="34">
        <v>41838</v>
      </c>
      <c r="B15">
        <v>57.86</v>
      </c>
      <c r="C15">
        <v>58.1</v>
      </c>
      <c r="D15">
        <v>57.52</v>
      </c>
      <c r="E15">
        <v>58.06</v>
      </c>
      <c r="F15">
        <v>2016100</v>
      </c>
      <c r="G15">
        <v>57.8</v>
      </c>
    </row>
    <row r="16" spans="1:7" x14ac:dyDescent="0.25">
      <c r="A16" s="34">
        <v>41841</v>
      </c>
      <c r="B16">
        <v>57.83</v>
      </c>
      <c r="C16">
        <v>58.13</v>
      </c>
      <c r="D16">
        <v>57.57</v>
      </c>
      <c r="E16">
        <v>58.01</v>
      </c>
      <c r="F16">
        <v>1493900</v>
      </c>
      <c r="G16">
        <v>57.75</v>
      </c>
    </row>
    <row r="17" spans="1:7" x14ac:dyDescent="0.25">
      <c r="A17" s="34">
        <v>41842</v>
      </c>
      <c r="B17">
        <v>57.8</v>
      </c>
      <c r="C17">
        <v>58.18</v>
      </c>
      <c r="D17">
        <v>57.65</v>
      </c>
      <c r="E17">
        <v>58.09</v>
      </c>
      <c r="F17">
        <v>1881900</v>
      </c>
      <c r="G17">
        <v>57.83</v>
      </c>
    </row>
    <row r="18" spans="1:7" x14ac:dyDescent="0.25">
      <c r="A18" s="34">
        <v>41843</v>
      </c>
      <c r="B18">
        <v>58.13</v>
      </c>
      <c r="C18">
        <v>58.49</v>
      </c>
      <c r="D18">
        <v>58.12</v>
      </c>
      <c r="E18">
        <v>58.33</v>
      </c>
      <c r="F18">
        <v>1260500</v>
      </c>
      <c r="G18">
        <v>58.07</v>
      </c>
    </row>
    <row r="19" spans="1:7" x14ac:dyDescent="0.25">
      <c r="A19" s="34">
        <v>41844</v>
      </c>
      <c r="B19">
        <v>58.25</v>
      </c>
      <c r="C19">
        <v>58.57</v>
      </c>
      <c r="D19">
        <v>58.13</v>
      </c>
      <c r="E19">
        <v>58.49</v>
      </c>
      <c r="F19">
        <v>1138100</v>
      </c>
      <c r="G19">
        <v>58.23</v>
      </c>
    </row>
    <row r="20" spans="1:7" x14ac:dyDescent="0.25">
      <c r="A20" s="34">
        <v>41845</v>
      </c>
      <c r="B20">
        <v>58.25</v>
      </c>
      <c r="C20">
        <v>58.34</v>
      </c>
      <c r="D20">
        <v>57.88</v>
      </c>
      <c r="E20">
        <v>57.94</v>
      </c>
      <c r="F20">
        <v>1193000</v>
      </c>
      <c r="G20">
        <v>57.68</v>
      </c>
    </row>
    <row r="21" spans="1:7" x14ac:dyDescent="0.25">
      <c r="A21" s="34">
        <v>41848</v>
      </c>
      <c r="B21">
        <v>57.92</v>
      </c>
      <c r="C21">
        <v>57.96</v>
      </c>
      <c r="D21">
        <v>57.36</v>
      </c>
      <c r="E21">
        <v>57.94</v>
      </c>
      <c r="F21">
        <v>2130600</v>
      </c>
      <c r="G21">
        <v>57.68</v>
      </c>
    </row>
    <row r="22" spans="1:7" x14ac:dyDescent="0.25">
      <c r="A22" s="34">
        <v>41849</v>
      </c>
      <c r="B22">
        <v>57.23</v>
      </c>
      <c r="C22">
        <v>57.79</v>
      </c>
      <c r="D22">
        <v>57.03</v>
      </c>
      <c r="E22">
        <v>57.05</v>
      </c>
      <c r="F22">
        <v>3314600</v>
      </c>
      <c r="G22">
        <v>56.79</v>
      </c>
    </row>
    <row r="23" spans="1:7" x14ac:dyDescent="0.25">
      <c r="A23" s="34">
        <v>41850</v>
      </c>
      <c r="B23">
        <v>57.1</v>
      </c>
      <c r="C23">
        <v>57.18</v>
      </c>
      <c r="D23">
        <v>56.63</v>
      </c>
      <c r="E23">
        <v>56.89</v>
      </c>
      <c r="F23">
        <v>3104200</v>
      </c>
      <c r="G23">
        <v>56.63</v>
      </c>
    </row>
    <row r="24" spans="1:7" x14ac:dyDescent="0.25">
      <c r="A24" s="34">
        <v>41851</v>
      </c>
      <c r="B24">
        <v>58.19</v>
      </c>
      <c r="C24">
        <v>59.89</v>
      </c>
      <c r="D24">
        <v>57.2</v>
      </c>
      <c r="E24">
        <v>58.45</v>
      </c>
      <c r="F24">
        <v>6258600</v>
      </c>
      <c r="G24">
        <v>58.19</v>
      </c>
    </row>
    <row r="25" spans="1:7" x14ac:dyDescent="0.25">
      <c r="A25" s="34">
        <v>41852</v>
      </c>
      <c r="B25">
        <v>58.5</v>
      </c>
      <c r="C25">
        <v>58.73</v>
      </c>
      <c r="D25">
        <v>57.75</v>
      </c>
      <c r="E25">
        <v>58.14</v>
      </c>
      <c r="F25">
        <v>3260300</v>
      </c>
      <c r="G25">
        <v>57.88</v>
      </c>
    </row>
    <row r="26" spans="1:7" x14ac:dyDescent="0.25">
      <c r="A26" s="34">
        <v>41855</v>
      </c>
      <c r="B26">
        <v>58.35</v>
      </c>
      <c r="C26">
        <v>59</v>
      </c>
      <c r="D26">
        <v>58.12</v>
      </c>
      <c r="E26">
        <v>58.96</v>
      </c>
      <c r="F26">
        <v>5669000</v>
      </c>
      <c r="G26">
        <v>58.69</v>
      </c>
    </row>
    <row r="27" spans="1:7" x14ac:dyDescent="0.25">
      <c r="A27" s="34">
        <v>41856</v>
      </c>
      <c r="B27">
        <v>58.92</v>
      </c>
      <c r="C27">
        <v>59.28</v>
      </c>
      <c r="D27">
        <v>58.73</v>
      </c>
      <c r="E27">
        <v>58.85</v>
      </c>
      <c r="F27">
        <v>3138900</v>
      </c>
      <c r="G27">
        <v>58.58</v>
      </c>
    </row>
    <row r="28" spans="1:7" x14ac:dyDescent="0.25">
      <c r="A28" s="34">
        <v>41857</v>
      </c>
      <c r="B28">
        <v>58.72</v>
      </c>
      <c r="C28">
        <v>59.59</v>
      </c>
      <c r="D28">
        <v>58.72</v>
      </c>
      <c r="E28">
        <v>59.58</v>
      </c>
      <c r="F28">
        <v>2474000</v>
      </c>
      <c r="G28">
        <v>59.31</v>
      </c>
    </row>
    <row r="29" spans="1:7" x14ac:dyDescent="0.25">
      <c r="A29" s="34">
        <v>41858</v>
      </c>
      <c r="B29">
        <v>59.71</v>
      </c>
      <c r="C29">
        <v>59.97</v>
      </c>
      <c r="D29">
        <v>59.13</v>
      </c>
      <c r="E29">
        <v>59.31</v>
      </c>
      <c r="F29">
        <v>3130400</v>
      </c>
      <c r="G29">
        <v>59.04</v>
      </c>
    </row>
    <row r="30" spans="1:7" x14ac:dyDescent="0.25">
      <c r="A30" s="34">
        <v>41859</v>
      </c>
      <c r="B30">
        <v>59.55</v>
      </c>
      <c r="C30">
        <v>59.7</v>
      </c>
      <c r="D30">
        <v>58.99</v>
      </c>
      <c r="E30">
        <v>59.67</v>
      </c>
      <c r="F30">
        <v>2628400</v>
      </c>
      <c r="G30">
        <v>59.4</v>
      </c>
    </row>
    <row r="31" spans="1:7" x14ac:dyDescent="0.25">
      <c r="A31" s="34">
        <v>41862</v>
      </c>
      <c r="B31">
        <v>59.81</v>
      </c>
      <c r="C31">
        <v>59.87</v>
      </c>
      <c r="D31">
        <v>59.4</v>
      </c>
      <c r="E31">
        <v>59.56</v>
      </c>
      <c r="F31">
        <v>2272600</v>
      </c>
      <c r="G31">
        <v>59.29</v>
      </c>
    </row>
    <row r="32" spans="1:7" x14ac:dyDescent="0.25">
      <c r="A32" s="34">
        <v>41863</v>
      </c>
      <c r="B32">
        <v>59.6</v>
      </c>
      <c r="C32">
        <v>60.19</v>
      </c>
      <c r="D32">
        <v>59.58</v>
      </c>
      <c r="E32">
        <v>60.15</v>
      </c>
      <c r="F32">
        <v>3453200</v>
      </c>
      <c r="G32">
        <v>59.88</v>
      </c>
    </row>
    <row r="33" spans="1:7" x14ac:dyDescent="0.25">
      <c r="A33" s="34">
        <v>41864</v>
      </c>
      <c r="B33">
        <v>60.25</v>
      </c>
      <c r="C33">
        <v>60.47</v>
      </c>
      <c r="D33">
        <v>60.03</v>
      </c>
      <c r="E33">
        <v>60.11</v>
      </c>
      <c r="F33">
        <v>2574500</v>
      </c>
      <c r="G33">
        <v>59.84</v>
      </c>
    </row>
    <row r="34" spans="1:7" x14ac:dyDescent="0.25">
      <c r="A34" s="34">
        <v>41865</v>
      </c>
      <c r="B34">
        <v>60.19</v>
      </c>
      <c r="C34">
        <v>60.79</v>
      </c>
      <c r="D34">
        <v>60.19</v>
      </c>
      <c r="E34">
        <v>60.78</v>
      </c>
      <c r="F34">
        <v>2512900</v>
      </c>
      <c r="G34">
        <v>60.5</v>
      </c>
    </row>
    <row r="35" spans="1:7" x14ac:dyDescent="0.25">
      <c r="A35" s="34">
        <v>41866</v>
      </c>
      <c r="B35">
        <v>60.95</v>
      </c>
      <c r="C35">
        <v>61.12</v>
      </c>
      <c r="D35">
        <v>60.38</v>
      </c>
      <c r="E35">
        <v>60.69</v>
      </c>
      <c r="F35">
        <v>2418600</v>
      </c>
      <c r="G35">
        <v>60.42</v>
      </c>
    </row>
    <row r="36" spans="1:7" x14ac:dyDescent="0.25">
      <c r="A36" s="34">
        <v>41869</v>
      </c>
      <c r="B36">
        <v>60.97</v>
      </c>
      <c r="C36">
        <v>61.3</v>
      </c>
      <c r="D36">
        <v>60.89</v>
      </c>
      <c r="E36">
        <v>61.28</v>
      </c>
      <c r="F36">
        <v>2058300</v>
      </c>
      <c r="G36">
        <v>61</v>
      </c>
    </row>
    <row r="37" spans="1:7" x14ac:dyDescent="0.25">
      <c r="A37" s="34">
        <v>41870</v>
      </c>
      <c r="B37">
        <v>61.22</v>
      </c>
      <c r="C37">
        <v>61.29</v>
      </c>
      <c r="D37">
        <v>61.05</v>
      </c>
      <c r="E37">
        <v>61.09</v>
      </c>
      <c r="F37">
        <v>1624900</v>
      </c>
      <c r="G37">
        <v>60.81</v>
      </c>
    </row>
    <row r="38" spans="1:7" x14ac:dyDescent="0.25">
      <c r="A38" s="34">
        <v>41871</v>
      </c>
      <c r="B38">
        <v>61.12</v>
      </c>
      <c r="C38">
        <v>61.44</v>
      </c>
      <c r="D38">
        <v>60.91</v>
      </c>
      <c r="E38">
        <v>61.4</v>
      </c>
      <c r="F38">
        <v>1449600</v>
      </c>
      <c r="G38">
        <v>61.12</v>
      </c>
    </row>
    <row r="39" spans="1:7" x14ac:dyDescent="0.25">
      <c r="A39" s="34">
        <v>41872</v>
      </c>
      <c r="B39">
        <v>61.4</v>
      </c>
      <c r="C39">
        <v>61.56</v>
      </c>
      <c r="D39">
        <v>61.1</v>
      </c>
      <c r="E39">
        <v>61.51</v>
      </c>
      <c r="F39">
        <v>2367600</v>
      </c>
      <c r="G39">
        <v>61.23</v>
      </c>
    </row>
    <row r="40" spans="1:7" x14ac:dyDescent="0.25">
      <c r="A40" s="34">
        <v>41873</v>
      </c>
      <c r="B40">
        <v>61.27</v>
      </c>
      <c r="C40">
        <v>61.47</v>
      </c>
      <c r="D40">
        <v>61.09</v>
      </c>
      <c r="E40">
        <v>61.22</v>
      </c>
      <c r="F40">
        <v>1978400</v>
      </c>
      <c r="G40">
        <v>60.94</v>
      </c>
    </row>
    <row r="41" spans="1:7" x14ac:dyDescent="0.25">
      <c r="A41" s="34">
        <v>41876</v>
      </c>
      <c r="B41">
        <v>61.52</v>
      </c>
      <c r="C41">
        <v>62.01</v>
      </c>
      <c r="D41">
        <v>61.38</v>
      </c>
      <c r="E41">
        <v>61.91</v>
      </c>
      <c r="F41">
        <v>1893800</v>
      </c>
      <c r="G41">
        <v>61.63</v>
      </c>
    </row>
    <row r="42" spans="1:7" x14ac:dyDescent="0.25">
      <c r="A42" s="34">
        <v>41877</v>
      </c>
      <c r="B42">
        <v>61.88</v>
      </c>
      <c r="C42">
        <v>62.09</v>
      </c>
      <c r="D42">
        <v>61.74</v>
      </c>
      <c r="E42">
        <v>61.86</v>
      </c>
      <c r="F42">
        <v>1876400</v>
      </c>
      <c r="G42">
        <v>61.58</v>
      </c>
    </row>
    <row r="43" spans="1:7" x14ac:dyDescent="0.25">
      <c r="A43" s="34">
        <v>41878</v>
      </c>
      <c r="B43">
        <v>61.6</v>
      </c>
      <c r="C43">
        <v>61.68</v>
      </c>
      <c r="D43">
        <v>61.42</v>
      </c>
      <c r="E43">
        <v>61.53</v>
      </c>
      <c r="F43">
        <v>1666500</v>
      </c>
      <c r="G43">
        <v>61.53</v>
      </c>
    </row>
    <row r="44" spans="1:7" x14ac:dyDescent="0.25">
      <c r="A44" s="34">
        <v>41879</v>
      </c>
      <c r="B44">
        <v>61.33</v>
      </c>
      <c r="C44">
        <v>61.54</v>
      </c>
      <c r="D44">
        <v>61.13</v>
      </c>
      <c r="E44">
        <v>61.15</v>
      </c>
      <c r="F44">
        <v>1847100</v>
      </c>
      <c r="G44">
        <v>61.15</v>
      </c>
    </row>
    <row r="45" spans="1:7" x14ac:dyDescent="0.25">
      <c r="A45" s="34">
        <v>41880</v>
      </c>
      <c r="B45">
        <v>61.26</v>
      </c>
      <c r="C45">
        <v>61.5</v>
      </c>
      <c r="D45">
        <v>61.06</v>
      </c>
      <c r="E45">
        <v>61.49</v>
      </c>
      <c r="F45">
        <v>1934700</v>
      </c>
      <c r="G45">
        <v>61.49</v>
      </c>
    </row>
    <row r="46" spans="1:7" x14ac:dyDescent="0.25">
      <c r="A46" s="34">
        <v>41884</v>
      </c>
      <c r="B46">
        <v>61.73</v>
      </c>
      <c r="C46">
        <v>61.97</v>
      </c>
      <c r="D46">
        <v>61.52</v>
      </c>
      <c r="E46">
        <v>61.83</v>
      </c>
      <c r="F46">
        <v>1827100</v>
      </c>
      <c r="G46">
        <v>61.83</v>
      </c>
    </row>
    <row r="47" spans="1:7" x14ac:dyDescent="0.25">
      <c r="A47" s="34">
        <v>41885</v>
      </c>
      <c r="B47">
        <v>62.09</v>
      </c>
      <c r="C47">
        <v>62.09</v>
      </c>
      <c r="D47">
        <v>61.61</v>
      </c>
      <c r="E47">
        <v>61.64</v>
      </c>
      <c r="F47">
        <v>1479400</v>
      </c>
      <c r="G47">
        <v>61.64</v>
      </c>
    </row>
    <row r="48" spans="1:7" x14ac:dyDescent="0.25">
      <c r="A48" s="34">
        <v>41886</v>
      </c>
      <c r="B48">
        <v>61.67</v>
      </c>
      <c r="C48">
        <v>61.87</v>
      </c>
      <c r="D48">
        <v>61.32</v>
      </c>
      <c r="E48">
        <v>61.37</v>
      </c>
      <c r="F48">
        <v>1563800</v>
      </c>
      <c r="G48">
        <v>61.37</v>
      </c>
    </row>
    <row r="49" spans="1:7" x14ac:dyDescent="0.25">
      <c r="A49" s="34">
        <v>41887</v>
      </c>
      <c r="B49">
        <v>61.39</v>
      </c>
      <c r="C49">
        <v>61.47</v>
      </c>
      <c r="D49">
        <v>61.1</v>
      </c>
      <c r="E49">
        <v>61.35</v>
      </c>
      <c r="F49">
        <v>1871800</v>
      </c>
      <c r="G49">
        <v>61.35</v>
      </c>
    </row>
    <row r="50" spans="1:7" x14ac:dyDescent="0.25">
      <c r="A50" s="34">
        <v>41890</v>
      </c>
      <c r="B50">
        <v>61.84</v>
      </c>
      <c r="C50">
        <v>61.84</v>
      </c>
      <c r="D50">
        <v>61.2</v>
      </c>
      <c r="E50">
        <v>61.39</v>
      </c>
      <c r="F50">
        <v>1203700</v>
      </c>
      <c r="G50">
        <v>61.39</v>
      </c>
    </row>
    <row r="51" spans="1:7" x14ac:dyDescent="0.25">
      <c r="A51" s="34">
        <v>41891</v>
      </c>
      <c r="B51">
        <v>61.29</v>
      </c>
      <c r="C51">
        <v>61.36</v>
      </c>
      <c r="D51">
        <v>60.73</v>
      </c>
      <c r="E51">
        <v>60.84</v>
      </c>
      <c r="F51">
        <v>1757600</v>
      </c>
      <c r="G51">
        <v>60.84</v>
      </c>
    </row>
    <row r="52" spans="1:7" x14ac:dyDescent="0.25">
      <c r="A52" s="34">
        <v>41892</v>
      </c>
      <c r="B52">
        <v>61.06</v>
      </c>
      <c r="C52">
        <v>61.15</v>
      </c>
      <c r="D52">
        <v>60.79</v>
      </c>
      <c r="E52">
        <v>60.89</v>
      </c>
      <c r="F52">
        <v>1475800</v>
      </c>
      <c r="G52">
        <v>60.89</v>
      </c>
    </row>
    <row r="53" spans="1:7" x14ac:dyDescent="0.25">
      <c r="A53" s="34">
        <v>41893</v>
      </c>
      <c r="B53">
        <v>60.8</v>
      </c>
      <c r="C53">
        <v>61.24</v>
      </c>
      <c r="D53">
        <v>60.78</v>
      </c>
      <c r="E53">
        <v>61.21</v>
      </c>
      <c r="F53">
        <v>1764800</v>
      </c>
      <c r="G53">
        <v>61.21</v>
      </c>
    </row>
    <row r="54" spans="1:7" x14ac:dyDescent="0.25">
      <c r="A54" s="34">
        <v>41894</v>
      </c>
      <c r="B54">
        <v>61.08</v>
      </c>
      <c r="C54">
        <v>61.27</v>
      </c>
      <c r="D54">
        <v>60.76</v>
      </c>
      <c r="E54">
        <v>61</v>
      </c>
      <c r="F54">
        <v>2215700</v>
      </c>
      <c r="G54">
        <v>61</v>
      </c>
    </row>
    <row r="55" spans="1:7" x14ac:dyDescent="0.25">
      <c r="A55" s="34">
        <v>41897</v>
      </c>
      <c r="B55">
        <v>61.15</v>
      </c>
      <c r="C55">
        <v>61.87</v>
      </c>
      <c r="D55">
        <v>61.09</v>
      </c>
      <c r="E55">
        <v>61.62</v>
      </c>
      <c r="F55">
        <v>2063000</v>
      </c>
      <c r="G55">
        <v>61.62</v>
      </c>
    </row>
  </sheetData>
  <sortState ref="A3:G55">
    <sortCondition ref="A3:A5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119.39</v>
      </c>
      <c r="C3">
        <v>120.5</v>
      </c>
      <c r="D3">
        <v>119.05</v>
      </c>
      <c r="E3">
        <v>120.31</v>
      </c>
      <c r="F3">
        <v>2072500</v>
      </c>
      <c r="G3">
        <v>119.73</v>
      </c>
    </row>
    <row r="4" spans="1:7" x14ac:dyDescent="0.25">
      <c r="A4" s="34">
        <v>41822</v>
      </c>
      <c r="B4">
        <v>120.08</v>
      </c>
      <c r="C4">
        <v>121.22</v>
      </c>
      <c r="D4">
        <v>120.02</v>
      </c>
      <c r="E4">
        <v>121.03</v>
      </c>
      <c r="F4">
        <v>1447000</v>
      </c>
      <c r="G4">
        <v>120.45</v>
      </c>
    </row>
    <row r="5" spans="1:7" x14ac:dyDescent="0.25">
      <c r="A5" s="34">
        <v>41823</v>
      </c>
      <c r="B5">
        <v>121.45</v>
      </c>
      <c r="C5">
        <v>122.85</v>
      </c>
      <c r="D5">
        <v>120.72</v>
      </c>
      <c r="E5">
        <v>122.85</v>
      </c>
      <c r="F5">
        <v>1963400</v>
      </c>
      <c r="G5">
        <v>122.26</v>
      </c>
    </row>
    <row r="6" spans="1:7" x14ac:dyDescent="0.25">
      <c r="A6" s="34">
        <v>41827</v>
      </c>
      <c r="B6">
        <v>121.85</v>
      </c>
      <c r="C6">
        <v>123.11</v>
      </c>
      <c r="D6">
        <v>120.04</v>
      </c>
      <c r="E6">
        <v>120.16</v>
      </c>
      <c r="F6">
        <v>3075700</v>
      </c>
      <c r="G6">
        <v>119.58</v>
      </c>
    </row>
    <row r="7" spans="1:7" x14ac:dyDescent="0.25">
      <c r="A7" s="34">
        <v>41828</v>
      </c>
      <c r="B7">
        <v>119.99</v>
      </c>
      <c r="C7">
        <v>120.98</v>
      </c>
      <c r="D7">
        <v>119.1</v>
      </c>
      <c r="E7">
        <v>119.96</v>
      </c>
      <c r="F7">
        <v>2455400</v>
      </c>
      <c r="G7">
        <v>119.39</v>
      </c>
    </row>
    <row r="8" spans="1:7" x14ac:dyDescent="0.25">
      <c r="A8" s="34">
        <v>41829</v>
      </c>
      <c r="B8">
        <v>120.45</v>
      </c>
      <c r="C8">
        <v>120.62</v>
      </c>
      <c r="D8">
        <v>118.92</v>
      </c>
      <c r="E8">
        <v>119.57</v>
      </c>
      <c r="F8">
        <v>2647600</v>
      </c>
      <c r="G8">
        <v>119</v>
      </c>
    </row>
    <row r="9" spans="1:7" x14ac:dyDescent="0.25">
      <c r="A9" s="34">
        <v>41830</v>
      </c>
      <c r="B9">
        <v>118.91</v>
      </c>
      <c r="C9">
        <v>119.2</v>
      </c>
      <c r="D9">
        <v>117.88</v>
      </c>
      <c r="E9">
        <v>118.95</v>
      </c>
      <c r="F9">
        <v>2642500</v>
      </c>
      <c r="G9">
        <v>118.38</v>
      </c>
    </row>
    <row r="10" spans="1:7" x14ac:dyDescent="0.25">
      <c r="A10" s="34">
        <v>41831</v>
      </c>
      <c r="B10">
        <v>120.43</v>
      </c>
      <c r="C10">
        <v>120.8</v>
      </c>
      <c r="D10">
        <v>119.11</v>
      </c>
      <c r="E10">
        <v>119.77</v>
      </c>
      <c r="F10">
        <v>2733200</v>
      </c>
      <c r="G10">
        <v>119.2</v>
      </c>
    </row>
    <row r="11" spans="1:7" x14ac:dyDescent="0.25">
      <c r="A11" s="34">
        <v>41834</v>
      </c>
      <c r="B11">
        <v>120.84</v>
      </c>
      <c r="C11">
        <v>120.86</v>
      </c>
      <c r="D11">
        <v>118.81</v>
      </c>
      <c r="E11">
        <v>118.98</v>
      </c>
      <c r="F11">
        <v>2149600</v>
      </c>
      <c r="G11">
        <v>118.41</v>
      </c>
    </row>
    <row r="12" spans="1:7" x14ac:dyDescent="0.25">
      <c r="A12" s="34">
        <v>41835</v>
      </c>
      <c r="B12">
        <v>118.74</v>
      </c>
      <c r="C12">
        <v>119.47</v>
      </c>
      <c r="D12">
        <v>116.57</v>
      </c>
      <c r="E12">
        <v>116.86</v>
      </c>
      <c r="F12">
        <v>3963000</v>
      </c>
      <c r="G12">
        <v>116.3</v>
      </c>
    </row>
    <row r="13" spans="1:7" x14ac:dyDescent="0.25">
      <c r="A13" s="34">
        <v>41836</v>
      </c>
      <c r="B13">
        <v>117.85</v>
      </c>
      <c r="C13">
        <v>117.85</v>
      </c>
      <c r="D13">
        <v>116.27</v>
      </c>
      <c r="E13">
        <v>117.71</v>
      </c>
      <c r="F13">
        <v>4087100</v>
      </c>
      <c r="G13">
        <v>117.15</v>
      </c>
    </row>
    <row r="14" spans="1:7" x14ac:dyDescent="0.25">
      <c r="A14" s="34">
        <v>41837</v>
      </c>
      <c r="B14">
        <v>116.73</v>
      </c>
      <c r="C14">
        <v>117.17</v>
      </c>
      <c r="D14">
        <v>115.21</v>
      </c>
      <c r="E14">
        <v>115.39</v>
      </c>
      <c r="F14">
        <v>2688000</v>
      </c>
      <c r="G14">
        <v>114.84</v>
      </c>
    </row>
    <row r="15" spans="1:7" x14ac:dyDescent="0.25">
      <c r="A15" s="34">
        <v>41838</v>
      </c>
      <c r="B15">
        <v>116.11</v>
      </c>
      <c r="C15">
        <v>118.68</v>
      </c>
      <c r="D15">
        <v>114.93</v>
      </c>
      <c r="E15">
        <v>118.3</v>
      </c>
      <c r="F15">
        <v>3477600</v>
      </c>
      <c r="G15">
        <v>117.73</v>
      </c>
    </row>
    <row r="16" spans="1:7" x14ac:dyDescent="0.25">
      <c r="A16" s="34">
        <v>41841</v>
      </c>
      <c r="B16">
        <v>117.63</v>
      </c>
      <c r="C16">
        <v>119.34</v>
      </c>
      <c r="D16">
        <v>117.2</v>
      </c>
      <c r="E16">
        <v>119.03</v>
      </c>
      <c r="F16">
        <v>3076700</v>
      </c>
      <c r="G16">
        <v>118.46</v>
      </c>
    </row>
    <row r="17" spans="1:7" x14ac:dyDescent="0.25">
      <c r="A17" s="34">
        <v>41842</v>
      </c>
      <c r="B17">
        <v>119.59</v>
      </c>
      <c r="C17">
        <v>121.27</v>
      </c>
      <c r="D17">
        <v>119.35</v>
      </c>
      <c r="E17">
        <v>121.11</v>
      </c>
      <c r="F17">
        <v>2806100</v>
      </c>
      <c r="G17">
        <v>120.53</v>
      </c>
    </row>
    <row r="18" spans="1:7" x14ac:dyDescent="0.25">
      <c r="A18" s="34">
        <v>41843</v>
      </c>
      <c r="B18">
        <v>121.38</v>
      </c>
      <c r="C18">
        <v>122.39</v>
      </c>
      <c r="D18">
        <v>121</v>
      </c>
      <c r="E18">
        <v>122.01</v>
      </c>
      <c r="F18">
        <v>3527500</v>
      </c>
      <c r="G18">
        <v>121.43</v>
      </c>
    </row>
    <row r="19" spans="1:7" x14ac:dyDescent="0.25">
      <c r="A19" s="34">
        <v>41844</v>
      </c>
      <c r="B19">
        <v>122.15</v>
      </c>
      <c r="C19">
        <v>122.36</v>
      </c>
      <c r="D19">
        <v>121.32</v>
      </c>
      <c r="E19">
        <v>122.26</v>
      </c>
      <c r="F19">
        <v>3219700</v>
      </c>
      <c r="G19">
        <v>121.67</v>
      </c>
    </row>
    <row r="20" spans="1:7" x14ac:dyDescent="0.25">
      <c r="A20" s="34">
        <v>41845</v>
      </c>
      <c r="B20">
        <v>121.97</v>
      </c>
      <c r="C20">
        <v>122.88</v>
      </c>
      <c r="D20">
        <v>121.67</v>
      </c>
      <c r="E20">
        <v>122.84</v>
      </c>
      <c r="F20">
        <v>3028900</v>
      </c>
      <c r="G20">
        <v>122.25</v>
      </c>
    </row>
    <row r="21" spans="1:7" x14ac:dyDescent="0.25">
      <c r="A21" s="34">
        <v>41848</v>
      </c>
      <c r="B21">
        <v>122.63</v>
      </c>
      <c r="C21">
        <v>123.05</v>
      </c>
      <c r="D21">
        <v>121.66</v>
      </c>
      <c r="E21">
        <v>122.65</v>
      </c>
      <c r="F21">
        <v>2432000</v>
      </c>
      <c r="G21">
        <v>122.06</v>
      </c>
    </row>
    <row r="22" spans="1:7" x14ac:dyDescent="0.25">
      <c r="A22" s="34">
        <v>41849</v>
      </c>
      <c r="B22">
        <v>122.52</v>
      </c>
      <c r="C22">
        <v>124.39</v>
      </c>
      <c r="D22">
        <v>122.25</v>
      </c>
      <c r="E22">
        <v>123.31</v>
      </c>
      <c r="F22">
        <v>3988100</v>
      </c>
      <c r="G22">
        <v>122.72</v>
      </c>
    </row>
    <row r="23" spans="1:7" x14ac:dyDescent="0.25">
      <c r="A23" s="34">
        <v>41850</v>
      </c>
      <c r="B23">
        <v>128.63</v>
      </c>
      <c r="C23">
        <v>131.24</v>
      </c>
      <c r="D23">
        <v>128.63</v>
      </c>
      <c r="E23">
        <v>130.01</v>
      </c>
      <c r="F23">
        <v>8465700</v>
      </c>
      <c r="G23">
        <v>129.38999999999999</v>
      </c>
    </row>
    <row r="24" spans="1:7" x14ac:dyDescent="0.25">
      <c r="A24" s="34">
        <v>41851</v>
      </c>
      <c r="B24">
        <v>128.38999999999999</v>
      </c>
      <c r="C24">
        <v>129.34</v>
      </c>
      <c r="D24">
        <v>127.04</v>
      </c>
      <c r="E24">
        <v>127.39</v>
      </c>
      <c r="F24">
        <v>4839300</v>
      </c>
      <c r="G24">
        <v>126.78</v>
      </c>
    </row>
    <row r="25" spans="1:7" x14ac:dyDescent="0.25">
      <c r="A25" s="34">
        <v>41852</v>
      </c>
      <c r="B25">
        <v>126.17</v>
      </c>
      <c r="C25">
        <v>127.3</v>
      </c>
      <c r="D25">
        <v>124.76</v>
      </c>
      <c r="E25">
        <v>125.55</v>
      </c>
      <c r="F25">
        <v>4542700</v>
      </c>
      <c r="G25">
        <v>124.95</v>
      </c>
    </row>
    <row r="26" spans="1:7" x14ac:dyDescent="0.25">
      <c r="A26" s="34">
        <v>41855</v>
      </c>
      <c r="B26">
        <v>129</v>
      </c>
      <c r="C26">
        <v>129.38999999999999</v>
      </c>
      <c r="D26">
        <v>126.52</v>
      </c>
      <c r="E26">
        <v>128.65</v>
      </c>
      <c r="F26">
        <v>6403700</v>
      </c>
      <c r="G26">
        <v>128.03</v>
      </c>
    </row>
    <row r="27" spans="1:7" x14ac:dyDescent="0.25">
      <c r="A27" s="34">
        <v>41856</v>
      </c>
      <c r="B27">
        <v>127.51</v>
      </c>
      <c r="C27">
        <v>129</v>
      </c>
      <c r="D27">
        <v>126.62</v>
      </c>
      <c r="E27">
        <v>127.88</v>
      </c>
      <c r="F27">
        <v>3749100</v>
      </c>
      <c r="G27">
        <v>127.27</v>
      </c>
    </row>
    <row r="28" spans="1:7" x14ac:dyDescent="0.25">
      <c r="A28" s="34">
        <v>41857</v>
      </c>
      <c r="B28">
        <v>127.26</v>
      </c>
      <c r="C28">
        <v>128.78</v>
      </c>
      <c r="D28">
        <v>126.53</v>
      </c>
      <c r="E28">
        <v>127.09</v>
      </c>
      <c r="F28">
        <v>2579000</v>
      </c>
      <c r="G28">
        <v>126.48</v>
      </c>
    </row>
    <row r="29" spans="1:7" x14ac:dyDescent="0.25">
      <c r="A29" s="34">
        <v>41858</v>
      </c>
      <c r="B29">
        <v>127.41</v>
      </c>
      <c r="C29">
        <v>128.88999999999999</v>
      </c>
      <c r="D29">
        <v>125.51</v>
      </c>
      <c r="E29">
        <v>125.75</v>
      </c>
      <c r="F29">
        <v>3065200</v>
      </c>
      <c r="G29">
        <v>125.15</v>
      </c>
    </row>
    <row r="30" spans="1:7" x14ac:dyDescent="0.25">
      <c r="A30" s="34">
        <v>41859</v>
      </c>
      <c r="B30">
        <v>125.22</v>
      </c>
      <c r="C30">
        <v>127.41</v>
      </c>
      <c r="D30">
        <v>125.14</v>
      </c>
      <c r="E30">
        <v>126.95</v>
      </c>
      <c r="F30">
        <v>2206800</v>
      </c>
      <c r="G30">
        <v>126.34</v>
      </c>
    </row>
    <row r="31" spans="1:7" x14ac:dyDescent="0.25">
      <c r="A31" s="34">
        <v>41862</v>
      </c>
      <c r="B31">
        <v>127.86</v>
      </c>
      <c r="C31">
        <v>128</v>
      </c>
      <c r="D31">
        <v>126.58</v>
      </c>
      <c r="E31">
        <v>127.32</v>
      </c>
      <c r="F31">
        <v>2529200</v>
      </c>
      <c r="G31">
        <v>126.71</v>
      </c>
    </row>
    <row r="32" spans="1:7" x14ac:dyDescent="0.25">
      <c r="A32" s="34">
        <v>41863</v>
      </c>
      <c r="B32">
        <v>126.22</v>
      </c>
      <c r="C32">
        <v>126.9</v>
      </c>
      <c r="D32">
        <v>125.4</v>
      </c>
      <c r="E32">
        <v>126.32</v>
      </c>
      <c r="F32">
        <v>2324500</v>
      </c>
      <c r="G32">
        <v>126.32</v>
      </c>
    </row>
    <row r="33" spans="1:7" x14ac:dyDescent="0.25">
      <c r="A33" s="34">
        <v>41864</v>
      </c>
      <c r="B33">
        <v>126.65</v>
      </c>
      <c r="C33">
        <v>127.8</v>
      </c>
      <c r="D33">
        <v>126.3</v>
      </c>
      <c r="E33">
        <v>127.34</v>
      </c>
      <c r="F33">
        <v>2539700</v>
      </c>
      <c r="G33">
        <v>127.34</v>
      </c>
    </row>
    <row r="34" spans="1:7" x14ac:dyDescent="0.25">
      <c r="A34" s="34">
        <v>41865</v>
      </c>
      <c r="B34">
        <v>125.2</v>
      </c>
      <c r="C34">
        <v>132.52000000000001</v>
      </c>
      <c r="D34">
        <v>124.81</v>
      </c>
      <c r="E34">
        <v>131.86000000000001</v>
      </c>
      <c r="F34">
        <v>6408400</v>
      </c>
      <c r="G34">
        <v>131.86000000000001</v>
      </c>
    </row>
    <row r="35" spans="1:7" x14ac:dyDescent="0.25">
      <c r="A35" s="34">
        <v>41866</v>
      </c>
      <c r="B35">
        <v>133.31</v>
      </c>
      <c r="C35">
        <v>133.31</v>
      </c>
      <c r="D35">
        <v>130</v>
      </c>
      <c r="E35">
        <v>132.80000000000001</v>
      </c>
      <c r="F35">
        <v>4347800</v>
      </c>
      <c r="G35">
        <v>132.80000000000001</v>
      </c>
    </row>
    <row r="36" spans="1:7" x14ac:dyDescent="0.25">
      <c r="A36" s="34">
        <v>41869</v>
      </c>
      <c r="B36">
        <v>133.35</v>
      </c>
      <c r="C36">
        <v>133.97999999999999</v>
      </c>
      <c r="D36">
        <v>132.37</v>
      </c>
      <c r="E36">
        <v>133.22</v>
      </c>
      <c r="F36">
        <v>3156700</v>
      </c>
      <c r="G36">
        <v>133.22</v>
      </c>
    </row>
    <row r="37" spans="1:7" x14ac:dyDescent="0.25">
      <c r="A37" s="34">
        <v>41870</v>
      </c>
      <c r="B37">
        <v>133.36000000000001</v>
      </c>
      <c r="C37">
        <v>133.69</v>
      </c>
      <c r="D37">
        <v>131.80000000000001</v>
      </c>
      <c r="E37">
        <v>133.02000000000001</v>
      </c>
      <c r="F37">
        <v>1878900</v>
      </c>
      <c r="G37">
        <v>133.02000000000001</v>
      </c>
    </row>
    <row r="38" spans="1:7" x14ac:dyDescent="0.25">
      <c r="A38" s="34">
        <v>41871</v>
      </c>
      <c r="B38">
        <v>131.97</v>
      </c>
      <c r="C38">
        <v>133.27000000000001</v>
      </c>
      <c r="D38">
        <v>131.85</v>
      </c>
      <c r="E38">
        <v>132.68</v>
      </c>
      <c r="F38">
        <v>1748900</v>
      </c>
      <c r="G38">
        <v>132.68</v>
      </c>
    </row>
    <row r="39" spans="1:7" x14ac:dyDescent="0.25">
      <c r="A39" s="34">
        <v>41872</v>
      </c>
      <c r="B39">
        <v>132.96</v>
      </c>
      <c r="C39">
        <v>133.01</v>
      </c>
      <c r="D39">
        <v>132.04</v>
      </c>
      <c r="E39">
        <v>132.53</v>
      </c>
      <c r="F39">
        <v>1774300</v>
      </c>
      <c r="G39">
        <v>132.53</v>
      </c>
    </row>
    <row r="40" spans="1:7" x14ac:dyDescent="0.25">
      <c r="A40" s="34">
        <v>41873</v>
      </c>
      <c r="B40">
        <v>132.99</v>
      </c>
      <c r="C40">
        <v>133.46</v>
      </c>
      <c r="D40">
        <v>132.41999999999999</v>
      </c>
      <c r="E40">
        <v>132.82</v>
      </c>
      <c r="F40">
        <v>2017800</v>
      </c>
      <c r="G40">
        <v>132.82</v>
      </c>
    </row>
    <row r="41" spans="1:7" x14ac:dyDescent="0.25">
      <c r="A41" s="34">
        <v>41876</v>
      </c>
      <c r="B41">
        <v>133.38</v>
      </c>
      <c r="C41">
        <v>134.93</v>
      </c>
      <c r="D41">
        <v>133.38</v>
      </c>
      <c r="E41">
        <v>134.79</v>
      </c>
      <c r="F41">
        <v>2997500</v>
      </c>
      <c r="G41">
        <v>134.79</v>
      </c>
    </row>
    <row r="42" spans="1:7" x14ac:dyDescent="0.25">
      <c r="A42" s="34">
        <v>41877</v>
      </c>
      <c r="B42">
        <v>134.91</v>
      </c>
      <c r="C42">
        <v>137.66999999999999</v>
      </c>
      <c r="D42">
        <v>134.9</v>
      </c>
      <c r="E42">
        <v>137.27000000000001</v>
      </c>
      <c r="F42">
        <v>3874000</v>
      </c>
      <c r="G42">
        <v>137.27000000000001</v>
      </c>
    </row>
    <row r="43" spans="1:7" x14ac:dyDescent="0.25">
      <c r="A43" s="34">
        <v>41878</v>
      </c>
      <c r="B43">
        <v>137.94</v>
      </c>
      <c r="C43">
        <v>138.57</v>
      </c>
      <c r="D43">
        <v>136.69</v>
      </c>
      <c r="E43">
        <v>137.83000000000001</v>
      </c>
      <c r="F43">
        <v>2693200</v>
      </c>
      <c r="G43">
        <v>137.83000000000001</v>
      </c>
    </row>
    <row r="44" spans="1:7" x14ac:dyDescent="0.25">
      <c r="A44" s="34">
        <v>41879</v>
      </c>
      <c r="B44">
        <v>137.65</v>
      </c>
      <c r="C44">
        <v>139.38</v>
      </c>
      <c r="D44">
        <v>137.29</v>
      </c>
      <c r="E44">
        <v>138.69</v>
      </c>
      <c r="F44">
        <v>3899700</v>
      </c>
      <c r="G44">
        <v>138.69</v>
      </c>
    </row>
    <row r="45" spans="1:7" x14ac:dyDescent="0.25">
      <c r="A45" s="34">
        <v>41880</v>
      </c>
      <c r="B45">
        <v>139.44999999999999</v>
      </c>
      <c r="C45">
        <v>139.72999999999999</v>
      </c>
      <c r="D45">
        <v>138.31</v>
      </c>
      <c r="E45">
        <v>139.38</v>
      </c>
      <c r="F45">
        <v>2362500</v>
      </c>
      <c r="G45">
        <v>139.38</v>
      </c>
    </row>
    <row r="46" spans="1:7" x14ac:dyDescent="0.25">
      <c r="A46" s="34">
        <v>41884</v>
      </c>
      <c r="B46">
        <v>139.62</v>
      </c>
      <c r="C46">
        <v>139.93</v>
      </c>
      <c r="D46">
        <v>137.19999999999999</v>
      </c>
      <c r="E46">
        <v>137.96</v>
      </c>
      <c r="F46">
        <v>3287800</v>
      </c>
      <c r="G46">
        <v>137.96</v>
      </c>
    </row>
    <row r="47" spans="1:7" x14ac:dyDescent="0.25">
      <c r="A47" s="34">
        <v>41885</v>
      </c>
      <c r="B47">
        <v>138.53</v>
      </c>
      <c r="C47">
        <v>138.85</v>
      </c>
      <c r="D47">
        <v>137.34</v>
      </c>
      <c r="E47">
        <v>138.58000000000001</v>
      </c>
      <c r="F47">
        <v>2729300</v>
      </c>
      <c r="G47">
        <v>138.58000000000001</v>
      </c>
    </row>
    <row r="48" spans="1:7" x14ac:dyDescent="0.25">
      <c r="A48" s="34">
        <v>41886</v>
      </c>
      <c r="B48">
        <v>138.74</v>
      </c>
      <c r="C48">
        <v>139.5</v>
      </c>
      <c r="D48">
        <v>137.53</v>
      </c>
      <c r="E48">
        <v>138.01</v>
      </c>
      <c r="F48">
        <v>2975400</v>
      </c>
      <c r="G48">
        <v>138.01</v>
      </c>
    </row>
    <row r="49" spans="1:7" x14ac:dyDescent="0.25">
      <c r="A49" s="34">
        <v>41887</v>
      </c>
      <c r="B49">
        <v>138.22</v>
      </c>
      <c r="C49">
        <v>138.33000000000001</v>
      </c>
      <c r="D49">
        <v>135.63</v>
      </c>
      <c r="E49">
        <v>137.88</v>
      </c>
      <c r="F49">
        <v>3357100</v>
      </c>
      <c r="G49">
        <v>137.88</v>
      </c>
    </row>
    <row r="50" spans="1:7" x14ac:dyDescent="0.25">
      <c r="A50" s="34">
        <v>41890</v>
      </c>
      <c r="B50">
        <v>138</v>
      </c>
      <c r="C50">
        <v>139.36000000000001</v>
      </c>
      <c r="D50">
        <v>137.66</v>
      </c>
      <c r="E50">
        <v>139.27000000000001</v>
      </c>
      <c r="F50">
        <v>2512900</v>
      </c>
      <c r="G50">
        <v>139.27000000000001</v>
      </c>
    </row>
    <row r="51" spans="1:7" x14ac:dyDescent="0.25">
      <c r="A51" s="34">
        <v>41891</v>
      </c>
      <c r="B51">
        <v>138.66</v>
      </c>
      <c r="C51">
        <v>138.97999999999999</v>
      </c>
      <c r="D51">
        <v>137.07</v>
      </c>
      <c r="E51">
        <v>137.38999999999999</v>
      </c>
      <c r="F51">
        <v>3102900</v>
      </c>
      <c r="G51">
        <v>137.38999999999999</v>
      </c>
    </row>
    <row r="52" spans="1:7" x14ac:dyDescent="0.25">
      <c r="A52" s="34">
        <v>41892</v>
      </c>
      <c r="B52">
        <v>137.38999999999999</v>
      </c>
      <c r="C52">
        <v>139.72</v>
      </c>
      <c r="D52">
        <v>137.27000000000001</v>
      </c>
      <c r="E52">
        <v>139.19</v>
      </c>
      <c r="F52">
        <v>2330500</v>
      </c>
      <c r="G52">
        <v>139.19</v>
      </c>
    </row>
    <row r="53" spans="1:7" x14ac:dyDescent="0.25">
      <c r="A53" s="34">
        <v>41893</v>
      </c>
      <c r="B53">
        <v>138.53</v>
      </c>
      <c r="C53">
        <v>139.93</v>
      </c>
      <c r="D53">
        <v>137.35</v>
      </c>
      <c r="E53">
        <v>138.96</v>
      </c>
      <c r="F53">
        <v>3620000</v>
      </c>
      <c r="G53">
        <v>138.96</v>
      </c>
    </row>
    <row r="54" spans="1:7" x14ac:dyDescent="0.25">
      <c r="A54" s="34">
        <v>41894</v>
      </c>
      <c r="B54">
        <v>138.51</v>
      </c>
      <c r="C54">
        <v>138.99</v>
      </c>
      <c r="D54">
        <v>136.82</v>
      </c>
      <c r="E54">
        <v>137.88999999999999</v>
      </c>
      <c r="F54">
        <v>2329700</v>
      </c>
      <c r="G54">
        <v>137.88999999999999</v>
      </c>
    </row>
    <row r="55" spans="1:7" x14ac:dyDescent="0.25">
      <c r="A55" s="34">
        <v>41897</v>
      </c>
      <c r="B55">
        <v>137.57</v>
      </c>
      <c r="C55">
        <v>138.06</v>
      </c>
      <c r="D55">
        <v>136.88999999999999</v>
      </c>
      <c r="E55">
        <v>137.97</v>
      </c>
      <c r="F55">
        <v>2174500</v>
      </c>
      <c r="G55">
        <v>137.97</v>
      </c>
    </row>
  </sheetData>
  <sortState ref="A3:G55">
    <sortCondition ref="A3:A55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325.86</v>
      </c>
      <c r="C3">
        <v>333.2</v>
      </c>
      <c r="D3">
        <v>325.10000000000002</v>
      </c>
      <c r="E3">
        <v>332.39</v>
      </c>
      <c r="F3">
        <v>3173600</v>
      </c>
      <c r="G3">
        <v>332.39</v>
      </c>
    </row>
    <row r="4" spans="1:7" x14ac:dyDescent="0.25">
      <c r="A4" s="34">
        <v>41822</v>
      </c>
      <c r="B4">
        <v>333.2</v>
      </c>
      <c r="C4">
        <v>336.76</v>
      </c>
      <c r="D4">
        <v>331.66</v>
      </c>
      <c r="E4">
        <v>332.85</v>
      </c>
      <c r="F4">
        <v>2681300</v>
      </c>
      <c r="G4">
        <v>332.85</v>
      </c>
    </row>
    <row r="5" spans="1:7" x14ac:dyDescent="0.25">
      <c r="A5" s="34">
        <v>41823</v>
      </c>
      <c r="B5">
        <v>334.83</v>
      </c>
      <c r="C5">
        <v>338.3</v>
      </c>
      <c r="D5">
        <v>333.08</v>
      </c>
      <c r="E5">
        <v>337.49</v>
      </c>
      <c r="F5">
        <v>1944300</v>
      </c>
      <c r="G5">
        <v>337.49</v>
      </c>
    </row>
    <row r="6" spans="1:7" x14ac:dyDescent="0.25">
      <c r="A6" s="34">
        <v>41827</v>
      </c>
      <c r="B6">
        <v>337.5</v>
      </c>
      <c r="C6">
        <v>337.55</v>
      </c>
      <c r="D6">
        <v>332.52</v>
      </c>
      <c r="E6">
        <v>333.55</v>
      </c>
      <c r="F6">
        <v>2128900</v>
      </c>
      <c r="G6">
        <v>333.55</v>
      </c>
    </row>
    <row r="7" spans="1:7" x14ac:dyDescent="0.25">
      <c r="A7" s="34">
        <v>41828</v>
      </c>
      <c r="B7">
        <v>333.1</v>
      </c>
      <c r="C7">
        <v>333.74</v>
      </c>
      <c r="D7">
        <v>321.39999999999998</v>
      </c>
      <c r="E7">
        <v>323.81</v>
      </c>
      <c r="F7">
        <v>4271600</v>
      </c>
      <c r="G7">
        <v>323.81</v>
      </c>
    </row>
    <row r="8" spans="1:7" x14ac:dyDescent="0.25">
      <c r="A8" s="34">
        <v>41829</v>
      </c>
      <c r="B8">
        <v>324.70999999999998</v>
      </c>
      <c r="C8">
        <v>330.2</v>
      </c>
      <c r="D8">
        <v>323.14999999999998</v>
      </c>
      <c r="E8">
        <v>329.97</v>
      </c>
      <c r="F8">
        <v>3166100</v>
      </c>
      <c r="G8">
        <v>329.97</v>
      </c>
    </row>
    <row r="9" spans="1:7" x14ac:dyDescent="0.25">
      <c r="A9" s="34">
        <v>41830</v>
      </c>
      <c r="B9">
        <v>324.33999999999997</v>
      </c>
      <c r="C9">
        <v>329.98</v>
      </c>
      <c r="D9">
        <v>322.64999999999998</v>
      </c>
      <c r="E9">
        <v>327.92</v>
      </c>
      <c r="F9">
        <v>2665000</v>
      </c>
      <c r="G9">
        <v>327.92</v>
      </c>
    </row>
    <row r="10" spans="1:7" x14ac:dyDescent="0.25">
      <c r="A10" s="34">
        <v>41831</v>
      </c>
      <c r="B10">
        <v>334.71</v>
      </c>
      <c r="C10">
        <v>347</v>
      </c>
      <c r="D10">
        <v>334.71</v>
      </c>
      <c r="E10">
        <v>346.2</v>
      </c>
      <c r="F10">
        <v>8300800</v>
      </c>
      <c r="G10">
        <v>346.2</v>
      </c>
    </row>
    <row r="11" spans="1:7" x14ac:dyDescent="0.25">
      <c r="A11" s="34">
        <v>41834</v>
      </c>
      <c r="B11">
        <v>347.03</v>
      </c>
      <c r="C11">
        <v>355.77</v>
      </c>
      <c r="D11">
        <v>345.36</v>
      </c>
      <c r="E11">
        <v>355.32</v>
      </c>
      <c r="F11">
        <v>5609900</v>
      </c>
      <c r="G11">
        <v>355.32</v>
      </c>
    </row>
    <row r="12" spans="1:7" x14ac:dyDescent="0.25">
      <c r="A12" s="34">
        <v>41835</v>
      </c>
      <c r="B12">
        <v>353.72</v>
      </c>
      <c r="C12">
        <v>355.59</v>
      </c>
      <c r="D12">
        <v>349.4</v>
      </c>
      <c r="E12">
        <v>354.44</v>
      </c>
      <c r="F12">
        <v>4170900</v>
      </c>
      <c r="G12">
        <v>354.44</v>
      </c>
    </row>
    <row r="13" spans="1:7" x14ac:dyDescent="0.25">
      <c r="A13" s="34">
        <v>41836</v>
      </c>
      <c r="B13">
        <v>355.62</v>
      </c>
      <c r="C13">
        <v>359.32</v>
      </c>
      <c r="D13">
        <v>353</v>
      </c>
      <c r="E13">
        <v>355.9</v>
      </c>
      <c r="F13">
        <v>3503600</v>
      </c>
      <c r="G13">
        <v>355.9</v>
      </c>
    </row>
    <row r="14" spans="1:7" x14ac:dyDescent="0.25">
      <c r="A14" s="34">
        <v>41837</v>
      </c>
      <c r="B14">
        <v>353.44</v>
      </c>
      <c r="C14">
        <v>356.96</v>
      </c>
      <c r="D14">
        <v>351.38</v>
      </c>
      <c r="E14">
        <v>352.45</v>
      </c>
      <c r="F14">
        <v>3636000</v>
      </c>
      <c r="G14">
        <v>352.45</v>
      </c>
    </row>
    <row r="15" spans="1:7" x14ac:dyDescent="0.25">
      <c r="A15" s="34">
        <v>41838</v>
      </c>
      <c r="B15">
        <v>354.4</v>
      </c>
      <c r="C15">
        <v>359.68</v>
      </c>
      <c r="D15">
        <v>352.08</v>
      </c>
      <c r="E15">
        <v>358.66</v>
      </c>
      <c r="F15">
        <v>3407400</v>
      </c>
      <c r="G15">
        <v>358.66</v>
      </c>
    </row>
    <row r="16" spans="1:7" x14ac:dyDescent="0.25">
      <c r="A16" s="34">
        <v>41841</v>
      </c>
      <c r="B16">
        <v>358.1</v>
      </c>
      <c r="C16">
        <v>361.71</v>
      </c>
      <c r="D16">
        <v>356.72</v>
      </c>
      <c r="E16">
        <v>359.76</v>
      </c>
      <c r="F16">
        <v>2278400</v>
      </c>
      <c r="G16">
        <v>359.76</v>
      </c>
    </row>
    <row r="17" spans="1:7" x14ac:dyDescent="0.25">
      <c r="A17" s="34">
        <v>41842</v>
      </c>
      <c r="B17">
        <v>355.25</v>
      </c>
      <c r="C17">
        <v>362.93</v>
      </c>
      <c r="D17">
        <v>355.25</v>
      </c>
      <c r="E17">
        <v>360.84</v>
      </c>
      <c r="F17">
        <v>2888900</v>
      </c>
      <c r="G17">
        <v>360.84</v>
      </c>
    </row>
    <row r="18" spans="1:7" x14ac:dyDescent="0.25">
      <c r="A18" s="34">
        <v>41843</v>
      </c>
      <c r="B18">
        <v>359.05</v>
      </c>
      <c r="C18">
        <v>360.63</v>
      </c>
      <c r="D18">
        <v>356.62</v>
      </c>
      <c r="E18">
        <v>358.14</v>
      </c>
      <c r="F18">
        <v>2687300</v>
      </c>
      <c r="G18">
        <v>358.14</v>
      </c>
    </row>
    <row r="19" spans="1:7" x14ac:dyDescent="0.25">
      <c r="A19" s="34">
        <v>41844</v>
      </c>
      <c r="B19">
        <v>359.98</v>
      </c>
      <c r="C19">
        <v>364.85</v>
      </c>
      <c r="D19">
        <v>358.52</v>
      </c>
      <c r="E19">
        <v>358.61</v>
      </c>
      <c r="F19">
        <v>7000000</v>
      </c>
      <c r="G19">
        <v>358.61</v>
      </c>
    </row>
    <row r="20" spans="1:7" x14ac:dyDescent="0.25">
      <c r="A20" s="34">
        <v>41845</v>
      </c>
      <c r="B20">
        <v>317.3</v>
      </c>
      <c r="C20">
        <v>324.87</v>
      </c>
      <c r="D20">
        <v>314.76</v>
      </c>
      <c r="E20">
        <v>324.01</v>
      </c>
      <c r="F20">
        <v>17846500</v>
      </c>
      <c r="G20">
        <v>324.01</v>
      </c>
    </row>
    <row r="21" spans="1:7" x14ac:dyDescent="0.25">
      <c r="A21" s="34">
        <v>41848</v>
      </c>
      <c r="B21">
        <v>324.25</v>
      </c>
      <c r="C21">
        <v>324.82</v>
      </c>
      <c r="D21">
        <v>316.5</v>
      </c>
      <c r="E21">
        <v>320.41000000000003</v>
      </c>
      <c r="F21">
        <v>5932000</v>
      </c>
      <c r="G21">
        <v>320.41000000000003</v>
      </c>
    </row>
    <row r="22" spans="1:7" x14ac:dyDescent="0.25">
      <c r="A22" s="34">
        <v>41849</v>
      </c>
      <c r="B22">
        <v>321.98</v>
      </c>
      <c r="C22">
        <v>322.89999999999998</v>
      </c>
      <c r="D22">
        <v>319.5</v>
      </c>
      <c r="E22">
        <v>320</v>
      </c>
      <c r="F22">
        <v>2883800</v>
      </c>
      <c r="G22">
        <v>320</v>
      </c>
    </row>
    <row r="23" spans="1:7" x14ac:dyDescent="0.25">
      <c r="A23" s="34">
        <v>41850</v>
      </c>
      <c r="B23">
        <v>321.45</v>
      </c>
      <c r="C23">
        <v>322.73</v>
      </c>
      <c r="D23">
        <v>318.5</v>
      </c>
      <c r="E23">
        <v>322.51</v>
      </c>
      <c r="F23">
        <v>3969000</v>
      </c>
      <c r="G23">
        <v>322.51</v>
      </c>
    </row>
    <row r="24" spans="1:7" x14ac:dyDescent="0.25">
      <c r="A24" s="34">
        <v>41851</v>
      </c>
      <c r="B24">
        <v>320.01</v>
      </c>
      <c r="C24">
        <v>320.68</v>
      </c>
      <c r="D24">
        <v>311.86</v>
      </c>
      <c r="E24">
        <v>312.99</v>
      </c>
      <c r="F24">
        <v>5192000</v>
      </c>
      <c r="G24">
        <v>312.99</v>
      </c>
    </row>
    <row r="25" spans="1:7" x14ac:dyDescent="0.25">
      <c r="A25" s="34">
        <v>41852</v>
      </c>
      <c r="B25">
        <v>313.69</v>
      </c>
      <c r="C25">
        <v>315.83</v>
      </c>
      <c r="D25">
        <v>304.58999999999997</v>
      </c>
      <c r="E25">
        <v>307.06</v>
      </c>
      <c r="F25">
        <v>7441500</v>
      </c>
      <c r="G25">
        <v>307.06</v>
      </c>
    </row>
    <row r="26" spans="1:7" x14ac:dyDescent="0.25">
      <c r="A26" s="34">
        <v>41855</v>
      </c>
      <c r="B26">
        <v>308.83999999999997</v>
      </c>
      <c r="C26">
        <v>316.18</v>
      </c>
      <c r="D26">
        <v>308.5</v>
      </c>
      <c r="E26">
        <v>313.64999999999998</v>
      </c>
      <c r="F26">
        <v>4200900</v>
      </c>
      <c r="G26">
        <v>313.64999999999998</v>
      </c>
    </row>
    <row r="27" spans="1:7" x14ac:dyDescent="0.25">
      <c r="A27" s="34">
        <v>41856</v>
      </c>
      <c r="B27">
        <v>313.3</v>
      </c>
      <c r="C27">
        <v>314.55</v>
      </c>
      <c r="D27">
        <v>310.06</v>
      </c>
      <c r="E27">
        <v>312.32</v>
      </c>
      <c r="F27">
        <v>2852100</v>
      </c>
      <c r="G27">
        <v>312.32</v>
      </c>
    </row>
    <row r="28" spans="1:7" x14ac:dyDescent="0.25">
      <c r="A28" s="34">
        <v>41857</v>
      </c>
      <c r="B28">
        <v>310.83</v>
      </c>
      <c r="C28">
        <v>315.77999999999997</v>
      </c>
      <c r="D28">
        <v>310.2</v>
      </c>
      <c r="E28">
        <v>313.89</v>
      </c>
      <c r="F28">
        <v>2296900</v>
      </c>
      <c r="G28">
        <v>313.89</v>
      </c>
    </row>
    <row r="29" spans="1:7" x14ac:dyDescent="0.25">
      <c r="A29" s="34">
        <v>41858</v>
      </c>
      <c r="B29">
        <v>315.20999999999998</v>
      </c>
      <c r="C29">
        <v>315.88</v>
      </c>
      <c r="D29">
        <v>309.64999999999998</v>
      </c>
      <c r="E29">
        <v>311.45</v>
      </c>
      <c r="F29">
        <v>2935600</v>
      </c>
      <c r="G29">
        <v>311.45</v>
      </c>
    </row>
    <row r="30" spans="1:7" x14ac:dyDescent="0.25">
      <c r="A30" s="34">
        <v>41859</v>
      </c>
      <c r="B30">
        <v>311.94</v>
      </c>
      <c r="C30">
        <v>317.32</v>
      </c>
      <c r="D30">
        <v>310.66000000000003</v>
      </c>
      <c r="E30">
        <v>316.8</v>
      </c>
      <c r="F30">
        <v>2705900</v>
      </c>
      <c r="G30">
        <v>316.8</v>
      </c>
    </row>
    <row r="31" spans="1:7" x14ac:dyDescent="0.25">
      <c r="A31" s="34">
        <v>41862</v>
      </c>
      <c r="B31">
        <v>318.48</v>
      </c>
      <c r="C31">
        <v>320.38</v>
      </c>
      <c r="D31">
        <v>316.88</v>
      </c>
      <c r="E31">
        <v>318.33</v>
      </c>
      <c r="F31">
        <v>2468600</v>
      </c>
      <c r="G31">
        <v>318.33</v>
      </c>
    </row>
    <row r="32" spans="1:7" x14ac:dyDescent="0.25">
      <c r="A32" s="34">
        <v>41863</v>
      </c>
      <c r="B32">
        <v>318.89</v>
      </c>
      <c r="C32">
        <v>321.31</v>
      </c>
      <c r="D32">
        <v>316.95</v>
      </c>
      <c r="E32">
        <v>319.32</v>
      </c>
      <c r="F32">
        <v>1915800</v>
      </c>
      <c r="G32">
        <v>319.32</v>
      </c>
    </row>
    <row r="33" spans="1:7" x14ac:dyDescent="0.25">
      <c r="A33" s="34">
        <v>41864</v>
      </c>
      <c r="B33">
        <v>327.60000000000002</v>
      </c>
      <c r="C33">
        <v>331.72</v>
      </c>
      <c r="D33">
        <v>326.14</v>
      </c>
      <c r="E33">
        <v>326.27999999999997</v>
      </c>
      <c r="F33">
        <v>4939100</v>
      </c>
      <c r="G33">
        <v>326.27999999999997</v>
      </c>
    </row>
    <row r="34" spans="1:7" x14ac:dyDescent="0.25">
      <c r="A34" s="34">
        <v>41865</v>
      </c>
      <c r="B34">
        <v>327.8</v>
      </c>
      <c r="C34">
        <v>334.09</v>
      </c>
      <c r="D34">
        <v>326.70999999999998</v>
      </c>
      <c r="E34">
        <v>333.21</v>
      </c>
      <c r="F34">
        <v>3420400</v>
      </c>
      <c r="G34">
        <v>333.21</v>
      </c>
    </row>
    <row r="35" spans="1:7" x14ac:dyDescent="0.25">
      <c r="A35" s="34">
        <v>41866</v>
      </c>
      <c r="B35">
        <v>334</v>
      </c>
      <c r="C35">
        <v>335</v>
      </c>
      <c r="D35">
        <v>328.32</v>
      </c>
      <c r="E35">
        <v>333.63</v>
      </c>
      <c r="F35">
        <v>3896700</v>
      </c>
      <c r="G35">
        <v>333.63</v>
      </c>
    </row>
    <row r="36" spans="1:7" x14ac:dyDescent="0.25">
      <c r="A36" s="34">
        <v>41869</v>
      </c>
      <c r="B36">
        <v>335.48</v>
      </c>
      <c r="C36">
        <v>337.8</v>
      </c>
      <c r="D36">
        <v>333.77</v>
      </c>
      <c r="E36">
        <v>334.53</v>
      </c>
      <c r="F36">
        <v>2485400</v>
      </c>
      <c r="G36">
        <v>334.53</v>
      </c>
    </row>
    <row r="37" spans="1:7" x14ac:dyDescent="0.25">
      <c r="A37" s="34">
        <v>41870</v>
      </c>
      <c r="B37">
        <v>334.87</v>
      </c>
      <c r="C37">
        <v>335.81</v>
      </c>
      <c r="D37">
        <v>333.01</v>
      </c>
      <c r="E37">
        <v>335.13</v>
      </c>
      <c r="F37">
        <v>1713800</v>
      </c>
      <c r="G37">
        <v>335.13</v>
      </c>
    </row>
    <row r="38" spans="1:7" x14ac:dyDescent="0.25">
      <c r="A38" s="34">
        <v>41871</v>
      </c>
      <c r="B38">
        <v>334.68</v>
      </c>
      <c r="C38">
        <v>337.16</v>
      </c>
      <c r="D38">
        <v>334.02</v>
      </c>
      <c r="E38">
        <v>335.78</v>
      </c>
      <c r="F38">
        <v>1810500</v>
      </c>
      <c r="G38">
        <v>335.78</v>
      </c>
    </row>
    <row r="39" spans="1:7" x14ac:dyDescent="0.25">
      <c r="A39" s="34">
        <v>41872</v>
      </c>
      <c r="B39">
        <v>336.48</v>
      </c>
      <c r="C39">
        <v>336.58</v>
      </c>
      <c r="D39">
        <v>332.23</v>
      </c>
      <c r="E39">
        <v>332.91</v>
      </c>
      <c r="F39">
        <v>1971100</v>
      </c>
      <c r="G39">
        <v>332.91</v>
      </c>
    </row>
    <row r="40" spans="1:7" x14ac:dyDescent="0.25">
      <c r="A40" s="34">
        <v>41873</v>
      </c>
      <c r="B40">
        <v>332.99</v>
      </c>
      <c r="C40">
        <v>334.08</v>
      </c>
      <c r="D40">
        <v>330.8</v>
      </c>
      <c r="E40">
        <v>331.59</v>
      </c>
      <c r="F40">
        <v>2211200</v>
      </c>
      <c r="G40">
        <v>331.59</v>
      </c>
    </row>
    <row r="41" spans="1:7" x14ac:dyDescent="0.25">
      <c r="A41" s="34">
        <v>41876</v>
      </c>
      <c r="B41">
        <v>333.21</v>
      </c>
      <c r="C41">
        <v>336.77</v>
      </c>
      <c r="D41">
        <v>332.71</v>
      </c>
      <c r="E41">
        <v>334.02</v>
      </c>
      <c r="F41">
        <v>1957700</v>
      </c>
      <c r="G41">
        <v>334.02</v>
      </c>
    </row>
    <row r="42" spans="1:7" x14ac:dyDescent="0.25">
      <c r="A42" s="34">
        <v>41877</v>
      </c>
      <c r="B42">
        <v>337</v>
      </c>
      <c r="C42">
        <v>344.36</v>
      </c>
      <c r="D42">
        <v>334.55</v>
      </c>
      <c r="E42">
        <v>341.83</v>
      </c>
      <c r="F42">
        <v>3638200</v>
      </c>
      <c r="G42">
        <v>341.83</v>
      </c>
    </row>
    <row r="43" spans="1:7" x14ac:dyDescent="0.25">
      <c r="A43" s="34">
        <v>41878</v>
      </c>
      <c r="B43">
        <v>342.09</v>
      </c>
      <c r="C43">
        <v>346.67</v>
      </c>
      <c r="D43">
        <v>341.34</v>
      </c>
      <c r="E43">
        <v>343.18</v>
      </c>
      <c r="F43">
        <v>2961600</v>
      </c>
      <c r="G43">
        <v>343.18</v>
      </c>
    </row>
    <row r="44" spans="1:7" x14ac:dyDescent="0.25">
      <c r="A44" s="34">
        <v>41879</v>
      </c>
      <c r="B44">
        <v>340</v>
      </c>
      <c r="C44">
        <v>341.79</v>
      </c>
      <c r="D44">
        <v>338.8</v>
      </c>
      <c r="E44">
        <v>340.02</v>
      </c>
      <c r="F44">
        <v>2252700</v>
      </c>
      <c r="G44">
        <v>340.02</v>
      </c>
    </row>
    <row r="45" spans="1:7" x14ac:dyDescent="0.25">
      <c r="A45" s="34">
        <v>41880</v>
      </c>
      <c r="B45">
        <v>341.76</v>
      </c>
      <c r="C45">
        <v>341.82</v>
      </c>
      <c r="D45">
        <v>337.68</v>
      </c>
      <c r="E45">
        <v>339.04</v>
      </c>
      <c r="F45">
        <v>1939500</v>
      </c>
      <c r="G45">
        <v>339.04</v>
      </c>
    </row>
    <row r="46" spans="1:7" x14ac:dyDescent="0.25">
      <c r="A46" s="34">
        <v>41884</v>
      </c>
      <c r="B46">
        <v>339.98</v>
      </c>
      <c r="C46">
        <v>342.5</v>
      </c>
      <c r="D46">
        <v>337.16</v>
      </c>
      <c r="E46">
        <v>342.38</v>
      </c>
      <c r="F46">
        <v>2326000</v>
      </c>
      <c r="G46">
        <v>342.38</v>
      </c>
    </row>
    <row r="47" spans="1:7" x14ac:dyDescent="0.25">
      <c r="A47" s="34">
        <v>41885</v>
      </c>
      <c r="B47">
        <v>342.54</v>
      </c>
      <c r="C47">
        <v>343.27</v>
      </c>
      <c r="D47">
        <v>337.55</v>
      </c>
      <c r="E47">
        <v>339</v>
      </c>
      <c r="F47">
        <v>1993700</v>
      </c>
      <c r="G47">
        <v>339</v>
      </c>
    </row>
    <row r="48" spans="1:7" x14ac:dyDescent="0.25">
      <c r="A48" s="34">
        <v>41886</v>
      </c>
      <c r="B48">
        <v>343.69</v>
      </c>
      <c r="C48">
        <v>349.38</v>
      </c>
      <c r="D48">
        <v>343.58</v>
      </c>
      <c r="E48">
        <v>345.95</v>
      </c>
      <c r="F48">
        <v>3952200</v>
      </c>
      <c r="G48">
        <v>345.95</v>
      </c>
    </row>
    <row r="49" spans="1:7" x14ac:dyDescent="0.25">
      <c r="A49" s="34">
        <v>41887</v>
      </c>
      <c r="B49">
        <v>346.3</v>
      </c>
      <c r="C49">
        <v>346.83</v>
      </c>
      <c r="D49">
        <v>342.5</v>
      </c>
      <c r="E49">
        <v>346.38</v>
      </c>
      <c r="F49">
        <v>2107000</v>
      </c>
      <c r="G49">
        <v>346.38</v>
      </c>
    </row>
    <row r="50" spans="1:7" x14ac:dyDescent="0.25">
      <c r="A50" s="34">
        <v>41890</v>
      </c>
      <c r="B50">
        <v>344.54</v>
      </c>
      <c r="C50">
        <v>345.81</v>
      </c>
      <c r="D50">
        <v>339.04</v>
      </c>
      <c r="E50">
        <v>342.34</v>
      </c>
      <c r="F50">
        <v>2955300</v>
      </c>
      <c r="G50">
        <v>342.34</v>
      </c>
    </row>
    <row r="51" spans="1:7" x14ac:dyDescent="0.25">
      <c r="A51" s="34">
        <v>41891</v>
      </c>
      <c r="B51">
        <v>341.61</v>
      </c>
      <c r="C51">
        <v>341.76</v>
      </c>
      <c r="D51">
        <v>329.18</v>
      </c>
      <c r="E51">
        <v>329.75</v>
      </c>
      <c r="F51">
        <v>4634000</v>
      </c>
      <c r="G51">
        <v>329.75</v>
      </c>
    </row>
    <row r="52" spans="1:7" x14ac:dyDescent="0.25">
      <c r="A52" s="34">
        <v>41892</v>
      </c>
      <c r="B52">
        <v>334.3</v>
      </c>
      <c r="C52">
        <v>334.98</v>
      </c>
      <c r="D52">
        <v>328.82</v>
      </c>
      <c r="E52">
        <v>331.33</v>
      </c>
      <c r="F52">
        <v>3797400</v>
      </c>
      <c r="G52">
        <v>331.33</v>
      </c>
    </row>
    <row r="53" spans="1:7" x14ac:dyDescent="0.25">
      <c r="A53" s="34">
        <v>41893</v>
      </c>
      <c r="B53">
        <v>329.94</v>
      </c>
      <c r="C53">
        <v>333.01</v>
      </c>
      <c r="D53">
        <v>326.39</v>
      </c>
      <c r="E53">
        <v>330.52</v>
      </c>
      <c r="F53">
        <v>2720200</v>
      </c>
      <c r="G53">
        <v>330.52</v>
      </c>
    </row>
    <row r="54" spans="1:7" x14ac:dyDescent="0.25">
      <c r="A54" s="34">
        <v>41894</v>
      </c>
      <c r="B54">
        <v>329.56</v>
      </c>
      <c r="C54">
        <v>332.89</v>
      </c>
      <c r="D54">
        <v>328.79</v>
      </c>
      <c r="E54">
        <v>331.19</v>
      </c>
      <c r="F54">
        <v>3429300</v>
      </c>
      <c r="G54">
        <v>331.19</v>
      </c>
    </row>
    <row r="55" spans="1:7" x14ac:dyDescent="0.25">
      <c r="A55" s="34">
        <v>41897</v>
      </c>
      <c r="B55">
        <v>330.91</v>
      </c>
      <c r="C55">
        <v>331.33</v>
      </c>
      <c r="D55">
        <v>319</v>
      </c>
      <c r="E55">
        <v>323.89</v>
      </c>
      <c r="F55">
        <v>4000400</v>
      </c>
      <c r="G55">
        <v>323.89</v>
      </c>
    </row>
  </sheetData>
  <sortState ref="A3:G55">
    <sortCondition ref="A3:A55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100.95</v>
      </c>
      <c r="C3">
        <v>101.44</v>
      </c>
      <c r="D3">
        <v>100.14</v>
      </c>
      <c r="E3">
        <v>100.51</v>
      </c>
      <c r="F3">
        <v>1955000</v>
      </c>
      <c r="G3">
        <v>100.26</v>
      </c>
    </row>
    <row r="4" spans="1:7" x14ac:dyDescent="0.25">
      <c r="A4" s="34">
        <v>41822</v>
      </c>
      <c r="B4">
        <v>100</v>
      </c>
      <c r="C4">
        <v>100.5</v>
      </c>
      <c r="D4">
        <v>99.4</v>
      </c>
      <c r="E4">
        <v>99.85</v>
      </c>
      <c r="F4">
        <v>2020000</v>
      </c>
      <c r="G4">
        <v>99.6</v>
      </c>
    </row>
    <row r="5" spans="1:7" x14ac:dyDescent="0.25">
      <c r="A5" s="34">
        <v>41823</v>
      </c>
      <c r="B5">
        <v>99.85</v>
      </c>
      <c r="C5">
        <v>100.22</v>
      </c>
      <c r="D5">
        <v>99.4</v>
      </c>
      <c r="E5">
        <v>100.03</v>
      </c>
      <c r="F5">
        <v>1086200</v>
      </c>
      <c r="G5">
        <v>99.78</v>
      </c>
    </row>
    <row r="6" spans="1:7" x14ac:dyDescent="0.25">
      <c r="A6" s="34">
        <v>41827</v>
      </c>
      <c r="B6">
        <v>100.46</v>
      </c>
      <c r="C6">
        <v>100.46</v>
      </c>
      <c r="D6">
        <v>98.83</v>
      </c>
      <c r="E6">
        <v>99.05</v>
      </c>
      <c r="F6">
        <v>1945100</v>
      </c>
      <c r="G6">
        <v>98.8</v>
      </c>
    </row>
    <row r="7" spans="1:7" x14ac:dyDescent="0.25">
      <c r="A7" s="34">
        <v>41828</v>
      </c>
      <c r="B7">
        <v>98.59</v>
      </c>
      <c r="C7">
        <v>99.43</v>
      </c>
      <c r="D7">
        <v>98.29</v>
      </c>
      <c r="E7">
        <v>98.46</v>
      </c>
      <c r="F7">
        <v>2621500</v>
      </c>
      <c r="G7">
        <v>98.21</v>
      </c>
    </row>
    <row r="8" spans="1:7" x14ac:dyDescent="0.25">
      <c r="A8" s="34">
        <v>41829</v>
      </c>
      <c r="B8">
        <v>98.5</v>
      </c>
      <c r="C8">
        <v>99.75</v>
      </c>
      <c r="D8">
        <v>98.47</v>
      </c>
      <c r="E8">
        <v>99.65</v>
      </c>
      <c r="F8">
        <v>1952700</v>
      </c>
      <c r="G8">
        <v>99.4</v>
      </c>
    </row>
    <row r="9" spans="1:7" x14ac:dyDescent="0.25">
      <c r="A9" s="34">
        <v>41830</v>
      </c>
      <c r="B9">
        <v>98.42</v>
      </c>
      <c r="C9">
        <v>99.62</v>
      </c>
      <c r="D9">
        <v>97.88</v>
      </c>
      <c r="E9">
        <v>99.22</v>
      </c>
      <c r="F9">
        <v>2203000</v>
      </c>
      <c r="G9">
        <v>98.97</v>
      </c>
    </row>
    <row r="10" spans="1:7" x14ac:dyDescent="0.25">
      <c r="A10" s="34">
        <v>41831</v>
      </c>
      <c r="B10">
        <v>98.72</v>
      </c>
      <c r="C10">
        <v>99.09</v>
      </c>
      <c r="D10">
        <v>97.37</v>
      </c>
      <c r="E10">
        <v>97.4</v>
      </c>
      <c r="F10">
        <v>2191900</v>
      </c>
      <c r="G10">
        <v>97.15</v>
      </c>
    </row>
    <row r="11" spans="1:7" x14ac:dyDescent="0.25">
      <c r="A11" s="34">
        <v>41834</v>
      </c>
      <c r="B11">
        <v>97.93</v>
      </c>
      <c r="C11">
        <v>98.91</v>
      </c>
      <c r="D11">
        <v>97.92</v>
      </c>
      <c r="E11">
        <v>98.55</v>
      </c>
      <c r="F11">
        <v>1949200</v>
      </c>
      <c r="G11">
        <v>98.3</v>
      </c>
    </row>
    <row r="12" spans="1:7" x14ac:dyDescent="0.25">
      <c r="A12" s="34">
        <v>41835</v>
      </c>
      <c r="B12">
        <v>97.99</v>
      </c>
      <c r="C12">
        <v>98.8</v>
      </c>
      <c r="D12">
        <v>97.32</v>
      </c>
      <c r="E12">
        <v>97.94</v>
      </c>
      <c r="F12">
        <v>2603200</v>
      </c>
      <c r="G12">
        <v>97.69</v>
      </c>
    </row>
    <row r="13" spans="1:7" x14ac:dyDescent="0.25">
      <c r="A13" s="34">
        <v>41836</v>
      </c>
      <c r="B13">
        <v>98.5</v>
      </c>
      <c r="C13">
        <v>99.9</v>
      </c>
      <c r="D13">
        <v>98.46</v>
      </c>
      <c r="E13">
        <v>99.87</v>
      </c>
      <c r="F13">
        <v>2525900</v>
      </c>
      <c r="G13">
        <v>99.62</v>
      </c>
    </row>
    <row r="14" spans="1:7" x14ac:dyDescent="0.25">
      <c r="A14" s="34">
        <v>41837</v>
      </c>
      <c r="B14">
        <v>100</v>
      </c>
      <c r="C14">
        <v>101.5</v>
      </c>
      <c r="D14">
        <v>98.81</v>
      </c>
      <c r="E14">
        <v>98.91</v>
      </c>
      <c r="F14">
        <v>2912600</v>
      </c>
      <c r="G14">
        <v>98.66</v>
      </c>
    </row>
    <row r="15" spans="1:7" x14ac:dyDescent="0.25">
      <c r="A15" s="34">
        <v>41838</v>
      </c>
      <c r="B15">
        <v>99.04</v>
      </c>
      <c r="C15">
        <v>99.24</v>
      </c>
      <c r="D15">
        <v>98.2</v>
      </c>
      <c r="E15">
        <v>98.58</v>
      </c>
      <c r="F15">
        <v>2143500</v>
      </c>
      <c r="G15">
        <v>98.58</v>
      </c>
    </row>
    <row r="16" spans="1:7" x14ac:dyDescent="0.25">
      <c r="A16" s="34">
        <v>41841</v>
      </c>
      <c r="B16">
        <v>98.42</v>
      </c>
      <c r="C16">
        <v>98.69</v>
      </c>
      <c r="D16">
        <v>97.81</v>
      </c>
      <c r="E16">
        <v>98.56</v>
      </c>
      <c r="F16">
        <v>1441500</v>
      </c>
      <c r="G16">
        <v>98.56</v>
      </c>
    </row>
    <row r="17" spans="1:7" x14ac:dyDescent="0.25">
      <c r="A17" s="34">
        <v>41842</v>
      </c>
      <c r="B17">
        <v>103.72</v>
      </c>
      <c r="C17">
        <v>104</v>
      </c>
      <c r="D17">
        <v>102.22</v>
      </c>
      <c r="E17">
        <v>103.12</v>
      </c>
      <c r="F17">
        <v>5865300</v>
      </c>
      <c r="G17">
        <v>103.12</v>
      </c>
    </row>
    <row r="18" spans="1:7" x14ac:dyDescent="0.25">
      <c r="A18" s="34">
        <v>41843</v>
      </c>
      <c r="B18">
        <v>102.98</v>
      </c>
      <c r="C18">
        <v>103.51</v>
      </c>
      <c r="D18">
        <v>101.47</v>
      </c>
      <c r="E18">
        <v>103.48</v>
      </c>
      <c r="F18">
        <v>3969900</v>
      </c>
      <c r="G18">
        <v>103.48</v>
      </c>
    </row>
    <row r="19" spans="1:7" x14ac:dyDescent="0.25">
      <c r="A19" s="34">
        <v>41844</v>
      </c>
      <c r="B19">
        <v>103.36</v>
      </c>
      <c r="C19">
        <v>103.37</v>
      </c>
      <c r="D19">
        <v>102.38</v>
      </c>
      <c r="E19">
        <v>102.6</v>
      </c>
      <c r="F19">
        <v>3707600</v>
      </c>
      <c r="G19">
        <v>102.6</v>
      </c>
    </row>
    <row r="20" spans="1:7" x14ac:dyDescent="0.25">
      <c r="A20" s="34">
        <v>41845</v>
      </c>
      <c r="B20">
        <v>102.24</v>
      </c>
      <c r="C20">
        <v>103.44</v>
      </c>
      <c r="D20">
        <v>101.16</v>
      </c>
      <c r="E20">
        <v>101.85</v>
      </c>
      <c r="F20">
        <v>1317300</v>
      </c>
      <c r="G20">
        <v>101.85</v>
      </c>
    </row>
    <row r="21" spans="1:7" x14ac:dyDescent="0.25">
      <c r="A21" s="34">
        <v>41848</v>
      </c>
      <c r="B21">
        <v>101.39</v>
      </c>
      <c r="C21">
        <v>101.94</v>
      </c>
      <c r="D21">
        <v>100.64</v>
      </c>
      <c r="E21">
        <v>101.27</v>
      </c>
      <c r="F21">
        <v>1803300</v>
      </c>
      <c r="G21">
        <v>101.27</v>
      </c>
    </row>
    <row r="22" spans="1:7" x14ac:dyDescent="0.25">
      <c r="A22" s="34">
        <v>41849</v>
      </c>
      <c r="B22">
        <v>100.99</v>
      </c>
      <c r="C22">
        <v>101.96</v>
      </c>
      <c r="D22">
        <v>100.71</v>
      </c>
      <c r="E22">
        <v>101.32</v>
      </c>
      <c r="F22">
        <v>1934600</v>
      </c>
      <c r="G22">
        <v>101.32</v>
      </c>
    </row>
    <row r="23" spans="1:7" x14ac:dyDescent="0.25">
      <c r="A23" s="34">
        <v>41850</v>
      </c>
      <c r="B23">
        <v>102.19</v>
      </c>
      <c r="C23">
        <v>102.65</v>
      </c>
      <c r="D23">
        <v>100.75</v>
      </c>
      <c r="E23">
        <v>101.29</v>
      </c>
      <c r="F23">
        <v>2321300</v>
      </c>
      <c r="G23">
        <v>101.29</v>
      </c>
    </row>
    <row r="24" spans="1:7" x14ac:dyDescent="0.25">
      <c r="A24" s="34">
        <v>41851</v>
      </c>
      <c r="B24">
        <v>103.08</v>
      </c>
      <c r="C24">
        <v>104.57</v>
      </c>
      <c r="D24">
        <v>101.9</v>
      </c>
      <c r="E24">
        <v>102.66</v>
      </c>
      <c r="F24">
        <v>6190300</v>
      </c>
      <c r="G24">
        <v>102.66</v>
      </c>
    </row>
    <row r="25" spans="1:7" x14ac:dyDescent="0.25">
      <c r="A25" s="34">
        <v>41852</v>
      </c>
      <c r="B25">
        <v>102.35</v>
      </c>
      <c r="C25">
        <v>102.69</v>
      </c>
      <c r="D25">
        <v>99.75</v>
      </c>
      <c r="E25">
        <v>100.32</v>
      </c>
      <c r="F25">
        <v>4280200</v>
      </c>
      <c r="G25">
        <v>100.32</v>
      </c>
    </row>
    <row r="26" spans="1:7" x14ac:dyDescent="0.25">
      <c r="A26" s="34">
        <v>41855</v>
      </c>
      <c r="B26">
        <v>99.88</v>
      </c>
      <c r="C26">
        <v>102.6</v>
      </c>
      <c r="D26">
        <v>99.7</v>
      </c>
      <c r="E26">
        <v>102.29</v>
      </c>
      <c r="F26">
        <v>3933500</v>
      </c>
      <c r="G26">
        <v>102.29</v>
      </c>
    </row>
    <row r="27" spans="1:7" x14ac:dyDescent="0.25">
      <c r="A27" s="34">
        <v>41856</v>
      </c>
      <c r="B27">
        <v>101.71</v>
      </c>
      <c r="C27">
        <v>101.71</v>
      </c>
      <c r="D27">
        <v>98.45</v>
      </c>
      <c r="E27">
        <v>99.38</v>
      </c>
      <c r="F27">
        <v>4064700</v>
      </c>
      <c r="G27">
        <v>99.38</v>
      </c>
    </row>
    <row r="28" spans="1:7" x14ac:dyDescent="0.25">
      <c r="A28" s="34">
        <v>41857</v>
      </c>
      <c r="B28">
        <v>98.91</v>
      </c>
      <c r="C28">
        <v>101.67</v>
      </c>
      <c r="D28">
        <v>98.88</v>
      </c>
      <c r="E28">
        <v>99.95</v>
      </c>
      <c r="F28">
        <v>2386600</v>
      </c>
      <c r="G28">
        <v>99.95</v>
      </c>
    </row>
    <row r="29" spans="1:7" x14ac:dyDescent="0.25">
      <c r="A29" s="34">
        <v>41858</v>
      </c>
      <c r="B29">
        <v>100.44</v>
      </c>
      <c r="C29">
        <v>100.66</v>
      </c>
      <c r="D29">
        <v>97.91</v>
      </c>
      <c r="E29">
        <v>98.57</v>
      </c>
      <c r="F29">
        <v>2902600</v>
      </c>
      <c r="G29">
        <v>98.57</v>
      </c>
    </row>
    <row r="30" spans="1:7" x14ac:dyDescent="0.25">
      <c r="A30" s="34">
        <v>41859</v>
      </c>
      <c r="B30">
        <v>98.99</v>
      </c>
      <c r="C30">
        <v>100.7</v>
      </c>
      <c r="D30">
        <v>98.64</v>
      </c>
      <c r="E30">
        <v>100.38</v>
      </c>
      <c r="F30">
        <v>1895300</v>
      </c>
      <c r="G30">
        <v>100.38</v>
      </c>
    </row>
    <row r="31" spans="1:7" x14ac:dyDescent="0.25">
      <c r="A31" s="34">
        <v>41862</v>
      </c>
      <c r="B31">
        <v>100.4</v>
      </c>
      <c r="C31">
        <v>101.11</v>
      </c>
      <c r="D31">
        <v>99.71</v>
      </c>
      <c r="E31">
        <v>99.87</v>
      </c>
      <c r="F31">
        <v>1887500</v>
      </c>
      <c r="G31">
        <v>99.87</v>
      </c>
    </row>
    <row r="32" spans="1:7" x14ac:dyDescent="0.25">
      <c r="A32" s="34">
        <v>41863</v>
      </c>
      <c r="B32">
        <v>99.58</v>
      </c>
      <c r="C32">
        <v>99.86</v>
      </c>
      <c r="D32">
        <v>98</v>
      </c>
      <c r="E32">
        <v>98.47</v>
      </c>
      <c r="F32">
        <v>2691100</v>
      </c>
      <c r="G32">
        <v>98.47</v>
      </c>
    </row>
    <row r="33" spans="1:7" x14ac:dyDescent="0.25">
      <c r="A33" s="34">
        <v>41864</v>
      </c>
      <c r="B33">
        <v>98.79</v>
      </c>
      <c r="C33">
        <v>100</v>
      </c>
      <c r="D33">
        <v>98.29</v>
      </c>
      <c r="E33">
        <v>98.6</v>
      </c>
      <c r="F33">
        <v>2302300</v>
      </c>
      <c r="G33">
        <v>98.6</v>
      </c>
    </row>
    <row r="34" spans="1:7" x14ac:dyDescent="0.25">
      <c r="A34" s="34">
        <v>41865</v>
      </c>
      <c r="B34">
        <v>99.05</v>
      </c>
      <c r="C34">
        <v>99.34</v>
      </c>
      <c r="D34">
        <v>97.68</v>
      </c>
      <c r="E34">
        <v>97.94</v>
      </c>
      <c r="F34">
        <v>2861700</v>
      </c>
      <c r="G34">
        <v>97.94</v>
      </c>
    </row>
    <row r="35" spans="1:7" x14ac:dyDescent="0.25">
      <c r="A35" s="34">
        <v>41866</v>
      </c>
      <c r="B35">
        <v>98.44</v>
      </c>
      <c r="C35">
        <v>99.11</v>
      </c>
      <c r="D35">
        <v>97.87</v>
      </c>
      <c r="E35">
        <v>98.68</v>
      </c>
      <c r="F35">
        <v>3567800</v>
      </c>
      <c r="G35">
        <v>98.68</v>
      </c>
    </row>
    <row r="36" spans="1:7" x14ac:dyDescent="0.25">
      <c r="A36" s="34">
        <v>41869</v>
      </c>
      <c r="B36">
        <v>99.31</v>
      </c>
      <c r="C36">
        <v>99.87</v>
      </c>
      <c r="D36">
        <v>97.6</v>
      </c>
      <c r="E36">
        <v>98.5</v>
      </c>
      <c r="F36">
        <v>2694500</v>
      </c>
      <c r="G36">
        <v>98.5</v>
      </c>
    </row>
    <row r="37" spans="1:7" x14ac:dyDescent="0.25">
      <c r="A37" s="34">
        <v>41870</v>
      </c>
      <c r="B37">
        <v>98.83</v>
      </c>
      <c r="C37">
        <v>99.89</v>
      </c>
      <c r="D37">
        <v>98.83</v>
      </c>
      <c r="E37">
        <v>99.27</v>
      </c>
      <c r="F37">
        <v>2441600</v>
      </c>
      <c r="G37">
        <v>99.27</v>
      </c>
    </row>
    <row r="38" spans="1:7" x14ac:dyDescent="0.25">
      <c r="A38" s="34">
        <v>41871</v>
      </c>
      <c r="B38">
        <v>99.34</v>
      </c>
      <c r="C38">
        <v>100.47</v>
      </c>
      <c r="D38">
        <v>98.65</v>
      </c>
      <c r="E38">
        <v>100.34</v>
      </c>
      <c r="F38">
        <v>2446900</v>
      </c>
      <c r="G38">
        <v>100.34</v>
      </c>
    </row>
    <row r="39" spans="1:7" x14ac:dyDescent="0.25">
      <c r="A39" s="34">
        <v>41872</v>
      </c>
      <c r="B39">
        <v>100.02</v>
      </c>
      <c r="C39">
        <v>101.42</v>
      </c>
      <c r="D39">
        <v>99.56</v>
      </c>
      <c r="E39">
        <v>101.13</v>
      </c>
      <c r="F39">
        <v>1883500</v>
      </c>
      <c r="G39">
        <v>101.13</v>
      </c>
    </row>
    <row r="40" spans="1:7" x14ac:dyDescent="0.25">
      <c r="A40" s="34">
        <v>41873</v>
      </c>
      <c r="B40">
        <v>100.95</v>
      </c>
      <c r="C40">
        <v>100.95</v>
      </c>
      <c r="D40">
        <v>99.71</v>
      </c>
      <c r="E40">
        <v>99.82</v>
      </c>
      <c r="F40">
        <v>1657000</v>
      </c>
      <c r="G40">
        <v>99.82</v>
      </c>
    </row>
    <row r="41" spans="1:7" x14ac:dyDescent="0.25">
      <c r="A41" s="34">
        <v>41876</v>
      </c>
      <c r="B41">
        <v>100.12</v>
      </c>
      <c r="C41">
        <v>101.66</v>
      </c>
      <c r="D41">
        <v>100.03</v>
      </c>
      <c r="E41">
        <v>101.43</v>
      </c>
      <c r="F41">
        <v>1745200</v>
      </c>
      <c r="G41">
        <v>101.43</v>
      </c>
    </row>
    <row r="42" spans="1:7" x14ac:dyDescent="0.25">
      <c r="A42" s="34">
        <v>41877</v>
      </c>
      <c r="B42">
        <v>101.5</v>
      </c>
      <c r="C42">
        <v>102.55</v>
      </c>
      <c r="D42">
        <v>101.41</v>
      </c>
      <c r="E42">
        <v>101.55</v>
      </c>
      <c r="F42">
        <v>2037200</v>
      </c>
      <c r="G42">
        <v>101.55</v>
      </c>
    </row>
    <row r="43" spans="1:7" x14ac:dyDescent="0.25">
      <c r="A43" s="34">
        <v>41878</v>
      </c>
      <c r="B43">
        <v>101.66</v>
      </c>
      <c r="C43">
        <v>102.29</v>
      </c>
      <c r="D43">
        <v>101.02</v>
      </c>
      <c r="E43">
        <v>101.53</v>
      </c>
      <c r="F43">
        <v>1643100</v>
      </c>
      <c r="G43">
        <v>101.53</v>
      </c>
    </row>
    <row r="44" spans="1:7" x14ac:dyDescent="0.25">
      <c r="A44" s="34">
        <v>41879</v>
      </c>
      <c r="B44">
        <v>101.45</v>
      </c>
      <c r="C44">
        <v>101.87</v>
      </c>
      <c r="D44">
        <v>101.04</v>
      </c>
      <c r="E44">
        <v>101.37</v>
      </c>
      <c r="F44">
        <v>2164000</v>
      </c>
      <c r="G44">
        <v>101.37</v>
      </c>
    </row>
    <row r="45" spans="1:7" x14ac:dyDescent="0.25">
      <c r="A45" s="34">
        <v>41880</v>
      </c>
      <c r="B45">
        <v>100.81</v>
      </c>
      <c r="C45">
        <v>102.03</v>
      </c>
      <c r="D45">
        <v>100.81</v>
      </c>
      <c r="E45">
        <v>101.83</v>
      </c>
      <c r="F45">
        <v>3026100</v>
      </c>
      <c r="G45">
        <v>101.83</v>
      </c>
    </row>
    <row r="46" spans="1:7" x14ac:dyDescent="0.25">
      <c r="A46" s="34">
        <v>41884</v>
      </c>
      <c r="B46">
        <v>101.82</v>
      </c>
      <c r="C46">
        <v>101.91</v>
      </c>
      <c r="D46">
        <v>99.56</v>
      </c>
      <c r="E46">
        <v>100.16</v>
      </c>
      <c r="F46">
        <v>2349900</v>
      </c>
      <c r="G46">
        <v>100.16</v>
      </c>
    </row>
    <row r="47" spans="1:7" x14ac:dyDescent="0.25">
      <c r="A47" s="34">
        <v>41885</v>
      </c>
      <c r="B47">
        <v>101.33</v>
      </c>
      <c r="C47">
        <v>102</v>
      </c>
      <c r="D47">
        <v>100.26</v>
      </c>
      <c r="E47">
        <v>100.36</v>
      </c>
      <c r="F47">
        <v>2137500</v>
      </c>
      <c r="G47">
        <v>100.36</v>
      </c>
    </row>
    <row r="48" spans="1:7" x14ac:dyDescent="0.25">
      <c r="A48" s="34">
        <v>41886</v>
      </c>
      <c r="B48">
        <v>100.21</v>
      </c>
      <c r="C48">
        <v>100.87</v>
      </c>
      <c r="D48">
        <v>98.1</v>
      </c>
      <c r="E48">
        <v>98.76</v>
      </c>
      <c r="F48">
        <v>2218300</v>
      </c>
      <c r="G48">
        <v>98.76</v>
      </c>
    </row>
    <row r="49" spans="1:7" x14ac:dyDescent="0.25">
      <c r="A49" s="34">
        <v>41887</v>
      </c>
      <c r="B49">
        <v>98.26</v>
      </c>
      <c r="C49">
        <v>99.7</v>
      </c>
      <c r="D49">
        <v>98.26</v>
      </c>
      <c r="E49">
        <v>99.53</v>
      </c>
      <c r="F49">
        <v>2535200</v>
      </c>
      <c r="G49">
        <v>99.53</v>
      </c>
    </row>
    <row r="50" spans="1:7" x14ac:dyDescent="0.25">
      <c r="A50" s="34">
        <v>41890</v>
      </c>
      <c r="B50">
        <v>98.8</v>
      </c>
      <c r="C50">
        <v>98.86</v>
      </c>
      <c r="D50">
        <v>97.35</v>
      </c>
      <c r="E50">
        <v>97.93</v>
      </c>
      <c r="F50">
        <v>2198600</v>
      </c>
      <c r="G50">
        <v>97.93</v>
      </c>
    </row>
    <row r="51" spans="1:7" x14ac:dyDescent="0.25">
      <c r="A51" s="34">
        <v>41891</v>
      </c>
      <c r="B51">
        <v>97.9</v>
      </c>
      <c r="C51">
        <v>98.59</v>
      </c>
      <c r="D51">
        <v>96.64</v>
      </c>
      <c r="E51">
        <v>97.11</v>
      </c>
      <c r="F51">
        <v>2739200</v>
      </c>
      <c r="G51">
        <v>97.11</v>
      </c>
    </row>
    <row r="52" spans="1:7" x14ac:dyDescent="0.25">
      <c r="A52" s="34">
        <v>41892</v>
      </c>
      <c r="B52">
        <v>96.74</v>
      </c>
      <c r="C52">
        <v>97.36</v>
      </c>
      <c r="D52">
        <v>95.91</v>
      </c>
      <c r="E52">
        <v>97.28</v>
      </c>
      <c r="F52">
        <v>2609000</v>
      </c>
      <c r="G52">
        <v>97.28</v>
      </c>
    </row>
    <row r="53" spans="1:7" x14ac:dyDescent="0.25">
      <c r="A53" s="34">
        <v>41893</v>
      </c>
      <c r="B53">
        <v>96.1</v>
      </c>
      <c r="C53">
        <v>97.67</v>
      </c>
      <c r="D53">
        <v>95.81</v>
      </c>
      <c r="E53">
        <v>97.63</v>
      </c>
      <c r="F53">
        <v>2088500</v>
      </c>
      <c r="G53">
        <v>97.63</v>
      </c>
    </row>
    <row r="54" spans="1:7" x14ac:dyDescent="0.25">
      <c r="A54" s="34">
        <v>41894</v>
      </c>
      <c r="B54">
        <v>97.25</v>
      </c>
      <c r="C54">
        <v>97.5</v>
      </c>
      <c r="D54">
        <v>96.08</v>
      </c>
      <c r="E54">
        <v>96.24</v>
      </c>
      <c r="F54">
        <v>1621600</v>
      </c>
      <c r="G54">
        <v>96.24</v>
      </c>
    </row>
    <row r="55" spans="1:7" x14ac:dyDescent="0.25">
      <c r="A55" s="34">
        <v>41897</v>
      </c>
      <c r="B55">
        <v>95.92</v>
      </c>
      <c r="C55">
        <v>97.32</v>
      </c>
      <c r="D55">
        <v>95.22</v>
      </c>
      <c r="E55">
        <v>97.12</v>
      </c>
      <c r="F55">
        <v>1858900</v>
      </c>
      <c r="G55">
        <v>97.12</v>
      </c>
    </row>
  </sheetData>
  <sortState ref="A3:G55">
    <sortCondition ref="A3:A55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110.72</v>
      </c>
      <c r="C3">
        <v>110.72</v>
      </c>
      <c r="D3">
        <v>108.38</v>
      </c>
      <c r="E3">
        <v>109.33</v>
      </c>
      <c r="F3">
        <v>2199500</v>
      </c>
      <c r="G3">
        <v>109.06</v>
      </c>
    </row>
    <row r="4" spans="1:7" x14ac:dyDescent="0.25">
      <c r="A4" s="34">
        <v>41822</v>
      </c>
      <c r="B4">
        <v>109.04</v>
      </c>
      <c r="C4">
        <v>109.75</v>
      </c>
      <c r="D4">
        <v>107.39</v>
      </c>
      <c r="E4">
        <v>107.63</v>
      </c>
      <c r="F4">
        <v>2073600</v>
      </c>
      <c r="G4">
        <v>107.37</v>
      </c>
    </row>
    <row r="5" spans="1:7" x14ac:dyDescent="0.25">
      <c r="A5" s="34">
        <v>41823</v>
      </c>
      <c r="B5">
        <v>107.93</v>
      </c>
      <c r="C5">
        <v>108.5</v>
      </c>
      <c r="D5">
        <v>107.26</v>
      </c>
      <c r="E5">
        <v>107.58</v>
      </c>
      <c r="F5">
        <v>1259200</v>
      </c>
      <c r="G5">
        <v>107.32</v>
      </c>
    </row>
    <row r="6" spans="1:7" x14ac:dyDescent="0.25">
      <c r="A6" s="34">
        <v>41827</v>
      </c>
      <c r="B6">
        <v>107.6</v>
      </c>
      <c r="C6">
        <v>107.64</v>
      </c>
      <c r="D6">
        <v>106.56</v>
      </c>
      <c r="E6">
        <v>106.79</v>
      </c>
      <c r="F6">
        <v>1718900</v>
      </c>
      <c r="G6">
        <v>106.53</v>
      </c>
    </row>
    <row r="7" spans="1:7" x14ac:dyDescent="0.25">
      <c r="A7" s="34">
        <v>41828</v>
      </c>
      <c r="B7">
        <v>106.49</v>
      </c>
      <c r="C7">
        <v>107.68</v>
      </c>
      <c r="D7">
        <v>105.98</v>
      </c>
      <c r="E7">
        <v>107.49</v>
      </c>
      <c r="F7">
        <v>3410100</v>
      </c>
      <c r="G7">
        <v>107.23</v>
      </c>
    </row>
    <row r="8" spans="1:7" x14ac:dyDescent="0.25">
      <c r="A8" s="34">
        <v>41829</v>
      </c>
      <c r="B8">
        <v>107.61</v>
      </c>
      <c r="C8">
        <v>107.64</v>
      </c>
      <c r="D8">
        <v>106.62</v>
      </c>
      <c r="E8">
        <v>107.5</v>
      </c>
      <c r="F8">
        <v>2165200</v>
      </c>
      <c r="G8">
        <v>107.24</v>
      </c>
    </row>
    <row r="9" spans="1:7" x14ac:dyDescent="0.25">
      <c r="A9" s="34">
        <v>41830</v>
      </c>
      <c r="B9">
        <v>105.98</v>
      </c>
      <c r="C9">
        <v>106.78</v>
      </c>
      <c r="D9">
        <v>105.21</v>
      </c>
      <c r="E9">
        <v>106.14</v>
      </c>
      <c r="F9">
        <v>2649700</v>
      </c>
      <c r="G9">
        <v>105.88</v>
      </c>
    </row>
    <row r="10" spans="1:7" x14ac:dyDescent="0.25">
      <c r="A10" s="34">
        <v>41831</v>
      </c>
      <c r="B10">
        <v>106</v>
      </c>
      <c r="C10">
        <v>106.06</v>
      </c>
      <c r="D10">
        <v>104.45</v>
      </c>
      <c r="E10">
        <v>104.78</v>
      </c>
      <c r="F10">
        <v>2869500</v>
      </c>
      <c r="G10">
        <v>104.52</v>
      </c>
    </row>
    <row r="11" spans="1:7" x14ac:dyDescent="0.25">
      <c r="A11" s="34">
        <v>41834</v>
      </c>
      <c r="B11">
        <v>105.53</v>
      </c>
      <c r="C11">
        <v>106.33</v>
      </c>
      <c r="D11">
        <v>105.15</v>
      </c>
      <c r="E11">
        <v>105.92</v>
      </c>
      <c r="F11">
        <v>2828800</v>
      </c>
      <c r="G11">
        <v>105.66</v>
      </c>
    </row>
    <row r="12" spans="1:7" x14ac:dyDescent="0.25">
      <c r="A12" s="34">
        <v>41835</v>
      </c>
      <c r="B12">
        <v>109.25</v>
      </c>
      <c r="C12">
        <v>110.31</v>
      </c>
      <c r="D12">
        <v>107.61</v>
      </c>
      <c r="E12">
        <v>109.72</v>
      </c>
      <c r="F12">
        <v>8849600</v>
      </c>
      <c r="G12">
        <v>109.45</v>
      </c>
    </row>
    <row r="13" spans="1:7" x14ac:dyDescent="0.25">
      <c r="A13" s="34">
        <v>41836</v>
      </c>
      <c r="B13">
        <v>110.3</v>
      </c>
      <c r="C13">
        <v>112.8</v>
      </c>
      <c r="D13">
        <v>109.45</v>
      </c>
      <c r="E13">
        <v>112.53</v>
      </c>
      <c r="F13">
        <v>7098500</v>
      </c>
      <c r="G13">
        <v>112.25</v>
      </c>
    </row>
    <row r="14" spans="1:7" x14ac:dyDescent="0.25">
      <c r="A14" s="34">
        <v>41837</v>
      </c>
      <c r="B14">
        <v>112.26</v>
      </c>
      <c r="C14">
        <v>112.5</v>
      </c>
      <c r="D14">
        <v>107.96</v>
      </c>
      <c r="E14">
        <v>108.11</v>
      </c>
      <c r="F14">
        <v>5618800</v>
      </c>
      <c r="G14">
        <v>107.84</v>
      </c>
    </row>
    <row r="15" spans="1:7" x14ac:dyDescent="0.25">
      <c r="A15" s="34">
        <v>41838</v>
      </c>
      <c r="B15">
        <v>108.07</v>
      </c>
      <c r="C15">
        <v>108.77</v>
      </c>
      <c r="D15">
        <v>107.56</v>
      </c>
      <c r="E15">
        <v>108.33</v>
      </c>
      <c r="F15">
        <v>3099900</v>
      </c>
      <c r="G15">
        <v>108.06</v>
      </c>
    </row>
    <row r="16" spans="1:7" x14ac:dyDescent="0.25">
      <c r="A16" s="34">
        <v>41841</v>
      </c>
      <c r="B16">
        <v>108.6</v>
      </c>
      <c r="C16">
        <v>109.3</v>
      </c>
      <c r="D16">
        <v>106.78</v>
      </c>
      <c r="E16">
        <v>108.87</v>
      </c>
      <c r="F16">
        <v>4401100</v>
      </c>
      <c r="G16">
        <v>108.6</v>
      </c>
    </row>
    <row r="17" spans="1:7" x14ac:dyDescent="0.25">
      <c r="A17" s="34">
        <v>41842</v>
      </c>
      <c r="B17">
        <v>109.33</v>
      </c>
      <c r="C17">
        <v>109.51</v>
      </c>
      <c r="D17">
        <v>108.28</v>
      </c>
      <c r="E17">
        <v>108.32</v>
      </c>
      <c r="F17">
        <v>4192300</v>
      </c>
      <c r="G17">
        <v>108.05</v>
      </c>
    </row>
    <row r="18" spans="1:7" x14ac:dyDescent="0.25">
      <c r="A18" s="34">
        <v>41843</v>
      </c>
      <c r="B18">
        <v>108.66</v>
      </c>
      <c r="C18">
        <v>111.11</v>
      </c>
      <c r="D18">
        <v>108.18</v>
      </c>
      <c r="E18">
        <v>110.81</v>
      </c>
      <c r="F18">
        <v>5516100</v>
      </c>
      <c r="G18">
        <v>110.54</v>
      </c>
    </row>
    <row r="19" spans="1:7" x14ac:dyDescent="0.25">
      <c r="A19" s="34">
        <v>41844</v>
      </c>
      <c r="B19">
        <v>110.45</v>
      </c>
      <c r="C19">
        <v>112.11</v>
      </c>
      <c r="D19">
        <v>110.11</v>
      </c>
      <c r="E19">
        <v>111</v>
      </c>
      <c r="F19">
        <v>4549500</v>
      </c>
      <c r="G19">
        <v>110.73</v>
      </c>
    </row>
    <row r="20" spans="1:7" x14ac:dyDescent="0.25">
      <c r="A20" s="34">
        <v>41845</v>
      </c>
      <c r="B20">
        <v>110.44</v>
      </c>
      <c r="C20">
        <v>110.44</v>
      </c>
      <c r="D20">
        <v>109.04</v>
      </c>
      <c r="E20">
        <v>109.21</v>
      </c>
      <c r="F20">
        <v>2239700</v>
      </c>
      <c r="G20">
        <v>108.94</v>
      </c>
    </row>
    <row r="21" spans="1:7" x14ac:dyDescent="0.25">
      <c r="A21" s="34">
        <v>41848</v>
      </c>
      <c r="B21">
        <v>109.41</v>
      </c>
      <c r="C21">
        <v>109.57</v>
      </c>
      <c r="D21">
        <v>107.38</v>
      </c>
      <c r="E21">
        <v>107.65</v>
      </c>
      <c r="F21">
        <v>4839400</v>
      </c>
      <c r="G21">
        <v>107.39</v>
      </c>
    </row>
    <row r="22" spans="1:7" x14ac:dyDescent="0.25">
      <c r="A22" s="34">
        <v>41849</v>
      </c>
      <c r="B22">
        <v>107.55</v>
      </c>
      <c r="C22">
        <v>110.15</v>
      </c>
      <c r="D22">
        <v>107.25</v>
      </c>
      <c r="E22">
        <v>109.23</v>
      </c>
      <c r="F22">
        <v>6752000</v>
      </c>
      <c r="G22">
        <v>108.96</v>
      </c>
    </row>
    <row r="23" spans="1:7" x14ac:dyDescent="0.25">
      <c r="A23" s="34">
        <v>41850</v>
      </c>
      <c r="B23">
        <v>111.47</v>
      </c>
      <c r="C23">
        <v>113</v>
      </c>
      <c r="D23">
        <v>108.76</v>
      </c>
      <c r="E23">
        <v>109.87</v>
      </c>
      <c r="F23">
        <v>6010100</v>
      </c>
      <c r="G23">
        <v>109.6</v>
      </c>
    </row>
    <row r="24" spans="1:7" x14ac:dyDescent="0.25">
      <c r="A24" s="34">
        <v>41851</v>
      </c>
      <c r="B24">
        <v>109.14</v>
      </c>
      <c r="C24">
        <v>109.14</v>
      </c>
      <c r="D24">
        <v>106</v>
      </c>
      <c r="E24">
        <v>106.85</v>
      </c>
      <c r="F24">
        <v>6913900</v>
      </c>
      <c r="G24">
        <v>106.59</v>
      </c>
    </row>
    <row r="25" spans="1:7" x14ac:dyDescent="0.25">
      <c r="A25" s="34">
        <v>41852</v>
      </c>
      <c r="B25">
        <v>105.87</v>
      </c>
      <c r="C25">
        <v>106.89</v>
      </c>
      <c r="D25">
        <v>104.5</v>
      </c>
      <c r="E25">
        <v>105.62</v>
      </c>
      <c r="F25">
        <v>5191000</v>
      </c>
      <c r="G25">
        <v>105.36</v>
      </c>
    </row>
    <row r="26" spans="1:7" x14ac:dyDescent="0.25">
      <c r="A26" s="34">
        <v>41855</v>
      </c>
      <c r="B26">
        <v>106.6</v>
      </c>
      <c r="C26">
        <v>112.19</v>
      </c>
      <c r="D26">
        <v>106.02</v>
      </c>
      <c r="E26">
        <v>110.73</v>
      </c>
      <c r="F26">
        <v>6785700</v>
      </c>
      <c r="G26">
        <v>110.46</v>
      </c>
    </row>
    <row r="27" spans="1:7" x14ac:dyDescent="0.25">
      <c r="A27" s="34">
        <v>41856</v>
      </c>
      <c r="B27">
        <v>110.17</v>
      </c>
      <c r="C27">
        <v>110.4</v>
      </c>
      <c r="D27">
        <v>107.27</v>
      </c>
      <c r="E27">
        <v>108.1</v>
      </c>
      <c r="F27">
        <v>4177700</v>
      </c>
      <c r="G27">
        <v>107.83</v>
      </c>
    </row>
    <row r="28" spans="1:7" x14ac:dyDescent="0.25">
      <c r="A28" s="34">
        <v>41857</v>
      </c>
      <c r="B28">
        <v>107.79</v>
      </c>
      <c r="C28">
        <v>108.51</v>
      </c>
      <c r="D28">
        <v>106.5</v>
      </c>
      <c r="E28">
        <v>106.9</v>
      </c>
      <c r="F28">
        <v>4022600</v>
      </c>
      <c r="G28">
        <v>106.64</v>
      </c>
    </row>
    <row r="29" spans="1:7" x14ac:dyDescent="0.25">
      <c r="A29" s="34">
        <v>41858</v>
      </c>
      <c r="B29">
        <v>107.48</v>
      </c>
      <c r="C29">
        <v>107.75</v>
      </c>
      <c r="D29">
        <v>106</v>
      </c>
      <c r="E29">
        <v>107.12</v>
      </c>
      <c r="F29">
        <v>3319700</v>
      </c>
      <c r="G29">
        <v>106.86</v>
      </c>
    </row>
    <row r="30" spans="1:7" x14ac:dyDescent="0.25">
      <c r="A30" s="34">
        <v>41859</v>
      </c>
      <c r="B30">
        <v>107.03</v>
      </c>
      <c r="C30">
        <v>109.34</v>
      </c>
      <c r="D30">
        <v>106.59</v>
      </c>
      <c r="E30">
        <v>109.23</v>
      </c>
      <c r="F30">
        <v>3376900</v>
      </c>
      <c r="G30">
        <v>108.96</v>
      </c>
    </row>
    <row r="31" spans="1:7" x14ac:dyDescent="0.25">
      <c r="A31" s="34">
        <v>41862</v>
      </c>
      <c r="B31">
        <v>109.27</v>
      </c>
      <c r="C31">
        <v>110.23</v>
      </c>
      <c r="D31">
        <v>108.38</v>
      </c>
      <c r="E31">
        <v>108.51</v>
      </c>
      <c r="F31">
        <v>2982100</v>
      </c>
      <c r="G31">
        <v>108.24</v>
      </c>
    </row>
    <row r="32" spans="1:7" x14ac:dyDescent="0.25">
      <c r="A32" s="34">
        <v>41863</v>
      </c>
      <c r="B32">
        <v>107.79</v>
      </c>
      <c r="C32">
        <v>107.79</v>
      </c>
      <c r="D32">
        <v>105.66</v>
      </c>
      <c r="E32">
        <v>106.06</v>
      </c>
      <c r="F32">
        <v>4306200</v>
      </c>
      <c r="G32">
        <v>105.8</v>
      </c>
    </row>
    <row r="33" spans="1:7" x14ac:dyDescent="0.25">
      <c r="A33" s="34">
        <v>41864</v>
      </c>
      <c r="B33">
        <v>106.65</v>
      </c>
      <c r="C33">
        <v>107.39</v>
      </c>
      <c r="D33">
        <v>105.91</v>
      </c>
      <c r="E33">
        <v>106.51</v>
      </c>
      <c r="F33">
        <v>2008400</v>
      </c>
      <c r="G33">
        <v>106.25</v>
      </c>
    </row>
    <row r="34" spans="1:7" x14ac:dyDescent="0.25">
      <c r="A34" s="34">
        <v>41865</v>
      </c>
      <c r="B34">
        <v>106.6</v>
      </c>
      <c r="C34">
        <v>106.86</v>
      </c>
      <c r="D34">
        <v>105.33</v>
      </c>
      <c r="E34">
        <v>105.89</v>
      </c>
      <c r="F34">
        <v>3892600</v>
      </c>
      <c r="G34">
        <v>105.63</v>
      </c>
    </row>
    <row r="35" spans="1:7" x14ac:dyDescent="0.25">
      <c r="A35" s="34">
        <v>41866</v>
      </c>
      <c r="B35">
        <v>106.4</v>
      </c>
      <c r="C35">
        <v>108.29</v>
      </c>
      <c r="D35">
        <v>105.97</v>
      </c>
      <c r="E35">
        <v>108.21</v>
      </c>
      <c r="F35">
        <v>4087400</v>
      </c>
      <c r="G35">
        <v>107.94</v>
      </c>
    </row>
    <row r="36" spans="1:7" x14ac:dyDescent="0.25">
      <c r="A36" s="34">
        <v>41869</v>
      </c>
      <c r="B36">
        <v>108.16</v>
      </c>
      <c r="C36">
        <v>108.93</v>
      </c>
      <c r="D36">
        <v>107.25</v>
      </c>
      <c r="E36">
        <v>108.85</v>
      </c>
      <c r="F36">
        <v>5167000</v>
      </c>
      <c r="G36">
        <v>108.58</v>
      </c>
    </row>
    <row r="37" spans="1:7" x14ac:dyDescent="0.25">
      <c r="A37" s="34">
        <v>41870</v>
      </c>
      <c r="B37">
        <v>109.12</v>
      </c>
      <c r="C37">
        <v>110.18</v>
      </c>
      <c r="D37">
        <v>109</v>
      </c>
      <c r="E37">
        <v>109.89</v>
      </c>
      <c r="F37">
        <v>2916000</v>
      </c>
      <c r="G37">
        <v>109.62</v>
      </c>
    </row>
    <row r="38" spans="1:7" x14ac:dyDescent="0.25">
      <c r="A38" s="34">
        <v>41871</v>
      </c>
      <c r="B38">
        <v>109.99</v>
      </c>
      <c r="C38">
        <v>110.23</v>
      </c>
      <c r="D38">
        <v>108.87</v>
      </c>
      <c r="E38">
        <v>110.02</v>
      </c>
      <c r="F38">
        <v>3428300</v>
      </c>
      <c r="G38">
        <v>109.75</v>
      </c>
    </row>
    <row r="39" spans="1:7" x14ac:dyDescent="0.25">
      <c r="A39" s="34">
        <v>41872</v>
      </c>
      <c r="B39">
        <v>110.3</v>
      </c>
      <c r="C39">
        <v>110.93</v>
      </c>
      <c r="D39">
        <v>109.01</v>
      </c>
      <c r="E39">
        <v>110.73</v>
      </c>
      <c r="F39">
        <v>2576100</v>
      </c>
      <c r="G39">
        <v>110.46</v>
      </c>
    </row>
    <row r="40" spans="1:7" x14ac:dyDescent="0.25">
      <c r="A40" s="34">
        <v>41873</v>
      </c>
      <c r="B40">
        <v>110.43</v>
      </c>
      <c r="C40">
        <v>110.65</v>
      </c>
      <c r="D40">
        <v>109</v>
      </c>
      <c r="E40">
        <v>109.74</v>
      </c>
      <c r="F40">
        <v>2263500</v>
      </c>
      <c r="G40">
        <v>109.47</v>
      </c>
    </row>
    <row r="41" spans="1:7" x14ac:dyDescent="0.25">
      <c r="A41" s="34">
        <v>41876</v>
      </c>
      <c r="B41">
        <v>110.2</v>
      </c>
      <c r="C41">
        <v>112.08</v>
      </c>
      <c r="D41">
        <v>110.01</v>
      </c>
      <c r="E41">
        <v>111.97</v>
      </c>
      <c r="F41">
        <v>3843900</v>
      </c>
      <c r="G41">
        <v>111.69</v>
      </c>
    </row>
    <row r="42" spans="1:7" x14ac:dyDescent="0.25">
      <c r="A42" s="34">
        <v>41877</v>
      </c>
      <c r="B42">
        <v>112.16</v>
      </c>
      <c r="C42">
        <v>113.51</v>
      </c>
      <c r="D42">
        <v>111.92</v>
      </c>
      <c r="E42">
        <v>112.05</v>
      </c>
      <c r="F42">
        <v>2814000</v>
      </c>
      <c r="G42">
        <v>111.77</v>
      </c>
    </row>
    <row r="43" spans="1:7" x14ac:dyDescent="0.25">
      <c r="A43" s="34">
        <v>41878</v>
      </c>
      <c r="B43">
        <v>112.29</v>
      </c>
      <c r="C43">
        <v>112.29</v>
      </c>
      <c r="D43">
        <v>110.32</v>
      </c>
      <c r="E43">
        <v>110.5</v>
      </c>
      <c r="F43">
        <v>2563900</v>
      </c>
      <c r="G43">
        <v>110.23</v>
      </c>
    </row>
    <row r="44" spans="1:7" x14ac:dyDescent="0.25">
      <c r="A44" s="34">
        <v>41879</v>
      </c>
      <c r="B44">
        <v>110.02</v>
      </c>
      <c r="C44">
        <v>111.23</v>
      </c>
      <c r="D44">
        <v>109.84</v>
      </c>
      <c r="E44">
        <v>111.08</v>
      </c>
      <c r="F44">
        <v>2226500</v>
      </c>
      <c r="G44">
        <v>110.81</v>
      </c>
    </row>
    <row r="45" spans="1:7" x14ac:dyDescent="0.25">
      <c r="A45" s="34">
        <v>41880</v>
      </c>
      <c r="B45">
        <v>110.47</v>
      </c>
      <c r="C45">
        <v>112.76</v>
      </c>
      <c r="D45">
        <v>110.47</v>
      </c>
      <c r="E45">
        <v>112.69</v>
      </c>
      <c r="F45">
        <v>2556000</v>
      </c>
      <c r="G45">
        <v>112.41</v>
      </c>
    </row>
    <row r="46" spans="1:7" x14ac:dyDescent="0.25">
      <c r="A46" s="34">
        <v>41884</v>
      </c>
      <c r="B46">
        <v>112.08</v>
      </c>
      <c r="C46">
        <v>112.93</v>
      </c>
      <c r="D46">
        <v>110.87</v>
      </c>
      <c r="E46">
        <v>111.57</v>
      </c>
      <c r="F46">
        <v>3909600</v>
      </c>
      <c r="G46">
        <v>111.3</v>
      </c>
    </row>
    <row r="47" spans="1:7" x14ac:dyDescent="0.25">
      <c r="A47" s="34">
        <v>41885</v>
      </c>
      <c r="B47">
        <v>112.48</v>
      </c>
      <c r="C47">
        <v>112.99</v>
      </c>
      <c r="D47">
        <v>111.16</v>
      </c>
      <c r="E47">
        <v>111.48</v>
      </c>
      <c r="F47">
        <v>2290000</v>
      </c>
      <c r="G47">
        <v>111.21</v>
      </c>
    </row>
    <row r="48" spans="1:7" x14ac:dyDescent="0.25">
      <c r="A48" s="34">
        <v>41886</v>
      </c>
      <c r="B48">
        <v>111.94</v>
      </c>
      <c r="C48">
        <v>112</v>
      </c>
      <c r="D48">
        <v>107.99</v>
      </c>
      <c r="E48">
        <v>108.51</v>
      </c>
      <c r="F48">
        <v>7292100</v>
      </c>
      <c r="G48">
        <v>108.24</v>
      </c>
    </row>
    <row r="49" spans="1:7" x14ac:dyDescent="0.25">
      <c r="A49" s="34">
        <v>41887</v>
      </c>
      <c r="B49">
        <v>108.78</v>
      </c>
      <c r="C49">
        <v>109.93</v>
      </c>
      <c r="D49">
        <v>106.93</v>
      </c>
      <c r="E49">
        <v>109.87</v>
      </c>
      <c r="F49">
        <v>4839300</v>
      </c>
      <c r="G49">
        <v>109.6</v>
      </c>
    </row>
    <row r="50" spans="1:7" x14ac:dyDescent="0.25">
      <c r="A50" s="34">
        <v>41890</v>
      </c>
      <c r="B50">
        <v>108.37</v>
      </c>
      <c r="C50">
        <v>108.64</v>
      </c>
      <c r="D50">
        <v>105.96</v>
      </c>
      <c r="E50">
        <v>107.02</v>
      </c>
      <c r="F50">
        <v>4290700</v>
      </c>
      <c r="G50">
        <v>107.02</v>
      </c>
    </row>
    <row r="51" spans="1:7" x14ac:dyDescent="0.25">
      <c r="A51" s="34">
        <v>41891</v>
      </c>
      <c r="B51">
        <v>106.57</v>
      </c>
      <c r="C51">
        <v>107.77</v>
      </c>
      <c r="D51">
        <v>105.5</v>
      </c>
      <c r="E51">
        <v>106.35</v>
      </c>
      <c r="F51">
        <v>2822000</v>
      </c>
      <c r="G51">
        <v>106.35</v>
      </c>
    </row>
    <row r="52" spans="1:7" x14ac:dyDescent="0.25">
      <c r="A52" s="34">
        <v>41892</v>
      </c>
      <c r="B52">
        <v>106.63</v>
      </c>
      <c r="C52">
        <v>106.79</v>
      </c>
      <c r="D52">
        <v>105.01</v>
      </c>
      <c r="E52">
        <v>106.7</v>
      </c>
      <c r="F52">
        <v>3550100</v>
      </c>
      <c r="G52">
        <v>106.7</v>
      </c>
    </row>
    <row r="53" spans="1:7" x14ac:dyDescent="0.25">
      <c r="A53" s="34">
        <v>41893</v>
      </c>
      <c r="B53">
        <v>106.2</v>
      </c>
      <c r="C53">
        <v>107.52</v>
      </c>
      <c r="D53">
        <v>105.18</v>
      </c>
      <c r="E53">
        <v>107.39</v>
      </c>
      <c r="F53">
        <v>2297400</v>
      </c>
      <c r="G53">
        <v>107.39</v>
      </c>
    </row>
    <row r="54" spans="1:7" x14ac:dyDescent="0.25">
      <c r="A54" s="34">
        <v>41894</v>
      </c>
      <c r="B54">
        <v>107.12</v>
      </c>
      <c r="C54">
        <v>107.19</v>
      </c>
      <c r="D54">
        <v>104.59</v>
      </c>
      <c r="E54">
        <v>105.46</v>
      </c>
      <c r="F54">
        <v>3061900</v>
      </c>
      <c r="G54">
        <v>105.46</v>
      </c>
    </row>
    <row r="55" spans="1:7" x14ac:dyDescent="0.25">
      <c r="A55" s="34">
        <v>41897</v>
      </c>
      <c r="B55">
        <v>105.28</v>
      </c>
      <c r="C55">
        <v>106.55</v>
      </c>
      <c r="D55">
        <v>104.08</v>
      </c>
      <c r="E55">
        <v>106.24</v>
      </c>
      <c r="F55">
        <v>2408400</v>
      </c>
      <c r="G55">
        <v>106.24</v>
      </c>
    </row>
  </sheetData>
  <sortState ref="A3:G55">
    <sortCondition ref="A3:A5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95.42</v>
      </c>
      <c r="C3">
        <v>96.24</v>
      </c>
      <c r="D3">
        <v>95.28</v>
      </c>
      <c r="E3">
        <v>95.35</v>
      </c>
      <c r="F3">
        <v>3026300</v>
      </c>
      <c r="G3">
        <v>95.09</v>
      </c>
    </row>
    <row r="4" spans="1:7" x14ac:dyDescent="0.25">
      <c r="A4" s="34">
        <v>41822</v>
      </c>
      <c r="B4">
        <v>95.19</v>
      </c>
      <c r="C4">
        <v>95.78</v>
      </c>
      <c r="D4">
        <v>95.06</v>
      </c>
      <c r="E4">
        <v>95.21</v>
      </c>
      <c r="F4">
        <v>1595500</v>
      </c>
      <c r="G4">
        <v>94.95</v>
      </c>
    </row>
    <row r="5" spans="1:7" x14ac:dyDescent="0.25">
      <c r="A5" s="34">
        <v>41823</v>
      </c>
      <c r="B5">
        <v>95.58</v>
      </c>
      <c r="C5">
        <v>95.94</v>
      </c>
      <c r="D5">
        <v>95.22</v>
      </c>
      <c r="E5">
        <v>95.84</v>
      </c>
      <c r="F5">
        <v>1633800</v>
      </c>
      <c r="G5">
        <v>95.58</v>
      </c>
    </row>
    <row r="6" spans="1:7" x14ac:dyDescent="0.25">
      <c r="A6" s="34">
        <v>41827</v>
      </c>
      <c r="B6">
        <v>95.5</v>
      </c>
      <c r="C6">
        <v>95.66</v>
      </c>
      <c r="D6">
        <v>95.12</v>
      </c>
      <c r="E6">
        <v>95.4</v>
      </c>
      <c r="F6">
        <v>1962800</v>
      </c>
      <c r="G6">
        <v>95.14</v>
      </c>
    </row>
    <row r="7" spans="1:7" x14ac:dyDescent="0.25">
      <c r="A7" s="34">
        <v>41828</v>
      </c>
      <c r="B7">
        <v>94.92</v>
      </c>
      <c r="C7">
        <v>95.01</v>
      </c>
      <c r="D7">
        <v>93.57</v>
      </c>
      <c r="E7">
        <v>94.57</v>
      </c>
      <c r="F7">
        <v>2828700</v>
      </c>
      <c r="G7">
        <v>94.31</v>
      </c>
    </row>
    <row r="8" spans="1:7" x14ac:dyDescent="0.25">
      <c r="A8" s="34">
        <v>41829</v>
      </c>
      <c r="B8">
        <v>95.44</v>
      </c>
      <c r="C8">
        <v>95.55</v>
      </c>
      <c r="D8">
        <v>94.41</v>
      </c>
      <c r="E8">
        <v>94.74</v>
      </c>
      <c r="F8">
        <v>2645500</v>
      </c>
      <c r="G8">
        <v>94.74</v>
      </c>
    </row>
    <row r="9" spans="1:7" x14ac:dyDescent="0.25">
      <c r="A9" s="34">
        <v>41830</v>
      </c>
      <c r="B9">
        <v>93.55</v>
      </c>
      <c r="C9">
        <v>94.81</v>
      </c>
      <c r="D9">
        <v>93.16</v>
      </c>
      <c r="E9">
        <v>94.46</v>
      </c>
      <c r="F9">
        <v>2230000</v>
      </c>
      <c r="G9">
        <v>94.46</v>
      </c>
    </row>
    <row r="10" spans="1:7" x14ac:dyDescent="0.25">
      <c r="A10" s="34">
        <v>41831</v>
      </c>
      <c r="B10">
        <v>94.27</v>
      </c>
      <c r="C10">
        <v>94.59</v>
      </c>
      <c r="D10">
        <v>93.75</v>
      </c>
      <c r="E10">
        <v>94.47</v>
      </c>
      <c r="F10">
        <v>2108500</v>
      </c>
      <c r="G10">
        <v>94.47</v>
      </c>
    </row>
    <row r="11" spans="1:7" x14ac:dyDescent="0.25">
      <c r="A11" s="34">
        <v>41834</v>
      </c>
      <c r="B11">
        <v>95.23</v>
      </c>
      <c r="C11">
        <v>95.58</v>
      </c>
      <c r="D11">
        <v>94.43</v>
      </c>
      <c r="E11">
        <v>94.54</v>
      </c>
      <c r="F11">
        <v>2388000</v>
      </c>
      <c r="G11">
        <v>94.54</v>
      </c>
    </row>
    <row r="12" spans="1:7" x14ac:dyDescent="0.25">
      <c r="A12" s="34">
        <v>41835</v>
      </c>
      <c r="B12">
        <v>94.79</v>
      </c>
      <c r="C12">
        <v>95.16</v>
      </c>
      <c r="D12">
        <v>94</v>
      </c>
      <c r="E12">
        <v>94.45</v>
      </c>
      <c r="F12">
        <v>3499200</v>
      </c>
      <c r="G12">
        <v>94.45</v>
      </c>
    </row>
    <row r="13" spans="1:7" x14ac:dyDescent="0.25">
      <c r="A13" s="34">
        <v>41836</v>
      </c>
      <c r="B13">
        <v>94.81</v>
      </c>
      <c r="C13">
        <v>95.09</v>
      </c>
      <c r="D13">
        <v>94.27</v>
      </c>
      <c r="E13">
        <v>94.47</v>
      </c>
      <c r="F13">
        <v>2738000</v>
      </c>
      <c r="G13">
        <v>94.47</v>
      </c>
    </row>
    <row r="14" spans="1:7" x14ac:dyDescent="0.25">
      <c r="A14" s="34">
        <v>41837</v>
      </c>
      <c r="B14">
        <v>93.96</v>
      </c>
      <c r="C14">
        <v>94.7</v>
      </c>
      <c r="D14">
        <v>92.91</v>
      </c>
      <c r="E14">
        <v>92.99</v>
      </c>
      <c r="F14">
        <v>3110800</v>
      </c>
      <c r="G14">
        <v>92.99</v>
      </c>
    </row>
    <row r="15" spans="1:7" x14ac:dyDescent="0.25">
      <c r="A15" s="34">
        <v>41838</v>
      </c>
      <c r="B15">
        <v>93.32</v>
      </c>
      <c r="C15">
        <v>93.93</v>
      </c>
      <c r="D15">
        <v>93.1</v>
      </c>
      <c r="E15">
        <v>93.53</v>
      </c>
      <c r="F15">
        <v>3363000</v>
      </c>
      <c r="G15">
        <v>93.53</v>
      </c>
    </row>
    <row r="16" spans="1:7" x14ac:dyDescent="0.25">
      <c r="A16" s="34">
        <v>41841</v>
      </c>
      <c r="B16">
        <v>93.29</v>
      </c>
      <c r="C16">
        <v>93.4</v>
      </c>
      <c r="D16">
        <v>92.38</v>
      </c>
      <c r="E16">
        <v>92.88</v>
      </c>
      <c r="F16">
        <v>2321800</v>
      </c>
      <c r="G16">
        <v>92.88</v>
      </c>
    </row>
    <row r="17" spans="1:7" x14ac:dyDescent="0.25">
      <c r="A17" s="34">
        <v>41842</v>
      </c>
      <c r="B17">
        <v>93.51</v>
      </c>
      <c r="C17">
        <v>94.06</v>
      </c>
      <c r="D17">
        <v>93.22</v>
      </c>
      <c r="E17">
        <v>93.37</v>
      </c>
      <c r="F17">
        <v>2411600</v>
      </c>
      <c r="G17">
        <v>93.37</v>
      </c>
    </row>
    <row r="18" spans="1:7" x14ac:dyDescent="0.25">
      <c r="A18" s="34">
        <v>41843</v>
      </c>
      <c r="B18">
        <v>93.19</v>
      </c>
      <c r="C18">
        <v>93.59</v>
      </c>
      <c r="D18">
        <v>92.82</v>
      </c>
      <c r="E18">
        <v>93.28</v>
      </c>
      <c r="F18">
        <v>1984800</v>
      </c>
      <c r="G18">
        <v>93.28</v>
      </c>
    </row>
    <row r="19" spans="1:7" x14ac:dyDescent="0.25">
      <c r="A19" s="34">
        <v>41844</v>
      </c>
      <c r="B19">
        <v>93.33</v>
      </c>
      <c r="C19">
        <v>93.62</v>
      </c>
      <c r="D19">
        <v>92.85</v>
      </c>
      <c r="E19">
        <v>93.15</v>
      </c>
      <c r="F19">
        <v>2898200</v>
      </c>
      <c r="G19">
        <v>93.15</v>
      </c>
    </row>
    <row r="20" spans="1:7" x14ac:dyDescent="0.25">
      <c r="A20" s="34">
        <v>41845</v>
      </c>
      <c r="B20">
        <v>92.74</v>
      </c>
      <c r="C20">
        <v>93.07</v>
      </c>
      <c r="D20">
        <v>91.58</v>
      </c>
      <c r="E20">
        <v>91.93</v>
      </c>
      <c r="F20">
        <v>3903500</v>
      </c>
      <c r="G20">
        <v>91.93</v>
      </c>
    </row>
    <row r="21" spans="1:7" x14ac:dyDescent="0.25">
      <c r="A21" s="34">
        <v>41848</v>
      </c>
      <c r="B21">
        <v>91.9</v>
      </c>
      <c r="C21">
        <v>92.03</v>
      </c>
      <c r="D21">
        <v>90.9</v>
      </c>
      <c r="E21">
        <v>91.86</v>
      </c>
      <c r="F21">
        <v>4274000</v>
      </c>
      <c r="G21">
        <v>91.86</v>
      </c>
    </row>
    <row r="22" spans="1:7" x14ac:dyDescent="0.25">
      <c r="A22" s="34">
        <v>41849</v>
      </c>
      <c r="B22">
        <v>91.83</v>
      </c>
      <c r="C22">
        <v>92.23</v>
      </c>
      <c r="D22">
        <v>91.51</v>
      </c>
      <c r="E22">
        <v>91.71</v>
      </c>
      <c r="F22">
        <v>4773300</v>
      </c>
      <c r="G22">
        <v>91.71</v>
      </c>
    </row>
    <row r="23" spans="1:7" x14ac:dyDescent="0.25">
      <c r="A23" s="34">
        <v>41850</v>
      </c>
      <c r="B23">
        <v>92.11</v>
      </c>
      <c r="C23">
        <v>92.32</v>
      </c>
      <c r="D23">
        <v>90.04</v>
      </c>
      <c r="E23">
        <v>90.91</v>
      </c>
      <c r="F23">
        <v>5069300</v>
      </c>
      <c r="G23">
        <v>90.91</v>
      </c>
    </row>
    <row r="24" spans="1:7" x14ac:dyDescent="0.25">
      <c r="A24" s="34">
        <v>41851</v>
      </c>
      <c r="B24">
        <v>90.07</v>
      </c>
      <c r="C24">
        <v>90.26</v>
      </c>
      <c r="D24">
        <v>87.99</v>
      </c>
      <c r="E24">
        <v>88</v>
      </c>
      <c r="F24">
        <v>7561100</v>
      </c>
      <c r="G24">
        <v>88</v>
      </c>
    </row>
    <row r="25" spans="1:7" x14ac:dyDescent="0.25">
      <c r="A25" s="34">
        <v>41852</v>
      </c>
      <c r="B25">
        <v>87.41</v>
      </c>
      <c r="C25">
        <v>87.74</v>
      </c>
      <c r="D25">
        <v>85.75</v>
      </c>
      <c r="E25">
        <v>86.47</v>
      </c>
      <c r="F25">
        <v>12258300</v>
      </c>
      <c r="G25">
        <v>86.47</v>
      </c>
    </row>
    <row r="26" spans="1:7" x14ac:dyDescent="0.25">
      <c r="A26" s="34">
        <v>41855</v>
      </c>
      <c r="B26">
        <v>86.6</v>
      </c>
      <c r="C26">
        <v>87.24</v>
      </c>
      <c r="D26">
        <v>86.45</v>
      </c>
      <c r="E26">
        <v>86.93</v>
      </c>
      <c r="F26">
        <v>5743800</v>
      </c>
      <c r="G26">
        <v>86.93</v>
      </c>
    </row>
    <row r="27" spans="1:7" x14ac:dyDescent="0.25">
      <c r="A27" s="34">
        <v>41856</v>
      </c>
      <c r="B27">
        <v>86.65</v>
      </c>
      <c r="C27">
        <v>87.02</v>
      </c>
      <c r="D27">
        <v>85.89</v>
      </c>
      <c r="E27">
        <v>86.36</v>
      </c>
      <c r="F27">
        <v>5004400</v>
      </c>
      <c r="G27">
        <v>86.36</v>
      </c>
    </row>
    <row r="28" spans="1:7" x14ac:dyDescent="0.25">
      <c r="A28" s="34">
        <v>41857</v>
      </c>
      <c r="B28">
        <v>86.04</v>
      </c>
      <c r="C28">
        <v>86.79</v>
      </c>
      <c r="D28">
        <v>86</v>
      </c>
      <c r="E28">
        <v>86.4</v>
      </c>
      <c r="F28">
        <v>4805600</v>
      </c>
      <c r="G28">
        <v>86.4</v>
      </c>
    </row>
    <row r="29" spans="1:7" x14ac:dyDescent="0.25">
      <c r="A29" s="34">
        <v>41858</v>
      </c>
      <c r="B29">
        <v>86.79</v>
      </c>
      <c r="C29">
        <v>87.14</v>
      </c>
      <c r="D29">
        <v>85.89</v>
      </c>
      <c r="E29">
        <v>86.02</v>
      </c>
      <c r="F29">
        <v>4539100</v>
      </c>
      <c r="G29">
        <v>86.02</v>
      </c>
    </row>
    <row r="30" spans="1:7" x14ac:dyDescent="0.25">
      <c r="A30" s="34">
        <v>41859</v>
      </c>
      <c r="B30">
        <v>86.09</v>
      </c>
      <c r="C30">
        <v>87.51</v>
      </c>
      <c r="D30">
        <v>85.91</v>
      </c>
      <c r="E30">
        <v>87.47</v>
      </c>
      <c r="F30">
        <v>4206700</v>
      </c>
      <c r="G30">
        <v>87.47</v>
      </c>
    </row>
    <row r="31" spans="1:7" x14ac:dyDescent="0.25">
      <c r="A31" s="34">
        <v>41862</v>
      </c>
      <c r="B31">
        <v>87.92</v>
      </c>
      <c r="C31">
        <v>88.16</v>
      </c>
      <c r="D31">
        <v>86.94</v>
      </c>
      <c r="E31">
        <v>86.95</v>
      </c>
      <c r="F31">
        <v>3354600</v>
      </c>
      <c r="G31">
        <v>86.95</v>
      </c>
    </row>
    <row r="32" spans="1:7" x14ac:dyDescent="0.25">
      <c r="A32" s="34">
        <v>41863</v>
      </c>
      <c r="B32">
        <v>87</v>
      </c>
      <c r="C32">
        <v>87.09</v>
      </c>
      <c r="D32">
        <v>86.7</v>
      </c>
      <c r="E32">
        <v>87.08</v>
      </c>
      <c r="F32">
        <v>3106600</v>
      </c>
      <c r="G32">
        <v>87.08</v>
      </c>
    </row>
    <row r="33" spans="1:7" x14ac:dyDescent="0.25">
      <c r="A33" s="34">
        <v>41864</v>
      </c>
      <c r="B33">
        <v>87.44</v>
      </c>
      <c r="C33">
        <v>88.07</v>
      </c>
      <c r="D33">
        <v>87.16</v>
      </c>
      <c r="E33">
        <v>87.4</v>
      </c>
      <c r="F33">
        <v>2590600</v>
      </c>
      <c r="G33">
        <v>87.4</v>
      </c>
    </row>
    <row r="34" spans="1:7" x14ac:dyDescent="0.25">
      <c r="A34" s="34">
        <v>41865</v>
      </c>
      <c r="B34">
        <v>87.5</v>
      </c>
      <c r="C34">
        <v>87.8</v>
      </c>
      <c r="D34">
        <v>87.1</v>
      </c>
      <c r="E34">
        <v>87.27</v>
      </c>
      <c r="F34">
        <v>3498800</v>
      </c>
      <c r="G34">
        <v>87.27</v>
      </c>
    </row>
    <row r="35" spans="1:7" x14ac:dyDescent="0.25">
      <c r="A35" s="34">
        <v>41866</v>
      </c>
      <c r="B35">
        <v>87.78</v>
      </c>
      <c r="C35">
        <v>87.88</v>
      </c>
      <c r="D35">
        <v>86.23</v>
      </c>
      <c r="E35">
        <v>86.6</v>
      </c>
      <c r="F35">
        <v>3290800</v>
      </c>
      <c r="G35">
        <v>86.6</v>
      </c>
    </row>
    <row r="36" spans="1:7" x14ac:dyDescent="0.25">
      <c r="A36" s="34">
        <v>41869</v>
      </c>
      <c r="B36">
        <v>87.29</v>
      </c>
      <c r="C36">
        <v>87.48</v>
      </c>
      <c r="D36">
        <v>86.98</v>
      </c>
      <c r="E36">
        <v>87.16</v>
      </c>
      <c r="F36">
        <v>2662100</v>
      </c>
      <c r="G36">
        <v>87.16</v>
      </c>
    </row>
    <row r="37" spans="1:7" x14ac:dyDescent="0.25">
      <c r="A37" s="34">
        <v>41870</v>
      </c>
      <c r="B37">
        <v>87.58</v>
      </c>
      <c r="C37">
        <v>88.28</v>
      </c>
      <c r="D37">
        <v>87.45</v>
      </c>
      <c r="E37">
        <v>88.12</v>
      </c>
      <c r="F37">
        <v>3523700</v>
      </c>
      <c r="G37">
        <v>88.12</v>
      </c>
    </row>
    <row r="38" spans="1:7" x14ac:dyDescent="0.25">
      <c r="A38" s="34">
        <v>41871</v>
      </c>
      <c r="B38">
        <v>88.01</v>
      </c>
      <c r="C38">
        <v>88.65</v>
      </c>
      <c r="D38">
        <v>87.9</v>
      </c>
      <c r="E38">
        <v>88.49</v>
      </c>
      <c r="F38">
        <v>3142900</v>
      </c>
      <c r="G38">
        <v>88.49</v>
      </c>
    </row>
    <row r="39" spans="1:7" x14ac:dyDescent="0.25">
      <c r="A39" s="34">
        <v>41872</v>
      </c>
      <c r="B39">
        <v>88.64</v>
      </c>
      <c r="C39">
        <v>89.33</v>
      </c>
      <c r="D39">
        <v>88.59</v>
      </c>
      <c r="E39">
        <v>89.14</v>
      </c>
      <c r="F39">
        <v>3019300</v>
      </c>
      <c r="G39">
        <v>89.14</v>
      </c>
    </row>
    <row r="40" spans="1:7" x14ac:dyDescent="0.25">
      <c r="A40" s="34">
        <v>41873</v>
      </c>
      <c r="B40">
        <v>88.89</v>
      </c>
      <c r="C40">
        <v>89.51</v>
      </c>
      <c r="D40">
        <v>88.83</v>
      </c>
      <c r="E40">
        <v>88.88</v>
      </c>
      <c r="F40">
        <v>2796200</v>
      </c>
      <c r="G40">
        <v>88.88</v>
      </c>
    </row>
    <row r="41" spans="1:7" x14ac:dyDescent="0.25">
      <c r="A41" s="34">
        <v>41876</v>
      </c>
      <c r="B41">
        <v>89.56</v>
      </c>
      <c r="C41">
        <v>90.22</v>
      </c>
      <c r="D41">
        <v>89.32</v>
      </c>
      <c r="E41">
        <v>89.59</v>
      </c>
      <c r="F41">
        <v>3718600</v>
      </c>
      <c r="G41">
        <v>89.59</v>
      </c>
    </row>
    <row r="42" spans="1:7" x14ac:dyDescent="0.25">
      <c r="A42" s="34">
        <v>41877</v>
      </c>
      <c r="B42">
        <v>89.61</v>
      </c>
      <c r="C42">
        <v>89.93</v>
      </c>
      <c r="D42">
        <v>89.08</v>
      </c>
      <c r="E42">
        <v>89.15</v>
      </c>
      <c r="F42">
        <v>2920600</v>
      </c>
      <c r="G42">
        <v>89.15</v>
      </c>
    </row>
    <row r="43" spans="1:7" x14ac:dyDescent="0.25">
      <c r="A43" s="34">
        <v>41878</v>
      </c>
      <c r="B43">
        <v>89.25</v>
      </c>
      <c r="C43">
        <v>89.59</v>
      </c>
      <c r="D43">
        <v>88.99</v>
      </c>
      <c r="E43">
        <v>89.24</v>
      </c>
      <c r="F43">
        <v>2632300</v>
      </c>
      <c r="G43">
        <v>89.24</v>
      </c>
    </row>
    <row r="44" spans="1:7" x14ac:dyDescent="0.25">
      <c r="A44" s="34">
        <v>41879</v>
      </c>
      <c r="B44">
        <v>88.84</v>
      </c>
      <c r="C44">
        <v>89.33</v>
      </c>
      <c r="D44">
        <v>88.61</v>
      </c>
      <c r="E44">
        <v>89.02</v>
      </c>
      <c r="F44">
        <v>3324900</v>
      </c>
      <c r="G44">
        <v>89.02</v>
      </c>
    </row>
    <row r="45" spans="1:7" x14ac:dyDescent="0.25">
      <c r="A45" s="34">
        <v>41880</v>
      </c>
      <c r="B45">
        <v>89.37</v>
      </c>
      <c r="C45">
        <v>89.7</v>
      </c>
      <c r="D45">
        <v>89.09</v>
      </c>
      <c r="E45">
        <v>89.55</v>
      </c>
      <c r="F45">
        <v>2672700</v>
      </c>
      <c r="G45">
        <v>89.55</v>
      </c>
    </row>
    <row r="46" spans="1:7" x14ac:dyDescent="0.25">
      <c r="A46" s="34">
        <v>41884</v>
      </c>
      <c r="B46">
        <v>89.9</v>
      </c>
      <c r="C46">
        <v>90.13</v>
      </c>
      <c r="D46">
        <v>89.28</v>
      </c>
      <c r="E46">
        <v>89.72</v>
      </c>
      <c r="F46">
        <v>3592100</v>
      </c>
      <c r="G46">
        <v>89.72</v>
      </c>
    </row>
    <row r="47" spans="1:7" x14ac:dyDescent="0.25">
      <c r="A47" s="34">
        <v>41885</v>
      </c>
      <c r="B47">
        <v>90.13</v>
      </c>
      <c r="C47">
        <v>90.49</v>
      </c>
      <c r="D47">
        <v>90</v>
      </c>
      <c r="E47">
        <v>90.14</v>
      </c>
      <c r="F47">
        <v>2930800</v>
      </c>
      <c r="G47">
        <v>90.14</v>
      </c>
    </row>
    <row r="48" spans="1:7" x14ac:dyDescent="0.25">
      <c r="A48" s="34">
        <v>41886</v>
      </c>
      <c r="B48">
        <v>90.11</v>
      </c>
      <c r="C48">
        <v>90.46</v>
      </c>
      <c r="D48">
        <v>89.42</v>
      </c>
      <c r="E48">
        <v>89.65</v>
      </c>
      <c r="F48">
        <v>2594100</v>
      </c>
      <c r="G48">
        <v>89.65</v>
      </c>
    </row>
    <row r="49" spans="1:7" x14ac:dyDescent="0.25">
      <c r="A49" s="34">
        <v>41887</v>
      </c>
      <c r="B49">
        <v>89.64</v>
      </c>
      <c r="C49">
        <v>89.74</v>
      </c>
      <c r="D49">
        <v>89.02</v>
      </c>
      <c r="E49">
        <v>89.61</v>
      </c>
      <c r="F49">
        <v>2571200</v>
      </c>
      <c r="G49">
        <v>89.61</v>
      </c>
    </row>
    <row r="50" spans="1:7" x14ac:dyDescent="0.25">
      <c r="A50" s="34">
        <v>41890</v>
      </c>
      <c r="B50">
        <v>89.4</v>
      </c>
      <c r="C50">
        <v>89.83</v>
      </c>
      <c r="D50">
        <v>88.62</v>
      </c>
      <c r="E50">
        <v>88.93</v>
      </c>
      <c r="F50">
        <v>3617600</v>
      </c>
      <c r="G50">
        <v>88.93</v>
      </c>
    </row>
    <row r="51" spans="1:7" x14ac:dyDescent="0.25">
      <c r="A51" s="34">
        <v>41891</v>
      </c>
      <c r="B51">
        <v>88.85</v>
      </c>
      <c r="C51">
        <v>88.9</v>
      </c>
      <c r="D51">
        <v>87.75</v>
      </c>
      <c r="E51">
        <v>87.9</v>
      </c>
      <c r="F51">
        <v>4014300</v>
      </c>
      <c r="G51">
        <v>87.9</v>
      </c>
    </row>
    <row r="52" spans="1:7" x14ac:dyDescent="0.25">
      <c r="A52" s="34">
        <v>41892</v>
      </c>
      <c r="B52">
        <v>88.1</v>
      </c>
      <c r="C52">
        <v>88.66</v>
      </c>
      <c r="D52">
        <v>88.01</v>
      </c>
      <c r="E52">
        <v>88.41</v>
      </c>
      <c r="F52">
        <v>3452700</v>
      </c>
      <c r="G52">
        <v>88.41</v>
      </c>
    </row>
    <row r="53" spans="1:7" x14ac:dyDescent="0.25">
      <c r="A53" s="34">
        <v>41893</v>
      </c>
      <c r="B53">
        <v>88.01</v>
      </c>
      <c r="C53">
        <v>88.6</v>
      </c>
      <c r="D53">
        <v>87.88</v>
      </c>
      <c r="E53">
        <v>88.42</v>
      </c>
      <c r="F53">
        <v>2757000</v>
      </c>
      <c r="G53">
        <v>88.42</v>
      </c>
    </row>
    <row r="54" spans="1:7" x14ac:dyDescent="0.25">
      <c r="A54" s="34">
        <v>41894</v>
      </c>
      <c r="B54">
        <v>88.18</v>
      </c>
      <c r="C54">
        <v>88.3</v>
      </c>
      <c r="D54">
        <v>87.44</v>
      </c>
      <c r="E54">
        <v>87.64</v>
      </c>
      <c r="F54">
        <v>4724500</v>
      </c>
      <c r="G54">
        <v>87.64</v>
      </c>
    </row>
    <row r="55" spans="1:7" x14ac:dyDescent="0.25">
      <c r="A55" s="34">
        <v>41897</v>
      </c>
      <c r="B55">
        <v>88.35</v>
      </c>
      <c r="C55">
        <v>88.35</v>
      </c>
      <c r="D55">
        <v>87.11</v>
      </c>
      <c r="E55">
        <v>87.38</v>
      </c>
      <c r="F55">
        <v>3983800</v>
      </c>
      <c r="G55">
        <v>87.38</v>
      </c>
    </row>
  </sheetData>
  <sortState ref="A3:G55">
    <sortCondition ref="A3:A55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127.66</v>
      </c>
      <c r="C3">
        <v>128.33000000000001</v>
      </c>
      <c r="D3">
        <v>127.36</v>
      </c>
      <c r="E3">
        <v>128.15</v>
      </c>
      <c r="F3">
        <v>3772500</v>
      </c>
      <c r="G3">
        <v>127.38</v>
      </c>
    </row>
    <row r="4" spans="1:7" x14ac:dyDescent="0.25">
      <c r="A4" s="34">
        <v>41822</v>
      </c>
      <c r="B4">
        <v>128.15</v>
      </c>
      <c r="C4">
        <v>128.5</v>
      </c>
      <c r="D4">
        <v>127.34</v>
      </c>
      <c r="E4">
        <v>127.62</v>
      </c>
      <c r="F4">
        <v>2859000</v>
      </c>
      <c r="G4">
        <v>126.85</v>
      </c>
    </row>
    <row r="5" spans="1:7" x14ac:dyDescent="0.25">
      <c r="A5" s="34">
        <v>41823</v>
      </c>
      <c r="B5">
        <v>127.99</v>
      </c>
      <c r="C5">
        <v>128.62</v>
      </c>
      <c r="D5">
        <v>127.7</v>
      </c>
      <c r="E5">
        <v>128.51</v>
      </c>
      <c r="F5">
        <v>1997500</v>
      </c>
      <c r="G5">
        <v>127.74</v>
      </c>
    </row>
    <row r="6" spans="1:7" x14ac:dyDescent="0.25">
      <c r="A6" s="34">
        <v>41827</v>
      </c>
      <c r="B6">
        <v>128.1</v>
      </c>
      <c r="C6">
        <v>129.5</v>
      </c>
      <c r="D6">
        <v>127.77</v>
      </c>
      <c r="E6">
        <v>129.09</v>
      </c>
      <c r="F6">
        <v>3157000</v>
      </c>
      <c r="G6">
        <v>128.31</v>
      </c>
    </row>
    <row r="7" spans="1:7" x14ac:dyDescent="0.25">
      <c r="A7" s="34">
        <v>41828</v>
      </c>
      <c r="B7">
        <v>128.88999999999999</v>
      </c>
      <c r="C7">
        <v>128.97</v>
      </c>
      <c r="D7">
        <v>125.92</v>
      </c>
      <c r="E7">
        <v>126.79</v>
      </c>
      <c r="F7">
        <v>5724300</v>
      </c>
      <c r="G7">
        <v>126.03</v>
      </c>
    </row>
    <row r="8" spans="1:7" x14ac:dyDescent="0.25">
      <c r="A8" s="34">
        <v>41829</v>
      </c>
      <c r="B8">
        <v>128.31</v>
      </c>
      <c r="C8">
        <v>128.32</v>
      </c>
      <c r="D8">
        <v>125.91</v>
      </c>
      <c r="E8">
        <v>126.79</v>
      </c>
      <c r="F8">
        <v>8023900</v>
      </c>
      <c r="G8">
        <v>126.03</v>
      </c>
    </row>
    <row r="9" spans="1:7" x14ac:dyDescent="0.25">
      <c r="A9" s="34">
        <v>41830</v>
      </c>
      <c r="B9">
        <v>125.54</v>
      </c>
      <c r="C9">
        <v>127.63</v>
      </c>
      <c r="D9">
        <v>125.12</v>
      </c>
      <c r="E9">
        <v>126.79</v>
      </c>
      <c r="F9">
        <v>3936900</v>
      </c>
      <c r="G9">
        <v>126.03</v>
      </c>
    </row>
    <row r="10" spans="1:7" x14ac:dyDescent="0.25">
      <c r="A10" s="34">
        <v>41831</v>
      </c>
      <c r="B10">
        <v>127.18</v>
      </c>
      <c r="C10">
        <v>128.24</v>
      </c>
      <c r="D10">
        <v>126.36</v>
      </c>
      <c r="E10">
        <v>128.09</v>
      </c>
      <c r="F10">
        <v>3193100</v>
      </c>
      <c r="G10">
        <v>127.32</v>
      </c>
    </row>
    <row r="11" spans="1:7" x14ac:dyDescent="0.25">
      <c r="A11" s="34">
        <v>41834</v>
      </c>
      <c r="B11">
        <v>128.91</v>
      </c>
      <c r="C11">
        <v>130.58000000000001</v>
      </c>
      <c r="D11">
        <v>128.76</v>
      </c>
      <c r="E11">
        <v>129.52000000000001</v>
      </c>
      <c r="F11">
        <v>5267500</v>
      </c>
      <c r="G11">
        <v>128.74</v>
      </c>
    </row>
    <row r="12" spans="1:7" x14ac:dyDescent="0.25">
      <c r="A12" s="34">
        <v>41835</v>
      </c>
      <c r="B12">
        <v>130.31</v>
      </c>
      <c r="C12">
        <v>130.31</v>
      </c>
      <c r="D12">
        <v>128.34</v>
      </c>
      <c r="E12">
        <v>129.1</v>
      </c>
      <c r="F12">
        <v>4916100</v>
      </c>
      <c r="G12">
        <v>128.32</v>
      </c>
    </row>
    <row r="13" spans="1:7" x14ac:dyDescent="0.25">
      <c r="A13" s="34">
        <v>41836</v>
      </c>
      <c r="B13">
        <v>129.56</v>
      </c>
      <c r="C13">
        <v>129.56</v>
      </c>
      <c r="D13">
        <v>127.14</v>
      </c>
      <c r="E13">
        <v>127.42</v>
      </c>
      <c r="F13">
        <v>5260800</v>
      </c>
      <c r="G13">
        <v>126.65</v>
      </c>
    </row>
    <row r="14" spans="1:7" x14ac:dyDescent="0.25">
      <c r="A14" s="34">
        <v>41837</v>
      </c>
      <c r="B14">
        <v>127.21</v>
      </c>
      <c r="C14">
        <v>128.18</v>
      </c>
      <c r="D14">
        <v>125.79</v>
      </c>
      <c r="E14">
        <v>125.88</v>
      </c>
      <c r="F14">
        <v>5292900</v>
      </c>
      <c r="G14">
        <v>125.12</v>
      </c>
    </row>
    <row r="15" spans="1:7" x14ac:dyDescent="0.25">
      <c r="A15" s="34">
        <v>41838</v>
      </c>
      <c r="B15">
        <v>126.38</v>
      </c>
      <c r="C15">
        <v>127.82</v>
      </c>
      <c r="D15">
        <v>126.25</v>
      </c>
      <c r="E15">
        <v>127.64</v>
      </c>
      <c r="F15">
        <v>3103300</v>
      </c>
      <c r="G15">
        <v>126.87</v>
      </c>
    </row>
    <row r="16" spans="1:7" x14ac:dyDescent="0.25">
      <c r="A16" s="34">
        <v>41841</v>
      </c>
      <c r="B16">
        <v>127.3</v>
      </c>
      <c r="C16">
        <v>128.41999999999999</v>
      </c>
      <c r="D16">
        <v>126.77</v>
      </c>
      <c r="E16">
        <v>128.30000000000001</v>
      </c>
      <c r="F16">
        <v>2738700</v>
      </c>
      <c r="G16">
        <v>127.53</v>
      </c>
    </row>
    <row r="17" spans="1:7" x14ac:dyDescent="0.25">
      <c r="A17" s="34">
        <v>41842</v>
      </c>
      <c r="B17">
        <v>128.99</v>
      </c>
      <c r="C17">
        <v>130.01</v>
      </c>
      <c r="D17">
        <v>128.58000000000001</v>
      </c>
      <c r="E17">
        <v>129.74</v>
      </c>
      <c r="F17">
        <v>5102200</v>
      </c>
      <c r="G17">
        <v>128.96</v>
      </c>
    </row>
    <row r="18" spans="1:7" x14ac:dyDescent="0.25">
      <c r="A18" s="34">
        <v>41843</v>
      </c>
      <c r="B18">
        <v>127.79</v>
      </c>
      <c r="C18">
        <v>128.4</v>
      </c>
      <c r="D18">
        <v>126.02</v>
      </c>
      <c r="E18">
        <v>126.71</v>
      </c>
      <c r="F18">
        <v>12326300</v>
      </c>
      <c r="G18">
        <v>125.95</v>
      </c>
    </row>
    <row r="19" spans="1:7" x14ac:dyDescent="0.25">
      <c r="A19" s="34">
        <v>41844</v>
      </c>
      <c r="B19">
        <v>125.92</v>
      </c>
      <c r="C19">
        <v>126.05</v>
      </c>
      <c r="D19">
        <v>124</v>
      </c>
      <c r="E19">
        <v>124.4</v>
      </c>
      <c r="F19">
        <v>10307200</v>
      </c>
      <c r="G19">
        <v>123.65</v>
      </c>
    </row>
    <row r="20" spans="1:7" x14ac:dyDescent="0.25">
      <c r="A20" s="34">
        <v>41845</v>
      </c>
      <c r="B20">
        <v>124.48</v>
      </c>
      <c r="C20">
        <v>124.53</v>
      </c>
      <c r="D20">
        <v>122.41</v>
      </c>
      <c r="E20">
        <v>123.2</v>
      </c>
      <c r="F20">
        <v>6121400</v>
      </c>
      <c r="G20">
        <v>122.46</v>
      </c>
    </row>
    <row r="21" spans="1:7" x14ac:dyDescent="0.25">
      <c r="A21" s="34">
        <v>41848</v>
      </c>
      <c r="B21">
        <v>123.44</v>
      </c>
      <c r="C21">
        <v>124.56</v>
      </c>
      <c r="D21">
        <v>122.16</v>
      </c>
      <c r="E21">
        <v>123.06</v>
      </c>
      <c r="F21">
        <v>4982400</v>
      </c>
      <c r="G21">
        <v>122.32</v>
      </c>
    </row>
    <row r="22" spans="1:7" x14ac:dyDescent="0.25">
      <c r="A22" s="34">
        <v>41849</v>
      </c>
      <c r="B22">
        <v>123.31</v>
      </c>
      <c r="C22">
        <v>123.63</v>
      </c>
      <c r="D22">
        <v>122.2</v>
      </c>
      <c r="E22">
        <v>122.32</v>
      </c>
      <c r="F22">
        <v>4101900</v>
      </c>
      <c r="G22">
        <v>121.58</v>
      </c>
    </row>
    <row r="23" spans="1:7" x14ac:dyDescent="0.25">
      <c r="A23" s="34">
        <v>41850</v>
      </c>
      <c r="B23">
        <v>123.2</v>
      </c>
      <c r="C23">
        <v>123.8</v>
      </c>
      <c r="D23">
        <v>121.76</v>
      </c>
      <c r="E23">
        <v>122.29</v>
      </c>
      <c r="F23">
        <v>4042900</v>
      </c>
      <c r="G23">
        <v>121.55</v>
      </c>
    </row>
    <row r="24" spans="1:7" x14ac:dyDescent="0.25">
      <c r="A24" s="34">
        <v>41851</v>
      </c>
      <c r="B24">
        <v>121.47</v>
      </c>
      <c r="C24">
        <v>122.05</v>
      </c>
      <c r="D24">
        <v>120.41</v>
      </c>
      <c r="E24">
        <v>120.48</v>
      </c>
      <c r="F24">
        <v>5588800</v>
      </c>
      <c r="G24">
        <v>119.75</v>
      </c>
    </row>
    <row r="25" spans="1:7" x14ac:dyDescent="0.25">
      <c r="A25" s="34">
        <v>41852</v>
      </c>
      <c r="B25">
        <v>120.45</v>
      </c>
      <c r="C25">
        <v>121.71</v>
      </c>
      <c r="D25">
        <v>119.64</v>
      </c>
      <c r="E25">
        <v>120.38</v>
      </c>
      <c r="F25">
        <v>5852700</v>
      </c>
      <c r="G25">
        <v>119.66</v>
      </c>
    </row>
    <row r="26" spans="1:7" x14ac:dyDescent="0.25">
      <c r="A26" s="34">
        <v>41855</v>
      </c>
      <c r="B26">
        <v>120.8</v>
      </c>
      <c r="C26">
        <v>121.19</v>
      </c>
      <c r="D26">
        <v>119.77</v>
      </c>
      <c r="E26">
        <v>119.93</v>
      </c>
      <c r="F26">
        <v>4671100</v>
      </c>
      <c r="G26">
        <v>119.21</v>
      </c>
    </row>
    <row r="27" spans="1:7" x14ac:dyDescent="0.25">
      <c r="A27" s="34">
        <v>41856</v>
      </c>
      <c r="B27">
        <v>119.67</v>
      </c>
      <c r="C27">
        <v>121.98</v>
      </c>
      <c r="D27">
        <v>119.66</v>
      </c>
      <c r="E27">
        <v>121.27</v>
      </c>
      <c r="F27">
        <v>6097900</v>
      </c>
      <c r="G27">
        <v>120.54</v>
      </c>
    </row>
    <row r="28" spans="1:7" x14ac:dyDescent="0.25">
      <c r="A28" s="34">
        <v>41857</v>
      </c>
      <c r="B28">
        <v>119.32</v>
      </c>
      <c r="C28">
        <v>119.36</v>
      </c>
      <c r="D28">
        <v>117.87</v>
      </c>
      <c r="E28">
        <v>118.34</v>
      </c>
      <c r="F28">
        <v>6239700</v>
      </c>
      <c r="G28">
        <v>118.34</v>
      </c>
    </row>
    <row r="29" spans="1:7" x14ac:dyDescent="0.25">
      <c r="A29" s="34">
        <v>41858</v>
      </c>
      <c r="B29">
        <v>119</v>
      </c>
      <c r="C29">
        <v>120.22</v>
      </c>
      <c r="D29">
        <v>118.87</v>
      </c>
      <c r="E29">
        <v>119.84</v>
      </c>
      <c r="F29">
        <v>4641800</v>
      </c>
      <c r="G29">
        <v>119.84</v>
      </c>
    </row>
    <row r="30" spans="1:7" x14ac:dyDescent="0.25">
      <c r="A30" s="34">
        <v>41859</v>
      </c>
      <c r="B30">
        <v>119.8</v>
      </c>
      <c r="C30">
        <v>120.65</v>
      </c>
      <c r="D30">
        <v>119.28</v>
      </c>
      <c r="E30">
        <v>120.63</v>
      </c>
      <c r="F30">
        <v>4348900</v>
      </c>
      <c r="G30">
        <v>120.63</v>
      </c>
    </row>
    <row r="31" spans="1:7" x14ac:dyDescent="0.25">
      <c r="A31" s="34">
        <v>41862</v>
      </c>
      <c r="B31">
        <v>121.15</v>
      </c>
      <c r="C31">
        <v>121.76</v>
      </c>
      <c r="D31">
        <v>120.75</v>
      </c>
      <c r="E31">
        <v>120.8</v>
      </c>
      <c r="F31">
        <v>2807900</v>
      </c>
      <c r="G31">
        <v>120.8</v>
      </c>
    </row>
    <row r="32" spans="1:7" x14ac:dyDescent="0.25">
      <c r="A32" s="34">
        <v>41863</v>
      </c>
      <c r="B32">
        <v>120.51</v>
      </c>
      <c r="C32">
        <v>120.94</v>
      </c>
      <c r="D32">
        <v>120.01</v>
      </c>
      <c r="E32">
        <v>120.47</v>
      </c>
      <c r="F32">
        <v>2303500</v>
      </c>
      <c r="G32">
        <v>120.47</v>
      </c>
    </row>
    <row r="33" spans="1:7" x14ac:dyDescent="0.25">
      <c r="A33" s="34">
        <v>41864</v>
      </c>
      <c r="B33">
        <v>120.67</v>
      </c>
      <c r="C33">
        <v>122.23</v>
      </c>
      <c r="D33">
        <v>120.63</v>
      </c>
      <c r="E33">
        <v>121.98</v>
      </c>
      <c r="F33">
        <v>2645800</v>
      </c>
      <c r="G33">
        <v>121.98</v>
      </c>
    </row>
    <row r="34" spans="1:7" x14ac:dyDescent="0.25">
      <c r="A34" s="34">
        <v>41865</v>
      </c>
      <c r="B34">
        <v>122.2</v>
      </c>
      <c r="C34">
        <v>124.69</v>
      </c>
      <c r="D34">
        <v>122.16</v>
      </c>
      <c r="E34">
        <v>124.11</v>
      </c>
      <c r="F34">
        <v>4825100</v>
      </c>
      <c r="G34">
        <v>124.11</v>
      </c>
    </row>
    <row r="35" spans="1:7" x14ac:dyDescent="0.25">
      <c r="A35" s="34">
        <v>41866</v>
      </c>
      <c r="B35">
        <v>124.5</v>
      </c>
      <c r="C35">
        <v>124.5</v>
      </c>
      <c r="D35">
        <v>122.15</v>
      </c>
      <c r="E35">
        <v>123.16</v>
      </c>
      <c r="F35">
        <v>4570000</v>
      </c>
      <c r="G35">
        <v>123.16</v>
      </c>
    </row>
    <row r="36" spans="1:7" x14ac:dyDescent="0.25">
      <c r="A36" s="34">
        <v>41869</v>
      </c>
      <c r="B36">
        <v>123.58</v>
      </c>
      <c r="C36">
        <v>125.24</v>
      </c>
      <c r="D36">
        <v>123.57</v>
      </c>
      <c r="E36">
        <v>124.98</v>
      </c>
      <c r="F36">
        <v>4196900</v>
      </c>
      <c r="G36">
        <v>124.98</v>
      </c>
    </row>
    <row r="37" spans="1:7" x14ac:dyDescent="0.25">
      <c r="A37" s="34">
        <v>41870</v>
      </c>
      <c r="B37">
        <v>125.22</v>
      </c>
      <c r="C37">
        <v>125.79</v>
      </c>
      <c r="D37">
        <v>125.11</v>
      </c>
      <c r="E37">
        <v>125.58</v>
      </c>
      <c r="F37">
        <v>2988300</v>
      </c>
      <c r="G37">
        <v>125.58</v>
      </c>
    </row>
    <row r="38" spans="1:7" x14ac:dyDescent="0.25">
      <c r="A38" s="34">
        <v>41871</v>
      </c>
      <c r="B38">
        <v>125.89</v>
      </c>
      <c r="C38">
        <v>127.71</v>
      </c>
      <c r="D38">
        <v>125.58</v>
      </c>
      <c r="E38">
        <v>127.35</v>
      </c>
      <c r="F38">
        <v>4331300</v>
      </c>
      <c r="G38">
        <v>127.35</v>
      </c>
    </row>
    <row r="39" spans="1:7" x14ac:dyDescent="0.25">
      <c r="A39" s="34">
        <v>41872</v>
      </c>
      <c r="B39">
        <v>127.54</v>
      </c>
      <c r="C39">
        <v>127.78</v>
      </c>
      <c r="D39">
        <v>126.74</v>
      </c>
      <c r="E39">
        <v>127.5</v>
      </c>
      <c r="F39">
        <v>2522300</v>
      </c>
      <c r="G39">
        <v>127.5</v>
      </c>
    </row>
    <row r="40" spans="1:7" x14ac:dyDescent="0.25">
      <c r="A40" s="34">
        <v>41873</v>
      </c>
      <c r="B40">
        <v>127.33</v>
      </c>
      <c r="C40">
        <v>127.8</v>
      </c>
      <c r="D40">
        <v>126.96</v>
      </c>
      <c r="E40">
        <v>127.46</v>
      </c>
      <c r="F40">
        <v>2394700</v>
      </c>
      <c r="G40">
        <v>127.46</v>
      </c>
    </row>
    <row r="41" spans="1:7" x14ac:dyDescent="0.25">
      <c r="A41" s="34">
        <v>41876</v>
      </c>
      <c r="B41">
        <v>128.08000000000001</v>
      </c>
      <c r="C41">
        <v>128.49</v>
      </c>
      <c r="D41">
        <v>127.78</v>
      </c>
      <c r="E41">
        <v>128.33000000000001</v>
      </c>
      <c r="F41">
        <v>2307100</v>
      </c>
      <c r="G41">
        <v>128.33000000000001</v>
      </c>
    </row>
    <row r="42" spans="1:7" x14ac:dyDescent="0.25">
      <c r="A42" s="34">
        <v>41877</v>
      </c>
      <c r="B42">
        <v>128.69</v>
      </c>
      <c r="C42">
        <v>129.13</v>
      </c>
      <c r="D42">
        <v>128.31</v>
      </c>
      <c r="E42">
        <v>128.6</v>
      </c>
      <c r="F42">
        <v>2329000</v>
      </c>
      <c r="G42">
        <v>128.6</v>
      </c>
    </row>
    <row r="43" spans="1:7" x14ac:dyDescent="0.25">
      <c r="A43" s="34">
        <v>41878</v>
      </c>
      <c r="B43">
        <v>128.77000000000001</v>
      </c>
      <c r="C43">
        <v>128.99</v>
      </c>
      <c r="D43">
        <v>127.95</v>
      </c>
      <c r="E43">
        <v>128.19999999999999</v>
      </c>
      <c r="F43">
        <v>3075200</v>
      </c>
      <c r="G43">
        <v>128.19999999999999</v>
      </c>
    </row>
    <row r="44" spans="1:7" x14ac:dyDescent="0.25">
      <c r="A44" s="34">
        <v>41879</v>
      </c>
      <c r="B44">
        <v>127.34</v>
      </c>
      <c r="C44">
        <v>127.75</v>
      </c>
      <c r="D44">
        <v>126.72</v>
      </c>
      <c r="E44">
        <v>127.11</v>
      </c>
      <c r="F44">
        <v>3070300</v>
      </c>
      <c r="G44">
        <v>127.11</v>
      </c>
    </row>
    <row r="45" spans="1:7" x14ac:dyDescent="0.25">
      <c r="A45" s="34">
        <v>41880</v>
      </c>
      <c r="B45">
        <v>127.35</v>
      </c>
      <c r="C45">
        <v>127.35</v>
      </c>
      <c r="D45">
        <v>126.05</v>
      </c>
      <c r="E45">
        <v>126.8</v>
      </c>
      <c r="F45">
        <v>3032700</v>
      </c>
      <c r="G45">
        <v>126.8</v>
      </c>
    </row>
    <row r="46" spans="1:7" x14ac:dyDescent="0.25">
      <c r="A46" s="34">
        <v>41884</v>
      </c>
      <c r="B46">
        <v>125.62</v>
      </c>
      <c r="C46">
        <v>126.26</v>
      </c>
      <c r="D46">
        <v>124.57</v>
      </c>
      <c r="E46">
        <v>125.48</v>
      </c>
      <c r="F46">
        <v>4576000</v>
      </c>
      <c r="G46">
        <v>125.48</v>
      </c>
    </row>
    <row r="47" spans="1:7" x14ac:dyDescent="0.25">
      <c r="A47" s="34">
        <v>41885</v>
      </c>
      <c r="B47">
        <v>125.46</v>
      </c>
      <c r="C47">
        <v>126.24</v>
      </c>
      <c r="D47">
        <v>125.2</v>
      </c>
      <c r="E47">
        <v>125.94</v>
      </c>
      <c r="F47">
        <v>3966500</v>
      </c>
      <c r="G47">
        <v>125.94</v>
      </c>
    </row>
    <row r="48" spans="1:7" x14ac:dyDescent="0.25">
      <c r="A48" s="34">
        <v>41886</v>
      </c>
      <c r="B48">
        <v>126.38</v>
      </c>
      <c r="C48">
        <v>126.75</v>
      </c>
      <c r="D48">
        <v>125.26</v>
      </c>
      <c r="E48">
        <v>125.46</v>
      </c>
      <c r="F48">
        <v>2975300</v>
      </c>
      <c r="G48">
        <v>125.46</v>
      </c>
    </row>
    <row r="49" spans="1:7" x14ac:dyDescent="0.25">
      <c r="A49" s="34">
        <v>41887</v>
      </c>
      <c r="B49">
        <v>125.43</v>
      </c>
      <c r="C49">
        <v>125.55</v>
      </c>
      <c r="D49">
        <v>124.1</v>
      </c>
      <c r="E49">
        <v>124.69</v>
      </c>
      <c r="F49">
        <v>4913800</v>
      </c>
      <c r="G49">
        <v>124.69</v>
      </c>
    </row>
    <row r="50" spans="1:7" x14ac:dyDescent="0.25">
      <c r="A50" s="34">
        <v>41890</v>
      </c>
      <c r="B50">
        <v>125.9</v>
      </c>
      <c r="C50">
        <v>128.25</v>
      </c>
      <c r="D50">
        <v>125.9</v>
      </c>
      <c r="E50">
        <v>127.98</v>
      </c>
      <c r="F50">
        <v>6061500</v>
      </c>
      <c r="G50">
        <v>127.98</v>
      </c>
    </row>
    <row r="51" spans="1:7" x14ac:dyDescent="0.25">
      <c r="A51" s="34">
        <v>41891</v>
      </c>
      <c r="B51">
        <v>127.81</v>
      </c>
      <c r="C51">
        <v>128.68</v>
      </c>
      <c r="D51">
        <v>127.62</v>
      </c>
      <c r="E51">
        <v>128.21</v>
      </c>
      <c r="F51">
        <v>4828600</v>
      </c>
      <c r="G51">
        <v>128.21</v>
      </c>
    </row>
    <row r="52" spans="1:7" x14ac:dyDescent="0.25">
      <c r="A52" s="34">
        <v>41892</v>
      </c>
      <c r="B52">
        <v>128.47</v>
      </c>
      <c r="C52">
        <v>128.47</v>
      </c>
      <c r="D52">
        <v>127.48</v>
      </c>
      <c r="E52">
        <v>128.22</v>
      </c>
      <c r="F52">
        <v>3068200</v>
      </c>
      <c r="G52">
        <v>128.22</v>
      </c>
    </row>
    <row r="53" spans="1:7" x14ac:dyDescent="0.25">
      <c r="A53" s="34">
        <v>41893</v>
      </c>
      <c r="B53">
        <v>127.82</v>
      </c>
      <c r="C53">
        <v>127.99</v>
      </c>
      <c r="D53">
        <v>127.2</v>
      </c>
      <c r="E53">
        <v>127.64</v>
      </c>
      <c r="F53">
        <v>1988200</v>
      </c>
      <c r="G53">
        <v>127.64</v>
      </c>
    </row>
    <row r="54" spans="1:7" x14ac:dyDescent="0.25">
      <c r="A54" s="34">
        <v>41894</v>
      </c>
      <c r="B54">
        <v>127.49</v>
      </c>
      <c r="C54">
        <v>127.56</v>
      </c>
      <c r="D54">
        <v>126.61</v>
      </c>
      <c r="E54">
        <v>126.95</v>
      </c>
      <c r="F54">
        <v>3107300</v>
      </c>
      <c r="G54">
        <v>126.95</v>
      </c>
    </row>
    <row r="55" spans="1:7" x14ac:dyDescent="0.25">
      <c r="A55" s="34">
        <v>41897</v>
      </c>
      <c r="B55">
        <v>126.92</v>
      </c>
      <c r="C55">
        <v>126.95</v>
      </c>
      <c r="D55">
        <v>125.69</v>
      </c>
      <c r="E55">
        <v>126.31</v>
      </c>
      <c r="F55">
        <v>3261700</v>
      </c>
      <c r="G55">
        <v>126.31</v>
      </c>
    </row>
  </sheetData>
  <sortState ref="A3:G55">
    <sortCondition ref="A3:A55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15.38</v>
      </c>
      <c r="C3">
        <v>15.65</v>
      </c>
      <c r="D3">
        <v>15.38</v>
      </c>
      <c r="E3">
        <v>15.6</v>
      </c>
      <c r="F3">
        <v>74193500</v>
      </c>
      <c r="G3">
        <v>15.55</v>
      </c>
    </row>
    <row r="4" spans="1:7" x14ac:dyDescent="0.25">
      <c r="A4" s="34">
        <v>41822</v>
      </c>
      <c r="B4">
        <v>15.78</v>
      </c>
      <c r="C4">
        <v>16.03</v>
      </c>
      <c r="D4">
        <v>15.76</v>
      </c>
      <c r="E4">
        <v>15.85</v>
      </c>
      <c r="F4">
        <v>87685800</v>
      </c>
      <c r="G4">
        <v>15.8</v>
      </c>
    </row>
    <row r="5" spans="1:7" x14ac:dyDescent="0.25">
      <c r="A5" s="34">
        <v>41823</v>
      </c>
      <c r="B5">
        <v>16.07</v>
      </c>
      <c r="C5">
        <v>16.23</v>
      </c>
      <c r="D5">
        <v>16</v>
      </c>
      <c r="E5">
        <v>16.03</v>
      </c>
      <c r="F5">
        <v>70582300</v>
      </c>
      <c r="G5">
        <v>15.98</v>
      </c>
    </row>
    <row r="6" spans="1:7" x14ac:dyDescent="0.25">
      <c r="A6" s="34">
        <v>41827</v>
      </c>
      <c r="B6">
        <v>15.99</v>
      </c>
      <c r="C6">
        <v>16</v>
      </c>
      <c r="D6">
        <v>15.83</v>
      </c>
      <c r="E6">
        <v>15.94</v>
      </c>
      <c r="F6">
        <v>62437100</v>
      </c>
      <c r="G6">
        <v>15.89</v>
      </c>
    </row>
    <row r="7" spans="1:7" x14ac:dyDescent="0.25">
      <c r="A7" s="34">
        <v>41828</v>
      </c>
      <c r="B7">
        <v>15.82</v>
      </c>
      <c r="C7">
        <v>15.83</v>
      </c>
      <c r="D7">
        <v>15.52</v>
      </c>
      <c r="E7">
        <v>15.58</v>
      </c>
      <c r="F7">
        <v>73343400</v>
      </c>
      <c r="G7">
        <v>15.53</v>
      </c>
    </row>
    <row r="8" spans="1:7" x14ac:dyDescent="0.25">
      <c r="A8" s="34">
        <v>41829</v>
      </c>
      <c r="B8">
        <v>15.62</v>
      </c>
      <c r="C8">
        <v>15.69</v>
      </c>
      <c r="D8">
        <v>15.54</v>
      </c>
      <c r="E8">
        <v>15.6</v>
      </c>
      <c r="F8">
        <v>46415800</v>
      </c>
      <c r="G8">
        <v>15.55</v>
      </c>
    </row>
    <row r="9" spans="1:7" x14ac:dyDescent="0.25">
      <c r="A9" s="34">
        <v>41830</v>
      </c>
      <c r="B9">
        <v>15.33</v>
      </c>
      <c r="C9">
        <v>15.53</v>
      </c>
      <c r="D9">
        <v>15.25</v>
      </c>
      <c r="E9">
        <v>15.44</v>
      </c>
      <c r="F9">
        <v>61458500</v>
      </c>
      <c r="G9">
        <v>15.39</v>
      </c>
    </row>
    <row r="10" spans="1:7" x14ac:dyDescent="0.25">
      <c r="A10" s="34">
        <v>41831</v>
      </c>
      <c r="B10">
        <v>15.39</v>
      </c>
      <c r="C10">
        <v>15.43</v>
      </c>
      <c r="D10">
        <v>15.3</v>
      </c>
      <c r="E10">
        <v>15.38</v>
      </c>
      <c r="F10">
        <v>56849400</v>
      </c>
      <c r="G10">
        <v>15.33</v>
      </c>
    </row>
    <row r="11" spans="1:7" x14ac:dyDescent="0.25">
      <c r="A11" s="34">
        <v>41834</v>
      </c>
      <c r="B11">
        <v>15.62</v>
      </c>
      <c r="C11">
        <v>15.67</v>
      </c>
      <c r="D11">
        <v>15.52</v>
      </c>
      <c r="E11">
        <v>15.57</v>
      </c>
      <c r="F11">
        <v>59181700</v>
      </c>
      <c r="G11">
        <v>15.52</v>
      </c>
    </row>
    <row r="12" spans="1:7" x14ac:dyDescent="0.25">
      <c r="A12" s="34">
        <v>41835</v>
      </c>
      <c r="B12">
        <v>15.75</v>
      </c>
      <c r="C12">
        <v>15.85</v>
      </c>
      <c r="D12">
        <v>15.66</v>
      </c>
      <c r="E12">
        <v>15.81</v>
      </c>
      <c r="F12">
        <v>99946700</v>
      </c>
      <c r="G12">
        <v>15.76</v>
      </c>
    </row>
    <row r="13" spans="1:7" x14ac:dyDescent="0.25">
      <c r="A13" s="34">
        <v>41836</v>
      </c>
      <c r="B13">
        <v>15.66</v>
      </c>
      <c r="C13">
        <v>15.66</v>
      </c>
      <c r="D13">
        <v>15.43</v>
      </c>
      <c r="E13">
        <v>15.51</v>
      </c>
      <c r="F13">
        <v>123897400</v>
      </c>
      <c r="G13">
        <v>15.46</v>
      </c>
    </row>
    <row r="14" spans="1:7" x14ac:dyDescent="0.25">
      <c r="A14" s="34">
        <v>41837</v>
      </c>
      <c r="B14">
        <v>15.45</v>
      </c>
      <c r="C14">
        <v>15.48</v>
      </c>
      <c r="D14">
        <v>15.13</v>
      </c>
      <c r="E14">
        <v>15.2</v>
      </c>
      <c r="F14">
        <v>114839900</v>
      </c>
      <c r="G14">
        <v>15.15</v>
      </c>
    </row>
    <row r="15" spans="1:7" x14ac:dyDescent="0.25">
      <c r="A15" s="34">
        <v>41838</v>
      </c>
      <c r="B15">
        <v>15.27</v>
      </c>
      <c r="C15">
        <v>15.5</v>
      </c>
      <c r="D15">
        <v>15.25</v>
      </c>
      <c r="E15">
        <v>15.49</v>
      </c>
      <c r="F15">
        <v>74859200</v>
      </c>
      <c r="G15">
        <v>15.44</v>
      </c>
    </row>
    <row r="16" spans="1:7" x14ac:dyDescent="0.25">
      <c r="A16" s="34">
        <v>41841</v>
      </c>
      <c r="B16">
        <v>15.42</v>
      </c>
      <c r="C16">
        <v>15.55</v>
      </c>
      <c r="D16">
        <v>15.36</v>
      </c>
      <c r="E16">
        <v>15.52</v>
      </c>
      <c r="F16">
        <v>61802200</v>
      </c>
      <c r="G16">
        <v>15.47</v>
      </c>
    </row>
    <row r="17" spans="1:7" x14ac:dyDescent="0.25">
      <c r="A17" s="34">
        <v>41842</v>
      </c>
      <c r="B17">
        <v>15.59</v>
      </c>
      <c r="C17">
        <v>15.62</v>
      </c>
      <c r="D17">
        <v>15.47</v>
      </c>
      <c r="E17">
        <v>15.52</v>
      </c>
      <c r="F17">
        <v>58331100</v>
      </c>
      <c r="G17">
        <v>15.47</v>
      </c>
    </row>
    <row r="18" spans="1:7" x14ac:dyDescent="0.25">
      <c r="A18" s="34">
        <v>41843</v>
      </c>
      <c r="B18">
        <v>15.52</v>
      </c>
      <c r="C18">
        <v>15.63</v>
      </c>
      <c r="D18">
        <v>15.51</v>
      </c>
      <c r="E18">
        <v>15.52</v>
      </c>
      <c r="F18">
        <v>47253300</v>
      </c>
      <c r="G18">
        <v>15.47</v>
      </c>
    </row>
    <row r="19" spans="1:7" x14ac:dyDescent="0.25">
      <c r="A19" s="34">
        <v>41844</v>
      </c>
      <c r="B19">
        <v>15.56</v>
      </c>
      <c r="C19">
        <v>15.64</v>
      </c>
      <c r="D19">
        <v>15.55</v>
      </c>
      <c r="E19">
        <v>15.62</v>
      </c>
      <c r="F19">
        <v>46549800</v>
      </c>
      <c r="G19">
        <v>15.57</v>
      </c>
    </row>
    <row r="20" spans="1:7" x14ac:dyDescent="0.25">
      <c r="A20" s="34">
        <v>41845</v>
      </c>
      <c r="B20">
        <v>15.59</v>
      </c>
      <c r="C20">
        <v>15.63</v>
      </c>
      <c r="D20">
        <v>15.55</v>
      </c>
      <c r="E20">
        <v>15.59</v>
      </c>
      <c r="F20">
        <v>35627200</v>
      </c>
      <c r="G20">
        <v>15.54</v>
      </c>
    </row>
    <row r="21" spans="1:7" x14ac:dyDescent="0.25">
      <c r="A21" s="34">
        <v>41848</v>
      </c>
      <c r="B21">
        <v>15.59</v>
      </c>
      <c r="C21">
        <v>15.61</v>
      </c>
      <c r="D21">
        <v>15.46</v>
      </c>
      <c r="E21">
        <v>15.5</v>
      </c>
      <c r="F21">
        <v>39313000</v>
      </c>
      <c r="G21">
        <v>15.45</v>
      </c>
    </row>
    <row r="22" spans="1:7" x14ac:dyDescent="0.25">
      <c r="A22" s="34">
        <v>41849</v>
      </c>
      <c r="B22">
        <v>15.52</v>
      </c>
      <c r="C22">
        <v>15.53</v>
      </c>
      <c r="D22">
        <v>15.34</v>
      </c>
      <c r="E22">
        <v>15.34</v>
      </c>
      <c r="F22">
        <v>51480500</v>
      </c>
      <c r="G22">
        <v>15.29</v>
      </c>
    </row>
    <row r="23" spans="1:7" x14ac:dyDescent="0.25">
      <c r="A23" s="34">
        <v>41850</v>
      </c>
      <c r="B23">
        <v>15.43</v>
      </c>
      <c r="C23">
        <v>15.67</v>
      </c>
      <c r="D23">
        <v>15.31</v>
      </c>
      <c r="E23">
        <v>15.58</v>
      </c>
      <c r="F23">
        <v>83243100</v>
      </c>
      <c r="G23">
        <v>15.53</v>
      </c>
    </row>
    <row r="24" spans="1:7" x14ac:dyDescent="0.25">
      <c r="A24" s="34">
        <v>41851</v>
      </c>
      <c r="B24">
        <v>15.44</v>
      </c>
      <c r="C24">
        <v>15.55</v>
      </c>
      <c r="D24">
        <v>15.25</v>
      </c>
      <c r="E24">
        <v>15.25</v>
      </c>
      <c r="F24">
        <v>70677300</v>
      </c>
      <c r="G24">
        <v>15.2</v>
      </c>
    </row>
    <row r="25" spans="1:7" x14ac:dyDescent="0.25">
      <c r="A25" s="34">
        <v>41852</v>
      </c>
      <c r="B25">
        <v>15.18</v>
      </c>
      <c r="C25">
        <v>15.39</v>
      </c>
      <c r="D25">
        <v>14.84</v>
      </c>
      <c r="E25">
        <v>14.98</v>
      </c>
      <c r="F25">
        <v>115978900</v>
      </c>
      <c r="G25">
        <v>14.93</v>
      </c>
    </row>
    <row r="26" spans="1:7" x14ac:dyDescent="0.25">
      <c r="A26" s="34">
        <v>41855</v>
      </c>
      <c r="B26">
        <v>15.07</v>
      </c>
      <c r="C26">
        <v>15.12</v>
      </c>
      <c r="D26">
        <v>14.98</v>
      </c>
      <c r="E26">
        <v>15.05</v>
      </c>
      <c r="F26">
        <v>51954700</v>
      </c>
      <c r="G26">
        <v>15</v>
      </c>
    </row>
    <row r="27" spans="1:7" x14ac:dyDescent="0.25">
      <c r="A27" s="34">
        <v>41856</v>
      </c>
      <c r="B27">
        <v>15.01</v>
      </c>
      <c r="C27">
        <v>15.2</v>
      </c>
      <c r="D27">
        <v>14.9</v>
      </c>
      <c r="E27">
        <v>15</v>
      </c>
      <c r="F27">
        <v>65071500</v>
      </c>
      <c r="G27">
        <v>14.95</v>
      </c>
    </row>
    <row r="28" spans="1:7" x14ac:dyDescent="0.25">
      <c r="A28" s="34">
        <v>41857</v>
      </c>
      <c r="B28">
        <v>15.14</v>
      </c>
      <c r="C28">
        <v>15.36</v>
      </c>
      <c r="D28">
        <v>15.14</v>
      </c>
      <c r="E28">
        <v>15.2</v>
      </c>
      <c r="F28">
        <v>95977900</v>
      </c>
      <c r="G28">
        <v>15.15</v>
      </c>
    </row>
    <row r="29" spans="1:7" x14ac:dyDescent="0.25">
      <c r="A29" s="34">
        <v>41858</v>
      </c>
      <c r="B29">
        <v>15.44</v>
      </c>
      <c r="C29">
        <v>15.44</v>
      </c>
      <c r="D29">
        <v>15.09</v>
      </c>
      <c r="E29">
        <v>15.12</v>
      </c>
      <c r="F29">
        <v>80058300</v>
      </c>
      <c r="G29">
        <v>15.07</v>
      </c>
    </row>
    <row r="30" spans="1:7" x14ac:dyDescent="0.25">
      <c r="A30" s="34">
        <v>41859</v>
      </c>
      <c r="B30">
        <v>15.08</v>
      </c>
      <c r="C30">
        <v>15.2</v>
      </c>
      <c r="D30">
        <v>14.99</v>
      </c>
      <c r="E30">
        <v>15.2</v>
      </c>
      <c r="F30">
        <v>54495000</v>
      </c>
      <c r="G30">
        <v>15.15</v>
      </c>
    </row>
    <row r="31" spans="1:7" x14ac:dyDescent="0.25">
      <c r="A31" s="34">
        <v>41862</v>
      </c>
      <c r="B31">
        <v>15.26</v>
      </c>
      <c r="C31">
        <v>15.27</v>
      </c>
      <c r="D31">
        <v>15.15</v>
      </c>
      <c r="E31">
        <v>15.22</v>
      </c>
      <c r="F31">
        <v>41545100</v>
      </c>
      <c r="G31">
        <v>15.17</v>
      </c>
    </row>
    <row r="32" spans="1:7" x14ac:dyDescent="0.25">
      <c r="A32" s="34">
        <v>41863</v>
      </c>
      <c r="B32">
        <v>15.18</v>
      </c>
      <c r="C32">
        <v>15.3</v>
      </c>
      <c r="D32">
        <v>15.15</v>
      </c>
      <c r="E32">
        <v>15.21</v>
      </c>
      <c r="F32">
        <v>33674400</v>
      </c>
      <c r="G32">
        <v>15.16</v>
      </c>
    </row>
    <row r="33" spans="1:7" x14ac:dyDescent="0.25">
      <c r="A33" s="34">
        <v>41864</v>
      </c>
      <c r="B33">
        <v>15.25</v>
      </c>
      <c r="C33">
        <v>15.29</v>
      </c>
      <c r="D33">
        <v>15.2</v>
      </c>
      <c r="E33">
        <v>15.25</v>
      </c>
      <c r="F33">
        <v>34394600</v>
      </c>
      <c r="G33">
        <v>15.2</v>
      </c>
    </row>
    <row r="34" spans="1:7" x14ac:dyDescent="0.25">
      <c r="A34" s="34">
        <v>41865</v>
      </c>
      <c r="B34">
        <v>15.26</v>
      </c>
      <c r="C34">
        <v>15.32</v>
      </c>
      <c r="D34">
        <v>15.26</v>
      </c>
      <c r="E34">
        <v>15.32</v>
      </c>
      <c r="F34">
        <v>29934600</v>
      </c>
      <c r="G34">
        <v>15.27</v>
      </c>
    </row>
    <row r="35" spans="1:7" x14ac:dyDescent="0.25">
      <c r="A35" s="34">
        <v>41866</v>
      </c>
      <c r="B35">
        <v>15.34</v>
      </c>
      <c r="C35">
        <v>15.41</v>
      </c>
      <c r="D35">
        <v>15.14</v>
      </c>
      <c r="E35">
        <v>15.22</v>
      </c>
      <c r="F35">
        <v>61535500</v>
      </c>
      <c r="G35">
        <v>15.17</v>
      </c>
    </row>
    <row r="36" spans="1:7" x14ac:dyDescent="0.25">
      <c r="A36" s="34">
        <v>41869</v>
      </c>
      <c r="B36">
        <v>15.28</v>
      </c>
      <c r="C36">
        <v>15.45</v>
      </c>
      <c r="D36">
        <v>15.27</v>
      </c>
      <c r="E36">
        <v>15.45</v>
      </c>
      <c r="F36">
        <v>54968600</v>
      </c>
      <c r="G36">
        <v>15.4</v>
      </c>
    </row>
    <row r="37" spans="1:7" x14ac:dyDescent="0.25">
      <c r="A37" s="34">
        <v>41870</v>
      </c>
      <c r="B37">
        <v>15.52</v>
      </c>
      <c r="C37">
        <v>15.65</v>
      </c>
      <c r="D37">
        <v>15.44</v>
      </c>
      <c r="E37">
        <v>15.45</v>
      </c>
      <c r="F37">
        <v>44825500</v>
      </c>
      <c r="G37">
        <v>15.4</v>
      </c>
    </row>
    <row r="38" spans="1:7" x14ac:dyDescent="0.25">
      <c r="A38" s="34">
        <v>41871</v>
      </c>
      <c r="B38">
        <v>15.41</v>
      </c>
      <c r="C38">
        <v>15.63</v>
      </c>
      <c r="D38">
        <v>15.37</v>
      </c>
      <c r="E38">
        <v>15.52</v>
      </c>
      <c r="F38">
        <v>57825000</v>
      </c>
      <c r="G38">
        <v>15.47</v>
      </c>
    </row>
    <row r="39" spans="1:7" x14ac:dyDescent="0.25">
      <c r="A39" s="34">
        <v>41872</v>
      </c>
      <c r="B39">
        <v>15.69</v>
      </c>
      <c r="C39">
        <v>16.22</v>
      </c>
      <c r="D39">
        <v>15.62</v>
      </c>
      <c r="E39">
        <v>16.16</v>
      </c>
      <c r="F39">
        <v>177294400</v>
      </c>
      <c r="G39">
        <v>16.11</v>
      </c>
    </row>
    <row r="40" spans="1:7" x14ac:dyDescent="0.25">
      <c r="A40" s="34">
        <v>41873</v>
      </c>
      <c r="B40">
        <v>16.16</v>
      </c>
      <c r="C40">
        <v>16.29</v>
      </c>
      <c r="D40">
        <v>16.05</v>
      </c>
      <c r="E40">
        <v>16.13</v>
      </c>
      <c r="F40">
        <v>107641800</v>
      </c>
      <c r="G40">
        <v>16.079999999999998</v>
      </c>
    </row>
    <row r="41" spans="1:7" x14ac:dyDescent="0.25">
      <c r="A41" s="34">
        <v>41876</v>
      </c>
      <c r="B41">
        <v>16.27</v>
      </c>
      <c r="C41">
        <v>16.399999999999999</v>
      </c>
      <c r="D41">
        <v>16.2</v>
      </c>
      <c r="E41">
        <v>16.29</v>
      </c>
      <c r="F41">
        <v>89396500</v>
      </c>
      <c r="G41">
        <v>16.239999999999998</v>
      </c>
    </row>
    <row r="42" spans="1:7" x14ac:dyDescent="0.25">
      <c r="A42" s="34">
        <v>41877</v>
      </c>
      <c r="B42">
        <v>16.34</v>
      </c>
      <c r="C42">
        <v>16.46</v>
      </c>
      <c r="D42">
        <v>16.32</v>
      </c>
      <c r="E42">
        <v>16.329999999999998</v>
      </c>
      <c r="F42">
        <v>73323400</v>
      </c>
      <c r="G42">
        <v>16.28</v>
      </c>
    </row>
    <row r="43" spans="1:7" x14ac:dyDescent="0.25">
      <c r="A43" s="34">
        <v>41878</v>
      </c>
      <c r="B43">
        <v>16.37</v>
      </c>
      <c r="C43">
        <v>16.39</v>
      </c>
      <c r="D43">
        <v>16.14</v>
      </c>
      <c r="E43">
        <v>16.2</v>
      </c>
      <c r="F43">
        <v>63061800</v>
      </c>
      <c r="G43">
        <v>16.149999999999999</v>
      </c>
    </row>
    <row r="44" spans="1:7" x14ac:dyDescent="0.25">
      <c r="A44" s="34">
        <v>41879</v>
      </c>
      <c r="B44">
        <v>16.100000000000001</v>
      </c>
      <c r="C44">
        <v>16.100000000000001</v>
      </c>
      <c r="D44">
        <v>15.99</v>
      </c>
      <c r="E44">
        <v>16.010000000000002</v>
      </c>
      <c r="F44">
        <v>62170400</v>
      </c>
      <c r="G44">
        <v>15.96</v>
      </c>
    </row>
    <row r="45" spans="1:7" x14ac:dyDescent="0.25">
      <c r="A45" s="34">
        <v>41880</v>
      </c>
      <c r="B45">
        <v>16.05</v>
      </c>
      <c r="C45">
        <v>16.14</v>
      </c>
      <c r="D45">
        <v>16.02</v>
      </c>
      <c r="E45">
        <v>16.09</v>
      </c>
      <c r="F45">
        <v>50106600</v>
      </c>
      <c r="G45">
        <v>16.04</v>
      </c>
    </row>
    <row r="46" spans="1:7" x14ac:dyDescent="0.25">
      <c r="A46" s="34">
        <v>41884</v>
      </c>
      <c r="B46">
        <v>16.14</v>
      </c>
      <c r="C46">
        <v>16.28</v>
      </c>
      <c r="D46">
        <v>16.059999999999999</v>
      </c>
      <c r="E46">
        <v>16.27</v>
      </c>
      <c r="F46">
        <v>59400400</v>
      </c>
      <c r="G46">
        <v>16.22</v>
      </c>
    </row>
    <row r="47" spans="1:7" x14ac:dyDescent="0.25">
      <c r="A47" s="34">
        <v>41885</v>
      </c>
      <c r="B47">
        <v>16.27</v>
      </c>
      <c r="C47">
        <v>16.28</v>
      </c>
      <c r="D47">
        <v>16.04</v>
      </c>
      <c r="E47">
        <v>16.100000000000001</v>
      </c>
      <c r="F47">
        <v>67418900</v>
      </c>
      <c r="G47">
        <v>16.100000000000001</v>
      </c>
    </row>
    <row r="48" spans="1:7" x14ac:dyDescent="0.25">
      <c r="A48" s="34">
        <v>41886</v>
      </c>
      <c r="B48">
        <v>16.100000000000001</v>
      </c>
      <c r="C48">
        <v>16.27</v>
      </c>
      <c r="D48">
        <v>16.04</v>
      </c>
      <c r="E48">
        <v>16.11</v>
      </c>
      <c r="F48">
        <v>56378600</v>
      </c>
      <c r="G48">
        <v>16.11</v>
      </c>
    </row>
    <row r="49" spans="1:7" x14ac:dyDescent="0.25">
      <c r="A49" s="34">
        <v>41887</v>
      </c>
      <c r="B49">
        <v>16.05</v>
      </c>
      <c r="C49">
        <v>16.07</v>
      </c>
      <c r="D49">
        <v>15.9</v>
      </c>
      <c r="E49">
        <v>16.02</v>
      </c>
      <c r="F49">
        <v>80974900</v>
      </c>
      <c r="G49">
        <v>16.02</v>
      </c>
    </row>
    <row r="50" spans="1:7" x14ac:dyDescent="0.25">
      <c r="A50" s="34">
        <v>41890</v>
      </c>
      <c r="B50">
        <v>16.190000000000001</v>
      </c>
      <c r="C50">
        <v>16.37</v>
      </c>
      <c r="D50">
        <v>16.149999999999999</v>
      </c>
      <c r="E50">
        <v>16.350000000000001</v>
      </c>
      <c r="F50">
        <v>99411200</v>
      </c>
      <c r="G50">
        <v>16.350000000000001</v>
      </c>
    </row>
    <row r="51" spans="1:7" x14ac:dyDescent="0.25">
      <c r="A51" s="34">
        <v>41891</v>
      </c>
      <c r="B51">
        <v>16.25</v>
      </c>
      <c r="C51">
        <v>16.260000000000002</v>
      </c>
      <c r="D51">
        <v>16.100000000000001</v>
      </c>
      <c r="E51">
        <v>16.14</v>
      </c>
      <c r="F51">
        <v>82428900</v>
      </c>
      <c r="G51">
        <v>16.14</v>
      </c>
    </row>
    <row r="52" spans="1:7" x14ac:dyDescent="0.25">
      <c r="A52" s="34">
        <v>41892</v>
      </c>
      <c r="B52">
        <v>16.16</v>
      </c>
      <c r="C52">
        <v>16.399999999999999</v>
      </c>
      <c r="D52">
        <v>16.13</v>
      </c>
      <c r="E52">
        <v>16.36</v>
      </c>
      <c r="F52">
        <v>75656100</v>
      </c>
      <c r="G52">
        <v>16.36</v>
      </c>
    </row>
    <row r="53" spans="1:7" x14ac:dyDescent="0.25">
      <c r="A53" s="34">
        <v>41893</v>
      </c>
      <c r="B53">
        <v>16.32</v>
      </c>
      <c r="C53">
        <v>16.63</v>
      </c>
      <c r="D53">
        <v>16.3</v>
      </c>
      <c r="E53">
        <v>16.57</v>
      </c>
      <c r="F53">
        <v>106598100</v>
      </c>
      <c r="G53">
        <v>16.57</v>
      </c>
    </row>
    <row r="54" spans="1:7" x14ac:dyDescent="0.25">
      <c r="A54" s="34">
        <v>41894</v>
      </c>
      <c r="B54">
        <v>16.62</v>
      </c>
      <c r="C54">
        <v>16.829999999999998</v>
      </c>
      <c r="D54">
        <v>16.61</v>
      </c>
      <c r="E54">
        <v>16.79</v>
      </c>
      <c r="F54">
        <v>117118300</v>
      </c>
      <c r="G54">
        <v>16.79</v>
      </c>
    </row>
    <row r="55" spans="1:7" x14ac:dyDescent="0.25">
      <c r="A55" s="34">
        <v>41897</v>
      </c>
      <c r="B55">
        <v>16.8</v>
      </c>
      <c r="C55">
        <v>16.93</v>
      </c>
      <c r="D55">
        <v>16.62</v>
      </c>
      <c r="E55">
        <v>16.739999999999998</v>
      </c>
      <c r="F55">
        <v>87306900</v>
      </c>
      <c r="G55">
        <v>16.739999999999998</v>
      </c>
    </row>
  </sheetData>
  <sortState ref="A3:G55">
    <sortCondition ref="A3:A55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72.63</v>
      </c>
      <c r="C3">
        <v>73.989999999999995</v>
      </c>
      <c r="D3">
        <v>72.63</v>
      </c>
      <c r="E3">
        <v>73.760000000000005</v>
      </c>
      <c r="F3">
        <v>2907700</v>
      </c>
      <c r="G3">
        <v>73.239999999999995</v>
      </c>
    </row>
    <row r="4" spans="1:7" x14ac:dyDescent="0.25">
      <c r="A4" s="34">
        <v>41822</v>
      </c>
      <c r="B4">
        <v>73.91</v>
      </c>
      <c r="C4">
        <v>75</v>
      </c>
      <c r="D4">
        <v>73.36</v>
      </c>
      <c r="E4">
        <v>74.989999999999995</v>
      </c>
      <c r="F4">
        <v>3012600</v>
      </c>
      <c r="G4">
        <v>74.47</v>
      </c>
    </row>
    <row r="5" spans="1:7" x14ac:dyDescent="0.25">
      <c r="A5" s="34">
        <v>41823</v>
      </c>
      <c r="B5">
        <v>75.08</v>
      </c>
      <c r="C5">
        <v>75.239999999999995</v>
      </c>
      <c r="D5">
        <v>74.52</v>
      </c>
      <c r="E5">
        <v>74.88</v>
      </c>
      <c r="F5">
        <v>1389000</v>
      </c>
      <c r="G5">
        <v>74.36</v>
      </c>
    </row>
    <row r="6" spans="1:7" x14ac:dyDescent="0.25">
      <c r="A6" s="34">
        <v>41827</v>
      </c>
      <c r="B6">
        <v>74.83</v>
      </c>
      <c r="C6">
        <v>75.209999999999994</v>
      </c>
      <c r="D6">
        <v>74.53</v>
      </c>
      <c r="E6">
        <v>74.88</v>
      </c>
      <c r="F6">
        <v>1608500</v>
      </c>
      <c r="G6">
        <v>74.36</v>
      </c>
    </row>
    <row r="7" spans="1:7" x14ac:dyDescent="0.25">
      <c r="A7" s="34">
        <v>41828</v>
      </c>
      <c r="B7">
        <v>74.75</v>
      </c>
      <c r="C7">
        <v>75.56</v>
      </c>
      <c r="D7">
        <v>74.53</v>
      </c>
      <c r="E7">
        <v>75.38</v>
      </c>
      <c r="F7">
        <v>2695300</v>
      </c>
      <c r="G7">
        <v>74.849999999999994</v>
      </c>
    </row>
    <row r="8" spans="1:7" x14ac:dyDescent="0.25">
      <c r="A8" s="34">
        <v>41829</v>
      </c>
      <c r="B8">
        <v>75.14</v>
      </c>
      <c r="C8">
        <v>76.05</v>
      </c>
      <c r="D8">
        <v>75.14</v>
      </c>
      <c r="E8">
        <v>75.819999999999993</v>
      </c>
      <c r="F8">
        <v>2519700</v>
      </c>
      <c r="G8">
        <v>75.290000000000006</v>
      </c>
    </row>
    <row r="9" spans="1:7" x14ac:dyDescent="0.25">
      <c r="A9" s="34">
        <v>41830</v>
      </c>
      <c r="B9">
        <v>75.430000000000007</v>
      </c>
      <c r="C9">
        <v>76.78</v>
      </c>
      <c r="D9">
        <v>75.150000000000006</v>
      </c>
      <c r="E9">
        <v>76.75</v>
      </c>
      <c r="F9">
        <v>3308200</v>
      </c>
      <c r="G9">
        <v>76.209999999999994</v>
      </c>
    </row>
    <row r="10" spans="1:7" x14ac:dyDescent="0.25">
      <c r="A10" s="34">
        <v>41831</v>
      </c>
      <c r="B10">
        <v>76.56</v>
      </c>
      <c r="C10">
        <v>76.8</v>
      </c>
      <c r="D10">
        <v>76.09</v>
      </c>
      <c r="E10">
        <v>76.59</v>
      </c>
      <c r="F10">
        <v>1914500</v>
      </c>
      <c r="G10">
        <v>76.05</v>
      </c>
    </row>
    <row r="11" spans="1:7" x14ac:dyDescent="0.25">
      <c r="A11" s="34">
        <v>41834</v>
      </c>
      <c r="B11">
        <v>76.72</v>
      </c>
      <c r="C11">
        <v>77.14</v>
      </c>
      <c r="D11">
        <v>76.41</v>
      </c>
      <c r="E11">
        <v>76.790000000000006</v>
      </c>
      <c r="F11">
        <v>2048000</v>
      </c>
      <c r="G11">
        <v>76.25</v>
      </c>
    </row>
    <row r="12" spans="1:7" x14ac:dyDescent="0.25">
      <c r="A12" s="34">
        <v>41835</v>
      </c>
      <c r="B12">
        <v>76.91</v>
      </c>
      <c r="C12">
        <v>77</v>
      </c>
      <c r="D12">
        <v>76.569999999999993</v>
      </c>
      <c r="E12">
        <v>76.760000000000005</v>
      </c>
      <c r="F12">
        <v>2427900</v>
      </c>
      <c r="G12">
        <v>76.22</v>
      </c>
    </row>
    <row r="13" spans="1:7" x14ac:dyDescent="0.25">
      <c r="A13" s="34">
        <v>41836</v>
      </c>
      <c r="B13">
        <v>77</v>
      </c>
      <c r="C13">
        <v>77.09</v>
      </c>
      <c r="D13">
        <v>76.37</v>
      </c>
      <c r="E13">
        <v>76.599999999999994</v>
      </c>
      <c r="F13">
        <v>2040900</v>
      </c>
      <c r="G13">
        <v>76.06</v>
      </c>
    </row>
    <row r="14" spans="1:7" x14ac:dyDescent="0.25">
      <c r="A14" s="34">
        <v>41837</v>
      </c>
      <c r="B14">
        <v>76.19</v>
      </c>
      <c r="C14">
        <v>77.239999999999995</v>
      </c>
      <c r="D14">
        <v>75.94</v>
      </c>
      <c r="E14">
        <v>76.25</v>
      </c>
      <c r="F14">
        <v>2564400</v>
      </c>
      <c r="G14">
        <v>75.72</v>
      </c>
    </row>
    <row r="15" spans="1:7" x14ac:dyDescent="0.25">
      <c r="A15" s="34">
        <v>41838</v>
      </c>
      <c r="B15">
        <v>76.53</v>
      </c>
      <c r="C15">
        <v>76.56</v>
      </c>
      <c r="D15">
        <v>75.540000000000006</v>
      </c>
      <c r="E15">
        <v>76.52</v>
      </c>
      <c r="F15">
        <v>2924000</v>
      </c>
      <c r="G15">
        <v>75.98</v>
      </c>
    </row>
    <row r="16" spans="1:7" x14ac:dyDescent="0.25">
      <c r="A16" s="34">
        <v>41841</v>
      </c>
      <c r="B16">
        <v>76.23</v>
      </c>
      <c r="C16">
        <v>76.319999999999993</v>
      </c>
      <c r="D16">
        <v>75.67</v>
      </c>
      <c r="E16">
        <v>76.11</v>
      </c>
      <c r="F16">
        <v>2116300</v>
      </c>
      <c r="G16">
        <v>75.58</v>
      </c>
    </row>
    <row r="17" spans="1:7" x14ac:dyDescent="0.25">
      <c r="A17" s="34">
        <v>41842</v>
      </c>
      <c r="B17">
        <v>76.36</v>
      </c>
      <c r="C17">
        <v>77.150000000000006</v>
      </c>
      <c r="D17">
        <v>76.2</v>
      </c>
      <c r="E17">
        <v>76.87</v>
      </c>
      <c r="F17">
        <v>1912700</v>
      </c>
      <c r="G17">
        <v>76.33</v>
      </c>
    </row>
    <row r="18" spans="1:7" x14ac:dyDescent="0.25">
      <c r="A18" s="34">
        <v>41843</v>
      </c>
      <c r="B18">
        <v>77.27</v>
      </c>
      <c r="C18">
        <v>77.31</v>
      </c>
      <c r="D18">
        <v>76.569999999999993</v>
      </c>
      <c r="E18">
        <v>76.84</v>
      </c>
      <c r="F18">
        <v>2168500</v>
      </c>
      <c r="G18">
        <v>76.3</v>
      </c>
    </row>
    <row r="19" spans="1:7" x14ac:dyDescent="0.25">
      <c r="A19" s="34">
        <v>41844</v>
      </c>
      <c r="B19">
        <v>76.849999999999994</v>
      </c>
      <c r="C19">
        <v>77.290000000000006</v>
      </c>
      <c r="D19">
        <v>76.63</v>
      </c>
      <c r="E19">
        <v>77</v>
      </c>
      <c r="F19">
        <v>2326800</v>
      </c>
      <c r="G19">
        <v>76.459999999999994</v>
      </c>
    </row>
    <row r="20" spans="1:7" x14ac:dyDescent="0.25">
      <c r="A20" s="34">
        <v>41845</v>
      </c>
      <c r="B20">
        <v>77.069999999999993</v>
      </c>
      <c r="C20">
        <v>77.17</v>
      </c>
      <c r="D20">
        <v>76.22</v>
      </c>
      <c r="E20">
        <v>76.650000000000006</v>
      </c>
      <c r="F20">
        <v>1625900</v>
      </c>
      <c r="G20">
        <v>76.11</v>
      </c>
    </row>
    <row r="21" spans="1:7" x14ac:dyDescent="0.25">
      <c r="A21" s="34">
        <v>41848</v>
      </c>
      <c r="B21">
        <v>76.5</v>
      </c>
      <c r="C21">
        <v>76.739999999999995</v>
      </c>
      <c r="D21">
        <v>76.2</v>
      </c>
      <c r="E21">
        <v>76.47</v>
      </c>
      <c r="F21">
        <v>1792100</v>
      </c>
      <c r="G21">
        <v>75.930000000000007</v>
      </c>
    </row>
    <row r="22" spans="1:7" x14ac:dyDescent="0.25">
      <c r="A22" s="34">
        <v>41849</v>
      </c>
      <c r="B22">
        <v>76.58</v>
      </c>
      <c r="C22">
        <v>76.94</v>
      </c>
      <c r="D22">
        <v>76.33</v>
      </c>
      <c r="E22">
        <v>76.34</v>
      </c>
      <c r="F22">
        <v>1854500</v>
      </c>
      <c r="G22">
        <v>75.81</v>
      </c>
    </row>
    <row r="23" spans="1:7" x14ac:dyDescent="0.25">
      <c r="A23" s="34">
        <v>41850</v>
      </c>
      <c r="B23">
        <v>76.83</v>
      </c>
      <c r="C23">
        <v>77.2</v>
      </c>
      <c r="D23">
        <v>75.55</v>
      </c>
      <c r="E23">
        <v>76.09</v>
      </c>
      <c r="F23">
        <v>2921100</v>
      </c>
      <c r="G23">
        <v>75.56</v>
      </c>
    </row>
    <row r="24" spans="1:7" x14ac:dyDescent="0.25">
      <c r="A24" s="34">
        <v>41851</v>
      </c>
      <c r="B24">
        <v>75.42</v>
      </c>
      <c r="C24">
        <v>75.67</v>
      </c>
      <c r="D24">
        <v>74.52</v>
      </c>
      <c r="E24">
        <v>74.69</v>
      </c>
      <c r="F24">
        <v>3411400</v>
      </c>
      <c r="G24">
        <v>74.17</v>
      </c>
    </row>
    <row r="25" spans="1:7" x14ac:dyDescent="0.25">
      <c r="A25" s="34">
        <v>41852</v>
      </c>
      <c r="B25">
        <v>74.66</v>
      </c>
      <c r="C25">
        <v>75.48</v>
      </c>
      <c r="D25">
        <v>74.38</v>
      </c>
      <c r="E25">
        <v>74.97</v>
      </c>
      <c r="F25">
        <v>2300000</v>
      </c>
      <c r="G25">
        <v>74.45</v>
      </c>
    </row>
    <row r="26" spans="1:7" x14ac:dyDescent="0.25">
      <c r="A26" s="34">
        <v>41855</v>
      </c>
      <c r="B26">
        <v>74.63</v>
      </c>
      <c r="C26">
        <v>75</v>
      </c>
      <c r="D26">
        <v>74</v>
      </c>
      <c r="E26">
        <v>74.92</v>
      </c>
      <c r="F26">
        <v>2827600</v>
      </c>
      <c r="G26">
        <v>74.400000000000006</v>
      </c>
    </row>
    <row r="27" spans="1:7" x14ac:dyDescent="0.25">
      <c r="A27" s="34">
        <v>41856</v>
      </c>
      <c r="B27">
        <v>75.08</v>
      </c>
      <c r="C27">
        <v>75.3</v>
      </c>
      <c r="D27">
        <v>74.39</v>
      </c>
      <c r="E27">
        <v>74.459999999999994</v>
      </c>
      <c r="F27">
        <v>1851400</v>
      </c>
      <c r="G27">
        <v>73.94</v>
      </c>
    </row>
    <row r="28" spans="1:7" x14ac:dyDescent="0.25">
      <c r="A28" s="34">
        <v>41857</v>
      </c>
      <c r="B28">
        <v>74.06</v>
      </c>
      <c r="C28">
        <v>74.73</v>
      </c>
      <c r="D28">
        <v>74.05</v>
      </c>
      <c r="E28">
        <v>74.48</v>
      </c>
      <c r="F28">
        <v>1892000</v>
      </c>
      <c r="G28">
        <v>73.959999999999994</v>
      </c>
    </row>
    <row r="29" spans="1:7" x14ac:dyDescent="0.25">
      <c r="A29" s="34">
        <v>41858</v>
      </c>
      <c r="B29">
        <v>74.55</v>
      </c>
      <c r="C29">
        <v>74.739999999999995</v>
      </c>
      <c r="D29">
        <v>73.53</v>
      </c>
      <c r="E29">
        <v>73.77</v>
      </c>
      <c r="F29">
        <v>1542900</v>
      </c>
      <c r="G29">
        <v>73.25</v>
      </c>
    </row>
    <row r="30" spans="1:7" x14ac:dyDescent="0.25">
      <c r="A30" s="34">
        <v>41859</v>
      </c>
      <c r="B30">
        <v>73.77</v>
      </c>
      <c r="C30">
        <v>74.319999999999993</v>
      </c>
      <c r="D30">
        <v>73.260000000000005</v>
      </c>
      <c r="E30">
        <v>73.900000000000006</v>
      </c>
      <c r="F30">
        <v>2173900</v>
      </c>
      <c r="G30">
        <v>73.38</v>
      </c>
    </row>
    <row r="31" spans="1:7" x14ac:dyDescent="0.25">
      <c r="A31" s="34">
        <v>41862</v>
      </c>
      <c r="B31">
        <v>74.17</v>
      </c>
      <c r="C31">
        <v>74.97</v>
      </c>
      <c r="D31">
        <v>74.06</v>
      </c>
      <c r="E31">
        <v>74.2</v>
      </c>
      <c r="F31">
        <v>1612500</v>
      </c>
      <c r="G31">
        <v>73.680000000000007</v>
      </c>
    </row>
    <row r="32" spans="1:7" x14ac:dyDescent="0.25">
      <c r="A32" s="34">
        <v>41863</v>
      </c>
      <c r="B32">
        <v>74.22</v>
      </c>
      <c r="C32">
        <v>74.650000000000006</v>
      </c>
      <c r="D32">
        <v>73.89</v>
      </c>
      <c r="E32">
        <v>74.27</v>
      </c>
      <c r="F32">
        <v>1463200</v>
      </c>
      <c r="G32">
        <v>73.75</v>
      </c>
    </row>
    <row r="33" spans="1:7" x14ac:dyDescent="0.25">
      <c r="A33" s="34">
        <v>41864</v>
      </c>
      <c r="B33">
        <v>74.69</v>
      </c>
      <c r="C33">
        <v>75</v>
      </c>
      <c r="D33">
        <v>74.430000000000007</v>
      </c>
      <c r="E33">
        <v>74.959999999999994</v>
      </c>
      <c r="F33">
        <v>1498100</v>
      </c>
      <c r="G33">
        <v>74.44</v>
      </c>
    </row>
    <row r="34" spans="1:7" x14ac:dyDescent="0.25">
      <c r="A34" s="34">
        <v>41865</v>
      </c>
      <c r="B34">
        <v>75.22</v>
      </c>
      <c r="C34">
        <v>75.22</v>
      </c>
      <c r="D34">
        <v>74.56</v>
      </c>
      <c r="E34">
        <v>74.75</v>
      </c>
      <c r="F34">
        <v>1599400</v>
      </c>
      <c r="G34">
        <v>74.23</v>
      </c>
    </row>
    <row r="35" spans="1:7" x14ac:dyDescent="0.25">
      <c r="A35" s="34">
        <v>41866</v>
      </c>
      <c r="B35">
        <v>74.989999999999995</v>
      </c>
      <c r="C35">
        <v>75.25</v>
      </c>
      <c r="D35">
        <v>74</v>
      </c>
      <c r="E35">
        <v>74.41</v>
      </c>
      <c r="F35">
        <v>3680600</v>
      </c>
      <c r="G35">
        <v>73.89</v>
      </c>
    </row>
    <row r="36" spans="1:7" x14ac:dyDescent="0.25">
      <c r="A36" s="34">
        <v>41869</v>
      </c>
      <c r="B36">
        <v>74.77</v>
      </c>
      <c r="C36">
        <v>75.37</v>
      </c>
      <c r="D36">
        <v>74.62</v>
      </c>
      <c r="E36">
        <v>75.209999999999994</v>
      </c>
      <c r="F36">
        <v>1062700</v>
      </c>
      <c r="G36">
        <v>74.680000000000007</v>
      </c>
    </row>
    <row r="37" spans="1:7" x14ac:dyDescent="0.25">
      <c r="A37" s="34">
        <v>41870</v>
      </c>
      <c r="B37">
        <v>75.36</v>
      </c>
      <c r="C37">
        <v>75.459999999999994</v>
      </c>
      <c r="D37">
        <v>74.87</v>
      </c>
      <c r="E37">
        <v>75.13</v>
      </c>
      <c r="F37">
        <v>1383800</v>
      </c>
      <c r="G37">
        <v>74.599999999999994</v>
      </c>
    </row>
    <row r="38" spans="1:7" x14ac:dyDescent="0.25">
      <c r="A38" s="34">
        <v>41871</v>
      </c>
      <c r="B38">
        <v>75.13</v>
      </c>
      <c r="C38">
        <v>75.41</v>
      </c>
      <c r="D38">
        <v>74.7</v>
      </c>
      <c r="E38">
        <v>75.25</v>
      </c>
      <c r="F38">
        <v>1394500</v>
      </c>
      <c r="G38">
        <v>74.72</v>
      </c>
    </row>
    <row r="39" spans="1:7" x14ac:dyDescent="0.25">
      <c r="A39" s="34">
        <v>41872</v>
      </c>
      <c r="B39">
        <v>76.31</v>
      </c>
      <c r="C39">
        <v>76.34</v>
      </c>
      <c r="D39">
        <v>75.67</v>
      </c>
      <c r="E39">
        <v>75.8</v>
      </c>
      <c r="F39">
        <v>2101600</v>
      </c>
      <c r="G39">
        <v>75.27</v>
      </c>
    </row>
    <row r="40" spans="1:7" x14ac:dyDescent="0.25">
      <c r="A40" s="34">
        <v>41873</v>
      </c>
      <c r="B40">
        <v>75.569999999999993</v>
      </c>
      <c r="C40">
        <v>75.739999999999995</v>
      </c>
      <c r="D40">
        <v>74.94</v>
      </c>
      <c r="E40">
        <v>75.040000000000006</v>
      </c>
      <c r="F40">
        <v>2258700</v>
      </c>
      <c r="G40">
        <v>74.510000000000005</v>
      </c>
    </row>
    <row r="41" spans="1:7" x14ac:dyDescent="0.25">
      <c r="A41" s="34">
        <v>41876</v>
      </c>
      <c r="B41">
        <v>75.31</v>
      </c>
      <c r="C41">
        <v>75.61</v>
      </c>
      <c r="D41">
        <v>75.22</v>
      </c>
      <c r="E41">
        <v>75.400000000000006</v>
      </c>
      <c r="F41">
        <v>1141300</v>
      </c>
      <c r="G41">
        <v>74.87</v>
      </c>
    </row>
    <row r="42" spans="1:7" x14ac:dyDescent="0.25">
      <c r="A42" s="34">
        <v>41877</v>
      </c>
      <c r="B42">
        <v>75.56</v>
      </c>
      <c r="C42">
        <v>75.66</v>
      </c>
      <c r="D42">
        <v>75.36</v>
      </c>
      <c r="E42">
        <v>75.53</v>
      </c>
      <c r="F42">
        <v>1119500</v>
      </c>
      <c r="G42">
        <v>75</v>
      </c>
    </row>
    <row r="43" spans="1:7" x14ac:dyDescent="0.25">
      <c r="A43" s="34">
        <v>41878</v>
      </c>
      <c r="B43">
        <v>75.53</v>
      </c>
      <c r="C43">
        <v>75.650000000000006</v>
      </c>
      <c r="D43">
        <v>75.02</v>
      </c>
      <c r="E43">
        <v>75.34</v>
      </c>
      <c r="F43">
        <v>1626900</v>
      </c>
      <c r="G43">
        <v>74.81</v>
      </c>
    </row>
    <row r="44" spans="1:7" x14ac:dyDescent="0.25">
      <c r="A44" s="34">
        <v>41879</v>
      </c>
      <c r="B44">
        <v>75.11</v>
      </c>
      <c r="C44">
        <v>75.19</v>
      </c>
      <c r="D44">
        <v>74.63</v>
      </c>
      <c r="E44">
        <v>74.91</v>
      </c>
      <c r="F44">
        <v>1604900</v>
      </c>
      <c r="G44">
        <v>74.39</v>
      </c>
    </row>
    <row r="45" spans="1:7" x14ac:dyDescent="0.25">
      <c r="A45" s="34">
        <v>41880</v>
      </c>
      <c r="B45">
        <v>74.88</v>
      </c>
      <c r="C45">
        <v>75.150000000000006</v>
      </c>
      <c r="D45">
        <v>74.540000000000006</v>
      </c>
      <c r="E45">
        <v>74.98</v>
      </c>
      <c r="F45">
        <v>1740000</v>
      </c>
      <c r="G45">
        <v>74.459999999999994</v>
      </c>
    </row>
    <row r="46" spans="1:7" x14ac:dyDescent="0.25">
      <c r="A46" s="34">
        <v>41884</v>
      </c>
      <c r="B46">
        <v>74.95</v>
      </c>
      <c r="C46">
        <v>75.099999999999994</v>
      </c>
      <c r="D46">
        <v>74.17</v>
      </c>
      <c r="E46">
        <v>74.290000000000006</v>
      </c>
      <c r="F46">
        <v>1903400</v>
      </c>
      <c r="G46">
        <v>73.77</v>
      </c>
    </row>
    <row r="47" spans="1:7" x14ac:dyDescent="0.25">
      <c r="A47" s="34">
        <v>41885</v>
      </c>
      <c r="B47">
        <v>74.13</v>
      </c>
      <c r="C47">
        <v>74.39</v>
      </c>
      <c r="D47">
        <v>73.88</v>
      </c>
      <c r="E47">
        <v>73.97</v>
      </c>
      <c r="F47">
        <v>2186700</v>
      </c>
      <c r="G47">
        <v>73.97</v>
      </c>
    </row>
    <row r="48" spans="1:7" x14ac:dyDescent="0.25">
      <c r="A48" s="34">
        <v>41886</v>
      </c>
      <c r="B48">
        <v>74.150000000000006</v>
      </c>
      <c r="C48">
        <v>74.739999999999995</v>
      </c>
      <c r="D48">
        <v>73.62</v>
      </c>
      <c r="E48">
        <v>73.709999999999994</v>
      </c>
      <c r="F48">
        <v>2385000</v>
      </c>
      <c r="G48">
        <v>73.709999999999994</v>
      </c>
    </row>
    <row r="49" spans="1:7" x14ac:dyDescent="0.25">
      <c r="A49" s="34">
        <v>41887</v>
      </c>
      <c r="B49">
        <v>73.849999999999994</v>
      </c>
      <c r="C49">
        <v>74.5</v>
      </c>
      <c r="D49">
        <v>73.510000000000005</v>
      </c>
      <c r="E49">
        <v>74.2</v>
      </c>
      <c r="F49">
        <v>1704300</v>
      </c>
      <c r="G49">
        <v>74.2</v>
      </c>
    </row>
    <row r="50" spans="1:7" x14ac:dyDescent="0.25">
      <c r="A50" s="34">
        <v>41890</v>
      </c>
      <c r="B50">
        <v>74</v>
      </c>
      <c r="C50">
        <v>74.650000000000006</v>
      </c>
      <c r="D50">
        <v>74</v>
      </c>
      <c r="E50">
        <v>74.22</v>
      </c>
      <c r="F50">
        <v>1626200</v>
      </c>
      <c r="G50">
        <v>74.22</v>
      </c>
    </row>
    <row r="51" spans="1:7" x14ac:dyDescent="0.25">
      <c r="A51" s="34">
        <v>41891</v>
      </c>
      <c r="B51">
        <v>74.41</v>
      </c>
      <c r="C51">
        <v>74.510000000000005</v>
      </c>
      <c r="D51">
        <v>73.78</v>
      </c>
      <c r="E51">
        <v>74.27</v>
      </c>
      <c r="F51">
        <v>1931300</v>
      </c>
      <c r="G51">
        <v>74.27</v>
      </c>
    </row>
    <row r="52" spans="1:7" x14ac:dyDescent="0.25">
      <c r="A52" s="34">
        <v>41892</v>
      </c>
      <c r="B52">
        <v>74.41</v>
      </c>
      <c r="C52">
        <v>75.349999999999994</v>
      </c>
      <c r="D52">
        <v>74.16</v>
      </c>
      <c r="E52">
        <v>75.28</v>
      </c>
      <c r="F52">
        <v>2881100</v>
      </c>
      <c r="G52">
        <v>75.28</v>
      </c>
    </row>
    <row r="53" spans="1:7" x14ac:dyDescent="0.25">
      <c r="A53" s="34">
        <v>41893</v>
      </c>
      <c r="B53">
        <v>74.92</v>
      </c>
      <c r="C53">
        <v>75.349999999999994</v>
      </c>
      <c r="D53">
        <v>74.650000000000006</v>
      </c>
      <c r="E53">
        <v>75.09</v>
      </c>
      <c r="F53">
        <v>1841500</v>
      </c>
      <c r="G53">
        <v>75.09</v>
      </c>
    </row>
    <row r="54" spans="1:7" x14ac:dyDescent="0.25">
      <c r="A54" s="34">
        <v>41894</v>
      </c>
      <c r="B54">
        <v>75.05</v>
      </c>
      <c r="C54">
        <v>75.36</v>
      </c>
      <c r="D54">
        <v>74.47</v>
      </c>
      <c r="E54">
        <v>74.7</v>
      </c>
      <c r="F54">
        <v>2111700</v>
      </c>
      <c r="G54">
        <v>74.7</v>
      </c>
    </row>
    <row r="55" spans="1:7" x14ac:dyDescent="0.25">
      <c r="A55" s="34">
        <v>41897</v>
      </c>
      <c r="B55">
        <v>74.739999999999995</v>
      </c>
      <c r="C55">
        <v>74.739999999999995</v>
      </c>
      <c r="D55">
        <v>74.08</v>
      </c>
      <c r="E55">
        <v>74.55</v>
      </c>
      <c r="F55">
        <v>1614300</v>
      </c>
      <c r="G55">
        <v>74.55</v>
      </c>
    </row>
  </sheetData>
  <sortState ref="A3:G55">
    <sortCondition ref="A3:A55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317.02999999999997</v>
      </c>
      <c r="C3">
        <v>326.23</v>
      </c>
      <c r="D3">
        <v>315.24</v>
      </c>
      <c r="E3">
        <v>324.74</v>
      </c>
      <c r="F3">
        <v>1179500</v>
      </c>
      <c r="G3">
        <v>324.74</v>
      </c>
    </row>
    <row r="4" spans="1:7" x14ac:dyDescent="0.25">
      <c r="A4" s="34">
        <v>41822</v>
      </c>
      <c r="B4">
        <v>325.25</v>
      </c>
      <c r="C4">
        <v>332.78</v>
      </c>
      <c r="D4">
        <v>324.01</v>
      </c>
      <c r="E4">
        <v>331</v>
      </c>
      <c r="F4">
        <v>1183800</v>
      </c>
      <c r="G4">
        <v>331</v>
      </c>
    </row>
    <row r="5" spans="1:7" x14ac:dyDescent="0.25">
      <c r="A5" s="34">
        <v>41823</v>
      </c>
      <c r="B5">
        <v>330.8</v>
      </c>
      <c r="C5">
        <v>332.93</v>
      </c>
      <c r="D5">
        <v>328.23</v>
      </c>
      <c r="E5">
        <v>331.15</v>
      </c>
      <c r="F5">
        <v>700600</v>
      </c>
      <c r="G5">
        <v>331.15</v>
      </c>
    </row>
    <row r="6" spans="1:7" x14ac:dyDescent="0.25">
      <c r="A6" s="34">
        <v>41827</v>
      </c>
      <c r="B6">
        <v>329.4</v>
      </c>
      <c r="C6">
        <v>332.97</v>
      </c>
      <c r="D6">
        <v>324</v>
      </c>
      <c r="E6">
        <v>325.68</v>
      </c>
      <c r="F6">
        <v>802300</v>
      </c>
      <c r="G6">
        <v>325.68</v>
      </c>
    </row>
    <row r="7" spans="1:7" x14ac:dyDescent="0.25">
      <c r="A7" s="34">
        <v>41828</v>
      </c>
      <c r="B7">
        <v>324</v>
      </c>
      <c r="C7">
        <v>324.60000000000002</v>
      </c>
      <c r="D7">
        <v>316.91000000000003</v>
      </c>
      <c r="E7">
        <v>317.58999999999997</v>
      </c>
      <c r="F7">
        <v>1235700</v>
      </c>
      <c r="G7">
        <v>317.58999999999997</v>
      </c>
    </row>
    <row r="8" spans="1:7" x14ac:dyDescent="0.25">
      <c r="A8" s="34">
        <v>41829</v>
      </c>
      <c r="B8">
        <v>322.62</v>
      </c>
      <c r="C8">
        <v>322.87</v>
      </c>
      <c r="D8">
        <v>313.61</v>
      </c>
      <c r="E8">
        <v>320.14</v>
      </c>
      <c r="F8">
        <v>1027100</v>
      </c>
      <c r="G8">
        <v>320.14</v>
      </c>
    </row>
    <row r="9" spans="1:7" x14ac:dyDescent="0.25">
      <c r="A9" s="34">
        <v>41830</v>
      </c>
      <c r="B9">
        <v>317.10000000000002</v>
      </c>
      <c r="C9">
        <v>321.41000000000003</v>
      </c>
      <c r="D9">
        <v>315</v>
      </c>
      <c r="E9">
        <v>319.12</v>
      </c>
      <c r="F9">
        <v>825300</v>
      </c>
      <c r="G9">
        <v>319.12</v>
      </c>
    </row>
    <row r="10" spans="1:7" x14ac:dyDescent="0.25">
      <c r="A10" s="34">
        <v>41831</v>
      </c>
      <c r="B10">
        <v>320</v>
      </c>
      <c r="C10">
        <v>323.44</v>
      </c>
      <c r="D10">
        <v>316.04000000000002</v>
      </c>
      <c r="E10">
        <v>322.22000000000003</v>
      </c>
      <c r="F10">
        <v>946900</v>
      </c>
      <c r="G10">
        <v>322.22000000000003</v>
      </c>
    </row>
    <row r="11" spans="1:7" x14ac:dyDescent="0.25">
      <c r="A11" s="34">
        <v>41834</v>
      </c>
      <c r="B11">
        <v>325.12</v>
      </c>
      <c r="C11">
        <v>325.12</v>
      </c>
      <c r="D11">
        <v>319.06</v>
      </c>
      <c r="E11">
        <v>319.75</v>
      </c>
      <c r="F11">
        <v>876500</v>
      </c>
      <c r="G11">
        <v>319.75</v>
      </c>
    </row>
    <row r="12" spans="1:7" x14ac:dyDescent="0.25">
      <c r="A12" s="34">
        <v>41835</v>
      </c>
      <c r="B12">
        <v>320.76</v>
      </c>
      <c r="C12">
        <v>321.81</v>
      </c>
      <c r="D12">
        <v>311.92</v>
      </c>
      <c r="E12">
        <v>312</v>
      </c>
      <c r="F12">
        <v>1391100</v>
      </c>
      <c r="G12">
        <v>312</v>
      </c>
    </row>
    <row r="13" spans="1:7" x14ac:dyDescent="0.25">
      <c r="A13" s="34">
        <v>41836</v>
      </c>
      <c r="B13">
        <v>313.83</v>
      </c>
      <c r="C13">
        <v>313.83</v>
      </c>
      <c r="D13">
        <v>302.55</v>
      </c>
      <c r="E13">
        <v>303.74</v>
      </c>
      <c r="F13">
        <v>1803800</v>
      </c>
      <c r="G13">
        <v>303.74</v>
      </c>
    </row>
    <row r="14" spans="1:7" x14ac:dyDescent="0.25">
      <c r="A14" s="34">
        <v>41837</v>
      </c>
      <c r="B14">
        <v>301.85000000000002</v>
      </c>
      <c r="C14">
        <v>307.99</v>
      </c>
      <c r="D14">
        <v>298.31</v>
      </c>
      <c r="E14">
        <v>299.29000000000002</v>
      </c>
      <c r="F14">
        <v>1651300</v>
      </c>
      <c r="G14">
        <v>299.29000000000002</v>
      </c>
    </row>
    <row r="15" spans="1:7" x14ac:dyDescent="0.25">
      <c r="A15" s="34">
        <v>41838</v>
      </c>
      <c r="B15">
        <v>301.12</v>
      </c>
      <c r="C15">
        <v>305.82</v>
      </c>
      <c r="D15">
        <v>298.64</v>
      </c>
      <c r="E15">
        <v>304.10000000000002</v>
      </c>
      <c r="F15">
        <v>1550700</v>
      </c>
      <c r="G15">
        <v>304.10000000000002</v>
      </c>
    </row>
    <row r="16" spans="1:7" x14ac:dyDescent="0.25">
      <c r="A16" s="34">
        <v>41841</v>
      </c>
      <c r="B16">
        <v>303.04000000000002</v>
      </c>
      <c r="C16">
        <v>304.24</v>
      </c>
      <c r="D16">
        <v>300.39999999999998</v>
      </c>
      <c r="E16">
        <v>302.5</v>
      </c>
      <c r="F16">
        <v>1027800</v>
      </c>
      <c r="G16">
        <v>302.5</v>
      </c>
    </row>
    <row r="17" spans="1:7" x14ac:dyDescent="0.25">
      <c r="A17" s="34">
        <v>41842</v>
      </c>
      <c r="B17">
        <v>305.18</v>
      </c>
      <c r="C17">
        <v>308.68</v>
      </c>
      <c r="D17">
        <v>302.94</v>
      </c>
      <c r="E17">
        <v>303.67</v>
      </c>
      <c r="F17">
        <v>1200100</v>
      </c>
      <c r="G17">
        <v>303.67</v>
      </c>
    </row>
    <row r="18" spans="1:7" x14ac:dyDescent="0.25">
      <c r="A18" s="34">
        <v>41843</v>
      </c>
      <c r="B18">
        <v>335</v>
      </c>
      <c r="C18">
        <v>343.59</v>
      </c>
      <c r="D18">
        <v>331</v>
      </c>
      <c r="E18">
        <v>337.6</v>
      </c>
      <c r="F18">
        <v>4143000</v>
      </c>
      <c r="G18">
        <v>337.6</v>
      </c>
    </row>
    <row r="19" spans="1:7" x14ac:dyDescent="0.25">
      <c r="A19" s="34">
        <v>41844</v>
      </c>
      <c r="B19">
        <v>337.6</v>
      </c>
      <c r="C19">
        <v>339.83</v>
      </c>
      <c r="D19">
        <v>335.22</v>
      </c>
      <c r="E19">
        <v>336.79</v>
      </c>
      <c r="F19">
        <v>1599900</v>
      </c>
      <c r="G19">
        <v>336.79</v>
      </c>
    </row>
    <row r="20" spans="1:7" x14ac:dyDescent="0.25">
      <c r="A20" s="34">
        <v>41845</v>
      </c>
      <c r="B20">
        <v>334.78</v>
      </c>
      <c r="C20">
        <v>337.5</v>
      </c>
      <c r="D20">
        <v>332.77</v>
      </c>
      <c r="E20">
        <v>335.45</v>
      </c>
      <c r="F20">
        <v>1068600</v>
      </c>
      <c r="G20">
        <v>335.45</v>
      </c>
    </row>
    <row r="21" spans="1:7" x14ac:dyDescent="0.25">
      <c r="A21" s="34">
        <v>41848</v>
      </c>
      <c r="B21">
        <v>334.68</v>
      </c>
      <c r="C21">
        <v>338.34</v>
      </c>
      <c r="D21">
        <v>332.1</v>
      </c>
      <c r="E21">
        <v>336.39</v>
      </c>
      <c r="F21">
        <v>995600</v>
      </c>
      <c r="G21">
        <v>336.39</v>
      </c>
    </row>
    <row r="22" spans="1:7" x14ac:dyDescent="0.25">
      <c r="A22" s="34">
        <v>41849</v>
      </c>
      <c r="B22">
        <v>337</v>
      </c>
      <c r="C22">
        <v>344.07</v>
      </c>
      <c r="D22">
        <v>335.7</v>
      </c>
      <c r="E22">
        <v>341.73</v>
      </c>
      <c r="F22">
        <v>1286000</v>
      </c>
      <c r="G22">
        <v>341.73</v>
      </c>
    </row>
    <row r="23" spans="1:7" x14ac:dyDescent="0.25">
      <c r="A23" s="34">
        <v>41850</v>
      </c>
      <c r="B23">
        <v>344.45</v>
      </c>
      <c r="C23">
        <v>349</v>
      </c>
      <c r="D23">
        <v>343.02</v>
      </c>
      <c r="E23">
        <v>344.52</v>
      </c>
      <c r="F23">
        <v>1303300</v>
      </c>
      <c r="G23">
        <v>344.52</v>
      </c>
    </row>
    <row r="24" spans="1:7" x14ac:dyDescent="0.25">
      <c r="A24" s="34">
        <v>41851</v>
      </c>
      <c r="B24">
        <v>342.72</v>
      </c>
      <c r="C24">
        <v>342.86</v>
      </c>
      <c r="D24">
        <v>333.35</v>
      </c>
      <c r="E24">
        <v>334.39</v>
      </c>
      <c r="F24">
        <v>1168500</v>
      </c>
      <c r="G24">
        <v>334.39</v>
      </c>
    </row>
    <row r="25" spans="1:7" x14ac:dyDescent="0.25">
      <c r="A25" s="34">
        <v>41852</v>
      </c>
      <c r="B25">
        <v>332.93</v>
      </c>
      <c r="C25">
        <v>337.82</v>
      </c>
      <c r="D25">
        <v>325.85000000000002</v>
      </c>
      <c r="E25">
        <v>329.83</v>
      </c>
      <c r="F25">
        <v>1319300</v>
      </c>
      <c r="G25">
        <v>329.83</v>
      </c>
    </row>
    <row r="26" spans="1:7" x14ac:dyDescent="0.25">
      <c r="A26" s="34">
        <v>41855</v>
      </c>
      <c r="B26">
        <v>330.08</v>
      </c>
      <c r="C26">
        <v>330.94</v>
      </c>
      <c r="D26">
        <v>325.76</v>
      </c>
      <c r="E26">
        <v>326.55</v>
      </c>
      <c r="F26">
        <v>989300</v>
      </c>
      <c r="G26">
        <v>326.55</v>
      </c>
    </row>
    <row r="27" spans="1:7" x14ac:dyDescent="0.25">
      <c r="A27" s="34">
        <v>41856</v>
      </c>
      <c r="B27">
        <v>325.58</v>
      </c>
      <c r="C27">
        <v>328.55</v>
      </c>
      <c r="D27">
        <v>322.14</v>
      </c>
      <c r="E27">
        <v>325.23</v>
      </c>
      <c r="F27">
        <v>1125300</v>
      </c>
      <c r="G27">
        <v>325.23</v>
      </c>
    </row>
    <row r="28" spans="1:7" x14ac:dyDescent="0.25">
      <c r="A28" s="34">
        <v>41857</v>
      </c>
      <c r="B28">
        <v>324.06</v>
      </c>
      <c r="C28">
        <v>328.49</v>
      </c>
      <c r="D28">
        <v>322</v>
      </c>
      <c r="E28">
        <v>325.2</v>
      </c>
      <c r="F28">
        <v>940600</v>
      </c>
      <c r="G28">
        <v>325.2</v>
      </c>
    </row>
    <row r="29" spans="1:7" x14ac:dyDescent="0.25">
      <c r="A29" s="34">
        <v>41858</v>
      </c>
      <c r="B29">
        <v>326</v>
      </c>
      <c r="C29">
        <v>327.36</v>
      </c>
      <c r="D29">
        <v>319.8</v>
      </c>
      <c r="E29">
        <v>320.60000000000002</v>
      </c>
      <c r="F29">
        <v>872700</v>
      </c>
      <c r="G29">
        <v>320.60000000000002</v>
      </c>
    </row>
    <row r="30" spans="1:7" x14ac:dyDescent="0.25">
      <c r="A30" s="34">
        <v>41859</v>
      </c>
      <c r="B30">
        <v>320.88</v>
      </c>
      <c r="C30">
        <v>326.39999999999998</v>
      </c>
      <c r="D30">
        <v>319.32</v>
      </c>
      <c r="E30">
        <v>324.05</v>
      </c>
      <c r="F30">
        <v>1196900</v>
      </c>
      <c r="G30">
        <v>324.05</v>
      </c>
    </row>
    <row r="31" spans="1:7" x14ac:dyDescent="0.25">
      <c r="A31" s="34">
        <v>41862</v>
      </c>
      <c r="B31">
        <v>327.3</v>
      </c>
      <c r="C31">
        <v>327.44</v>
      </c>
      <c r="D31">
        <v>319.07</v>
      </c>
      <c r="E31">
        <v>320.33999999999997</v>
      </c>
      <c r="F31">
        <v>983000</v>
      </c>
      <c r="G31">
        <v>320.33999999999997</v>
      </c>
    </row>
    <row r="32" spans="1:7" x14ac:dyDescent="0.25">
      <c r="A32" s="34">
        <v>41863</v>
      </c>
      <c r="B32">
        <v>319.95999999999998</v>
      </c>
      <c r="C32">
        <v>325.64</v>
      </c>
      <c r="D32">
        <v>317</v>
      </c>
      <c r="E32">
        <v>324.95999999999998</v>
      </c>
      <c r="F32">
        <v>1045600</v>
      </c>
      <c r="G32">
        <v>324.95999999999998</v>
      </c>
    </row>
    <row r="33" spans="1:7" x14ac:dyDescent="0.25">
      <c r="A33" s="34">
        <v>41864</v>
      </c>
      <c r="B33">
        <v>325.51</v>
      </c>
      <c r="C33">
        <v>335.39</v>
      </c>
      <c r="D33">
        <v>324.13</v>
      </c>
      <c r="E33">
        <v>334.64</v>
      </c>
      <c r="F33">
        <v>1449200</v>
      </c>
      <c r="G33">
        <v>334.64</v>
      </c>
    </row>
    <row r="34" spans="1:7" x14ac:dyDescent="0.25">
      <c r="A34" s="34">
        <v>41865</v>
      </c>
      <c r="B34">
        <v>335.05</v>
      </c>
      <c r="C34">
        <v>338.51</v>
      </c>
      <c r="D34">
        <v>333.66</v>
      </c>
      <c r="E34">
        <v>337.01</v>
      </c>
      <c r="F34">
        <v>1319200</v>
      </c>
      <c r="G34">
        <v>337.01</v>
      </c>
    </row>
    <row r="35" spans="1:7" x14ac:dyDescent="0.25">
      <c r="A35" s="34">
        <v>41866</v>
      </c>
      <c r="B35">
        <v>339.25</v>
      </c>
      <c r="C35">
        <v>343.03</v>
      </c>
      <c r="D35">
        <v>330.7</v>
      </c>
      <c r="E35">
        <v>342.47</v>
      </c>
      <c r="F35">
        <v>1722400</v>
      </c>
      <c r="G35">
        <v>342.47</v>
      </c>
    </row>
    <row r="36" spans="1:7" x14ac:dyDescent="0.25">
      <c r="A36" s="34">
        <v>41869</v>
      </c>
      <c r="B36">
        <v>347.59</v>
      </c>
      <c r="C36">
        <v>348.4</v>
      </c>
      <c r="D36">
        <v>342.09</v>
      </c>
      <c r="E36">
        <v>344.6</v>
      </c>
      <c r="F36">
        <v>1223600</v>
      </c>
      <c r="G36">
        <v>344.6</v>
      </c>
    </row>
    <row r="37" spans="1:7" x14ac:dyDescent="0.25">
      <c r="A37" s="34">
        <v>41870</v>
      </c>
      <c r="B37">
        <v>344.82</v>
      </c>
      <c r="C37">
        <v>348.49</v>
      </c>
      <c r="D37">
        <v>343.29</v>
      </c>
      <c r="E37">
        <v>345.84</v>
      </c>
      <c r="F37">
        <v>815700</v>
      </c>
      <c r="G37">
        <v>345.84</v>
      </c>
    </row>
    <row r="38" spans="1:7" x14ac:dyDescent="0.25">
      <c r="A38" s="34">
        <v>41871</v>
      </c>
      <c r="B38">
        <v>343.68</v>
      </c>
      <c r="C38">
        <v>345.46</v>
      </c>
      <c r="D38">
        <v>340.67</v>
      </c>
      <c r="E38">
        <v>342.58</v>
      </c>
      <c r="F38">
        <v>700100</v>
      </c>
      <c r="G38">
        <v>342.58</v>
      </c>
    </row>
    <row r="39" spans="1:7" x14ac:dyDescent="0.25">
      <c r="A39" s="34">
        <v>41872</v>
      </c>
      <c r="B39">
        <v>342.73</v>
      </c>
      <c r="C39">
        <v>344.42</v>
      </c>
      <c r="D39">
        <v>337.19</v>
      </c>
      <c r="E39">
        <v>338.65</v>
      </c>
      <c r="F39">
        <v>663700</v>
      </c>
      <c r="G39">
        <v>338.65</v>
      </c>
    </row>
    <row r="40" spans="1:7" x14ac:dyDescent="0.25">
      <c r="A40" s="34">
        <v>41873</v>
      </c>
      <c r="B40">
        <v>339.84</v>
      </c>
      <c r="C40">
        <v>341.9</v>
      </c>
      <c r="D40">
        <v>337</v>
      </c>
      <c r="E40">
        <v>339.97</v>
      </c>
      <c r="F40">
        <v>677300</v>
      </c>
      <c r="G40">
        <v>339.97</v>
      </c>
    </row>
    <row r="41" spans="1:7" x14ac:dyDescent="0.25">
      <c r="A41" s="34">
        <v>41876</v>
      </c>
      <c r="B41">
        <v>342.54</v>
      </c>
      <c r="C41">
        <v>345.75</v>
      </c>
      <c r="D41">
        <v>341.08</v>
      </c>
      <c r="E41">
        <v>342.7</v>
      </c>
      <c r="F41">
        <v>719300</v>
      </c>
      <c r="G41">
        <v>342.7</v>
      </c>
    </row>
    <row r="42" spans="1:7" x14ac:dyDescent="0.25">
      <c r="A42" s="34">
        <v>41877</v>
      </c>
      <c r="B42">
        <v>343.39</v>
      </c>
      <c r="C42">
        <v>343.6</v>
      </c>
      <c r="D42">
        <v>340.01</v>
      </c>
      <c r="E42">
        <v>342.99</v>
      </c>
      <c r="F42">
        <v>836800</v>
      </c>
      <c r="G42">
        <v>342.99</v>
      </c>
    </row>
    <row r="43" spans="1:7" x14ac:dyDescent="0.25">
      <c r="A43" s="34">
        <v>41878</v>
      </c>
      <c r="B43">
        <v>343.46</v>
      </c>
      <c r="C43">
        <v>343.76</v>
      </c>
      <c r="D43">
        <v>338.54</v>
      </c>
      <c r="E43">
        <v>343.36</v>
      </c>
      <c r="F43">
        <v>972100</v>
      </c>
      <c r="G43">
        <v>343.36</v>
      </c>
    </row>
    <row r="44" spans="1:7" x14ac:dyDescent="0.25">
      <c r="A44" s="34">
        <v>41879</v>
      </c>
      <c r="B44">
        <v>341.14</v>
      </c>
      <c r="C44">
        <v>343.83</v>
      </c>
      <c r="D44">
        <v>339.52</v>
      </c>
      <c r="E44">
        <v>341.24</v>
      </c>
      <c r="F44">
        <v>643800</v>
      </c>
      <c r="G44">
        <v>341.24</v>
      </c>
    </row>
    <row r="45" spans="1:7" x14ac:dyDescent="0.25">
      <c r="A45" s="34">
        <v>41880</v>
      </c>
      <c r="B45">
        <v>343.63</v>
      </c>
      <c r="C45">
        <v>343.63</v>
      </c>
      <c r="D45">
        <v>339.18</v>
      </c>
      <c r="E45">
        <v>343.04</v>
      </c>
      <c r="F45">
        <v>700100</v>
      </c>
      <c r="G45">
        <v>343.04</v>
      </c>
    </row>
    <row r="46" spans="1:7" x14ac:dyDescent="0.25">
      <c r="A46" s="34">
        <v>41884</v>
      </c>
      <c r="B46">
        <v>345.47</v>
      </c>
      <c r="C46">
        <v>347.79</v>
      </c>
      <c r="D46">
        <v>340.6</v>
      </c>
      <c r="E46">
        <v>342.68</v>
      </c>
      <c r="F46">
        <v>715600</v>
      </c>
      <c r="G46">
        <v>342.68</v>
      </c>
    </row>
    <row r="47" spans="1:7" x14ac:dyDescent="0.25">
      <c r="A47" s="34">
        <v>41885</v>
      </c>
      <c r="B47">
        <v>343.37</v>
      </c>
      <c r="C47">
        <v>345.81</v>
      </c>
      <c r="D47">
        <v>342.17</v>
      </c>
      <c r="E47">
        <v>344.12</v>
      </c>
      <c r="F47">
        <v>735700</v>
      </c>
      <c r="G47">
        <v>344.12</v>
      </c>
    </row>
    <row r="48" spans="1:7" x14ac:dyDescent="0.25">
      <c r="A48" s="34">
        <v>41886</v>
      </c>
      <c r="B48">
        <v>344.37</v>
      </c>
      <c r="C48">
        <v>344.44</v>
      </c>
      <c r="D48">
        <v>333.78</v>
      </c>
      <c r="E48">
        <v>334.83</v>
      </c>
      <c r="F48">
        <v>827700</v>
      </c>
      <c r="G48">
        <v>334.83</v>
      </c>
    </row>
    <row r="49" spans="1:7" x14ac:dyDescent="0.25">
      <c r="A49" s="34">
        <v>41887</v>
      </c>
      <c r="B49">
        <v>335.04</v>
      </c>
      <c r="C49">
        <v>335.75</v>
      </c>
      <c r="D49">
        <v>321</v>
      </c>
      <c r="E49">
        <v>330.48</v>
      </c>
      <c r="F49">
        <v>1910600</v>
      </c>
      <c r="G49">
        <v>330.48</v>
      </c>
    </row>
    <row r="50" spans="1:7" x14ac:dyDescent="0.25">
      <c r="A50" s="34">
        <v>41890</v>
      </c>
      <c r="B50">
        <v>329.28</v>
      </c>
      <c r="C50">
        <v>331.85</v>
      </c>
      <c r="D50">
        <v>326.74</v>
      </c>
      <c r="E50">
        <v>331.31</v>
      </c>
      <c r="F50">
        <v>927200</v>
      </c>
      <c r="G50">
        <v>331.31</v>
      </c>
    </row>
    <row r="51" spans="1:7" x14ac:dyDescent="0.25">
      <c r="A51" s="34">
        <v>41891</v>
      </c>
      <c r="B51">
        <v>330.74</v>
      </c>
      <c r="C51">
        <v>330.74</v>
      </c>
      <c r="D51">
        <v>326.02999999999997</v>
      </c>
      <c r="E51">
        <v>326.83</v>
      </c>
      <c r="F51">
        <v>840800</v>
      </c>
      <c r="G51">
        <v>326.83</v>
      </c>
    </row>
    <row r="52" spans="1:7" x14ac:dyDescent="0.25">
      <c r="A52" s="34">
        <v>41892</v>
      </c>
      <c r="B52">
        <v>325.99</v>
      </c>
      <c r="C52">
        <v>333</v>
      </c>
      <c r="D52">
        <v>325.99</v>
      </c>
      <c r="E52">
        <v>332.08</v>
      </c>
      <c r="F52">
        <v>811100</v>
      </c>
      <c r="G52">
        <v>332.08</v>
      </c>
    </row>
    <row r="53" spans="1:7" x14ac:dyDescent="0.25">
      <c r="A53" s="34">
        <v>41893</v>
      </c>
      <c r="B53">
        <v>330.41</v>
      </c>
      <c r="C53">
        <v>332.81</v>
      </c>
      <c r="D53">
        <v>324.74</v>
      </c>
      <c r="E53">
        <v>327.11</v>
      </c>
      <c r="F53">
        <v>925300</v>
      </c>
      <c r="G53">
        <v>327.11</v>
      </c>
    </row>
    <row r="54" spans="1:7" x14ac:dyDescent="0.25">
      <c r="A54" s="34">
        <v>41894</v>
      </c>
      <c r="B54">
        <v>327.31</v>
      </c>
      <c r="C54">
        <v>328.16</v>
      </c>
      <c r="D54">
        <v>321.11</v>
      </c>
      <c r="E54">
        <v>323.39</v>
      </c>
      <c r="F54">
        <v>802500</v>
      </c>
      <c r="G54">
        <v>323.39</v>
      </c>
    </row>
    <row r="55" spans="1:7" x14ac:dyDescent="0.25">
      <c r="A55" s="34">
        <v>41897</v>
      </c>
      <c r="B55">
        <v>323.39999999999998</v>
      </c>
      <c r="C55">
        <v>323.97000000000003</v>
      </c>
      <c r="D55">
        <v>315.70999999999998</v>
      </c>
      <c r="E55">
        <v>320.12</v>
      </c>
      <c r="F55">
        <v>1062800</v>
      </c>
      <c r="G55">
        <v>320.12</v>
      </c>
    </row>
  </sheetData>
  <sortState ref="A3:G55">
    <sortCondition ref="A3:A55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37.85</v>
      </c>
      <c r="C3">
        <v>38.31</v>
      </c>
      <c r="D3">
        <v>37.75</v>
      </c>
      <c r="E3">
        <v>37.9</v>
      </c>
      <c r="F3">
        <v>10110900</v>
      </c>
      <c r="G3">
        <v>37.74</v>
      </c>
    </row>
    <row r="4" spans="1:7" x14ac:dyDescent="0.25">
      <c r="A4" s="34">
        <v>41822</v>
      </c>
      <c r="B4">
        <v>37.92</v>
      </c>
      <c r="C4">
        <v>38.07</v>
      </c>
      <c r="D4">
        <v>37.56</v>
      </c>
      <c r="E4">
        <v>37.61</v>
      </c>
      <c r="F4">
        <v>5241700</v>
      </c>
      <c r="G4">
        <v>37.450000000000003</v>
      </c>
    </row>
    <row r="5" spans="1:7" x14ac:dyDescent="0.25">
      <c r="A5" s="34">
        <v>41823</v>
      </c>
      <c r="B5">
        <v>37.85</v>
      </c>
      <c r="C5">
        <v>38.090000000000003</v>
      </c>
      <c r="D5">
        <v>37.75</v>
      </c>
      <c r="E5">
        <v>37.93</v>
      </c>
      <c r="F5">
        <v>2739300</v>
      </c>
      <c r="G5">
        <v>37.770000000000003</v>
      </c>
    </row>
    <row r="6" spans="1:7" x14ac:dyDescent="0.25">
      <c r="A6" s="34">
        <v>41827</v>
      </c>
      <c r="B6">
        <v>37.5</v>
      </c>
      <c r="C6">
        <v>37.770000000000003</v>
      </c>
      <c r="D6">
        <v>37.43</v>
      </c>
      <c r="E6">
        <v>37.72</v>
      </c>
      <c r="F6">
        <v>4301500</v>
      </c>
      <c r="G6">
        <v>37.56</v>
      </c>
    </row>
    <row r="7" spans="1:7" x14ac:dyDescent="0.25">
      <c r="A7" s="34">
        <v>41828</v>
      </c>
      <c r="B7">
        <v>37.619999999999997</v>
      </c>
      <c r="C7">
        <v>37.65</v>
      </c>
      <c r="D7">
        <v>37.130000000000003</v>
      </c>
      <c r="E7">
        <v>37.6</v>
      </c>
      <c r="F7">
        <v>6016100</v>
      </c>
      <c r="G7">
        <v>37.44</v>
      </c>
    </row>
    <row r="8" spans="1:7" x14ac:dyDescent="0.25">
      <c r="A8" s="34">
        <v>41829</v>
      </c>
      <c r="B8">
        <v>38.17</v>
      </c>
      <c r="C8">
        <v>38.21</v>
      </c>
      <c r="D8">
        <v>37.44</v>
      </c>
      <c r="E8">
        <v>37.630000000000003</v>
      </c>
      <c r="F8">
        <v>4453900</v>
      </c>
      <c r="G8">
        <v>37.47</v>
      </c>
    </row>
    <row r="9" spans="1:7" x14ac:dyDescent="0.25">
      <c r="A9" s="34">
        <v>41830</v>
      </c>
      <c r="B9">
        <v>37.15</v>
      </c>
      <c r="C9">
        <v>37.78</v>
      </c>
      <c r="D9">
        <v>37.119999999999997</v>
      </c>
      <c r="E9">
        <v>37.72</v>
      </c>
      <c r="F9">
        <v>5067800</v>
      </c>
      <c r="G9">
        <v>37.56</v>
      </c>
    </row>
    <row r="10" spans="1:7" x14ac:dyDescent="0.25">
      <c r="A10" s="34">
        <v>41831</v>
      </c>
      <c r="B10">
        <v>37.590000000000003</v>
      </c>
      <c r="C10">
        <v>37.65</v>
      </c>
      <c r="D10">
        <v>37.4</v>
      </c>
      <c r="E10">
        <v>37.61</v>
      </c>
      <c r="F10">
        <v>4403700</v>
      </c>
      <c r="G10">
        <v>37.450000000000003</v>
      </c>
    </row>
    <row r="11" spans="1:7" x14ac:dyDescent="0.25">
      <c r="A11" s="34">
        <v>41834</v>
      </c>
      <c r="B11">
        <v>37.950000000000003</v>
      </c>
      <c r="C11">
        <v>38.090000000000003</v>
      </c>
      <c r="D11">
        <v>37.53</v>
      </c>
      <c r="E11">
        <v>37.64</v>
      </c>
      <c r="F11">
        <v>5030000</v>
      </c>
      <c r="G11">
        <v>37.479999999999997</v>
      </c>
    </row>
    <row r="12" spans="1:7" x14ac:dyDescent="0.25">
      <c r="A12" s="34">
        <v>41835</v>
      </c>
      <c r="B12">
        <v>38.130000000000003</v>
      </c>
      <c r="C12">
        <v>38.479999999999997</v>
      </c>
      <c r="D12">
        <v>37.9</v>
      </c>
      <c r="E12">
        <v>38.24</v>
      </c>
      <c r="F12">
        <v>8515200</v>
      </c>
      <c r="G12">
        <v>38.08</v>
      </c>
    </row>
    <row r="13" spans="1:7" x14ac:dyDescent="0.25">
      <c r="A13" s="34">
        <v>41836</v>
      </c>
      <c r="B13">
        <v>38.299999999999997</v>
      </c>
      <c r="C13">
        <v>38.39</v>
      </c>
      <c r="D13">
        <v>37.979999999999997</v>
      </c>
      <c r="E13">
        <v>38.11</v>
      </c>
      <c r="F13">
        <v>6012400</v>
      </c>
      <c r="G13">
        <v>37.950000000000003</v>
      </c>
    </row>
    <row r="14" spans="1:7" x14ac:dyDescent="0.25">
      <c r="A14" s="34">
        <v>41837</v>
      </c>
      <c r="B14">
        <v>37.979999999999997</v>
      </c>
      <c r="C14">
        <v>38.24</v>
      </c>
      <c r="D14">
        <v>37.86</v>
      </c>
      <c r="E14">
        <v>38</v>
      </c>
      <c r="F14">
        <v>5608500</v>
      </c>
      <c r="G14">
        <v>37.840000000000003</v>
      </c>
    </row>
    <row r="15" spans="1:7" x14ac:dyDescent="0.25">
      <c r="A15" s="34">
        <v>41838</v>
      </c>
      <c r="B15">
        <v>38</v>
      </c>
      <c r="C15">
        <v>38.5</v>
      </c>
      <c r="D15">
        <v>37.78</v>
      </c>
      <c r="E15">
        <v>38.43</v>
      </c>
      <c r="F15">
        <v>5828800</v>
      </c>
      <c r="G15">
        <v>38.270000000000003</v>
      </c>
    </row>
    <row r="16" spans="1:7" x14ac:dyDescent="0.25">
      <c r="A16" s="34">
        <v>41841</v>
      </c>
      <c r="B16">
        <v>38.26</v>
      </c>
      <c r="C16">
        <v>38.700000000000003</v>
      </c>
      <c r="D16">
        <v>38.19</v>
      </c>
      <c r="E16">
        <v>38.44</v>
      </c>
      <c r="F16">
        <v>5868900</v>
      </c>
      <c r="G16">
        <v>38.28</v>
      </c>
    </row>
    <row r="17" spans="1:7" x14ac:dyDescent="0.25">
      <c r="A17" s="34">
        <v>41842</v>
      </c>
      <c r="B17">
        <v>38.56</v>
      </c>
      <c r="C17">
        <v>39.07</v>
      </c>
      <c r="D17">
        <v>38.549999999999997</v>
      </c>
      <c r="E17">
        <v>39.06</v>
      </c>
      <c r="F17">
        <v>7619200</v>
      </c>
      <c r="G17">
        <v>38.89</v>
      </c>
    </row>
    <row r="18" spans="1:7" x14ac:dyDescent="0.25">
      <c r="A18" s="34">
        <v>41843</v>
      </c>
      <c r="B18">
        <v>39.01</v>
      </c>
      <c r="C18">
        <v>39.17</v>
      </c>
      <c r="D18">
        <v>38.89</v>
      </c>
      <c r="E18">
        <v>39.130000000000003</v>
      </c>
      <c r="F18">
        <v>7656400</v>
      </c>
      <c r="G18">
        <v>38.96</v>
      </c>
    </row>
    <row r="19" spans="1:7" x14ac:dyDescent="0.25">
      <c r="A19" s="34">
        <v>41844</v>
      </c>
      <c r="B19">
        <v>39.19</v>
      </c>
      <c r="C19">
        <v>39.85</v>
      </c>
      <c r="D19">
        <v>39.15</v>
      </c>
      <c r="E19">
        <v>39.770000000000003</v>
      </c>
      <c r="F19">
        <v>6394800</v>
      </c>
      <c r="G19">
        <v>39.6</v>
      </c>
    </row>
    <row r="20" spans="1:7" x14ac:dyDescent="0.25">
      <c r="A20" s="34">
        <v>41845</v>
      </c>
      <c r="B20">
        <v>39.409999999999997</v>
      </c>
      <c r="C20">
        <v>39.520000000000003</v>
      </c>
      <c r="D20">
        <v>39.31</v>
      </c>
      <c r="E20">
        <v>39.43</v>
      </c>
      <c r="F20">
        <v>7078300</v>
      </c>
      <c r="G20">
        <v>39.43</v>
      </c>
    </row>
    <row r="21" spans="1:7" x14ac:dyDescent="0.25">
      <c r="A21" s="34">
        <v>41848</v>
      </c>
      <c r="B21">
        <v>39.380000000000003</v>
      </c>
      <c r="C21">
        <v>39.630000000000003</v>
      </c>
      <c r="D21">
        <v>39.299999999999997</v>
      </c>
      <c r="E21">
        <v>39.479999999999997</v>
      </c>
      <c r="F21">
        <v>5538400</v>
      </c>
      <c r="G21">
        <v>39.479999999999997</v>
      </c>
    </row>
    <row r="22" spans="1:7" x14ac:dyDescent="0.25">
      <c r="A22" s="34">
        <v>41849</v>
      </c>
      <c r="B22">
        <v>39.46</v>
      </c>
      <c r="C22">
        <v>39.57</v>
      </c>
      <c r="D22">
        <v>39.19</v>
      </c>
      <c r="E22">
        <v>39.22</v>
      </c>
      <c r="F22">
        <v>12295900</v>
      </c>
      <c r="G22">
        <v>39.22</v>
      </c>
    </row>
    <row r="23" spans="1:7" x14ac:dyDescent="0.25">
      <c r="A23" s="34">
        <v>41850</v>
      </c>
      <c r="B23">
        <v>39.47</v>
      </c>
      <c r="C23">
        <v>40.06</v>
      </c>
      <c r="D23">
        <v>39.43</v>
      </c>
      <c r="E23">
        <v>39.82</v>
      </c>
      <c r="F23">
        <v>5994600</v>
      </c>
      <c r="G23">
        <v>39.82</v>
      </c>
    </row>
    <row r="24" spans="1:7" x14ac:dyDescent="0.25">
      <c r="A24" s="34">
        <v>41851</v>
      </c>
      <c r="B24">
        <v>39.43</v>
      </c>
      <c r="C24">
        <v>39.54</v>
      </c>
      <c r="D24">
        <v>39.01</v>
      </c>
      <c r="E24">
        <v>39.04</v>
      </c>
      <c r="F24">
        <v>8017400</v>
      </c>
      <c r="G24">
        <v>39.04</v>
      </c>
    </row>
    <row r="25" spans="1:7" x14ac:dyDescent="0.25">
      <c r="A25" s="34">
        <v>41852</v>
      </c>
      <c r="B25">
        <v>39</v>
      </c>
      <c r="C25">
        <v>39.200000000000003</v>
      </c>
      <c r="D25">
        <v>38.68</v>
      </c>
      <c r="E25">
        <v>38.729999999999997</v>
      </c>
      <c r="F25">
        <v>7607700</v>
      </c>
      <c r="G25">
        <v>38.729999999999997</v>
      </c>
    </row>
    <row r="26" spans="1:7" x14ac:dyDescent="0.25">
      <c r="A26" s="34">
        <v>41855</v>
      </c>
      <c r="B26">
        <v>38.9</v>
      </c>
      <c r="C26">
        <v>39.28</v>
      </c>
      <c r="D26">
        <v>38.75</v>
      </c>
      <c r="E26">
        <v>39.200000000000003</v>
      </c>
      <c r="F26">
        <v>6041300</v>
      </c>
      <c r="G26">
        <v>39.200000000000003</v>
      </c>
    </row>
    <row r="27" spans="1:7" x14ac:dyDescent="0.25">
      <c r="A27" s="34">
        <v>41856</v>
      </c>
      <c r="B27">
        <v>39.03</v>
      </c>
      <c r="C27">
        <v>39.28</v>
      </c>
      <c r="D27">
        <v>38.869999999999997</v>
      </c>
      <c r="E27">
        <v>38.950000000000003</v>
      </c>
      <c r="F27">
        <v>5995800</v>
      </c>
      <c r="G27">
        <v>38.950000000000003</v>
      </c>
    </row>
    <row r="28" spans="1:7" x14ac:dyDescent="0.25">
      <c r="A28" s="34">
        <v>41857</v>
      </c>
      <c r="B28">
        <v>38.75</v>
      </c>
      <c r="C28">
        <v>39.51</v>
      </c>
      <c r="D28">
        <v>38.69</v>
      </c>
      <c r="E28">
        <v>39.33</v>
      </c>
      <c r="F28">
        <v>4988200</v>
      </c>
      <c r="G28">
        <v>39.33</v>
      </c>
    </row>
    <row r="29" spans="1:7" x14ac:dyDescent="0.25">
      <c r="A29" s="34">
        <v>41858</v>
      </c>
      <c r="B29">
        <v>39.49</v>
      </c>
      <c r="C29">
        <v>39.49</v>
      </c>
      <c r="D29">
        <v>38.33</v>
      </c>
      <c r="E29">
        <v>38.42</v>
      </c>
      <c r="F29">
        <v>9337200</v>
      </c>
      <c r="G29">
        <v>38.42</v>
      </c>
    </row>
    <row r="30" spans="1:7" x14ac:dyDescent="0.25">
      <c r="A30" s="34">
        <v>41859</v>
      </c>
      <c r="B30">
        <v>38.520000000000003</v>
      </c>
      <c r="C30">
        <v>38.549999999999997</v>
      </c>
      <c r="D30">
        <v>38.24</v>
      </c>
      <c r="E30">
        <v>38.5</v>
      </c>
      <c r="F30">
        <v>8204300</v>
      </c>
      <c r="G30">
        <v>38.5</v>
      </c>
    </row>
    <row r="31" spans="1:7" x14ac:dyDescent="0.25">
      <c r="A31" s="34">
        <v>41862</v>
      </c>
      <c r="B31">
        <v>38.67</v>
      </c>
      <c r="C31">
        <v>38.75</v>
      </c>
      <c r="D31">
        <v>38.29</v>
      </c>
      <c r="E31">
        <v>38.44</v>
      </c>
      <c r="F31">
        <v>10707100</v>
      </c>
      <c r="G31">
        <v>38.44</v>
      </c>
    </row>
    <row r="32" spans="1:7" x14ac:dyDescent="0.25">
      <c r="A32" s="34">
        <v>41863</v>
      </c>
      <c r="B32">
        <v>38.44</v>
      </c>
      <c r="C32">
        <v>38.47</v>
      </c>
      <c r="D32">
        <v>38.25</v>
      </c>
      <c r="E32">
        <v>38.42</v>
      </c>
      <c r="F32">
        <v>7330200</v>
      </c>
      <c r="G32">
        <v>38.42</v>
      </c>
    </row>
    <row r="33" spans="1:7" x14ac:dyDescent="0.25">
      <c r="A33" s="34">
        <v>41864</v>
      </c>
      <c r="B33">
        <v>38.65</v>
      </c>
      <c r="C33">
        <v>38.72</v>
      </c>
      <c r="D33">
        <v>38.299999999999997</v>
      </c>
      <c r="E33">
        <v>38.450000000000003</v>
      </c>
      <c r="F33">
        <v>5363700</v>
      </c>
      <c r="G33">
        <v>38.450000000000003</v>
      </c>
    </row>
    <row r="34" spans="1:7" x14ac:dyDescent="0.25">
      <c r="A34" s="34">
        <v>41865</v>
      </c>
      <c r="B34">
        <v>38.51</v>
      </c>
      <c r="C34">
        <v>38.54</v>
      </c>
      <c r="D34">
        <v>38.270000000000003</v>
      </c>
      <c r="E34">
        <v>38.29</v>
      </c>
      <c r="F34">
        <v>6325400</v>
      </c>
      <c r="G34">
        <v>38.29</v>
      </c>
    </row>
    <row r="35" spans="1:7" x14ac:dyDescent="0.25">
      <c r="A35" s="34">
        <v>41866</v>
      </c>
      <c r="B35">
        <v>38.4</v>
      </c>
      <c r="C35">
        <v>38.54</v>
      </c>
      <c r="D35">
        <v>37.9</v>
      </c>
      <c r="E35">
        <v>38.24</v>
      </c>
      <c r="F35">
        <v>6368200</v>
      </c>
      <c r="G35">
        <v>38.24</v>
      </c>
    </row>
    <row r="36" spans="1:7" x14ac:dyDescent="0.25">
      <c r="A36" s="34">
        <v>41869</v>
      </c>
      <c r="B36">
        <v>38.479999999999997</v>
      </c>
      <c r="C36">
        <v>38.68</v>
      </c>
      <c r="D36">
        <v>38.479999999999997</v>
      </c>
      <c r="E36">
        <v>38.57</v>
      </c>
      <c r="F36">
        <v>4512300</v>
      </c>
      <c r="G36">
        <v>38.57</v>
      </c>
    </row>
    <row r="37" spans="1:7" x14ac:dyDescent="0.25">
      <c r="A37" s="34">
        <v>41870</v>
      </c>
      <c r="B37">
        <v>38.520000000000003</v>
      </c>
      <c r="C37">
        <v>38.65</v>
      </c>
      <c r="D37">
        <v>38.380000000000003</v>
      </c>
      <c r="E37">
        <v>38.590000000000003</v>
      </c>
      <c r="F37">
        <v>2835100</v>
      </c>
      <c r="G37">
        <v>38.590000000000003</v>
      </c>
    </row>
    <row r="38" spans="1:7" x14ac:dyDescent="0.25">
      <c r="A38" s="34">
        <v>41871</v>
      </c>
      <c r="B38">
        <v>38.53</v>
      </c>
      <c r="C38">
        <v>38.869999999999997</v>
      </c>
      <c r="D38">
        <v>38.44</v>
      </c>
      <c r="E38">
        <v>38.78</v>
      </c>
      <c r="F38">
        <v>2041700</v>
      </c>
      <c r="G38">
        <v>38.78</v>
      </c>
    </row>
    <row r="39" spans="1:7" x14ac:dyDescent="0.25">
      <c r="A39" s="34">
        <v>41872</v>
      </c>
      <c r="B39">
        <v>38.78</v>
      </c>
      <c r="C39">
        <v>39.25</v>
      </c>
      <c r="D39">
        <v>38.74</v>
      </c>
      <c r="E39">
        <v>39.14</v>
      </c>
      <c r="F39">
        <v>3444500</v>
      </c>
      <c r="G39">
        <v>39.14</v>
      </c>
    </row>
    <row r="40" spans="1:7" x14ac:dyDescent="0.25">
      <c r="A40" s="34">
        <v>41873</v>
      </c>
      <c r="B40">
        <v>39.04</v>
      </c>
      <c r="C40">
        <v>39.270000000000003</v>
      </c>
      <c r="D40">
        <v>38.909999999999997</v>
      </c>
      <c r="E40">
        <v>39.119999999999997</v>
      </c>
      <c r="F40">
        <v>2376200</v>
      </c>
      <c r="G40">
        <v>39.119999999999997</v>
      </c>
    </row>
    <row r="41" spans="1:7" x14ac:dyDescent="0.25">
      <c r="A41" s="34">
        <v>41876</v>
      </c>
      <c r="B41">
        <v>39.56</v>
      </c>
      <c r="C41">
        <v>39.69</v>
      </c>
      <c r="D41">
        <v>39.26</v>
      </c>
      <c r="E41">
        <v>39.47</v>
      </c>
      <c r="F41">
        <v>3765000</v>
      </c>
      <c r="G41">
        <v>39.47</v>
      </c>
    </row>
    <row r="42" spans="1:7" x14ac:dyDescent="0.25">
      <c r="A42" s="34">
        <v>41877</v>
      </c>
      <c r="B42">
        <v>39.07</v>
      </c>
      <c r="C42">
        <v>39.54</v>
      </c>
      <c r="D42">
        <v>39.07</v>
      </c>
      <c r="E42">
        <v>39.33</v>
      </c>
      <c r="F42">
        <v>3312700</v>
      </c>
      <c r="G42">
        <v>39.33</v>
      </c>
    </row>
    <row r="43" spans="1:7" x14ac:dyDescent="0.25">
      <c r="A43" s="34">
        <v>41878</v>
      </c>
      <c r="B43">
        <v>39.369999999999997</v>
      </c>
      <c r="C43">
        <v>39.4</v>
      </c>
      <c r="D43">
        <v>39.07</v>
      </c>
      <c r="E43">
        <v>39.17</v>
      </c>
      <c r="F43">
        <v>3337900</v>
      </c>
      <c r="G43">
        <v>39.17</v>
      </c>
    </row>
    <row r="44" spans="1:7" x14ac:dyDescent="0.25">
      <c r="A44" s="34">
        <v>41879</v>
      </c>
      <c r="B44">
        <v>38.96</v>
      </c>
      <c r="C44">
        <v>39.06</v>
      </c>
      <c r="D44">
        <v>38.82</v>
      </c>
      <c r="E44">
        <v>39</v>
      </c>
      <c r="F44">
        <v>2759400</v>
      </c>
      <c r="G44">
        <v>39</v>
      </c>
    </row>
    <row r="45" spans="1:7" x14ac:dyDescent="0.25">
      <c r="A45" s="34">
        <v>41880</v>
      </c>
      <c r="B45">
        <v>39.03</v>
      </c>
      <c r="C45">
        <v>39.19</v>
      </c>
      <c r="D45">
        <v>38.909999999999997</v>
      </c>
      <c r="E45">
        <v>39.18</v>
      </c>
      <c r="F45">
        <v>3926600</v>
      </c>
      <c r="G45">
        <v>39.18</v>
      </c>
    </row>
    <row r="46" spans="1:7" x14ac:dyDescent="0.25">
      <c r="A46" s="34">
        <v>41884</v>
      </c>
      <c r="B46">
        <v>39.299999999999997</v>
      </c>
      <c r="C46">
        <v>39.659999999999997</v>
      </c>
      <c r="D46">
        <v>39.21</v>
      </c>
      <c r="E46">
        <v>39.65</v>
      </c>
      <c r="F46">
        <v>3655200</v>
      </c>
      <c r="G46">
        <v>39.65</v>
      </c>
    </row>
    <row r="47" spans="1:7" x14ac:dyDescent="0.25">
      <c r="A47" s="34">
        <v>41885</v>
      </c>
      <c r="B47">
        <v>39.840000000000003</v>
      </c>
      <c r="C47">
        <v>39.85</v>
      </c>
      <c r="D47">
        <v>39.43</v>
      </c>
      <c r="E47">
        <v>39.520000000000003</v>
      </c>
      <c r="F47">
        <v>3013400</v>
      </c>
      <c r="G47">
        <v>39.520000000000003</v>
      </c>
    </row>
    <row r="48" spans="1:7" x14ac:dyDescent="0.25">
      <c r="A48" s="34">
        <v>41886</v>
      </c>
      <c r="B48">
        <v>39.61</v>
      </c>
      <c r="C48">
        <v>39.909999999999997</v>
      </c>
      <c r="D48">
        <v>39.409999999999997</v>
      </c>
      <c r="E48">
        <v>39.47</v>
      </c>
      <c r="F48">
        <v>4526600</v>
      </c>
      <c r="G48">
        <v>39.47</v>
      </c>
    </row>
    <row r="49" spans="1:7" x14ac:dyDescent="0.25">
      <c r="A49" s="34">
        <v>41887</v>
      </c>
      <c r="B49">
        <v>39.36</v>
      </c>
      <c r="C49">
        <v>39.56</v>
      </c>
      <c r="D49">
        <v>39.22</v>
      </c>
      <c r="E49">
        <v>39.47</v>
      </c>
      <c r="F49">
        <v>5198900</v>
      </c>
      <c r="G49">
        <v>39.47</v>
      </c>
    </row>
    <row r="50" spans="1:7" x14ac:dyDescent="0.25">
      <c r="A50" s="34">
        <v>41890</v>
      </c>
      <c r="B50">
        <v>39.43</v>
      </c>
      <c r="C50">
        <v>39.67</v>
      </c>
      <c r="D50">
        <v>39.299999999999997</v>
      </c>
      <c r="E50">
        <v>39.44</v>
      </c>
      <c r="F50">
        <v>5503000</v>
      </c>
      <c r="G50">
        <v>39.44</v>
      </c>
    </row>
    <row r="51" spans="1:7" x14ac:dyDescent="0.25">
      <c r="A51" s="34">
        <v>41891</v>
      </c>
      <c r="B51">
        <v>39.24</v>
      </c>
      <c r="C51">
        <v>39.33</v>
      </c>
      <c r="D51">
        <v>38.75</v>
      </c>
      <c r="E51">
        <v>38.79</v>
      </c>
      <c r="F51">
        <v>5067800</v>
      </c>
      <c r="G51">
        <v>38.79</v>
      </c>
    </row>
    <row r="52" spans="1:7" x14ac:dyDescent="0.25">
      <c r="A52" s="34">
        <v>41892</v>
      </c>
      <c r="B52">
        <v>38.9</v>
      </c>
      <c r="C52">
        <v>39.200000000000003</v>
      </c>
      <c r="D52">
        <v>38.89</v>
      </c>
      <c r="E52">
        <v>39.130000000000003</v>
      </c>
      <c r="F52">
        <v>4213500</v>
      </c>
      <c r="G52">
        <v>39.130000000000003</v>
      </c>
    </row>
    <row r="53" spans="1:7" x14ac:dyDescent="0.25">
      <c r="A53" s="34">
        <v>41893</v>
      </c>
      <c r="B53">
        <v>38.97</v>
      </c>
      <c r="C53">
        <v>39.409999999999997</v>
      </c>
      <c r="D53">
        <v>38.94</v>
      </c>
      <c r="E53">
        <v>39.369999999999997</v>
      </c>
      <c r="F53">
        <v>10345000</v>
      </c>
      <c r="G53">
        <v>39.369999999999997</v>
      </c>
    </row>
    <row r="54" spans="1:7" x14ac:dyDescent="0.25">
      <c r="A54" s="34">
        <v>41894</v>
      </c>
      <c r="B54">
        <v>39.409999999999997</v>
      </c>
      <c r="C54">
        <v>39.93</v>
      </c>
      <c r="D54">
        <v>39.35</v>
      </c>
      <c r="E54">
        <v>39.9</v>
      </c>
      <c r="F54">
        <v>7545600</v>
      </c>
      <c r="G54">
        <v>39.9</v>
      </c>
    </row>
    <row r="55" spans="1:7" x14ac:dyDescent="0.25">
      <c r="A55" s="34">
        <v>41897</v>
      </c>
      <c r="B55">
        <v>39.590000000000003</v>
      </c>
      <c r="C55">
        <v>39.93</v>
      </c>
      <c r="D55">
        <v>39.56</v>
      </c>
      <c r="E55">
        <v>39.92</v>
      </c>
      <c r="F55">
        <v>5870500</v>
      </c>
      <c r="G55">
        <v>39.92</v>
      </c>
    </row>
  </sheetData>
  <sortState ref="A3:G55">
    <sortCondition ref="A3:A55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48.51</v>
      </c>
      <c r="C3">
        <v>48.52</v>
      </c>
      <c r="D3">
        <v>47.95</v>
      </c>
      <c r="E3">
        <v>48.12</v>
      </c>
      <c r="F3">
        <v>8835900</v>
      </c>
      <c r="G3">
        <v>48.12</v>
      </c>
    </row>
    <row r="4" spans="1:7" x14ac:dyDescent="0.25">
      <c r="A4" s="34">
        <v>41822</v>
      </c>
      <c r="B4">
        <v>47.67</v>
      </c>
      <c r="C4">
        <v>48.37</v>
      </c>
      <c r="D4">
        <v>47.64</v>
      </c>
      <c r="E4">
        <v>48.24</v>
      </c>
      <c r="F4">
        <v>7519100</v>
      </c>
      <c r="G4">
        <v>48.24</v>
      </c>
    </row>
    <row r="5" spans="1:7" x14ac:dyDescent="0.25">
      <c r="A5" s="34">
        <v>41823</v>
      </c>
      <c r="B5">
        <v>48.4</v>
      </c>
      <c r="C5">
        <v>48.62</v>
      </c>
      <c r="D5">
        <v>48.12</v>
      </c>
      <c r="E5">
        <v>48.44</v>
      </c>
      <c r="F5">
        <v>3204100</v>
      </c>
      <c r="G5">
        <v>48.44</v>
      </c>
    </row>
    <row r="6" spans="1:7" x14ac:dyDescent="0.25">
      <c r="A6" s="34">
        <v>41827</v>
      </c>
      <c r="B6">
        <v>48.48</v>
      </c>
      <c r="C6">
        <v>48.58</v>
      </c>
      <c r="D6">
        <v>47.84</v>
      </c>
      <c r="E6">
        <v>48.01</v>
      </c>
      <c r="F6">
        <v>4919600</v>
      </c>
      <c r="G6">
        <v>48.01</v>
      </c>
    </row>
    <row r="7" spans="1:7" x14ac:dyDescent="0.25">
      <c r="A7" s="34">
        <v>41828</v>
      </c>
      <c r="B7">
        <v>47.77</v>
      </c>
      <c r="C7">
        <v>47.89</v>
      </c>
      <c r="D7">
        <v>47.34</v>
      </c>
      <c r="E7">
        <v>47.86</v>
      </c>
      <c r="F7">
        <v>6872400</v>
      </c>
      <c r="G7">
        <v>47.86</v>
      </c>
    </row>
    <row r="8" spans="1:7" x14ac:dyDescent="0.25">
      <c r="A8" s="34">
        <v>41829</v>
      </c>
      <c r="B8">
        <v>47.86</v>
      </c>
      <c r="C8">
        <v>47.93</v>
      </c>
      <c r="D8">
        <v>47.55</v>
      </c>
      <c r="E8">
        <v>47.92</v>
      </c>
      <c r="F8">
        <v>5017900</v>
      </c>
      <c r="G8">
        <v>47.92</v>
      </c>
    </row>
    <row r="9" spans="1:7" x14ac:dyDescent="0.25">
      <c r="A9" s="34">
        <v>41830</v>
      </c>
      <c r="B9">
        <v>47.64</v>
      </c>
      <c r="C9">
        <v>48.81</v>
      </c>
      <c r="D9">
        <v>47.55</v>
      </c>
      <c r="E9">
        <v>48.51</v>
      </c>
      <c r="F9">
        <v>7811800</v>
      </c>
      <c r="G9">
        <v>48.51</v>
      </c>
    </row>
    <row r="10" spans="1:7" x14ac:dyDescent="0.25">
      <c r="A10" s="34">
        <v>41831</v>
      </c>
      <c r="B10">
        <v>48.4</v>
      </c>
      <c r="C10">
        <v>48.7</v>
      </c>
      <c r="D10">
        <v>48.27</v>
      </c>
      <c r="E10">
        <v>48.62</v>
      </c>
      <c r="F10">
        <v>3759300</v>
      </c>
      <c r="G10">
        <v>48.62</v>
      </c>
    </row>
    <row r="11" spans="1:7" x14ac:dyDescent="0.25">
      <c r="A11" s="34">
        <v>41834</v>
      </c>
      <c r="B11">
        <v>48.76</v>
      </c>
      <c r="C11">
        <v>49.22</v>
      </c>
      <c r="D11">
        <v>48.46</v>
      </c>
      <c r="E11">
        <v>49.08</v>
      </c>
      <c r="F11">
        <v>6139200</v>
      </c>
      <c r="G11">
        <v>49.08</v>
      </c>
    </row>
    <row r="12" spans="1:7" x14ac:dyDescent="0.25">
      <c r="A12" s="34">
        <v>41835</v>
      </c>
      <c r="B12">
        <v>49.06</v>
      </c>
      <c r="C12">
        <v>49.34</v>
      </c>
      <c r="D12">
        <v>48.54</v>
      </c>
      <c r="E12">
        <v>48.71</v>
      </c>
      <c r="F12">
        <v>8278900</v>
      </c>
      <c r="G12">
        <v>48.71</v>
      </c>
    </row>
    <row r="13" spans="1:7" x14ac:dyDescent="0.25">
      <c r="A13" s="34">
        <v>41836</v>
      </c>
      <c r="B13">
        <v>48.86</v>
      </c>
      <c r="C13">
        <v>49.09</v>
      </c>
      <c r="D13">
        <v>48.41</v>
      </c>
      <c r="E13">
        <v>48.8</v>
      </c>
      <c r="F13">
        <v>6084000</v>
      </c>
      <c r="G13">
        <v>48.8</v>
      </c>
    </row>
    <row r="14" spans="1:7" x14ac:dyDescent="0.25">
      <c r="A14" s="34">
        <v>41837</v>
      </c>
      <c r="B14">
        <v>48.46</v>
      </c>
      <c r="C14">
        <v>48.89</v>
      </c>
      <c r="D14">
        <v>48.23</v>
      </c>
      <c r="E14">
        <v>48.42</v>
      </c>
      <c r="F14">
        <v>5834300</v>
      </c>
      <c r="G14">
        <v>48.42</v>
      </c>
    </row>
    <row r="15" spans="1:7" x14ac:dyDescent="0.25">
      <c r="A15" s="34">
        <v>41838</v>
      </c>
      <c r="B15">
        <v>48.5</v>
      </c>
      <c r="C15">
        <v>49.19</v>
      </c>
      <c r="D15">
        <v>48.28</v>
      </c>
      <c r="E15">
        <v>49.12</v>
      </c>
      <c r="F15">
        <v>7450100</v>
      </c>
      <c r="G15">
        <v>49.12</v>
      </c>
    </row>
    <row r="16" spans="1:7" x14ac:dyDescent="0.25">
      <c r="A16" s="34">
        <v>41841</v>
      </c>
      <c r="B16">
        <v>48.86</v>
      </c>
      <c r="C16">
        <v>49.22</v>
      </c>
      <c r="D16">
        <v>48.79</v>
      </c>
      <c r="E16">
        <v>48.92</v>
      </c>
      <c r="F16">
        <v>7528300</v>
      </c>
      <c r="G16">
        <v>48.92</v>
      </c>
    </row>
    <row r="17" spans="1:7" x14ac:dyDescent="0.25">
      <c r="A17" s="34">
        <v>41842</v>
      </c>
      <c r="B17">
        <v>49.11</v>
      </c>
      <c r="C17">
        <v>49.57</v>
      </c>
      <c r="D17">
        <v>49.07</v>
      </c>
      <c r="E17">
        <v>49.12</v>
      </c>
      <c r="F17">
        <v>5015900</v>
      </c>
      <c r="G17">
        <v>49.12</v>
      </c>
    </row>
    <row r="18" spans="1:7" x14ac:dyDescent="0.25">
      <c r="A18" s="34">
        <v>41843</v>
      </c>
      <c r="B18">
        <v>49.16</v>
      </c>
      <c r="C18">
        <v>49.49</v>
      </c>
      <c r="D18">
        <v>49</v>
      </c>
      <c r="E18">
        <v>49.32</v>
      </c>
      <c r="F18">
        <v>6260800</v>
      </c>
      <c r="G18">
        <v>49.32</v>
      </c>
    </row>
    <row r="19" spans="1:7" x14ac:dyDescent="0.25">
      <c r="A19" s="34">
        <v>41844</v>
      </c>
      <c r="B19">
        <v>48.96</v>
      </c>
      <c r="C19">
        <v>49.89</v>
      </c>
      <c r="D19">
        <v>48.56</v>
      </c>
      <c r="E19">
        <v>49.46</v>
      </c>
      <c r="F19">
        <v>8522800</v>
      </c>
      <c r="G19">
        <v>49.46</v>
      </c>
    </row>
    <row r="20" spans="1:7" x14ac:dyDescent="0.25">
      <c r="A20" s="34">
        <v>41845</v>
      </c>
      <c r="B20">
        <v>49.34</v>
      </c>
      <c r="C20">
        <v>49.48</v>
      </c>
      <c r="D20">
        <v>49.02</v>
      </c>
      <c r="E20">
        <v>49.39</v>
      </c>
      <c r="F20">
        <v>5872200</v>
      </c>
      <c r="G20">
        <v>49.39</v>
      </c>
    </row>
    <row r="21" spans="1:7" x14ac:dyDescent="0.25">
      <c r="A21" s="34">
        <v>41848</v>
      </c>
      <c r="B21">
        <v>49.39</v>
      </c>
      <c r="C21">
        <v>49.91</v>
      </c>
      <c r="D21">
        <v>49.08</v>
      </c>
      <c r="E21">
        <v>49.8</v>
      </c>
      <c r="F21">
        <v>6378300</v>
      </c>
      <c r="G21">
        <v>49.8</v>
      </c>
    </row>
    <row r="22" spans="1:7" x14ac:dyDescent="0.25">
      <c r="A22" s="34">
        <v>41849</v>
      </c>
      <c r="B22">
        <v>49.92</v>
      </c>
      <c r="C22">
        <v>51.34</v>
      </c>
      <c r="D22">
        <v>49.83</v>
      </c>
      <c r="E22">
        <v>51.01</v>
      </c>
      <c r="F22">
        <v>12625500</v>
      </c>
      <c r="G22">
        <v>51.01</v>
      </c>
    </row>
    <row r="23" spans="1:7" x14ac:dyDescent="0.25">
      <c r="A23" s="34">
        <v>41850</v>
      </c>
      <c r="B23">
        <v>51.21</v>
      </c>
      <c r="C23">
        <v>51.3</v>
      </c>
      <c r="D23">
        <v>50.68</v>
      </c>
      <c r="E23">
        <v>51.12</v>
      </c>
      <c r="F23">
        <v>9151700</v>
      </c>
      <c r="G23">
        <v>51.12</v>
      </c>
    </row>
    <row r="24" spans="1:7" x14ac:dyDescent="0.25">
      <c r="A24" s="34">
        <v>41851</v>
      </c>
      <c r="B24">
        <v>50.62</v>
      </c>
      <c r="C24">
        <v>51.14</v>
      </c>
      <c r="D24">
        <v>50.49</v>
      </c>
      <c r="E24">
        <v>50.62</v>
      </c>
      <c r="F24">
        <v>8216200</v>
      </c>
      <c r="G24">
        <v>50.62</v>
      </c>
    </row>
    <row r="25" spans="1:7" x14ac:dyDescent="0.25">
      <c r="A25" s="34">
        <v>41852</v>
      </c>
      <c r="B25">
        <v>50.79</v>
      </c>
      <c r="C25">
        <v>50.97</v>
      </c>
      <c r="D25">
        <v>49.71</v>
      </c>
      <c r="E25">
        <v>49.81</v>
      </c>
      <c r="F25">
        <v>7957300</v>
      </c>
      <c r="G25">
        <v>49.81</v>
      </c>
    </row>
    <row r="26" spans="1:7" x14ac:dyDescent="0.25">
      <c r="A26" s="34">
        <v>41855</v>
      </c>
      <c r="B26">
        <v>49.82</v>
      </c>
      <c r="C26">
        <v>50.21</v>
      </c>
      <c r="D26">
        <v>49.68</v>
      </c>
      <c r="E26">
        <v>49.98</v>
      </c>
      <c r="F26">
        <v>6006600</v>
      </c>
      <c r="G26">
        <v>49.98</v>
      </c>
    </row>
    <row r="27" spans="1:7" x14ac:dyDescent="0.25">
      <c r="A27" s="34">
        <v>41856</v>
      </c>
      <c r="B27">
        <v>49.73</v>
      </c>
      <c r="C27">
        <v>49.93</v>
      </c>
      <c r="D27">
        <v>49.14</v>
      </c>
      <c r="E27">
        <v>49.36</v>
      </c>
      <c r="F27">
        <v>5605700</v>
      </c>
      <c r="G27">
        <v>49.36</v>
      </c>
    </row>
    <row r="28" spans="1:7" x14ac:dyDescent="0.25">
      <c r="A28" s="34">
        <v>41857</v>
      </c>
      <c r="B28">
        <v>49.22</v>
      </c>
      <c r="C28">
        <v>49.9</v>
      </c>
      <c r="D28">
        <v>49.06</v>
      </c>
      <c r="E28">
        <v>49.48</v>
      </c>
      <c r="F28">
        <v>5035400</v>
      </c>
      <c r="G28">
        <v>49.48</v>
      </c>
    </row>
    <row r="29" spans="1:7" x14ac:dyDescent="0.25">
      <c r="A29" s="34">
        <v>41858</v>
      </c>
      <c r="B29">
        <v>49.56</v>
      </c>
      <c r="C29">
        <v>49.69</v>
      </c>
      <c r="D29">
        <v>48.51</v>
      </c>
      <c r="E29">
        <v>48.65</v>
      </c>
      <c r="F29">
        <v>6767300</v>
      </c>
      <c r="G29">
        <v>48.65</v>
      </c>
    </row>
    <row r="30" spans="1:7" x14ac:dyDescent="0.25">
      <c r="A30" s="34">
        <v>41859</v>
      </c>
      <c r="B30">
        <v>48.77</v>
      </c>
      <c r="C30">
        <v>49.22</v>
      </c>
      <c r="D30">
        <v>48.52</v>
      </c>
      <c r="E30">
        <v>49.19</v>
      </c>
      <c r="F30">
        <v>4408700</v>
      </c>
      <c r="G30">
        <v>49.19</v>
      </c>
    </row>
    <row r="31" spans="1:7" x14ac:dyDescent="0.25">
      <c r="A31" s="34">
        <v>41862</v>
      </c>
      <c r="B31">
        <v>49.52</v>
      </c>
      <c r="C31">
        <v>49.73</v>
      </c>
      <c r="D31">
        <v>49</v>
      </c>
      <c r="E31">
        <v>49.09</v>
      </c>
      <c r="F31">
        <v>3597200</v>
      </c>
      <c r="G31">
        <v>49.09</v>
      </c>
    </row>
    <row r="32" spans="1:7" x14ac:dyDescent="0.25">
      <c r="A32" s="34">
        <v>41863</v>
      </c>
      <c r="B32">
        <v>49.01</v>
      </c>
      <c r="C32">
        <v>49.39</v>
      </c>
      <c r="D32">
        <v>48.83</v>
      </c>
      <c r="E32">
        <v>48.98</v>
      </c>
      <c r="F32">
        <v>4565900</v>
      </c>
      <c r="G32">
        <v>48.98</v>
      </c>
    </row>
    <row r="33" spans="1:7" x14ac:dyDescent="0.25">
      <c r="A33" s="34">
        <v>41864</v>
      </c>
      <c r="B33">
        <v>49.35</v>
      </c>
      <c r="C33">
        <v>49.66</v>
      </c>
      <c r="D33">
        <v>49.08</v>
      </c>
      <c r="E33">
        <v>49.17</v>
      </c>
      <c r="F33">
        <v>5994800</v>
      </c>
      <c r="G33">
        <v>49.17</v>
      </c>
    </row>
    <row r="34" spans="1:7" x14ac:dyDescent="0.25">
      <c r="A34" s="34">
        <v>41865</v>
      </c>
      <c r="B34">
        <v>49.3</v>
      </c>
      <c r="C34">
        <v>49.93</v>
      </c>
      <c r="D34">
        <v>49.26</v>
      </c>
      <c r="E34">
        <v>49.82</v>
      </c>
      <c r="F34">
        <v>5861700</v>
      </c>
      <c r="G34">
        <v>49.82</v>
      </c>
    </row>
    <row r="35" spans="1:7" x14ac:dyDescent="0.25">
      <c r="A35" s="34">
        <v>41866</v>
      </c>
      <c r="B35">
        <v>49.98</v>
      </c>
      <c r="C35">
        <v>50.18</v>
      </c>
      <c r="D35">
        <v>49.24</v>
      </c>
      <c r="E35">
        <v>49.68</v>
      </c>
      <c r="F35">
        <v>5315100</v>
      </c>
      <c r="G35">
        <v>49.68</v>
      </c>
    </row>
    <row r="36" spans="1:7" x14ac:dyDescent="0.25">
      <c r="A36" s="34">
        <v>41869</v>
      </c>
      <c r="B36">
        <v>49.94</v>
      </c>
      <c r="C36">
        <v>50.13</v>
      </c>
      <c r="D36">
        <v>49.77</v>
      </c>
      <c r="E36">
        <v>49.99</v>
      </c>
      <c r="F36">
        <v>4606000</v>
      </c>
      <c r="G36">
        <v>49.99</v>
      </c>
    </row>
    <row r="37" spans="1:7" x14ac:dyDescent="0.25">
      <c r="A37" s="34">
        <v>41870</v>
      </c>
      <c r="B37">
        <v>50.16</v>
      </c>
      <c r="C37">
        <v>50.3</v>
      </c>
      <c r="D37">
        <v>49.83</v>
      </c>
      <c r="E37">
        <v>50.3</v>
      </c>
      <c r="F37">
        <v>4382900</v>
      </c>
      <c r="G37">
        <v>50.3</v>
      </c>
    </row>
    <row r="38" spans="1:7" x14ac:dyDescent="0.25">
      <c r="A38" s="34">
        <v>41871</v>
      </c>
      <c r="B38">
        <v>50.07</v>
      </c>
      <c r="C38">
        <v>50.29</v>
      </c>
      <c r="D38">
        <v>49.88</v>
      </c>
      <c r="E38">
        <v>50.04</v>
      </c>
      <c r="F38">
        <v>3549200</v>
      </c>
      <c r="G38">
        <v>50.04</v>
      </c>
    </row>
    <row r="39" spans="1:7" x14ac:dyDescent="0.25">
      <c r="A39" s="34">
        <v>41872</v>
      </c>
      <c r="B39">
        <v>49.95</v>
      </c>
      <c r="C39">
        <v>50.24</v>
      </c>
      <c r="D39">
        <v>49.79</v>
      </c>
      <c r="E39">
        <v>49.99</v>
      </c>
      <c r="F39">
        <v>3701800</v>
      </c>
      <c r="G39">
        <v>49.99</v>
      </c>
    </row>
    <row r="40" spans="1:7" x14ac:dyDescent="0.25">
      <c r="A40" s="34">
        <v>41873</v>
      </c>
      <c r="B40">
        <v>49.94</v>
      </c>
      <c r="C40">
        <v>50.25</v>
      </c>
      <c r="D40">
        <v>49.92</v>
      </c>
      <c r="E40">
        <v>50.18</v>
      </c>
      <c r="F40">
        <v>4714100</v>
      </c>
      <c r="G40">
        <v>50.18</v>
      </c>
    </row>
    <row r="41" spans="1:7" x14ac:dyDescent="0.25">
      <c r="A41" s="34">
        <v>41876</v>
      </c>
      <c r="B41">
        <v>50.25</v>
      </c>
      <c r="C41">
        <v>50.9</v>
      </c>
      <c r="D41">
        <v>50.09</v>
      </c>
      <c r="E41">
        <v>50.73</v>
      </c>
      <c r="F41">
        <v>4158000</v>
      </c>
      <c r="G41">
        <v>50.73</v>
      </c>
    </row>
    <row r="42" spans="1:7" x14ac:dyDescent="0.25">
      <c r="A42" s="34">
        <v>41877</v>
      </c>
      <c r="B42">
        <v>50.75</v>
      </c>
      <c r="C42">
        <v>50.94</v>
      </c>
      <c r="D42">
        <v>50.57</v>
      </c>
      <c r="E42">
        <v>50.77</v>
      </c>
      <c r="F42">
        <v>2959800</v>
      </c>
      <c r="G42">
        <v>50.77</v>
      </c>
    </row>
    <row r="43" spans="1:7" x14ac:dyDescent="0.25">
      <c r="A43" s="34">
        <v>41878</v>
      </c>
      <c r="B43">
        <v>50.95</v>
      </c>
      <c r="C43">
        <v>50.95</v>
      </c>
      <c r="D43">
        <v>50.1</v>
      </c>
      <c r="E43">
        <v>50.25</v>
      </c>
      <c r="F43">
        <v>4852400</v>
      </c>
      <c r="G43">
        <v>50.25</v>
      </c>
    </row>
    <row r="44" spans="1:7" x14ac:dyDescent="0.25">
      <c r="A44" s="34">
        <v>41879</v>
      </c>
      <c r="B44">
        <v>50.16</v>
      </c>
      <c r="C44">
        <v>50.65</v>
      </c>
      <c r="D44">
        <v>50.16</v>
      </c>
      <c r="E44">
        <v>50.54</v>
      </c>
      <c r="F44">
        <v>3436300</v>
      </c>
      <c r="G44">
        <v>50.54</v>
      </c>
    </row>
    <row r="45" spans="1:7" x14ac:dyDescent="0.25">
      <c r="A45" s="34">
        <v>41880</v>
      </c>
      <c r="B45">
        <v>50.67</v>
      </c>
      <c r="C45">
        <v>50.68</v>
      </c>
      <c r="D45">
        <v>50.3</v>
      </c>
      <c r="E45">
        <v>50.65</v>
      </c>
      <c r="F45">
        <v>4020600</v>
      </c>
      <c r="G45">
        <v>50.65</v>
      </c>
    </row>
    <row r="46" spans="1:7" x14ac:dyDescent="0.25">
      <c r="A46" s="34">
        <v>41884</v>
      </c>
      <c r="B46">
        <v>50.62</v>
      </c>
      <c r="C46">
        <v>50.79</v>
      </c>
      <c r="D46">
        <v>50.12</v>
      </c>
      <c r="E46">
        <v>50.58</v>
      </c>
      <c r="F46">
        <v>4375400</v>
      </c>
      <c r="G46">
        <v>50.58</v>
      </c>
    </row>
    <row r="47" spans="1:7" x14ac:dyDescent="0.25">
      <c r="A47" s="34">
        <v>41885</v>
      </c>
      <c r="B47">
        <v>50.68</v>
      </c>
      <c r="C47">
        <v>50.76</v>
      </c>
      <c r="D47">
        <v>50.29</v>
      </c>
      <c r="E47">
        <v>50.53</v>
      </c>
      <c r="F47">
        <v>4769800</v>
      </c>
      <c r="G47">
        <v>50.53</v>
      </c>
    </row>
    <row r="48" spans="1:7" x14ac:dyDescent="0.25">
      <c r="A48" s="34">
        <v>41886</v>
      </c>
      <c r="B48">
        <v>50.67</v>
      </c>
      <c r="C48">
        <v>50.68</v>
      </c>
      <c r="D48">
        <v>50.3</v>
      </c>
      <c r="E48">
        <v>50.55</v>
      </c>
      <c r="F48">
        <v>4909200</v>
      </c>
      <c r="G48">
        <v>50.55</v>
      </c>
    </row>
    <row r="49" spans="1:7" x14ac:dyDescent="0.25">
      <c r="A49" s="34">
        <v>41887</v>
      </c>
      <c r="B49">
        <v>50.6</v>
      </c>
      <c r="C49">
        <v>51.14</v>
      </c>
      <c r="D49">
        <v>50.34</v>
      </c>
      <c r="E49">
        <v>51.12</v>
      </c>
      <c r="F49">
        <v>5720300</v>
      </c>
      <c r="G49">
        <v>51.12</v>
      </c>
    </row>
    <row r="50" spans="1:7" x14ac:dyDescent="0.25">
      <c r="A50" s="34">
        <v>41890</v>
      </c>
      <c r="B50">
        <v>51.01</v>
      </c>
      <c r="C50">
        <v>51.25</v>
      </c>
      <c r="D50">
        <v>50.93</v>
      </c>
      <c r="E50">
        <v>51.19</v>
      </c>
      <c r="F50">
        <v>3449800</v>
      </c>
      <c r="G50">
        <v>51.19</v>
      </c>
    </row>
    <row r="51" spans="1:7" x14ac:dyDescent="0.25">
      <c r="A51" s="34">
        <v>41891</v>
      </c>
      <c r="B51">
        <v>51.25</v>
      </c>
      <c r="C51">
        <v>51.25</v>
      </c>
      <c r="D51">
        <v>50.38</v>
      </c>
      <c r="E51">
        <v>50.48</v>
      </c>
      <c r="F51">
        <v>4985400</v>
      </c>
      <c r="G51">
        <v>50.48</v>
      </c>
    </row>
    <row r="52" spans="1:7" x14ac:dyDescent="0.25">
      <c r="A52" s="34">
        <v>41892</v>
      </c>
      <c r="B52">
        <v>50.58</v>
      </c>
      <c r="C52">
        <v>51.3</v>
      </c>
      <c r="D52">
        <v>50.41</v>
      </c>
      <c r="E52">
        <v>51.08</v>
      </c>
      <c r="F52">
        <v>6224800</v>
      </c>
      <c r="G52">
        <v>51.08</v>
      </c>
    </row>
    <row r="53" spans="1:7" x14ac:dyDescent="0.25">
      <c r="A53" s="34">
        <v>41893</v>
      </c>
      <c r="B53">
        <v>51</v>
      </c>
      <c r="C53">
        <v>51.27</v>
      </c>
      <c r="D53">
        <v>50.42</v>
      </c>
      <c r="E53">
        <v>50.68</v>
      </c>
      <c r="F53">
        <v>4095100</v>
      </c>
      <c r="G53">
        <v>50.68</v>
      </c>
    </row>
    <row r="54" spans="1:7" x14ac:dyDescent="0.25">
      <c r="A54" s="34">
        <v>41894</v>
      </c>
      <c r="B54">
        <v>50.64</v>
      </c>
      <c r="C54">
        <v>50.89</v>
      </c>
      <c r="D54">
        <v>50.13</v>
      </c>
      <c r="E54">
        <v>50.26</v>
      </c>
      <c r="F54">
        <v>4004300</v>
      </c>
      <c r="G54">
        <v>50.26</v>
      </c>
    </row>
    <row r="55" spans="1:7" x14ac:dyDescent="0.25">
      <c r="A55" s="34">
        <v>41897</v>
      </c>
      <c r="B55">
        <v>50.19</v>
      </c>
      <c r="C55">
        <v>50.37</v>
      </c>
      <c r="D55">
        <v>49.75</v>
      </c>
      <c r="E55">
        <v>49.95</v>
      </c>
      <c r="F55">
        <v>3895500</v>
      </c>
      <c r="G55">
        <v>49.95</v>
      </c>
    </row>
  </sheetData>
  <sortState ref="A3:G55">
    <sortCondition ref="A3:A55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126.72</v>
      </c>
      <c r="C3">
        <v>127.64</v>
      </c>
      <c r="D3">
        <v>126.66</v>
      </c>
      <c r="E3">
        <v>127.24</v>
      </c>
      <c r="F3">
        <v>2885300</v>
      </c>
      <c r="G3">
        <v>127.24</v>
      </c>
    </row>
    <row r="4" spans="1:7" x14ac:dyDescent="0.25">
      <c r="A4" s="34">
        <v>41822</v>
      </c>
      <c r="B4">
        <v>127.08</v>
      </c>
      <c r="C4">
        <v>127.73</v>
      </c>
      <c r="D4">
        <v>126.83</v>
      </c>
      <c r="E4">
        <v>127.73</v>
      </c>
      <c r="F4">
        <v>2599700</v>
      </c>
      <c r="G4">
        <v>127.73</v>
      </c>
    </row>
    <row r="5" spans="1:7" x14ac:dyDescent="0.25">
      <c r="A5" s="34">
        <v>41823</v>
      </c>
      <c r="B5">
        <v>127.91</v>
      </c>
      <c r="C5">
        <v>129.38999999999999</v>
      </c>
      <c r="D5">
        <v>127.81</v>
      </c>
      <c r="E5">
        <v>129.30000000000001</v>
      </c>
      <c r="F5">
        <v>2511400</v>
      </c>
      <c r="G5">
        <v>129.30000000000001</v>
      </c>
    </row>
    <row r="6" spans="1:7" x14ac:dyDescent="0.25">
      <c r="A6" s="34">
        <v>41827</v>
      </c>
      <c r="B6">
        <v>129.15</v>
      </c>
      <c r="C6">
        <v>129.15</v>
      </c>
      <c r="D6">
        <v>128.16999999999999</v>
      </c>
      <c r="E6">
        <v>128.69999999999999</v>
      </c>
      <c r="F6">
        <v>2875600</v>
      </c>
      <c r="G6">
        <v>128.69999999999999</v>
      </c>
    </row>
    <row r="7" spans="1:7" x14ac:dyDescent="0.25">
      <c r="A7" s="34">
        <v>41828</v>
      </c>
      <c r="B7">
        <v>128.24</v>
      </c>
      <c r="C7">
        <v>129.09</v>
      </c>
      <c r="D7">
        <v>128.16999999999999</v>
      </c>
      <c r="E7">
        <v>128.22</v>
      </c>
      <c r="F7">
        <v>3052400</v>
      </c>
      <c r="G7">
        <v>128.22</v>
      </c>
    </row>
    <row r="8" spans="1:7" x14ac:dyDescent="0.25">
      <c r="A8" s="34">
        <v>41829</v>
      </c>
      <c r="B8">
        <v>128.49</v>
      </c>
      <c r="C8">
        <v>128.87</v>
      </c>
      <c r="D8">
        <v>128.31</v>
      </c>
      <c r="E8">
        <v>128.75</v>
      </c>
      <c r="F8">
        <v>1923800</v>
      </c>
      <c r="G8">
        <v>128.75</v>
      </c>
    </row>
    <row r="9" spans="1:7" x14ac:dyDescent="0.25">
      <c r="A9" s="34">
        <v>41830</v>
      </c>
      <c r="B9">
        <v>128</v>
      </c>
      <c r="C9">
        <v>128.72</v>
      </c>
      <c r="D9">
        <v>127.61</v>
      </c>
      <c r="E9">
        <v>128.44999999999999</v>
      </c>
      <c r="F9">
        <v>2788600</v>
      </c>
      <c r="G9">
        <v>128.44999999999999</v>
      </c>
    </row>
    <row r="10" spans="1:7" x14ac:dyDescent="0.25">
      <c r="A10" s="34">
        <v>41831</v>
      </c>
      <c r="B10">
        <v>128.30000000000001</v>
      </c>
      <c r="C10">
        <v>128.72</v>
      </c>
      <c r="D10">
        <v>127.93</v>
      </c>
      <c r="E10">
        <v>128.63</v>
      </c>
      <c r="F10">
        <v>1819800</v>
      </c>
      <c r="G10">
        <v>128.63</v>
      </c>
    </row>
    <row r="11" spans="1:7" x14ac:dyDescent="0.25">
      <c r="A11" s="34">
        <v>41834</v>
      </c>
      <c r="B11">
        <v>129</v>
      </c>
      <c r="C11">
        <v>129.28</v>
      </c>
      <c r="D11">
        <v>128.68</v>
      </c>
      <c r="E11">
        <v>128.97999999999999</v>
      </c>
      <c r="F11">
        <v>1541600</v>
      </c>
      <c r="G11">
        <v>128.97999999999999</v>
      </c>
    </row>
    <row r="12" spans="1:7" x14ac:dyDescent="0.25">
      <c r="A12" s="34">
        <v>41835</v>
      </c>
      <c r="B12">
        <v>128.68</v>
      </c>
      <c r="C12">
        <v>129.16999999999999</v>
      </c>
      <c r="D12">
        <v>128</v>
      </c>
      <c r="E12">
        <v>128.49</v>
      </c>
      <c r="F12">
        <v>2931200</v>
      </c>
      <c r="G12">
        <v>128.49</v>
      </c>
    </row>
    <row r="13" spans="1:7" x14ac:dyDescent="0.25">
      <c r="A13" s="34">
        <v>41836</v>
      </c>
      <c r="B13">
        <v>128.66</v>
      </c>
      <c r="C13">
        <v>128.75</v>
      </c>
      <c r="D13">
        <v>127.88</v>
      </c>
      <c r="E13">
        <v>128.11000000000001</v>
      </c>
      <c r="F13">
        <v>2297600</v>
      </c>
      <c r="G13">
        <v>128.11000000000001</v>
      </c>
    </row>
    <row r="14" spans="1:7" x14ac:dyDescent="0.25">
      <c r="A14" s="34">
        <v>41837</v>
      </c>
      <c r="B14">
        <v>127.92</v>
      </c>
      <c r="C14">
        <v>128.12</v>
      </c>
      <c r="D14">
        <v>126.4</v>
      </c>
      <c r="E14">
        <v>126.52</v>
      </c>
      <c r="F14">
        <v>2834500</v>
      </c>
      <c r="G14">
        <v>126.52</v>
      </c>
    </row>
    <row r="15" spans="1:7" x14ac:dyDescent="0.25">
      <c r="A15" s="34">
        <v>41838</v>
      </c>
      <c r="B15">
        <v>126.91</v>
      </c>
      <c r="C15">
        <v>128.44999999999999</v>
      </c>
      <c r="D15">
        <v>126.88</v>
      </c>
      <c r="E15">
        <v>128.28</v>
      </c>
      <c r="F15">
        <v>3563500</v>
      </c>
      <c r="G15">
        <v>128.28</v>
      </c>
    </row>
    <row r="16" spans="1:7" x14ac:dyDescent="0.25">
      <c r="A16" s="34">
        <v>41841</v>
      </c>
      <c r="B16">
        <v>127.92</v>
      </c>
      <c r="C16">
        <v>128.75</v>
      </c>
      <c r="D16">
        <v>127.62</v>
      </c>
      <c r="E16">
        <v>128.58000000000001</v>
      </c>
      <c r="F16">
        <v>1787200</v>
      </c>
      <c r="G16">
        <v>128.58000000000001</v>
      </c>
    </row>
    <row r="17" spans="1:7" x14ac:dyDescent="0.25">
      <c r="A17" s="34">
        <v>41842</v>
      </c>
      <c r="B17">
        <v>129</v>
      </c>
      <c r="C17">
        <v>129</v>
      </c>
      <c r="D17">
        <v>128.22999999999999</v>
      </c>
      <c r="E17">
        <v>128.41999999999999</v>
      </c>
      <c r="F17">
        <v>1786200</v>
      </c>
      <c r="G17">
        <v>128.41999999999999</v>
      </c>
    </row>
    <row r="18" spans="1:7" x14ac:dyDescent="0.25">
      <c r="A18" s="34">
        <v>41843</v>
      </c>
      <c r="B18">
        <v>128.24</v>
      </c>
      <c r="C18">
        <v>128.58000000000001</v>
      </c>
      <c r="D18">
        <v>128.05000000000001</v>
      </c>
      <c r="E18">
        <v>128.13</v>
      </c>
      <c r="F18">
        <v>1527600</v>
      </c>
      <c r="G18">
        <v>128.13</v>
      </c>
    </row>
    <row r="19" spans="1:7" x14ac:dyDescent="0.25">
      <c r="A19" s="34">
        <v>41844</v>
      </c>
      <c r="B19">
        <v>128.38999999999999</v>
      </c>
      <c r="C19">
        <v>128.68</v>
      </c>
      <c r="D19">
        <v>128.06</v>
      </c>
      <c r="E19">
        <v>128.35</v>
      </c>
      <c r="F19">
        <v>2241300</v>
      </c>
      <c r="G19">
        <v>128.35</v>
      </c>
    </row>
    <row r="20" spans="1:7" x14ac:dyDescent="0.25">
      <c r="A20" s="34">
        <v>41845</v>
      </c>
      <c r="B20">
        <v>128.02000000000001</v>
      </c>
      <c r="C20">
        <v>128.16999999999999</v>
      </c>
      <c r="D20">
        <v>127.4</v>
      </c>
      <c r="E20">
        <v>127.55</v>
      </c>
      <c r="F20">
        <v>1807700</v>
      </c>
      <c r="G20">
        <v>127.55</v>
      </c>
    </row>
    <row r="21" spans="1:7" x14ac:dyDescent="0.25">
      <c r="A21" s="34">
        <v>41848</v>
      </c>
      <c r="B21">
        <v>127.55</v>
      </c>
      <c r="C21">
        <v>128.44999999999999</v>
      </c>
      <c r="D21">
        <v>126.63</v>
      </c>
      <c r="E21">
        <v>128.37</v>
      </c>
      <c r="F21">
        <v>1966900</v>
      </c>
      <c r="G21">
        <v>128.37</v>
      </c>
    </row>
    <row r="22" spans="1:7" x14ac:dyDescent="0.25">
      <c r="A22" s="34">
        <v>41849</v>
      </c>
      <c r="B22">
        <v>128.26</v>
      </c>
      <c r="C22">
        <v>128.66</v>
      </c>
      <c r="D22">
        <v>127.36</v>
      </c>
      <c r="E22">
        <v>127.36</v>
      </c>
      <c r="F22">
        <v>2346600</v>
      </c>
      <c r="G22">
        <v>127.36</v>
      </c>
    </row>
    <row r="23" spans="1:7" x14ac:dyDescent="0.25">
      <c r="A23" s="34">
        <v>41850</v>
      </c>
      <c r="B23">
        <v>127.51</v>
      </c>
      <c r="C23">
        <v>128.41999999999999</v>
      </c>
      <c r="D23">
        <v>126.83</v>
      </c>
      <c r="E23">
        <v>127.74</v>
      </c>
      <c r="F23">
        <v>2066400</v>
      </c>
      <c r="G23">
        <v>127.74</v>
      </c>
    </row>
    <row r="24" spans="1:7" x14ac:dyDescent="0.25">
      <c r="A24" s="34">
        <v>41851</v>
      </c>
      <c r="B24">
        <v>127.24</v>
      </c>
      <c r="C24">
        <v>127.76</v>
      </c>
      <c r="D24">
        <v>125.37</v>
      </c>
      <c r="E24">
        <v>125.43</v>
      </c>
      <c r="F24">
        <v>3630600</v>
      </c>
      <c r="G24">
        <v>125.43</v>
      </c>
    </row>
    <row r="25" spans="1:7" x14ac:dyDescent="0.25">
      <c r="A25" s="34">
        <v>41852</v>
      </c>
      <c r="B25">
        <v>125</v>
      </c>
      <c r="C25">
        <v>126.95</v>
      </c>
      <c r="D25">
        <v>122.72</v>
      </c>
      <c r="E25">
        <v>125.83</v>
      </c>
      <c r="F25">
        <v>3947900</v>
      </c>
      <c r="G25">
        <v>125.83</v>
      </c>
    </row>
    <row r="26" spans="1:7" x14ac:dyDescent="0.25">
      <c r="A26" s="34">
        <v>41855</v>
      </c>
      <c r="B26">
        <v>128.06</v>
      </c>
      <c r="C26">
        <v>130.03</v>
      </c>
      <c r="D26">
        <v>127.08</v>
      </c>
      <c r="E26">
        <v>129.72</v>
      </c>
      <c r="F26">
        <v>4876800</v>
      </c>
      <c r="G26">
        <v>129.72</v>
      </c>
    </row>
    <row r="27" spans="1:7" x14ac:dyDescent="0.25">
      <c r="A27" s="34">
        <v>41856</v>
      </c>
      <c r="B27">
        <v>129.69999999999999</v>
      </c>
      <c r="C27">
        <v>129.75</v>
      </c>
      <c r="D27">
        <v>127.36</v>
      </c>
      <c r="E27">
        <v>127.99</v>
      </c>
      <c r="F27">
        <v>3303500</v>
      </c>
      <c r="G27">
        <v>127.99</v>
      </c>
    </row>
    <row r="28" spans="1:7" x14ac:dyDescent="0.25">
      <c r="A28" s="34">
        <v>41857</v>
      </c>
      <c r="B28">
        <v>127.97</v>
      </c>
      <c r="C28">
        <v>129.57</v>
      </c>
      <c r="D28">
        <v>127.51</v>
      </c>
      <c r="E28">
        <v>129.11000000000001</v>
      </c>
      <c r="F28">
        <v>2719300</v>
      </c>
      <c r="G28">
        <v>129.11000000000001</v>
      </c>
    </row>
    <row r="29" spans="1:7" x14ac:dyDescent="0.25">
      <c r="A29" s="34">
        <v>41858</v>
      </c>
      <c r="B29">
        <v>129.69</v>
      </c>
      <c r="C29">
        <v>129.88</v>
      </c>
      <c r="D29">
        <v>128.52000000000001</v>
      </c>
      <c r="E29">
        <v>128.94999999999999</v>
      </c>
      <c r="F29">
        <v>3443100</v>
      </c>
      <c r="G29">
        <v>128.94999999999999</v>
      </c>
    </row>
    <row r="30" spans="1:7" x14ac:dyDescent="0.25">
      <c r="A30" s="34">
        <v>41859</v>
      </c>
      <c r="B30">
        <v>128.80000000000001</v>
      </c>
      <c r="C30">
        <v>130.94999999999999</v>
      </c>
      <c r="D30">
        <v>128.62</v>
      </c>
      <c r="E30">
        <v>130.9</v>
      </c>
      <c r="F30">
        <v>3761100</v>
      </c>
      <c r="G30">
        <v>130.9</v>
      </c>
    </row>
    <row r="31" spans="1:7" x14ac:dyDescent="0.25">
      <c r="A31" s="34">
        <v>41862</v>
      </c>
      <c r="B31">
        <v>131.41</v>
      </c>
      <c r="C31">
        <v>132.80000000000001</v>
      </c>
      <c r="D31">
        <v>130.94</v>
      </c>
      <c r="E31">
        <v>131.94999999999999</v>
      </c>
      <c r="F31">
        <v>2782400</v>
      </c>
      <c r="G31">
        <v>131.94999999999999</v>
      </c>
    </row>
    <row r="32" spans="1:7" x14ac:dyDescent="0.25">
      <c r="A32" s="34">
        <v>41863</v>
      </c>
      <c r="B32">
        <v>132.24</v>
      </c>
      <c r="C32">
        <v>133.19</v>
      </c>
      <c r="D32">
        <v>131.66</v>
      </c>
      <c r="E32">
        <v>133.06</v>
      </c>
      <c r="F32">
        <v>2742900</v>
      </c>
      <c r="G32">
        <v>133.06</v>
      </c>
    </row>
    <row r="33" spans="1:7" x14ac:dyDescent="0.25">
      <c r="A33" s="34">
        <v>41864</v>
      </c>
      <c r="B33">
        <v>133.34</v>
      </c>
      <c r="C33">
        <v>133.43</v>
      </c>
      <c r="D33">
        <v>132.46</v>
      </c>
      <c r="E33">
        <v>133.08000000000001</v>
      </c>
      <c r="F33">
        <v>2850400</v>
      </c>
      <c r="G33">
        <v>133.08000000000001</v>
      </c>
    </row>
    <row r="34" spans="1:7" x14ac:dyDescent="0.25">
      <c r="A34" s="34">
        <v>41865</v>
      </c>
      <c r="B34">
        <v>133.22999999999999</v>
      </c>
      <c r="C34">
        <v>135.38</v>
      </c>
      <c r="D34">
        <v>133.13999999999999</v>
      </c>
      <c r="E34">
        <v>135.30000000000001</v>
      </c>
      <c r="F34">
        <v>4481900</v>
      </c>
      <c r="G34">
        <v>135.30000000000001</v>
      </c>
    </row>
    <row r="35" spans="1:7" x14ac:dyDescent="0.25">
      <c r="A35" s="34">
        <v>41866</v>
      </c>
      <c r="B35">
        <v>135.79</v>
      </c>
      <c r="C35">
        <v>135.80000000000001</v>
      </c>
      <c r="D35">
        <v>133.13</v>
      </c>
      <c r="E35">
        <v>134.34</v>
      </c>
      <c r="F35">
        <v>3940500</v>
      </c>
      <c r="G35">
        <v>134.34</v>
      </c>
    </row>
    <row r="36" spans="1:7" x14ac:dyDescent="0.25">
      <c r="A36" s="34">
        <v>41869</v>
      </c>
      <c r="B36">
        <v>135.47</v>
      </c>
      <c r="C36">
        <v>135.47</v>
      </c>
      <c r="D36">
        <v>134.68</v>
      </c>
      <c r="E36">
        <v>135.03</v>
      </c>
      <c r="F36">
        <v>2960400</v>
      </c>
      <c r="G36">
        <v>135.03</v>
      </c>
    </row>
    <row r="37" spans="1:7" x14ac:dyDescent="0.25">
      <c r="A37" s="34">
        <v>41870</v>
      </c>
      <c r="B37">
        <v>135.85</v>
      </c>
      <c r="C37">
        <v>135.85</v>
      </c>
      <c r="D37">
        <v>134.52000000000001</v>
      </c>
      <c r="E37">
        <v>134.9</v>
      </c>
      <c r="F37">
        <v>2284200</v>
      </c>
      <c r="G37">
        <v>134.9</v>
      </c>
    </row>
    <row r="38" spans="1:7" x14ac:dyDescent="0.25">
      <c r="A38" s="34">
        <v>41871</v>
      </c>
      <c r="B38">
        <v>135</v>
      </c>
      <c r="C38">
        <v>135.1</v>
      </c>
      <c r="D38">
        <v>134.44999999999999</v>
      </c>
      <c r="E38">
        <v>134.91</v>
      </c>
      <c r="F38">
        <v>2329800</v>
      </c>
      <c r="G38">
        <v>134.91</v>
      </c>
    </row>
    <row r="39" spans="1:7" x14ac:dyDescent="0.25">
      <c r="A39" s="34">
        <v>41872</v>
      </c>
      <c r="B39">
        <v>135.24</v>
      </c>
      <c r="C39">
        <v>136.82</v>
      </c>
      <c r="D39">
        <v>135.04</v>
      </c>
      <c r="E39">
        <v>136.81</v>
      </c>
      <c r="F39">
        <v>3328000</v>
      </c>
      <c r="G39">
        <v>136.81</v>
      </c>
    </row>
    <row r="40" spans="1:7" x14ac:dyDescent="0.25">
      <c r="A40" s="34">
        <v>41873</v>
      </c>
      <c r="B40">
        <v>136.41</v>
      </c>
      <c r="C40">
        <v>136.6</v>
      </c>
      <c r="D40">
        <v>135.56</v>
      </c>
      <c r="E40">
        <v>135.75</v>
      </c>
      <c r="F40">
        <v>2417200</v>
      </c>
      <c r="G40">
        <v>135.75</v>
      </c>
    </row>
    <row r="41" spans="1:7" x14ac:dyDescent="0.25">
      <c r="A41" s="34">
        <v>41876</v>
      </c>
      <c r="B41">
        <v>136.43</v>
      </c>
      <c r="C41">
        <v>136.75</v>
      </c>
      <c r="D41">
        <v>136.07</v>
      </c>
      <c r="E41">
        <v>136.22999999999999</v>
      </c>
      <c r="F41">
        <v>2305900</v>
      </c>
      <c r="G41">
        <v>136.22999999999999</v>
      </c>
    </row>
    <row r="42" spans="1:7" x14ac:dyDescent="0.25">
      <c r="A42" s="34">
        <v>41877</v>
      </c>
      <c r="B42">
        <v>136.69</v>
      </c>
      <c r="C42">
        <v>136.75</v>
      </c>
      <c r="D42">
        <v>136.12</v>
      </c>
      <c r="E42">
        <v>136.25</v>
      </c>
      <c r="F42">
        <v>2144700</v>
      </c>
      <c r="G42">
        <v>136.25</v>
      </c>
    </row>
    <row r="43" spans="1:7" x14ac:dyDescent="0.25">
      <c r="A43" s="34">
        <v>41878</v>
      </c>
      <c r="B43">
        <v>136.61000000000001</v>
      </c>
      <c r="C43">
        <v>136.69</v>
      </c>
      <c r="D43">
        <v>136.01</v>
      </c>
      <c r="E43">
        <v>136.52000000000001</v>
      </c>
      <c r="F43">
        <v>1893400</v>
      </c>
      <c r="G43">
        <v>136.52000000000001</v>
      </c>
    </row>
    <row r="44" spans="1:7" x14ac:dyDescent="0.25">
      <c r="A44" s="34">
        <v>41879</v>
      </c>
      <c r="B44">
        <v>136.28</v>
      </c>
      <c r="C44">
        <v>136.51</v>
      </c>
      <c r="D44">
        <v>135.88</v>
      </c>
      <c r="E44">
        <v>136.11000000000001</v>
      </c>
      <c r="F44">
        <v>2114000</v>
      </c>
      <c r="G44">
        <v>136.11000000000001</v>
      </c>
    </row>
    <row r="45" spans="1:7" x14ac:dyDescent="0.25">
      <c r="A45" s="34">
        <v>41880</v>
      </c>
      <c r="B45">
        <v>136.18</v>
      </c>
      <c r="C45">
        <v>137.25</v>
      </c>
      <c r="D45">
        <v>136.01</v>
      </c>
      <c r="E45">
        <v>137.25</v>
      </c>
      <c r="F45">
        <v>2898100</v>
      </c>
      <c r="G45">
        <v>137.25</v>
      </c>
    </row>
    <row r="46" spans="1:7" x14ac:dyDescent="0.25">
      <c r="A46" s="34">
        <v>41884</v>
      </c>
      <c r="B46">
        <v>138.03</v>
      </c>
      <c r="C46">
        <v>138.27000000000001</v>
      </c>
      <c r="D46">
        <v>137.06</v>
      </c>
      <c r="E46">
        <v>137.96</v>
      </c>
      <c r="F46">
        <v>3319300</v>
      </c>
      <c r="G46">
        <v>137.96</v>
      </c>
    </row>
    <row r="47" spans="1:7" x14ac:dyDescent="0.25">
      <c r="A47" s="34">
        <v>41885</v>
      </c>
      <c r="B47">
        <v>138.5</v>
      </c>
      <c r="C47">
        <v>138.5</v>
      </c>
      <c r="D47">
        <v>137.34</v>
      </c>
      <c r="E47">
        <v>137.72999999999999</v>
      </c>
      <c r="F47">
        <v>2789600</v>
      </c>
      <c r="G47">
        <v>137.72999999999999</v>
      </c>
    </row>
    <row r="48" spans="1:7" x14ac:dyDescent="0.25">
      <c r="A48" s="34">
        <v>41886</v>
      </c>
      <c r="B48">
        <v>137.97</v>
      </c>
      <c r="C48">
        <v>138.55000000000001</v>
      </c>
      <c r="D48">
        <v>137.41999999999999</v>
      </c>
      <c r="E48">
        <v>137.94999999999999</v>
      </c>
      <c r="F48">
        <v>2563100</v>
      </c>
      <c r="G48">
        <v>137.94999999999999</v>
      </c>
    </row>
    <row r="49" spans="1:7" x14ac:dyDescent="0.25">
      <c r="A49" s="34">
        <v>41887</v>
      </c>
      <c r="B49">
        <v>137.71</v>
      </c>
      <c r="C49">
        <v>138.35</v>
      </c>
      <c r="D49">
        <v>137.34</v>
      </c>
      <c r="E49">
        <v>138.07</v>
      </c>
      <c r="F49">
        <v>3475900</v>
      </c>
      <c r="G49">
        <v>138.07</v>
      </c>
    </row>
    <row r="50" spans="1:7" x14ac:dyDescent="0.25">
      <c r="A50" s="34">
        <v>41890</v>
      </c>
      <c r="B50">
        <v>138.16999999999999</v>
      </c>
      <c r="C50">
        <v>138.9</v>
      </c>
      <c r="D50">
        <v>138.05000000000001</v>
      </c>
      <c r="E50">
        <v>138.28</v>
      </c>
      <c r="F50">
        <v>2536000</v>
      </c>
      <c r="G50">
        <v>138.28</v>
      </c>
    </row>
    <row r="51" spans="1:7" x14ac:dyDescent="0.25">
      <c r="A51" s="34">
        <v>41891</v>
      </c>
      <c r="B51">
        <v>138.34</v>
      </c>
      <c r="C51">
        <v>138.41999999999999</v>
      </c>
      <c r="D51">
        <v>136.68</v>
      </c>
      <c r="E51">
        <v>136.88999999999999</v>
      </c>
      <c r="F51">
        <v>2959500</v>
      </c>
      <c r="G51">
        <v>136.88999999999999</v>
      </c>
    </row>
    <row r="52" spans="1:7" x14ac:dyDescent="0.25">
      <c r="A52" s="34">
        <v>41892</v>
      </c>
      <c r="B52">
        <v>137.27000000000001</v>
      </c>
      <c r="C52">
        <v>137.94999999999999</v>
      </c>
      <c r="D52">
        <v>137.16</v>
      </c>
      <c r="E52">
        <v>137.72</v>
      </c>
      <c r="F52">
        <v>2037900</v>
      </c>
      <c r="G52">
        <v>137.72</v>
      </c>
    </row>
    <row r="53" spans="1:7" x14ac:dyDescent="0.25">
      <c r="A53" s="34">
        <v>41893</v>
      </c>
      <c r="B53">
        <v>137.16999999999999</v>
      </c>
      <c r="C53">
        <v>137.97</v>
      </c>
      <c r="D53">
        <v>137</v>
      </c>
      <c r="E53">
        <v>137.91999999999999</v>
      </c>
      <c r="F53">
        <v>2016900</v>
      </c>
      <c r="G53">
        <v>137.91999999999999</v>
      </c>
    </row>
    <row r="54" spans="1:7" x14ac:dyDescent="0.25">
      <c r="A54" s="34">
        <v>41894</v>
      </c>
      <c r="B54">
        <v>137.91999999999999</v>
      </c>
      <c r="C54">
        <v>138.18</v>
      </c>
      <c r="D54">
        <v>136.76</v>
      </c>
      <c r="E54">
        <v>137.09</v>
      </c>
      <c r="F54">
        <v>3291300</v>
      </c>
      <c r="G54">
        <v>137.09</v>
      </c>
    </row>
    <row r="55" spans="1:7" x14ac:dyDescent="0.25">
      <c r="A55" s="34">
        <v>41897</v>
      </c>
      <c r="B55">
        <v>137.72999999999999</v>
      </c>
      <c r="C55">
        <v>138.13</v>
      </c>
      <c r="D55">
        <v>137.01</v>
      </c>
      <c r="E55">
        <v>138.04</v>
      </c>
      <c r="F55">
        <v>2859500</v>
      </c>
      <c r="G55">
        <v>138.04</v>
      </c>
    </row>
  </sheetData>
  <sortState ref="A3:G55">
    <sortCondition ref="A3:A55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36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47.42</v>
      </c>
      <c r="C3">
        <v>47.9</v>
      </c>
      <c r="D3">
        <v>47.22</v>
      </c>
      <c r="E3">
        <v>47.46</v>
      </c>
      <c r="F3">
        <v>16699800</v>
      </c>
      <c r="G3">
        <v>47.45</v>
      </c>
    </row>
    <row r="4" spans="1:7" x14ac:dyDescent="0.25">
      <c r="A4" s="34">
        <v>41822</v>
      </c>
      <c r="B4">
        <v>47.54</v>
      </c>
      <c r="C4">
        <v>48.25</v>
      </c>
      <c r="D4">
        <v>47.5</v>
      </c>
      <c r="E4">
        <v>48.01</v>
      </c>
      <c r="F4">
        <v>16774600</v>
      </c>
      <c r="G4">
        <v>48</v>
      </c>
    </row>
    <row r="5" spans="1:7" x14ac:dyDescent="0.25">
      <c r="A5" s="34">
        <v>41823</v>
      </c>
      <c r="B5">
        <v>48.38</v>
      </c>
      <c r="C5">
        <v>48.71</v>
      </c>
      <c r="D5">
        <v>48.07</v>
      </c>
      <c r="E5">
        <v>48.24</v>
      </c>
      <c r="F5">
        <v>13643100</v>
      </c>
      <c r="G5">
        <v>48.23</v>
      </c>
    </row>
    <row r="6" spans="1:7" x14ac:dyDescent="0.25">
      <c r="A6" s="34">
        <v>41827</v>
      </c>
      <c r="B6">
        <v>48.05</v>
      </c>
      <c r="C6">
        <v>48.11</v>
      </c>
      <c r="D6">
        <v>47.59</v>
      </c>
      <c r="E6">
        <v>47.98</v>
      </c>
      <c r="F6">
        <v>12052300</v>
      </c>
      <c r="G6">
        <v>47.97</v>
      </c>
    </row>
    <row r="7" spans="1:7" x14ac:dyDescent="0.25">
      <c r="A7" s="34">
        <v>41828</v>
      </c>
      <c r="B7">
        <v>47.7</v>
      </c>
      <c r="C7">
        <v>47.73</v>
      </c>
      <c r="D7">
        <v>47.25</v>
      </c>
      <c r="E7">
        <v>47.42</v>
      </c>
      <c r="F7">
        <v>13808800</v>
      </c>
      <c r="G7">
        <v>47.41</v>
      </c>
    </row>
    <row r="8" spans="1:7" x14ac:dyDescent="0.25">
      <c r="A8" s="34">
        <v>41829</v>
      </c>
      <c r="B8">
        <v>47.47</v>
      </c>
      <c r="C8">
        <v>47.67</v>
      </c>
      <c r="D8">
        <v>47.2</v>
      </c>
      <c r="E8">
        <v>47.38</v>
      </c>
      <c r="F8">
        <v>14195300</v>
      </c>
      <c r="G8">
        <v>47.37</v>
      </c>
    </row>
    <row r="9" spans="1:7" x14ac:dyDescent="0.25">
      <c r="A9" s="34">
        <v>41830</v>
      </c>
      <c r="B9">
        <v>46.71</v>
      </c>
      <c r="C9">
        <v>47.05</v>
      </c>
      <c r="D9">
        <v>46.55</v>
      </c>
      <c r="E9">
        <v>46.9</v>
      </c>
      <c r="F9">
        <v>18671600</v>
      </c>
      <c r="G9">
        <v>46.89</v>
      </c>
    </row>
    <row r="10" spans="1:7" x14ac:dyDescent="0.25">
      <c r="A10" s="34">
        <v>41831</v>
      </c>
      <c r="B10">
        <v>46.82</v>
      </c>
      <c r="C10">
        <v>47.01</v>
      </c>
      <c r="D10">
        <v>46.57</v>
      </c>
      <c r="E10">
        <v>47</v>
      </c>
      <c r="F10">
        <v>15205700</v>
      </c>
      <c r="G10">
        <v>46.99</v>
      </c>
    </row>
    <row r="11" spans="1:7" x14ac:dyDescent="0.25">
      <c r="A11" s="34">
        <v>41834</v>
      </c>
      <c r="B11">
        <v>48.67</v>
      </c>
      <c r="C11">
        <v>48.83</v>
      </c>
      <c r="D11">
        <v>48.35</v>
      </c>
      <c r="E11">
        <v>48.42</v>
      </c>
      <c r="F11">
        <v>36149700</v>
      </c>
      <c r="G11">
        <v>48.41</v>
      </c>
    </row>
    <row r="12" spans="1:7" x14ac:dyDescent="0.25">
      <c r="A12" s="34">
        <v>41835</v>
      </c>
      <c r="B12">
        <v>48.82</v>
      </c>
      <c r="C12">
        <v>49.46</v>
      </c>
      <c r="D12">
        <v>48.82</v>
      </c>
      <c r="E12">
        <v>49.29</v>
      </c>
      <c r="F12">
        <v>34419100</v>
      </c>
      <c r="G12">
        <v>49.28</v>
      </c>
    </row>
    <row r="13" spans="1:7" x14ac:dyDescent="0.25">
      <c r="A13" s="34">
        <v>41836</v>
      </c>
      <c r="B13">
        <v>49.49</v>
      </c>
      <c r="C13">
        <v>49.87</v>
      </c>
      <c r="D13">
        <v>49.4</v>
      </c>
      <c r="E13">
        <v>49.82</v>
      </c>
      <c r="F13">
        <v>23590400</v>
      </c>
      <c r="G13">
        <v>49.81</v>
      </c>
    </row>
    <row r="14" spans="1:7" x14ac:dyDescent="0.25">
      <c r="A14" s="34">
        <v>41837</v>
      </c>
      <c r="B14">
        <v>49.5</v>
      </c>
      <c r="C14">
        <v>49.98</v>
      </c>
      <c r="D14">
        <v>49.16</v>
      </c>
      <c r="E14">
        <v>49.18</v>
      </c>
      <c r="F14">
        <v>23847600</v>
      </c>
      <c r="G14">
        <v>49.17</v>
      </c>
    </row>
    <row r="15" spans="1:7" x14ac:dyDescent="0.25">
      <c r="A15" s="34">
        <v>41838</v>
      </c>
      <c r="B15">
        <v>49.49</v>
      </c>
      <c r="C15">
        <v>49.81</v>
      </c>
      <c r="D15">
        <v>49.31</v>
      </c>
      <c r="E15">
        <v>49.56</v>
      </c>
      <c r="F15">
        <v>15453900</v>
      </c>
      <c r="G15">
        <v>49.55</v>
      </c>
    </row>
    <row r="16" spans="1:7" x14ac:dyDescent="0.25">
      <c r="A16" s="34">
        <v>41841</v>
      </c>
      <c r="B16">
        <v>49.16</v>
      </c>
      <c r="C16">
        <v>49.47</v>
      </c>
      <c r="D16">
        <v>49.07</v>
      </c>
      <c r="E16">
        <v>49.35</v>
      </c>
      <c r="F16">
        <v>10920200</v>
      </c>
      <c r="G16">
        <v>49.34</v>
      </c>
    </row>
    <row r="17" spans="1:7" x14ac:dyDescent="0.25">
      <c r="A17" s="34">
        <v>41842</v>
      </c>
      <c r="B17">
        <v>49.6</v>
      </c>
      <c r="C17">
        <v>49.83</v>
      </c>
      <c r="D17">
        <v>49.38</v>
      </c>
      <c r="E17">
        <v>49.6</v>
      </c>
      <c r="F17">
        <v>13125500</v>
      </c>
      <c r="G17">
        <v>49.59</v>
      </c>
    </row>
    <row r="18" spans="1:7" x14ac:dyDescent="0.25">
      <c r="A18" s="34">
        <v>41843</v>
      </c>
      <c r="B18">
        <v>49.61</v>
      </c>
      <c r="C18">
        <v>50.59</v>
      </c>
      <c r="D18">
        <v>49.36</v>
      </c>
      <c r="E18">
        <v>50.18</v>
      </c>
      <c r="F18">
        <v>20099200</v>
      </c>
      <c r="G18">
        <v>50.17</v>
      </c>
    </row>
    <row r="19" spans="1:7" x14ac:dyDescent="0.25">
      <c r="A19" s="34">
        <v>41844</v>
      </c>
      <c r="B19">
        <v>50.22</v>
      </c>
      <c r="C19">
        <v>50.47</v>
      </c>
      <c r="D19">
        <v>49.96</v>
      </c>
      <c r="E19">
        <v>50.09</v>
      </c>
      <c r="F19">
        <v>13282600</v>
      </c>
      <c r="G19">
        <v>50.08</v>
      </c>
    </row>
    <row r="20" spans="1:7" x14ac:dyDescent="0.25">
      <c r="A20" s="34">
        <v>41845</v>
      </c>
      <c r="B20">
        <v>49.99</v>
      </c>
      <c r="C20">
        <v>50.2</v>
      </c>
      <c r="D20">
        <v>49.94</v>
      </c>
      <c r="E20">
        <v>50.03</v>
      </c>
      <c r="F20">
        <v>10082900</v>
      </c>
      <c r="G20">
        <v>50.02</v>
      </c>
    </row>
    <row r="21" spans="1:7" x14ac:dyDescent="0.25">
      <c r="A21" s="34">
        <v>41848</v>
      </c>
      <c r="B21">
        <v>49.95</v>
      </c>
      <c r="C21">
        <v>50.08</v>
      </c>
      <c r="D21">
        <v>49.54</v>
      </c>
      <c r="E21">
        <v>49.7</v>
      </c>
      <c r="F21">
        <v>12070400</v>
      </c>
      <c r="G21">
        <v>49.69</v>
      </c>
    </row>
    <row r="22" spans="1:7" x14ac:dyDescent="0.25">
      <c r="A22" s="34">
        <v>41849</v>
      </c>
      <c r="B22">
        <v>49.73</v>
      </c>
      <c r="C22">
        <v>49.87</v>
      </c>
      <c r="D22">
        <v>49.42</v>
      </c>
      <c r="E22">
        <v>49.42</v>
      </c>
      <c r="F22">
        <v>13165800</v>
      </c>
      <c r="G22">
        <v>49.41</v>
      </c>
    </row>
    <row r="23" spans="1:7" x14ac:dyDescent="0.25">
      <c r="A23" s="34">
        <v>41850</v>
      </c>
      <c r="B23">
        <v>49.67</v>
      </c>
      <c r="C23">
        <v>50.27</v>
      </c>
      <c r="D23">
        <v>49.63</v>
      </c>
      <c r="E23">
        <v>50</v>
      </c>
      <c r="F23">
        <v>15327600</v>
      </c>
      <c r="G23">
        <v>49.99</v>
      </c>
    </row>
    <row r="24" spans="1:7" x14ac:dyDescent="0.25">
      <c r="A24" s="34">
        <v>41851</v>
      </c>
      <c r="B24">
        <v>49.56</v>
      </c>
      <c r="C24">
        <v>49.92</v>
      </c>
      <c r="D24">
        <v>48.91</v>
      </c>
      <c r="E24">
        <v>48.91</v>
      </c>
      <c r="F24">
        <v>23550900</v>
      </c>
      <c r="G24">
        <v>48.91</v>
      </c>
    </row>
    <row r="25" spans="1:7" x14ac:dyDescent="0.25">
      <c r="A25" s="34">
        <v>41852</v>
      </c>
      <c r="B25">
        <v>48.59</v>
      </c>
      <c r="C25">
        <v>49.03</v>
      </c>
      <c r="D25">
        <v>47.9</v>
      </c>
      <c r="E25">
        <v>48.1</v>
      </c>
      <c r="F25">
        <v>21822700</v>
      </c>
      <c r="G25">
        <v>48.1</v>
      </c>
    </row>
    <row r="26" spans="1:7" x14ac:dyDescent="0.25">
      <c r="A26" s="34">
        <v>41855</v>
      </c>
      <c r="B26">
        <v>48.45</v>
      </c>
      <c r="C26">
        <v>48.5</v>
      </c>
      <c r="D26">
        <v>48.06</v>
      </c>
      <c r="E26">
        <v>48.34</v>
      </c>
      <c r="F26">
        <v>14277000</v>
      </c>
      <c r="G26">
        <v>48.34</v>
      </c>
    </row>
    <row r="27" spans="1:7" x14ac:dyDescent="0.25">
      <c r="A27" s="34">
        <v>41856</v>
      </c>
      <c r="B27">
        <v>48.26</v>
      </c>
      <c r="C27">
        <v>48.49</v>
      </c>
      <c r="D27">
        <v>47.65</v>
      </c>
      <c r="E27">
        <v>47.89</v>
      </c>
      <c r="F27">
        <v>15912700</v>
      </c>
      <c r="G27">
        <v>47.89</v>
      </c>
    </row>
    <row r="28" spans="1:7" x14ac:dyDescent="0.25">
      <c r="A28" s="34">
        <v>41857</v>
      </c>
      <c r="B28">
        <v>47.75</v>
      </c>
      <c r="C28">
        <v>48.53</v>
      </c>
      <c r="D28">
        <v>47.75</v>
      </c>
      <c r="E28">
        <v>48.14</v>
      </c>
      <c r="F28">
        <v>13038300</v>
      </c>
      <c r="G28">
        <v>48.14</v>
      </c>
    </row>
    <row r="29" spans="1:7" x14ac:dyDescent="0.25">
      <c r="A29" s="34">
        <v>41858</v>
      </c>
      <c r="B29">
        <v>48.5</v>
      </c>
      <c r="C29">
        <v>48.63</v>
      </c>
      <c r="D29">
        <v>47.89</v>
      </c>
      <c r="E29">
        <v>48.06</v>
      </c>
      <c r="F29">
        <v>12377000</v>
      </c>
      <c r="G29">
        <v>48.06</v>
      </c>
    </row>
    <row r="30" spans="1:7" x14ac:dyDescent="0.25">
      <c r="A30" s="34">
        <v>41859</v>
      </c>
      <c r="B30">
        <v>48.06</v>
      </c>
      <c r="C30">
        <v>48.5</v>
      </c>
      <c r="D30">
        <v>47.78</v>
      </c>
      <c r="E30">
        <v>48.45</v>
      </c>
      <c r="F30">
        <v>12001500</v>
      </c>
      <c r="G30">
        <v>48.45</v>
      </c>
    </row>
    <row r="31" spans="1:7" x14ac:dyDescent="0.25">
      <c r="A31" s="34">
        <v>41862</v>
      </c>
      <c r="B31">
        <v>48.55</v>
      </c>
      <c r="C31">
        <v>48.6</v>
      </c>
      <c r="D31">
        <v>48.23</v>
      </c>
      <c r="E31">
        <v>48.39</v>
      </c>
      <c r="F31">
        <v>9130300</v>
      </c>
      <c r="G31">
        <v>48.39</v>
      </c>
    </row>
    <row r="32" spans="1:7" x14ac:dyDescent="0.25">
      <c r="A32" s="34">
        <v>41863</v>
      </c>
      <c r="B32">
        <v>48.21</v>
      </c>
      <c r="C32">
        <v>48.68</v>
      </c>
      <c r="D32">
        <v>48.05</v>
      </c>
      <c r="E32">
        <v>48.44</v>
      </c>
      <c r="F32">
        <v>9238600</v>
      </c>
      <c r="G32">
        <v>48.44</v>
      </c>
    </row>
    <row r="33" spans="1:7" x14ac:dyDescent="0.25">
      <c r="A33" s="34">
        <v>41864</v>
      </c>
      <c r="B33">
        <v>48.62</v>
      </c>
      <c r="C33">
        <v>48.89</v>
      </c>
      <c r="D33">
        <v>48.53</v>
      </c>
      <c r="E33">
        <v>48.75</v>
      </c>
      <c r="F33">
        <v>8602600</v>
      </c>
      <c r="G33">
        <v>48.75</v>
      </c>
    </row>
    <row r="34" spans="1:7" x14ac:dyDescent="0.25">
      <c r="A34" s="34">
        <v>41865</v>
      </c>
      <c r="B34">
        <v>48.83</v>
      </c>
      <c r="C34">
        <v>49.15</v>
      </c>
      <c r="D34">
        <v>48.74</v>
      </c>
      <c r="E34">
        <v>49.13</v>
      </c>
      <c r="F34">
        <v>9693100</v>
      </c>
      <c r="G34">
        <v>49.13</v>
      </c>
    </row>
    <row r="35" spans="1:7" x14ac:dyDescent="0.25">
      <c r="A35" s="34">
        <v>41866</v>
      </c>
      <c r="B35">
        <v>49.29</v>
      </c>
      <c r="C35">
        <v>49.48</v>
      </c>
      <c r="D35">
        <v>48.32</v>
      </c>
      <c r="E35">
        <v>48.72</v>
      </c>
      <c r="F35">
        <v>16215300</v>
      </c>
      <c r="G35">
        <v>48.72</v>
      </c>
    </row>
    <row r="36" spans="1:7" x14ac:dyDescent="0.25">
      <c r="A36" s="34">
        <v>41869</v>
      </c>
      <c r="B36">
        <v>49.05</v>
      </c>
      <c r="C36">
        <v>49.58</v>
      </c>
      <c r="D36">
        <v>48.97</v>
      </c>
      <c r="E36">
        <v>49.51</v>
      </c>
      <c r="F36">
        <v>13199700</v>
      </c>
      <c r="G36">
        <v>49.51</v>
      </c>
    </row>
    <row r="37" spans="1:7" x14ac:dyDescent="0.25">
      <c r="A37" s="34">
        <v>41870</v>
      </c>
      <c r="B37">
        <v>49.53</v>
      </c>
      <c r="C37">
        <v>50.25</v>
      </c>
      <c r="D37">
        <v>49.52</v>
      </c>
      <c r="E37">
        <v>49.7</v>
      </c>
      <c r="F37">
        <v>13073300</v>
      </c>
      <c r="G37">
        <v>49.7</v>
      </c>
    </row>
    <row r="38" spans="1:7" x14ac:dyDescent="0.25">
      <c r="A38" s="34">
        <v>41871</v>
      </c>
      <c r="B38">
        <v>49.63</v>
      </c>
      <c r="C38">
        <v>49.92</v>
      </c>
      <c r="D38">
        <v>49.46</v>
      </c>
      <c r="E38">
        <v>49.8</v>
      </c>
      <c r="F38">
        <v>9039500</v>
      </c>
      <c r="G38">
        <v>49.8</v>
      </c>
    </row>
    <row r="39" spans="1:7" x14ac:dyDescent="0.25">
      <c r="A39" s="34">
        <v>41872</v>
      </c>
      <c r="B39">
        <v>49.97</v>
      </c>
      <c r="C39">
        <v>51.22</v>
      </c>
      <c r="D39">
        <v>49.8</v>
      </c>
      <c r="E39">
        <v>51.07</v>
      </c>
      <c r="F39">
        <v>24162400</v>
      </c>
      <c r="G39">
        <v>51.07</v>
      </c>
    </row>
    <row r="40" spans="1:7" x14ac:dyDescent="0.25">
      <c r="A40" s="34">
        <v>41873</v>
      </c>
      <c r="B40">
        <v>50.94</v>
      </c>
      <c r="C40">
        <v>51.67</v>
      </c>
      <c r="D40">
        <v>50.73</v>
      </c>
      <c r="E40">
        <v>50.93</v>
      </c>
      <c r="F40">
        <v>20002900</v>
      </c>
      <c r="G40">
        <v>50.93</v>
      </c>
    </row>
    <row r="41" spans="1:7" x14ac:dyDescent="0.25">
      <c r="A41" s="34">
        <v>41876</v>
      </c>
      <c r="B41">
        <v>51.28</v>
      </c>
      <c r="C41">
        <v>51.99</v>
      </c>
      <c r="D41">
        <v>51.28</v>
      </c>
      <c r="E41">
        <v>51.63</v>
      </c>
      <c r="F41">
        <v>17502900</v>
      </c>
      <c r="G41">
        <v>51.63</v>
      </c>
    </row>
    <row r="42" spans="1:7" x14ac:dyDescent="0.25">
      <c r="A42" s="34">
        <v>41877</v>
      </c>
      <c r="B42">
        <v>51.52</v>
      </c>
      <c r="C42">
        <v>52.39</v>
      </c>
      <c r="D42">
        <v>51.46</v>
      </c>
      <c r="E42">
        <v>52.13</v>
      </c>
      <c r="F42">
        <v>18384700</v>
      </c>
      <c r="G42">
        <v>52.13</v>
      </c>
    </row>
    <row r="43" spans="1:7" x14ac:dyDescent="0.25">
      <c r="A43" s="34">
        <v>41878</v>
      </c>
      <c r="B43">
        <v>52.12</v>
      </c>
      <c r="C43">
        <v>52.27</v>
      </c>
      <c r="D43">
        <v>51.68</v>
      </c>
      <c r="E43">
        <v>51.86</v>
      </c>
      <c r="F43">
        <v>13398400</v>
      </c>
      <c r="G43">
        <v>51.86</v>
      </c>
    </row>
    <row r="44" spans="1:7" x14ac:dyDescent="0.25">
      <c r="A44" s="34">
        <v>41879</v>
      </c>
      <c r="B44">
        <v>51.52</v>
      </c>
      <c r="C44">
        <v>51.62</v>
      </c>
      <c r="D44">
        <v>51.28</v>
      </c>
      <c r="E44">
        <v>51.39</v>
      </c>
      <c r="F44">
        <v>10255900</v>
      </c>
      <c r="G44">
        <v>51.39</v>
      </c>
    </row>
    <row r="45" spans="1:7" x14ac:dyDescent="0.25">
      <c r="A45" s="34">
        <v>41880</v>
      </c>
      <c r="B45">
        <v>51.53</v>
      </c>
      <c r="C45">
        <v>51.83</v>
      </c>
      <c r="D45">
        <v>51.46</v>
      </c>
      <c r="E45">
        <v>51.65</v>
      </c>
      <c r="F45">
        <v>8981300</v>
      </c>
      <c r="G45">
        <v>51.65</v>
      </c>
    </row>
    <row r="46" spans="1:7" x14ac:dyDescent="0.25">
      <c r="A46" s="34">
        <v>41884</v>
      </c>
      <c r="B46">
        <v>51.78</v>
      </c>
      <c r="C46">
        <v>51.98</v>
      </c>
      <c r="D46">
        <v>51.44</v>
      </c>
      <c r="E46">
        <v>51.96</v>
      </c>
      <c r="F46">
        <v>11452100</v>
      </c>
      <c r="G46">
        <v>51.96</v>
      </c>
    </row>
    <row r="47" spans="1:7" x14ac:dyDescent="0.25">
      <c r="A47" s="34">
        <v>41885</v>
      </c>
      <c r="B47">
        <v>52.24</v>
      </c>
      <c r="C47">
        <v>52.53</v>
      </c>
      <c r="D47">
        <v>52.04</v>
      </c>
      <c r="E47">
        <v>52.23</v>
      </c>
      <c r="F47">
        <v>15116800</v>
      </c>
      <c r="G47">
        <v>52.23</v>
      </c>
    </row>
    <row r="48" spans="1:7" x14ac:dyDescent="0.25">
      <c r="A48" s="34">
        <v>41886</v>
      </c>
      <c r="B48">
        <v>52.25</v>
      </c>
      <c r="C48">
        <v>52.88</v>
      </c>
      <c r="D48">
        <v>52.22</v>
      </c>
      <c r="E48">
        <v>52.47</v>
      </c>
      <c r="F48">
        <v>15694900</v>
      </c>
      <c r="G48">
        <v>52.47</v>
      </c>
    </row>
    <row r="49" spans="1:7" x14ac:dyDescent="0.25">
      <c r="A49" s="34">
        <v>41887</v>
      </c>
      <c r="B49">
        <v>52.31</v>
      </c>
      <c r="C49">
        <v>52.49</v>
      </c>
      <c r="D49">
        <v>51.72</v>
      </c>
      <c r="E49">
        <v>52.3</v>
      </c>
      <c r="F49">
        <v>17484800</v>
      </c>
      <c r="G49">
        <v>52.3</v>
      </c>
    </row>
    <row r="50" spans="1:7" x14ac:dyDescent="0.25">
      <c r="A50" s="34">
        <v>41890</v>
      </c>
      <c r="B50">
        <v>52.16</v>
      </c>
      <c r="C50">
        <v>52.77</v>
      </c>
      <c r="D50">
        <v>51.91</v>
      </c>
      <c r="E50">
        <v>52.05</v>
      </c>
      <c r="F50">
        <v>13557800</v>
      </c>
      <c r="G50">
        <v>52.05</v>
      </c>
    </row>
    <row r="51" spans="1:7" x14ac:dyDescent="0.25">
      <c r="A51" s="34">
        <v>41891</v>
      </c>
      <c r="B51">
        <v>51.64</v>
      </c>
      <c r="C51">
        <v>51.78</v>
      </c>
      <c r="D51">
        <v>51.12</v>
      </c>
      <c r="E51">
        <v>51.26</v>
      </c>
      <c r="F51">
        <v>14584100</v>
      </c>
      <c r="G51">
        <v>51.26</v>
      </c>
    </row>
    <row r="52" spans="1:7" x14ac:dyDescent="0.25">
      <c r="A52" s="34">
        <v>41892</v>
      </c>
      <c r="B52">
        <v>51.24</v>
      </c>
      <c r="C52">
        <v>51.99</v>
      </c>
      <c r="D52">
        <v>51.18</v>
      </c>
      <c r="E52">
        <v>51.83</v>
      </c>
      <c r="F52">
        <v>13013600</v>
      </c>
      <c r="G52">
        <v>51.83</v>
      </c>
    </row>
    <row r="53" spans="1:7" x14ac:dyDescent="0.25">
      <c r="A53" s="34">
        <v>41893</v>
      </c>
      <c r="B53">
        <v>51.61</v>
      </c>
      <c r="C53">
        <v>52.26</v>
      </c>
      <c r="D53">
        <v>51.52</v>
      </c>
      <c r="E53">
        <v>52.23</v>
      </c>
      <c r="F53">
        <v>14084300</v>
      </c>
      <c r="G53">
        <v>52.23</v>
      </c>
    </row>
    <row r="54" spans="1:7" x14ac:dyDescent="0.25">
      <c r="A54" s="34">
        <v>41894</v>
      </c>
      <c r="B54">
        <v>52.2</v>
      </c>
      <c r="C54">
        <v>52.86</v>
      </c>
      <c r="D54">
        <v>52.09</v>
      </c>
      <c r="E54">
        <v>52.38</v>
      </c>
      <c r="F54">
        <v>18329200</v>
      </c>
      <c r="G54">
        <v>52.38</v>
      </c>
    </row>
    <row r="55" spans="1:7" x14ac:dyDescent="0.25">
      <c r="A55" s="34">
        <v>41897</v>
      </c>
      <c r="B55">
        <v>52.37</v>
      </c>
      <c r="C55">
        <v>52.52</v>
      </c>
      <c r="D55">
        <v>51.92</v>
      </c>
      <c r="E55">
        <v>52.31</v>
      </c>
      <c r="F55">
        <v>12805700</v>
      </c>
      <c r="G55">
        <v>52.31</v>
      </c>
    </row>
  </sheetData>
  <sortState ref="A3:G55">
    <sortCondition ref="A3:A55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109.08</v>
      </c>
      <c r="C3">
        <v>109.75</v>
      </c>
      <c r="D3">
        <v>109.01</v>
      </c>
      <c r="E3">
        <v>109.17</v>
      </c>
      <c r="F3">
        <v>2346300</v>
      </c>
      <c r="G3">
        <v>108.48</v>
      </c>
    </row>
    <row r="4" spans="1:7" x14ac:dyDescent="0.25">
      <c r="A4" s="34">
        <v>41822</v>
      </c>
      <c r="B4">
        <v>109.32</v>
      </c>
      <c r="C4">
        <v>109.95</v>
      </c>
      <c r="D4">
        <v>109.3</v>
      </c>
      <c r="E4">
        <v>109.56</v>
      </c>
      <c r="F4">
        <v>1849000</v>
      </c>
      <c r="G4">
        <v>108.87</v>
      </c>
    </row>
    <row r="5" spans="1:7" x14ac:dyDescent="0.25">
      <c r="A5" s="34">
        <v>41823</v>
      </c>
      <c r="B5">
        <v>109.9</v>
      </c>
      <c r="C5">
        <v>111.16</v>
      </c>
      <c r="D5">
        <v>109.69</v>
      </c>
      <c r="E5">
        <v>111.08</v>
      </c>
      <c r="F5">
        <v>2876200</v>
      </c>
      <c r="G5">
        <v>110.38</v>
      </c>
    </row>
    <row r="6" spans="1:7" x14ac:dyDescent="0.25">
      <c r="A6" s="34">
        <v>41827</v>
      </c>
      <c r="B6">
        <v>110.18</v>
      </c>
      <c r="C6">
        <v>110.45</v>
      </c>
      <c r="D6">
        <v>109.57</v>
      </c>
      <c r="E6">
        <v>110.16</v>
      </c>
      <c r="F6">
        <v>2697100</v>
      </c>
      <c r="G6">
        <v>109.47</v>
      </c>
    </row>
    <row r="7" spans="1:7" x14ac:dyDescent="0.25">
      <c r="A7" s="34">
        <v>41828</v>
      </c>
      <c r="B7">
        <v>110.21</v>
      </c>
      <c r="C7">
        <v>110.38</v>
      </c>
      <c r="D7">
        <v>109.4</v>
      </c>
      <c r="E7">
        <v>109.46</v>
      </c>
      <c r="F7">
        <v>2450600</v>
      </c>
      <c r="G7">
        <v>108.77</v>
      </c>
    </row>
    <row r="8" spans="1:7" x14ac:dyDescent="0.25">
      <c r="A8" s="34">
        <v>41829</v>
      </c>
      <c r="B8">
        <v>109.79</v>
      </c>
      <c r="C8">
        <v>110.29</v>
      </c>
      <c r="D8">
        <v>109.42</v>
      </c>
      <c r="E8">
        <v>110.14</v>
      </c>
      <c r="F8">
        <v>2270600</v>
      </c>
      <c r="G8">
        <v>109.45</v>
      </c>
    </row>
    <row r="9" spans="1:7" x14ac:dyDescent="0.25">
      <c r="A9" s="34">
        <v>41830</v>
      </c>
      <c r="B9">
        <v>108.14</v>
      </c>
      <c r="C9">
        <v>109.57</v>
      </c>
      <c r="D9">
        <v>107.8</v>
      </c>
      <c r="E9">
        <v>109.36</v>
      </c>
      <c r="F9">
        <v>2303600</v>
      </c>
      <c r="G9">
        <v>108.67</v>
      </c>
    </row>
    <row r="10" spans="1:7" x14ac:dyDescent="0.25">
      <c r="A10" s="34">
        <v>41831</v>
      </c>
      <c r="B10">
        <v>109.5</v>
      </c>
      <c r="C10">
        <v>109.99</v>
      </c>
      <c r="D10">
        <v>108.65</v>
      </c>
      <c r="E10">
        <v>109.96</v>
      </c>
      <c r="F10">
        <v>1992300</v>
      </c>
      <c r="G10">
        <v>109.27</v>
      </c>
    </row>
    <row r="11" spans="1:7" x14ac:dyDescent="0.25">
      <c r="A11" s="34">
        <v>41834</v>
      </c>
      <c r="B11">
        <v>110.43</v>
      </c>
      <c r="C11">
        <v>111.04</v>
      </c>
      <c r="D11">
        <v>110.09</v>
      </c>
      <c r="E11">
        <v>110.09</v>
      </c>
      <c r="F11">
        <v>2375100</v>
      </c>
      <c r="G11">
        <v>109.4</v>
      </c>
    </row>
    <row r="12" spans="1:7" x14ac:dyDescent="0.25">
      <c r="A12" s="34">
        <v>41835</v>
      </c>
      <c r="B12">
        <v>110.25</v>
      </c>
      <c r="C12">
        <v>110.42</v>
      </c>
      <c r="D12">
        <v>109.4</v>
      </c>
      <c r="E12">
        <v>109.85</v>
      </c>
      <c r="F12">
        <v>3212900</v>
      </c>
      <c r="G12">
        <v>109.16</v>
      </c>
    </row>
    <row r="13" spans="1:7" x14ac:dyDescent="0.25">
      <c r="A13" s="34">
        <v>41836</v>
      </c>
      <c r="B13">
        <v>110.18</v>
      </c>
      <c r="C13">
        <v>111.46</v>
      </c>
      <c r="D13">
        <v>109.92</v>
      </c>
      <c r="E13">
        <v>111.4</v>
      </c>
      <c r="F13">
        <v>3974100</v>
      </c>
      <c r="G13">
        <v>110.7</v>
      </c>
    </row>
    <row r="14" spans="1:7" x14ac:dyDescent="0.25">
      <c r="A14" s="34">
        <v>41837</v>
      </c>
      <c r="B14">
        <v>110.4</v>
      </c>
      <c r="C14">
        <v>110.67</v>
      </c>
      <c r="D14">
        <v>108.93</v>
      </c>
      <c r="E14">
        <v>109.07</v>
      </c>
      <c r="F14">
        <v>3164700</v>
      </c>
      <c r="G14">
        <v>109.07</v>
      </c>
    </row>
    <row r="15" spans="1:7" x14ac:dyDescent="0.25">
      <c r="A15" s="34">
        <v>41838</v>
      </c>
      <c r="B15">
        <v>109.43</v>
      </c>
      <c r="C15">
        <v>110.17</v>
      </c>
      <c r="D15">
        <v>109.05</v>
      </c>
      <c r="E15">
        <v>110.17</v>
      </c>
      <c r="F15">
        <v>2424900</v>
      </c>
      <c r="G15">
        <v>110.17</v>
      </c>
    </row>
    <row r="16" spans="1:7" x14ac:dyDescent="0.25">
      <c r="A16" s="34">
        <v>41841</v>
      </c>
      <c r="B16">
        <v>110</v>
      </c>
      <c r="C16">
        <v>110.55</v>
      </c>
      <c r="D16">
        <v>109.45</v>
      </c>
      <c r="E16">
        <v>110.23</v>
      </c>
      <c r="F16">
        <v>2075900</v>
      </c>
      <c r="G16">
        <v>110.23</v>
      </c>
    </row>
    <row r="17" spans="1:7" x14ac:dyDescent="0.25">
      <c r="A17" s="34">
        <v>41842</v>
      </c>
      <c r="B17">
        <v>110.84</v>
      </c>
      <c r="C17">
        <v>111.28</v>
      </c>
      <c r="D17">
        <v>109.8</v>
      </c>
      <c r="E17">
        <v>110.06</v>
      </c>
      <c r="F17">
        <v>2879400</v>
      </c>
      <c r="G17">
        <v>110.06</v>
      </c>
    </row>
    <row r="18" spans="1:7" x14ac:dyDescent="0.25">
      <c r="A18" s="34">
        <v>41843</v>
      </c>
      <c r="B18">
        <v>109.79</v>
      </c>
      <c r="C18">
        <v>109.98</v>
      </c>
      <c r="D18">
        <v>108.21</v>
      </c>
      <c r="E18">
        <v>108.38</v>
      </c>
      <c r="F18">
        <v>4471400</v>
      </c>
      <c r="G18">
        <v>108.38</v>
      </c>
    </row>
    <row r="19" spans="1:7" x14ac:dyDescent="0.25">
      <c r="A19" s="34">
        <v>41844</v>
      </c>
      <c r="B19">
        <v>105.6</v>
      </c>
      <c r="C19">
        <v>106.23</v>
      </c>
      <c r="D19">
        <v>104.09</v>
      </c>
      <c r="E19">
        <v>105.04</v>
      </c>
      <c r="F19">
        <v>8690300</v>
      </c>
      <c r="G19">
        <v>105.04</v>
      </c>
    </row>
    <row r="20" spans="1:7" x14ac:dyDescent="0.25">
      <c r="A20" s="34">
        <v>41845</v>
      </c>
      <c r="B20">
        <v>104.14</v>
      </c>
      <c r="C20">
        <v>105.35</v>
      </c>
      <c r="D20">
        <v>104.1</v>
      </c>
      <c r="E20">
        <v>104.85</v>
      </c>
      <c r="F20">
        <v>4126200</v>
      </c>
      <c r="G20">
        <v>104.85</v>
      </c>
    </row>
    <row r="21" spans="1:7" x14ac:dyDescent="0.25">
      <c r="A21" s="34">
        <v>41848</v>
      </c>
      <c r="B21">
        <v>104.78</v>
      </c>
      <c r="C21">
        <v>104.9</v>
      </c>
      <c r="D21">
        <v>103.17</v>
      </c>
      <c r="E21">
        <v>104.15</v>
      </c>
      <c r="F21">
        <v>4474300</v>
      </c>
      <c r="G21">
        <v>104.15</v>
      </c>
    </row>
    <row r="22" spans="1:7" x14ac:dyDescent="0.25">
      <c r="A22" s="34">
        <v>41849</v>
      </c>
      <c r="B22">
        <v>105</v>
      </c>
      <c r="C22">
        <v>106.44</v>
      </c>
      <c r="D22">
        <v>104.69</v>
      </c>
      <c r="E22">
        <v>104.69</v>
      </c>
      <c r="F22">
        <v>7947100</v>
      </c>
      <c r="G22">
        <v>104.69</v>
      </c>
    </row>
    <row r="23" spans="1:7" x14ac:dyDescent="0.25">
      <c r="A23" s="34">
        <v>41850</v>
      </c>
      <c r="B23">
        <v>105.08</v>
      </c>
      <c r="C23">
        <v>105.32</v>
      </c>
      <c r="D23">
        <v>103.03</v>
      </c>
      <c r="E23">
        <v>103.38</v>
      </c>
      <c r="F23">
        <v>5856900</v>
      </c>
      <c r="G23">
        <v>103.38</v>
      </c>
    </row>
    <row r="24" spans="1:7" x14ac:dyDescent="0.25">
      <c r="A24" s="34">
        <v>41851</v>
      </c>
      <c r="B24">
        <v>102.24</v>
      </c>
      <c r="C24">
        <v>102.69</v>
      </c>
      <c r="D24">
        <v>100.74</v>
      </c>
      <c r="E24">
        <v>100.75</v>
      </c>
      <c r="F24">
        <v>6711400</v>
      </c>
      <c r="G24">
        <v>100.75</v>
      </c>
    </row>
    <row r="25" spans="1:7" x14ac:dyDescent="0.25">
      <c r="A25" s="34">
        <v>41852</v>
      </c>
      <c r="B25">
        <v>100.52</v>
      </c>
      <c r="C25">
        <v>100.85</v>
      </c>
      <c r="D25">
        <v>99.11</v>
      </c>
      <c r="E25">
        <v>100.52</v>
      </c>
      <c r="F25">
        <v>6011900</v>
      </c>
      <c r="G25">
        <v>100.52</v>
      </c>
    </row>
    <row r="26" spans="1:7" x14ac:dyDescent="0.25">
      <c r="A26" s="34">
        <v>41855</v>
      </c>
      <c r="B26">
        <v>100.36</v>
      </c>
      <c r="C26">
        <v>102.05</v>
      </c>
      <c r="D26">
        <v>100.1</v>
      </c>
      <c r="E26">
        <v>101.81</v>
      </c>
      <c r="F26">
        <v>5164700</v>
      </c>
      <c r="G26">
        <v>101.81</v>
      </c>
    </row>
    <row r="27" spans="1:7" x14ac:dyDescent="0.25">
      <c r="A27" s="34">
        <v>41856</v>
      </c>
      <c r="B27">
        <v>101.11</v>
      </c>
      <c r="C27">
        <v>102.47</v>
      </c>
      <c r="D27">
        <v>100.94</v>
      </c>
      <c r="E27">
        <v>101.5</v>
      </c>
      <c r="F27">
        <v>5685400</v>
      </c>
      <c r="G27">
        <v>101.5</v>
      </c>
    </row>
    <row r="28" spans="1:7" x14ac:dyDescent="0.25">
      <c r="A28" s="34">
        <v>41857</v>
      </c>
      <c r="B28">
        <v>100.76</v>
      </c>
      <c r="C28">
        <v>101.85</v>
      </c>
      <c r="D28">
        <v>100.61</v>
      </c>
      <c r="E28">
        <v>101.49</v>
      </c>
      <c r="F28">
        <v>5526900</v>
      </c>
      <c r="G28">
        <v>101.49</v>
      </c>
    </row>
    <row r="29" spans="1:7" x14ac:dyDescent="0.25">
      <c r="A29" s="34">
        <v>41858</v>
      </c>
      <c r="B29">
        <v>102.66</v>
      </c>
      <c r="C29">
        <v>103.47</v>
      </c>
      <c r="D29">
        <v>101.88</v>
      </c>
      <c r="E29">
        <v>101.94</v>
      </c>
      <c r="F29">
        <v>5752800</v>
      </c>
      <c r="G29">
        <v>101.94</v>
      </c>
    </row>
    <row r="30" spans="1:7" x14ac:dyDescent="0.25">
      <c r="A30" s="34">
        <v>41859</v>
      </c>
      <c r="B30">
        <v>102.01</v>
      </c>
      <c r="C30">
        <v>103.44</v>
      </c>
      <c r="D30">
        <v>101.78</v>
      </c>
      <c r="E30">
        <v>103.28</v>
      </c>
      <c r="F30">
        <v>4690200</v>
      </c>
      <c r="G30">
        <v>103.28</v>
      </c>
    </row>
    <row r="31" spans="1:7" x14ac:dyDescent="0.25">
      <c r="A31" s="34">
        <v>41862</v>
      </c>
      <c r="B31">
        <v>104.61</v>
      </c>
      <c r="C31">
        <v>104.85</v>
      </c>
      <c r="D31">
        <v>103.93</v>
      </c>
      <c r="E31">
        <v>104.5</v>
      </c>
      <c r="F31">
        <v>5197900</v>
      </c>
      <c r="G31">
        <v>104.5</v>
      </c>
    </row>
    <row r="32" spans="1:7" x14ac:dyDescent="0.25">
      <c r="A32" s="34">
        <v>41863</v>
      </c>
      <c r="B32">
        <v>104.59</v>
      </c>
      <c r="C32">
        <v>105.16</v>
      </c>
      <c r="D32">
        <v>104.13</v>
      </c>
      <c r="E32">
        <v>104.33</v>
      </c>
      <c r="F32">
        <v>4200900</v>
      </c>
      <c r="G32">
        <v>104.33</v>
      </c>
    </row>
    <row r="33" spans="1:7" x14ac:dyDescent="0.25">
      <c r="A33" s="34">
        <v>41864</v>
      </c>
      <c r="B33">
        <v>104.33</v>
      </c>
      <c r="C33">
        <v>105.5</v>
      </c>
      <c r="D33">
        <v>104.33</v>
      </c>
      <c r="E33">
        <v>105.16</v>
      </c>
      <c r="F33">
        <v>4664900</v>
      </c>
      <c r="G33">
        <v>105.16</v>
      </c>
    </row>
    <row r="34" spans="1:7" x14ac:dyDescent="0.25">
      <c r="A34" s="34">
        <v>41865</v>
      </c>
      <c r="B34">
        <v>105.51</v>
      </c>
      <c r="C34">
        <v>106</v>
      </c>
      <c r="D34">
        <v>104.99</v>
      </c>
      <c r="E34">
        <v>105.66</v>
      </c>
      <c r="F34">
        <v>4178800</v>
      </c>
      <c r="G34">
        <v>105.66</v>
      </c>
    </row>
    <row r="35" spans="1:7" x14ac:dyDescent="0.25">
      <c r="A35" s="34">
        <v>41866</v>
      </c>
      <c r="B35">
        <v>106.01</v>
      </c>
      <c r="C35">
        <v>106.42</v>
      </c>
      <c r="D35">
        <v>105.13</v>
      </c>
      <c r="E35">
        <v>105.74</v>
      </c>
      <c r="F35">
        <v>4099200</v>
      </c>
      <c r="G35">
        <v>105.74</v>
      </c>
    </row>
    <row r="36" spans="1:7" x14ac:dyDescent="0.25">
      <c r="A36" s="34">
        <v>41869</v>
      </c>
      <c r="B36">
        <v>106.69</v>
      </c>
      <c r="C36">
        <v>107.1</v>
      </c>
      <c r="D36">
        <v>106.28</v>
      </c>
      <c r="E36">
        <v>106.98</v>
      </c>
      <c r="F36">
        <v>3478600</v>
      </c>
      <c r="G36">
        <v>106.98</v>
      </c>
    </row>
    <row r="37" spans="1:7" x14ac:dyDescent="0.25">
      <c r="A37" s="34">
        <v>41870</v>
      </c>
      <c r="B37">
        <v>107.26</v>
      </c>
      <c r="C37">
        <v>107.7</v>
      </c>
      <c r="D37">
        <v>106.87</v>
      </c>
      <c r="E37">
        <v>107.3</v>
      </c>
      <c r="F37">
        <v>3639200</v>
      </c>
      <c r="G37">
        <v>107.3</v>
      </c>
    </row>
    <row r="38" spans="1:7" x14ac:dyDescent="0.25">
      <c r="A38" s="34">
        <v>41871</v>
      </c>
      <c r="B38">
        <v>107.39</v>
      </c>
      <c r="C38">
        <v>108.15</v>
      </c>
      <c r="D38">
        <v>107.2</v>
      </c>
      <c r="E38">
        <v>107.7</v>
      </c>
      <c r="F38">
        <v>5341600</v>
      </c>
      <c r="G38">
        <v>107.7</v>
      </c>
    </row>
    <row r="39" spans="1:7" x14ac:dyDescent="0.25">
      <c r="A39" s="34">
        <v>41872</v>
      </c>
      <c r="B39">
        <v>108.17</v>
      </c>
      <c r="C39">
        <v>108.57</v>
      </c>
      <c r="D39">
        <v>107.54</v>
      </c>
      <c r="E39">
        <v>107.97</v>
      </c>
      <c r="F39">
        <v>4118100</v>
      </c>
      <c r="G39">
        <v>107.97</v>
      </c>
    </row>
    <row r="40" spans="1:7" x14ac:dyDescent="0.25">
      <c r="A40" s="34">
        <v>41873</v>
      </c>
      <c r="B40">
        <v>107.58</v>
      </c>
      <c r="C40">
        <v>107.82</v>
      </c>
      <c r="D40">
        <v>106.54</v>
      </c>
      <c r="E40">
        <v>107.31</v>
      </c>
      <c r="F40">
        <v>4603700</v>
      </c>
      <c r="G40">
        <v>107.31</v>
      </c>
    </row>
    <row r="41" spans="1:7" x14ac:dyDescent="0.25">
      <c r="A41" s="34">
        <v>41876</v>
      </c>
      <c r="B41">
        <v>107.96</v>
      </c>
      <c r="C41">
        <v>108.33</v>
      </c>
      <c r="D41">
        <v>107.73</v>
      </c>
      <c r="E41">
        <v>107.97</v>
      </c>
      <c r="F41">
        <v>3014100</v>
      </c>
      <c r="G41">
        <v>107.97</v>
      </c>
    </row>
    <row r="42" spans="1:7" x14ac:dyDescent="0.25">
      <c r="A42" s="34">
        <v>41877</v>
      </c>
      <c r="B42">
        <v>108.05</v>
      </c>
      <c r="C42">
        <v>108.64</v>
      </c>
      <c r="D42">
        <v>107.98</v>
      </c>
      <c r="E42">
        <v>108.06</v>
      </c>
      <c r="F42">
        <v>2366900</v>
      </c>
      <c r="G42">
        <v>108.06</v>
      </c>
    </row>
    <row r="43" spans="1:7" x14ac:dyDescent="0.25">
      <c r="A43" s="34">
        <v>41878</v>
      </c>
      <c r="B43">
        <v>108.13</v>
      </c>
      <c r="C43">
        <v>108.92</v>
      </c>
      <c r="D43">
        <v>108.08</v>
      </c>
      <c r="E43">
        <v>108.55</v>
      </c>
      <c r="F43">
        <v>3281900</v>
      </c>
      <c r="G43">
        <v>108.55</v>
      </c>
    </row>
    <row r="44" spans="1:7" x14ac:dyDescent="0.25">
      <c r="A44" s="34">
        <v>41879</v>
      </c>
      <c r="B44">
        <v>108.02</v>
      </c>
      <c r="C44">
        <v>108.82</v>
      </c>
      <c r="D44">
        <v>107.8</v>
      </c>
      <c r="E44">
        <v>108.65</v>
      </c>
      <c r="F44">
        <v>3227800</v>
      </c>
      <c r="G44">
        <v>108.65</v>
      </c>
    </row>
    <row r="45" spans="1:7" x14ac:dyDescent="0.25">
      <c r="A45" s="34">
        <v>41880</v>
      </c>
      <c r="B45">
        <v>108.9</v>
      </c>
      <c r="C45">
        <v>109.1</v>
      </c>
      <c r="D45">
        <v>108.25</v>
      </c>
      <c r="E45">
        <v>109.07</v>
      </c>
      <c r="F45">
        <v>4437200</v>
      </c>
      <c r="G45">
        <v>109.07</v>
      </c>
    </row>
    <row r="46" spans="1:7" x14ac:dyDescent="0.25">
      <c r="A46" s="34">
        <v>41884</v>
      </c>
      <c r="B46">
        <v>109.03</v>
      </c>
      <c r="C46">
        <v>109.73</v>
      </c>
      <c r="D46">
        <v>108.83</v>
      </c>
      <c r="E46">
        <v>108.92</v>
      </c>
      <c r="F46">
        <v>4040200</v>
      </c>
      <c r="G46">
        <v>108.92</v>
      </c>
    </row>
    <row r="47" spans="1:7" x14ac:dyDescent="0.25">
      <c r="A47" s="34">
        <v>41885</v>
      </c>
      <c r="B47">
        <v>109.45</v>
      </c>
      <c r="C47">
        <v>109.66</v>
      </c>
      <c r="D47">
        <v>108.05</v>
      </c>
      <c r="E47">
        <v>108.46</v>
      </c>
      <c r="F47">
        <v>4669000</v>
      </c>
      <c r="G47">
        <v>108.46</v>
      </c>
    </row>
    <row r="48" spans="1:7" x14ac:dyDescent="0.25">
      <c r="A48" s="34">
        <v>41886</v>
      </c>
      <c r="B48">
        <v>108.3</v>
      </c>
      <c r="C48">
        <v>109.49</v>
      </c>
      <c r="D48">
        <v>108.16</v>
      </c>
      <c r="E48">
        <v>108.82</v>
      </c>
      <c r="F48">
        <v>4604000</v>
      </c>
      <c r="G48">
        <v>108.82</v>
      </c>
    </row>
    <row r="49" spans="1:7" x14ac:dyDescent="0.25">
      <c r="A49" s="34">
        <v>41887</v>
      </c>
      <c r="B49">
        <v>109</v>
      </c>
      <c r="C49">
        <v>109.18</v>
      </c>
      <c r="D49">
        <v>108.19</v>
      </c>
      <c r="E49">
        <v>108.54</v>
      </c>
      <c r="F49">
        <v>4305000</v>
      </c>
      <c r="G49">
        <v>108.54</v>
      </c>
    </row>
    <row r="50" spans="1:7" x14ac:dyDescent="0.25">
      <c r="A50" s="34">
        <v>41890</v>
      </c>
      <c r="B50">
        <v>108.23</v>
      </c>
      <c r="C50">
        <v>108.46</v>
      </c>
      <c r="D50">
        <v>107.52</v>
      </c>
      <c r="E50">
        <v>107.91</v>
      </c>
      <c r="F50">
        <v>3496900</v>
      </c>
      <c r="G50">
        <v>107.91</v>
      </c>
    </row>
    <row r="51" spans="1:7" x14ac:dyDescent="0.25">
      <c r="A51" s="34">
        <v>41891</v>
      </c>
      <c r="B51">
        <v>107.82</v>
      </c>
      <c r="C51">
        <v>108.2</v>
      </c>
      <c r="D51">
        <v>107.19</v>
      </c>
      <c r="E51">
        <v>107.4</v>
      </c>
      <c r="F51">
        <v>3578500</v>
      </c>
      <c r="G51">
        <v>107.4</v>
      </c>
    </row>
    <row r="52" spans="1:7" x14ac:dyDescent="0.25">
      <c r="A52" s="34">
        <v>41892</v>
      </c>
      <c r="B52">
        <v>105.61</v>
      </c>
      <c r="C52">
        <v>106.12</v>
      </c>
      <c r="D52">
        <v>105.38</v>
      </c>
      <c r="E52">
        <v>105.93</v>
      </c>
      <c r="F52">
        <v>8154700</v>
      </c>
      <c r="G52">
        <v>105.93</v>
      </c>
    </row>
    <row r="53" spans="1:7" x14ac:dyDescent="0.25">
      <c r="A53" s="34">
        <v>41893</v>
      </c>
      <c r="B53">
        <v>105.66</v>
      </c>
      <c r="C53">
        <v>105.66</v>
      </c>
      <c r="D53">
        <v>104.59</v>
      </c>
      <c r="E53">
        <v>105.59</v>
      </c>
      <c r="F53">
        <v>5460100</v>
      </c>
      <c r="G53">
        <v>105.59</v>
      </c>
    </row>
    <row r="54" spans="1:7" x14ac:dyDescent="0.25">
      <c r="A54" s="34">
        <v>41894</v>
      </c>
      <c r="B54">
        <v>104.97</v>
      </c>
      <c r="C54">
        <v>105.09</v>
      </c>
      <c r="D54">
        <v>104.4</v>
      </c>
      <c r="E54">
        <v>105.02</v>
      </c>
      <c r="F54">
        <v>6904200</v>
      </c>
      <c r="G54">
        <v>105.02</v>
      </c>
    </row>
    <row r="55" spans="1:7" x14ac:dyDescent="0.25">
      <c r="A55" s="34">
        <v>41897</v>
      </c>
      <c r="B55">
        <v>104.32</v>
      </c>
      <c r="C55">
        <v>104.9</v>
      </c>
      <c r="D55">
        <v>103.22</v>
      </c>
      <c r="E55">
        <v>104.86</v>
      </c>
      <c r="F55">
        <v>7051900</v>
      </c>
      <c r="G55">
        <v>104.86</v>
      </c>
    </row>
  </sheetData>
  <sortState ref="A3:G55">
    <sortCondition ref="A3:A5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68.5</v>
      </c>
      <c r="C3">
        <v>68.599999999999994</v>
      </c>
      <c r="D3">
        <v>67.95</v>
      </c>
      <c r="E3">
        <v>68.48</v>
      </c>
      <c r="F3">
        <v>2150000</v>
      </c>
      <c r="G3">
        <v>68.13</v>
      </c>
    </row>
    <row r="4" spans="1:7" x14ac:dyDescent="0.25">
      <c r="A4" s="34">
        <v>41822</v>
      </c>
      <c r="B4">
        <v>68.36</v>
      </c>
      <c r="C4">
        <v>68.75</v>
      </c>
      <c r="D4">
        <v>68.3</v>
      </c>
      <c r="E4">
        <v>68.47</v>
      </c>
      <c r="F4">
        <v>1194200</v>
      </c>
      <c r="G4">
        <v>68.12</v>
      </c>
    </row>
    <row r="5" spans="1:7" x14ac:dyDescent="0.25">
      <c r="A5" s="34">
        <v>41823</v>
      </c>
      <c r="B5">
        <v>68.44</v>
      </c>
      <c r="C5">
        <v>68.819999999999993</v>
      </c>
      <c r="D5">
        <v>68.44</v>
      </c>
      <c r="E5">
        <v>68.819999999999993</v>
      </c>
      <c r="F5">
        <v>1205500</v>
      </c>
      <c r="G5">
        <v>68.459999999999994</v>
      </c>
    </row>
    <row r="6" spans="1:7" x14ac:dyDescent="0.25">
      <c r="A6" s="34">
        <v>41827</v>
      </c>
      <c r="B6">
        <v>68.790000000000006</v>
      </c>
      <c r="C6">
        <v>68.95</v>
      </c>
      <c r="D6">
        <v>68.61</v>
      </c>
      <c r="E6">
        <v>68.86</v>
      </c>
      <c r="F6">
        <v>1951800</v>
      </c>
      <c r="G6">
        <v>68.5</v>
      </c>
    </row>
    <row r="7" spans="1:7" x14ac:dyDescent="0.25">
      <c r="A7" s="34">
        <v>41828</v>
      </c>
      <c r="B7">
        <v>68.59</v>
      </c>
      <c r="C7">
        <v>69.58</v>
      </c>
      <c r="D7">
        <v>68.55</v>
      </c>
      <c r="E7">
        <v>69.5</v>
      </c>
      <c r="F7">
        <v>3835000</v>
      </c>
      <c r="G7">
        <v>69.14</v>
      </c>
    </row>
    <row r="8" spans="1:7" x14ac:dyDescent="0.25">
      <c r="A8" s="34">
        <v>41829</v>
      </c>
      <c r="B8">
        <v>69.53</v>
      </c>
      <c r="C8">
        <v>69.89</v>
      </c>
      <c r="D8">
        <v>69.42</v>
      </c>
      <c r="E8">
        <v>69.650000000000006</v>
      </c>
      <c r="F8">
        <v>2497500</v>
      </c>
      <c r="G8">
        <v>69.290000000000006</v>
      </c>
    </row>
    <row r="9" spans="1:7" x14ac:dyDescent="0.25">
      <c r="A9" s="34">
        <v>41830</v>
      </c>
      <c r="B9">
        <v>69.33</v>
      </c>
      <c r="C9">
        <v>69.72</v>
      </c>
      <c r="D9">
        <v>69.3</v>
      </c>
      <c r="E9">
        <v>69.42</v>
      </c>
      <c r="F9">
        <v>2933900</v>
      </c>
      <c r="G9">
        <v>69.06</v>
      </c>
    </row>
    <row r="10" spans="1:7" x14ac:dyDescent="0.25">
      <c r="A10" s="34">
        <v>41831</v>
      </c>
      <c r="B10">
        <v>69.47</v>
      </c>
      <c r="C10">
        <v>69.62</v>
      </c>
      <c r="D10">
        <v>69.25</v>
      </c>
      <c r="E10">
        <v>69.52</v>
      </c>
      <c r="F10">
        <v>1681500</v>
      </c>
      <c r="G10">
        <v>69.16</v>
      </c>
    </row>
    <row r="11" spans="1:7" x14ac:dyDescent="0.25">
      <c r="A11" s="34">
        <v>41834</v>
      </c>
      <c r="B11">
        <v>69.78</v>
      </c>
      <c r="C11">
        <v>70.11</v>
      </c>
      <c r="D11">
        <v>69.73</v>
      </c>
      <c r="E11">
        <v>69.790000000000006</v>
      </c>
      <c r="F11">
        <v>2198500</v>
      </c>
      <c r="G11">
        <v>69.430000000000007</v>
      </c>
    </row>
    <row r="12" spans="1:7" x14ac:dyDescent="0.25">
      <c r="A12" s="34">
        <v>41835</v>
      </c>
      <c r="B12">
        <v>69.66</v>
      </c>
      <c r="C12">
        <v>69.8</v>
      </c>
      <c r="D12">
        <v>69.349999999999994</v>
      </c>
      <c r="E12">
        <v>69.66</v>
      </c>
      <c r="F12">
        <v>2835200</v>
      </c>
      <c r="G12">
        <v>69.3</v>
      </c>
    </row>
    <row r="13" spans="1:7" x14ac:dyDescent="0.25">
      <c r="A13" s="34">
        <v>41836</v>
      </c>
      <c r="B13">
        <v>69.599999999999994</v>
      </c>
      <c r="C13">
        <v>69.900000000000006</v>
      </c>
      <c r="D13">
        <v>69.33</v>
      </c>
      <c r="E13">
        <v>69.45</v>
      </c>
      <c r="F13">
        <v>2499400</v>
      </c>
      <c r="G13">
        <v>69.45</v>
      </c>
    </row>
    <row r="14" spans="1:7" x14ac:dyDescent="0.25">
      <c r="A14" s="34">
        <v>41837</v>
      </c>
      <c r="B14">
        <v>69.36</v>
      </c>
      <c r="C14">
        <v>69.5</v>
      </c>
      <c r="D14">
        <v>68.599999999999994</v>
      </c>
      <c r="E14">
        <v>68.599999999999994</v>
      </c>
      <c r="F14">
        <v>2366300</v>
      </c>
      <c r="G14">
        <v>68.599999999999994</v>
      </c>
    </row>
    <row r="15" spans="1:7" x14ac:dyDescent="0.25">
      <c r="A15" s="34">
        <v>41838</v>
      </c>
      <c r="B15">
        <v>68.78</v>
      </c>
      <c r="C15">
        <v>69.010000000000005</v>
      </c>
      <c r="D15">
        <v>68.55</v>
      </c>
      <c r="E15">
        <v>68.900000000000006</v>
      </c>
      <c r="F15">
        <v>2395800</v>
      </c>
      <c r="G15">
        <v>68.900000000000006</v>
      </c>
    </row>
    <row r="16" spans="1:7" x14ac:dyDescent="0.25">
      <c r="A16" s="34">
        <v>41841</v>
      </c>
      <c r="B16">
        <v>68.56</v>
      </c>
      <c r="C16">
        <v>68.89</v>
      </c>
      <c r="D16">
        <v>68.44</v>
      </c>
      <c r="E16">
        <v>68.760000000000005</v>
      </c>
      <c r="F16">
        <v>1516400</v>
      </c>
      <c r="G16">
        <v>68.760000000000005</v>
      </c>
    </row>
    <row r="17" spans="1:7" x14ac:dyDescent="0.25">
      <c r="A17" s="34">
        <v>41842</v>
      </c>
      <c r="B17">
        <v>68.760000000000005</v>
      </c>
      <c r="C17">
        <v>68.989999999999995</v>
      </c>
      <c r="D17">
        <v>68.400000000000006</v>
      </c>
      <c r="E17">
        <v>68.59</v>
      </c>
      <c r="F17">
        <v>1965700</v>
      </c>
      <c r="G17">
        <v>68.59</v>
      </c>
    </row>
    <row r="18" spans="1:7" x14ac:dyDescent="0.25">
      <c r="A18" s="34">
        <v>41843</v>
      </c>
      <c r="B18">
        <v>68.599999999999994</v>
      </c>
      <c r="C18">
        <v>68.69</v>
      </c>
      <c r="D18">
        <v>67.97</v>
      </c>
      <c r="E18">
        <v>68.17</v>
      </c>
      <c r="F18">
        <v>1919700</v>
      </c>
      <c r="G18">
        <v>68.17</v>
      </c>
    </row>
    <row r="19" spans="1:7" x14ac:dyDescent="0.25">
      <c r="A19" s="34">
        <v>41844</v>
      </c>
      <c r="B19">
        <v>68.33</v>
      </c>
      <c r="C19">
        <v>68.34</v>
      </c>
      <c r="D19">
        <v>67.989999999999995</v>
      </c>
      <c r="E19">
        <v>68.11</v>
      </c>
      <c r="F19">
        <v>1917300</v>
      </c>
      <c r="G19">
        <v>68.11</v>
      </c>
    </row>
    <row r="20" spans="1:7" x14ac:dyDescent="0.25">
      <c r="A20" s="34">
        <v>41845</v>
      </c>
      <c r="B20">
        <v>68.099999999999994</v>
      </c>
      <c r="C20">
        <v>68.17</v>
      </c>
      <c r="D20">
        <v>67.53</v>
      </c>
      <c r="E20">
        <v>67.59</v>
      </c>
      <c r="F20">
        <v>1594300</v>
      </c>
      <c r="G20">
        <v>67.59</v>
      </c>
    </row>
    <row r="21" spans="1:7" x14ac:dyDescent="0.25">
      <c r="A21" s="34">
        <v>41848</v>
      </c>
      <c r="B21">
        <v>67.64</v>
      </c>
      <c r="C21">
        <v>67.89</v>
      </c>
      <c r="D21">
        <v>67.09</v>
      </c>
      <c r="E21">
        <v>67.33</v>
      </c>
      <c r="F21">
        <v>1711600</v>
      </c>
      <c r="G21">
        <v>67.33</v>
      </c>
    </row>
    <row r="22" spans="1:7" x14ac:dyDescent="0.25">
      <c r="A22" s="34">
        <v>41849</v>
      </c>
      <c r="B22">
        <v>67.069999999999993</v>
      </c>
      <c r="C22">
        <v>67.319999999999993</v>
      </c>
      <c r="D22">
        <v>66.260000000000005</v>
      </c>
      <c r="E22">
        <v>66.36</v>
      </c>
      <c r="F22">
        <v>4919000</v>
      </c>
      <c r="G22">
        <v>66.36</v>
      </c>
    </row>
    <row r="23" spans="1:7" x14ac:dyDescent="0.25">
      <c r="A23" s="34">
        <v>41850</v>
      </c>
      <c r="B23">
        <v>66.459999999999994</v>
      </c>
      <c r="C23">
        <v>66.73</v>
      </c>
      <c r="D23">
        <v>66.02</v>
      </c>
      <c r="E23">
        <v>66.11</v>
      </c>
      <c r="F23">
        <v>3740600</v>
      </c>
      <c r="G23">
        <v>66.11</v>
      </c>
    </row>
    <row r="24" spans="1:7" x14ac:dyDescent="0.25">
      <c r="A24" s="34">
        <v>41851</v>
      </c>
      <c r="B24">
        <v>64.73</v>
      </c>
      <c r="C24">
        <v>64.989999999999995</v>
      </c>
      <c r="D24">
        <v>63.4</v>
      </c>
      <c r="E24">
        <v>63.4</v>
      </c>
      <c r="F24">
        <v>6849300</v>
      </c>
      <c r="G24">
        <v>63.4</v>
      </c>
    </row>
    <row r="25" spans="1:7" x14ac:dyDescent="0.25">
      <c r="A25" s="34">
        <v>41852</v>
      </c>
      <c r="B25">
        <v>63.06</v>
      </c>
      <c r="C25">
        <v>64.67</v>
      </c>
      <c r="D25">
        <v>62.89</v>
      </c>
      <c r="E25">
        <v>63.95</v>
      </c>
      <c r="F25">
        <v>5261900</v>
      </c>
      <c r="G25">
        <v>63.95</v>
      </c>
    </row>
    <row r="26" spans="1:7" x14ac:dyDescent="0.25">
      <c r="A26" s="34">
        <v>41855</v>
      </c>
      <c r="B26">
        <v>63.88</v>
      </c>
      <c r="C26">
        <v>64.13</v>
      </c>
      <c r="D26">
        <v>63.56</v>
      </c>
      <c r="E26">
        <v>63.76</v>
      </c>
      <c r="F26">
        <v>4342400</v>
      </c>
      <c r="G26">
        <v>63.76</v>
      </c>
    </row>
    <row r="27" spans="1:7" x14ac:dyDescent="0.25">
      <c r="A27" s="34">
        <v>41856</v>
      </c>
      <c r="B27">
        <v>63.5</v>
      </c>
      <c r="C27">
        <v>64.069999999999993</v>
      </c>
      <c r="D27">
        <v>63.48</v>
      </c>
      <c r="E27">
        <v>63.77</v>
      </c>
      <c r="F27">
        <v>4336500</v>
      </c>
      <c r="G27">
        <v>63.77</v>
      </c>
    </row>
    <row r="28" spans="1:7" x14ac:dyDescent="0.25">
      <c r="A28" s="34">
        <v>41857</v>
      </c>
      <c r="B28">
        <v>63.92</v>
      </c>
      <c r="C28">
        <v>65.25</v>
      </c>
      <c r="D28">
        <v>63.92</v>
      </c>
      <c r="E28">
        <v>64.8</v>
      </c>
      <c r="F28">
        <v>5742500</v>
      </c>
      <c r="G28">
        <v>64.8</v>
      </c>
    </row>
    <row r="29" spans="1:7" x14ac:dyDescent="0.25">
      <c r="A29" s="34">
        <v>41858</v>
      </c>
      <c r="B29">
        <v>64.97</v>
      </c>
      <c r="C29">
        <v>65.069999999999993</v>
      </c>
      <c r="D29">
        <v>64.31</v>
      </c>
      <c r="E29">
        <v>64.45</v>
      </c>
      <c r="F29">
        <v>2797600</v>
      </c>
      <c r="G29">
        <v>64.45</v>
      </c>
    </row>
    <row r="30" spans="1:7" x14ac:dyDescent="0.25">
      <c r="A30" s="34">
        <v>41859</v>
      </c>
      <c r="B30">
        <v>64.37</v>
      </c>
      <c r="C30">
        <v>65.22</v>
      </c>
      <c r="D30">
        <v>64.319999999999993</v>
      </c>
      <c r="E30">
        <v>65.180000000000007</v>
      </c>
      <c r="F30">
        <v>2175300</v>
      </c>
      <c r="G30">
        <v>65.180000000000007</v>
      </c>
    </row>
    <row r="31" spans="1:7" x14ac:dyDescent="0.25">
      <c r="A31" s="34">
        <v>41862</v>
      </c>
      <c r="B31">
        <v>65.34</v>
      </c>
      <c r="C31">
        <v>65.7</v>
      </c>
      <c r="D31">
        <v>65.010000000000005</v>
      </c>
      <c r="E31">
        <v>65.06</v>
      </c>
      <c r="F31">
        <v>4085500</v>
      </c>
      <c r="G31">
        <v>65.06</v>
      </c>
    </row>
    <row r="32" spans="1:7" x14ac:dyDescent="0.25">
      <c r="A32" s="34">
        <v>41863</v>
      </c>
      <c r="B32">
        <v>64.53</v>
      </c>
      <c r="C32">
        <v>64.84</v>
      </c>
      <c r="D32">
        <v>64.33</v>
      </c>
      <c r="E32">
        <v>64.42</v>
      </c>
      <c r="F32">
        <v>4138700</v>
      </c>
      <c r="G32">
        <v>64.42</v>
      </c>
    </row>
    <row r="33" spans="1:7" x14ac:dyDescent="0.25">
      <c r="A33" s="34">
        <v>41864</v>
      </c>
      <c r="B33">
        <v>64.599999999999994</v>
      </c>
      <c r="C33">
        <v>64.7</v>
      </c>
      <c r="D33">
        <v>64.05</v>
      </c>
      <c r="E33">
        <v>64.38</v>
      </c>
      <c r="F33">
        <v>3686800</v>
      </c>
      <c r="G33">
        <v>64.38</v>
      </c>
    </row>
    <row r="34" spans="1:7" x14ac:dyDescent="0.25">
      <c r="A34" s="34">
        <v>41865</v>
      </c>
      <c r="B34">
        <v>64.400000000000006</v>
      </c>
      <c r="C34">
        <v>64.55</v>
      </c>
      <c r="D34">
        <v>64.040000000000006</v>
      </c>
      <c r="E34">
        <v>64.209999999999994</v>
      </c>
      <c r="F34">
        <v>4143700</v>
      </c>
      <c r="G34">
        <v>64.209999999999994</v>
      </c>
    </row>
    <row r="35" spans="1:7" x14ac:dyDescent="0.25">
      <c r="A35" s="34">
        <v>41866</v>
      </c>
      <c r="B35">
        <v>64.400000000000006</v>
      </c>
      <c r="C35">
        <v>64.67</v>
      </c>
      <c r="D35">
        <v>63.69</v>
      </c>
      <c r="E35">
        <v>64.13</v>
      </c>
      <c r="F35">
        <v>3972300</v>
      </c>
      <c r="G35">
        <v>64.13</v>
      </c>
    </row>
    <row r="36" spans="1:7" x14ac:dyDescent="0.25">
      <c r="A36" s="34">
        <v>41869</v>
      </c>
      <c r="B36">
        <v>64.349999999999994</v>
      </c>
      <c r="C36">
        <v>65</v>
      </c>
      <c r="D36">
        <v>64.3</v>
      </c>
      <c r="E36">
        <v>64.62</v>
      </c>
      <c r="F36">
        <v>3797400</v>
      </c>
      <c r="G36">
        <v>64.62</v>
      </c>
    </row>
    <row r="37" spans="1:7" x14ac:dyDescent="0.25">
      <c r="A37" s="34">
        <v>41870</v>
      </c>
      <c r="B37">
        <v>64.53</v>
      </c>
      <c r="C37">
        <v>64.540000000000006</v>
      </c>
      <c r="D37">
        <v>64.040000000000006</v>
      </c>
      <c r="E37">
        <v>64.260000000000005</v>
      </c>
      <c r="F37">
        <v>3273800</v>
      </c>
      <c r="G37">
        <v>64.260000000000005</v>
      </c>
    </row>
    <row r="38" spans="1:7" x14ac:dyDescent="0.25">
      <c r="A38" s="34">
        <v>41871</v>
      </c>
      <c r="B38">
        <v>64.42</v>
      </c>
      <c r="C38">
        <v>64.81</v>
      </c>
      <c r="D38">
        <v>64.239999999999995</v>
      </c>
      <c r="E38">
        <v>64.67</v>
      </c>
      <c r="F38">
        <v>2815800</v>
      </c>
      <c r="G38">
        <v>64.67</v>
      </c>
    </row>
    <row r="39" spans="1:7" x14ac:dyDescent="0.25">
      <c r="A39" s="34">
        <v>41872</v>
      </c>
      <c r="B39">
        <v>64.55</v>
      </c>
      <c r="C39">
        <v>65.010000000000005</v>
      </c>
      <c r="D39">
        <v>64.55</v>
      </c>
      <c r="E39">
        <v>64.81</v>
      </c>
      <c r="F39">
        <v>2500000</v>
      </c>
      <c r="G39">
        <v>64.81</v>
      </c>
    </row>
    <row r="40" spans="1:7" x14ac:dyDescent="0.25">
      <c r="A40" s="34">
        <v>41873</v>
      </c>
      <c r="B40">
        <v>64.900000000000006</v>
      </c>
      <c r="C40">
        <v>64.97</v>
      </c>
      <c r="D40">
        <v>64.53</v>
      </c>
      <c r="E40">
        <v>64.569999999999993</v>
      </c>
      <c r="F40">
        <v>1642200</v>
      </c>
      <c r="G40">
        <v>64.569999999999993</v>
      </c>
    </row>
    <row r="41" spans="1:7" x14ac:dyDescent="0.25">
      <c r="A41" s="34">
        <v>41876</v>
      </c>
      <c r="B41">
        <v>64.92</v>
      </c>
      <c r="C41">
        <v>65.14</v>
      </c>
      <c r="D41">
        <v>64.72</v>
      </c>
      <c r="E41">
        <v>64.87</v>
      </c>
      <c r="F41">
        <v>1556800</v>
      </c>
      <c r="G41">
        <v>64.87</v>
      </c>
    </row>
    <row r="42" spans="1:7" x14ac:dyDescent="0.25">
      <c r="A42" s="34">
        <v>41877</v>
      </c>
      <c r="B42">
        <v>64.900000000000006</v>
      </c>
      <c r="C42">
        <v>65.11</v>
      </c>
      <c r="D42">
        <v>64.709999999999994</v>
      </c>
      <c r="E42">
        <v>64.790000000000006</v>
      </c>
      <c r="F42">
        <v>2390400</v>
      </c>
      <c r="G42">
        <v>64.790000000000006</v>
      </c>
    </row>
    <row r="43" spans="1:7" x14ac:dyDescent="0.25">
      <c r="A43" s="34">
        <v>41878</v>
      </c>
      <c r="B43">
        <v>64.790000000000006</v>
      </c>
      <c r="C43">
        <v>64.930000000000007</v>
      </c>
      <c r="D43">
        <v>64.58</v>
      </c>
      <c r="E43">
        <v>64.83</v>
      </c>
      <c r="F43">
        <v>2084400</v>
      </c>
      <c r="G43">
        <v>64.83</v>
      </c>
    </row>
    <row r="44" spans="1:7" x14ac:dyDescent="0.25">
      <c r="A44" s="34">
        <v>41879</v>
      </c>
      <c r="B44">
        <v>64.63</v>
      </c>
      <c r="C44">
        <v>64.739999999999995</v>
      </c>
      <c r="D44">
        <v>64.45</v>
      </c>
      <c r="E44">
        <v>64.510000000000005</v>
      </c>
      <c r="F44">
        <v>2204600</v>
      </c>
      <c r="G44">
        <v>64.510000000000005</v>
      </c>
    </row>
    <row r="45" spans="1:7" x14ac:dyDescent="0.25">
      <c r="A45" s="34">
        <v>41880</v>
      </c>
      <c r="B45">
        <v>64.739999999999995</v>
      </c>
      <c r="C45">
        <v>64.760000000000005</v>
      </c>
      <c r="D45">
        <v>64.400000000000006</v>
      </c>
      <c r="E45">
        <v>64.73</v>
      </c>
      <c r="F45">
        <v>2102500</v>
      </c>
      <c r="G45">
        <v>64.73</v>
      </c>
    </row>
    <row r="46" spans="1:7" x14ac:dyDescent="0.25">
      <c r="A46" s="34">
        <v>41884</v>
      </c>
      <c r="B46">
        <v>64.44</v>
      </c>
      <c r="C46">
        <v>64.7</v>
      </c>
      <c r="D46">
        <v>64.16</v>
      </c>
      <c r="E46">
        <v>64.42</v>
      </c>
      <c r="F46">
        <v>3045400</v>
      </c>
      <c r="G46">
        <v>64.42</v>
      </c>
    </row>
    <row r="47" spans="1:7" x14ac:dyDescent="0.25">
      <c r="A47" s="34">
        <v>41885</v>
      </c>
      <c r="B47">
        <v>64.849999999999994</v>
      </c>
      <c r="C47">
        <v>64.89</v>
      </c>
      <c r="D47">
        <v>64.31</v>
      </c>
      <c r="E47">
        <v>64.42</v>
      </c>
      <c r="F47">
        <v>3304200</v>
      </c>
      <c r="G47">
        <v>64.42</v>
      </c>
    </row>
    <row r="48" spans="1:7" x14ac:dyDescent="0.25">
      <c r="A48" s="34">
        <v>41886</v>
      </c>
      <c r="B48">
        <v>64.48</v>
      </c>
      <c r="C48">
        <v>64.63</v>
      </c>
      <c r="D48">
        <v>64.08</v>
      </c>
      <c r="E48">
        <v>64.31</v>
      </c>
      <c r="F48">
        <v>3288600</v>
      </c>
      <c r="G48">
        <v>64.31</v>
      </c>
    </row>
    <row r="49" spans="1:7" x14ac:dyDescent="0.25">
      <c r="A49" s="34">
        <v>41887</v>
      </c>
      <c r="B49">
        <v>64.27</v>
      </c>
      <c r="C49">
        <v>64.88</v>
      </c>
      <c r="D49">
        <v>64.12</v>
      </c>
      <c r="E49">
        <v>64.86</v>
      </c>
      <c r="F49">
        <v>3441700</v>
      </c>
      <c r="G49">
        <v>64.86</v>
      </c>
    </row>
    <row r="50" spans="1:7" x14ac:dyDescent="0.25">
      <c r="A50" s="34">
        <v>41890</v>
      </c>
      <c r="B50">
        <v>64.44</v>
      </c>
      <c r="C50">
        <v>64.53</v>
      </c>
      <c r="D50">
        <v>63.63</v>
      </c>
      <c r="E50">
        <v>63.64</v>
      </c>
      <c r="F50">
        <v>3739100</v>
      </c>
      <c r="G50">
        <v>63.64</v>
      </c>
    </row>
    <row r="51" spans="1:7" x14ac:dyDescent="0.25">
      <c r="A51" s="34">
        <v>41891</v>
      </c>
      <c r="B51">
        <v>63.5</v>
      </c>
      <c r="C51">
        <v>63.72</v>
      </c>
      <c r="D51">
        <v>63.37</v>
      </c>
      <c r="E51">
        <v>63.43</v>
      </c>
      <c r="F51">
        <v>3520600</v>
      </c>
      <c r="G51">
        <v>63.43</v>
      </c>
    </row>
    <row r="52" spans="1:7" x14ac:dyDescent="0.25">
      <c r="A52" s="34">
        <v>41892</v>
      </c>
      <c r="B52">
        <v>63.5</v>
      </c>
      <c r="C52">
        <v>64.08</v>
      </c>
      <c r="D52">
        <v>63.36</v>
      </c>
      <c r="E52">
        <v>64</v>
      </c>
      <c r="F52">
        <v>2769700</v>
      </c>
      <c r="G52">
        <v>64</v>
      </c>
    </row>
    <row r="53" spans="1:7" x14ac:dyDescent="0.25">
      <c r="A53" s="34">
        <v>41893</v>
      </c>
      <c r="B53">
        <v>63.97</v>
      </c>
      <c r="C53">
        <v>64.5</v>
      </c>
      <c r="D53">
        <v>63.78</v>
      </c>
      <c r="E53">
        <v>64.42</v>
      </c>
      <c r="F53">
        <v>3271900</v>
      </c>
      <c r="G53">
        <v>64.42</v>
      </c>
    </row>
    <row r="54" spans="1:7" x14ac:dyDescent="0.25">
      <c r="A54" s="34">
        <v>41894</v>
      </c>
      <c r="B54">
        <v>64.180000000000007</v>
      </c>
      <c r="C54">
        <v>64.56</v>
      </c>
      <c r="D54">
        <v>64.08</v>
      </c>
      <c r="E54">
        <v>64.48</v>
      </c>
      <c r="F54">
        <v>3230400</v>
      </c>
      <c r="G54">
        <v>64.48</v>
      </c>
    </row>
    <row r="55" spans="1:7" x14ac:dyDescent="0.25">
      <c r="A55" s="34">
        <v>41897</v>
      </c>
      <c r="B55">
        <v>64.22</v>
      </c>
      <c r="C55">
        <v>64.790000000000006</v>
      </c>
      <c r="D55">
        <v>64.13</v>
      </c>
      <c r="E55">
        <v>64.510000000000005</v>
      </c>
      <c r="F55">
        <v>3135900</v>
      </c>
      <c r="G55">
        <v>64.510000000000005</v>
      </c>
    </row>
  </sheetData>
  <sortState ref="A3:G55">
    <sortCondition ref="A3:A55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53.86</v>
      </c>
      <c r="C3">
        <v>54.34</v>
      </c>
      <c r="D3">
        <v>53.69</v>
      </c>
      <c r="E3">
        <v>54.11</v>
      </c>
      <c r="F3">
        <v>11240700</v>
      </c>
      <c r="G3">
        <v>53.89</v>
      </c>
    </row>
    <row r="4" spans="1:7" x14ac:dyDescent="0.25">
      <c r="A4" s="34">
        <v>41822</v>
      </c>
      <c r="B4">
        <v>54.2</v>
      </c>
      <c r="C4">
        <v>54.6</v>
      </c>
      <c r="D4">
        <v>54.04</v>
      </c>
      <c r="E4">
        <v>54.56</v>
      </c>
      <c r="F4">
        <v>9186900</v>
      </c>
      <c r="G4">
        <v>54.33</v>
      </c>
    </row>
    <row r="5" spans="1:7" x14ac:dyDescent="0.25">
      <c r="A5" s="34">
        <v>41823</v>
      </c>
      <c r="B5">
        <v>54.74</v>
      </c>
      <c r="C5">
        <v>54.97</v>
      </c>
      <c r="D5">
        <v>54.51</v>
      </c>
      <c r="E5">
        <v>54.9</v>
      </c>
      <c r="F5">
        <v>7634900</v>
      </c>
      <c r="G5">
        <v>54.67</v>
      </c>
    </row>
    <row r="6" spans="1:7" x14ac:dyDescent="0.25">
      <c r="A6" s="34">
        <v>41827</v>
      </c>
      <c r="B6">
        <v>54.55</v>
      </c>
      <c r="C6">
        <v>54.75</v>
      </c>
      <c r="D6">
        <v>53.86</v>
      </c>
      <c r="E6">
        <v>54.18</v>
      </c>
      <c r="F6">
        <v>11241400</v>
      </c>
      <c r="G6">
        <v>53.96</v>
      </c>
    </row>
    <row r="7" spans="1:7" x14ac:dyDescent="0.25">
      <c r="A7" s="34">
        <v>41828</v>
      </c>
      <c r="B7">
        <v>53.92</v>
      </c>
      <c r="C7">
        <v>54.22</v>
      </c>
      <c r="D7">
        <v>53.25</v>
      </c>
      <c r="E7">
        <v>53.31</v>
      </c>
      <c r="F7">
        <v>14614200</v>
      </c>
      <c r="G7">
        <v>53.09</v>
      </c>
    </row>
    <row r="8" spans="1:7" x14ac:dyDescent="0.25">
      <c r="A8" s="34">
        <v>41829</v>
      </c>
      <c r="B8">
        <v>53.56</v>
      </c>
      <c r="C8">
        <v>54.74</v>
      </c>
      <c r="D8">
        <v>53.41</v>
      </c>
      <c r="E8">
        <v>54.73</v>
      </c>
      <c r="F8">
        <v>15854000</v>
      </c>
      <c r="G8">
        <v>54.5</v>
      </c>
    </row>
    <row r="9" spans="1:7" x14ac:dyDescent="0.25">
      <c r="A9" s="34">
        <v>41830</v>
      </c>
      <c r="B9">
        <v>54.32</v>
      </c>
      <c r="C9">
        <v>54.78</v>
      </c>
      <c r="D9">
        <v>54.08</v>
      </c>
      <c r="E9">
        <v>54.36</v>
      </c>
      <c r="F9">
        <v>10154300</v>
      </c>
      <c r="G9">
        <v>54.13</v>
      </c>
    </row>
    <row r="10" spans="1:7" x14ac:dyDescent="0.25">
      <c r="A10" s="34">
        <v>41831</v>
      </c>
      <c r="B10">
        <v>54.31</v>
      </c>
      <c r="C10">
        <v>54.64</v>
      </c>
      <c r="D10">
        <v>54.17</v>
      </c>
      <c r="E10">
        <v>54.55</v>
      </c>
      <c r="F10">
        <v>7054500</v>
      </c>
      <c r="G10">
        <v>54.32</v>
      </c>
    </row>
    <row r="11" spans="1:7" x14ac:dyDescent="0.25">
      <c r="A11" s="34">
        <v>41834</v>
      </c>
      <c r="B11">
        <v>54.79</v>
      </c>
      <c r="C11">
        <v>55.25</v>
      </c>
      <c r="D11">
        <v>54.37</v>
      </c>
      <c r="E11">
        <v>55.05</v>
      </c>
      <c r="F11">
        <v>13698200</v>
      </c>
      <c r="G11">
        <v>54.82</v>
      </c>
    </row>
    <row r="12" spans="1:7" x14ac:dyDescent="0.25">
      <c r="A12" s="34">
        <v>41835</v>
      </c>
      <c r="B12">
        <v>54.86</v>
      </c>
      <c r="C12">
        <v>55.17</v>
      </c>
      <c r="D12">
        <v>54.59</v>
      </c>
      <c r="E12">
        <v>54.89</v>
      </c>
      <c r="F12">
        <v>9857700</v>
      </c>
      <c r="G12">
        <v>54.66</v>
      </c>
    </row>
    <row r="13" spans="1:7" x14ac:dyDescent="0.25">
      <c r="A13" s="34">
        <v>41836</v>
      </c>
      <c r="B13">
        <v>55.11</v>
      </c>
      <c r="C13">
        <v>55.53</v>
      </c>
      <c r="D13">
        <v>54.88</v>
      </c>
      <c r="E13">
        <v>55.05</v>
      </c>
      <c r="F13">
        <v>18578900</v>
      </c>
      <c r="G13">
        <v>54.82</v>
      </c>
    </row>
    <row r="14" spans="1:7" x14ac:dyDescent="0.25">
      <c r="A14" s="34">
        <v>41837</v>
      </c>
      <c r="B14">
        <v>54.53</v>
      </c>
      <c r="C14">
        <v>55.16</v>
      </c>
      <c r="D14">
        <v>54.1</v>
      </c>
      <c r="E14">
        <v>54.2</v>
      </c>
      <c r="F14">
        <v>15354500</v>
      </c>
      <c r="G14">
        <v>53.98</v>
      </c>
    </row>
    <row r="15" spans="1:7" x14ac:dyDescent="0.25">
      <c r="A15" s="34">
        <v>41838</v>
      </c>
      <c r="B15">
        <v>54.74</v>
      </c>
      <c r="C15">
        <v>54.74</v>
      </c>
      <c r="D15">
        <v>54.22</v>
      </c>
      <c r="E15">
        <v>54.54</v>
      </c>
      <c r="F15">
        <v>11599000</v>
      </c>
      <c r="G15">
        <v>54.31</v>
      </c>
    </row>
    <row r="16" spans="1:7" x14ac:dyDescent="0.25">
      <c r="A16" s="34">
        <v>41841</v>
      </c>
      <c r="B16">
        <v>54.12</v>
      </c>
      <c r="C16">
        <v>54.46</v>
      </c>
      <c r="D16">
        <v>53.5</v>
      </c>
      <c r="E16">
        <v>53.82</v>
      </c>
      <c r="F16">
        <v>17685000</v>
      </c>
      <c r="G16">
        <v>53.6</v>
      </c>
    </row>
    <row r="17" spans="1:7" x14ac:dyDescent="0.25">
      <c r="A17" s="34">
        <v>41842</v>
      </c>
      <c r="B17">
        <v>54.75</v>
      </c>
      <c r="C17">
        <v>55.24</v>
      </c>
      <c r="D17">
        <v>54.22</v>
      </c>
      <c r="E17">
        <v>54.63</v>
      </c>
      <c r="F17">
        <v>15889100</v>
      </c>
      <c r="G17">
        <v>54.4</v>
      </c>
    </row>
    <row r="18" spans="1:7" x14ac:dyDescent="0.25">
      <c r="A18" s="34">
        <v>41843</v>
      </c>
      <c r="B18">
        <v>54.53</v>
      </c>
      <c r="C18">
        <v>55</v>
      </c>
      <c r="D18">
        <v>54.25</v>
      </c>
      <c r="E18">
        <v>54.71</v>
      </c>
      <c r="F18">
        <v>13355900</v>
      </c>
      <c r="G18">
        <v>54.48</v>
      </c>
    </row>
    <row r="19" spans="1:7" x14ac:dyDescent="0.25">
      <c r="A19" s="34">
        <v>41844</v>
      </c>
      <c r="B19">
        <v>54.96</v>
      </c>
      <c r="C19">
        <v>55.25</v>
      </c>
      <c r="D19">
        <v>54.71</v>
      </c>
      <c r="E19">
        <v>55.13</v>
      </c>
      <c r="F19">
        <v>13103800</v>
      </c>
      <c r="G19">
        <v>54.9</v>
      </c>
    </row>
    <row r="20" spans="1:7" x14ac:dyDescent="0.25">
      <c r="A20" s="34">
        <v>41845</v>
      </c>
      <c r="B20">
        <v>55.14</v>
      </c>
      <c r="C20">
        <v>55.21</v>
      </c>
      <c r="D20">
        <v>54.23</v>
      </c>
      <c r="E20">
        <v>54.39</v>
      </c>
      <c r="F20">
        <v>9967700</v>
      </c>
      <c r="G20">
        <v>54.16</v>
      </c>
    </row>
    <row r="21" spans="1:7" x14ac:dyDescent="0.25">
      <c r="A21" s="34">
        <v>41848</v>
      </c>
      <c r="B21">
        <v>54.52</v>
      </c>
      <c r="C21">
        <v>54.82</v>
      </c>
      <c r="D21">
        <v>54.09</v>
      </c>
      <c r="E21">
        <v>54.73</v>
      </c>
      <c r="F21">
        <v>8785800</v>
      </c>
      <c r="G21">
        <v>54.5</v>
      </c>
    </row>
    <row r="22" spans="1:7" x14ac:dyDescent="0.25">
      <c r="A22" s="34">
        <v>41849</v>
      </c>
      <c r="B22">
        <v>55.29</v>
      </c>
      <c r="C22">
        <v>56.49</v>
      </c>
      <c r="D22">
        <v>54.94</v>
      </c>
      <c r="E22">
        <v>54.99</v>
      </c>
      <c r="F22">
        <v>18245900</v>
      </c>
      <c r="G22">
        <v>54.76</v>
      </c>
    </row>
    <row r="23" spans="1:7" x14ac:dyDescent="0.25">
      <c r="A23" s="34">
        <v>41850</v>
      </c>
      <c r="B23">
        <v>55.19</v>
      </c>
      <c r="C23">
        <v>55.45</v>
      </c>
      <c r="D23">
        <v>54.92</v>
      </c>
      <c r="E23">
        <v>55.41</v>
      </c>
      <c r="F23">
        <v>12961500</v>
      </c>
      <c r="G23">
        <v>55.18</v>
      </c>
    </row>
    <row r="24" spans="1:7" x14ac:dyDescent="0.25">
      <c r="A24" s="34">
        <v>41851</v>
      </c>
      <c r="B24">
        <v>54.99</v>
      </c>
      <c r="C24">
        <v>55.05</v>
      </c>
      <c r="D24">
        <v>53.63</v>
      </c>
      <c r="E24">
        <v>53.73</v>
      </c>
      <c r="F24">
        <v>15263400</v>
      </c>
      <c r="G24">
        <v>53.51</v>
      </c>
    </row>
    <row r="25" spans="1:7" x14ac:dyDescent="0.25">
      <c r="A25" s="34">
        <v>41852</v>
      </c>
      <c r="B25">
        <v>53.54</v>
      </c>
      <c r="C25">
        <v>53.88</v>
      </c>
      <c r="D25">
        <v>53.15</v>
      </c>
      <c r="E25">
        <v>53.39</v>
      </c>
      <c r="F25">
        <v>9951700</v>
      </c>
      <c r="G25">
        <v>53.17</v>
      </c>
    </row>
    <row r="26" spans="1:7" x14ac:dyDescent="0.25">
      <c r="A26" s="34">
        <v>41855</v>
      </c>
      <c r="B26">
        <v>53.4</v>
      </c>
      <c r="C26">
        <v>54.08</v>
      </c>
      <c r="D26">
        <v>53.4</v>
      </c>
      <c r="E26">
        <v>53.85</v>
      </c>
      <c r="F26">
        <v>10926600</v>
      </c>
      <c r="G26">
        <v>53.63</v>
      </c>
    </row>
    <row r="27" spans="1:7" x14ac:dyDescent="0.25">
      <c r="A27" s="34">
        <v>41856</v>
      </c>
      <c r="B27">
        <v>53.86</v>
      </c>
      <c r="C27">
        <v>53.86</v>
      </c>
      <c r="D27">
        <v>52.91</v>
      </c>
      <c r="E27">
        <v>53.18</v>
      </c>
      <c r="F27">
        <v>13669500</v>
      </c>
      <c r="G27">
        <v>52.96</v>
      </c>
    </row>
    <row r="28" spans="1:7" x14ac:dyDescent="0.25">
      <c r="A28" s="34">
        <v>41857</v>
      </c>
      <c r="B28">
        <v>52.97</v>
      </c>
      <c r="C28">
        <v>53.4</v>
      </c>
      <c r="D28">
        <v>52.79</v>
      </c>
      <c r="E28">
        <v>52.9</v>
      </c>
      <c r="F28">
        <v>10034500</v>
      </c>
      <c r="G28">
        <v>52.68</v>
      </c>
    </row>
    <row r="29" spans="1:7" x14ac:dyDescent="0.25">
      <c r="A29" s="34">
        <v>41858</v>
      </c>
      <c r="B29">
        <v>53.11</v>
      </c>
      <c r="C29">
        <v>53.19</v>
      </c>
      <c r="D29">
        <v>52.52</v>
      </c>
      <c r="E29">
        <v>52.68</v>
      </c>
      <c r="F29">
        <v>11739600</v>
      </c>
      <c r="G29">
        <v>52.46</v>
      </c>
    </row>
    <row r="30" spans="1:7" x14ac:dyDescent="0.25">
      <c r="A30" s="34">
        <v>41859</v>
      </c>
      <c r="B30">
        <v>52.69</v>
      </c>
      <c r="C30">
        <v>53.56</v>
      </c>
      <c r="D30">
        <v>52.69</v>
      </c>
      <c r="E30">
        <v>53.5</v>
      </c>
      <c r="F30">
        <v>11842300</v>
      </c>
      <c r="G30">
        <v>53.28</v>
      </c>
    </row>
    <row r="31" spans="1:7" x14ac:dyDescent="0.25">
      <c r="A31" s="34">
        <v>41862</v>
      </c>
      <c r="B31">
        <v>53.58</v>
      </c>
      <c r="C31">
        <v>54.18</v>
      </c>
      <c r="D31">
        <v>53.54</v>
      </c>
      <c r="E31">
        <v>53.75</v>
      </c>
      <c r="F31">
        <v>7808500</v>
      </c>
      <c r="G31">
        <v>53.53</v>
      </c>
    </row>
    <row r="32" spans="1:7" x14ac:dyDescent="0.25">
      <c r="A32" s="34">
        <v>41863</v>
      </c>
      <c r="B32">
        <v>53.59</v>
      </c>
      <c r="C32">
        <v>54.13</v>
      </c>
      <c r="D32">
        <v>53.59</v>
      </c>
      <c r="E32">
        <v>53.8</v>
      </c>
      <c r="F32">
        <v>8307400</v>
      </c>
      <c r="G32">
        <v>53.58</v>
      </c>
    </row>
    <row r="33" spans="1:7" x14ac:dyDescent="0.25">
      <c r="A33" s="34">
        <v>41864</v>
      </c>
      <c r="B33">
        <v>54.09</v>
      </c>
      <c r="C33">
        <v>54.37</v>
      </c>
      <c r="D33">
        <v>53.92</v>
      </c>
      <c r="E33">
        <v>54.11</v>
      </c>
      <c r="F33">
        <v>9125900</v>
      </c>
      <c r="G33">
        <v>53.89</v>
      </c>
    </row>
    <row r="34" spans="1:7" x14ac:dyDescent="0.25">
      <c r="A34" s="34">
        <v>41865</v>
      </c>
      <c r="B34">
        <v>54.19</v>
      </c>
      <c r="C34">
        <v>54.42</v>
      </c>
      <c r="D34">
        <v>54.08</v>
      </c>
      <c r="E34">
        <v>54.37</v>
      </c>
      <c r="F34">
        <v>6538600</v>
      </c>
      <c r="G34">
        <v>54.14</v>
      </c>
    </row>
    <row r="35" spans="1:7" x14ac:dyDescent="0.25">
      <c r="A35" s="34">
        <v>41866</v>
      </c>
      <c r="B35">
        <v>54.8</v>
      </c>
      <c r="C35">
        <v>54.89</v>
      </c>
      <c r="D35">
        <v>54.15</v>
      </c>
      <c r="E35">
        <v>54.63</v>
      </c>
      <c r="F35">
        <v>10707600</v>
      </c>
      <c r="G35">
        <v>54.4</v>
      </c>
    </row>
    <row r="36" spans="1:7" x14ac:dyDescent="0.25">
      <c r="A36" s="34">
        <v>41869</v>
      </c>
      <c r="B36">
        <v>54.97</v>
      </c>
      <c r="C36">
        <v>55.1</v>
      </c>
      <c r="D36">
        <v>54.48</v>
      </c>
      <c r="E36">
        <v>54.73</v>
      </c>
      <c r="F36">
        <v>7593200</v>
      </c>
      <c r="G36">
        <v>54.5</v>
      </c>
    </row>
    <row r="37" spans="1:7" x14ac:dyDescent="0.25">
      <c r="A37" s="34">
        <v>41870</v>
      </c>
      <c r="B37">
        <v>54.69</v>
      </c>
      <c r="C37">
        <v>54.89</v>
      </c>
      <c r="D37">
        <v>54.41</v>
      </c>
      <c r="E37">
        <v>54.5</v>
      </c>
      <c r="F37">
        <v>7347100</v>
      </c>
      <c r="G37">
        <v>54.27</v>
      </c>
    </row>
    <row r="38" spans="1:7" x14ac:dyDescent="0.25">
      <c r="A38" s="34">
        <v>41871</v>
      </c>
      <c r="B38">
        <v>54.31</v>
      </c>
      <c r="C38">
        <v>54.79</v>
      </c>
      <c r="D38">
        <v>54.31</v>
      </c>
      <c r="E38">
        <v>54.64</v>
      </c>
      <c r="F38">
        <v>7338700</v>
      </c>
      <c r="G38">
        <v>54.41</v>
      </c>
    </row>
    <row r="39" spans="1:7" x14ac:dyDescent="0.25">
      <c r="A39" s="34">
        <v>41872</v>
      </c>
      <c r="B39">
        <v>54.64</v>
      </c>
      <c r="C39">
        <v>54.83</v>
      </c>
      <c r="D39">
        <v>54.35</v>
      </c>
      <c r="E39">
        <v>54.44</v>
      </c>
      <c r="F39">
        <v>7474600</v>
      </c>
      <c r="G39">
        <v>54.21</v>
      </c>
    </row>
    <row r="40" spans="1:7" x14ac:dyDescent="0.25">
      <c r="A40" s="34">
        <v>41873</v>
      </c>
      <c r="B40">
        <v>54.27</v>
      </c>
      <c r="C40">
        <v>54.59</v>
      </c>
      <c r="D40">
        <v>53.92</v>
      </c>
      <c r="E40">
        <v>54.18</v>
      </c>
      <c r="F40">
        <v>8144600</v>
      </c>
      <c r="G40">
        <v>53.96</v>
      </c>
    </row>
    <row r="41" spans="1:7" x14ac:dyDescent="0.25">
      <c r="A41" s="34">
        <v>41876</v>
      </c>
      <c r="B41">
        <v>54.35</v>
      </c>
      <c r="C41">
        <v>54.73</v>
      </c>
      <c r="D41">
        <v>54.2</v>
      </c>
      <c r="E41">
        <v>54.65</v>
      </c>
      <c r="F41">
        <v>9416200</v>
      </c>
      <c r="G41">
        <v>54.42</v>
      </c>
    </row>
    <row r="42" spans="1:7" x14ac:dyDescent="0.25">
      <c r="A42" s="34">
        <v>41877</v>
      </c>
      <c r="B42">
        <v>54.75</v>
      </c>
      <c r="C42">
        <v>54.75</v>
      </c>
      <c r="D42">
        <v>54.33</v>
      </c>
      <c r="E42">
        <v>54.56</v>
      </c>
      <c r="F42">
        <v>9240100</v>
      </c>
      <c r="G42">
        <v>54.33</v>
      </c>
    </row>
    <row r="43" spans="1:7" x14ac:dyDescent="0.25">
      <c r="A43" s="34">
        <v>41878</v>
      </c>
      <c r="B43">
        <v>54.69</v>
      </c>
      <c r="C43">
        <v>54.9</v>
      </c>
      <c r="D43">
        <v>54.36</v>
      </c>
      <c r="E43">
        <v>54.56</v>
      </c>
      <c r="F43">
        <v>8134700</v>
      </c>
      <c r="G43">
        <v>54.33</v>
      </c>
    </row>
    <row r="44" spans="1:7" x14ac:dyDescent="0.25">
      <c r="A44" s="34">
        <v>41879</v>
      </c>
      <c r="B44">
        <v>54.32</v>
      </c>
      <c r="C44">
        <v>54.66</v>
      </c>
      <c r="D44">
        <v>54.28</v>
      </c>
      <c r="E44">
        <v>54.52</v>
      </c>
      <c r="F44">
        <v>5571100</v>
      </c>
      <c r="G44">
        <v>54.29</v>
      </c>
    </row>
    <row r="45" spans="1:7" x14ac:dyDescent="0.25">
      <c r="A45" s="34">
        <v>41880</v>
      </c>
      <c r="B45">
        <v>54.88</v>
      </c>
      <c r="C45">
        <v>54.93</v>
      </c>
      <c r="D45">
        <v>54.43</v>
      </c>
      <c r="E45">
        <v>54.72</v>
      </c>
      <c r="F45">
        <v>6758600</v>
      </c>
      <c r="G45">
        <v>54.49</v>
      </c>
    </row>
    <row r="46" spans="1:7" x14ac:dyDescent="0.25">
      <c r="A46" s="34">
        <v>41884</v>
      </c>
      <c r="B46">
        <v>54.71</v>
      </c>
      <c r="C46">
        <v>54.97</v>
      </c>
      <c r="D46">
        <v>54.35</v>
      </c>
      <c r="E46">
        <v>54.78</v>
      </c>
      <c r="F46">
        <v>9535100</v>
      </c>
      <c r="G46">
        <v>54.55</v>
      </c>
    </row>
    <row r="47" spans="1:7" x14ac:dyDescent="0.25">
      <c r="A47" s="34">
        <v>41885</v>
      </c>
      <c r="B47">
        <v>54.74</v>
      </c>
      <c r="C47">
        <v>55.05</v>
      </c>
      <c r="D47">
        <v>54.62</v>
      </c>
      <c r="E47">
        <v>54.87</v>
      </c>
      <c r="F47">
        <v>8950100</v>
      </c>
      <c r="G47">
        <v>54.64</v>
      </c>
    </row>
    <row r="48" spans="1:7" x14ac:dyDescent="0.25">
      <c r="A48" s="34">
        <v>41886</v>
      </c>
      <c r="B48">
        <v>55.24</v>
      </c>
      <c r="C48">
        <v>55.39</v>
      </c>
      <c r="D48">
        <v>54.83</v>
      </c>
      <c r="E48">
        <v>54.88</v>
      </c>
      <c r="F48">
        <v>13184400</v>
      </c>
      <c r="G48">
        <v>54.65</v>
      </c>
    </row>
    <row r="49" spans="1:7" x14ac:dyDescent="0.25">
      <c r="A49" s="34">
        <v>41887</v>
      </c>
      <c r="B49">
        <v>55</v>
      </c>
      <c r="C49">
        <v>55.79</v>
      </c>
      <c r="D49">
        <v>54.87</v>
      </c>
      <c r="E49">
        <v>55.7</v>
      </c>
      <c r="F49">
        <v>14202700</v>
      </c>
      <c r="G49">
        <v>55.47</v>
      </c>
    </row>
    <row r="50" spans="1:7" x14ac:dyDescent="0.25">
      <c r="A50" s="34">
        <v>41890</v>
      </c>
      <c r="B50">
        <v>55.51</v>
      </c>
      <c r="C50">
        <v>56</v>
      </c>
      <c r="D50">
        <v>55.42</v>
      </c>
      <c r="E50">
        <v>55.88</v>
      </c>
      <c r="F50">
        <v>11805400</v>
      </c>
      <c r="G50">
        <v>55.65</v>
      </c>
    </row>
    <row r="51" spans="1:7" x14ac:dyDescent="0.25">
      <c r="A51" s="34">
        <v>41891</v>
      </c>
      <c r="B51">
        <v>55.74</v>
      </c>
      <c r="C51">
        <v>56.77</v>
      </c>
      <c r="D51">
        <v>55.64</v>
      </c>
      <c r="E51">
        <v>56.61</v>
      </c>
      <c r="F51">
        <v>20056500</v>
      </c>
      <c r="G51">
        <v>56.38</v>
      </c>
    </row>
    <row r="52" spans="1:7" x14ac:dyDescent="0.25">
      <c r="A52" s="34">
        <v>41892</v>
      </c>
      <c r="B52">
        <v>56.54</v>
      </c>
      <c r="C52">
        <v>57.05</v>
      </c>
      <c r="D52">
        <v>56.04</v>
      </c>
      <c r="E52">
        <v>56.91</v>
      </c>
      <c r="F52">
        <v>13539000</v>
      </c>
      <c r="G52">
        <v>56.67</v>
      </c>
    </row>
    <row r="53" spans="1:7" x14ac:dyDescent="0.25">
      <c r="A53" s="34">
        <v>41893</v>
      </c>
      <c r="B53">
        <v>56.87</v>
      </c>
      <c r="C53">
        <v>57.13</v>
      </c>
      <c r="D53">
        <v>56.56</v>
      </c>
      <c r="E53">
        <v>56.98</v>
      </c>
      <c r="F53">
        <v>9697000</v>
      </c>
      <c r="G53">
        <v>56.74</v>
      </c>
    </row>
    <row r="54" spans="1:7" x14ac:dyDescent="0.25">
      <c r="A54" s="34">
        <v>41894</v>
      </c>
      <c r="B54">
        <v>56.9</v>
      </c>
      <c r="C54">
        <v>57.14</v>
      </c>
      <c r="D54">
        <v>56.67</v>
      </c>
      <c r="E54">
        <v>57.08</v>
      </c>
      <c r="F54">
        <v>11287800</v>
      </c>
      <c r="G54">
        <v>56.84</v>
      </c>
    </row>
    <row r="55" spans="1:7" x14ac:dyDescent="0.25">
      <c r="A55" s="34">
        <v>41897</v>
      </c>
      <c r="B55">
        <v>57.16</v>
      </c>
      <c r="C55">
        <v>57.49</v>
      </c>
      <c r="D55">
        <v>56.88</v>
      </c>
      <c r="E55">
        <v>57.02</v>
      </c>
      <c r="F55">
        <v>13048100</v>
      </c>
      <c r="G55">
        <v>56.78</v>
      </c>
    </row>
  </sheetData>
  <sortState ref="A3:G55">
    <sortCondition ref="A3:A5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83.12</v>
      </c>
      <c r="C3">
        <v>83.53</v>
      </c>
      <c r="D3">
        <v>82.88</v>
      </c>
      <c r="E3">
        <v>83.02</v>
      </c>
      <c r="F3">
        <v>3252600</v>
      </c>
      <c r="G3">
        <v>82.7</v>
      </c>
    </row>
    <row r="4" spans="1:7" x14ac:dyDescent="0.25">
      <c r="A4" s="34">
        <v>41822</v>
      </c>
      <c r="B4">
        <v>83.29</v>
      </c>
      <c r="C4">
        <v>83.68</v>
      </c>
      <c r="D4">
        <v>83.15</v>
      </c>
      <c r="E4">
        <v>83.6</v>
      </c>
      <c r="F4">
        <v>2830400</v>
      </c>
      <c r="G4">
        <v>83.28</v>
      </c>
    </row>
    <row r="5" spans="1:7" x14ac:dyDescent="0.25">
      <c r="A5" s="34">
        <v>41823</v>
      </c>
      <c r="B5">
        <v>84.2</v>
      </c>
      <c r="C5">
        <v>84.98</v>
      </c>
      <c r="D5">
        <v>83.91</v>
      </c>
      <c r="E5">
        <v>84.95</v>
      </c>
      <c r="F5">
        <v>2811500</v>
      </c>
      <c r="G5">
        <v>84.63</v>
      </c>
    </row>
    <row r="6" spans="1:7" x14ac:dyDescent="0.25">
      <c r="A6" s="34">
        <v>41827</v>
      </c>
      <c r="B6">
        <v>84.31</v>
      </c>
      <c r="C6">
        <v>84.6</v>
      </c>
      <c r="D6">
        <v>83.29</v>
      </c>
      <c r="E6">
        <v>83.57</v>
      </c>
      <c r="F6">
        <v>2501800</v>
      </c>
      <c r="G6">
        <v>83.25</v>
      </c>
    </row>
    <row r="7" spans="1:7" x14ac:dyDescent="0.25">
      <c r="A7" s="34">
        <v>41828</v>
      </c>
      <c r="B7">
        <v>83.29</v>
      </c>
      <c r="C7">
        <v>83.61</v>
      </c>
      <c r="D7">
        <v>82.89</v>
      </c>
      <c r="E7">
        <v>83.23</v>
      </c>
      <c r="F7">
        <v>2640700</v>
      </c>
      <c r="G7">
        <v>82.91</v>
      </c>
    </row>
    <row r="8" spans="1:7" x14ac:dyDescent="0.25">
      <c r="A8" s="34">
        <v>41829</v>
      </c>
      <c r="B8">
        <v>84.15</v>
      </c>
      <c r="C8">
        <v>84.95</v>
      </c>
      <c r="D8">
        <v>83.68</v>
      </c>
      <c r="E8">
        <v>84.39</v>
      </c>
      <c r="F8">
        <v>2773000</v>
      </c>
      <c r="G8">
        <v>84.07</v>
      </c>
    </row>
    <row r="9" spans="1:7" x14ac:dyDescent="0.25">
      <c r="A9" s="34">
        <v>41830</v>
      </c>
      <c r="B9">
        <v>83.04</v>
      </c>
      <c r="C9">
        <v>84.08</v>
      </c>
      <c r="D9">
        <v>82.99</v>
      </c>
      <c r="E9">
        <v>83.69</v>
      </c>
      <c r="F9">
        <v>2401700</v>
      </c>
      <c r="G9">
        <v>83.37</v>
      </c>
    </row>
    <row r="10" spans="1:7" x14ac:dyDescent="0.25">
      <c r="A10" s="34">
        <v>41831</v>
      </c>
      <c r="B10">
        <v>83.77</v>
      </c>
      <c r="C10">
        <v>84.08</v>
      </c>
      <c r="D10">
        <v>83.32</v>
      </c>
      <c r="E10">
        <v>83.96</v>
      </c>
      <c r="F10">
        <v>1934500</v>
      </c>
      <c r="G10">
        <v>83.64</v>
      </c>
    </row>
    <row r="11" spans="1:7" x14ac:dyDescent="0.25">
      <c r="A11" s="34">
        <v>41834</v>
      </c>
      <c r="B11">
        <v>84.64</v>
      </c>
      <c r="C11">
        <v>84.9</v>
      </c>
      <c r="D11">
        <v>83.89</v>
      </c>
      <c r="E11">
        <v>84.01</v>
      </c>
      <c r="F11">
        <v>2608500</v>
      </c>
      <c r="G11">
        <v>83.69</v>
      </c>
    </row>
    <row r="12" spans="1:7" x14ac:dyDescent="0.25">
      <c r="A12" s="34">
        <v>41835</v>
      </c>
      <c r="B12">
        <v>84.39</v>
      </c>
      <c r="C12">
        <v>85.39</v>
      </c>
      <c r="D12">
        <v>84.34</v>
      </c>
      <c r="E12">
        <v>84.9</v>
      </c>
      <c r="F12">
        <v>3029200</v>
      </c>
      <c r="G12">
        <v>84.58</v>
      </c>
    </row>
    <row r="13" spans="1:7" x14ac:dyDescent="0.25">
      <c r="A13" s="34">
        <v>41836</v>
      </c>
      <c r="B13">
        <v>85.05</v>
      </c>
      <c r="C13">
        <v>85.16</v>
      </c>
      <c r="D13">
        <v>84.06</v>
      </c>
      <c r="E13">
        <v>84.38</v>
      </c>
      <c r="F13">
        <v>3356700</v>
      </c>
      <c r="G13">
        <v>84.06</v>
      </c>
    </row>
    <row r="14" spans="1:7" x14ac:dyDescent="0.25">
      <c r="A14" s="34">
        <v>41837</v>
      </c>
      <c r="B14">
        <v>84.07</v>
      </c>
      <c r="C14">
        <v>84.28</v>
      </c>
      <c r="D14">
        <v>82.41</v>
      </c>
      <c r="E14">
        <v>82.49</v>
      </c>
      <c r="F14">
        <v>4083900</v>
      </c>
      <c r="G14">
        <v>82.18</v>
      </c>
    </row>
    <row r="15" spans="1:7" x14ac:dyDescent="0.25">
      <c r="A15" s="34">
        <v>41838</v>
      </c>
      <c r="B15">
        <v>83.68</v>
      </c>
      <c r="C15">
        <v>83.9</v>
      </c>
      <c r="D15">
        <v>82.06</v>
      </c>
      <c r="E15">
        <v>82.29</v>
      </c>
      <c r="F15">
        <v>6368300</v>
      </c>
      <c r="G15">
        <v>81.98</v>
      </c>
    </row>
    <row r="16" spans="1:7" x14ac:dyDescent="0.25">
      <c r="A16" s="34">
        <v>41841</v>
      </c>
      <c r="B16">
        <v>82.32</v>
      </c>
      <c r="C16">
        <v>82.42</v>
      </c>
      <c r="D16">
        <v>81.78</v>
      </c>
      <c r="E16">
        <v>81.92</v>
      </c>
      <c r="F16">
        <v>3595400</v>
      </c>
      <c r="G16">
        <v>81.61</v>
      </c>
    </row>
    <row r="17" spans="1:7" x14ac:dyDescent="0.25">
      <c r="A17" s="34">
        <v>41842</v>
      </c>
      <c r="B17">
        <v>81.91</v>
      </c>
      <c r="C17">
        <v>82.39</v>
      </c>
      <c r="D17">
        <v>81.89</v>
      </c>
      <c r="E17">
        <v>82.12</v>
      </c>
      <c r="F17">
        <v>3966300</v>
      </c>
      <c r="G17">
        <v>81.81</v>
      </c>
    </row>
    <row r="18" spans="1:7" x14ac:dyDescent="0.25">
      <c r="A18" s="34">
        <v>41843</v>
      </c>
      <c r="B18">
        <v>82.33</v>
      </c>
      <c r="C18">
        <v>82.39</v>
      </c>
      <c r="D18">
        <v>81.95</v>
      </c>
      <c r="E18">
        <v>81.99</v>
      </c>
      <c r="F18">
        <v>2851400</v>
      </c>
      <c r="G18">
        <v>81.680000000000007</v>
      </c>
    </row>
    <row r="19" spans="1:7" x14ac:dyDescent="0.25">
      <c r="A19" s="34">
        <v>41844</v>
      </c>
      <c r="B19">
        <v>82.54</v>
      </c>
      <c r="C19">
        <v>82.61</v>
      </c>
      <c r="D19">
        <v>82.17</v>
      </c>
      <c r="E19">
        <v>82.4</v>
      </c>
      <c r="F19">
        <v>3620000</v>
      </c>
      <c r="G19">
        <v>82.09</v>
      </c>
    </row>
    <row r="20" spans="1:7" x14ac:dyDescent="0.25">
      <c r="A20" s="34">
        <v>41845</v>
      </c>
      <c r="B20">
        <v>82.11</v>
      </c>
      <c r="C20">
        <v>82.52</v>
      </c>
      <c r="D20">
        <v>81.569999999999993</v>
      </c>
      <c r="E20">
        <v>81.650000000000006</v>
      </c>
      <c r="F20">
        <v>2929600</v>
      </c>
      <c r="G20">
        <v>81.34</v>
      </c>
    </row>
    <row r="21" spans="1:7" x14ac:dyDescent="0.25">
      <c r="A21" s="34">
        <v>41848</v>
      </c>
      <c r="B21">
        <v>83.11</v>
      </c>
      <c r="C21">
        <v>83.52</v>
      </c>
      <c r="D21">
        <v>81.16</v>
      </c>
      <c r="E21">
        <v>81.53</v>
      </c>
      <c r="F21">
        <v>2386600</v>
      </c>
      <c r="G21">
        <v>81.22</v>
      </c>
    </row>
    <row r="22" spans="1:7" x14ac:dyDescent="0.25">
      <c r="A22" s="34">
        <v>41849</v>
      </c>
      <c r="B22">
        <v>81.53</v>
      </c>
      <c r="C22">
        <v>81.91</v>
      </c>
      <c r="D22">
        <v>81.180000000000007</v>
      </c>
      <c r="E22">
        <v>81.19</v>
      </c>
      <c r="F22">
        <v>2139100</v>
      </c>
      <c r="G22">
        <v>80.88</v>
      </c>
    </row>
    <row r="23" spans="1:7" x14ac:dyDescent="0.25">
      <c r="A23" s="34">
        <v>41850</v>
      </c>
      <c r="B23">
        <v>81.48</v>
      </c>
      <c r="C23">
        <v>81.8</v>
      </c>
      <c r="D23">
        <v>81.02</v>
      </c>
      <c r="E23">
        <v>81.56</v>
      </c>
      <c r="F23">
        <v>2806300</v>
      </c>
      <c r="G23">
        <v>81.25</v>
      </c>
    </row>
    <row r="24" spans="1:7" x14ac:dyDescent="0.25">
      <c r="A24" s="34">
        <v>41851</v>
      </c>
      <c r="B24">
        <v>81.11</v>
      </c>
      <c r="C24">
        <v>81.180000000000007</v>
      </c>
      <c r="D24">
        <v>79.540000000000006</v>
      </c>
      <c r="E24">
        <v>79.540000000000006</v>
      </c>
      <c r="F24">
        <v>3243200</v>
      </c>
      <c r="G24">
        <v>79.239999999999995</v>
      </c>
    </row>
    <row r="25" spans="1:7" x14ac:dyDescent="0.25">
      <c r="A25" s="34">
        <v>41852</v>
      </c>
      <c r="B25">
        <v>79.040000000000006</v>
      </c>
      <c r="C25">
        <v>80.02</v>
      </c>
      <c r="D25">
        <v>78.87</v>
      </c>
      <c r="E25">
        <v>79.489999999999995</v>
      </c>
      <c r="F25">
        <v>4016700</v>
      </c>
      <c r="G25">
        <v>79.19</v>
      </c>
    </row>
    <row r="26" spans="1:7" x14ac:dyDescent="0.25">
      <c r="A26" s="34">
        <v>41855</v>
      </c>
      <c r="B26">
        <v>79.8</v>
      </c>
      <c r="C26">
        <v>80.22</v>
      </c>
      <c r="D26">
        <v>79.400000000000006</v>
      </c>
      <c r="E26">
        <v>80.22</v>
      </c>
      <c r="F26">
        <v>5056900</v>
      </c>
      <c r="G26">
        <v>79.91</v>
      </c>
    </row>
    <row r="27" spans="1:7" x14ac:dyDescent="0.25">
      <c r="A27" s="34">
        <v>41856</v>
      </c>
      <c r="B27">
        <v>79.709999999999994</v>
      </c>
      <c r="C27">
        <v>79.92</v>
      </c>
      <c r="D27">
        <v>78.650000000000006</v>
      </c>
      <c r="E27">
        <v>78.790000000000006</v>
      </c>
      <c r="F27">
        <v>3695200</v>
      </c>
      <c r="G27">
        <v>78.489999999999995</v>
      </c>
    </row>
    <row r="28" spans="1:7" x14ac:dyDescent="0.25">
      <c r="A28" s="34">
        <v>41857</v>
      </c>
      <c r="B28">
        <v>78.38</v>
      </c>
      <c r="C28">
        <v>79.08</v>
      </c>
      <c r="D28">
        <v>78.25</v>
      </c>
      <c r="E28">
        <v>78.760000000000005</v>
      </c>
      <c r="F28">
        <v>2820900</v>
      </c>
      <c r="G28">
        <v>78.459999999999994</v>
      </c>
    </row>
    <row r="29" spans="1:7" x14ac:dyDescent="0.25">
      <c r="A29" s="34">
        <v>41858</v>
      </c>
      <c r="B29">
        <v>78.849999999999994</v>
      </c>
      <c r="C29">
        <v>78.92</v>
      </c>
      <c r="D29">
        <v>77.88</v>
      </c>
      <c r="E29">
        <v>78.040000000000006</v>
      </c>
      <c r="F29">
        <v>2346400</v>
      </c>
      <c r="G29">
        <v>78.040000000000006</v>
      </c>
    </row>
    <row r="30" spans="1:7" x14ac:dyDescent="0.25">
      <c r="A30" s="34">
        <v>41859</v>
      </c>
      <c r="B30">
        <v>78.12</v>
      </c>
      <c r="C30">
        <v>78.900000000000006</v>
      </c>
      <c r="D30">
        <v>77.7</v>
      </c>
      <c r="E30">
        <v>78.88</v>
      </c>
      <c r="F30">
        <v>2279600</v>
      </c>
      <c r="G30">
        <v>78.88</v>
      </c>
    </row>
    <row r="31" spans="1:7" x14ac:dyDescent="0.25">
      <c r="A31" s="34">
        <v>41862</v>
      </c>
      <c r="B31">
        <v>79.03</v>
      </c>
      <c r="C31">
        <v>79.34</v>
      </c>
      <c r="D31">
        <v>78.59</v>
      </c>
      <c r="E31">
        <v>78.709999999999994</v>
      </c>
      <c r="F31">
        <v>1745100</v>
      </c>
      <c r="G31">
        <v>78.709999999999994</v>
      </c>
    </row>
    <row r="32" spans="1:7" x14ac:dyDescent="0.25">
      <c r="A32" s="34">
        <v>41863</v>
      </c>
      <c r="B32">
        <v>78.39</v>
      </c>
      <c r="C32">
        <v>79.42</v>
      </c>
      <c r="D32">
        <v>78.39</v>
      </c>
      <c r="E32">
        <v>79.34</v>
      </c>
      <c r="F32">
        <v>2927200</v>
      </c>
      <c r="G32">
        <v>79.34</v>
      </c>
    </row>
    <row r="33" spans="1:7" x14ac:dyDescent="0.25">
      <c r="A33" s="34">
        <v>41864</v>
      </c>
      <c r="B33">
        <v>79.64</v>
      </c>
      <c r="C33">
        <v>79.959999999999994</v>
      </c>
      <c r="D33">
        <v>79.39</v>
      </c>
      <c r="E33">
        <v>79.88</v>
      </c>
      <c r="F33">
        <v>2594000</v>
      </c>
      <c r="G33">
        <v>79.88</v>
      </c>
    </row>
    <row r="34" spans="1:7" x14ac:dyDescent="0.25">
      <c r="A34" s="34">
        <v>41865</v>
      </c>
      <c r="B34">
        <v>79.91</v>
      </c>
      <c r="C34">
        <v>80.150000000000006</v>
      </c>
      <c r="D34">
        <v>79.63</v>
      </c>
      <c r="E34">
        <v>79.790000000000006</v>
      </c>
      <c r="F34">
        <v>1611100</v>
      </c>
      <c r="G34">
        <v>79.790000000000006</v>
      </c>
    </row>
    <row r="35" spans="1:7" x14ac:dyDescent="0.25">
      <c r="A35" s="34">
        <v>41866</v>
      </c>
      <c r="B35">
        <v>80.17</v>
      </c>
      <c r="C35">
        <v>80.239999999999995</v>
      </c>
      <c r="D35">
        <v>78.739999999999995</v>
      </c>
      <c r="E35">
        <v>79.3</v>
      </c>
      <c r="F35">
        <v>2364900</v>
      </c>
      <c r="G35">
        <v>79.3</v>
      </c>
    </row>
    <row r="36" spans="1:7" x14ac:dyDescent="0.25">
      <c r="A36" s="34">
        <v>41869</v>
      </c>
      <c r="B36">
        <v>79.87</v>
      </c>
      <c r="C36">
        <v>80.42</v>
      </c>
      <c r="D36">
        <v>79.77</v>
      </c>
      <c r="E36">
        <v>80.42</v>
      </c>
      <c r="F36">
        <v>3003500</v>
      </c>
      <c r="G36">
        <v>80.42</v>
      </c>
    </row>
    <row r="37" spans="1:7" x14ac:dyDescent="0.25">
      <c r="A37" s="34">
        <v>41870</v>
      </c>
      <c r="B37">
        <v>80.63</v>
      </c>
      <c r="C37">
        <v>80.680000000000007</v>
      </c>
      <c r="D37">
        <v>80.42</v>
      </c>
      <c r="E37">
        <v>80.48</v>
      </c>
      <c r="F37">
        <v>1687500</v>
      </c>
      <c r="G37">
        <v>80.48</v>
      </c>
    </row>
    <row r="38" spans="1:7" x14ac:dyDescent="0.25">
      <c r="A38" s="34">
        <v>41871</v>
      </c>
      <c r="B38">
        <v>80.45</v>
      </c>
      <c r="C38">
        <v>81.02</v>
      </c>
      <c r="D38">
        <v>80.260000000000005</v>
      </c>
      <c r="E38">
        <v>80.92</v>
      </c>
      <c r="F38">
        <v>2159600</v>
      </c>
      <c r="G38">
        <v>80.92</v>
      </c>
    </row>
    <row r="39" spans="1:7" x14ac:dyDescent="0.25">
      <c r="A39" s="34">
        <v>41872</v>
      </c>
      <c r="B39">
        <v>81.209999999999994</v>
      </c>
      <c r="C39">
        <v>81.819999999999993</v>
      </c>
      <c r="D39">
        <v>80.97</v>
      </c>
      <c r="E39">
        <v>81.69</v>
      </c>
      <c r="F39">
        <v>2863900</v>
      </c>
      <c r="G39">
        <v>81.69</v>
      </c>
    </row>
    <row r="40" spans="1:7" x14ac:dyDescent="0.25">
      <c r="A40" s="34">
        <v>41873</v>
      </c>
      <c r="B40">
        <v>81.650000000000006</v>
      </c>
      <c r="C40">
        <v>82</v>
      </c>
      <c r="D40">
        <v>81.2</v>
      </c>
      <c r="E40">
        <v>81.3</v>
      </c>
      <c r="F40">
        <v>1458800</v>
      </c>
      <c r="G40">
        <v>81.3</v>
      </c>
    </row>
    <row r="41" spans="1:7" x14ac:dyDescent="0.25">
      <c r="A41" s="34">
        <v>41876</v>
      </c>
      <c r="B41">
        <v>81.87</v>
      </c>
      <c r="C41">
        <v>82.66</v>
      </c>
      <c r="D41">
        <v>81.819999999999993</v>
      </c>
      <c r="E41">
        <v>82.06</v>
      </c>
      <c r="F41">
        <v>2188200</v>
      </c>
      <c r="G41">
        <v>82.06</v>
      </c>
    </row>
    <row r="42" spans="1:7" x14ac:dyDescent="0.25">
      <c r="A42" s="34">
        <v>41877</v>
      </c>
      <c r="B42">
        <v>82.13</v>
      </c>
      <c r="C42">
        <v>82.25</v>
      </c>
      <c r="D42">
        <v>81.739999999999995</v>
      </c>
      <c r="E42">
        <v>81.8</v>
      </c>
      <c r="F42">
        <v>1458000</v>
      </c>
      <c r="G42">
        <v>81.8</v>
      </c>
    </row>
    <row r="43" spans="1:7" x14ac:dyDescent="0.25">
      <c r="A43" s="34">
        <v>41878</v>
      </c>
      <c r="B43">
        <v>81.99</v>
      </c>
      <c r="C43">
        <v>82.02</v>
      </c>
      <c r="D43">
        <v>81.69</v>
      </c>
      <c r="E43">
        <v>81.96</v>
      </c>
      <c r="F43">
        <v>1556800</v>
      </c>
      <c r="G43">
        <v>81.96</v>
      </c>
    </row>
    <row r="44" spans="1:7" x14ac:dyDescent="0.25">
      <c r="A44" s="34">
        <v>41879</v>
      </c>
      <c r="B44">
        <v>81.5</v>
      </c>
      <c r="C44">
        <v>81.790000000000006</v>
      </c>
      <c r="D44">
        <v>81.209999999999994</v>
      </c>
      <c r="E44">
        <v>81.59</v>
      </c>
      <c r="F44">
        <v>1200600</v>
      </c>
      <c r="G44">
        <v>81.59</v>
      </c>
    </row>
    <row r="45" spans="1:7" x14ac:dyDescent="0.25">
      <c r="A45" s="34">
        <v>41880</v>
      </c>
      <c r="B45">
        <v>82.05</v>
      </c>
      <c r="C45">
        <v>82.42</v>
      </c>
      <c r="D45">
        <v>81.790000000000006</v>
      </c>
      <c r="E45">
        <v>82.06</v>
      </c>
      <c r="F45">
        <v>1897900</v>
      </c>
      <c r="G45">
        <v>82.06</v>
      </c>
    </row>
    <row r="46" spans="1:7" x14ac:dyDescent="0.25">
      <c r="A46" s="34">
        <v>41884</v>
      </c>
      <c r="B46">
        <v>82.34</v>
      </c>
      <c r="C46">
        <v>82.69</v>
      </c>
      <c r="D46">
        <v>81.87</v>
      </c>
      <c r="E46">
        <v>82.58</v>
      </c>
      <c r="F46">
        <v>2808900</v>
      </c>
      <c r="G46">
        <v>82.58</v>
      </c>
    </row>
    <row r="47" spans="1:7" x14ac:dyDescent="0.25">
      <c r="A47" s="34">
        <v>41885</v>
      </c>
      <c r="B47">
        <v>82.81</v>
      </c>
      <c r="C47">
        <v>82.93</v>
      </c>
      <c r="D47">
        <v>82.44</v>
      </c>
      <c r="E47">
        <v>82.53</v>
      </c>
      <c r="F47">
        <v>2207400</v>
      </c>
      <c r="G47">
        <v>82.53</v>
      </c>
    </row>
    <row r="48" spans="1:7" x14ac:dyDescent="0.25">
      <c r="A48" s="34">
        <v>41886</v>
      </c>
      <c r="B48">
        <v>82.68</v>
      </c>
      <c r="C48">
        <v>83.1</v>
      </c>
      <c r="D48">
        <v>82.18</v>
      </c>
      <c r="E48">
        <v>82.5</v>
      </c>
      <c r="F48">
        <v>1892600</v>
      </c>
      <c r="G48">
        <v>82.5</v>
      </c>
    </row>
    <row r="49" spans="1:7" x14ac:dyDescent="0.25">
      <c r="A49" s="34">
        <v>41887</v>
      </c>
      <c r="B49">
        <v>82.5</v>
      </c>
      <c r="C49">
        <v>82.85</v>
      </c>
      <c r="D49">
        <v>82.14</v>
      </c>
      <c r="E49">
        <v>82.69</v>
      </c>
      <c r="F49">
        <v>1620600</v>
      </c>
      <c r="G49">
        <v>82.69</v>
      </c>
    </row>
    <row r="50" spans="1:7" x14ac:dyDescent="0.25">
      <c r="A50" s="34">
        <v>41890</v>
      </c>
      <c r="B50">
        <v>82.42</v>
      </c>
      <c r="C50">
        <v>82.78</v>
      </c>
      <c r="D50">
        <v>81.849999999999994</v>
      </c>
      <c r="E50">
        <v>82.08</v>
      </c>
      <c r="F50">
        <v>1906600</v>
      </c>
      <c r="G50">
        <v>82.08</v>
      </c>
    </row>
    <row r="51" spans="1:7" x14ac:dyDescent="0.25">
      <c r="A51" s="34">
        <v>41891</v>
      </c>
      <c r="B51">
        <v>81.99</v>
      </c>
      <c r="C51">
        <v>82.06</v>
      </c>
      <c r="D51">
        <v>81.48</v>
      </c>
      <c r="E51">
        <v>81.52</v>
      </c>
      <c r="F51">
        <v>1945700</v>
      </c>
      <c r="G51">
        <v>81.52</v>
      </c>
    </row>
    <row r="52" spans="1:7" x14ac:dyDescent="0.25">
      <c r="A52" s="34">
        <v>41892</v>
      </c>
      <c r="B52">
        <v>81.61</v>
      </c>
      <c r="C52">
        <v>82.23</v>
      </c>
      <c r="D52">
        <v>81.2</v>
      </c>
      <c r="E52">
        <v>81.23</v>
      </c>
      <c r="F52">
        <v>3078700</v>
      </c>
      <c r="G52">
        <v>81.23</v>
      </c>
    </row>
    <row r="53" spans="1:7" x14ac:dyDescent="0.25">
      <c r="A53" s="34">
        <v>41893</v>
      </c>
      <c r="B53">
        <v>81.040000000000006</v>
      </c>
      <c r="C53">
        <v>81.34</v>
      </c>
      <c r="D53">
        <v>80.930000000000007</v>
      </c>
      <c r="E53">
        <v>81.23</v>
      </c>
      <c r="F53">
        <v>2129800</v>
      </c>
      <c r="G53">
        <v>81.23</v>
      </c>
    </row>
    <row r="54" spans="1:7" x14ac:dyDescent="0.25">
      <c r="A54" s="34">
        <v>41894</v>
      </c>
      <c r="B54">
        <v>81.12</v>
      </c>
      <c r="C54">
        <v>81.22</v>
      </c>
      <c r="D54">
        <v>80.66</v>
      </c>
      <c r="E54">
        <v>80.94</v>
      </c>
      <c r="F54">
        <v>2949600</v>
      </c>
      <c r="G54">
        <v>80.94</v>
      </c>
    </row>
    <row r="55" spans="1:7" x14ac:dyDescent="0.25">
      <c r="A55" s="34">
        <v>41897</v>
      </c>
      <c r="B55">
        <v>81.12</v>
      </c>
      <c r="C55">
        <v>81.78</v>
      </c>
      <c r="D55">
        <v>80.92</v>
      </c>
      <c r="E55">
        <v>81.5</v>
      </c>
      <c r="F55">
        <v>3621100</v>
      </c>
      <c r="G55">
        <v>81.5</v>
      </c>
    </row>
  </sheetData>
  <sortState ref="A3:G55">
    <sortCondition ref="A3:A55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86.25</v>
      </c>
      <c r="C3">
        <v>86.39</v>
      </c>
      <c r="D3">
        <v>85.64</v>
      </c>
      <c r="E3">
        <v>86.11</v>
      </c>
      <c r="F3">
        <v>3537900</v>
      </c>
      <c r="G3">
        <v>85.38</v>
      </c>
    </row>
    <row r="4" spans="1:7" x14ac:dyDescent="0.25">
      <c r="A4" s="34">
        <v>41822</v>
      </c>
      <c r="B4">
        <v>85.81</v>
      </c>
      <c r="C4">
        <v>85.98</v>
      </c>
      <c r="D4">
        <v>85.31</v>
      </c>
      <c r="E4">
        <v>85.86</v>
      </c>
      <c r="F4">
        <v>3513600</v>
      </c>
      <c r="G4">
        <v>85.14</v>
      </c>
    </row>
    <row r="5" spans="1:7" x14ac:dyDescent="0.25">
      <c r="A5" s="34">
        <v>41823</v>
      </c>
      <c r="B5">
        <v>85.73</v>
      </c>
      <c r="C5">
        <v>86.4</v>
      </c>
      <c r="D5">
        <v>85.54</v>
      </c>
      <c r="E5">
        <v>86.4</v>
      </c>
      <c r="F5">
        <v>2669800</v>
      </c>
      <c r="G5">
        <v>85.67</v>
      </c>
    </row>
    <row r="6" spans="1:7" x14ac:dyDescent="0.25">
      <c r="A6" s="34">
        <v>41827</v>
      </c>
      <c r="B6">
        <v>85.84</v>
      </c>
      <c r="C6">
        <v>86.21</v>
      </c>
      <c r="D6">
        <v>85.18</v>
      </c>
      <c r="E6">
        <v>86.1</v>
      </c>
      <c r="F6">
        <v>3925600</v>
      </c>
      <c r="G6">
        <v>85.37</v>
      </c>
    </row>
    <row r="7" spans="1:7" x14ac:dyDescent="0.25">
      <c r="A7" s="34">
        <v>41828</v>
      </c>
      <c r="B7">
        <v>85.98</v>
      </c>
      <c r="C7">
        <v>86.65</v>
      </c>
      <c r="D7">
        <v>85.73</v>
      </c>
      <c r="E7">
        <v>86.04</v>
      </c>
      <c r="F7">
        <v>4988900</v>
      </c>
      <c r="G7">
        <v>85.32</v>
      </c>
    </row>
    <row r="8" spans="1:7" x14ac:dyDescent="0.25">
      <c r="A8" s="34">
        <v>41829</v>
      </c>
      <c r="B8">
        <v>86.07</v>
      </c>
      <c r="C8">
        <v>86.29</v>
      </c>
      <c r="D8">
        <v>85.71</v>
      </c>
      <c r="E8">
        <v>85.8</v>
      </c>
      <c r="F8">
        <v>5722700</v>
      </c>
      <c r="G8">
        <v>85.08</v>
      </c>
    </row>
    <row r="9" spans="1:7" x14ac:dyDescent="0.25">
      <c r="A9" s="34">
        <v>41830</v>
      </c>
      <c r="B9">
        <v>84.91</v>
      </c>
      <c r="C9">
        <v>85.93</v>
      </c>
      <c r="D9">
        <v>82.78</v>
      </c>
      <c r="E9">
        <v>85.67</v>
      </c>
      <c r="F9">
        <v>8248600</v>
      </c>
      <c r="G9">
        <v>84.95</v>
      </c>
    </row>
    <row r="10" spans="1:7" x14ac:dyDescent="0.25">
      <c r="A10" s="34">
        <v>41831</v>
      </c>
      <c r="B10">
        <v>85.52</v>
      </c>
      <c r="C10">
        <v>85.61</v>
      </c>
      <c r="D10">
        <v>84.44</v>
      </c>
      <c r="E10">
        <v>84.73</v>
      </c>
      <c r="F10">
        <v>4875800</v>
      </c>
      <c r="G10">
        <v>84.02</v>
      </c>
    </row>
    <row r="11" spans="1:7" x14ac:dyDescent="0.25">
      <c r="A11" s="34">
        <v>41834</v>
      </c>
      <c r="B11">
        <v>85.13</v>
      </c>
      <c r="C11">
        <v>85.9</v>
      </c>
      <c r="D11">
        <v>84.92</v>
      </c>
      <c r="E11">
        <v>85.84</v>
      </c>
      <c r="F11">
        <v>4671900</v>
      </c>
      <c r="G11">
        <v>85.12</v>
      </c>
    </row>
    <row r="12" spans="1:7" x14ac:dyDescent="0.25">
      <c r="A12" s="34">
        <v>41835</v>
      </c>
      <c r="B12">
        <v>85.63</v>
      </c>
      <c r="C12">
        <v>85.8</v>
      </c>
      <c r="D12">
        <v>84.32</v>
      </c>
      <c r="E12">
        <v>84.71</v>
      </c>
      <c r="F12">
        <v>6041900</v>
      </c>
      <c r="G12">
        <v>84</v>
      </c>
    </row>
    <row r="13" spans="1:7" x14ac:dyDescent="0.25">
      <c r="A13" s="34">
        <v>41836</v>
      </c>
      <c r="B13">
        <v>85.22</v>
      </c>
      <c r="C13">
        <v>86.76</v>
      </c>
      <c r="D13">
        <v>85.17</v>
      </c>
      <c r="E13">
        <v>86.69</v>
      </c>
      <c r="F13">
        <v>6313600</v>
      </c>
      <c r="G13">
        <v>85.96</v>
      </c>
    </row>
    <row r="14" spans="1:7" x14ac:dyDescent="0.25">
      <c r="A14" s="34">
        <v>41837</v>
      </c>
      <c r="B14">
        <v>86.02</v>
      </c>
      <c r="C14">
        <v>86.4</v>
      </c>
      <c r="D14">
        <v>84.58</v>
      </c>
      <c r="E14">
        <v>84.68</v>
      </c>
      <c r="F14">
        <v>5087400</v>
      </c>
      <c r="G14">
        <v>84.68</v>
      </c>
    </row>
    <row r="15" spans="1:7" x14ac:dyDescent="0.25">
      <c r="A15" s="34">
        <v>41838</v>
      </c>
      <c r="B15">
        <v>84.9</v>
      </c>
      <c r="C15">
        <v>85.21</v>
      </c>
      <c r="D15">
        <v>84.52</v>
      </c>
      <c r="E15">
        <v>84.76</v>
      </c>
      <c r="F15">
        <v>4689200</v>
      </c>
      <c r="G15">
        <v>84.76</v>
      </c>
    </row>
    <row r="16" spans="1:7" x14ac:dyDescent="0.25">
      <c r="A16" s="34">
        <v>41841</v>
      </c>
      <c r="B16">
        <v>84.88</v>
      </c>
      <c r="C16">
        <v>85.17</v>
      </c>
      <c r="D16">
        <v>84.33</v>
      </c>
      <c r="E16">
        <v>84.53</v>
      </c>
      <c r="F16">
        <v>4718900</v>
      </c>
      <c r="G16">
        <v>84.53</v>
      </c>
    </row>
    <row r="17" spans="1:7" x14ac:dyDescent="0.25">
      <c r="A17" s="34">
        <v>41842</v>
      </c>
      <c r="B17">
        <v>84.93</v>
      </c>
      <c r="C17">
        <v>86.11</v>
      </c>
      <c r="D17">
        <v>84.86</v>
      </c>
      <c r="E17">
        <v>86.02</v>
      </c>
      <c r="F17">
        <v>4426100</v>
      </c>
      <c r="G17">
        <v>86.02</v>
      </c>
    </row>
    <row r="18" spans="1:7" x14ac:dyDescent="0.25">
      <c r="A18" s="34">
        <v>41843</v>
      </c>
      <c r="B18">
        <v>86.12</v>
      </c>
      <c r="C18">
        <v>86.87</v>
      </c>
      <c r="D18">
        <v>85.69</v>
      </c>
      <c r="E18">
        <v>86.76</v>
      </c>
      <c r="F18">
        <v>4104700</v>
      </c>
      <c r="G18">
        <v>86.76</v>
      </c>
    </row>
    <row r="19" spans="1:7" x14ac:dyDescent="0.25">
      <c r="A19" s="34">
        <v>41844</v>
      </c>
      <c r="B19">
        <v>86.68</v>
      </c>
      <c r="C19">
        <v>87.09</v>
      </c>
      <c r="D19">
        <v>86.24</v>
      </c>
      <c r="E19">
        <v>86.25</v>
      </c>
      <c r="F19">
        <v>5033400</v>
      </c>
      <c r="G19">
        <v>86.25</v>
      </c>
    </row>
    <row r="20" spans="1:7" x14ac:dyDescent="0.25">
      <c r="A20" s="34">
        <v>41845</v>
      </c>
      <c r="B20">
        <v>86.16</v>
      </c>
      <c r="C20">
        <v>86.64</v>
      </c>
      <c r="D20">
        <v>85.78</v>
      </c>
      <c r="E20">
        <v>85.92</v>
      </c>
      <c r="F20">
        <v>3047300</v>
      </c>
      <c r="G20">
        <v>85.92</v>
      </c>
    </row>
    <row r="21" spans="1:7" x14ac:dyDescent="0.25">
      <c r="A21" s="34">
        <v>41848</v>
      </c>
      <c r="B21">
        <v>86</v>
      </c>
      <c r="C21">
        <v>86.11</v>
      </c>
      <c r="D21">
        <v>85.08</v>
      </c>
      <c r="E21">
        <v>85.19</v>
      </c>
      <c r="F21">
        <v>4804400</v>
      </c>
      <c r="G21">
        <v>85.19</v>
      </c>
    </row>
    <row r="22" spans="1:7" x14ac:dyDescent="0.25">
      <c r="A22" s="34">
        <v>41849</v>
      </c>
      <c r="B22">
        <v>85.01</v>
      </c>
      <c r="C22">
        <v>85.44</v>
      </c>
      <c r="D22">
        <v>84.7</v>
      </c>
      <c r="E22">
        <v>84.71</v>
      </c>
      <c r="F22">
        <v>4054300</v>
      </c>
      <c r="G22">
        <v>84.71</v>
      </c>
    </row>
    <row r="23" spans="1:7" x14ac:dyDescent="0.25">
      <c r="A23" s="34">
        <v>41850</v>
      </c>
      <c r="B23">
        <v>85.25</v>
      </c>
      <c r="C23">
        <v>85.89</v>
      </c>
      <c r="D23">
        <v>84.11</v>
      </c>
      <c r="E23">
        <v>84.63</v>
      </c>
      <c r="F23">
        <v>5531800</v>
      </c>
      <c r="G23">
        <v>84.63</v>
      </c>
    </row>
    <row r="24" spans="1:7" x14ac:dyDescent="0.25">
      <c r="A24" s="34">
        <v>41851</v>
      </c>
      <c r="B24">
        <v>84.22</v>
      </c>
      <c r="C24">
        <v>84.56</v>
      </c>
      <c r="D24">
        <v>82.37</v>
      </c>
      <c r="E24">
        <v>82.5</v>
      </c>
      <c r="F24">
        <v>7106000</v>
      </c>
      <c r="G24">
        <v>82.5</v>
      </c>
    </row>
    <row r="25" spans="1:7" x14ac:dyDescent="0.25">
      <c r="A25" s="34">
        <v>41852</v>
      </c>
      <c r="B25">
        <v>81.91</v>
      </c>
      <c r="C25">
        <v>81.93</v>
      </c>
      <c r="D25">
        <v>79.83</v>
      </c>
      <c r="E25">
        <v>80.7</v>
      </c>
      <c r="F25">
        <v>9530200</v>
      </c>
      <c r="G25">
        <v>80.7</v>
      </c>
    </row>
    <row r="26" spans="1:7" x14ac:dyDescent="0.25">
      <c r="A26" s="34">
        <v>41855</v>
      </c>
      <c r="B26">
        <v>80.760000000000005</v>
      </c>
      <c r="C26">
        <v>82.16</v>
      </c>
      <c r="D26">
        <v>80.3</v>
      </c>
      <c r="E26">
        <v>81.98</v>
      </c>
      <c r="F26">
        <v>5609600</v>
      </c>
      <c r="G26">
        <v>81.98</v>
      </c>
    </row>
    <row r="27" spans="1:7" x14ac:dyDescent="0.25">
      <c r="A27" s="34">
        <v>41856</v>
      </c>
      <c r="B27">
        <v>81.44</v>
      </c>
      <c r="C27">
        <v>81.59</v>
      </c>
      <c r="D27">
        <v>79.38</v>
      </c>
      <c r="E27">
        <v>79.739999999999995</v>
      </c>
      <c r="F27">
        <v>6406400</v>
      </c>
      <c r="G27">
        <v>79.739999999999995</v>
      </c>
    </row>
    <row r="28" spans="1:7" x14ac:dyDescent="0.25">
      <c r="A28" s="34">
        <v>41857</v>
      </c>
      <c r="B28">
        <v>79.650000000000006</v>
      </c>
      <c r="C28">
        <v>81.5</v>
      </c>
      <c r="D28">
        <v>79.5</v>
      </c>
      <c r="E28">
        <v>80.61</v>
      </c>
      <c r="F28">
        <v>5412400</v>
      </c>
      <c r="G28">
        <v>80.61</v>
      </c>
    </row>
    <row r="29" spans="1:7" x14ac:dyDescent="0.25">
      <c r="A29" s="34">
        <v>41858</v>
      </c>
      <c r="B29">
        <v>80.83</v>
      </c>
      <c r="C29">
        <v>80.98</v>
      </c>
      <c r="D29">
        <v>79.17</v>
      </c>
      <c r="E29">
        <v>79.59</v>
      </c>
      <c r="F29">
        <v>4055500</v>
      </c>
      <c r="G29">
        <v>79.59</v>
      </c>
    </row>
    <row r="30" spans="1:7" x14ac:dyDescent="0.25">
      <c r="A30" s="34">
        <v>41859</v>
      </c>
      <c r="B30">
        <v>79.69</v>
      </c>
      <c r="C30">
        <v>81.430000000000007</v>
      </c>
      <c r="D30">
        <v>79.69</v>
      </c>
      <c r="E30">
        <v>81.33</v>
      </c>
      <c r="F30">
        <v>4104900</v>
      </c>
      <c r="G30">
        <v>81.33</v>
      </c>
    </row>
    <row r="31" spans="1:7" x14ac:dyDescent="0.25">
      <c r="A31" s="34">
        <v>41862</v>
      </c>
      <c r="B31">
        <v>81.73</v>
      </c>
      <c r="C31">
        <v>81.88</v>
      </c>
      <c r="D31">
        <v>80.760000000000005</v>
      </c>
      <c r="E31">
        <v>80.8</v>
      </c>
      <c r="F31">
        <v>3583300</v>
      </c>
      <c r="G31">
        <v>80.8</v>
      </c>
    </row>
    <row r="32" spans="1:7" x14ac:dyDescent="0.25">
      <c r="A32" s="34">
        <v>41863</v>
      </c>
      <c r="B32">
        <v>80.52</v>
      </c>
      <c r="C32">
        <v>80.760000000000005</v>
      </c>
      <c r="D32">
        <v>80.09</v>
      </c>
      <c r="E32">
        <v>80.42</v>
      </c>
      <c r="F32">
        <v>4046400</v>
      </c>
      <c r="G32">
        <v>80.42</v>
      </c>
    </row>
    <row r="33" spans="1:7" x14ac:dyDescent="0.25">
      <c r="A33" s="34">
        <v>41864</v>
      </c>
      <c r="B33">
        <v>81.19</v>
      </c>
      <c r="C33">
        <v>81.42</v>
      </c>
      <c r="D33">
        <v>80.72</v>
      </c>
      <c r="E33">
        <v>80.89</v>
      </c>
      <c r="F33">
        <v>3837600</v>
      </c>
      <c r="G33">
        <v>80.89</v>
      </c>
    </row>
    <row r="34" spans="1:7" x14ac:dyDescent="0.25">
      <c r="A34" s="34">
        <v>41865</v>
      </c>
      <c r="B34">
        <v>81.12</v>
      </c>
      <c r="C34">
        <v>81.209999999999994</v>
      </c>
      <c r="D34">
        <v>79.95</v>
      </c>
      <c r="E34">
        <v>80.17</v>
      </c>
      <c r="F34">
        <v>4556400</v>
      </c>
      <c r="G34">
        <v>80.17</v>
      </c>
    </row>
    <row r="35" spans="1:7" x14ac:dyDescent="0.25">
      <c r="A35" s="34">
        <v>41866</v>
      </c>
      <c r="B35">
        <v>80.260000000000005</v>
      </c>
      <c r="C35">
        <v>80.89</v>
      </c>
      <c r="D35">
        <v>79.81</v>
      </c>
      <c r="E35">
        <v>80.62</v>
      </c>
      <c r="F35">
        <v>5433200</v>
      </c>
      <c r="G35">
        <v>80.62</v>
      </c>
    </row>
    <row r="36" spans="1:7" x14ac:dyDescent="0.25">
      <c r="A36" s="34">
        <v>41869</v>
      </c>
      <c r="B36">
        <v>80.95</v>
      </c>
      <c r="C36">
        <v>80.95</v>
      </c>
      <c r="D36">
        <v>78.91</v>
      </c>
      <c r="E36">
        <v>79.34</v>
      </c>
      <c r="F36">
        <v>8478100</v>
      </c>
      <c r="G36">
        <v>79.34</v>
      </c>
    </row>
    <row r="37" spans="1:7" x14ac:dyDescent="0.25">
      <c r="A37" s="34">
        <v>41870</v>
      </c>
      <c r="B37">
        <v>79.650000000000006</v>
      </c>
      <c r="C37">
        <v>80.180000000000007</v>
      </c>
      <c r="D37">
        <v>79.400000000000006</v>
      </c>
      <c r="E37">
        <v>79.91</v>
      </c>
      <c r="F37">
        <v>5417300</v>
      </c>
      <c r="G37">
        <v>79.91</v>
      </c>
    </row>
    <row r="38" spans="1:7" x14ac:dyDescent="0.25">
      <c r="A38" s="34">
        <v>41871</v>
      </c>
      <c r="B38">
        <v>80.19</v>
      </c>
      <c r="C38">
        <v>80.599999999999994</v>
      </c>
      <c r="D38">
        <v>79.77</v>
      </c>
      <c r="E38">
        <v>80.5</v>
      </c>
      <c r="F38">
        <v>4301800</v>
      </c>
      <c r="G38">
        <v>80.5</v>
      </c>
    </row>
    <row r="39" spans="1:7" x14ac:dyDescent="0.25">
      <c r="A39" s="34">
        <v>41872</v>
      </c>
      <c r="B39">
        <v>80.569999999999993</v>
      </c>
      <c r="C39">
        <v>81.069999999999993</v>
      </c>
      <c r="D39">
        <v>80.400000000000006</v>
      </c>
      <c r="E39">
        <v>80.98</v>
      </c>
      <c r="F39">
        <v>3122100</v>
      </c>
      <c r="G39">
        <v>80.98</v>
      </c>
    </row>
    <row r="40" spans="1:7" x14ac:dyDescent="0.25">
      <c r="A40" s="34">
        <v>41873</v>
      </c>
      <c r="B40">
        <v>80.680000000000007</v>
      </c>
      <c r="C40">
        <v>80.91</v>
      </c>
      <c r="D40">
        <v>79.87</v>
      </c>
      <c r="E40">
        <v>80.239999999999995</v>
      </c>
      <c r="F40">
        <v>3645600</v>
      </c>
      <c r="G40">
        <v>80.239999999999995</v>
      </c>
    </row>
    <row r="41" spans="1:7" x14ac:dyDescent="0.25">
      <c r="A41" s="34">
        <v>41876</v>
      </c>
      <c r="B41">
        <v>80.33</v>
      </c>
      <c r="C41">
        <v>80.989999999999995</v>
      </c>
      <c r="D41">
        <v>80.31</v>
      </c>
      <c r="E41">
        <v>80.8</v>
      </c>
      <c r="F41">
        <v>3531700</v>
      </c>
      <c r="G41">
        <v>80.8</v>
      </c>
    </row>
    <row r="42" spans="1:7" x14ac:dyDescent="0.25">
      <c r="A42" s="34">
        <v>41877</v>
      </c>
      <c r="B42">
        <v>80.73</v>
      </c>
      <c r="C42">
        <v>81</v>
      </c>
      <c r="D42">
        <v>80.53</v>
      </c>
      <c r="E42">
        <v>80.540000000000006</v>
      </c>
      <c r="F42">
        <v>3335600</v>
      </c>
      <c r="G42">
        <v>80.540000000000006</v>
      </c>
    </row>
    <row r="43" spans="1:7" x14ac:dyDescent="0.25">
      <c r="A43" s="34">
        <v>41878</v>
      </c>
      <c r="B43">
        <v>80.88</v>
      </c>
      <c r="C43">
        <v>81.47</v>
      </c>
      <c r="D43">
        <v>80.61</v>
      </c>
      <c r="E43">
        <v>81.03</v>
      </c>
      <c r="F43">
        <v>3146400</v>
      </c>
      <c r="G43">
        <v>81.03</v>
      </c>
    </row>
    <row r="44" spans="1:7" x14ac:dyDescent="0.25">
      <c r="A44" s="34">
        <v>41879</v>
      </c>
      <c r="B44">
        <v>80.89</v>
      </c>
      <c r="C44">
        <v>81</v>
      </c>
      <c r="D44">
        <v>80.540000000000006</v>
      </c>
      <c r="E44">
        <v>80.66</v>
      </c>
      <c r="F44">
        <v>2987000</v>
      </c>
      <c r="G44">
        <v>80.66</v>
      </c>
    </row>
    <row r="45" spans="1:7" x14ac:dyDescent="0.25">
      <c r="A45" s="34">
        <v>41880</v>
      </c>
      <c r="B45">
        <v>80.87</v>
      </c>
      <c r="C45">
        <v>81.23</v>
      </c>
      <c r="D45">
        <v>80.66</v>
      </c>
      <c r="E45">
        <v>81.22</v>
      </c>
      <c r="F45">
        <v>3409200</v>
      </c>
      <c r="G45">
        <v>81.22</v>
      </c>
    </row>
    <row r="46" spans="1:7" x14ac:dyDescent="0.25">
      <c r="A46" s="34">
        <v>41884</v>
      </c>
      <c r="B46">
        <v>81.06</v>
      </c>
      <c r="C46">
        <v>81.099999999999994</v>
      </c>
      <c r="D46">
        <v>79.77</v>
      </c>
      <c r="E46">
        <v>80.22</v>
      </c>
      <c r="F46">
        <v>5578000</v>
      </c>
      <c r="G46">
        <v>80.22</v>
      </c>
    </row>
    <row r="47" spans="1:7" x14ac:dyDescent="0.25">
      <c r="A47" s="34">
        <v>41885</v>
      </c>
      <c r="B47">
        <v>80.98</v>
      </c>
      <c r="C47">
        <v>81.37</v>
      </c>
      <c r="D47">
        <v>80.8</v>
      </c>
      <c r="E47">
        <v>80.900000000000006</v>
      </c>
      <c r="F47">
        <v>5902700</v>
      </c>
      <c r="G47">
        <v>80.900000000000006</v>
      </c>
    </row>
    <row r="48" spans="1:7" x14ac:dyDescent="0.25">
      <c r="A48" s="34">
        <v>41886</v>
      </c>
      <c r="B48">
        <v>81.14</v>
      </c>
      <c r="C48">
        <v>81.239999999999995</v>
      </c>
      <c r="D48">
        <v>79.45</v>
      </c>
      <c r="E48">
        <v>79.849999999999994</v>
      </c>
      <c r="F48">
        <v>5772500</v>
      </c>
      <c r="G48">
        <v>79.849999999999994</v>
      </c>
    </row>
    <row r="49" spans="1:7" x14ac:dyDescent="0.25">
      <c r="A49" s="34">
        <v>41887</v>
      </c>
      <c r="B49">
        <v>79.78</v>
      </c>
      <c r="C49">
        <v>80.489999999999995</v>
      </c>
      <c r="D49">
        <v>79.47</v>
      </c>
      <c r="E49">
        <v>80.349999999999994</v>
      </c>
      <c r="F49">
        <v>3596500</v>
      </c>
      <c r="G49">
        <v>80.349999999999994</v>
      </c>
    </row>
    <row r="50" spans="1:7" x14ac:dyDescent="0.25">
      <c r="A50" s="34">
        <v>41890</v>
      </c>
      <c r="B50">
        <v>79.94</v>
      </c>
      <c r="C50">
        <v>80.05</v>
      </c>
      <c r="D50">
        <v>78.66</v>
      </c>
      <c r="E50">
        <v>79.03</v>
      </c>
      <c r="F50">
        <v>6122800</v>
      </c>
      <c r="G50">
        <v>79.03</v>
      </c>
    </row>
    <row r="51" spans="1:7" x14ac:dyDescent="0.25">
      <c r="A51" s="34">
        <v>41891</v>
      </c>
      <c r="B51">
        <v>79.47</v>
      </c>
      <c r="C51">
        <v>79.75</v>
      </c>
      <c r="D51">
        <v>78.44</v>
      </c>
      <c r="E51">
        <v>78.959999999999994</v>
      </c>
      <c r="F51">
        <v>6466800</v>
      </c>
      <c r="G51">
        <v>78.959999999999994</v>
      </c>
    </row>
    <row r="52" spans="1:7" x14ac:dyDescent="0.25">
      <c r="A52" s="34">
        <v>41892</v>
      </c>
      <c r="B52">
        <v>78.760000000000005</v>
      </c>
      <c r="C52">
        <v>79.010000000000005</v>
      </c>
      <c r="D52">
        <v>77.709999999999994</v>
      </c>
      <c r="E52">
        <v>78.989999999999995</v>
      </c>
      <c r="F52">
        <v>6569200</v>
      </c>
      <c r="G52">
        <v>78.989999999999995</v>
      </c>
    </row>
    <row r="53" spans="1:7" x14ac:dyDescent="0.25">
      <c r="A53" s="34">
        <v>41893</v>
      </c>
      <c r="B53">
        <v>78.23</v>
      </c>
      <c r="C53">
        <v>79.45</v>
      </c>
      <c r="D53">
        <v>78.02</v>
      </c>
      <c r="E53">
        <v>79.38</v>
      </c>
      <c r="F53">
        <v>4310300</v>
      </c>
      <c r="G53">
        <v>79.38</v>
      </c>
    </row>
    <row r="54" spans="1:7" x14ac:dyDescent="0.25">
      <c r="A54" s="34">
        <v>41894</v>
      </c>
      <c r="B54">
        <v>79.209999999999994</v>
      </c>
      <c r="C54">
        <v>79.22</v>
      </c>
      <c r="D54">
        <v>78.11</v>
      </c>
      <c r="E54">
        <v>78.45</v>
      </c>
      <c r="F54">
        <v>3950800</v>
      </c>
      <c r="G54">
        <v>78.45</v>
      </c>
    </row>
    <row r="55" spans="1:7" x14ac:dyDescent="0.25">
      <c r="A55" s="34">
        <v>41897</v>
      </c>
      <c r="B55">
        <v>78.239999999999995</v>
      </c>
      <c r="C55">
        <v>79.62</v>
      </c>
      <c r="D55">
        <v>77.959999999999994</v>
      </c>
      <c r="E55">
        <v>79.400000000000006</v>
      </c>
      <c r="F55">
        <v>3919800</v>
      </c>
      <c r="G55">
        <v>79.400000000000006</v>
      </c>
    </row>
  </sheetData>
  <sortState ref="A3:G55">
    <sortCondition ref="A3:A55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115.54</v>
      </c>
      <c r="C3">
        <v>115.7</v>
      </c>
      <c r="D3">
        <v>114.9</v>
      </c>
      <c r="E3">
        <v>115.44</v>
      </c>
      <c r="F3">
        <v>1501700</v>
      </c>
      <c r="G3">
        <v>115.09</v>
      </c>
    </row>
    <row r="4" spans="1:7" x14ac:dyDescent="0.25">
      <c r="A4" s="34">
        <v>41822</v>
      </c>
      <c r="B4">
        <v>115.25</v>
      </c>
      <c r="C4">
        <v>115.91</v>
      </c>
      <c r="D4">
        <v>115.25</v>
      </c>
      <c r="E4">
        <v>115.75</v>
      </c>
      <c r="F4">
        <v>1122200</v>
      </c>
      <c r="G4">
        <v>115.4</v>
      </c>
    </row>
    <row r="5" spans="1:7" x14ac:dyDescent="0.25">
      <c r="A5" s="34">
        <v>41823</v>
      </c>
      <c r="B5">
        <v>115.86</v>
      </c>
      <c r="C5">
        <v>116.59</v>
      </c>
      <c r="D5">
        <v>115.8</v>
      </c>
      <c r="E5">
        <v>116.35</v>
      </c>
      <c r="F5">
        <v>976000</v>
      </c>
      <c r="G5">
        <v>116</v>
      </c>
    </row>
    <row r="6" spans="1:7" x14ac:dyDescent="0.25">
      <c r="A6" s="34">
        <v>41827</v>
      </c>
      <c r="B6">
        <v>116.33</v>
      </c>
      <c r="C6">
        <v>116.49</v>
      </c>
      <c r="D6">
        <v>115.88</v>
      </c>
      <c r="E6">
        <v>116.32</v>
      </c>
      <c r="F6">
        <v>1576900</v>
      </c>
      <c r="G6">
        <v>115.97</v>
      </c>
    </row>
    <row r="7" spans="1:7" x14ac:dyDescent="0.25">
      <c r="A7" s="34">
        <v>41828</v>
      </c>
      <c r="B7">
        <v>116.45</v>
      </c>
      <c r="C7">
        <v>117.65</v>
      </c>
      <c r="D7">
        <v>116.11</v>
      </c>
      <c r="E7">
        <v>117.46</v>
      </c>
      <c r="F7">
        <v>2584200</v>
      </c>
      <c r="G7">
        <v>117.1</v>
      </c>
    </row>
    <row r="8" spans="1:7" x14ac:dyDescent="0.25">
      <c r="A8" s="34">
        <v>41829</v>
      </c>
      <c r="B8">
        <v>117.21</v>
      </c>
      <c r="C8">
        <v>117.99</v>
      </c>
      <c r="D8">
        <v>117.11</v>
      </c>
      <c r="E8">
        <v>117.92</v>
      </c>
      <c r="F8">
        <v>2328100</v>
      </c>
      <c r="G8">
        <v>117.92</v>
      </c>
    </row>
    <row r="9" spans="1:7" x14ac:dyDescent="0.25">
      <c r="A9" s="34">
        <v>41830</v>
      </c>
      <c r="B9">
        <v>117.5</v>
      </c>
      <c r="C9">
        <v>118.64</v>
      </c>
      <c r="D9">
        <v>117.5</v>
      </c>
      <c r="E9">
        <v>118.08</v>
      </c>
      <c r="F9">
        <v>2266400</v>
      </c>
      <c r="G9">
        <v>118.08</v>
      </c>
    </row>
    <row r="10" spans="1:7" x14ac:dyDescent="0.25">
      <c r="A10" s="34">
        <v>41831</v>
      </c>
      <c r="B10">
        <v>118.13</v>
      </c>
      <c r="C10">
        <v>118.25</v>
      </c>
      <c r="D10">
        <v>117.09</v>
      </c>
      <c r="E10">
        <v>118.01</v>
      </c>
      <c r="F10">
        <v>1684700</v>
      </c>
      <c r="G10">
        <v>118.01</v>
      </c>
    </row>
    <row r="11" spans="1:7" x14ac:dyDescent="0.25">
      <c r="A11" s="34">
        <v>41834</v>
      </c>
      <c r="B11">
        <v>118.21</v>
      </c>
      <c r="C11">
        <v>118.49</v>
      </c>
      <c r="D11">
        <v>117.3</v>
      </c>
      <c r="E11">
        <v>117.36</v>
      </c>
      <c r="F11">
        <v>1695500</v>
      </c>
      <c r="G11">
        <v>117.36</v>
      </c>
    </row>
    <row r="12" spans="1:7" x14ac:dyDescent="0.25">
      <c r="A12" s="34">
        <v>41835</v>
      </c>
      <c r="B12">
        <v>118.16</v>
      </c>
      <c r="C12">
        <v>118.25</v>
      </c>
      <c r="D12">
        <v>117.18</v>
      </c>
      <c r="E12">
        <v>117.82</v>
      </c>
      <c r="F12">
        <v>2634200</v>
      </c>
      <c r="G12">
        <v>117.82</v>
      </c>
    </row>
    <row r="13" spans="1:7" x14ac:dyDescent="0.25">
      <c r="A13" s="34">
        <v>41836</v>
      </c>
      <c r="B13">
        <v>118.09</v>
      </c>
      <c r="C13">
        <v>118.44</v>
      </c>
      <c r="D13">
        <v>117.66</v>
      </c>
      <c r="E13">
        <v>117.85</v>
      </c>
      <c r="F13">
        <v>1531200</v>
      </c>
      <c r="G13">
        <v>117.85</v>
      </c>
    </row>
    <row r="14" spans="1:7" x14ac:dyDescent="0.25">
      <c r="A14" s="34">
        <v>41837</v>
      </c>
      <c r="B14">
        <v>117.35</v>
      </c>
      <c r="C14">
        <v>117.54</v>
      </c>
      <c r="D14">
        <v>116.58</v>
      </c>
      <c r="E14">
        <v>116.79</v>
      </c>
      <c r="F14">
        <v>1433300</v>
      </c>
      <c r="G14">
        <v>116.79</v>
      </c>
    </row>
    <row r="15" spans="1:7" x14ac:dyDescent="0.25">
      <c r="A15" s="34">
        <v>41838</v>
      </c>
      <c r="B15">
        <v>117.32</v>
      </c>
      <c r="C15">
        <v>117.8</v>
      </c>
      <c r="D15">
        <v>116.61</v>
      </c>
      <c r="E15">
        <v>117.74</v>
      </c>
      <c r="F15">
        <v>2148600</v>
      </c>
      <c r="G15">
        <v>117.74</v>
      </c>
    </row>
    <row r="16" spans="1:7" x14ac:dyDescent="0.25">
      <c r="A16" s="34">
        <v>41841</v>
      </c>
      <c r="B16">
        <v>117.43</v>
      </c>
      <c r="C16">
        <v>117.91</v>
      </c>
      <c r="D16">
        <v>116.86</v>
      </c>
      <c r="E16">
        <v>117.04</v>
      </c>
      <c r="F16">
        <v>1334400</v>
      </c>
      <c r="G16">
        <v>117.04</v>
      </c>
    </row>
    <row r="17" spans="1:7" x14ac:dyDescent="0.25">
      <c r="A17" s="34">
        <v>41842</v>
      </c>
      <c r="B17">
        <v>117.28</v>
      </c>
      <c r="C17">
        <v>118.04</v>
      </c>
      <c r="D17">
        <v>117.1</v>
      </c>
      <c r="E17">
        <v>117.55</v>
      </c>
      <c r="F17">
        <v>1769000</v>
      </c>
      <c r="G17">
        <v>117.55</v>
      </c>
    </row>
    <row r="18" spans="1:7" x14ac:dyDescent="0.25">
      <c r="A18" s="34">
        <v>41843</v>
      </c>
      <c r="B18">
        <v>117.41</v>
      </c>
      <c r="C18">
        <v>117.76</v>
      </c>
      <c r="D18">
        <v>117.27</v>
      </c>
      <c r="E18">
        <v>117.59</v>
      </c>
      <c r="F18">
        <v>1155200</v>
      </c>
      <c r="G18">
        <v>117.59</v>
      </c>
    </row>
    <row r="19" spans="1:7" x14ac:dyDescent="0.25">
      <c r="A19" s="34">
        <v>41844</v>
      </c>
      <c r="B19">
        <v>117.5</v>
      </c>
      <c r="C19">
        <v>118.28</v>
      </c>
      <c r="D19">
        <v>117.46</v>
      </c>
      <c r="E19">
        <v>118.14</v>
      </c>
      <c r="F19">
        <v>1347700</v>
      </c>
      <c r="G19">
        <v>118.14</v>
      </c>
    </row>
    <row r="20" spans="1:7" x14ac:dyDescent="0.25">
      <c r="A20" s="34">
        <v>41845</v>
      </c>
      <c r="B20">
        <v>117.96</v>
      </c>
      <c r="C20">
        <v>118.03</v>
      </c>
      <c r="D20">
        <v>117.07</v>
      </c>
      <c r="E20">
        <v>117.55</v>
      </c>
      <c r="F20">
        <v>1543700</v>
      </c>
      <c r="G20">
        <v>117.55</v>
      </c>
    </row>
    <row r="21" spans="1:7" x14ac:dyDescent="0.25">
      <c r="A21" s="34">
        <v>41848</v>
      </c>
      <c r="B21">
        <v>117.44</v>
      </c>
      <c r="C21">
        <v>117.66</v>
      </c>
      <c r="D21">
        <v>116.81</v>
      </c>
      <c r="E21">
        <v>117.12</v>
      </c>
      <c r="F21">
        <v>1402600</v>
      </c>
      <c r="G21">
        <v>117.12</v>
      </c>
    </row>
    <row r="22" spans="1:7" x14ac:dyDescent="0.25">
      <c r="A22" s="34">
        <v>41849</v>
      </c>
      <c r="B22">
        <v>118.93</v>
      </c>
      <c r="C22">
        <v>119.6</v>
      </c>
      <c r="D22">
        <v>118.53</v>
      </c>
      <c r="E22">
        <v>118.9</v>
      </c>
      <c r="F22">
        <v>2544900</v>
      </c>
      <c r="G22">
        <v>118.9</v>
      </c>
    </row>
    <row r="23" spans="1:7" x14ac:dyDescent="0.25">
      <c r="A23" s="34">
        <v>41850</v>
      </c>
      <c r="B23">
        <v>118.79</v>
      </c>
      <c r="C23">
        <v>119.07</v>
      </c>
      <c r="D23">
        <v>117.44</v>
      </c>
      <c r="E23">
        <v>118.18</v>
      </c>
      <c r="F23">
        <v>2024900</v>
      </c>
      <c r="G23">
        <v>118.18</v>
      </c>
    </row>
    <row r="24" spans="1:7" x14ac:dyDescent="0.25">
      <c r="A24" s="34">
        <v>41851</v>
      </c>
      <c r="B24">
        <v>117.54</v>
      </c>
      <c r="C24">
        <v>118.34</v>
      </c>
      <c r="D24">
        <v>117.28</v>
      </c>
      <c r="E24">
        <v>117.54</v>
      </c>
      <c r="F24">
        <v>2476800</v>
      </c>
      <c r="G24">
        <v>117.54</v>
      </c>
    </row>
    <row r="25" spans="1:7" x14ac:dyDescent="0.25">
      <c r="A25" s="34">
        <v>41852</v>
      </c>
      <c r="B25">
        <v>117.8</v>
      </c>
      <c r="C25">
        <v>118.33</v>
      </c>
      <c r="D25">
        <v>117.46</v>
      </c>
      <c r="E25">
        <v>117.88</v>
      </c>
      <c r="F25">
        <v>2089500</v>
      </c>
      <c r="G25">
        <v>117.88</v>
      </c>
    </row>
    <row r="26" spans="1:7" x14ac:dyDescent="0.25">
      <c r="A26" s="34">
        <v>41855</v>
      </c>
      <c r="B26">
        <v>117.55</v>
      </c>
      <c r="C26">
        <v>118.38</v>
      </c>
      <c r="D26">
        <v>117.11</v>
      </c>
      <c r="E26">
        <v>118.15</v>
      </c>
      <c r="F26">
        <v>1683800</v>
      </c>
      <c r="G26">
        <v>118.15</v>
      </c>
    </row>
    <row r="27" spans="1:7" x14ac:dyDescent="0.25">
      <c r="A27" s="34">
        <v>41856</v>
      </c>
      <c r="B27">
        <v>117.5</v>
      </c>
      <c r="C27">
        <v>118.2</v>
      </c>
      <c r="D27">
        <v>117.29</v>
      </c>
      <c r="E27">
        <v>118.05</v>
      </c>
      <c r="F27">
        <v>1798600</v>
      </c>
      <c r="G27">
        <v>118.05</v>
      </c>
    </row>
    <row r="28" spans="1:7" x14ac:dyDescent="0.25">
      <c r="A28" s="34">
        <v>41857</v>
      </c>
      <c r="B28">
        <v>117.95</v>
      </c>
      <c r="C28">
        <v>119.97</v>
      </c>
      <c r="D28">
        <v>117.8</v>
      </c>
      <c r="E28">
        <v>119.59</v>
      </c>
      <c r="F28">
        <v>2859800</v>
      </c>
      <c r="G28">
        <v>119.59</v>
      </c>
    </row>
    <row r="29" spans="1:7" x14ac:dyDescent="0.25">
      <c r="A29" s="34">
        <v>41858</v>
      </c>
      <c r="B29">
        <v>118.22</v>
      </c>
      <c r="C29">
        <v>119</v>
      </c>
      <c r="D29">
        <v>117.47</v>
      </c>
      <c r="E29">
        <v>117.8</v>
      </c>
      <c r="F29">
        <v>2698200</v>
      </c>
      <c r="G29">
        <v>117.8</v>
      </c>
    </row>
    <row r="30" spans="1:7" x14ac:dyDescent="0.25">
      <c r="A30" s="34">
        <v>41859</v>
      </c>
      <c r="B30">
        <v>117.96</v>
      </c>
      <c r="C30">
        <v>119.4</v>
      </c>
      <c r="D30">
        <v>117.81</v>
      </c>
      <c r="E30">
        <v>119.16</v>
      </c>
      <c r="F30">
        <v>2319900</v>
      </c>
      <c r="G30">
        <v>119.16</v>
      </c>
    </row>
    <row r="31" spans="1:7" x14ac:dyDescent="0.25">
      <c r="A31" s="34">
        <v>41862</v>
      </c>
      <c r="B31">
        <v>119.4</v>
      </c>
      <c r="C31">
        <v>119.51</v>
      </c>
      <c r="D31">
        <v>118.7</v>
      </c>
      <c r="E31">
        <v>119.18</v>
      </c>
      <c r="F31">
        <v>1227600</v>
      </c>
      <c r="G31">
        <v>119.18</v>
      </c>
    </row>
    <row r="32" spans="1:7" x14ac:dyDescent="0.25">
      <c r="A32" s="34">
        <v>41863</v>
      </c>
      <c r="B32">
        <v>118.77</v>
      </c>
      <c r="C32">
        <v>119.27</v>
      </c>
      <c r="D32">
        <v>118.55</v>
      </c>
      <c r="E32">
        <v>119.01</v>
      </c>
      <c r="F32">
        <v>1082100</v>
      </c>
      <c r="G32">
        <v>119.01</v>
      </c>
    </row>
    <row r="33" spans="1:7" x14ac:dyDescent="0.25">
      <c r="A33" s="34">
        <v>41864</v>
      </c>
      <c r="B33">
        <v>119</v>
      </c>
      <c r="C33">
        <v>119.1</v>
      </c>
      <c r="D33">
        <v>118.25</v>
      </c>
      <c r="E33">
        <v>118.64</v>
      </c>
      <c r="F33">
        <v>1449700</v>
      </c>
      <c r="G33">
        <v>118.64</v>
      </c>
    </row>
    <row r="34" spans="1:7" x14ac:dyDescent="0.25">
      <c r="A34" s="34">
        <v>41865</v>
      </c>
      <c r="B34">
        <v>118.51</v>
      </c>
      <c r="C34">
        <v>119.27</v>
      </c>
      <c r="D34">
        <v>118.31</v>
      </c>
      <c r="E34">
        <v>119.26</v>
      </c>
      <c r="F34">
        <v>1067900</v>
      </c>
      <c r="G34">
        <v>119.26</v>
      </c>
    </row>
    <row r="35" spans="1:7" x14ac:dyDescent="0.25">
      <c r="A35" s="34">
        <v>41866</v>
      </c>
      <c r="B35">
        <v>119.91</v>
      </c>
      <c r="C35">
        <v>119.95</v>
      </c>
      <c r="D35">
        <v>117.78</v>
      </c>
      <c r="E35">
        <v>118.57</v>
      </c>
      <c r="F35">
        <v>2019900</v>
      </c>
      <c r="G35">
        <v>118.57</v>
      </c>
    </row>
    <row r="36" spans="1:7" x14ac:dyDescent="0.25">
      <c r="A36" s="34">
        <v>41869</v>
      </c>
      <c r="B36">
        <v>119</v>
      </c>
      <c r="C36">
        <v>119.68</v>
      </c>
      <c r="D36">
        <v>118.95</v>
      </c>
      <c r="E36">
        <v>119.46</v>
      </c>
      <c r="F36">
        <v>1232900</v>
      </c>
      <c r="G36">
        <v>119.46</v>
      </c>
    </row>
    <row r="37" spans="1:7" x14ac:dyDescent="0.25">
      <c r="A37" s="34">
        <v>41870</v>
      </c>
      <c r="B37">
        <v>119.38</v>
      </c>
      <c r="C37">
        <v>120.75</v>
      </c>
      <c r="D37">
        <v>119.24</v>
      </c>
      <c r="E37">
        <v>120.61</v>
      </c>
      <c r="F37">
        <v>1708900</v>
      </c>
      <c r="G37">
        <v>120.61</v>
      </c>
    </row>
    <row r="38" spans="1:7" x14ac:dyDescent="0.25">
      <c r="A38" s="34">
        <v>41871</v>
      </c>
      <c r="B38">
        <v>120.45</v>
      </c>
      <c r="C38">
        <v>121.23</v>
      </c>
      <c r="D38">
        <v>120.09</v>
      </c>
      <c r="E38">
        <v>120.91</v>
      </c>
      <c r="F38">
        <v>1287200</v>
      </c>
      <c r="G38">
        <v>120.91</v>
      </c>
    </row>
    <row r="39" spans="1:7" x14ac:dyDescent="0.25">
      <c r="A39" s="34">
        <v>41872</v>
      </c>
      <c r="B39">
        <v>120.79</v>
      </c>
      <c r="C39">
        <v>121.88</v>
      </c>
      <c r="D39">
        <v>120.72</v>
      </c>
      <c r="E39">
        <v>121.62</v>
      </c>
      <c r="F39">
        <v>1544300</v>
      </c>
      <c r="G39">
        <v>121.62</v>
      </c>
    </row>
    <row r="40" spans="1:7" x14ac:dyDescent="0.25">
      <c r="A40" s="34">
        <v>41873</v>
      </c>
      <c r="B40">
        <v>121.9</v>
      </c>
      <c r="C40">
        <v>122.06</v>
      </c>
      <c r="D40">
        <v>121.15</v>
      </c>
      <c r="E40">
        <v>121.29</v>
      </c>
      <c r="F40">
        <v>1401400</v>
      </c>
      <c r="G40">
        <v>121.29</v>
      </c>
    </row>
    <row r="41" spans="1:7" x14ac:dyDescent="0.25">
      <c r="A41" s="34">
        <v>41876</v>
      </c>
      <c r="B41">
        <v>121.79</v>
      </c>
      <c r="C41">
        <v>122</v>
      </c>
      <c r="D41">
        <v>121.12</v>
      </c>
      <c r="E41">
        <v>121.39</v>
      </c>
      <c r="F41">
        <v>1097300</v>
      </c>
      <c r="G41">
        <v>121.39</v>
      </c>
    </row>
    <row r="42" spans="1:7" x14ac:dyDescent="0.25">
      <c r="A42" s="34">
        <v>41877</v>
      </c>
      <c r="B42">
        <v>121.43</v>
      </c>
      <c r="C42">
        <v>121.59</v>
      </c>
      <c r="D42">
        <v>120.86</v>
      </c>
      <c r="E42">
        <v>121.09</v>
      </c>
      <c r="F42">
        <v>1385400</v>
      </c>
      <c r="G42">
        <v>121.09</v>
      </c>
    </row>
    <row r="43" spans="1:7" x14ac:dyDescent="0.25">
      <c r="A43" s="34">
        <v>41878</v>
      </c>
      <c r="B43">
        <v>121.58</v>
      </c>
      <c r="C43">
        <v>121.58</v>
      </c>
      <c r="D43">
        <v>120.83</v>
      </c>
      <c r="E43">
        <v>121.24</v>
      </c>
      <c r="F43">
        <v>1028200</v>
      </c>
      <c r="G43">
        <v>121.24</v>
      </c>
    </row>
    <row r="44" spans="1:7" x14ac:dyDescent="0.25">
      <c r="A44" s="34">
        <v>41879</v>
      </c>
      <c r="B44">
        <v>121.01</v>
      </c>
      <c r="C44">
        <v>121.25</v>
      </c>
      <c r="D44">
        <v>120.7</v>
      </c>
      <c r="E44">
        <v>120.97</v>
      </c>
      <c r="F44">
        <v>799400</v>
      </c>
      <c r="G44">
        <v>120.97</v>
      </c>
    </row>
    <row r="45" spans="1:7" x14ac:dyDescent="0.25">
      <c r="A45" s="34">
        <v>41880</v>
      </c>
      <c r="B45">
        <v>121.68</v>
      </c>
      <c r="C45">
        <v>121.68</v>
      </c>
      <c r="D45">
        <v>120.58</v>
      </c>
      <c r="E45">
        <v>121.08</v>
      </c>
      <c r="F45">
        <v>1047300</v>
      </c>
      <c r="G45">
        <v>121.08</v>
      </c>
    </row>
    <row r="46" spans="1:7" x14ac:dyDescent="0.25">
      <c r="A46" s="34">
        <v>41884</v>
      </c>
      <c r="B46">
        <v>121</v>
      </c>
      <c r="C46">
        <v>121.63</v>
      </c>
      <c r="D46">
        <v>120.9</v>
      </c>
      <c r="E46">
        <v>121.56</v>
      </c>
      <c r="F46">
        <v>1469900</v>
      </c>
      <c r="G46">
        <v>121.56</v>
      </c>
    </row>
    <row r="47" spans="1:7" x14ac:dyDescent="0.25">
      <c r="A47" s="34">
        <v>41885</v>
      </c>
      <c r="B47">
        <v>121.7</v>
      </c>
      <c r="C47">
        <v>121.94</v>
      </c>
      <c r="D47">
        <v>121.11</v>
      </c>
      <c r="E47">
        <v>121.35</v>
      </c>
      <c r="F47">
        <v>1901000</v>
      </c>
      <c r="G47">
        <v>121.35</v>
      </c>
    </row>
    <row r="48" spans="1:7" x14ac:dyDescent="0.25">
      <c r="A48" s="34">
        <v>41886</v>
      </c>
      <c r="B48">
        <v>123</v>
      </c>
      <c r="C48">
        <v>125.17</v>
      </c>
      <c r="D48">
        <v>122.56</v>
      </c>
      <c r="E48">
        <v>125.15</v>
      </c>
      <c r="F48">
        <v>4440300</v>
      </c>
      <c r="G48">
        <v>125.15</v>
      </c>
    </row>
    <row r="49" spans="1:7" x14ac:dyDescent="0.25">
      <c r="A49" s="34">
        <v>41887</v>
      </c>
      <c r="B49">
        <v>125.04</v>
      </c>
      <c r="C49">
        <v>127.03</v>
      </c>
      <c r="D49">
        <v>124.71</v>
      </c>
      <c r="E49">
        <v>127.01</v>
      </c>
      <c r="F49">
        <v>2910600</v>
      </c>
      <c r="G49">
        <v>127.01</v>
      </c>
    </row>
    <row r="50" spans="1:7" x14ac:dyDescent="0.25">
      <c r="A50" s="34">
        <v>41890</v>
      </c>
      <c r="B50">
        <v>127.05</v>
      </c>
      <c r="C50">
        <v>127.32</v>
      </c>
      <c r="D50">
        <v>126.26</v>
      </c>
      <c r="E50">
        <v>126.6</v>
      </c>
      <c r="F50">
        <v>2057400</v>
      </c>
      <c r="G50">
        <v>126.6</v>
      </c>
    </row>
    <row r="51" spans="1:7" x14ac:dyDescent="0.25">
      <c r="A51" s="34">
        <v>41891</v>
      </c>
      <c r="B51">
        <v>126.14</v>
      </c>
      <c r="C51">
        <v>126.49</v>
      </c>
      <c r="D51">
        <v>125.74</v>
      </c>
      <c r="E51">
        <v>126.11</v>
      </c>
      <c r="F51">
        <v>1500500</v>
      </c>
      <c r="G51">
        <v>126.11</v>
      </c>
    </row>
    <row r="52" spans="1:7" x14ac:dyDescent="0.25">
      <c r="A52" s="34">
        <v>41892</v>
      </c>
      <c r="B52">
        <v>126.31</v>
      </c>
      <c r="C52">
        <v>126.49</v>
      </c>
      <c r="D52">
        <v>125.87</v>
      </c>
      <c r="E52">
        <v>126.17</v>
      </c>
      <c r="F52">
        <v>1014900</v>
      </c>
      <c r="G52">
        <v>126.17</v>
      </c>
    </row>
    <row r="53" spans="1:7" x14ac:dyDescent="0.25">
      <c r="A53" s="34">
        <v>41893</v>
      </c>
      <c r="B53">
        <v>126.16</v>
      </c>
      <c r="C53">
        <v>126.53</v>
      </c>
      <c r="D53">
        <v>125.64</v>
      </c>
      <c r="E53">
        <v>125.94</v>
      </c>
      <c r="F53">
        <v>1511200</v>
      </c>
      <c r="G53">
        <v>125.94</v>
      </c>
    </row>
    <row r="54" spans="1:7" x14ac:dyDescent="0.25">
      <c r="A54" s="34">
        <v>41894</v>
      </c>
      <c r="B54">
        <v>126.25</v>
      </c>
      <c r="C54">
        <v>126.25</v>
      </c>
      <c r="D54">
        <v>125.02</v>
      </c>
      <c r="E54">
        <v>125.37</v>
      </c>
      <c r="F54">
        <v>1598300</v>
      </c>
      <c r="G54">
        <v>125.37</v>
      </c>
    </row>
    <row r="55" spans="1:7" x14ac:dyDescent="0.25">
      <c r="A55" s="34">
        <v>41897</v>
      </c>
      <c r="B55">
        <v>125.57</v>
      </c>
      <c r="C55">
        <v>126.53</v>
      </c>
      <c r="D55">
        <v>125.45</v>
      </c>
      <c r="E55">
        <v>125.71</v>
      </c>
      <c r="F55">
        <v>1615300</v>
      </c>
      <c r="G55">
        <v>125.71</v>
      </c>
    </row>
  </sheetData>
  <sortState ref="A3:G55">
    <sortCondition ref="A3:A55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24.99</v>
      </c>
      <c r="C3">
        <v>25.11</v>
      </c>
      <c r="D3">
        <v>24.77</v>
      </c>
      <c r="E3">
        <v>25.08</v>
      </c>
      <c r="F3">
        <v>34613200</v>
      </c>
      <c r="G3">
        <v>24.89</v>
      </c>
    </row>
    <row r="4" spans="1:7" x14ac:dyDescent="0.25">
      <c r="A4" s="34">
        <v>41822</v>
      </c>
      <c r="B4">
        <v>24.97</v>
      </c>
      <c r="C4">
        <v>25.14</v>
      </c>
      <c r="D4">
        <v>24.87</v>
      </c>
      <c r="E4">
        <v>25.03</v>
      </c>
      <c r="F4">
        <v>30197200</v>
      </c>
      <c r="G4">
        <v>25.03</v>
      </c>
    </row>
    <row r="5" spans="1:7" x14ac:dyDescent="0.25">
      <c r="A5" s="34">
        <v>41823</v>
      </c>
      <c r="B5">
        <v>25.15</v>
      </c>
      <c r="C5">
        <v>25.25</v>
      </c>
      <c r="D5">
        <v>25.13</v>
      </c>
      <c r="E5">
        <v>25.19</v>
      </c>
      <c r="F5">
        <v>19598800</v>
      </c>
      <c r="G5">
        <v>25.19</v>
      </c>
    </row>
    <row r="6" spans="1:7" x14ac:dyDescent="0.25">
      <c r="A6" s="34">
        <v>41827</v>
      </c>
      <c r="B6">
        <v>25</v>
      </c>
      <c r="C6">
        <v>25.25</v>
      </c>
      <c r="D6">
        <v>24.97</v>
      </c>
      <c r="E6">
        <v>25.23</v>
      </c>
      <c r="F6">
        <v>21293500</v>
      </c>
      <c r="G6">
        <v>25.23</v>
      </c>
    </row>
    <row r="7" spans="1:7" x14ac:dyDescent="0.25">
      <c r="A7" s="34">
        <v>41828</v>
      </c>
      <c r="B7">
        <v>25.21</v>
      </c>
      <c r="C7">
        <v>25.31</v>
      </c>
      <c r="D7">
        <v>25.06</v>
      </c>
      <c r="E7">
        <v>25.07</v>
      </c>
      <c r="F7">
        <v>34622900</v>
      </c>
      <c r="G7">
        <v>25.07</v>
      </c>
    </row>
    <row r="8" spans="1:7" x14ac:dyDescent="0.25">
      <c r="A8" s="34">
        <v>41829</v>
      </c>
      <c r="B8">
        <v>25.22</v>
      </c>
      <c r="C8">
        <v>25.5</v>
      </c>
      <c r="D8">
        <v>25.14</v>
      </c>
      <c r="E8">
        <v>25.44</v>
      </c>
      <c r="F8">
        <v>35610300</v>
      </c>
      <c r="G8">
        <v>25.44</v>
      </c>
    </row>
    <row r="9" spans="1:7" x14ac:dyDescent="0.25">
      <c r="A9" s="34">
        <v>41830</v>
      </c>
      <c r="B9">
        <v>25.25</v>
      </c>
      <c r="C9">
        <v>25.52</v>
      </c>
      <c r="D9">
        <v>25.22</v>
      </c>
      <c r="E9">
        <v>25.44</v>
      </c>
      <c r="F9">
        <v>27278600</v>
      </c>
      <c r="G9">
        <v>25.44</v>
      </c>
    </row>
    <row r="10" spans="1:7" x14ac:dyDescent="0.25">
      <c r="A10" s="34">
        <v>41831</v>
      </c>
      <c r="B10">
        <v>25.52</v>
      </c>
      <c r="C10">
        <v>25.65</v>
      </c>
      <c r="D10">
        <v>25.44</v>
      </c>
      <c r="E10">
        <v>25.52</v>
      </c>
      <c r="F10">
        <v>20945900</v>
      </c>
      <c r="G10">
        <v>25.52</v>
      </c>
    </row>
    <row r="11" spans="1:7" x14ac:dyDescent="0.25">
      <c r="A11" s="34">
        <v>41834</v>
      </c>
      <c r="B11">
        <v>25.61</v>
      </c>
      <c r="C11">
        <v>25.65</v>
      </c>
      <c r="D11">
        <v>25.4</v>
      </c>
      <c r="E11">
        <v>25.44</v>
      </c>
      <c r="F11">
        <v>19243600</v>
      </c>
      <c r="G11">
        <v>25.44</v>
      </c>
    </row>
    <row r="12" spans="1:7" x14ac:dyDescent="0.25">
      <c r="A12" s="34">
        <v>41835</v>
      </c>
      <c r="B12">
        <v>25.38</v>
      </c>
      <c r="C12">
        <v>25.68</v>
      </c>
      <c r="D12">
        <v>25.36</v>
      </c>
      <c r="E12">
        <v>25.67</v>
      </c>
      <c r="F12">
        <v>29468800</v>
      </c>
      <c r="G12">
        <v>25.67</v>
      </c>
    </row>
    <row r="13" spans="1:7" x14ac:dyDescent="0.25">
      <c r="A13" s="34">
        <v>41836</v>
      </c>
      <c r="B13">
        <v>25.73</v>
      </c>
      <c r="C13">
        <v>26.05</v>
      </c>
      <c r="D13">
        <v>25.73</v>
      </c>
      <c r="E13">
        <v>25.98</v>
      </c>
      <c r="F13">
        <v>40458600</v>
      </c>
      <c r="G13">
        <v>25.98</v>
      </c>
    </row>
    <row r="14" spans="1:7" x14ac:dyDescent="0.25">
      <c r="A14" s="34">
        <v>41837</v>
      </c>
      <c r="B14">
        <v>25.84</v>
      </c>
      <c r="C14">
        <v>26</v>
      </c>
      <c r="D14">
        <v>25.58</v>
      </c>
      <c r="E14">
        <v>25.63</v>
      </c>
      <c r="F14">
        <v>29568000</v>
      </c>
      <c r="G14">
        <v>25.63</v>
      </c>
    </row>
    <row r="15" spans="1:7" x14ac:dyDescent="0.25">
      <c r="A15" s="34">
        <v>41838</v>
      </c>
      <c r="B15">
        <v>25.7</v>
      </c>
      <c r="C15">
        <v>25.96</v>
      </c>
      <c r="D15">
        <v>25.67</v>
      </c>
      <c r="E15">
        <v>25.91</v>
      </c>
      <c r="F15">
        <v>25465300</v>
      </c>
      <c r="G15">
        <v>25.91</v>
      </c>
    </row>
    <row r="16" spans="1:7" x14ac:dyDescent="0.25">
      <c r="A16" s="34">
        <v>41841</v>
      </c>
      <c r="B16">
        <v>25.89</v>
      </c>
      <c r="C16">
        <v>25.95</v>
      </c>
      <c r="D16">
        <v>25.72</v>
      </c>
      <c r="E16">
        <v>25.85</v>
      </c>
      <c r="F16">
        <v>20825400</v>
      </c>
      <c r="G16">
        <v>25.85</v>
      </c>
    </row>
    <row r="17" spans="1:7" x14ac:dyDescent="0.25">
      <c r="A17" s="34">
        <v>41842</v>
      </c>
      <c r="B17">
        <v>25.95</v>
      </c>
      <c r="C17">
        <v>26.08</v>
      </c>
      <c r="D17">
        <v>25.91</v>
      </c>
      <c r="E17">
        <v>25.95</v>
      </c>
      <c r="F17">
        <v>28734800</v>
      </c>
      <c r="G17">
        <v>25.95</v>
      </c>
    </row>
    <row r="18" spans="1:7" x14ac:dyDescent="0.25">
      <c r="A18" s="34">
        <v>41843</v>
      </c>
      <c r="B18">
        <v>25.72</v>
      </c>
      <c r="C18">
        <v>25.79</v>
      </c>
      <c r="D18">
        <v>25.55</v>
      </c>
      <c r="E18">
        <v>25.68</v>
      </c>
      <c r="F18">
        <v>28759200</v>
      </c>
      <c r="G18">
        <v>25.68</v>
      </c>
    </row>
    <row r="19" spans="1:7" x14ac:dyDescent="0.25">
      <c r="A19" s="34">
        <v>41844</v>
      </c>
      <c r="B19">
        <v>25.78</v>
      </c>
      <c r="C19">
        <v>25.9</v>
      </c>
      <c r="D19">
        <v>25.68</v>
      </c>
      <c r="E19">
        <v>25.83</v>
      </c>
      <c r="F19">
        <v>21876300</v>
      </c>
      <c r="G19">
        <v>25.83</v>
      </c>
    </row>
    <row r="20" spans="1:7" x14ac:dyDescent="0.25">
      <c r="A20" s="34">
        <v>41845</v>
      </c>
      <c r="B20">
        <v>25.8</v>
      </c>
      <c r="C20">
        <v>26.02</v>
      </c>
      <c r="D20">
        <v>25.68</v>
      </c>
      <c r="E20">
        <v>25.97</v>
      </c>
      <c r="F20">
        <v>28640100</v>
      </c>
      <c r="G20">
        <v>25.97</v>
      </c>
    </row>
    <row r="21" spans="1:7" x14ac:dyDescent="0.25">
      <c r="A21" s="34">
        <v>41848</v>
      </c>
      <c r="B21">
        <v>25.73</v>
      </c>
      <c r="C21">
        <v>26</v>
      </c>
      <c r="D21">
        <v>25.57</v>
      </c>
      <c r="E21">
        <v>25.92</v>
      </c>
      <c r="F21">
        <v>27686400</v>
      </c>
      <c r="G21">
        <v>25.92</v>
      </c>
    </row>
    <row r="22" spans="1:7" x14ac:dyDescent="0.25">
      <c r="A22" s="34">
        <v>41849</v>
      </c>
      <c r="B22">
        <v>25.88</v>
      </c>
      <c r="C22">
        <v>26.01</v>
      </c>
      <c r="D22">
        <v>25.69</v>
      </c>
      <c r="E22">
        <v>25.71</v>
      </c>
      <c r="F22">
        <v>22441500</v>
      </c>
      <c r="G22">
        <v>25.71</v>
      </c>
    </row>
    <row r="23" spans="1:7" x14ac:dyDescent="0.25">
      <c r="A23" s="34">
        <v>41850</v>
      </c>
      <c r="B23">
        <v>25.83</v>
      </c>
      <c r="C23">
        <v>25.84</v>
      </c>
      <c r="D23">
        <v>25.47</v>
      </c>
      <c r="E23">
        <v>25.63</v>
      </c>
      <c r="F23">
        <v>26119900</v>
      </c>
      <c r="G23">
        <v>25.63</v>
      </c>
    </row>
    <row r="24" spans="1:7" x14ac:dyDescent="0.25">
      <c r="A24" s="34">
        <v>41851</v>
      </c>
      <c r="B24">
        <v>25.48</v>
      </c>
      <c r="C24">
        <v>25.5</v>
      </c>
      <c r="D24">
        <v>25.17</v>
      </c>
      <c r="E24">
        <v>25.23</v>
      </c>
      <c r="F24">
        <v>28219900</v>
      </c>
      <c r="G24">
        <v>25.23</v>
      </c>
    </row>
    <row r="25" spans="1:7" x14ac:dyDescent="0.25">
      <c r="A25" s="34">
        <v>41852</v>
      </c>
      <c r="B25">
        <v>25.14</v>
      </c>
      <c r="C25">
        <v>25.21</v>
      </c>
      <c r="D25">
        <v>24.8</v>
      </c>
      <c r="E25">
        <v>25</v>
      </c>
      <c r="F25">
        <v>28609200</v>
      </c>
      <c r="G25">
        <v>25</v>
      </c>
    </row>
    <row r="26" spans="1:7" x14ac:dyDescent="0.25">
      <c r="A26" s="34">
        <v>41855</v>
      </c>
      <c r="B26">
        <v>24.94</v>
      </c>
      <c r="C26">
        <v>25.22</v>
      </c>
      <c r="D26">
        <v>24.86</v>
      </c>
      <c r="E26">
        <v>25.17</v>
      </c>
      <c r="F26">
        <v>17252200</v>
      </c>
      <c r="G26">
        <v>25.17</v>
      </c>
    </row>
    <row r="27" spans="1:7" x14ac:dyDescent="0.25">
      <c r="A27" s="34">
        <v>41856</v>
      </c>
      <c r="B27">
        <v>25.02</v>
      </c>
      <c r="C27">
        <v>25.12</v>
      </c>
      <c r="D27">
        <v>24.87</v>
      </c>
      <c r="E27">
        <v>24.97</v>
      </c>
      <c r="F27">
        <v>21176500</v>
      </c>
      <c r="G27">
        <v>24.97</v>
      </c>
    </row>
    <row r="28" spans="1:7" x14ac:dyDescent="0.25">
      <c r="A28" s="34">
        <v>41857</v>
      </c>
      <c r="B28">
        <v>24.93</v>
      </c>
      <c r="C28">
        <v>25.21</v>
      </c>
      <c r="D28">
        <v>24.85</v>
      </c>
      <c r="E28">
        <v>24.93</v>
      </c>
      <c r="F28">
        <v>20990600</v>
      </c>
      <c r="G28">
        <v>24.93</v>
      </c>
    </row>
    <row r="29" spans="1:7" x14ac:dyDescent="0.25">
      <c r="A29" s="34">
        <v>41858</v>
      </c>
      <c r="B29">
        <v>25.01</v>
      </c>
      <c r="C29">
        <v>25.11</v>
      </c>
      <c r="D29">
        <v>24.69</v>
      </c>
      <c r="E29">
        <v>24.86</v>
      </c>
      <c r="F29">
        <v>24123500</v>
      </c>
      <c r="G29">
        <v>24.86</v>
      </c>
    </row>
    <row r="30" spans="1:7" x14ac:dyDescent="0.25">
      <c r="A30" s="34">
        <v>41859</v>
      </c>
      <c r="B30">
        <v>24.87</v>
      </c>
      <c r="C30">
        <v>25.06</v>
      </c>
      <c r="D30">
        <v>24.74</v>
      </c>
      <c r="E30">
        <v>25.03</v>
      </c>
      <c r="F30">
        <v>21648600</v>
      </c>
      <c r="G30">
        <v>25.03</v>
      </c>
    </row>
    <row r="31" spans="1:7" x14ac:dyDescent="0.25">
      <c r="A31" s="34">
        <v>41862</v>
      </c>
      <c r="B31">
        <v>25.09</v>
      </c>
      <c r="C31">
        <v>25.37</v>
      </c>
      <c r="D31">
        <v>25.01</v>
      </c>
      <c r="E31">
        <v>25.23</v>
      </c>
      <c r="F31">
        <v>25946200</v>
      </c>
      <c r="G31">
        <v>25.23</v>
      </c>
    </row>
    <row r="32" spans="1:7" x14ac:dyDescent="0.25">
      <c r="A32" s="34">
        <v>41863</v>
      </c>
      <c r="B32">
        <v>25.21</v>
      </c>
      <c r="C32">
        <v>25.27</v>
      </c>
      <c r="D32">
        <v>25</v>
      </c>
      <c r="E32">
        <v>25.15</v>
      </c>
      <c r="F32">
        <v>21928200</v>
      </c>
      <c r="G32">
        <v>25.15</v>
      </c>
    </row>
    <row r="33" spans="1:7" x14ac:dyDescent="0.25">
      <c r="A33" s="34">
        <v>41864</v>
      </c>
      <c r="B33">
        <v>25.17</v>
      </c>
      <c r="C33">
        <v>25.27</v>
      </c>
      <c r="D33">
        <v>24.93</v>
      </c>
      <c r="E33">
        <v>25.2</v>
      </c>
      <c r="F33">
        <v>43545900</v>
      </c>
      <c r="G33">
        <v>25.2</v>
      </c>
    </row>
    <row r="34" spans="1:7" x14ac:dyDescent="0.25">
      <c r="A34" s="34">
        <v>41865</v>
      </c>
      <c r="B34">
        <v>24.94</v>
      </c>
      <c r="C34">
        <v>24.94</v>
      </c>
      <c r="D34">
        <v>24.32</v>
      </c>
      <c r="E34">
        <v>24.54</v>
      </c>
      <c r="F34">
        <v>63771400</v>
      </c>
      <c r="G34">
        <v>24.54</v>
      </c>
    </row>
    <row r="35" spans="1:7" x14ac:dyDescent="0.25">
      <c r="A35" s="34">
        <v>41866</v>
      </c>
      <c r="B35">
        <v>24.66</v>
      </c>
      <c r="C35">
        <v>24.66</v>
      </c>
      <c r="D35">
        <v>24.27</v>
      </c>
      <c r="E35">
        <v>24.43</v>
      </c>
      <c r="F35">
        <v>33624000</v>
      </c>
      <c r="G35">
        <v>24.43</v>
      </c>
    </row>
    <row r="36" spans="1:7" x14ac:dyDescent="0.25">
      <c r="A36" s="34">
        <v>41869</v>
      </c>
      <c r="B36">
        <v>24.49</v>
      </c>
      <c r="C36">
        <v>24.66</v>
      </c>
      <c r="D36">
        <v>24.43</v>
      </c>
      <c r="E36">
        <v>24.63</v>
      </c>
      <c r="F36">
        <v>27650200</v>
      </c>
      <c r="G36">
        <v>24.63</v>
      </c>
    </row>
    <row r="37" spans="1:7" x14ac:dyDescent="0.25">
      <c r="A37" s="34">
        <v>41870</v>
      </c>
      <c r="B37">
        <v>24.63</v>
      </c>
      <c r="C37">
        <v>24.69</v>
      </c>
      <c r="D37">
        <v>24.6</v>
      </c>
      <c r="E37">
        <v>24.64</v>
      </c>
      <c r="F37">
        <v>20347000</v>
      </c>
      <c r="G37">
        <v>24.64</v>
      </c>
    </row>
    <row r="38" spans="1:7" x14ac:dyDescent="0.25">
      <c r="A38" s="34">
        <v>41871</v>
      </c>
      <c r="B38">
        <v>24.55</v>
      </c>
      <c r="C38">
        <v>24.75</v>
      </c>
      <c r="D38">
        <v>24.52</v>
      </c>
      <c r="E38">
        <v>24.71</v>
      </c>
      <c r="F38">
        <v>20228900</v>
      </c>
      <c r="G38">
        <v>24.71</v>
      </c>
    </row>
    <row r="39" spans="1:7" x14ac:dyDescent="0.25">
      <c r="A39" s="34">
        <v>41872</v>
      </c>
      <c r="B39">
        <v>24.75</v>
      </c>
      <c r="C39">
        <v>24.91</v>
      </c>
      <c r="D39">
        <v>24.72</v>
      </c>
      <c r="E39">
        <v>24.89</v>
      </c>
      <c r="F39">
        <v>20880800</v>
      </c>
      <c r="G39">
        <v>24.89</v>
      </c>
    </row>
    <row r="40" spans="1:7" x14ac:dyDescent="0.25">
      <c r="A40" s="34">
        <v>41873</v>
      </c>
      <c r="B40">
        <v>24.87</v>
      </c>
      <c r="C40">
        <v>24.97</v>
      </c>
      <c r="D40">
        <v>24.64</v>
      </c>
      <c r="E40">
        <v>24.65</v>
      </c>
      <c r="F40">
        <v>22435300</v>
      </c>
      <c r="G40">
        <v>24.65</v>
      </c>
    </row>
    <row r="41" spans="1:7" x14ac:dyDescent="0.25">
      <c r="A41" s="34">
        <v>41876</v>
      </c>
      <c r="B41">
        <v>24.7</v>
      </c>
      <c r="C41">
        <v>24.84</v>
      </c>
      <c r="D41">
        <v>24.69</v>
      </c>
      <c r="E41">
        <v>24.7</v>
      </c>
      <c r="F41">
        <v>19355800</v>
      </c>
      <c r="G41">
        <v>24.7</v>
      </c>
    </row>
    <row r="42" spans="1:7" x14ac:dyDescent="0.25">
      <c r="A42" s="34">
        <v>41877</v>
      </c>
      <c r="B42">
        <v>24.7</v>
      </c>
      <c r="C42">
        <v>24.93</v>
      </c>
      <c r="D42">
        <v>24.67</v>
      </c>
      <c r="E42">
        <v>24.81</v>
      </c>
      <c r="F42">
        <v>17007800</v>
      </c>
      <c r="G42">
        <v>24.81</v>
      </c>
    </row>
    <row r="43" spans="1:7" x14ac:dyDescent="0.25">
      <c r="A43" s="34">
        <v>41878</v>
      </c>
      <c r="B43">
        <v>24.79</v>
      </c>
      <c r="C43">
        <v>24.86</v>
      </c>
      <c r="D43">
        <v>24.71</v>
      </c>
      <c r="E43">
        <v>24.8</v>
      </c>
      <c r="F43">
        <v>15748800</v>
      </c>
      <c r="G43">
        <v>24.8</v>
      </c>
    </row>
    <row r="44" spans="1:7" x14ac:dyDescent="0.25">
      <c r="A44" s="34">
        <v>41879</v>
      </c>
      <c r="B44">
        <v>24.7</v>
      </c>
      <c r="C44">
        <v>24.9</v>
      </c>
      <c r="D44">
        <v>24.64</v>
      </c>
      <c r="E44">
        <v>24.85</v>
      </c>
      <c r="F44">
        <v>15496200</v>
      </c>
      <c r="G44">
        <v>24.85</v>
      </c>
    </row>
    <row r="45" spans="1:7" x14ac:dyDescent="0.25">
      <c r="A45" s="34">
        <v>41880</v>
      </c>
      <c r="B45">
        <v>24.9</v>
      </c>
      <c r="C45">
        <v>24.99</v>
      </c>
      <c r="D45">
        <v>24.76</v>
      </c>
      <c r="E45">
        <v>24.99</v>
      </c>
      <c r="F45">
        <v>17972300</v>
      </c>
      <c r="G45">
        <v>24.99</v>
      </c>
    </row>
    <row r="46" spans="1:7" x14ac:dyDescent="0.25">
      <c r="A46" s="34">
        <v>41884</v>
      </c>
      <c r="B46">
        <v>24.94</v>
      </c>
      <c r="C46">
        <v>25</v>
      </c>
      <c r="D46">
        <v>24.75</v>
      </c>
      <c r="E46">
        <v>24.88</v>
      </c>
      <c r="F46">
        <v>19836000</v>
      </c>
      <c r="G46">
        <v>24.88</v>
      </c>
    </row>
    <row r="47" spans="1:7" x14ac:dyDescent="0.25">
      <c r="A47" s="34">
        <v>41885</v>
      </c>
      <c r="B47">
        <v>24.94</v>
      </c>
      <c r="C47">
        <v>25.13</v>
      </c>
      <c r="D47">
        <v>24.92</v>
      </c>
      <c r="E47">
        <v>25.04</v>
      </c>
      <c r="F47">
        <v>22043200</v>
      </c>
      <c r="G47">
        <v>25.04</v>
      </c>
    </row>
    <row r="48" spans="1:7" x14ac:dyDescent="0.25">
      <c r="A48" s="34">
        <v>41886</v>
      </c>
      <c r="B48">
        <v>25.08</v>
      </c>
      <c r="C48">
        <v>25.14</v>
      </c>
      <c r="D48">
        <v>24.83</v>
      </c>
      <c r="E48">
        <v>24.91</v>
      </c>
      <c r="F48">
        <v>20268900</v>
      </c>
      <c r="G48">
        <v>24.91</v>
      </c>
    </row>
    <row r="49" spans="1:7" x14ac:dyDescent="0.25">
      <c r="A49" s="34">
        <v>41887</v>
      </c>
      <c r="B49">
        <v>24.86</v>
      </c>
      <c r="C49">
        <v>25.07</v>
      </c>
      <c r="D49">
        <v>24.86</v>
      </c>
      <c r="E49">
        <v>25</v>
      </c>
      <c r="F49">
        <v>19854800</v>
      </c>
      <c r="G49">
        <v>25</v>
      </c>
    </row>
    <row r="50" spans="1:7" x14ac:dyDescent="0.25">
      <c r="A50" s="34">
        <v>41890</v>
      </c>
      <c r="B50">
        <v>24.93</v>
      </c>
      <c r="C50">
        <v>25.09</v>
      </c>
      <c r="D50">
        <v>24.81</v>
      </c>
      <c r="E50">
        <v>24.95</v>
      </c>
      <c r="F50">
        <v>14188500</v>
      </c>
      <c r="G50">
        <v>24.95</v>
      </c>
    </row>
    <row r="51" spans="1:7" x14ac:dyDescent="0.25">
      <c r="A51" s="34">
        <v>41891</v>
      </c>
      <c r="B51">
        <v>24.88</v>
      </c>
      <c r="C51">
        <v>24.97</v>
      </c>
      <c r="D51">
        <v>24.6</v>
      </c>
      <c r="E51">
        <v>24.86</v>
      </c>
      <c r="F51">
        <v>19075800</v>
      </c>
      <c r="G51">
        <v>24.86</v>
      </c>
    </row>
    <row r="52" spans="1:7" x14ac:dyDescent="0.25">
      <c r="A52" s="34">
        <v>41892</v>
      </c>
      <c r="B52">
        <v>24.84</v>
      </c>
      <c r="C52">
        <v>25</v>
      </c>
      <c r="D52">
        <v>24.84</v>
      </c>
      <c r="E52">
        <v>24.93</v>
      </c>
      <c r="F52">
        <v>15738500</v>
      </c>
      <c r="G52">
        <v>24.93</v>
      </c>
    </row>
    <row r="53" spans="1:7" x14ac:dyDescent="0.25">
      <c r="A53" s="34">
        <v>41893</v>
      </c>
      <c r="B53">
        <v>24.92</v>
      </c>
      <c r="C53">
        <v>25.2</v>
      </c>
      <c r="D53">
        <v>24.85</v>
      </c>
      <c r="E53">
        <v>25.18</v>
      </c>
      <c r="F53">
        <v>22105400</v>
      </c>
      <c r="G53">
        <v>25.18</v>
      </c>
    </row>
    <row r="54" spans="1:7" x14ac:dyDescent="0.25">
      <c r="A54" s="34">
        <v>41894</v>
      </c>
      <c r="B54">
        <v>25.16</v>
      </c>
      <c r="C54">
        <v>25.26</v>
      </c>
      <c r="D54">
        <v>25.07</v>
      </c>
      <c r="E54">
        <v>25.16</v>
      </c>
      <c r="F54">
        <v>33197300</v>
      </c>
      <c r="G54">
        <v>25.16</v>
      </c>
    </row>
    <row r="55" spans="1:7" x14ac:dyDescent="0.25">
      <c r="A55" s="34">
        <v>41897</v>
      </c>
      <c r="B55">
        <v>24.95</v>
      </c>
      <c r="C55">
        <v>25.09</v>
      </c>
      <c r="D55">
        <v>24.87</v>
      </c>
      <c r="E55">
        <v>25.06</v>
      </c>
      <c r="F55">
        <v>33411400</v>
      </c>
      <c r="G55">
        <v>25.06</v>
      </c>
    </row>
  </sheetData>
  <sortState ref="A3:G55">
    <sortCondition ref="A3:A55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75.89</v>
      </c>
      <c r="C3">
        <v>76.33</v>
      </c>
      <c r="D3">
        <v>75.42</v>
      </c>
      <c r="E3">
        <v>76.040000000000006</v>
      </c>
      <c r="F3">
        <v>3361300</v>
      </c>
      <c r="G3">
        <v>75.77</v>
      </c>
    </row>
    <row r="4" spans="1:7" x14ac:dyDescent="0.25">
      <c r="A4" s="34">
        <v>41822</v>
      </c>
      <c r="B4">
        <v>75.989999999999995</v>
      </c>
      <c r="C4">
        <v>76.73</v>
      </c>
      <c r="D4">
        <v>75.75</v>
      </c>
      <c r="E4">
        <v>76.25</v>
      </c>
      <c r="F4">
        <v>2759100</v>
      </c>
      <c r="G4">
        <v>75.98</v>
      </c>
    </row>
    <row r="5" spans="1:7" x14ac:dyDescent="0.25">
      <c r="A5" s="34">
        <v>41823</v>
      </c>
      <c r="B5">
        <v>76.42</v>
      </c>
      <c r="C5">
        <v>76.930000000000007</v>
      </c>
      <c r="D5">
        <v>76.31</v>
      </c>
      <c r="E5">
        <v>76.83</v>
      </c>
      <c r="F5">
        <v>2040800</v>
      </c>
      <c r="G5">
        <v>76.56</v>
      </c>
    </row>
    <row r="6" spans="1:7" x14ac:dyDescent="0.25">
      <c r="A6" s="34">
        <v>41827</v>
      </c>
      <c r="B6">
        <v>76.61</v>
      </c>
      <c r="C6">
        <v>76.989999999999995</v>
      </c>
      <c r="D6">
        <v>76.48</v>
      </c>
      <c r="E6">
        <v>76.67</v>
      </c>
      <c r="F6">
        <v>2439600</v>
      </c>
      <c r="G6">
        <v>76.400000000000006</v>
      </c>
    </row>
    <row r="7" spans="1:7" x14ac:dyDescent="0.25">
      <c r="A7" s="34">
        <v>41828</v>
      </c>
      <c r="B7">
        <v>76.58</v>
      </c>
      <c r="C7">
        <v>76.66</v>
      </c>
      <c r="D7">
        <v>76.180000000000007</v>
      </c>
      <c r="E7">
        <v>76.53</v>
      </c>
      <c r="F7">
        <v>3318100</v>
      </c>
      <c r="G7">
        <v>76.260000000000005</v>
      </c>
    </row>
    <row r="8" spans="1:7" x14ac:dyDescent="0.25">
      <c r="A8" s="34">
        <v>41829</v>
      </c>
      <c r="B8">
        <v>76.849999999999994</v>
      </c>
      <c r="C8">
        <v>76.959999999999994</v>
      </c>
      <c r="D8">
        <v>76.25</v>
      </c>
      <c r="E8">
        <v>76.84</v>
      </c>
      <c r="F8">
        <v>3127300</v>
      </c>
      <c r="G8">
        <v>76.569999999999993</v>
      </c>
    </row>
    <row r="9" spans="1:7" x14ac:dyDescent="0.25">
      <c r="A9" s="34">
        <v>41830</v>
      </c>
      <c r="B9">
        <v>76.239999999999995</v>
      </c>
      <c r="C9">
        <v>76.930000000000007</v>
      </c>
      <c r="D9">
        <v>76.040000000000006</v>
      </c>
      <c r="E9">
        <v>76.61</v>
      </c>
      <c r="F9">
        <v>2911700</v>
      </c>
      <c r="G9">
        <v>76.34</v>
      </c>
    </row>
    <row r="10" spans="1:7" x14ac:dyDescent="0.25">
      <c r="A10" s="34">
        <v>41831</v>
      </c>
      <c r="B10">
        <v>76.55</v>
      </c>
      <c r="C10">
        <v>77.03</v>
      </c>
      <c r="D10">
        <v>76.3</v>
      </c>
      <c r="E10">
        <v>76.900000000000006</v>
      </c>
      <c r="F10">
        <v>2269000</v>
      </c>
      <c r="G10">
        <v>76.63</v>
      </c>
    </row>
    <row r="11" spans="1:7" x14ac:dyDescent="0.25">
      <c r="A11" s="34">
        <v>41834</v>
      </c>
      <c r="B11">
        <v>77.13</v>
      </c>
      <c r="C11">
        <v>77.540000000000006</v>
      </c>
      <c r="D11">
        <v>77.099999999999994</v>
      </c>
      <c r="E11">
        <v>77.290000000000006</v>
      </c>
      <c r="F11">
        <v>2272700</v>
      </c>
      <c r="G11">
        <v>77.010000000000005</v>
      </c>
    </row>
    <row r="12" spans="1:7" x14ac:dyDescent="0.25">
      <c r="A12" s="34">
        <v>41835</v>
      </c>
      <c r="B12">
        <v>77.209999999999994</v>
      </c>
      <c r="C12">
        <v>77.650000000000006</v>
      </c>
      <c r="D12">
        <v>76.92</v>
      </c>
      <c r="E12">
        <v>77.41</v>
      </c>
      <c r="F12">
        <v>3502300</v>
      </c>
      <c r="G12">
        <v>77.13</v>
      </c>
    </row>
    <row r="13" spans="1:7" x14ac:dyDescent="0.25">
      <c r="A13" s="34">
        <v>41836</v>
      </c>
      <c r="B13">
        <v>77.69</v>
      </c>
      <c r="C13">
        <v>77.849999999999994</v>
      </c>
      <c r="D13">
        <v>76.900000000000006</v>
      </c>
      <c r="E13">
        <v>77.03</v>
      </c>
      <c r="F13">
        <v>2796300</v>
      </c>
      <c r="G13">
        <v>76.760000000000005</v>
      </c>
    </row>
    <row r="14" spans="1:7" x14ac:dyDescent="0.25">
      <c r="A14" s="34">
        <v>41837</v>
      </c>
      <c r="B14">
        <v>76.62</v>
      </c>
      <c r="C14">
        <v>77.010000000000005</v>
      </c>
      <c r="D14">
        <v>76.09</v>
      </c>
      <c r="E14">
        <v>76.11</v>
      </c>
      <c r="F14">
        <v>2418500</v>
      </c>
      <c r="G14">
        <v>76.11</v>
      </c>
    </row>
    <row r="15" spans="1:7" x14ac:dyDescent="0.25">
      <c r="A15" s="34">
        <v>41838</v>
      </c>
      <c r="B15">
        <v>76.319999999999993</v>
      </c>
      <c r="C15">
        <v>77.52</v>
      </c>
      <c r="D15">
        <v>76.239999999999995</v>
      </c>
      <c r="E15">
        <v>77.47</v>
      </c>
      <c r="F15">
        <v>3247700</v>
      </c>
      <c r="G15">
        <v>77.47</v>
      </c>
    </row>
    <row r="16" spans="1:7" x14ac:dyDescent="0.25">
      <c r="A16" s="34">
        <v>41841</v>
      </c>
      <c r="B16">
        <v>76.989999999999995</v>
      </c>
      <c r="C16">
        <v>77.290000000000006</v>
      </c>
      <c r="D16">
        <v>76.55</v>
      </c>
      <c r="E16">
        <v>77.040000000000006</v>
      </c>
      <c r="F16">
        <v>3152200</v>
      </c>
      <c r="G16">
        <v>77.040000000000006</v>
      </c>
    </row>
    <row r="17" spans="1:7" x14ac:dyDescent="0.25">
      <c r="A17" s="34">
        <v>41842</v>
      </c>
      <c r="B17">
        <v>77.11</v>
      </c>
      <c r="C17">
        <v>78.05</v>
      </c>
      <c r="D17">
        <v>77.02</v>
      </c>
      <c r="E17">
        <v>77.87</v>
      </c>
      <c r="F17">
        <v>2697100</v>
      </c>
      <c r="G17">
        <v>77.87</v>
      </c>
    </row>
    <row r="18" spans="1:7" x14ac:dyDescent="0.25">
      <c r="A18" s="34">
        <v>41843</v>
      </c>
      <c r="B18">
        <v>77.819999999999993</v>
      </c>
      <c r="C18">
        <v>78.19</v>
      </c>
      <c r="D18">
        <v>77.569999999999993</v>
      </c>
      <c r="E18">
        <v>78.13</v>
      </c>
      <c r="F18">
        <v>2314500</v>
      </c>
      <c r="G18">
        <v>78.13</v>
      </c>
    </row>
    <row r="19" spans="1:7" x14ac:dyDescent="0.25">
      <c r="A19" s="34">
        <v>41844</v>
      </c>
      <c r="B19">
        <v>78.34</v>
      </c>
      <c r="C19">
        <v>79.010000000000005</v>
      </c>
      <c r="D19">
        <v>78.16</v>
      </c>
      <c r="E19">
        <v>78.89</v>
      </c>
      <c r="F19">
        <v>3798100</v>
      </c>
      <c r="G19">
        <v>78.89</v>
      </c>
    </row>
    <row r="20" spans="1:7" x14ac:dyDescent="0.25">
      <c r="A20" s="34">
        <v>41845</v>
      </c>
      <c r="B20">
        <v>78.75</v>
      </c>
      <c r="C20">
        <v>79.209999999999994</v>
      </c>
      <c r="D20">
        <v>78.61</v>
      </c>
      <c r="E20">
        <v>79.12</v>
      </c>
      <c r="F20">
        <v>3295000</v>
      </c>
      <c r="G20">
        <v>79.12</v>
      </c>
    </row>
    <row r="21" spans="1:7" x14ac:dyDescent="0.25">
      <c r="A21" s="34">
        <v>41848</v>
      </c>
      <c r="B21">
        <v>79</v>
      </c>
      <c r="C21">
        <v>79.150000000000006</v>
      </c>
      <c r="D21">
        <v>78.19</v>
      </c>
      <c r="E21">
        <v>78.38</v>
      </c>
      <c r="F21">
        <v>4278500</v>
      </c>
      <c r="G21">
        <v>78.38</v>
      </c>
    </row>
    <row r="22" spans="1:7" x14ac:dyDescent="0.25">
      <c r="A22" s="34">
        <v>41849</v>
      </c>
      <c r="B22">
        <v>78.489999999999995</v>
      </c>
      <c r="C22">
        <v>78.64</v>
      </c>
      <c r="D22">
        <v>77.81</v>
      </c>
      <c r="E22">
        <v>77.81</v>
      </c>
      <c r="F22">
        <v>3372500</v>
      </c>
      <c r="G22">
        <v>77.81</v>
      </c>
    </row>
    <row r="23" spans="1:7" x14ac:dyDescent="0.25">
      <c r="A23" s="34">
        <v>41850</v>
      </c>
      <c r="B23">
        <v>78</v>
      </c>
      <c r="C23">
        <v>78.2</v>
      </c>
      <c r="D23">
        <v>77.430000000000007</v>
      </c>
      <c r="E23">
        <v>77.739999999999995</v>
      </c>
      <c r="F23">
        <v>4014400</v>
      </c>
      <c r="G23">
        <v>77.739999999999995</v>
      </c>
    </row>
    <row r="24" spans="1:7" x14ac:dyDescent="0.25">
      <c r="A24" s="34">
        <v>41851</v>
      </c>
      <c r="B24">
        <v>77.31</v>
      </c>
      <c r="C24">
        <v>77.739999999999995</v>
      </c>
      <c r="D24">
        <v>76.36</v>
      </c>
      <c r="E24">
        <v>76.36</v>
      </c>
      <c r="F24">
        <v>4385900</v>
      </c>
      <c r="G24">
        <v>76.36</v>
      </c>
    </row>
    <row r="25" spans="1:7" x14ac:dyDescent="0.25">
      <c r="A25" s="34">
        <v>41852</v>
      </c>
      <c r="B25">
        <v>76.2</v>
      </c>
      <c r="C25">
        <v>77.09</v>
      </c>
      <c r="D25">
        <v>76.2</v>
      </c>
      <c r="E25">
        <v>76.489999999999995</v>
      </c>
      <c r="F25">
        <v>4483000</v>
      </c>
      <c r="G25">
        <v>76.489999999999995</v>
      </c>
    </row>
    <row r="26" spans="1:7" x14ac:dyDescent="0.25">
      <c r="A26" s="34">
        <v>41855</v>
      </c>
      <c r="B26">
        <v>76.52</v>
      </c>
      <c r="C26">
        <v>77.48</v>
      </c>
      <c r="D26">
        <v>76.5</v>
      </c>
      <c r="E26">
        <v>77.37</v>
      </c>
      <c r="F26">
        <v>4396200</v>
      </c>
      <c r="G26">
        <v>77.37</v>
      </c>
    </row>
    <row r="27" spans="1:7" x14ac:dyDescent="0.25">
      <c r="A27" s="34">
        <v>41856</v>
      </c>
      <c r="B27">
        <v>78.010000000000005</v>
      </c>
      <c r="C27">
        <v>78.959999999999994</v>
      </c>
      <c r="D27">
        <v>76.17</v>
      </c>
      <c r="E27">
        <v>77.27</v>
      </c>
      <c r="F27">
        <v>6797600</v>
      </c>
      <c r="G27">
        <v>77.27</v>
      </c>
    </row>
    <row r="28" spans="1:7" x14ac:dyDescent="0.25">
      <c r="A28" s="34">
        <v>41857</v>
      </c>
      <c r="B28">
        <v>74.72</v>
      </c>
      <c r="C28">
        <v>77.430000000000007</v>
      </c>
      <c r="D28">
        <v>74.69</v>
      </c>
      <c r="E28">
        <v>77.03</v>
      </c>
      <c r="F28">
        <v>11306300</v>
      </c>
      <c r="G28">
        <v>77.03</v>
      </c>
    </row>
    <row r="29" spans="1:7" x14ac:dyDescent="0.25">
      <c r="A29" s="34">
        <v>41858</v>
      </c>
      <c r="B29">
        <v>77.5</v>
      </c>
      <c r="C29">
        <v>77.63</v>
      </c>
      <c r="D29">
        <v>75.63</v>
      </c>
      <c r="E29">
        <v>76.11</v>
      </c>
      <c r="F29">
        <v>5665500</v>
      </c>
      <c r="G29">
        <v>76.11</v>
      </c>
    </row>
    <row r="30" spans="1:7" x14ac:dyDescent="0.25">
      <c r="A30" s="34">
        <v>41859</v>
      </c>
      <c r="B30">
        <v>76.25</v>
      </c>
      <c r="C30">
        <v>77.92</v>
      </c>
      <c r="D30">
        <v>76.180000000000007</v>
      </c>
      <c r="E30">
        <v>77.81</v>
      </c>
      <c r="F30">
        <v>4574600</v>
      </c>
      <c r="G30">
        <v>77.81</v>
      </c>
    </row>
    <row r="31" spans="1:7" x14ac:dyDescent="0.25">
      <c r="A31" s="34">
        <v>41862</v>
      </c>
      <c r="B31">
        <v>78.02</v>
      </c>
      <c r="C31">
        <v>78.69</v>
      </c>
      <c r="D31">
        <v>77.95</v>
      </c>
      <c r="E31">
        <v>78.36</v>
      </c>
      <c r="F31">
        <v>3248700</v>
      </c>
      <c r="G31">
        <v>78.36</v>
      </c>
    </row>
    <row r="32" spans="1:7" x14ac:dyDescent="0.25">
      <c r="A32" s="34">
        <v>41863</v>
      </c>
      <c r="B32">
        <v>78.209999999999994</v>
      </c>
      <c r="C32">
        <v>78.84</v>
      </c>
      <c r="D32">
        <v>78.12</v>
      </c>
      <c r="E32">
        <v>78.67</v>
      </c>
      <c r="F32">
        <v>2425000</v>
      </c>
      <c r="G32">
        <v>78.67</v>
      </c>
    </row>
    <row r="33" spans="1:7" x14ac:dyDescent="0.25">
      <c r="A33" s="34">
        <v>41864</v>
      </c>
      <c r="B33">
        <v>78.930000000000007</v>
      </c>
      <c r="C33">
        <v>79.150000000000006</v>
      </c>
      <c r="D33">
        <v>78.44</v>
      </c>
      <c r="E33">
        <v>78.91</v>
      </c>
      <c r="F33">
        <v>3448300</v>
      </c>
      <c r="G33">
        <v>78.91</v>
      </c>
    </row>
    <row r="34" spans="1:7" x14ac:dyDescent="0.25">
      <c r="A34" s="34">
        <v>41865</v>
      </c>
      <c r="B34">
        <v>79.06</v>
      </c>
      <c r="C34">
        <v>79.34</v>
      </c>
      <c r="D34">
        <v>78.89</v>
      </c>
      <c r="E34">
        <v>79.3</v>
      </c>
      <c r="F34">
        <v>2696200</v>
      </c>
      <c r="G34">
        <v>79.3</v>
      </c>
    </row>
    <row r="35" spans="1:7" x14ac:dyDescent="0.25">
      <c r="A35" s="34">
        <v>41866</v>
      </c>
      <c r="B35">
        <v>79.3</v>
      </c>
      <c r="C35">
        <v>79.5</v>
      </c>
      <c r="D35">
        <v>78.44</v>
      </c>
      <c r="E35">
        <v>78.91</v>
      </c>
      <c r="F35">
        <v>3308500</v>
      </c>
      <c r="G35">
        <v>78.91</v>
      </c>
    </row>
    <row r="36" spans="1:7" x14ac:dyDescent="0.25">
      <c r="A36" s="34">
        <v>41869</v>
      </c>
      <c r="B36">
        <v>79.16</v>
      </c>
      <c r="C36">
        <v>79.430000000000007</v>
      </c>
      <c r="D36">
        <v>78.900000000000006</v>
      </c>
      <c r="E36">
        <v>79.150000000000006</v>
      </c>
      <c r="F36">
        <v>2205900</v>
      </c>
      <c r="G36">
        <v>79.150000000000006</v>
      </c>
    </row>
    <row r="37" spans="1:7" x14ac:dyDescent="0.25">
      <c r="A37" s="34">
        <v>41870</v>
      </c>
      <c r="B37">
        <v>79.3</v>
      </c>
      <c r="C37">
        <v>79.540000000000006</v>
      </c>
      <c r="D37">
        <v>78.97</v>
      </c>
      <c r="E37">
        <v>79.53</v>
      </c>
      <c r="F37">
        <v>2251800</v>
      </c>
      <c r="G37">
        <v>79.53</v>
      </c>
    </row>
    <row r="38" spans="1:7" x14ac:dyDescent="0.25">
      <c r="A38" s="34">
        <v>41871</v>
      </c>
      <c r="B38">
        <v>79.44</v>
      </c>
      <c r="C38">
        <v>79.760000000000005</v>
      </c>
      <c r="D38">
        <v>79.17</v>
      </c>
      <c r="E38">
        <v>79.61</v>
      </c>
      <c r="F38">
        <v>2584500</v>
      </c>
      <c r="G38">
        <v>79.61</v>
      </c>
    </row>
    <row r="39" spans="1:7" x14ac:dyDescent="0.25">
      <c r="A39" s="34">
        <v>41872</v>
      </c>
      <c r="B39">
        <v>79.790000000000006</v>
      </c>
      <c r="C39">
        <v>79.819999999999993</v>
      </c>
      <c r="D39">
        <v>78.930000000000007</v>
      </c>
      <c r="E39">
        <v>78.98</v>
      </c>
      <c r="F39">
        <v>2597400</v>
      </c>
      <c r="G39">
        <v>78.98</v>
      </c>
    </row>
    <row r="40" spans="1:7" x14ac:dyDescent="0.25">
      <c r="A40" s="34">
        <v>41873</v>
      </c>
      <c r="B40">
        <v>78.91</v>
      </c>
      <c r="C40">
        <v>79.599999999999994</v>
      </c>
      <c r="D40">
        <v>78.91</v>
      </c>
      <c r="E40">
        <v>79.239999999999995</v>
      </c>
      <c r="F40">
        <v>3502200</v>
      </c>
      <c r="G40">
        <v>79.239999999999995</v>
      </c>
    </row>
    <row r="41" spans="1:7" x14ac:dyDescent="0.25">
      <c r="A41" s="34">
        <v>41876</v>
      </c>
      <c r="B41">
        <v>79.44</v>
      </c>
      <c r="C41">
        <v>79.77</v>
      </c>
      <c r="D41">
        <v>79.11</v>
      </c>
      <c r="E41">
        <v>79.209999999999994</v>
      </c>
      <c r="F41">
        <v>2500700</v>
      </c>
      <c r="G41">
        <v>79.209999999999994</v>
      </c>
    </row>
    <row r="42" spans="1:7" x14ac:dyDescent="0.25">
      <c r="A42" s="34">
        <v>41877</v>
      </c>
      <c r="B42">
        <v>79.17</v>
      </c>
      <c r="C42">
        <v>79.64</v>
      </c>
      <c r="D42">
        <v>78.900000000000006</v>
      </c>
      <c r="E42">
        <v>79.349999999999994</v>
      </c>
      <c r="F42">
        <v>2727200</v>
      </c>
      <c r="G42">
        <v>79.349999999999994</v>
      </c>
    </row>
    <row r="43" spans="1:7" x14ac:dyDescent="0.25">
      <c r="A43" s="34">
        <v>41878</v>
      </c>
      <c r="B43">
        <v>79.48</v>
      </c>
      <c r="C43">
        <v>79.75</v>
      </c>
      <c r="D43">
        <v>79.25</v>
      </c>
      <c r="E43">
        <v>79.430000000000007</v>
      </c>
      <c r="F43">
        <v>2093100</v>
      </c>
      <c r="G43">
        <v>79.430000000000007</v>
      </c>
    </row>
    <row r="44" spans="1:7" x14ac:dyDescent="0.25">
      <c r="A44" s="34">
        <v>41879</v>
      </c>
      <c r="B44">
        <v>79.31</v>
      </c>
      <c r="C44">
        <v>79.599999999999994</v>
      </c>
      <c r="D44">
        <v>78.97</v>
      </c>
      <c r="E44">
        <v>79.430000000000007</v>
      </c>
      <c r="F44">
        <v>1811400</v>
      </c>
      <c r="G44">
        <v>79.430000000000007</v>
      </c>
    </row>
    <row r="45" spans="1:7" x14ac:dyDescent="0.25">
      <c r="A45" s="34">
        <v>41880</v>
      </c>
      <c r="B45">
        <v>79.5</v>
      </c>
      <c r="C45">
        <v>79.8</v>
      </c>
      <c r="D45">
        <v>79.28</v>
      </c>
      <c r="E45">
        <v>79.45</v>
      </c>
      <c r="F45">
        <v>2416200</v>
      </c>
      <c r="G45">
        <v>79.45</v>
      </c>
    </row>
    <row r="46" spans="1:7" x14ac:dyDescent="0.25">
      <c r="A46" s="34">
        <v>41884</v>
      </c>
      <c r="B46">
        <v>79.47</v>
      </c>
      <c r="C46">
        <v>79.790000000000006</v>
      </c>
      <c r="D46">
        <v>79.22</v>
      </c>
      <c r="E46">
        <v>79.73</v>
      </c>
      <c r="F46">
        <v>2565800</v>
      </c>
      <c r="G46">
        <v>79.73</v>
      </c>
    </row>
    <row r="47" spans="1:7" x14ac:dyDescent="0.25">
      <c r="A47" s="34">
        <v>41885</v>
      </c>
      <c r="B47">
        <v>79.89</v>
      </c>
      <c r="C47">
        <v>80.62</v>
      </c>
      <c r="D47">
        <v>79.67</v>
      </c>
      <c r="E47">
        <v>80.36</v>
      </c>
      <c r="F47">
        <v>3512200</v>
      </c>
      <c r="G47">
        <v>80.36</v>
      </c>
    </row>
    <row r="48" spans="1:7" x14ac:dyDescent="0.25">
      <c r="A48" s="34">
        <v>41886</v>
      </c>
      <c r="B48">
        <v>80.430000000000007</v>
      </c>
      <c r="C48">
        <v>81.16</v>
      </c>
      <c r="D48">
        <v>80.02</v>
      </c>
      <c r="E48">
        <v>80.31</v>
      </c>
      <c r="F48">
        <v>4924000</v>
      </c>
      <c r="G48">
        <v>80.31</v>
      </c>
    </row>
    <row r="49" spans="1:7" x14ac:dyDescent="0.25">
      <c r="A49" s="34">
        <v>41887</v>
      </c>
      <c r="B49">
        <v>80.47</v>
      </c>
      <c r="C49">
        <v>81.650000000000006</v>
      </c>
      <c r="D49">
        <v>80.11</v>
      </c>
      <c r="E49">
        <v>81.64</v>
      </c>
      <c r="F49">
        <v>3567400</v>
      </c>
      <c r="G49">
        <v>81.64</v>
      </c>
    </row>
    <row r="50" spans="1:7" x14ac:dyDescent="0.25">
      <c r="A50" s="34">
        <v>41890</v>
      </c>
      <c r="B50">
        <v>81.72</v>
      </c>
      <c r="C50">
        <v>82.12</v>
      </c>
      <c r="D50">
        <v>81.150000000000006</v>
      </c>
      <c r="E50">
        <v>81.400000000000006</v>
      </c>
      <c r="F50">
        <v>3357600</v>
      </c>
      <c r="G50">
        <v>81.400000000000006</v>
      </c>
    </row>
    <row r="51" spans="1:7" x14ac:dyDescent="0.25">
      <c r="A51" s="34">
        <v>41891</v>
      </c>
      <c r="B51">
        <v>81.5</v>
      </c>
      <c r="C51">
        <v>81.56</v>
      </c>
      <c r="D51">
        <v>80.569999999999993</v>
      </c>
      <c r="E51">
        <v>80.86</v>
      </c>
      <c r="F51">
        <v>3849300</v>
      </c>
      <c r="G51">
        <v>80.86</v>
      </c>
    </row>
    <row r="52" spans="1:7" x14ac:dyDescent="0.25">
      <c r="A52" s="34">
        <v>41892</v>
      </c>
      <c r="B52">
        <v>80.78</v>
      </c>
      <c r="C52">
        <v>81.19</v>
      </c>
      <c r="D52">
        <v>80.59</v>
      </c>
      <c r="E52">
        <v>80.91</v>
      </c>
      <c r="F52">
        <v>2751100</v>
      </c>
      <c r="G52">
        <v>80.91</v>
      </c>
    </row>
    <row r="53" spans="1:7" x14ac:dyDescent="0.25">
      <c r="A53" s="34">
        <v>41893</v>
      </c>
      <c r="B53">
        <v>80.760000000000005</v>
      </c>
      <c r="C53">
        <v>81.22</v>
      </c>
      <c r="D53">
        <v>80.75</v>
      </c>
      <c r="E53">
        <v>81.09</v>
      </c>
      <c r="F53">
        <v>3926300</v>
      </c>
      <c r="G53">
        <v>81.09</v>
      </c>
    </row>
    <row r="54" spans="1:7" x14ac:dyDescent="0.25">
      <c r="A54" s="34">
        <v>41894</v>
      </c>
      <c r="B54">
        <v>81.36</v>
      </c>
      <c r="C54">
        <v>81.36</v>
      </c>
      <c r="D54">
        <v>80.33</v>
      </c>
      <c r="E54">
        <v>80.569999999999993</v>
      </c>
      <c r="F54">
        <v>2867800</v>
      </c>
      <c r="G54">
        <v>80.569999999999993</v>
      </c>
    </row>
    <row r="55" spans="1:7" x14ac:dyDescent="0.25">
      <c r="A55" s="34">
        <v>41897</v>
      </c>
      <c r="B55">
        <v>81.05</v>
      </c>
      <c r="C55">
        <v>81.28</v>
      </c>
      <c r="D55">
        <v>80.900000000000006</v>
      </c>
      <c r="E55">
        <v>81.239999999999995</v>
      </c>
      <c r="F55">
        <v>4369500</v>
      </c>
      <c r="G55">
        <v>81.239999999999995</v>
      </c>
    </row>
  </sheetData>
  <sortState ref="A3:G55">
    <sortCondition ref="A3:A55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130.94</v>
      </c>
      <c r="C3">
        <v>131.41999999999999</v>
      </c>
      <c r="D3">
        <v>130.46</v>
      </c>
      <c r="E3">
        <v>130.54</v>
      </c>
      <c r="F3">
        <v>4000500</v>
      </c>
      <c r="G3">
        <v>129.44</v>
      </c>
    </row>
    <row r="4" spans="1:7" x14ac:dyDescent="0.25">
      <c r="A4" s="34">
        <v>41822</v>
      </c>
      <c r="B4">
        <v>130.53</v>
      </c>
      <c r="C4">
        <v>130.91999999999999</v>
      </c>
      <c r="D4">
        <v>129.99</v>
      </c>
      <c r="E4">
        <v>130.22999999999999</v>
      </c>
      <c r="F4">
        <v>5136800</v>
      </c>
      <c r="G4">
        <v>129.13</v>
      </c>
    </row>
    <row r="5" spans="1:7" x14ac:dyDescent="0.25">
      <c r="A5" s="34">
        <v>41823</v>
      </c>
      <c r="B5">
        <v>131.44</v>
      </c>
      <c r="C5">
        <v>131.59</v>
      </c>
      <c r="D5">
        <v>130.72</v>
      </c>
      <c r="E5">
        <v>131.19</v>
      </c>
      <c r="F5">
        <v>3514000</v>
      </c>
      <c r="G5">
        <v>130.08000000000001</v>
      </c>
    </row>
    <row r="6" spans="1:7" x14ac:dyDescent="0.25">
      <c r="A6" s="34">
        <v>41827</v>
      </c>
      <c r="B6">
        <v>130.44</v>
      </c>
      <c r="C6">
        <v>130.63999999999999</v>
      </c>
      <c r="D6">
        <v>130.02000000000001</v>
      </c>
      <c r="E6">
        <v>130.47</v>
      </c>
      <c r="F6">
        <v>3660000</v>
      </c>
      <c r="G6">
        <v>129.37</v>
      </c>
    </row>
    <row r="7" spans="1:7" x14ac:dyDescent="0.25">
      <c r="A7" s="34">
        <v>41828</v>
      </c>
      <c r="B7">
        <v>129.69999999999999</v>
      </c>
      <c r="C7">
        <v>130.38</v>
      </c>
      <c r="D7">
        <v>129.52000000000001</v>
      </c>
      <c r="E7">
        <v>129.9</v>
      </c>
      <c r="F7">
        <v>4687600</v>
      </c>
      <c r="G7">
        <v>128.81</v>
      </c>
    </row>
    <row r="8" spans="1:7" x14ac:dyDescent="0.25">
      <c r="A8" s="34">
        <v>41829</v>
      </c>
      <c r="B8">
        <v>130.27000000000001</v>
      </c>
      <c r="C8">
        <v>131.69</v>
      </c>
      <c r="D8">
        <v>129.99</v>
      </c>
      <c r="E8">
        <v>131.38999999999999</v>
      </c>
      <c r="F8">
        <v>5200800</v>
      </c>
      <c r="G8">
        <v>130.28</v>
      </c>
    </row>
    <row r="9" spans="1:7" x14ac:dyDescent="0.25">
      <c r="A9" s="34">
        <v>41830</v>
      </c>
      <c r="B9">
        <v>130.47999999999999</v>
      </c>
      <c r="C9">
        <v>130.86000000000001</v>
      </c>
      <c r="D9">
        <v>129.9</v>
      </c>
      <c r="E9">
        <v>130.25</v>
      </c>
      <c r="F9">
        <v>4404800</v>
      </c>
      <c r="G9">
        <v>129.15</v>
      </c>
    </row>
    <row r="10" spans="1:7" x14ac:dyDescent="0.25">
      <c r="A10" s="34">
        <v>41831</v>
      </c>
      <c r="B10">
        <v>129.13</v>
      </c>
      <c r="C10">
        <v>129.88999999999999</v>
      </c>
      <c r="D10">
        <v>128.03</v>
      </c>
      <c r="E10">
        <v>128.47</v>
      </c>
      <c r="F10">
        <v>5242700</v>
      </c>
      <c r="G10">
        <v>127.39</v>
      </c>
    </row>
    <row r="11" spans="1:7" x14ac:dyDescent="0.25">
      <c r="A11" s="34">
        <v>41834</v>
      </c>
      <c r="B11">
        <v>128.80000000000001</v>
      </c>
      <c r="C11">
        <v>129.5</v>
      </c>
      <c r="D11">
        <v>128.38</v>
      </c>
      <c r="E11">
        <v>129.26</v>
      </c>
      <c r="F11">
        <v>4135800</v>
      </c>
      <c r="G11">
        <v>128.16999999999999</v>
      </c>
    </row>
    <row r="12" spans="1:7" x14ac:dyDescent="0.25">
      <c r="A12" s="34">
        <v>41835</v>
      </c>
      <c r="B12">
        <v>129.07</v>
      </c>
      <c r="C12">
        <v>129.5</v>
      </c>
      <c r="D12">
        <v>128.61000000000001</v>
      </c>
      <c r="E12">
        <v>129.26</v>
      </c>
      <c r="F12">
        <v>4845000</v>
      </c>
      <c r="G12">
        <v>128.16999999999999</v>
      </c>
    </row>
    <row r="13" spans="1:7" x14ac:dyDescent="0.25">
      <c r="A13" s="34">
        <v>41836</v>
      </c>
      <c r="B13">
        <v>129.88999999999999</v>
      </c>
      <c r="C13">
        <v>130.94</v>
      </c>
      <c r="D13">
        <v>129.69</v>
      </c>
      <c r="E13">
        <v>130.88999999999999</v>
      </c>
      <c r="F13">
        <v>4491800</v>
      </c>
      <c r="G13">
        <v>129.79</v>
      </c>
    </row>
    <row r="14" spans="1:7" x14ac:dyDescent="0.25">
      <c r="A14" s="34">
        <v>41837</v>
      </c>
      <c r="B14">
        <v>130.63999999999999</v>
      </c>
      <c r="C14">
        <v>131.5</v>
      </c>
      <c r="D14">
        <v>129.88</v>
      </c>
      <c r="E14">
        <v>130.08000000000001</v>
      </c>
      <c r="F14">
        <v>4953600</v>
      </c>
      <c r="G14">
        <v>128.97999999999999</v>
      </c>
    </row>
    <row r="15" spans="1:7" x14ac:dyDescent="0.25">
      <c r="A15" s="34">
        <v>41838</v>
      </c>
      <c r="B15">
        <v>130.63999999999999</v>
      </c>
      <c r="C15">
        <v>130.72999999999999</v>
      </c>
      <c r="D15">
        <v>129.58000000000001</v>
      </c>
      <c r="E15">
        <v>130.38999999999999</v>
      </c>
      <c r="F15">
        <v>4339400</v>
      </c>
      <c r="G15">
        <v>129.29</v>
      </c>
    </row>
    <row r="16" spans="1:7" x14ac:dyDescent="0.25">
      <c r="A16" s="34">
        <v>41841</v>
      </c>
      <c r="B16">
        <v>130.11000000000001</v>
      </c>
      <c r="C16">
        <v>131.34</v>
      </c>
      <c r="D16">
        <v>130.01</v>
      </c>
      <c r="E16">
        <v>131.29</v>
      </c>
      <c r="F16">
        <v>3714000</v>
      </c>
      <c r="G16">
        <v>130.18</v>
      </c>
    </row>
    <row r="17" spans="1:7" x14ac:dyDescent="0.25">
      <c r="A17" s="34">
        <v>41842</v>
      </c>
      <c r="B17">
        <v>131.55000000000001</v>
      </c>
      <c r="C17">
        <v>133.19999999999999</v>
      </c>
      <c r="D17">
        <v>131.55000000000001</v>
      </c>
      <c r="E17">
        <v>132.58000000000001</v>
      </c>
      <c r="F17">
        <v>4391700</v>
      </c>
      <c r="G17">
        <v>131.46</v>
      </c>
    </row>
    <row r="18" spans="1:7" x14ac:dyDescent="0.25">
      <c r="A18" s="34">
        <v>41843</v>
      </c>
      <c r="B18">
        <v>132.69999999999999</v>
      </c>
      <c r="C18">
        <v>133.93</v>
      </c>
      <c r="D18">
        <v>132.47999999999999</v>
      </c>
      <c r="E18">
        <v>133.88</v>
      </c>
      <c r="F18">
        <v>4589500</v>
      </c>
      <c r="G18">
        <v>132.75</v>
      </c>
    </row>
    <row r="19" spans="1:7" x14ac:dyDescent="0.25">
      <c r="A19" s="34">
        <v>41844</v>
      </c>
      <c r="B19">
        <v>134.03</v>
      </c>
      <c r="C19">
        <v>135.1</v>
      </c>
      <c r="D19">
        <v>133.69</v>
      </c>
      <c r="E19">
        <v>134.85</v>
      </c>
      <c r="F19">
        <v>5337900</v>
      </c>
      <c r="G19">
        <v>133.71</v>
      </c>
    </row>
    <row r="20" spans="1:7" x14ac:dyDescent="0.25">
      <c r="A20" s="34">
        <v>41845</v>
      </c>
      <c r="B20">
        <v>134.58000000000001</v>
      </c>
      <c r="C20">
        <v>134.61000000000001</v>
      </c>
      <c r="D20">
        <v>133.06</v>
      </c>
      <c r="E20">
        <v>133.57</v>
      </c>
      <c r="F20">
        <v>3702000</v>
      </c>
      <c r="G20">
        <v>132.44</v>
      </c>
    </row>
    <row r="21" spans="1:7" x14ac:dyDescent="0.25">
      <c r="A21" s="34">
        <v>41848</v>
      </c>
      <c r="B21">
        <v>133.56</v>
      </c>
      <c r="C21">
        <v>133.80000000000001</v>
      </c>
      <c r="D21">
        <v>132.88999999999999</v>
      </c>
      <c r="E21">
        <v>133.24</v>
      </c>
      <c r="F21">
        <v>4625000</v>
      </c>
      <c r="G21">
        <v>132.12</v>
      </c>
    </row>
    <row r="22" spans="1:7" x14ac:dyDescent="0.25">
      <c r="A22" s="34">
        <v>41849</v>
      </c>
      <c r="B22">
        <v>132.9</v>
      </c>
      <c r="C22">
        <v>133.72</v>
      </c>
      <c r="D22">
        <v>132.41999999999999</v>
      </c>
      <c r="E22">
        <v>132.41999999999999</v>
      </c>
      <c r="F22">
        <v>4189100</v>
      </c>
      <c r="G22">
        <v>131.30000000000001</v>
      </c>
    </row>
    <row r="23" spans="1:7" x14ac:dyDescent="0.25">
      <c r="A23" s="34">
        <v>41850</v>
      </c>
      <c r="B23">
        <v>132.97</v>
      </c>
      <c r="C23">
        <v>133.69</v>
      </c>
      <c r="D23">
        <v>131.5</v>
      </c>
      <c r="E23">
        <v>132.53</v>
      </c>
      <c r="F23">
        <v>4601800</v>
      </c>
      <c r="G23">
        <v>131.41</v>
      </c>
    </row>
    <row r="24" spans="1:7" x14ac:dyDescent="0.25">
      <c r="A24" s="34">
        <v>41851</v>
      </c>
      <c r="B24">
        <v>131.72999999999999</v>
      </c>
      <c r="C24">
        <v>131.97</v>
      </c>
      <c r="D24">
        <v>129.1</v>
      </c>
      <c r="E24">
        <v>129.24</v>
      </c>
      <c r="F24">
        <v>7973700</v>
      </c>
      <c r="G24">
        <v>128.15</v>
      </c>
    </row>
    <row r="25" spans="1:7" x14ac:dyDescent="0.25">
      <c r="A25" s="34">
        <v>41852</v>
      </c>
      <c r="B25">
        <v>127.76</v>
      </c>
      <c r="C25">
        <v>128.96</v>
      </c>
      <c r="D25">
        <v>126.36</v>
      </c>
      <c r="E25">
        <v>127.9</v>
      </c>
      <c r="F25">
        <v>7377800</v>
      </c>
      <c r="G25">
        <v>126.82</v>
      </c>
    </row>
    <row r="26" spans="1:7" x14ac:dyDescent="0.25">
      <c r="A26" s="34">
        <v>41855</v>
      </c>
      <c r="B26">
        <v>127.69</v>
      </c>
      <c r="C26">
        <v>128.36000000000001</v>
      </c>
      <c r="D26">
        <v>126.03</v>
      </c>
      <c r="E26">
        <v>128.16999999999999</v>
      </c>
      <c r="F26">
        <v>7360000</v>
      </c>
      <c r="G26">
        <v>127.09</v>
      </c>
    </row>
    <row r="27" spans="1:7" x14ac:dyDescent="0.25">
      <c r="A27" s="34">
        <v>41856</v>
      </c>
      <c r="B27">
        <v>127.81</v>
      </c>
      <c r="C27">
        <v>127.81</v>
      </c>
      <c r="D27">
        <v>124.58</v>
      </c>
      <c r="E27">
        <v>124.96</v>
      </c>
      <c r="F27">
        <v>8066700</v>
      </c>
      <c r="G27">
        <v>123.91</v>
      </c>
    </row>
    <row r="28" spans="1:7" x14ac:dyDescent="0.25">
      <c r="A28" s="34">
        <v>41857</v>
      </c>
      <c r="B28">
        <v>124.9</v>
      </c>
      <c r="C28">
        <v>126.97</v>
      </c>
      <c r="D28">
        <v>124.8</v>
      </c>
      <c r="E28">
        <v>125.73</v>
      </c>
      <c r="F28">
        <v>5134900</v>
      </c>
      <c r="G28">
        <v>124.67</v>
      </c>
    </row>
    <row r="29" spans="1:7" x14ac:dyDescent="0.25">
      <c r="A29" s="34">
        <v>41858</v>
      </c>
      <c r="B29">
        <v>126.19</v>
      </c>
      <c r="C29">
        <v>126.73</v>
      </c>
      <c r="D29">
        <v>124.83</v>
      </c>
      <c r="E29">
        <v>125.65</v>
      </c>
      <c r="F29">
        <v>4650700</v>
      </c>
      <c r="G29">
        <v>124.59</v>
      </c>
    </row>
    <row r="30" spans="1:7" x14ac:dyDescent="0.25">
      <c r="A30" s="34">
        <v>41859</v>
      </c>
      <c r="B30">
        <v>126.07</v>
      </c>
      <c r="C30">
        <v>127.96</v>
      </c>
      <c r="D30">
        <v>125.91</v>
      </c>
      <c r="E30">
        <v>127.86</v>
      </c>
      <c r="F30">
        <v>4730700</v>
      </c>
      <c r="G30">
        <v>126.78</v>
      </c>
    </row>
    <row r="31" spans="1:7" x14ac:dyDescent="0.25">
      <c r="A31" s="34">
        <v>41862</v>
      </c>
      <c r="B31">
        <v>128.16</v>
      </c>
      <c r="C31">
        <v>128.66999999999999</v>
      </c>
      <c r="D31">
        <v>127.54</v>
      </c>
      <c r="E31">
        <v>127.71</v>
      </c>
      <c r="F31">
        <v>3466500</v>
      </c>
      <c r="G31">
        <v>126.63</v>
      </c>
    </row>
    <row r="32" spans="1:7" x14ac:dyDescent="0.25">
      <c r="A32" s="34">
        <v>41863</v>
      </c>
      <c r="B32">
        <v>127.14</v>
      </c>
      <c r="C32">
        <v>127.28</v>
      </c>
      <c r="D32">
        <v>126.26</v>
      </c>
      <c r="E32">
        <v>127.09</v>
      </c>
      <c r="F32">
        <v>4944100</v>
      </c>
      <c r="G32">
        <v>126.02</v>
      </c>
    </row>
    <row r="33" spans="1:7" x14ac:dyDescent="0.25">
      <c r="A33" s="34">
        <v>41864</v>
      </c>
      <c r="B33">
        <v>127.64</v>
      </c>
      <c r="C33">
        <v>128.24</v>
      </c>
      <c r="D33">
        <v>126.87</v>
      </c>
      <c r="E33">
        <v>127.6</v>
      </c>
      <c r="F33">
        <v>3518200</v>
      </c>
      <c r="G33">
        <v>126.52</v>
      </c>
    </row>
    <row r="34" spans="1:7" x14ac:dyDescent="0.25">
      <c r="A34" s="34">
        <v>41865</v>
      </c>
      <c r="B34">
        <v>127.68</v>
      </c>
      <c r="C34">
        <v>127.7</v>
      </c>
      <c r="D34">
        <v>126.53</v>
      </c>
      <c r="E34">
        <v>126.96</v>
      </c>
      <c r="F34">
        <v>4524000</v>
      </c>
      <c r="G34">
        <v>125.89</v>
      </c>
    </row>
    <row r="35" spans="1:7" x14ac:dyDescent="0.25">
      <c r="A35" s="34">
        <v>41866</v>
      </c>
      <c r="B35">
        <v>126.42</v>
      </c>
      <c r="C35">
        <v>126.79</v>
      </c>
      <c r="D35">
        <v>125.68</v>
      </c>
      <c r="E35">
        <v>126.1</v>
      </c>
      <c r="F35">
        <v>5754300</v>
      </c>
      <c r="G35">
        <v>126.1</v>
      </c>
    </row>
    <row r="36" spans="1:7" x14ac:dyDescent="0.25">
      <c r="A36" s="34">
        <v>41869</v>
      </c>
      <c r="B36">
        <v>126.27</v>
      </c>
      <c r="C36">
        <v>126.59</v>
      </c>
      <c r="D36">
        <v>125.63</v>
      </c>
      <c r="E36">
        <v>126.3</v>
      </c>
      <c r="F36">
        <v>4630000</v>
      </c>
      <c r="G36">
        <v>126.3</v>
      </c>
    </row>
    <row r="37" spans="1:7" x14ac:dyDescent="0.25">
      <c r="A37" s="34">
        <v>41870</v>
      </c>
      <c r="B37">
        <v>126.72</v>
      </c>
      <c r="C37">
        <v>127.7</v>
      </c>
      <c r="D37">
        <v>126.55</v>
      </c>
      <c r="E37">
        <v>127.63</v>
      </c>
      <c r="F37">
        <v>3887800</v>
      </c>
      <c r="G37">
        <v>127.63</v>
      </c>
    </row>
    <row r="38" spans="1:7" x14ac:dyDescent="0.25">
      <c r="A38" s="34">
        <v>41871</v>
      </c>
      <c r="B38">
        <v>127.25</v>
      </c>
      <c r="C38">
        <v>127.6</v>
      </c>
      <c r="D38">
        <v>126.78</v>
      </c>
      <c r="E38">
        <v>127.49</v>
      </c>
      <c r="F38">
        <v>3230300</v>
      </c>
      <c r="G38">
        <v>127.49</v>
      </c>
    </row>
    <row r="39" spans="1:7" x14ac:dyDescent="0.25">
      <c r="A39" s="34">
        <v>41872</v>
      </c>
      <c r="B39">
        <v>127.68</v>
      </c>
      <c r="C39">
        <v>128.18</v>
      </c>
      <c r="D39">
        <v>127.18</v>
      </c>
      <c r="E39">
        <v>127.93</v>
      </c>
      <c r="F39">
        <v>2668100</v>
      </c>
      <c r="G39">
        <v>127.93</v>
      </c>
    </row>
    <row r="40" spans="1:7" x14ac:dyDescent="0.25">
      <c r="A40" s="34">
        <v>41873</v>
      </c>
      <c r="B40">
        <v>127.02</v>
      </c>
      <c r="C40">
        <v>127.5</v>
      </c>
      <c r="D40">
        <v>126.47</v>
      </c>
      <c r="E40">
        <v>127.11</v>
      </c>
      <c r="F40">
        <v>3236900</v>
      </c>
      <c r="G40">
        <v>127.11</v>
      </c>
    </row>
    <row r="41" spans="1:7" x14ac:dyDescent="0.25">
      <c r="A41" s="34">
        <v>41876</v>
      </c>
      <c r="B41">
        <v>127.57</v>
      </c>
      <c r="C41">
        <v>128.07</v>
      </c>
      <c r="D41">
        <v>127.38</v>
      </c>
      <c r="E41">
        <v>127.84</v>
      </c>
      <c r="F41">
        <v>2629200</v>
      </c>
      <c r="G41">
        <v>127.84</v>
      </c>
    </row>
    <row r="42" spans="1:7" x14ac:dyDescent="0.25">
      <c r="A42" s="34">
        <v>41877</v>
      </c>
      <c r="B42">
        <v>128.06</v>
      </c>
      <c r="C42">
        <v>128.71</v>
      </c>
      <c r="D42">
        <v>127.94</v>
      </c>
      <c r="E42">
        <v>128.25</v>
      </c>
      <c r="F42">
        <v>2822100</v>
      </c>
      <c r="G42">
        <v>128.25</v>
      </c>
    </row>
    <row r="43" spans="1:7" x14ac:dyDescent="0.25">
      <c r="A43" s="34">
        <v>41878</v>
      </c>
      <c r="B43">
        <v>128.41</v>
      </c>
      <c r="C43">
        <v>128.82</v>
      </c>
      <c r="D43">
        <v>128.19</v>
      </c>
      <c r="E43">
        <v>128.63999999999999</v>
      </c>
      <c r="F43">
        <v>2756000</v>
      </c>
      <c r="G43">
        <v>128.63999999999999</v>
      </c>
    </row>
    <row r="44" spans="1:7" x14ac:dyDescent="0.25">
      <c r="A44" s="34">
        <v>41879</v>
      </c>
      <c r="B44">
        <v>128.28</v>
      </c>
      <c r="C44">
        <v>128.9</v>
      </c>
      <c r="D44">
        <v>128.25</v>
      </c>
      <c r="E44">
        <v>128.75</v>
      </c>
      <c r="F44">
        <v>2409000</v>
      </c>
      <c r="G44">
        <v>128.75</v>
      </c>
    </row>
    <row r="45" spans="1:7" x14ac:dyDescent="0.25">
      <c r="A45" s="34">
        <v>41880</v>
      </c>
      <c r="B45">
        <v>129</v>
      </c>
      <c r="C45">
        <v>129.53</v>
      </c>
      <c r="D45">
        <v>128.5</v>
      </c>
      <c r="E45">
        <v>129.44999999999999</v>
      </c>
      <c r="F45">
        <v>3519000</v>
      </c>
      <c r="G45">
        <v>129.44999999999999</v>
      </c>
    </row>
    <row r="46" spans="1:7" x14ac:dyDescent="0.25">
      <c r="A46" s="34">
        <v>41884</v>
      </c>
      <c r="B46">
        <v>129.19999999999999</v>
      </c>
      <c r="C46">
        <v>129.38</v>
      </c>
      <c r="D46">
        <v>127.06</v>
      </c>
      <c r="E46">
        <v>127.54</v>
      </c>
      <c r="F46">
        <v>4744500</v>
      </c>
      <c r="G46">
        <v>127.54</v>
      </c>
    </row>
    <row r="47" spans="1:7" x14ac:dyDescent="0.25">
      <c r="A47" s="34">
        <v>41885</v>
      </c>
      <c r="B47">
        <v>128.44999999999999</v>
      </c>
      <c r="C47">
        <v>128.88</v>
      </c>
      <c r="D47">
        <v>127.67</v>
      </c>
      <c r="E47">
        <v>127.86</v>
      </c>
      <c r="F47">
        <v>3846300</v>
      </c>
      <c r="G47">
        <v>127.86</v>
      </c>
    </row>
    <row r="48" spans="1:7" x14ac:dyDescent="0.25">
      <c r="A48" s="34">
        <v>41886</v>
      </c>
      <c r="B48">
        <v>128.21</v>
      </c>
      <c r="C48">
        <v>128.46</v>
      </c>
      <c r="D48">
        <v>126.2</v>
      </c>
      <c r="E48">
        <v>126.8</v>
      </c>
      <c r="F48">
        <v>5191200</v>
      </c>
      <c r="G48">
        <v>126.8</v>
      </c>
    </row>
    <row r="49" spans="1:7" x14ac:dyDescent="0.25">
      <c r="A49" s="34">
        <v>41887</v>
      </c>
      <c r="B49">
        <v>127.15</v>
      </c>
      <c r="C49">
        <v>127.44</v>
      </c>
      <c r="D49">
        <v>126.16</v>
      </c>
      <c r="E49">
        <v>127.4</v>
      </c>
      <c r="F49">
        <v>5035500</v>
      </c>
      <c r="G49">
        <v>127.4</v>
      </c>
    </row>
    <row r="50" spans="1:7" x14ac:dyDescent="0.25">
      <c r="A50" s="34">
        <v>41890</v>
      </c>
      <c r="B50">
        <v>126.68</v>
      </c>
      <c r="C50">
        <v>126.75</v>
      </c>
      <c r="D50">
        <v>125.69</v>
      </c>
      <c r="E50">
        <v>126.21</v>
      </c>
      <c r="F50">
        <v>4200800</v>
      </c>
      <c r="G50">
        <v>126.21</v>
      </c>
    </row>
    <row r="51" spans="1:7" x14ac:dyDescent="0.25">
      <c r="A51" s="34">
        <v>41891</v>
      </c>
      <c r="B51">
        <v>124.49</v>
      </c>
      <c r="C51">
        <v>125.79</v>
      </c>
      <c r="D51">
        <v>124.26</v>
      </c>
      <c r="E51">
        <v>125.18</v>
      </c>
      <c r="F51">
        <v>6721600</v>
      </c>
      <c r="G51">
        <v>125.18</v>
      </c>
    </row>
    <row r="52" spans="1:7" x14ac:dyDescent="0.25">
      <c r="A52" s="34">
        <v>41892</v>
      </c>
      <c r="B52">
        <v>124.46</v>
      </c>
      <c r="C52">
        <v>124.74</v>
      </c>
      <c r="D52">
        <v>123.01</v>
      </c>
      <c r="E52">
        <v>124.28</v>
      </c>
      <c r="F52">
        <v>10941800</v>
      </c>
      <c r="G52">
        <v>124.28</v>
      </c>
    </row>
    <row r="53" spans="1:7" x14ac:dyDescent="0.25">
      <c r="A53" s="34">
        <v>41893</v>
      </c>
      <c r="B53">
        <v>123.28</v>
      </c>
      <c r="C53">
        <v>124.07</v>
      </c>
      <c r="D53">
        <v>122.41</v>
      </c>
      <c r="E53">
        <v>123.83</v>
      </c>
      <c r="F53">
        <v>6569600</v>
      </c>
      <c r="G53">
        <v>123.83</v>
      </c>
    </row>
    <row r="54" spans="1:7" x14ac:dyDescent="0.25">
      <c r="A54" s="34">
        <v>41894</v>
      </c>
      <c r="B54">
        <v>123.54</v>
      </c>
      <c r="C54">
        <v>123.66</v>
      </c>
      <c r="D54">
        <v>122.21</v>
      </c>
      <c r="E54">
        <v>122.66</v>
      </c>
      <c r="F54">
        <v>4915600</v>
      </c>
      <c r="G54">
        <v>122.66</v>
      </c>
    </row>
    <row r="55" spans="1:7" x14ac:dyDescent="0.25">
      <c r="A55" s="34">
        <v>41897</v>
      </c>
      <c r="B55">
        <v>122.35</v>
      </c>
      <c r="C55">
        <v>124.78</v>
      </c>
      <c r="D55">
        <v>122.06</v>
      </c>
      <c r="E55">
        <v>124.24</v>
      </c>
      <c r="F55">
        <v>5437600</v>
      </c>
      <c r="G55">
        <v>124.24</v>
      </c>
    </row>
  </sheetData>
  <sortState ref="A3:G55">
    <sortCondition ref="A3:A55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64.989999999999995</v>
      </c>
      <c r="C3">
        <v>65.75</v>
      </c>
      <c r="D3">
        <v>64.680000000000007</v>
      </c>
      <c r="E3">
        <v>65.41</v>
      </c>
      <c r="F3">
        <v>5075800</v>
      </c>
      <c r="G3">
        <v>64.94</v>
      </c>
    </row>
    <row r="4" spans="1:7" x14ac:dyDescent="0.25">
      <c r="A4" s="34">
        <v>41822</v>
      </c>
      <c r="B4">
        <v>65.05</v>
      </c>
      <c r="C4">
        <v>65.400000000000006</v>
      </c>
      <c r="D4">
        <v>64.75</v>
      </c>
      <c r="E4">
        <v>65.36</v>
      </c>
      <c r="F4">
        <v>3907200</v>
      </c>
      <c r="G4">
        <v>64.89</v>
      </c>
    </row>
    <row r="5" spans="1:7" x14ac:dyDescent="0.25">
      <c r="A5" s="34">
        <v>41823</v>
      </c>
      <c r="B5">
        <v>65.400000000000006</v>
      </c>
      <c r="C5">
        <v>65.98</v>
      </c>
      <c r="D5">
        <v>65.290000000000006</v>
      </c>
      <c r="E5">
        <v>65.8</v>
      </c>
      <c r="F5">
        <v>2884400</v>
      </c>
      <c r="G5">
        <v>65.33</v>
      </c>
    </row>
    <row r="6" spans="1:7" x14ac:dyDescent="0.25">
      <c r="A6" s="34">
        <v>41827</v>
      </c>
      <c r="B6">
        <v>65.56</v>
      </c>
      <c r="C6">
        <v>65.75</v>
      </c>
      <c r="D6">
        <v>65.099999999999994</v>
      </c>
      <c r="E6">
        <v>65.64</v>
      </c>
      <c r="F6">
        <v>3562200</v>
      </c>
      <c r="G6">
        <v>65.17</v>
      </c>
    </row>
    <row r="7" spans="1:7" x14ac:dyDescent="0.25">
      <c r="A7" s="34">
        <v>41828</v>
      </c>
      <c r="B7">
        <v>65.650000000000006</v>
      </c>
      <c r="C7">
        <v>65.650000000000006</v>
      </c>
      <c r="D7">
        <v>64.95</v>
      </c>
      <c r="E7">
        <v>65.33</v>
      </c>
      <c r="F7">
        <v>3337800</v>
      </c>
      <c r="G7">
        <v>64.86</v>
      </c>
    </row>
    <row r="8" spans="1:7" x14ac:dyDescent="0.25">
      <c r="A8" s="34">
        <v>41829</v>
      </c>
      <c r="B8">
        <v>65.349999999999994</v>
      </c>
      <c r="C8">
        <v>65.489999999999995</v>
      </c>
      <c r="D8">
        <v>64.98</v>
      </c>
      <c r="E8">
        <v>65.040000000000006</v>
      </c>
      <c r="F8">
        <v>3661000</v>
      </c>
      <c r="G8">
        <v>64.569999999999993</v>
      </c>
    </row>
    <row r="9" spans="1:7" x14ac:dyDescent="0.25">
      <c r="A9" s="34">
        <v>41830</v>
      </c>
      <c r="B9">
        <v>64.599999999999994</v>
      </c>
      <c r="C9">
        <v>65.11</v>
      </c>
      <c r="D9">
        <v>64.53</v>
      </c>
      <c r="E9">
        <v>64.94</v>
      </c>
      <c r="F9">
        <v>3108100</v>
      </c>
      <c r="G9">
        <v>64.47</v>
      </c>
    </row>
    <row r="10" spans="1:7" x14ac:dyDescent="0.25">
      <c r="A10" s="34">
        <v>41831</v>
      </c>
      <c r="B10">
        <v>64.930000000000007</v>
      </c>
      <c r="C10">
        <v>65.2</v>
      </c>
      <c r="D10">
        <v>64.69</v>
      </c>
      <c r="E10">
        <v>64.89</v>
      </c>
      <c r="F10">
        <v>2866300</v>
      </c>
      <c r="G10">
        <v>64.42</v>
      </c>
    </row>
    <row r="11" spans="1:7" x14ac:dyDescent="0.25">
      <c r="A11" s="34">
        <v>41834</v>
      </c>
      <c r="B11">
        <v>65.319999999999993</v>
      </c>
      <c r="C11">
        <v>65.510000000000005</v>
      </c>
      <c r="D11">
        <v>64.97</v>
      </c>
      <c r="E11">
        <v>65.010000000000005</v>
      </c>
      <c r="F11">
        <v>2613300</v>
      </c>
      <c r="G11">
        <v>64.540000000000006</v>
      </c>
    </row>
    <row r="12" spans="1:7" x14ac:dyDescent="0.25">
      <c r="A12" s="34">
        <v>41835</v>
      </c>
      <c r="B12">
        <v>65.02</v>
      </c>
      <c r="C12">
        <v>65.36</v>
      </c>
      <c r="D12">
        <v>64.5</v>
      </c>
      <c r="E12">
        <v>64.58</v>
      </c>
      <c r="F12">
        <v>4852200</v>
      </c>
      <c r="G12">
        <v>64.12</v>
      </c>
    </row>
    <row r="13" spans="1:7" x14ac:dyDescent="0.25">
      <c r="A13" s="34">
        <v>41836</v>
      </c>
      <c r="B13">
        <v>64.88</v>
      </c>
      <c r="C13">
        <v>65.05</v>
      </c>
      <c r="D13">
        <v>64.64</v>
      </c>
      <c r="E13">
        <v>65.03</v>
      </c>
      <c r="F13">
        <v>2972700</v>
      </c>
      <c r="G13">
        <v>64.56</v>
      </c>
    </row>
    <row r="14" spans="1:7" x14ac:dyDescent="0.25">
      <c r="A14" s="34">
        <v>41837</v>
      </c>
      <c r="B14">
        <v>64.91</v>
      </c>
      <c r="C14">
        <v>65.33</v>
      </c>
      <c r="D14">
        <v>64.81</v>
      </c>
      <c r="E14">
        <v>64.89</v>
      </c>
      <c r="F14">
        <v>4408400</v>
      </c>
      <c r="G14">
        <v>64.42</v>
      </c>
    </row>
    <row r="15" spans="1:7" x14ac:dyDescent="0.25">
      <c r="A15" s="34">
        <v>41838</v>
      </c>
      <c r="B15">
        <v>65.010000000000005</v>
      </c>
      <c r="C15">
        <v>65.61</v>
      </c>
      <c r="D15">
        <v>64.89</v>
      </c>
      <c r="E15">
        <v>65.55</v>
      </c>
      <c r="F15">
        <v>4019400</v>
      </c>
      <c r="G15">
        <v>65.08</v>
      </c>
    </row>
    <row r="16" spans="1:7" x14ac:dyDescent="0.25">
      <c r="A16" s="34">
        <v>41841</v>
      </c>
      <c r="B16">
        <v>65.23</v>
      </c>
      <c r="C16">
        <v>65.75</v>
      </c>
      <c r="D16">
        <v>65.069999999999993</v>
      </c>
      <c r="E16">
        <v>65.540000000000006</v>
      </c>
      <c r="F16">
        <v>3370900</v>
      </c>
      <c r="G16">
        <v>65.069999999999993</v>
      </c>
    </row>
    <row r="17" spans="1:7" x14ac:dyDescent="0.25">
      <c r="A17" s="34">
        <v>41842</v>
      </c>
      <c r="B17">
        <v>65.849999999999994</v>
      </c>
      <c r="C17">
        <v>65.849999999999994</v>
      </c>
      <c r="D17">
        <v>64.61</v>
      </c>
      <c r="E17">
        <v>64.95</v>
      </c>
      <c r="F17">
        <v>6101600</v>
      </c>
      <c r="G17">
        <v>64.48</v>
      </c>
    </row>
    <row r="18" spans="1:7" x14ac:dyDescent="0.25">
      <c r="A18" s="34">
        <v>41843</v>
      </c>
      <c r="B18">
        <v>64.5</v>
      </c>
      <c r="C18">
        <v>65.69</v>
      </c>
      <c r="D18">
        <v>64.45</v>
      </c>
      <c r="E18">
        <v>65.37</v>
      </c>
      <c r="F18">
        <v>6573700</v>
      </c>
      <c r="G18">
        <v>64.900000000000006</v>
      </c>
    </row>
    <row r="19" spans="1:7" x14ac:dyDescent="0.25">
      <c r="A19" s="34">
        <v>41844</v>
      </c>
      <c r="B19">
        <v>65.38</v>
      </c>
      <c r="C19">
        <v>65.69</v>
      </c>
      <c r="D19">
        <v>65.069999999999993</v>
      </c>
      <c r="E19">
        <v>65.2</v>
      </c>
      <c r="F19">
        <v>5658700</v>
      </c>
      <c r="G19">
        <v>64.73</v>
      </c>
    </row>
    <row r="20" spans="1:7" x14ac:dyDescent="0.25">
      <c r="A20" s="34">
        <v>41845</v>
      </c>
      <c r="B20">
        <v>65.150000000000006</v>
      </c>
      <c r="C20">
        <v>65.5</v>
      </c>
      <c r="D20">
        <v>64.849999999999994</v>
      </c>
      <c r="E20">
        <v>64.930000000000007</v>
      </c>
      <c r="F20">
        <v>3758300</v>
      </c>
      <c r="G20">
        <v>64.459999999999994</v>
      </c>
    </row>
    <row r="21" spans="1:7" x14ac:dyDescent="0.25">
      <c r="A21" s="34">
        <v>41848</v>
      </c>
      <c r="B21">
        <v>65.05</v>
      </c>
      <c r="C21">
        <v>65.569999999999993</v>
      </c>
      <c r="D21">
        <v>64.97</v>
      </c>
      <c r="E21">
        <v>65.319999999999993</v>
      </c>
      <c r="F21">
        <v>4883900</v>
      </c>
      <c r="G21">
        <v>64.849999999999994</v>
      </c>
    </row>
    <row r="22" spans="1:7" x14ac:dyDescent="0.25">
      <c r="A22" s="34">
        <v>41849</v>
      </c>
      <c r="B22">
        <v>65.45</v>
      </c>
      <c r="C22">
        <v>66.95</v>
      </c>
      <c r="D22">
        <v>65.37</v>
      </c>
      <c r="E22">
        <v>66.2</v>
      </c>
      <c r="F22">
        <v>6237800</v>
      </c>
      <c r="G22">
        <v>65.72</v>
      </c>
    </row>
    <row r="23" spans="1:7" x14ac:dyDescent="0.25">
      <c r="A23" s="34">
        <v>41850</v>
      </c>
      <c r="B23">
        <v>66.31</v>
      </c>
      <c r="C23">
        <v>66.540000000000006</v>
      </c>
      <c r="D23">
        <v>65.239999999999995</v>
      </c>
      <c r="E23">
        <v>65.39</v>
      </c>
      <c r="F23">
        <v>3683900</v>
      </c>
      <c r="G23">
        <v>64.92</v>
      </c>
    </row>
    <row r="24" spans="1:7" x14ac:dyDescent="0.25">
      <c r="A24" s="34">
        <v>41851</v>
      </c>
      <c r="B24">
        <v>64.95</v>
      </c>
      <c r="C24">
        <v>65.099999999999994</v>
      </c>
      <c r="D24">
        <v>64.17</v>
      </c>
      <c r="E24">
        <v>64.31</v>
      </c>
      <c r="F24">
        <v>4844400</v>
      </c>
      <c r="G24">
        <v>63.85</v>
      </c>
    </row>
    <row r="25" spans="1:7" x14ac:dyDescent="0.25">
      <c r="A25" s="34">
        <v>41852</v>
      </c>
      <c r="B25">
        <v>63.98</v>
      </c>
      <c r="C25">
        <v>64.44</v>
      </c>
      <c r="D25">
        <v>63.7</v>
      </c>
      <c r="E25">
        <v>64.209999999999994</v>
      </c>
      <c r="F25">
        <v>3771300</v>
      </c>
      <c r="G25">
        <v>63.75</v>
      </c>
    </row>
    <row r="26" spans="1:7" x14ac:dyDescent="0.25">
      <c r="A26" s="34">
        <v>41855</v>
      </c>
      <c r="B26">
        <v>64.17</v>
      </c>
      <c r="C26">
        <v>64.739999999999995</v>
      </c>
      <c r="D26">
        <v>63.78</v>
      </c>
      <c r="E26">
        <v>64.63</v>
      </c>
      <c r="F26">
        <v>3299400</v>
      </c>
      <c r="G26">
        <v>64.17</v>
      </c>
    </row>
    <row r="27" spans="1:7" x14ac:dyDescent="0.25">
      <c r="A27" s="34">
        <v>41856</v>
      </c>
      <c r="B27">
        <v>64.23</v>
      </c>
      <c r="C27">
        <v>64.56</v>
      </c>
      <c r="D27">
        <v>63.81</v>
      </c>
      <c r="E27">
        <v>64.03</v>
      </c>
      <c r="F27">
        <v>3279500</v>
      </c>
      <c r="G27">
        <v>63.57</v>
      </c>
    </row>
    <row r="28" spans="1:7" x14ac:dyDescent="0.25">
      <c r="A28" s="34">
        <v>41857</v>
      </c>
      <c r="B28">
        <v>63.89</v>
      </c>
      <c r="C28">
        <v>64.849999999999994</v>
      </c>
      <c r="D28">
        <v>63.89</v>
      </c>
      <c r="E28">
        <v>64.77</v>
      </c>
      <c r="F28">
        <v>2899400</v>
      </c>
      <c r="G28">
        <v>64.31</v>
      </c>
    </row>
    <row r="29" spans="1:7" x14ac:dyDescent="0.25">
      <c r="A29" s="34">
        <v>41858</v>
      </c>
      <c r="B29">
        <v>65.03</v>
      </c>
      <c r="C29">
        <v>65.14</v>
      </c>
      <c r="D29">
        <v>64.22</v>
      </c>
      <c r="E29">
        <v>64.400000000000006</v>
      </c>
      <c r="F29">
        <v>3449300</v>
      </c>
      <c r="G29">
        <v>63.94</v>
      </c>
    </row>
    <row r="30" spans="1:7" x14ac:dyDescent="0.25">
      <c r="A30" s="34">
        <v>41859</v>
      </c>
      <c r="B30">
        <v>64.48</v>
      </c>
      <c r="C30">
        <v>65.06</v>
      </c>
      <c r="D30">
        <v>64.13</v>
      </c>
      <c r="E30">
        <v>65.040000000000006</v>
      </c>
      <c r="F30">
        <v>2816300</v>
      </c>
      <c r="G30">
        <v>64.569999999999993</v>
      </c>
    </row>
    <row r="31" spans="1:7" x14ac:dyDescent="0.25">
      <c r="A31" s="34">
        <v>41862</v>
      </c>
      <c r="B31">
        <v>65.19</v>
      </c>
      <c r="C31">
        <v>65.5</v>
      </c>
      <c r="D31">
        <v>64.89</v>
      </c>
      <c r="E31">
        <v>65.03</v>
      </c>
      <c r="F31">
        <v>3010900</v>
      </c>
      <c r="G31">
        <v>64.56</v>
      </c>
    </row>
    <row r="32" spans="1:7" x14ac:dyDescent="0.25">
      <c r="A32" s="34">
        <v>41863</v>
      </c>
      <c r="B32">
        <v>64.75</v>
      </c>
      <c r="C32">
        <v>65.61</v>
      </c>
      <c r="D32">
        <v>64.73</v>
      </c>
      <c r="E32">
        <v>65.489999999999995</v>
      </c>
      <c r="F32">
        <v>3874100</v>
      </c>
      <c r="G32">
        <v>65.02</v>
      </c>
    </row>
    <row r="33" spans="1:7" x14ac:dyDescent="0.25">
      <c r="A33" s="34">
        <v>41864</v>
      </c>
      <c r="B33">
        <v>65.09</v>
      </c>
      <c r="C33">
        <v>65.349999999999994</v>
      </c>
      <c r="D33">
        <v>64.78</v>
      </c>
      <c r="E33">
        <v>65.11</v>
      </c>
      <c r="F33">
        <v>2276700</v>
      </c>
      <c r="G33">
        <v>65.11</v>
      </c>
    </row>
    <row r="34" spans="1:7" x14ac:dyDescent="0.25">
      <c r="A34" s="34">
        <v>41865</v>
      </c>
      <c r="B34">
        <v>64.709999999999994</v>
      </c>
      <c r="C34">
        <v>65.3</v>
      </c>
      <c r="D34">
        <v>64.709999999999994</v>
      </c>
      <c r="E34">
        <v>65.2</v>
      </c>
      <c r="F34">
        <v>1710300</v>
      </c>
      <c r="G34">
        <v>65.2</v>
      </c>
    </row>
    <row r="35" spans="1:7" x14ac:dyDescent="0.25">
      <c r="A35" s="34">
        <v>41866</v>
      </c>
      <c r="B35">
        <v>65.400000000000006</v>
      </c>
      <c r="C35">
        <v>65.75</v>
      </c>
      <c r="D35">
        <v>64.64</v>
      </c>
      <c r="E35">
        <v>65.25</v>
      </c>
      <c r="F35">
        <v>4362200</v>
      </c>
      <c r="G35">
        <v>65.25</v>
      </c>
    </row>
    <row r="36" spans="1:7" x14ac:dyDescent="0.25">
      <c r="A36" s="34">
        <v>41869</v>
      </c>
      <c r="B36">
        <v>65.53</v>
      </c>
      <c r="C36">
        <v>65.95</v>
      </c>
      <c r="D36">
        <v>65.5</v>
      </c>
      <c r="E36">
        <v>65.87</v>
      </c>
      <c r="F36">
        <v>2538300</v>
      </c>
      <c r="G36">
        <v>65.87</v>
      </c>
    </row>
    <row r="37" spans="1:7" x14ac:dyDescent="0.25">
      <c r="A37" s="34">
        <v>41870</v>
      </c>
      <c r="B37">
        <v>66.05</v>
      </c>
      <c r="C37">
        <v>66.31</v>
      </c>
      <c r="D37">
        <v>65.81</v>
      </c>
      <c r="E37">
        <v>66.290000000000006</v>
      </c>
      <c r="F37">
        <v>2120700</v>
      </c>
      <c r="G37">
        <v>66.290000000000006</v>
      </c>
    </row>
    <row r="38" spans="1:7" x14ac:dyDescent="0.25">
      <c r="A38" s="34">
        <v>41871</v>
      </c>
      <c r="B38">
        <v>66.09</v>
      </c>
      <c r="C38">
        <v>66.400000000000006</v>
      </c>
      <c r="D38">
        <v>66.040000000000006</v>
      </c>
      <c r="E38">
        <v>66.22</v>
      </c>
      <c r="F38">
        <v>4186900</v>
      </c>
      <c r="G38">
        <v>66.22</v>
      </c>
    </row>
    <row r="39" spans="1:7" x14ac:dyDescent="0.25">
      <c r="A39" s="34">
        <v>41872</v>
      </c>
      <c r="B39">
        <v>66.16</v>
      </c>
      <c r="C39">
        <v>66.62</v>
      </c>
      <c r="D39">
        <v>66.16</v>
      </c>
      <c r="E39">
        <v>66.3</v>
      </c>
      <c r="F39">
        <v>2224000</v>
      </c>
      <c r="G39">
        <v>66.3</v>
      </c>
    </row>
    <row r="40" spans="1:7" x14ac:dyDescent="0.25">
      <c r="A40" s="34">
        <v>41873</v>
      </c>
      <c r="B40">
        <v>66.16</v>
      </c>
      <c r="C40">
        <v>66.28</v>
      </c>
      <c r="D40">
        <v>65.77</v>
      </c>
      <c r="E40">
        <v>65.86</v>
      </c>
      <c r="F40">
        <v>2797300</v>
      </c>
      <c r="G40">
        <v>65.86</v>
      </c>
    </row>
    <row r="41" spans="1:7" x14ac:dyDescent="0.25">
      <c r="A41" s="34">
        <v>41876</v>
      </c>
      <c r="B41">
        <v>66.03</v>
      </c>
      <c r="C41">
        <v>66.39</v>
      </c>
      <c r="D41">
        <v>66.03</v>
      </c>
      <c r="E41">
        <v>66.150000000000006</v>
      </c>
      <c r="F41">
        <v>2204300</v>
      </c>
      <c r="G41">
        <v>66.150000000000006</v>
      </c>
    </row>
    <row r="42" spans="1:7" x14ac:dyDescent="0.25">
      <c r="A42" s="34">
        <v>41877</v>
      </c>
      <c r="B42">
        <v>66.319999999999993</v>
      </c>
      <c r="C42">
        <v>66.430000000000007</v>
      </c>
      <c r="D42">
        <v>65.88</v>
      </c>
      <c r="E42">
        <v>66.16</v>
      </c>
      <c r="F42">
        <v>2053800</v>
      </c>
      <c r="G42">
        <v>66.16</v>
      </c>
    </row>
    <row r="43" spans="1:7" x14ac:dyDescent="0.25">
      <c r="A43" s="34">
        <v>41878</v>
      </c>
      <c r="B43">
        <v>65.959999999999994</v>
      </c>
      <c r="C43">
        <v>66.209999999999994</v>
      </c>
      <c r="D43">
        <v>65.84</v>
      </c>
      <c r="E43">
        <v>65.930000000000007</v>
      </c>
      <c r="F43">
        <v>2152500</v>
      </c>
      <c r="G43">
        <v>65.930000000000007</v>
      </c>
    </row>
    <row r="44" spans="1:7" x14ac:dyDescent="0.25">
      <c r="A44" s="34">
        <v>41879</v>
      </c>
      <c r="B44">
        <v>65.67</v>
      </c>
      <c r="C44">
        <v>66.3</v>
      </c>
      <c r="D44">
        <v>65.52</v>
      </c>
      <c r="E44">
        <v>66.150000000000006</v>
      </c>
      <c r="F44">
        <v>1609800</v>
      </c>
      <c r="G44">
        <v>66.150000000000006</v>
      </c>
    </row>
    <row r="45" spans="1:7" x14ac:dyDescent="0.25">
      <c r="A45" s="34">
        <v>41880</v>
      </c>
      <c r="B45">
        <v>66.45</v>
      </c>
      <c r="C45">
        <v>66.56</v>
      </c>
      <c r="D45">
        <v>65.900000000000006</v>
      </c>
      <c r="E45">
        <v>66.11</v>
      </c>
      <c r="F45">
        <v>3206500</v>
      </c>
      <c r="G45">
        <v>66.11</v>
      </c>
    </row>
    <row r="46" spans="1:7" x14ac:dyDescent="0.25">
      <c r="A46" s="34">
        <v>41884</v>
      </c>
      <c r="B46">
        <v>65.92</v>
      </c>
      <c r="C46">
        <v>66.23</v>
      </c>
      <c r="D46">
        <v>65.58</v>
      </c>
      <c r="E46">
        <v>65.83</v>
      </c>
      <c r="F46">
        <v>3022700</v>
      </c>
      <c r="G46">
        <v>65.83</v>
      </c>
    </row>
    <row r="47" spans="1:7" x14ac:dyDescent="0.25">
      <c r="A47" s="34">
        <v>41885</v>
      </c>
      <c r="B47">
        <v>66.19</v>
      </c>
      <c r="C47">
        <v>66.38</v>
      </c>
      <c r="D47">
        <v>65.73</v>
      </c>
      <c r="E47">
        <v>65.819999999999993</v>
      </c>
      <c r="F47">
        <v>3067000</v>
      </c>
      <c r="G47">
        <v>65.819999999999993</v>
      </c>
    </row>
    <row r="48" spans="1:7" x14ac:dyDescent="0.25">
      <c r="A48" s="34">
        <v>41886</v>
      </c>
      <c r="B48">
        <v>65.75</v>
      </c>
      <c r="C48">
        <v>66.33</v>
      </c>
      <c r="D48">
        <v>65.75</v>
      </c>
      <c r="E48">
        <v>65.92</v>
      </c>
      <c r="F48">
        <v>2737100</v>
      </c>
      <c r="G48">
        <v>65.92</v>
      </c>
    </row>
    <row r="49" spans="1:7" x14ac:dyDescent="0.25">
      <c r="A49" s="34">
        <v>41887</v>
      </c>
      <c r="B49">
        <v>65.72</v>
      </c>
      <c r="C49">
        <v>66.16</v>
      </c>
      <c r="D49">
        <v>65.66</v>
      </c>
      <c r="E49">
        <v>66</v>
      </c>
      <c r="F49">
        <v>3195000</v>
      </c>
      <c r="G49">
        <v>66</v>
      </c>
    </row>
    <row r="50" spans="1:7" x14ac:dyDescent="0.25">
      <c r="A50" s="34">
        <v>41890</v>
      </c>
      <c r="B50">
        <v>66.010000000000005</v>
      </c>
      <c r="C50">
        <v>66.09</v>
      </c>
      <c r="D50">
        <v>65.349999999999994</v>
      </c>
      <c r="E50">
        <v>65.36</v>
      </c>
      <c r="F50">
        <v>3323500</v>
      </c>
      <c r="G50">
        <v>65.36</v>
      </c>
    </row>
    <row r="51" spans="1:7" x14ac:dyDescent="0.25">
      <c r="A51" s="34">
        <v>41891</v>
      </c>
      <c r="B51">
        <v>65.56</v>
      </c>
      <c r="C51">
        <v>65.680000000000007</v>
      </c>
      <c r="D51">
        <v>65.209999999999994</v>
      </c>
      <c r="E51">
        <v>65.27</v>
      </c>
      <c r="F51">
        <v>2887700</v>
      </c>
      <c r="G51">
        <v>65.27</v>
      </c>
    </row>
    <row r="52" spans="1:7" x14ac:dyDescent="0.25">
      <c r="A52" s="34">
        <v>41892</v>
      </c>
      <c r="B52">
        <v>65.150000000000006</v>
      </c>
      <c r="C52">
        <v>65.36</v>
      </c>
      <c r="D52">
        <v>64.63</v>
      </c>
      <c r="E52">
        <v>65.209999999999994</v>
      </c>
      <c r="F52">
        <v>2780000</v>
      </c>
      <c r="G52">
        <v>65.209999999999994</v>
      </c>
    </row>
    <row r="53" spans="1:7" x14ac:dyDescent="0.25">
      <c r="A53" s="34">
        <v>41893</v>
      </c>
      <c r="B53">
        <v>65.02</v>
      </c>
      <c r="C53">
        <v>65.23</v>
      </c>
      <c r="D53">
        <v>64.790000000000006</v>
      </c>
      <c r="E53">
        <v>65.13</v>
      </c>
      <c r="F53">
        <v>2327500</v>
      </c>
      <c r="G53">
        <v>65.13</v>
      </c>
    </row>
    <row r="54" spans="1:7" x14ac:dyDescent="0.25">
      <c r="A54" s="34">
        <v>41894</v>
      </c>
      <c r="B54">
        <v>65.22</v>
      </c>
      <c r="C54">
        <v>65.349999999999994</v>
      </c>
      <c r="D54">
        <v>64.52</v>
      </c>
      <c r="E54">
        <v>64.78</v>
      </c>
      <c r="F54">
        <v>3193400</v>
      </c>
      <c r="G54">
        <v>64.78</v>
      </c>
    </row>
    <row r="55" spans="1:7" x14ac:dyDescent="0.25">
      <c r="A55" s="34">
        <v>41897</v>
      </c>
      <c r="B55">
        <v>64.959999999999994</v>
      </c>
      <c r="C55">
        <v>65.41</v>
      </c>
      <c r="D55">
        <v>64.75</v>
      </c>
      <c r="E55">
        <v>65.3</v>
      </c>
      <c r="F55">
        <v>2992000</v>
      </c>
      <c r="G55">
        <v>65.3</v>
      </c>
    </row>
  </sheetData>
  <sortState ref="A3:G55">
    <sortCondition ref="A3:A55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85.81</v>
      </c>
      <c r="C3">
        <v>86.87</v>
      </c>
      <c r="D3">
        <v>85.76</v>
      </c>
      <c r="E3">
        <v>86.47</v>
      </c>
      <c r="F3">
        <v>5598100</v>
      </c>
      <c r="G3">
        <v>86.47</v>
      </c>
    </row>
    <row r="4" spans="1:7" x14ac:dyDescent="0.25">
      <c r="A4" s="34">
        <v>41822</v>
      </c>
      <c r="B4">
        <v>86.58</v>
      </c>
      <c r="C4">
        <v>86.71</v>
      </c>
      <c r="D4">
        <v>86.2</v>
      </c>
      <c r="E4">
        <v>86.44</v>
      </c>
      <c r="F4">
        <v>4439600</v>
      </c>
      <c r="G4">
        <v>86.44</v>
      </c>
    </row>
    <row r="5" spans="1:7" x14ac:dyDescent="0.25">
      <c r="A5" s="34">
        <v>41823</v>
      </c>
      <c r="B5">
        <v>86.7</v>
      </c>
      <c r="C5">
        <v>86.98</v>
      </c>
      <c r="D5">
        <v>86.5</v>
      </c>
      <c r="E5">
        <v>86.84</v>
      </c>
      <c r="F5">
        <v>3210400</v>
      </c>
      <c r="G5">
        <v>86.84</v>
      </c>
    </row>
    <row r="6" spans="1:7" x14ac:dyDescent="0.25">
      <c r="A6" s="34">
        <v>41827</v>
      </c>
      <c r="B6">
        <v>86.61</v>
      </c>
      <c r="C6">
        <v>86.82</v>
      </c>
      <c r="D6">
        <v>86.32</v>
      </c>
      <c r="E6">
        <v>86.59</v>
      </c>
      <c r="F6">
        <v>4897800</v>
      </c>
      <c r="G6">
        <v>86.59</v>
      </c>
    </row>
    <row r="7" spans="1:7" x14ac:dyDescent="0.25">
      <c r="A7" s="34">
        <v>41828</v>
      </c>
      <c r="B7">
        <v>86.19</v>
      </c>
      <c r="C7">
        <v>86.32</v>
      </c>
      <c r="D7">
        <v>85.68</v>
      </c>
      <c r="E7">
        <v>85.86</v>
      </c>
      <c r="F7">
        <v>4733600</v>
      </c>
      <c r="G7">
        <v>85.86</v>
      </c>
    </row>
    <row r="8" spans="1:7" x14ac:dyDescent="0.25">
      <c r="A8" s="34">
        <v>41829</v>
      </c>
      <c r="B8">
        <v>86</v>
      </c>
      <c r="C8">
        <v>87.29</v>
      </c>
      <c r="D8">
        <v>85.85</v>
      </c>
      <c r="E8">
        <v>87.22</v>
      </c>
      <c r="F8">
        <v>6311200</v>
      </c>
      <c r="G8">
        <v>87.22</v>
      </c>
    </row>
    <row r="9" spans="1:7" x14ac:dyDescent="0.25">
      <c r="A9" s="34">
        <v>41830</v>
      </c>
      <c r="B9">
        <v>86.53</v>
      </c>
      <c r="C9">
        <v>87.61</v>
      </c>
      <c r="D9">
        <v>86.19</v>
      </c>
      <c r="E9">
        <v>86.86</v>
      </c>
      <c r="F9">
        <v>7249700</v>
      </c>
      <c r="G9">
        <v>86.86</v>
      </c>
    </row>
    <row r="10" spans="1:7" x14ac:dyDescent="0.25">
      <c r="A10" s="34">
        <v>41831</v>
      </c>
      <c r="B10">
        <v>87</v>
      </c>
      <c r="C10">
        <v>87.36</v>
      </c>
      <c r="D10">
        <v>86.37</v>
      </c>
      <c r="E10">
        <v>86.89</v>
      </c>
      <c r="F10">
        <v>5016000</v>
      </c>
      <c r="G10">
        <v>86.89</v>
      </c>
    </row>
    <row r="11" spans="1:7" x14ac:dyDescent="0.25">
      <c r="A11" s="34">
        <v>41834</v>
      </c>
      <c r="B11">
        <v>87.46</v>
      </c>
      <c r="C11">
        <v>87.49</v>
      </c>
      <c r="D11">
        <v>86.66</v>
      </c>
      <c r="E11">
        <v>86.76</v>
      </c>
      <c r="F11">
        <v>4012300</v>
      </c>
      <c r="G11">
        <v>86.76</v>
      </c>
    </row>
    <row r="12" spans="1:7" x14ac:dyDescent="0.25">
      <c r="A12" s="34">
        <v>41835</v>
      </c>
      <c r="B12">
        <v>86.58</v>
      </c>
      <c r="C12">
        <v>86.65</v>
      </c>
      <c r="D12">
        <v>85.54</v>
      </c>
      <c r="E12">
        <v>86.15</v>
      </c>
      <c r="F12">
        <v>7001300</v>
      </c>
      <c r="G12">
        <v>86.15</v>
      </c>
    </row>
    <row r="13" spans="1:7" x14ac:dyDescent="0.25">
      <c r="A13" s="34">
        <v>41836</v>
      </c>
      <c r="B13">
        <v>86.69</v>
      </c>
      <c r="C13">
        <v>87.63</v>
      </c>
      <c r="D13">
        <v>85.12</v>
      </c>
      <c r="E13">
        <v>85.35</v>
      </c>
      <c r="F13">
        <v>10667200</v>
      </c>
      <c r="G13">
        <v>85.35</v>
      </c>
    </row>
    <row r="14" spans="1:7" x14ac:dyDescent="0.25">
      <c r="A14" s="34">
        <v>41837</v>
      </c>
      <c r="B14">
        <v>85.33</v>
      </c>
      <c r="C14">
        <v>86.19</v>
      </c>
      <c r="D14">
        <v>84.87</v>
      </c>
      <c r="E14">
        <v>85.03</v>
      </c>
      <c r="F14">
        <v>6885900</v>
      </c>
      <c r="G14">
        <v>85.03</v>
      </c>
    </row>
    <row r="15" spans="1:7" x14ac:dyDescent="0.25">
      <c r="A15" s="34">
        <v>41838</v>
      </c>
      <c r="B15">
        <v>85.44</v>
      </c>
      <c r="C15">
        <v>85.98</v>
      </c>
      <c r="D15">
        <v>85.17</v>
      </c>
      <c r="E15">
        <v>85.81</v>
      </c>
      <c r="F15">
        <v>4719100</v>
      </c>
      <c r="G15">
        <v>85.81</v>
      </c>
    </row>
    <row r="16" spans="1:7" x14ac:dyDescent="0.25">
      <c r="A16" s="34">
        <v>41841</v>
      </c>
      <c r="B16">
        <v>85.81</v>
      </c>
      <c r="C16">
        <v>86</v>
      </c>
      <c r="D16">
        <v>85.5</v>
      </c>
      <c r="E16">
        <v>85.74</v>
      </c>
      <c r="F16">
        <v>4799800</v>
      </c>
      <c r="G16">
        <v>85.74</v>
      </c>
    </row>
    <row r="17" spans="1:7" x14ac:dyDescent="0.25">
      <c r="A17" s="34">
        <v>41842</v>
      </c>
      <c r="B17">
        <v>86.37</v>
      </c>
      <c r="C17">
        <v>86.56</v>
      </c>
      <c r="D17">
        <v>85.51</v>
      </c>
      <c r="E17">
        <v>86.21</v>
      </c>
      <c r="F17">
        <v>4984200</v>
      </c>
      <c r="G17">
        <v>86.21</v>
      </c>
    </row>
    <row r="18" spans="1:7" x14ac:dyDescent="0.25">
      <c r="A18" s="34">
        <v>41843</v>
      </c>
      <c r="B18">
        <v>86.31</v>
      </c>
      <c r="C18">
        <v>86.53</v>
      </c>
      <c r="D18">
        <v>85.76</v>
      </c>
      <c r="E18">
        <v>86.04</v>
      </c>
      <c r="F18">
        <v>3650200</v>
      </c>
      <c r="G18">
        <v>86.04</v>
      </c>
    </row>
    <row r="19" spans="1:7" x14ac:dyDescent="0.25">
      <c r="A19" s="34">
        <v>41844</v>
      </c>
      <c r="B19">
        <v>86.5</v>
      </c>
      <c r="C19">
        <v>86.96</v>
      </c>
      <c r="D19">
        <v>86.31</v>
      </c>
      <c r="E19">
        <v>86.8</v>
      </c>
      <c r="F19">
        <v>4168200</v>
      </c>
      <c r="G19">
        <v>86.8</v>
      </c>
    </row>
    <row r="20" spans="1:7" x14ac:dyDescent="0.25">
      <c r="A20" s="34">
        <v>41845</v>
      </c>
      <c r="B20">
        <v>86.3</v>
      </c>
      <c r="C20">
        <v>86.7</v>
      </c>
      <c r="D20">
        <v>86.05</v>
      </c>
      <c r="E20">
        <v>86.23</v>
      </c>
      <c r="F20">
        <v>4659800</v>
      </c>
      <c r="G20">
        <v>86.23</v>
      </c>
    </row>
    <row r="21" spans="1:7" x14ac:dyDescent="0.25">
      <c r="A21" s="34">
        <v>41848</v>
      </c>
      <c r="B21">
        <v>86.43</v>
      </c>
      <c r="C21">
        <v>87.22</v>
      </c>
      <c r="D21">
        <v>85.81</v>
      </c>
      <c r="E21">
        <v>87.15</v>
      </c>
      <c r="F21">
        <v>4546800</v>
      </c>
      <c r="G21">
        <v>87.15</v>
      </c>
    </row>
    <row r="22" spans="1:7" x14ac:dyDescent="0.25">
      <c r="A22" s="34">
        <v>41849</v>
      </c>
      <c r="B22">
        <v>87.29</v>
      </c>
      <c r="C22">
        <v>87.3</v>
      </c>
      <c r="D22">
        <v>86.16</v>
      </c>
      <c r="E22">
        <v>86.2</v>
      </c>
      <c r="F22">
        <v>5478700</v>
      </c>
      <c r="G22">
        <v>86.2</v>
      </c>
    </row>
    <row r="23" spans="1:7" x14ac:dyDescent="0.25">
      <c r="A23" s="34">
        <v>41850</v>
      </c>
      <c r="B23">
        <v>86.62</v>
      </c>
      <c r="C23">
        <v>87.27</v>
      </c>
      <c r="D23">
        <v>86.09</v>
      </c>
      <c r="E23">
        <v>87.21</v>
      </c>
      <c r="F23">
        <v>7294200</v>
      </c>
      <c r="G23">
        <v>87.21</v>
      </c>
    </row>
    <row r="24" spans="1:7" x14ac:dyDescent="0.25">
      <c r="A24" s="34">
        <v>41851</v>
      </c>
      <c r="B24">
        <v>86.59</v>
      </c>
      <c r="C24">
        <v>86.95</v>
      </c>
      <c r="D24">
        <v>85.69</v>
      </c>
      <c r="E24">
        <v>85.88</v>
      </c>
      <c r="F24">
        <v>6342400</v>
      </c>
      <c r="G24">
        <v>85.88</v>
      </c>
    </row>
    <row r="25" spans="1:7" x14ac:dyDescent="0.25">
      <c r="A25" s="34">
        <v>41852</v>
      </c>
      <c r="B25">
        <v>85.39</v>
      </c>
      <c r="C25">
        <v>86.01</v>
      </c>
      <c r="D25">
        <v>85.21</v>
      </c>
      <c r="E25">
        <v>85.38</v>
      </c>
      <c r="F25">
        <v>6759200</v>
      </c>
      <c r="G25">
        <v>85.38</v>
      </c>
    </row>
    <row r="26" spans="1:7" x14ac:dyDescent="0.25">
      <c r="A26" s="34">
        <v>41855</v>
      </c>
      <c r="B26">
        <v>86.17</v>
      </c>
      <c r="C26">
        <v>87.52</v>
      </c>
      <c r="D26">
        <v>86.01</v>
      </c>
      <c r="E26">
        <v>87.24</v>
      </c>
      <c r="F26">
        <v>8250200</v>
      </c>
      <c r="G26">
        <v>87.24</v>
      </c>
    </row>
    <row r="27" spans="1:7" x14ac:dyDescent="0.25">
      <c r="A27" s="34">
        <v>41856</v>
      </c>
      <c r="B27">
        <v>87.14</v>
      </c>
      <c r="C27">
        <v>87.24</v>
      </c>
      <c r="D27">
        <v>86.02</v>
      </c>
      <c r="E27">
        <v>86.75</v>
      </c>
      <c r="F27">
        <v>9340400</v>
      </c>
      <c r="G27">
        <v>86.75</v>
      </c>
    </row>
    <row r="28" spans="1:7" x14ac:dyDescent="0.25">
      <c r="A28" s="34">
        <v>41857</v>
      </c>
      <c r="B28">
        <v>86.18</v>
      </c>
      <c r="C28">
        <v>87.62</v>
      </c>
      <c r="D28">
        <v>86.17</v>
      </c>
      <c r="E28">
        <v>86.59</v>
      </c>
      <c r="F28">
        <v>9789500</v>
      </c>
      <c r="G28">
        <v>86.59</v>
      </c>
    </row>
    <row r="29" spans="1:7" x14ac:dyDescent="0.25">
      <c r="A29" s="34">
        <v>41858</v>
      </c>
      <c r="B29">
        <v>86.99</v>
      </c>
      <c r="C29">
        <v>87.01</v>
      </c>
      <c r="D29">
        <v>85.23</v>
      </c>
      <c r="E29">
        <v>85.51</v>
      </c>
      <c r="F29">
        <v>7905200</v>
      </c>
      <c r="G29">
        <v>85.51</v>
      </c>
    </row>
    <row r="30" spans="1:7" x14ac:dyDescent="0.25">
      <c r="A30" s="34">
        <v>41859</v>
      </c>
      <c r="B30">
        <v>85.65</v>
      </c>
      <c r="C30">
        <v>86.89</v>
      </c>
      <c r="D30">
        <v>85.62</v>
      </c>
      <c r="E30">
        <v>86.85</v>
      </c>
      <c r="F30">
        <v>6371300</v>
      </c>
      <c r="G30">
        <v>86.85</v>
      </c>
    </row>
    <row r="31" spans="1:7" x14ac:dyDescent="0.25">
      <c r="A31" s="34">
        <v>41862</v>
      </c>
      <c r="B31">
        <v>87.07</v>
      </c>
      <c r="C31">
        <v>87.98</v>
      </c>
      <c r="D31">
        <v>87.05</v>
      </c>
      <c r="E31">
        <v>87.5</v>
      </c>
      <c r="F31">
        <v>5047900</v>
      </c>
      <c r="G31">
        <v>87.5</v>
      </c>
    </row>
    <row r="32" spans="1:7" x14ac:dyDescent="0.25">
      <c r="A32" s="34">
        <v>41863</v>
      </c>
      <c r="B32">
        <v>87.15</v>
      </c>
      <c r="C32">
        <v>87.62</v>
      </c>
      <c r="D32">
        <v>86.78</v>
      </c>
      <c r="E32">
        <v>87.21</v>
      </c>
      <c r="F32">
        <v>4510100</v>
      </c>
      <c r="G32">
        <v>87.21</v>
      </c>
    </row>
    <row r="33" spans="1:7" x14ac:dyDescent="0.25">
      <c r="A33" s="34">
        <v>41864</v>
      </c>
      <c r="B33">
        <v>87.74</v>
      </c>
      <c r="C33">
        <v>87.95</v>
      </c>
      <c r="D33">
        <v>87.42</v>
      </c>
      <c r="E33">
        <v>87.6</v>
      </c>
      <c r="F33">
        <v>4532300</v>
      </c>
      <c r="G33">
        <v>87.6</v>
      </c>
    </row>
    <row r="34" spans="1:7" x14ac:dyDescent="0.25">
      <c r="A34" s="34">
        <v>41865</v>
      </c>
      <c r="B34">
        <v>88.03</v>
      </c>
      <c r="C34">
        <v>88.91</v>
      </c>
      <c r="D34">
        <v>87.81</v>
      </c>
      <c r="E34">
        <v>88.61</v>
      </c>
      <c r="F34">
        <v>8218000</v>
      </c>
      <c r="G34">
        <v>88.61</v>
      </c>
    </row>
    <row r="35" spans="1:7" x14ac:dyDescent="0.25">
      <c r="A35" s="34">
        <v>41866</v>
      </c>
      <c r="B35">
        <v>89.02</v>
      </c>
      <c r="C35">
        <v>89.47</v>
      </c>
      <c r="D35">
        <v>88.69</v>
      </c>
      <c r="E35">
        <v>89.28</v>
      </c>
      <c r="F35">
        <v>8211000</v>
      </c>
      <c r="G35">
        <v>89.28</v>
      </c>
    </row>
    <row r="36" spans="1:7" x14ac:dyDescent="0.25">
      <c r="A36" s="34">
        <v>41869</v>
      </c>
      <c r="B36">
        <v>89.66</v>
      </c>
      <c r="C36">
        <v>90.37</v>
      </c>
      <c r="D36">
        <v>89.58</v>
      </c>
      <c r="E36">
        <v>89.97</v>
      </c>
      <c r="F36">
        <v>4973300</v>
      </c>
      <c r="G36">
        <v>89.97</v>
      </c>
    </row>
    <row r="37" spans="1:7" x14ac:dyDescent="0.25">
      <c r="A37" s="34">
        <v>41870</v>
      </c>
      <c r="B37">
        <v>90.13</v>
      </c>
      <c r="C37">
        <v>90.29</v>
      </c>
      <c r="D37">
        <v>89.64</v>
      </c>
      <c r="E37">
        <v>90.09</v>
      </c>
      <c r="F37">
        <v>4142900</v>
      </c>
      <c r="G37">
        <v>90.09</v>
      </c>
    </row>
    <row r="38" spans="1:7" x14ac:dyDescent="0.25">
      <c r="A38" s="34">
        <v>41871</v>
      </c>
      <c r="B38">
        <v>89.92</v>
      </c>
      <c r="C38">
        <v>90.05</v>
      </c>
      <c r="D38">
        <v>89.67</v>
      </c>
      <c r="E38">
        <v>89.84</v>
      </c>
      <c r="F38">
        <v>3870900</v>
      </c>
      <c r="G38">
        <v>89.84</v>
      </c>
    </row>
    <row r="39" spans="1:7" x14ac:dyDescent="0.25">
      <c r="A39" s="34">
        <v>41872</v>
      </c>
      <c r="B39">
        <v>90.06</v>
      </c>
      <c r="C39">
        <v>90.53</v>
      </c>
      <c r="D39">
        <v>89.98</v>
      </c>
      <c r="E39">
        <v>90.38</v>
      </c>
      <c r="F39">
        <v>4688600</v>
      </c>
      <c r="G39">
        <v>90.38</v>
      </c>
    </row>
    <row r="40" spans="1:7" x14ac:dyDescent="0.25">
      <c r="A40" s="34">
        <v>41873</v>
      </c>
      <c r="B40">
        <v>90.13</v>
      </c>
      <c r="C40">
        <v>90.9</v>
      </c>
      <c r="D40">
        <v>90.12</v>
      </c>
      <c r="E40">
        <v>90.49</v>
      </c>
      <c r="F40">
        <v>4756400</v>
      </c>
      <c r="G40">
        <v>90.49</v>
      </c>
    </row>
    <row r="41" spans="1:7" x14ac:dyDescent="0.25">
      <c r="A41" s="34">
        <v>41876</v>
      </c>
      <c r="B41">
        <v>90.95</v>
      </c>
      <c r="C41">
        <v>91.14</v>
      </c>
      <c r="D41">
        <v>90.3</v>
      </c>
      <c r="E41">
        <v>90.38</v>
      </c>
      <c r="F41">
        <v>3501400</v>
      </c>
      <c r="G41">
        <v>90.38</v>
      </c>
    </row>
    <row r="42" spans="1:7" x14ac:dyDescent="0.25">
      <c r="A42" s="34">
        <v>41877</v>
      </c>
      <c r="B42">
        <v>90.61</v>
      </c>
      <c r="C42">
        <v>90.67</v>
      </c>
      <c r="D42">
        <v>89.94</v>
      </c>
      <c r="E42">
        <v>90.02</v>
      </c>
      <c r="F42">
        <v>4104300</v>
      </c>
      <c r="G42">
        <v>90.02</v>
      </c>
    </row>
    <row r="43" spans="1:7" x14ac:dyDescent="0.25">
      <c r="A43" s="34">
        <v>41878</v>
      </c>
      <c r="B43">
        <v>90.14</v>
      </c>
      <c r="C43">
        <v>90.41</v>
      </c>
      <c r="D43">
        <v>89.98</v>
      </c>
      <c r="E43">
        <v>90.37</v>
      </c>
      <c r="F43">
        <v>3728300</v>
      </c>
      <c r="G43">
        <v>90.37</v>
      </c>
    </row>
    <row r="44" spans="1:7" x14ac:dyDescent="0.25">
      <c r="A44" s="34">
        <v>41879</v>
      </c>
      <c r="B44">
        <v>89.98</v>
      </c>
      <c r="C44">
        <v>90.49</v>
      </c>
      <c r="D44">
        <v>89.96</v>
      </c>
      <c r="E44">
        <v>90.23</v>
      </c>
      <c r="F44">
        <v>2667200</v>
      </c>
      <c r="G44">
        <v>90.23</v>
      </c>
    </row>
    <row r="45" spans="1:7" x14ac:dyDescent="0.25">
      <c r="A45" s="34">
        <v>41880</v>
      </c>
      <c r="B45">
        <v>90.32</v>
      </c>
      <c r="C45">
        <v>90.38</v>
      </c>
      <c r="D45">
        <v>89.33</v>
      </c>
      <c r="E45">
        <v>89.88</v>
      </c>
      <c r="F45">
        <v>4168500</v>
      </c>
      <c r="G45">
        <v>89.88</v>
      </c>
    </row>
    <row r="46" spans="1:7" x14ac:dyDescent="0.25">
      <c r="A46" s="34">
        <v>41884</v>
      </c>
      <c r="B46">
        <v>90.18</v>
      </c>
      <c r="C46">
        <v>90.93</v>
      </c>
      <c r="D46">
        <v>90.15</v>
      </c>
      <c r="E46">
        <v>90.8</v>
      </c>
      <c r="F46">
        <v>5567300</v>
      </c>
      <c r="G46">
        <v>90.8</v>
      </c>
    </row>
    <row r="47" spans="1:7" x14ac:dyDescent="0.25">
      <c r="A47" s="34">
        <v>41885</v>
      </c>
      <c r="B47">
        <v>91.06</v>
      </c>
      <c r="C47">
        <v>91.16</v>
      </c>
      <c r="D47">
        <v>90.67</v>
      </c>
      <c r="E47">
        <v>90.94</v>
      </c>
      <c r="F47">
        <v>3667600</v>
      </c>
      <c r="G47">
        <v>90.94</v>
      </c>
    </row>
    <row r="48" spans="1:7" x14ac:dyDescent="0.25">
      <c r="A48" s="34">
        <v>41886</v>
      </c>
      <c r="B48">
        <v>90.87</v>
      </c>
      <c r="C48">
        <v>91.2</v>
      </c>
      <c r="D48">
        <v>90.01</v>
      </c>
      <c r="E48">
        <v>90.14</v>
      </c>
      <c r="F48">
        <v>5418500</v>
      </c>
      <c r="G48">
        <v>90.14</v>
      </c>
    </row>
    <row r="49" spans="1:7" x14ac:dyDescent="0.25">
      <c r="A49" s="34">
        <v>41887</v>
      </c>
      <c r="B49">
        <v>90.14</v>
      </c>
      <c r="C49">
        <v>90.94</v>
      </c>
      <c r="D49">
        <v>90.1</v>
      </c>
      <c r="E49">
        <v>90.94</v>
      </c>
      <c r="F49">
        <v>4597100</v>
      </c>
      <c r="G49">
        <v>90.94</v>
      </c>
    </row>
    <row r="50" spans="1:7" x14ac:dyDescent="0.25">
      <c r="A50" s="34">
        <v>41890</v>
      </c>
      <c r="B50">
        <v>90.76</v>
      </c>
      <c r="C50">
        <v>90.84</v>
      </c>
      <c r="D50">
        <v>90.16</v>
      </c>
      <c r="E50">
        <v>90.56</v>
      </c>
      <c r="F50">
        <v>4310500</v>
      </c>
      <c r="G50">
        <v>90.56</v>
      </c>
    </row>
    <row r="51" spans="1:7" x14ac:dyDescent="0.25">
      <c r="A51" s="34">
        <v>41891</v>
      </c>
      <c r="B51">
        <v>90.5</v>
      </c>
      <c r="C51">
        <v>90.54</v>
      </c>
      <c r="D51">
        <v>89.51</v>
      </c>
      <c r="E51">
        <v>89.6</v>
      </c>
      <c r="F51">
        <v>4771000</v>
      </c>
      <c r="G51">
        <v>89.6</v>
      </c>
    </row>
    <row r="52" spans="1:7" x14ac:dyDescent="0.25">
      <c r="A52" s="34">
        <v>41892</v>
      </c>
      <c r="B52">
        <v>89.54</v>
      </c>
      <c r="C52">
        <v>89.82</v>
      </c>
      <c r="D52">
        <v>88.75</v>
      </c>
      <c r="E52">
        <v>89.52</v>
      </c>
      <c r="F52">
        <v>5053300</v>
      </c>
      <c r="G52">
        <v>89.52</v>
      </c>
    </row>
    <row r="53" spans="1:7" x14ac:dyDescent="0.25">
      <c r="A53" s="34">
        <v>41893</v>
      </c>
      <c r="B53">
        <v>89.2</v>
      </c>
      <c r="C53">
        <v>90.04</v>
      </c>
      <c r="D53">
        <v>89.06</v>
      </c>
      <c r="E53">
        <v>89.97</v>
      </c>
      <c r="F53">
        <v>4065500</v>
      </c>
      <c r="G53">
        <v>89.97</v>
      </c>
    </row>
    <row r="54" spans="1:7" x14ac:dyDescent="0.25">
      <c r="A54" s="34">
        <v>41894</v>
      </c>
      <c r="B54">
        <v>90.1</v>
      </c>
      <c r="C54">
        <v>90.2</v>
      </c>
      <c r="D54">
        <v>89.25</v>
      </c>
      <c r="E54">
        <v>89.67</v>
      </c>
      <c r="F54">
        <v>3870200</v>
      </c>
      <c r="G54">
        <v>89.67</v>
      </c>
    </row>
    <row r="55" spans="1:7" x14ac:dyDescent="0.25">
      <c r="A55" s="34">
        <v>41897</v>
      </c>
      <c r="B55">
        <v>89.74</v>
      </c>
      <c r="C55">
        <v>90.37</v>
      </c>
      <c r="D55">
        <v>89.56</v>
      </c>
      <c r="E55">
        <v>90.08</v>
      </c>
      <c r="F55">
        <v>4881800</v>
      </c>
      <c r="G55">
        <v>90.08</v>
      </c>
    </row>
  </sheetData>
  <sortState ref="A3:G55">
    <sortCondition ref="A3:A55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51.55</v>
      </c>
      <c r="C3">
        <v>51.73</v>
      </c>
      <c r="D3">
        <v>51.27</v>
      </c>
      <c r="E3">
        <v>51.54</v>
      </c>
      <c r="F3">
        <v>5349700</v>
      </c>
      <c r="G3">
        <v>51.18</v>
      </c>
    </row>
    <row r="4" spans="1:7" x14ac:dyDescent="0.25">
      <c r="A4" s="34">
        <v>41822</v>
      </c>
      <c r="B4">
        <v>51.69</v>
      </c>
      <c r="C4">
        <v>51.98</v>
      </c>
      <c r="D4">
        <v>51.51</v>
      </c>
      <c r="E4">
        <v>51.52</v>
      </c>
      <c r="F4">
        <v>4355700</v>
      </c>
      <c r="G4">
        <v>51.16</v>
      </c>
    </row>
    <row r="5" spans="1:7" x14ac:dyDescent="0.25">
      <c r="A5" s="34">
        <v>41823</v>
      </c>
      <c r="B5">
        <v>51.76</v>
      </c>
      <c r="C5">
        <v>52.19</v>
      </c>
      <c r="D5">
        <v>51.71</v>
      </c>
      <c r="E5">
        <v>52.05</v>
      </c>
      <c r="F5">
        <v>3161500</v>
      </c>
      <c r="G5">
        <v>51.69</v>
      </c>
    </row>
    <row r="6" spans="1:7" x14ac:dyDescent="0.25">
      <c r="A6" s="34">
        <v>41827</v>
      </c>
      <c r="B6">
        <v>51.62</v>
      </c>
      <c r="C6">
        <v>51.77</v>
      </c>
      <c r="D6">
        <v>51.16</v>
      </c>
      <c r="E6">
        <v>51.23</v>
      </c>
      <c r="F6">
        <v>5189000</v>
      </c>
      <c r="G6">
        <v>50.87</v>
      </c>
    </row>
    <row r="7" spans="1:7" x14ac:dyDescent="0.25">
      <c r="A7" s="34">
        <v>41828</v>
      </c>
      <c r="B7">
        <v>51.27</v>
      </c>
      <c r="C7">
        <v>51.3</v>
      </c>
      <c r="D7">
        <v>50.49</v>
      </c>
      <c r="E7">
        <v>50.99</v>
      </c>
      <c r="F7">
        <v>5910100</v>
      </c>
      <c r="G7">
        <v>50.63</v>
      </c>
    </row>
    <row r="8" spans="1:7" x14ac:dyDescent="0.25">
      <c r="A8" s="34">
        <v>41829</v>
      </c>
      <c r="B8">
        <v>51.16</v>
      </c>
      <c r="C8">
        <v>51.4</v>
      </c>
      <c r="D8">
        <v>50.89</v>
      </c>
      <c r="E8">
        <v>51.2</v>
      </c>
      <c r="F8">
        <v>5483400</v>
      </c>
      <c r="G8">
        <v>50.84</v>
      </c>
    </row>
    <row r="9" spans="1:7" x14ac:dyDescent="0.25">
      <c r="A9" s="34">
        <v>41830</v>
      </c>
      <c r="B9">
        <v>50.62</v>
      </c>
      <c r="C9">
        <v>51.59</v>
      </c>
      <c r="D9">
        <v>50.48</v>
      </c>
      <c r="E9">
        <v>51.12</v>
      </c>
      <c r="F9">
        <v>5943800</v>
      </c>
      <c r="G9">
        <v>50.76</v>
      </c>
    </row>
    <row r="10" spans="1:7" x14ac:dyDescent="0.25">
      <c r="A10" s="34">
        <v>41831</v>
      </c>
      <c r="B10">
        <v>51.2</v>
      </c>
      <c r="C10">
        <v>51.68</v>
      </c>
      <c r="D10">
        <v>51.01</v>
      </c>
      <c r="E10">
        <v>51.6</v>
      </c>
      <c r="F10">
        <v>4126400</v>
      </c>
      <c r="G10">
        <v>51.24</v>
      </c>
    </row>
    <row r="11" spans="1:7" x14ac:dyDescent="0.25">
      <c r="A11" s="34">
        <v>41834</v>
      </c>
      <c r="B11">
        <v>51.94</v>
      </c>
      <c r="C11">
        <v>51.94</v>
      </c>
      <c r="D11">
        <v>51.45</v>
      </c>
      <c r="E11">
        <v>51.5</v>
      </c>
      <c r="F11">
        <v>5172900</v>
      </c>
      <c r="G11">
        <v>51.14</v>
      </c>
    </row>
    <row r="12" spans="1:7" x14ac:dyDescent="0.25">
      <c r="A12" s="34">
        <v>41835</v>
      </c>
      <c r="B12">
        <v>51.75</v>
      </c>
      <c r="C12">
        <v>52.06</v>
      </c>
      <c r="D12">
        <v>51.31</v>
      </c>
      <c r="E12">
        <v>51.54</v>
      </c>
      <c r="F12">
        <v>4636900</v>
      </c>
      <c r="G12">
        <v>51.18</v>
      </c>
    </row>
    <row r="13" spans="1:7" x14ac:dyDescent="0.25">
      <c r="A13" s="34">
        <v>41836</v>
      </c>
      <c r="B13">
        <v>51.72</v>
      </c>
      <c r="C13">
        <v>52.21</v>
      </c>
      <c r="D13">
        <v>51.63</v>
      </c>
      <c r="E13">
        <v>52.07</v>
      </c>
      <c r="F13">
        <v>5332200</v>
      </c>
      <c r="G13">
        <v>51.71</v>
      </c>
    </row>
    <row r="14" spans="1:7" x14ac:dyDescent="0.25">
      <c r="A14" s="34">
        <v>41837</v>
      </c>
      <c r="B14">
        <v>51.7</v>
      </c>
      <c r="C14">
        <v>52.13</v>
      </c>
      <c r="D14">
        <v>51.55</v>
      </c>
      <c r="E14">
        <v>51.65</v>
      </c>
      <c r="F14">
        <v>4480600</v>
      </c>
      <c r="G14">
        <v>51.29</v>
      </c>
    </row>
    <row r="15" spans="1:7" x14ac:dyDescent="0.25">
      <c r="A15" s="34">
        <v>41838</v>
      </c>
      <c r="B15">
        <v>51.72</v>
      </c>
      <c r="C15">
        <v>52.16</v>
      </c>
      <c r="D15">
        <v>51.52</v>
      </c>
      <c r="E15">
        <v>51.69</v>
      </c>
      <c r="F15">
        <v>6451000</v>
      </c>
      <c r="G15">
        <v>51.33</v>
      </c>
    </row>
    <row r="16" spans="1:7" x14ac:dyDescent="0.25">
      <c r="A16" s="34">
        <v>41841</v>
      </c>
      <c r="B16">
        <v>51.7</v>
      </c>
      <c r="C16">
        <v>52.05</v>
      </c>
      <c r="D16">
        <v>51.6</v>
      </c>
      <c r="E16">
        <v>51.86</v>
      </c>
      <c r="F16">
        <v>5408300</v>
      </c>
      <c r="G16">
        <v>51.5</v>
      </c>
    </row>
    <row r="17" spans="1:7" x14ac:dyDescent="0.25">
      <c r="A17" s="34">
        <v>41842</v>
      </c>
      <c r="B17">
        <v>52.08</v>
      </c>
      <c r="C17">
        <v>52.36</v>
      </c>
      <c r="D17">
        <v>51.79</v>
      </c>
      <c r="E17">
        <v>52.3</v>
      </c>
      <c r="F17">
        <v>6010500</v>
      </c>
      <c r="G17">
        <v>51.94</v>
      </c>
    </row>
    <row r="18" spans="1:7" x14ac:dyDescent="0.25">
      <c r="A18" s="34">
        <v>41843</v>
      </c>
      <c r="B18">
        <v>53.04</v>
      </c>
      <c r="C18">
        <v>54.28</v>
      </c>
      <c r="D18">
        <v>52.31</v>
      </c>
      <c r="E18">
        <v>53.89</v>
      </c>
      <c r="F18">
        <v>14033400</v>
      </c>
      <c r="G18">
        <v>53.51</v>
      </c>
    </row>
    <row r="19" spans="1:7" x14ac:dyDescent="0.25">
      <c r="A19" s="34">
        <v>41844</v>
      </c>
      <c r="B19">
        <v>53.98</v>
      </c>
      <c r="C19">
        <v>54.12</v>
      </c>
      <c r="D19">
        <v>53.4</v>
      </c>
      <c r="E19">
        <v>53.84</v>
      </c>
      <c r="F19">
        <v>8479300</v>
      </c>
      <c r="G19">
        <v>53.47</v>
      </c>
    </row>
    <row r="20" spans="1:7" x14ac:dyDescent="0.25">
      <c r="A20" s="34">
        <v>41845</v>
      </c>
      <c r="B20">
        <v>53.64</v>
      </c>
      <c r="C20">
        <v>54.14</v>
      </c>
      <c r="D20">
        <v>53.5</v>
      </c>
      <c r="E20">
        <v>53.71</v>
      </c>
      <c r="F20">
        <v>7353400</v>
      </c>
      <c r="G20">
        <v>53.34</v>
      </c>
    </row>
    <row r="21" spans="1:7" x14ac:dyDescent="0.25">
      <c r="A21" s="34">
        <v>41848</v>
      </c>
      <c r="B21">
        <v>53.84</v>
      </c>
      <c r="C21">
        <v>54.15</v>
      </c>
      <c r="D21">
        <v>53.57</v>
      </c>
      <c r="E21">
        <v>53.7</v>
      </c>
      <c r="F21">
        <v>8733000</v>
      </c>
      <c r="G21">
        <v>53.33</v>
      </c>
    </row>
    <row r="22" spans="1:7" x14ac:dyDescent="0.25">
      <c r="A22" s="34">
        <v>41849</v>
      </c>
      <c r="B22">
        <v>53.89</v>
      </c>
      <c r="C22">
        <v>54.03</v>
      </c>
      <c r="D22">
        <v>53.44</v>
      </c>
      <c r="E22">
        <v>53.45</v>
      </c>
      <c r="F22">
        <v>5504800</v>
      </c>
      <c r="G22">
        <v>53.08</v>
      </c>
    </row>
    <row r="23" spans="1:7" x14ac:dyDescent="0.25">
      <c r="A23" s="34">
        <v>41850</v>
      </c>
      <c r="B23">
        <v>53.72</v>
      </c>
      <c r="C23">
        <v>53.8</v>
      </c>
      <c r="D23">
        <v>52.26</v>
      </c>
      <c r="E23">
        <v>52.48</v>
      </c>
      <c r="F23">
        <v>7250800</v>
      </c>
      <c r="G23">
        <v>52.11</v>
      </c>
    </row>
    <row r="24" spans="1:7" x14ac:dyDescent="0.25">
      <c r="A24" s="34">
        <v>41851</v>
      </c>
      <c r="B24">
        <v>52.12</v>
      </c>
      <c r="C24">
        <v>52.12</v>
      </c>
      <c r="D24">
        <v>51</v>
      </c>
      <c r="E24">
        <v>51.07</v>
      </c>
      <c r="F24">
        <v>8559600</v>
      </c>
      <c r="G24">
        <v>50.71</v>
      </c>
    </row>
    <row r="25" spans="1:7" x14ac:dyDescent="0.25">
      <c r="A25" s="34">
        <v>41852</v>
      </c>
      <c r="B25">
        <v>51.2</v>
      </c>
      <c r="C25">
        <v>51.25</v>
      </c>
      <c r="D25">
        <v>50.35</v>
      </c>
      <c r="E25">
        <v>50.97</v>
      </c>
      <c r="F25">
        <v>7002000</v>
      </c>
      <c r="G25">
        <v>50.62</v>
      </c>
    </row>
    <row r="26" spans="1:7" x14ac:dyDescent="0.25">
      <c r="A26" s="34">
        <v>41855</v>
      </c>
      <c r="B26">
        <v>51.19</v>
      </c>
      <c r="C26">
        <v>51.83</v>
      </c>
      <c r="D26">
        <v>50.79</v>
      </c>
      <c r="E26">
        <v>51.68</v>
      </c>
      <c r="F26">
        <v>6038600</v>
      </c>
      <c r="G26">
        <v>51.32</v>
      </c>
    </row>
    <row r="27" spans="1:7" x14ac:dyDescent="0.25">
      <c r="A27" s="34">
        <v>41856</v>
      </c>
      <c r="B27">
        <v>51.45</v>
      </c>
      <c r="C27">
        <v>51.82</v>
      </c>
      <c r="D27">
        <v>50.93</v>
      </c>
      <c r="E27">
        <v>51.1</v>
      </c>
      <c r="F27">
        <v>6316400</v>
      </c>
      <c r="G27">
        <v>50.74</v>
      </c>
    </row>
    <row r="28" spans="1:7" x14ac:dyDescent="0.25">
      <c r="A28" s="34">
        <v>41857</v>
      </c>
      <c r="B28">
        <v>50.71</v>
      </c>
      <c r="C28">
        <v>51.55</v>
      </c>
      <c r="D28">
        <v>50.34</v>
      </c>
      <c r="E28">
        <v>51.49</v>
      </c>
      <c r="F28">
        <v>10625900</v>
      </c>
      <c r="G28">
        <v>51.13</v>
      </c>
    </row>
    <row r="29" spans="1:7" x14ac:dyDescent="0.25">
      <c r="A29" s="34">
        <v>41858</v>
      </c>
      <c r="B29">
        <v>51.74</v>
      </c>
      <c r="C29">
        <v>52.13</v>
      </c>
      <c r="D29">
        <v>51.19</v>
      </c>
      <c r="E29">
        <v>51.32</v>
      </c>
      <c r="F29">
        <v>5933400</v>
      </c>
      <c r="G29">
        <v>50.96</v>
      </c>
    </row>
    <row r="30" spans="1:7" x14ac:dyDescent="0.25">
      <c r="A30" s="34">
        <v>41859</v>
      </c>
      <c r="B30">
        <v>51.37</v>
      </c>
      <c r="C30">
        <v>52.3</v>
      </c>
      <c r="D30">
        <v>51.24</v>
      </c>
      <c r="E30">
        <v>52.28</v>
      </c>
      <c r="F30">
        <v>7602700</v>
      </c>
      <c r="G30">
        <v>51.92</v>
      </c>
    </row>
    <row r="31" spans="1:7" x14ac:dyDescent="0.25">
      <c r="A31" s="34">
        <v>41862</v>
      </c>
      <c r="B31">
        <v>52.44</v>
      </c>
      <c r="C31">
        <v>52.8</v>
      </c>
      <c r="D31">
        <v>51.79</v>
      </c>
      <c r="E31">
        <v>51.8</v>
      </c>
      <c r="F31">
        <v>5428800</v>
      </c>
      <c r="G31">
        <v>51.44</v>
      </c>
    </row>
    <row r="32" spans="1:7" x14ac:dyDescent="0.25">
      <c r="A32" s="34">
        <v>41863</v>
      </c>
      <c r="B32">
        <v>51.8</v>
      </c>
      <c r="C32">
        <v>52</v>
      </c>
      <c r="D32">
        <v>51.41</v>
      </c>
      <c r="E32">
        <v>51.8</v>
      </c>
      <c r="F32">
        <v>4255200</v>
      </c>
      <c r="G32">
        <v>51.44</v>
      </c>
    </row>
    <row r="33" spans="1:7" x14ac:dyDescent="0.25">
      <c r="A33" s="34">
        <v>41864</v>
      </c>
      <c r="B33">
        <v>52.05</v>
      </c>
      <c r="C33">
        <v>52.67</v>
      </c>
      <c r="D33">
        <v>51.99</v>
      </c>
      <c r="E33">
        <v>52.5</v>
      </c>
      <c r="F33">
        <v>3929300</v>
      </c>
      <c r="G33">
        <v>52.13</v>
      </c>
    </row>
    <row r="34" spans="1:7" x14ac:dyDescent="0.25">
      <c r="A34" s="34">
        <v>41865</v>
      </c>
      <c r="B34">
        <v>52.56</v>
      </c>
      <c r="C34">
        <v>52.67</v>
      </c>
      <c r="D34">
        <v>52.06</v>
      </c>
      <c r="E34">
        <v>52.13</v>
      </c>
      <c r="F34">
        <v>5175600</v>
      </c>
      <c r="G34">
        <v>51.77</v>
      </c>
    </row>
    <row r="35" spans="1:7" x14ac:dyDescent="0.25">
      <c r="A35" s="34">
        <v>41866</v>
      </c>
      <c r="B35">
        <v>52.2</v>
      </c>
      <c r="C35">
        <v>52.52</v>
      </c>
      <c r="D35">
        <v>51.65</v>
      </c>
      <c r="E35">
        <v>52.02</v>
      </c>
      <c r="F35">
        <v>7730000</v>
      </c>
      <c r="G35">
        <v>51.66</v>
      </c>
    </row>
    <row r="36" spans="1:7" x14ac:dyDescent="0.25">
      <c r="A36" s="34">
        <v>41869</v>
      </c>
      <c r="B36">
        <v>52.34</v>
      </c>
      <c r="C36">
        <v>52.89</v>
      </c>
      <c r="D36">
        <v>52.21</v>
      </c>
      <c r="E36">
        <v>52.88</v>
      </c>
      <c r="F36">
        <v>5434100</v>
      </c>
      <c r="G36">
        <v>52.51</v>
      </c>
    </row>
    <row r="37" spans="1:7" x14ac:dyDescent="0.25">
      <c r="A37" s="34">
        <v>41870</v>
      </c>
      <c r="B37">
        <v>52.99</v>
      </c>
      <c r="C37">
        <v>53.2</v>
      </c>
      <c r="D37">
        <v>52.85</v>
      </c>
      <c r="E37">
        <v>53.08</v>
      </c>
      <c r="F37">
        <v>3642700</v>
      </c>
      <c r="G37">
        <v>52.71</v>
      </c>
    </row>
    <row r="38" spans="1:7" x14ac:dyDescent="0.25">
      <c r="A38" s="34">
        <v>41871</v>
      </c>
      <c r="B38">
        <v>53.01</v>
      </c>
      <c r="C38">
        <v>53.4</v>
      </c>
      <c r="D38">
        <v>52.97</v>
      </c>
      <c r="E38">
        <v>53.3</v>
      </c>
      <c r="F38">
        <v>3712300</v>
      </c>
      <c r="G38">
        <v>52.93</v>
      </c>
    </row>
    <row r="39" spans="1:7" x14ac:dyDescent="0.25">
      <c r="A39" s="34">
        <v>41872</v>
      </c>
      <c r="B39">
        <v>53.33</v>
      </c>
      <c r="C39">
        <v>53.47</v>
      </c>
      <c r="D39">
        <v>53.05</v>
      </c>
      <c r="E39">
        <v>53.07</v>
      </c>
      <c r="F39">
        <v>3637800</v>
      </c>
      <c r="G39">
        <v>52.7</v>
      </c>
    </row>
    <row r="40" spans="1:7" x14ac:dyDescent="0.25">
      <c r="A40" s="34">
        <v>41873</v>
      </c>
      <c r="B40">
        <v>53</v>
      </c>
      <c r="C40">
        <v>53.27</v>
      </c>
      <c r="D40">
        <v>52.85</v>
      </c>
      <c r="E40">
        <v>53.11</v>
      </c>
      <c r="F40">
        <v>3351900</v>
      </c>
      <c r="G40">
        <v>52.74</v>
      </c>
    </row>
    <row r="41" spans="1:7" x14ac:dyDescent="0.25">
      <c r="A41" s="34">
        <v>41876</v>
      </c>
      <c r="B41">
        <v>53.19</v>
      </c>
      <c r="C41">
        <v>53.4</v>
      </c>
      <c r="D41">
        <v>53</v>
      </c>
      <c r="E41">
        <v>53.13</v>
      </c>
      <c r="F41">
        <v>2900700</v>
      </c>
      <c r="G41">
        <v>52.76</v>
      </c>
    </row>
    <row r="42" spans="1:7" x14ac:dyDescent="0.25">
      <c r="A42" s="34">
        <v>41877</v>
      </c>
      <c r="B42">
        <v>53.13</v>
      </c>
      <c r="C42">
        <v>53.28</v>
      </c>
      <c r="D42">
        <v>52.92</v>
      </c>
      <c r="E42">
        <v>53.1</v>
      </c>
      <c r="F42">
        <v>3683700</v>
      </c>
      <c r="G42">
        <v>52.73</v>
      </c>
    </row>
    <row r="43" spans="1:7" x14ac:dyDescent="0.25">
      <c r="A43" s="34">
        <v>41878</v>
      </c>
      <c r="B43">
        <v>53.28</v>
      </c>
      <c r="C43">
        <v>53.93</v>
      </c>
      <c r="D43">
        <v>53.09</v>
      </c>
      <c r="E43">
        <v>53.64</v>
      </c>
      <c r="F43">
        <v>6567200</v>
      </c>
      <c r="G43">
        <v>53.27</v>
      </c>
    </row>
    <row r="44" spans="1:7" x14ac:dyDescent="0.25">
      <c r="A44" s="34">
        <v>41879</v>
      </c>
      <c r="B44">
        <v>53.53</v>
      </c>
      <c r="C44">
        <v>53.82</v>
      </c>
      <c r="D44">
        <v>53.23</v>
      </c>
      <c r="E44">
        <v>53.64</v>
      </c>
      <c r="F44">
        <v>4923900</v>
      </c>
      <c r="G44">
        <v>53.27</v>
      </c>
    </row>
    <row r="45" spans="1:7" x14ac:dyDescent="0.25">
      <c r="A45" s="34">
        <v>41880</v>
      </c>
      <c r="B45">
        <v>53.77</v>
      </c>
      <c r="C45">
        <v>53.87</v>
      </c>
      <c r="D45">
        <v>53.49</v>
      </c>
      <c r="E45">
        <v>53.55</v>
      </c>
      <c r="F45">
        <v>4223700</v>
      </c>
      <c r="G45">
        <v>53.18</v>
      </c>
    </row>
    <row r="46" spans="1:7" x14ac:dyDescent="0.25">
      <c r="A46" s="34">
        <v>41884</v>
      </c>
      <c r="B46">
        <v>53.56</v>
      </c>
      <c r="C46">
        <v>53.64</v>
      </c>
      <c r="D46">
        <v>53.25</v>
      </c>
      <c r="E46">
        <v>53.55</v>
      </c>
      <c r="F46">
        <v>4842200</v>
      </c>
      <c r="G46">
        <v>53.18</v>
      </c>
    </row>
    <row r="47" spans="1:7" x14ac:dyDescent="0.25">
      <c r="A47" s="34">
        <v>41885</v>
      </c>
      <c r="B47">
        <v>53.7</v>
      </c>
      <c r="C47">
        <v>54.25</v>
      </c>
      <c r="D47">
        <v>53.65</v>
      </c>
      <c r="E47">
        <v>53.9</v>
      </c>
      <c r="F47">
        <v>7804000</v>
      </c>
      <c r="G47">
        <v>53.52</v>
      </c>
    </row>
    <row r="48" spans="1:7" x14ac:dyDescent="0.25">
      <c r="A48" s="34">
        <v>41886</v>
      </c>
      <c r="B48">
        <v>53.97</v>
      </c>
      <c r="C48">
        <v>54.97</v>
      </c>
      <c r="D48">
        <v>53.87</v>
      </c>
      <c r="E48">
        <v>54.29</v>
      </c>
      <c r="F48">
        <v>10109200</v>
      </c>
      <c r="G48">
        <v>53.91</v>
      </c>
    </row>
    <row r="49" spans="1:7" x14ac:dyDescent="0.25">
      <c r="A49" s="34">
        <v>41887</v>
      </c>
      <c r="B49">
        <v>54.31</v>
      </c>
      <c r="C49">
        <v>54.92</v>
      </c>
      <c r="D49">
        <v>54.2</v>
      </c>
      <c r="E49">
        <v>54.8</v>
      </c>
      <c r="F49">
        <v>10364400</v>
      </c>
      <c r="G49">
        <v>54.42</v>
      </c>
    </row>
    <row r="50" spans="1:7" x14ac:dyDescent="0.25">
      <c r="A50" s="34">
        <v>41890</v>
      </c>
      <c r="B50">
        <v>54.77</v>
      </c>
      <c r="C50">
        <v>54.94</v>
      </c>
      <c r="D50">
        <v>54.26</v>
      </c>
      <c r="E50">
        <v>54.31</v>
      </c>
      <c r="F50">
        <v>6391500</v>
      </c>
      <c r="G50">
        <v>53.93</v>
      </c>
    </row>
    <row r="51" spans="1:7" x14ac:dyDescent="0.25">
      <c r="A51" s="34">
        <v>41891</v>
      </c>
      <c r="B51">
        <v>54.3</v>
      </c>
      <c r="C51">
        <v>54.3</v>
      </c>
      <c r="D51">
        <v>53.37</v>
      </c>
      <c r="E51">
        <v>53.46</v>
      </c>
      <c r="F51">
        <v>6089800</v>
      </c>
      <c r="G51">
        <v>53.09</v>
      </c>
    </row>
    <row r="52" spans="1:7" x14ac:dyDescent="0.25">
      <c r="A52" s="34">
        <v>41892</v>
      </c>
      <c r="B52">
        <v>53.34</v>
      </c>
      <c r="C52">
        <v>53.46</v>
      </c>
      <c r="D52">
        <v>52.99</v>
      </c>
      <c r="E52">
        <v>53.36</v>
      </c>
      <c r="F52">
        <v>7230800</v>
      </c>
      <c r="G52">
        <v>52.99</v>
      </c>
    </row>
    <row r="53" spans="1:7" x14ac:dyDescent="0.25">
      <c r="A53" s="34">
        <v>41893</v>
      </c>
      <c r="B53">
        <v>52.9</v>
      </c>
      <c r="C53">
        <v>53.04</v>
      </c>
      <c r="D53">
        <v>52.37</v>
      </c>
      <c r="E53">
        <v>52.88</v>
      </c>
      <c r="F53">
        <v>9608900</v>
      </c>
      <c r="G53">
        <v>52.51</v>
      </c>
    </row>
    <row r="54" spans="1:7" x14ac:dyDescent="0.25">
      <c r="A54" s="34">
        <v>41894</v>
      </c>
      <c r="B54">
        <v>53.04</v>
      </c>
      <c r="C54">
        <v>53.4</v>
      </c>
      <c r="D54">
        <v>52.38</v>
      </c>
      <c r="E54">
        <v>52.67</v>
      </c>
      <c r="F54">
        <v>7772100</v>
      </c>
      <c r="G54">
        <v>52.3</v>
      </c>
    </row>
    <row r="55" spans="1:7" x14ac:dyDescent="0.25">
      <c r="A55" s="34">
        <v>41897</v>
      </c>
      <c r="B55">
        <v>52.7</v>
      </c>
      <c r="C55">
        <v>53.29</v>
      </c>
      <c r="D55">
        <v>52.43</v>
      </c>
      <c r="E55">
        <v>53.04</v>
      </c>
      <c r="F55">
        <v>6778300</v>
      </c>
      <c r="G55">
        <v>52.67</v>
      </c>
    </row>
  </sheetData>
  <sortState ref="A3:G55">
    <sortCondition ref="A3:A55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79.849999999999994</v>
      </c>
      <c r="C3">
        <v>80.010000000000005</v>
      </c>
      <c r="D3">
        <v>79.040000000000006</v>
      </c>
      <c r="E3">
        <v>79.08</v>
      </c>
      <c r="F3">
        <v>2156600</v>
      </c>
      <c r="G3">
        <v>78.81</v>
      </c>
    </row>
    <row r="4" spans="1:7" x14ac:dyDescent="0.25">
      <c r="A4" s="34">
        <v>41822</v>
      </c>
      <c r="B4">
        <v>79.069999999999993</v>
      </c>
      <c r="C4">
        <v>79.650000000000006</v>
      </c>
      <c r="D4">
        <v>78.260000000000005</v>
      </c>
      <c r="E4">
        <v>78.58</v>
      </c>
      <c r="F4">
        <v>3310900</v>
      </c>
      <c r="G4">
        <v>78.31</v>
      </c>
    </row>
    <row r="5" spans="1:7" x14ac:dyDescent="0.25">
      <c r="A5" s="34">
        <v>41823</v>
      </c>
      <c r="B5">
        <v>78.94</v>
      </c>
      <c r="C5">
        <v>79.260000000000005</v>
      </c>
      <c r="D5">
        <v>78.180000000000007</v>
      </c>
      <c r="E5">
        <v>79.209999999999994</v>
      </c>
      <c r="F5">
        <v>1413700</v>
      </c>
      <c r="G5">
        <v>78.94</v>
      </c>
    </row>
    <row r="6" spans="1:7" x14ac:dyDescent="0.25">
      <c r="A6" s="34">
        <v>41827</v>
      </c>
      <c r="B6">
        <v>79.86</v>
      </c>
      <c r="C6">
        <v>79.86</v>
      </c>
      <c r="D6">
        <v>78.099999999999994</v>
      </c>
      <c r="E6">
        <v>78.28</v>
      </c>
      <c r="F6">
        <v>3287900</v>
      </c>
      <c r="G6">
        <v>78.010000000000005</v>
      </c>
    </row>
    <row r="7" spans="1:7" x14ac:dyDescent="0.25">
      <c r="A7" s="34">
        <v>41828</v>
      </c>
      <c r="B7">
        <v>78.430000000000007</v>
      </c>
      <c r="C7">
        <v>79.14</v>
      </c>
      <c r="D7">
        <v>77.92</v>
      </c>
      <c r="E7">
        <v>78.14</v>
      </c>
      <c r="F7">
        <v>3641000</v>
      </c>
      <c r="G7">
        <v>77.87</v>
      </c>
    </row>
    <row r="8" spans="1:7" x14ac:dyDescent="0.25">
      <c r="A8" s="34">
        <v>41829</v>
      </c>
      <c r="B8">
        <v>78.42</v>
      </c>
      <c r="C8">
        <v>79.41</v>
      </c>
      <c r="D8">
        <v>78.2</v>
      </c>
      <c r="E8">
        <v>79.400000000000006</v>
      </c>
      <c r="F8">
        <v>2213300</v>
      </c>
      <c r="G8">
        <v>79.13</v>
      </c>
    </row>
    <row r="9" spans="1:7" x14ac:dyDescent="0.25">
      <c r="A9" s="34">
        <v>41830</v>
      </c>
      <c r="B9">
        <v>78.16</v>
      </c>
      <c r="C9">
        <v>78.739999999999995</v>
      </c>
      <c r="D9">
        <v>77.33</v>
      </c>
      <c r="E9">
        <v>78.099999999999994</v>
      </c>
      <c r="F9">
        <v>3014200</v>
      </c>
      <c r="G9">
        <v>77.84</v>
      </c>
    </row>
    <row r="10" spans="1:7" x14ac:dyDescent="0.25">
      <c r="A10" s="34">
        <v>41831</v>
      </c>
      <c r="B10">
        <v>78.02</v>
      </c>
      <c r="C10">
        <v>78.14</v>
      </c>
      <c r="D10">
        <v>77.099999999999994</v>
      </c>
      <c r="E10">
        <v>77.13</v>
      </c>
      <c r="F10">
        <v>2920200</v>
      </c>
      <c r="G10">
        <v>76.87</v>
      </c>
    </row>
    <row r="11" spans="1:7" x14ac:dyDescent="0.25">
      <c r="A11" s="34">
        <v>41834</v>
      </c>
      <c r="B11">
        <v>77.349999999999994</v>
      </c>
      <c r="C11">
        <v>78.06</v>
      </c>
      <c r="D11">
        <v>77.17</v>
      </c>
      <c r="E11">
        <v>77.81</v>
      </c>
      <c r="F11">
        <v>2107600</v>
      </c>
      <c r="G11">
        <v>77.55</v>
      </c>
    </row>
    <row r="12" spans="1:7" x14ac:dyDescent="0.25">
      <c r="A12" s="34">
        <v>41835</v>
      </c>
      <c r="B12">
        <v>77.72</v>
      </c>
      <c r="C12">
        <v>77.900000000000006</v>
      </c>
      <c r="D12">
        <v>76</v>
      </c>
      <c r="E12">
        <v>76.5</v>
      </c>
      <c r="F12">
        <v>3398100</v>
      </c>
      <c r="G12">
        <v>76.239999999999995</v>
      </c>
    </row>
    <row r="13" spans="1:7" x14ac:dyDescent="0.25">
      <c r="A13" s="34">
        <v>41836</v>
      </c>
      <c r="B13">
        <v>77</v>
      </c>
      <c r="C13">
        <v>77.959999999999994</v>
      </c>
      <c r="D13">
        <v>76.78</v>
      </c>
      <c r="E13">
        <v>77.89</v>
      </c>
      <c r="F13">
        <v>2340100</v>
      </c>
      <c r="G13">
        <v>77.63</v>
      </c>
    </row>
    <row r="14" spans="1:7" x14ac:dyDescent="0.25">
      <c r="A14" s="34">
        <v>41837</v>
      </c>
      <c r="B14">
        <v>77.94</v>
      </c>
      <c r="C14">
        <v>78.63</v>
      </c>
      <c r="D14">
        <v>75.599999999999994</v>
      </c>
      <c r="E14">
        <v>75.739999999999995</v>
      </c>
      <c r="F14">
        <v>3875900</v>
      </c>
      <c r="G14">
        <v>75.48</v>
      </c>
    </row>
    <row r="15" spans="1:7" x14ac:dyDescent="0.25">
      <c r="A15" s="34">
        <v>41838</v>
      </c>
      <c r="B15">
        <v>76.52</v>
      </c>
      <c r="C15">
        <v>77.34</v>
      </c>
      <c r="D15">
        <v>76.13</v>
      </c>
      <c r="E15">
        <v>77.010000000000005</v>
      </c>
      <c r="F15">
        <v>2548500</v>
      </c>
      <c r="G15">
        <v>76.75</v>
      </c>
    </row>
    <row r="16" spans="1:7" x14ac:dyDescent="0.25">
      <c r="A16" s="34">
        <v>41841</v>
      </c>
      <c r="B16">
        <v>76.91</v>
      </c>
      <c r="C16">
        <v>77.209999999999994</v>
      </c>
      <c r="D16">
        <v>76.319999999999993</v>
      </c>
      <c r="E16">
        <v>77.12</v>
      </c>
      <c r="F16">
        <v>1915700</v>
      </c>
      <c r="G16">
        <v>76.86</v>
      </c>
    </row>
    <row r="17" spans="1:7" x14ac:dyDescent="0.25">
      <c r="A17" s="34">
        <v>41842</v>
      </c>
      <c r="B17">
        <v>77.650000000000006</v>
      </c>
      <c r="C17">
        <v>78.44</v>
      </c>
      <c r="D17">
        <v>77.33</v>
      </c>
      <c r="E17">
        <v>78.150000000000006</v>
      </c>
      <c r="F17">
        <v>3234600</v>
      </c>
      <c r="G17">
        <v>77.88</v>
      </c>
    </row>
    <row r="18" spans="1:7" x14ac:dyDescent="0.25">
      <c r="A18" s="34">
        <v>41843</v>
      </c>
      <c r="B18">
        <v>78.010000000000005</v>
      </c>
      <c r="C18">
        <v>78.540000000000006</v>
      </c>
      <c r="D18">
        <v>77.58</v>
      </c>
      <c r="E18">
        <v>78.5</v>
      </c>
      <c r="F18">
        <v>2044400</v>
      </c>
      <c r="G18">
        <v>78.23</v>
      </c>
    </row>
    <row r="19" spans="1:7" x14ac:dyDescent="0.25">
      <c r="A19" s="34">
        <v>41844</v>
      </c>
      <c r="B19">
        <v>78.489999999999995</v>
      </c>
      <c r="C19">
        <v>79.31</v>
      </c>
      <c r="D19">
        <v>78.31</v>
      </c>
      <c r="E19">
        <v>79.03</v>
      </c>
      <c r="F19">
        <v>2921700</v>
      </c>
      <c r="G19">
        <v>78.760000000000005</v>
      </c>
    </row>
    <row r="20" spans="1:7" x14ac:dyDescent="0.25">
      <c r="A20" s="34">
        <v>41845</v>
      </c>
      <c r="B20">
        <v>78.53</v>
      </c>
      <c r="C20">
        <v>78.66</v>
      </c>
      <c r="D20">
        <v>77.92</v>
      </c>
      <c r="E20">
        <v>78.34</v>
      </c>
      <c r="F20">
        <v>1194500</v>
      </c>
      <c r="G20">
        <v>78.069999999999993</v>
      </c>
    </row>
    <row r="21" spans="1:7" x14ac:dyDescent="0.25">
      <c r="A21" s="34">
        <v>41848</v>
      </c>
      <c r="B21">
        <v>78.2</v>
      </c>
      <c r="C21">
        <v>78.680000000000007</v>
      </c>
      <c r="D21">
        <v>77.42</v>
      </c>
      <c r="E21">
        <v>77.819999999999993</v>
      </c>
      <c r="F21">
        <v>1588700</v>
      </c>
      <c r="G21">
        <v>77.56</v>
      </c>
    </row>
    <row r="22" spans="1:7" x14ac:dyDescent="0.25">
      <c r="A22" s="34">
        <v>41849</v>
      </c>
      <c r="B22">
        <v>77.760000000000005</v>
      </c>
      <c r="C22">
        <v>78.23</v>
      </c>
      <c r="D22">
        <v>77.290000000000006</v>
      </c>
      <c r="E22">
        <v>77.400000000000006</v>
      </c>
      <c r="F22">
        <v>2180200</v>
      </c>
      <c r="G22">
        <v>77.14</v>
      </c>
    </row>
    <row r="23" spans="1:7" x14ac:dyDescent="0.25">
      <c r="A23" s="34">
        <v>41850</v>
      </c>
      <c r="B23">
        <v>78.040000000000006</v>
      </c>
      <c r="C23">
        <v>78.47</v>
      </c>
      <c r="D23">
        <v>77.16</v>
      </c>
      <c r="E23">
        <v>77.31</v>
      </c>
      <c r="F23">
        <v>2356300</v>
      </c>
      <c r="G23">
        <v>77.05</v>
      </c>
    </row>
    <row r="24" spans="1:7" x14ac:dyDescent="0.25">
      <c r="A24" s="34">
        <v>41851</v>
      </c>
      <c r="B24">
        <v>77</v>
      </c>
      <c r="C24">
        <v>77.040000000000006</v>
      </c>
      <c r="D24">
        <v>75.430000000000007</v>
      </c>
      <c r="E24">
        <v>75.5</v>
      </c>
      <c r="F24">
        <v>2800500</v>
      </c>
      <c r="G24">
        <v>75.239999999999995</v>
      </c>
    </row>
    <row r="25" spans="1:7" x14ac:dyDescent="0.25">
      <c r="A25" s="34">
        <v>41852</v>
      </c>
      <c r="B25">
        <v>75.11</v>
      </c>
      <c r="C25">
        <v>75.819999999999993</v>
      </c>
      <c r="D25">
        <v>74.23</v>
      </c>
      <c r="E25">
        <v>75.09</v>
      </c>
      <c r="F25">
        <v>2913800</v>
      </c>
      <c r="G25">
        <v>74.84</v>
      </c>
    </row>
    <row r="26" spans="1:7" x14ac:dyDescent="0.25">
      <c r="A26" s="34">
        <v>41855</v>
      </c>
      <c r="B26">
        <v>75.31</v>
      </c>
      <c r="C26">
        <v>77.010000000000005</v>
      </c>
      <c r="D26">
        <v>74.83</v>
      </c>
      <c r="E26">
        <v>76.81</v>
      </c>
      <c r="F26">
        <v>3235900</v>
      </c>
      <c r="G26">
        <v>76.55</v>
      </c>
    </row>
    <row r="27" spans="1:7" x14ac:dyDescent="0.25">
      <c r="A27" s="34">
        <v>41856</v>
      </c>
      <c r="B27">
        <v>76.23</v>
      </c>
      <c r="C27">
        <v>76.69</v>
      </c>
      <c r="D27">
        <v>74.11</v>
      </c>
      <c r="E27">
        <v>74.59</v>
      </c>
      <c r="F27">
        <v>3892000</v>
      </c>
      <c r="G27">
        <v>74.34</v>
      </c>
    </row>
    <row r="28" spans="1:7" x14ac:dyDescent="0.25">
      <c r="A28" s="34">
        <v>41857</v>
      </c>
      <c r="B28">
        <v>74.02</v>
      </c>
      <c r="C28">
        <v>75.66</v>
      </c>
      <c r="D28">
        <v>71.48</v>
      </c>
      <c r="E28">
        <v>74.38</v>
      </c>
      <c r="F28">
        <v>4806300</v>
      </c>
      <c r="G28">
        <v>74.13</v>
      </c>
    </row>
    <row r="29" spans="1:7" x14ac:dyDescent="0.25">
      <c r="A29" s="34">
        <v>41858</v>
      </c>
      <c r="B29">
        <v>74.569999999999993</v>
      </c>
      <c r="C29">
        <v>74.67</v>
      </c>
      <c r="D29">
        <v>73.010000000000005</v>
      </c>
      <c r="E29">
        <v>73.47</v>
      </c>
      <c r="F29">
        <v>2505700</v>
      </c>
      <c r="G29">
        <v>73.22</v>
      </c>
    </row>
    <row r="30" spans="1:7" x14ac:dyDescent="0.25">
      <c r="A30" s="34">
        <v>41859</v>
      </c>
      <c r="B30">
        <v>73.510000000000005</v>
      </c>
      <c r="C30">
        <v>74.44</v>
      </c>
      <c r="D30">
        <v>73.099999999999994</v>
      </c>
      <c r="E30">
        <v>74.38</v>
      </c>
      <c r="F30">
        <v>2153500</v>
      </c>
      <c r="G30">
        <v>74.13</v>
      </c>
    </row>
    <row r="31" spans="1:7" x14ac:dyDescent="0.25">
      <c r="A31" s="34">
        <v>41862</v>
      </c>
      <c r="B31">
        <v>74.89</v>
      </c>
      <c r="C31">
        <v>75.11</v>
      </c>
      <c r="D31">
        <v>74.13</v>
      </c>
      <c r="E31">
        <v>74.2</v>
      </c>
      <c r="F31">
        <v>1624700</v>
      </c>
      <c r="G31">
        <v>73.95</v>
      </c>
    </row>
    <row r="32" spans="1:7" x14ac:dyDescent="0.25">
      <c r="A32" s="34">
        <v>41863</v>
      </c>
      <c r="B32">
        <v>74</v>
      </c>
      <c r="C32">
        <v>74.040000000000006</v>
      </c>
      <c r="D32">
        <v>72.5</v>
      </c>
      <c r="E32">
        <v>73.010000000000005</v>
      </c>
      <c r="F32">
        <v>3239200</v>
      </c>
      <c r="G32">
        <v>72.760000000000005</v>
      </c>
    </row>
    <row r="33" spans="1:7" x14ac:dyDescent="0.25">
      <c r="A33" s="34">
        <v>41864</v>
      </c>
      <c r="B33">
        <v>73.27</v>
      </c>
      <c r="C33">
        <v>73.66</v>
      </c>
      <c r="D33">
        <v>72.400000000000006</v>
      </c>
      <c r="E33">
        <v>72.63</v>
      </c>
      <c r="F33">
        <v>2978900</v>
      </c>
      <c r="G33">
        <v>72.38</v>
      </c>
    </row>
    <row r="34" spans="1:7" x14ac:dyDescent="0.25">
      <c r="A34" s="34">
        <v>41865</v>
      </c>
      <c r="B34">
        <v>72.930000000000007</v>
      </c>
      <c r="C34">
        <v>73.27</v>
      </c>
      <c r="D34">
        <v>72.44</v>
      </c>
      <c r="E34">
        <v>72.66</v>
      </c>
      <c r="F34">
        <v>2744100</v>
      </c>
      <c r="G34">
        <v>72.41</v>
      </c>
    </row>
    <row r="35" spans="1:7" x14ac:dyDescent="0.25">
      <c r="A35" s="34">
        <v>41866</v>
      </c>
      <c r="B35">
        <v>72.89</v>
      </c>
      <c r="C35">
        <v>73.61</v>
      </c>
      <c r="D35">
        <v>72.709999999999994</v>
      </c>
      <c r="E35">
        <v>73.34</v>
      </c>
      <c r="F35">
        <v>2793100</v>
      </c>
      <c r="G35">
        <v>73.09</v>
      </c>
    </row>
    <row r="36" spans="1:7" x14ac:dyDescent="0.25">
      <c r="A36" s="34">
        <v>41869</v>
      </c>
      <c r="B36">
        <v>73.5</v>
      </c>
      <c r="C36">
        <v>73.7</v>
      </c>
      <c r="D36">
        <v>72.959999999999994</v>
      </c>
      <c r="E36">
        <v>73.540000000000006</v>
      </c>
      <c r="F36">
        <v>1883300</v>
      </c>
      <c r="G36">
        <v>73.290000000000006</v>
      </c>
    </row>
    <row r="37" spans="1:7" x14ac:dyDescent="0.25">
      <c r="A37" s="34">
        <v>41870</v>
      </c>
      <c r="B37">
        <v>73.77</v>
      </c>
      <c r="C37">
        <v>74.73</v>
      </c>
      <c r="D37">
        <v>73.61</v>
      </c>
      <c r="E37">
        <v>74.28</v>
      </c>
      <c r="F37">
        <v>1733700</v>
      </c>
      <c r="G37">
        <v>74.03</v>
      </c>
    </row>
    <row r="38" spans="1:7" x14ac:dyDescent="0.25">
      <c r="A38" s="34">
        <v>41871</v>
      </c>
      <c r="B38">
        <v>74.349999999999994</v>
      </c>
      <c r="C38">
        <v>74.349999999999994</v>
      </c>
      <c r="D38">
        <v>73.45</v>
      </c>
      <c r="E38">
        <v>73.849999999999994</v>
      </c>
      <c r="F38">
        <v>2637400</v>
      </c>
      <c r="G38">
        <v>73.599999999999994</v>
      </c>
    </row>
    <row r="39" spans="1:7" x14ac:dyDescent="0.25">
      <c r="A39" s="34">
        <v>41872</v>
      </c>
      <c r="B39">
        <v>73.900000000000006</v>
      </c>
      <c r="C39">
        <v>74.989999999999995</v>
      </c>
      <c r="D39">
        <v>73.900000000000006</v>
      </c>
      <c r="E39">
        <v>74.900000000000006</v>
      </c>
      <c r="F39">
        <v>1788400</v>
      </c>
      <c r="G39">
        <v>74.650000000000006</v>
      </c>
    </row>
    <row r="40" spans="1:7" x14ac:dyDescent="0.25">
      <c r="A40" s="34">
        <v>41873</v>
      </c>
      <c r="B40">
        <v>74.62</v>
      </c>
      <c r="C40">
        <v>74.73</v>
      </c>
      <c r="D40">
        <v>74.010000000000005</v>
      </c>
      <c r="E40">
        <v>74.150000000000006</v>
      </c>
      <c r="F40">
        <v>1487000</v>
      </c>
      <c r="G40">
        <v>73.900000000000006</v>
      </c>
    </row>
    <row r="41" spans="1:7" x14ac:dyDescent="0.25">
      <c r="A41" s="34">
        <v>41876</v>
      </c>
      <c r="B41">
        <v>74.599999999999994</v>
      </c>
      <c r="C41">
        <v>74.98</v>
      </c>
      <c r="D41">
        <v>74.400000000000006</v>
      </c>
      <c r="E41">
        <v>74.7</v>
      </c>
      <c r="F41">
        <v>1880800</v>
      </c>
      <c r="G41">
        <v>74.45</v>
      </c>
    </row>
    <row r="42" spans="1:7" x14ac:dyDescent="0.25">
      <c r="A42" s="34">
        <v>41877</v>
      </c>
      <c r="B42">
        <v>74.98</v>
      </c>
      <c r="C42">
        <v>75.63</v>
      </c>
      <c r="D42">
        <v>74.5</v>
      </c>
      <c r="E42">
        <v>74.56</v>
      </c>
      <c r="F42">
        <v>1937300</v>
      </c>
      <c r="G42">
        <v>74.31</v>
      </c>
    </row>
    <row r="43" spans="1:7" x14ac:dyDescent="0.25">
      <c r="A43" s="34">
        <v>41878</v>
      </c>
      <c r="B43">
        <v>74.78</v>
      </c>
      <c r="C43">
        <v>74.8</v>
      </c>
      <c r="D43">
        <v>74.03</v>
      </c>
      <c r="E43">
        <v>74.28</v>
      </c>
      <c r="F43">
        <v>1676600</v>
      </c>
      <c r="G43">
        <v>74.03</v>
      </c>
    </row>
    <row r="44" spans="1:7" x14ac:dyDescent="0.25">
      <c r="A44" s="34">
        <v>41879</v>
      </c>
      <c r="B44">
        <v>74.02</v>
      </c>
      <c r="C44">
        <v>74.849999999999994</v>
      </c>
      <c r="D44">
        <v>73.930000000000007</v>
      </c>
      <c r="E44">
        <v>74.63</v>
      </c>
      <c r="F44">
        <v>1314000</v>
      </c>
      <c r="G44">
        <v>74.38</v>
      </c>
    </row>
    <row r="45" spans="1:7" x14ac:dyDescent="0.25">
      <c r="A45" s="34">
        <v>41880</v>
      </c>
      <c r="B45">
        <v>74.739999999999995</v>
      </c>
      <c r="C45">
        <v>75.45</v>
      </c>
      <c r="D45">
        <v>74.47</v>
      </c>
      <c r="E45">
        <v>75.42</v>
      </c>
      <c r="F45">
        <v>1624200</v>
      </c>
      <c r="G45">
        <v>75.16</v>
      </c>
    </row>
    <row r="46" spans="1:7" x14ac:dyDescent="0.25">
      <c r="A46" s="34">
        <v>41884</v>
      </c>
      <c r="B46">
        <v>75.3</v>
      </c>
      <c r="C46">
        <v>75.34</v>
      </c>
      <c r="D46">
        <v>73.55</v>
      </c>
      <c r="E46">
        <v>74.08</v>
      </c>
      <c r="F46">
        <v>1947900</v>
      </c>
      <c r="G46">
        <v>73.83</v>
      </c>
    </row>
    <row r="47" spans="1:7" x14ac:dyDescent="0.25">
      <c r="A47" s="34">
        <v>41885</v>
      </c>
      <c r="B47">
        <v>74.69</v>
      </c>
      <c r="C47">
        <v>75</v>
      </c>
      <c r="D47">
        <v>74.09</v>
      </c>
      <c r="E47">
        <v>74.180000000000007</v>
      </c>
      <c r="F47">
        <v>1582700</v>
      </c>
      <c r="G47">
        <v>73.930000000000007</v>
      </c>
    </row>
    <row r="48" spans="1:7" x14ac:dyDescent="0.25">
      <c r="A48" s="34">
        <v>41886</v>
      </c>
      <c r="B48">
        <v>73.77</v>
      </c>
      <c r="C48">
        <v>74.040000000000006</v>
      </c>
      <c r="D48">
        <v>71.94</v>
      </c>
      <c r="E48">
        <v>72.31</v>
      </c>
      <c r="F48">
        <v>3207500</v>
      </c>
      <c r="G48">
        <v>72.06</v>
      </c>
    </row>
    <row r="49" spans="1:7" x14ac:dyDescent="0.25">
      <c r="A49" s="34">
        <v>41887</v>
      </c>
      <c r="B49">
        <v>72.209999999999994</v>
      </c>
      <c r="C49">
        <v>72.790000000000006</v>
      </c>
      <c r="D49">
        <v>71.87</v>
      </c>
      <c r="E49">
        <v>72.739999999999995</v>
      </c>
      <c r="F49">
        <v>2509500</v>
      </c>
      <c r="G49">
        <v>72.489999999999995</v>
      </c>
    </row>
    <row r="50" spans="1:7" x14ac:dyDescent="0.25">
      <c r="A50" s="34">
        <v>41890</v>
      </c>
      <c r="B50">
        <v>72.2</v>
      </c>
      <c r="C50">
        <v>72.2</v>
      </c>
      <c r="D50">
        <v>70.48</v>
      </c>
      <c r="E50">
        <v>71.22</v>
      </c>
      <c r="F50">
        <v>3205100</v>
      </c>
      <c r="G50">
        <v>70.98</v>
      </c>
    </row>
    <row r="51" spans="1:7" x14ac:dyDescent="0.25">
      <c r="A51" s="34">
        <v>41891</v>
      </c>
      <c r="B51">
        <v>70.92</v>
      </c>
      <c r="C51">
        <v>71.42</v>
      </c>
      <c r="D51">
        <v>70.180000000000007</v>
      </c>
      <c r="E51">
        <v>70.75</v>
      </c>
      <c r="F51">
        <v>3135100</v>
      </c>
      <c r="G51">
        <v>70.510000000000005</v>
      </c>
    </row>
    <row r="52" spans="1:7" x14ac:dyDescent="0.25">
      <c r="A52" s="34">
        <v>41892</v>
      </c>
      <c r="B52">
        <v>70.78</v>
      </c>
      <c r="C52">
        <v>70.78</v>
      </c>
      <c r="D52">
        <v>69.319999999999993</v>
      </c>
      <c r="E52">
        <v>70.67</v>
      </c>
      <c r="F52">
        <v>3478600</v>
      </c>
      <c r="G52">
        <v>70.67</v>
      </c>
    </row>
    <row r="53" spans="1:7" x14ac:dyDescent="0.25">
      <c r="A53" s="34">
        <v>41893</v>
      </c>
      <c r="B53">
        <v>70.069999999999993</v>
      </c>
      <c r="C53">
        <v>70.98</v>
      </c>
      <c r="D53">
        <v>69.7</v>
      </c>
      <c r="E53">
        <v>70.63</v>
      </c>
      <c r="F53">
        <v>2234800</v>
      </c>
      <c r="G53">
        <v>70.63</v>
      </c>
    </row>
    <row r="54" spans="1:7" x14ac:dyDescent="0.25">
      <c r="A54" s="34">
        <v>41894</v>
      </c>
      <c r="B54">
        <v>70.349999999999994</v>
      </c>
      <c r="C54">
        <v>70.72</v>
      </c>
      <c r="D54">
        <v>69.69</v>
      </c>
      <c r="E54">
        <v>69.95</v>
      </c>
      <c r="F54">
        <v>3610600</v>
      </c>
      <c r="G54">
        <v>69.95</v>
      </c>
    </row>
    <row r="55" spans="1:7" x14ac:dyDescent="0.25">
      <c r="A55" s="34">
        <v>41897</v>
      </c>
      <c r="B55">
        <v>69.92</v>
      </c>
      <c r="C55">
        <v>70.59</v>
      </c>
      <c r="D55">
        <v>69.34</v>
      </c>
      <c r="E55">
        <v>70.27</v>
      </c>
      <c r="F55">
        <v>2136800</v>
      </c>
      <c r="G55">
        <v>70.27</v>
      </c>
    </row>
  </sheetData>
  <sortState ref="A3:G55">
    <sortCondition ref="A3:A55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50.19</v>
      </c>
      <c r="C3">
        <v>50.67</v>
      </c>
      <c r="D3">
        <v>50.07</v>
      </c>
      <c r="E3">
        <v>50.5</v>
      </c>
      <c r="F3">
        <v>8805200</v>
      </c>
      <c r="G3">
        <v>50.5</v>
      </c>
    </row>
    <row r="4" spans="1:7" x14ac:dyDescent="0.25">
      <c r="A4" s="34">
        <v>41822</v>
      </c>
      <c r="B4">
        <v>50.51</v>
      </c>
      <c r="C4">
        <v>50.8</v>
      </c>
      <c r="D4">
        <v>50.5</v>
      </c>
      <c r="E4">
        <v>50.55</v>
      </c>
      <c r="F4">
        <v>9345300</v>
      </c>
      <c r="G4">
        <v>50.55</v>
      </c>
    </row>
    <row r="5" spans="1:7" x14ac:dyDescent="0.25">
      <c r="A5" s="34">
        <v>41823</v>
      </c>
      <c r="B5">
        <v>50.96</v>
      </c>
      <c r="C5">
        <v>51.08</v>
      </c>
      <c r="D5">
        <v>50.62</v>
      </c>
      <c r="E5">
        <v>50.94</v>
      </c>
      <c r="F5">
        <v>4612000</v>
      </c>
      <c r="G5">
        <v>50.94</v>
      </c>
    </row>
    <row r="6" spans="1:7" x14ac:dyDescent="0.25">
      <c r="A6" s="34">
        <v>41827</v>
      </c>
      <c r="B6">
        <v>50.93</v>
      </c>
      <c r="C6">
        <v>50.98</v>
      </c>
      <c r="D6">
        <v>50.61</v>
      </c>
      <c r="E6">
        <v>50.74</v>
      </c>
      <c r="F6">
        <v>7206400</v>
      </c>
      <c r="G6">
        <v>50.74</v>
      </c>
    </row>
    <row r="7" spans="1:7" x14ac:dyDescent="0.25">
      <c r="A7" s="34">
        <v>41828</v>
      </c>
      <c r="B7">
        <v>50.61</v>
      </c>
      <c r="C7">
        <v>50.77</v>
      </c>
      <c r="D7">
        <v>50.01</v>
      </c>
      <c r="E7">
        <v>50.18</v>
      </c>
      <c r="F7">
        <v>13072000</v>
      </c>
      <c r="G7">
        <v>50.18</v>
      </c>
    </row>
    <row r="8" spans="1:7" x14ac:dyDescent="0.25">
      <c r="A8" s="34">
        <v>41829</v>
      </c>
      <c r="B8">
        <v>50.3</v>
      </c>
      <c r="C8">
        <v>50.93</v>
      </c>
      <c r="D8">
        <v>50.01</v>
      </c>
      <c r="E8">
        <v>50.93</v>
      </c>
      <c r="F8">
        <v>8425600</v>
      </c>
      <c r="G8">
        <v>50.93</v>
      </c>
    </row>
    <row r="9" spans="1:7" x14ac:dyDescent="0.25">
      <c r="A9" s="34">
        <v>41830</v>
      </c>
      <c r="B9">
        <v>50.22</v>
      </c>
      <c r="C9">
        <v>50.54</v>
      </c>
      <c r="D9">
        <v>49.74</v>
      </c>
      <c r="E9">
        <v>50.34</v>
      </c>
      <c r="F9">
        <v>8327000</v>
      </c>
      <c r="G9">
        <v>50.34</v>
      </c>
    </row>
    <row r="10" spans="1:7" x14ac:dyDescent="0.25">
      <c r="A10" s="34">
        <v>41831</v>
      </c>
      <c r="B10">
        <v>51</v>
      </c>
      <c r="C10">
        <v>51.83</v>
      </c>
      <c r="D10">
        <v>51</v>
      </c>
      <c r="E10">
        <v>51.5</v>
      </c>
      <c r="F10">
        <v>13869800</v>
      </c>
      <c r="G10">
        <v>51.5</v>
      </c>
    </row>
    <row r="11" spans="1:7" x14ac:dyDescent="0.25">
      <c r="A11" s="34">
        <v>41834</v>
      </c>
      <c r="B11">
        <v>51.25</v>
      </c>
      <c r="C11">
        <v>51.31</v>
      </c>
      <c r="D11">
        <v>50.67</v>
      </c>
      <c r="E11">
        <v>51.16</v>
      </c>
      <c r="F11">
        <v>9360600</v>
      </c>
      <c r="G11">
        <v>51.16</v>
      </c>
    </row>
    <row r="12" spans="1:7" x14ac:dyDescent="0.25">
      <c r="A12" s="34">
        <v>41835</v>
      </c>
      <c r="B12">
        <v>51.45</v>
      </c>
      <c r="C12">
        <v>51.49</v>
      </c>
      <c r="D12">
        <v>50.53</v>
      </c>
      <c r="E12">
        <v>50.82</v>
      </c>
      <c r="F12">
        <v>9431100</v>
      </c>
      <c r="G12">
        <v>50.82</v>
      </c>
    </row>
    <row r="13" spans="1:7" x14ac:dyDescent="0.25">
      <c r="A13" s="34">
        <v>41836</v>
      </c>
      <c r="B13">
        <v>51.03</v>
      </c>
      <c r="C13">
        <v>51.18</v>
      </c>
      <c r="D13">
        <v>50.5</v>
      </c>
      <c r="E13">
        <v>50.7</v>
      </c>
      <c r="F13">
        <v>13770700</v>
      </c>
      <c r="G13">
        <v>50.7</v>
      </c>
    </row>
    <row r="14" spans="1:7" x14ac:dyDescent="0.25">
      <c r="A14" s="34">
        <v>41837</v>
      </c>
      <c r="B14">
        <v>51.1</v>
      </c>
      <c r="C14">
        <v>51.84</v>
      </c>
      <c r="D14">
        <v>50.83</v>
      </c>
      <c r="E14">
        <v>51.03</v>
      </c>
      <c r="F14">
        <v>21673300</v>
      </c>
      <c r="G14">
        <v>51.03</v>
      </c>
    </row>
    <row r="15" spans="1:7" x14ac:dyDescent="0.25">
      <c r="A15" s="34">
        <v>41838</v>
      </c>
      <c r="B15">
        <v>50.93</v>
      </c>
      <c r="C15">
        <v>51.64</v>
      </c>
      <c r="D15">
        <v>50.58</v>
      </c>
      <c r="E15">
        <v>51.48</v>
      </c>
      <c r="F15">
        <v>12929200</v>
      </c>
      <c r="G15">
        <v>51.48</v>
      </c>
    </row>
    <row r="16" spans="1:7" x14ac:dyDescent="0.25">
      <c r="A16" s="34">
        <v>41841</v>
      </c>
      <c r="B16">
        <v>51.27</v>
      </c>
      <c r="C16">
        <v>51.86</v>
      </c>
      <c r="D16">
        <v>51.04</v>
      </c>
      <c r="E16">
        <v>51.7</v>
      </c>
      <c r="F16">
        <v>9906000</v>
      </c>
      <c r="G16">
        <v>51.7</v>
      </c>
    </row>
    <row r="17" spans="1:7" x14ac:dyDescent="0.25">
      <c r="A17" s="34">
        <v>41842</v>
      </c>
      <c r="B17">
        <v>51.87</v>
      </c>
      <c r="C17">
        <v>52.29</v>
      </c>
      <c r="D17">
        <v>51.71</v>
      </c>
      <c r="E17">
        <v>52.05</v>
      </c>
      <c r="F17">
        <v>10423500</v>
      </c>
      <c r="G17">
        <v>52.05</v>
      </c>
    </row>
    <row r="18" spans="1:7" x14ac:dyDescent="0.25">
      <c r="A18" s="34">
        <v>41843</v>
      </c>
      <c r="B18">
        <v>52</v>
      </c>
      <c r="C18">
        <v>52.72</v>
      </c>
      <c r="D18">
        <v>51.87</v>
      </c>
      <c r="E18">
        <v>52.66</v>
      </c>
      <c r="F18">
        <v>13881000</v>
      </c>
      <c r="G18">
        <v>52.66</v>
      </c>
    </row>
    <row r="19" spans="1:7" x14ac:dyDescent="0.25">
      <c r="A19" s="34">
        <v>41844</v>
      </c>
      <c r="B19">
        <v>52.52</v>
      </c>
      <c r="C19">
        <v>53.5</v>
      </c>
      <c r="D19">
        <v>52.52</v>
      </c>
      <c r="E19">
        <v>53.23</v>
      </c>
      <c r="F19">
        <v>16238700</v>
      </c>
      <c r="G19">
        <v>53.23</v>
      </c>
    </row>
    <row r="20" spans="1:7" x14ac:dyDescent="0.25">
      <c r="A20" s="34">
        <v>41845</v>
      </c>
      <c r="B20">
        <v>52.78</v>
      </c>
      <c r="C20">
        <v>53.1</v>
      </c>
      <c r="D20">
        <v>52.54</v>
      </c>
      <c r="E20">
        <v>52.75</v>
      </c>
      <c r="F20">
        <v>11250800</v>
      </c>
      <c r="G20">
        <v>52.75</v>
      </c>
    </row>
    <row r="21" spans="1:7" x14ac:dyDescent="0.25">
      <c r="A21" s="34">
        <v>41848</v>
      </c>
      <c r="B21">
        <v>52.91</v>
      </c>
      <c r="C21">
        <v>53.09</v>
      </c>
      <c r="D21">
        <v>52.23</v>
      </c>
      <c r="E21">
        <v>52.93</v>
      </c>
      <c r="F21">
        <v>9402700</v>
      </c>
      <c r="G21">
        <v>52.93</v>
      </c>
    </row>
    <row r="22" spans="1:7" x14ac:dyDescent="0.25">
      <c r="A22" s="34">
        <v>41849</v>
      </c>
      <c r="B22">
        <v>53.1</v>
      </c>
      <c r="C22">
        <v>53.38</v>
      </c>
      <c r="D22">
        <v>52.75</v>
      </c>
      <c r="E22">
        <v>53.21</v>
      </c>
      <c r="F22">
        <v>12015300</v>
      </c>
      <c r="G22">
        <v>53.21</v>
      </c>
    </row>
    <row r="23" spans="1:7" x14ac:dyDescent="0.25">
      <c r="A23" s="34">
        <v>41850</v>
      </c>
      <c r="B23">
        <v>53.28</v>
      </c>
      <c r="C23">
        <v>53.58</v>
      </c>
      <c r="D23">
        <v>52.76</v>
      </c>
      <c r="E23">
        <v>53.23</v>
      </c>
      <c r="F23">
        <v>9101900</v>
      </c>
      <c r="G23">
        <v>53.23</v>
      </c>
    </row>
    <row r="24" spans="1:7" x14ac:dyDescent="0.25">
      <c r="A24" s="34">
        <v>41851</v>
      </c>
      <c r="B24">
        <v>52.94</v>
      </c>
      <c r="C24">
        <v>53.06</v>
      </c>
      <c r="D24">
        <v>52.66</v>
      </c>
      <c r="E24">
        <v>52.83</v>
      </c>
      <c r="F24">
        <v>11514200</v>
      </c>
      <c r="G24">
        <v>52.83</v>
      </c>
    </row>
    <row r="25" spans="1:7" x14ac:dyDescent="0.25">
      <c r="A25" s="34">
        <v>41852</v>
      </c>
      <c r="B25">
        <v>52.78</v>
      </c>
      <c r="C25">
        <v>52.91</v>
      </c>
      <c r="D25">
        <v>52.14</v>
      </c>
      <c r="E25">
        <v>52.53</v>
      </c>
      <c r="F25">
        <v>12844200</v>
      </c>
      <c r="G25">
        <v>52.53</v>
      </c>
    </row>
    <row r="26" spans="1:7" x14ac:dyDescent="0.25">
      <c r="A26" s="34">
        <v>41855</v>
      </c>
      <c r="B26">
        <v>52.41</v>
      </c>
      <c r="C26">
        <v>53.13</v>
      </c>
      <c r="D26">
        <v>52.24</v>
      </c>
      <c r="E26">
        <v>53.06</v>
      </c>
      <c r="F26">
        <v>11999300</v>
      </c>
      <c r="G26">
        <v>53.06</v>
      </c>
    </row>
    <row r="27" spans="1:7" x14ac:dyDescent="0.25">
      <c r="A27" s="34">
        <v>41856</v>
      </c>
      <c r="B27">
        <v>53.01</v>
      </c>
      <c r="C27">
        <v>53.32</v>
      </c>
      <c r="D27">
        <v>52.82</v>
      </c>
      <c r="E27">
        <v>53.26</v>
      </c>
      <c r="F27">
        <v>10742400</v>
      </c>
      <c r="G27">
        <v>53.26</v>
      </c>
    </row>
    <row r="28" spans="1:7" x14ac:dyDescent="0.25">
      <c r="A28" s="34">
        <v>41857</v>
      </c>
      <c r="B28">
        <v>52.96</v>
      </c>
      <c r="C28">
        <v>53.69</v>
      </c>
      <c r="D28">
        <v>52.8</v>
      </c>
      <c r="E28">
        <v>53.46</v>
      </c>
      <c r="F28">
        <v>10209800</v>
      </c>
      <c r="G28">
        <v>53.46</v>
      </c>
    </row>
    <row r="29" spans="1:7" x14ac:dyDescent="0.25">
      <c r="A29" s="34">
        <v>41858</v>
      </c>
      <c r="B29">
        <v>53.68</v>
      </c>
      <c r="C29">
        <v>54.25</v>
      </c>
      <c r="D29">
        <v>53.42</v>
      </c>
      <c r="E29">
        <v>53.56</v>
      </c>
      <c r="F29">
        <v>10049600</v>
      </c>
      <c r="G29">
        <v>53.56</v>
      </c>
    </row>
    <row r="30" spans="1:7" x14ac:dyDescent="0.25">
      <c r="A30" s="34">
        <v>41859</v>
      </c>
      <c r="B30">
        <v>53.58</v>
      </c>
      <c r="C30">
        <v>54.17</v>
      </c>
      <c r="D30">
        <v>53.15</v>
      </c>
      <c r="E30">
        <v>54.09</v>
      </c>
      <c r="F30">
        <v>10326800</v>
      </c>
      <c r="G30">
        <v>54.09</v>
      </c>
    </row>
    <row r="31" spans="1:7" x14ac:dyDescent="0.25">
      <c r="A31" s="34">
        <v>41862</v>
      </c>
      <c r="B31">
        <v>54.23</v>
      </c>
      <c r="C31">
        <v>54.44</v>
      </c>
      <c r="D31">
        <v>53.73</v>
      </c>
      <c r="E31">
        <v>53.88</v>
      </c>
      <c r="F31">
        <v>7929400</v>
      </c>
      <c r="G31">
        <v>53.88</v>
      </c>
    </row>
    <row r="32" spans="1:7" x14ac:dyDescent="0.25">
      <c r="A32" s="34">
        <v>41863</v>
      </c>
      <c r="B32">
        <v>53.87</v>
      </c>
      <c r="C32">
        <v>53.93</v>
      </c>
      <c r="D32">
        <v>53.18</v>
      </c>
      <c r="E32">
        <v>53.43</v>
      </c>
      <c r="F32">
        <v>7719000</v>
      </c>
      <c r="G32">
        <v>53.43</v>
      </c>
    </row>
    <row r="33" spans="1:7" x14ac:dyDescent="0.25">
      <c r="A33" s="34">
        <v>41864</v>
      </c>
      <c r="B33">
        <v>52.76</v>
      </c>
      <c r="C33">
        <v>53.15</v>
      </c>
      <c r="D33">
        <v>52.5</v>
      </c>
      <c r="E33">
        <v>52.94</v>
      </c>
      <c r="F33">
        <v>12356300</v>
      </c>
      <c r="G33">
        <v>52.94</v>
      </c>
    </row>
    <row r="34" spans="1:7" x14ac:dyDescent="0.25">
      <c r="A34" s="34">
        <v>41865</v>
      </c>
      <c r="B34">
        <v>52.88</v>
      </c>
      <c r="C34">
        <v>53.16</v>
      </c>
      <c r="D34">
        <v>52.81</v>
      </c>
      <c r="E34">
        <v>52.93</v>
      </c>
      <c r="F34">
        <v>9929100</v>
      </c>
      <c r="G34">
        <v>52.93</v>
      </c>
    </row>
    <row r="35" spans="1:7" x14ac:dyDescent="0.25">
      <c r="A35" s="34">
        <v>41866</v>
      </c>
      <c r="B35">
        <v>53.38</v>
      </c>
      <c r="C35">
        <v>53.38</v>
      </c>
      <c r="D35">
        <v>52.58</v>
      </c>
      <c r="E35">
        <v>52.64</v>
      </c>
      <c r="F35">
        <v>13576500</v>
      </c>
      <c r="G35">
        <v>52.64</v>
      </c>
    </row>
    <row r="36" spans="1:7" x14ac:dyDescent="0.25">
      <c r="A36" s="34">
        <v>41869</v>
      </c>
      <c r="B36">
        <v>53.06</v>
      </c>
      <c r="C36">
        <v>53.17</v>
      </c>
      <c r="D36">
        <v>52.81</v>
      </c>
      <c r="E36">
        <v>53.11</v>
      </c>
      <c r="F36">
        <v>8867400</v>
      </c>
      <c r="G36">
        <v>53.11</v>
      </c>
    </row>
    <row r="37" spans="1:7" x14ac:dyDescent="0.25">
      <c r="A37" s="34">
        <v>41870</v>
      </c>
      <c r="B37">
        <v>53.28</v>
      </c>
      <c r="C37">
        <v>53.76</v>
      </c>
      <c r="D37">
        <v>53.14</v>
      </c>
      <c r="E37">
        <v>53.75</v>
      </c>
      <c r="F37">
        <v>8113400</v>
      </c>
      <c r="G37">
        <v>53.75</v>
      </c>
    </row>
    <row r="38" spans="1:7" x14ac:dyDescent="0.25">
      <c r="A38" s="34">
        <v>41871</v>
      </c>
      <c r="B38">
        <v>53.51</v>
      </c>
      <c r="C38">
        <v>53.67</v>
      </c>
      <c r="D38">
        <v>53.28</v>
      </c>
      <c r="E38">
        <v>53.4</v>
      </c>
      <c r="F38">
        <v>7494600</v>
      </c>
      <c r="G38">
        <v>53.4</v>
      </c>
    </row>
    <row r="39" spans="1:7" x14ac:dyDescent="0.25">
      <c r="A39" s="34">
        <v>41872</v>
      </c>
      <c r="B39">
        <v>53.52</v>
      </c>
      <c r="C39">
        <v>57.05</v>
      </c>
      <c r="D39">
        <v>53.5</v>
      </c>
      <c r="E39">
        <v>55.89</v>
      </c>
      <c r="F39">
        <v>50434100</v>
      </c>
      <c r="G39">
        <v>55.89</v>
      </c>
    </row>
    <row r="40" spans="1:7" x14ac:dyDescent="0.25">
      <c r="A40" s="34">
        <v>41873</v>
      </c>
      <c r="B40">
        <v>55.7</v>
      </c>
      <c r="C40">
        <v>55.98</v>
      </c>
      <c r="D40">
        <v>55.22</v>
      </c>
      <c r="E40">
        <v>55.5</v>
      </c>
      <c r="F40">
        <v>11738200</v>
      </c>
      <c r="G40">
        <v>55.5</v>
      </c>
    </row>
    <row r="41" spans="1:7" x14ac:dyDescent="0.25">
      <c r="A41" s="34">
        <v>41876</v>
      </c>
      <c r="B41">
        <v>55.61</v>
      </c>
      <c r="C41">
        <v>56.12</v>
      </c>
      <c r="D41">
        <v>55.38</v>
      </c>
      <c r="E41">
        <v>55.49</v>
      </c>
      <c r="F41">
        <v>6722100</v>
      </c>
      <c r="G41">
        <v>55.49</v>
      </c>
    </row>
    <row r="42" spans="1:7" x14ac:dyDescent="0.25">
      <c r="A42" s="34">
        <v>41877</v>
      </c>
      <c r="B42">
        <v>55.5</v>
      </c>
      <c r="C42">
        <v>56.5</v>
      </c>
      <c r="D42">
        <v>55.41</v>
      </c>
      <c r="E42">
        <v>56.25</v>
      </c>
      <c r="F42">
        <v>8994500</v>
      </c>
      <c r="G42">
        <v>56.25</v>
      </c>
    </row>
    <row r="43" spans="1:7" x14ac:dyDescent="0.25">
      <c r="A43" s="34">
        <v>41878</v>
      </c>
      <c r="B43">
        <v>56.28</v>
      </c>
      <c r="C43">
        <v>56.71</v>
      </c>
      <c r="D43">
        <v>55.78</v>
      </c>
      <c r="E43">
        <v>55.92</v>
      </c>
      <c r="F43">
        <v>7576900</v>
      </c>
      <c r="G43">
        <v>55.92</v>
      </c>
    </row>
    <row r="44" spans="1:7" x14ac:dyDescent="0.25">
      <c r="A44" s="34">
        <v>41879</v>
      </c>
      <c r="B44">
        <v>55.86</v>
      </c>
      <c r="C44">
        <v>55.86</v>
      </c>
      <c r="D44">
        <v>55.03</v>
      </c>
      <c r="E44">
        <v>55.43</v>
      </c>
      <c r="F44">
        <v>9590200</v>
      </c>
      <c r="G44">
        <v>55.43</v>
      </c>
    </row>
    <row r="45" spans="1:7" x14ac:dyDescent="0.25">
      <c r="A45" s="34">
        <v>41880</v>
      </c>
      <c r="B45">
        <v>55.76</v>
      </c>
      <c r="C45">
        <v>55.76</v>
      </c>
      <c r="D45">
        <v>54.94</v>
      </c>
      <c r="E45">
        <v>55.5</v>
      </c>
      <c r="F45">
        <v>8658500</v>
      </c>
      <c r="G45">
        <v>55.5</v>
      </c>
    </row>
    <row r="46" spans="1:7" x14ac:dyDescent="0.25">
      <c r="A46" s="34">
        <v>41884</v>
      </c>
      <c r="B46">
        <v>55.48</v>
      </c>
      <c r="C46">
        <v>55.59</v>
      </c>
      <c r="D46">
        <v>54.69</v>
      </c>
      <c r="E46">
        <v>54.88</v>
      </c>
      <c r="F46">
        <v>11157400</v>
      </c>
      <c r="G46">
        <v>54.88</v>
      </c>
    </row>
    <row r="47" spans="1:7" x14ac:dyDescent="0.25">
      <c r="A47" s="34">
        <v>41885</v>
      </c>
      <c r="B47">
        <v>55.14</v>
      </c>
      <c r="C47">
        <v>55.31</v>
      </c>
      <c r="D47">
        <v>54.35</v>
      </c>
      <c r="E47">
        <v>54.55</v>
      </c>
      <c r="F47">
        <v>8095300</v>
      </c>
      <c r="G47">
        <v>54.55</v>
      </c>
    </row>
    <row r="48" spans="1:7" x14ac:dyDescent="0.25">
      <c r="A48" s="34">
        <v>41886</v>
      </c>
      <c r="B48">
        <v>54.79</v>
      </c>
      <c r="C48">
        <v>55.45</v>
      </c>
      <c r="D48">
        <v>53.99</v>
      </c>
      <c r="E48">
        <v>54.44</v>
      </c>
      <c r="F48">
        <v>13065900</v>
      </c>
      <c r="G48">
        <v>54.44</v>
      </c>
    </row>
    <row r="49" spans="1:7" x14ac:dyDescent="0.25">
      <c r="A49" s="34">
        <v>41887</v>
      </c>
      <c r="B49">
        <v>54.3</v>
      </c>
      <c r="C49">
        <v>54.41</v>
      </c>
      <c r="D49">
        <v>53.3</v>
      </c>
      <c r="E49">
        <v>53.9</v>
      </c>
      <c r="F49">
        <v>16191100</v>
      </c>
      <c r="G49">
        <v>53.9</v>
      </c>
    </row>
    <row r="50" spans="1:7" x14ac:dyDescent="0.25">
      <c r="A50" s="34">
        <v>41890</v>
      </c>
      <c r="B50">
        <v>53.78</v>
      </c>
      <c r="C50">
        <v>54.28</v>
      </c>
      <c r="D50">
        <v>53.47</v>
      </c>
      <c r="E50">
        <v>54.23</v>
      </c>
      <c r="F50">
        <v>9047200</v>
      </c>
      <c r="G50">
        <v>54.23</v>
      </c>
    </row>
    <row r="51" spans="1:7" x14ac:dyDescent="0.25">
      <c r="A51" s="34">
        <v>41891</v>
      </c>
      <c r="B51">
        <v>54.36</v>
      </c>
      <c r="C51">
        <v>55</v>
      </c>
      <c r="D51">
        <v>52.43</v>
      </c>
      <c r="E51">
        <v>52.73</v>
      </c>
      <c r="F51">
        <v>20184500</v>
      </c>
      <c r="G51">
        <v>52.73</v>
      </c>
    </row>
    <row r="52" spans="1:7" x14ac:dyDescent="0.25">
      <c r="A52" s="34">
        <v>41892</v>
      </c>
      <c r="B52">
        <v>51.48</v>
      </c>
      <c r="C52">
        <v>51.55</v>
      </c>
      <c r="D52">
        <v>50.54</v>
      </c>
      <c r="E52">
        <v>51.1</v>
      </c>
      <c r="F52">
        <v>31000400</v>
      </c>
      <c r="G52">
        <v>51.1</v>
      </c>
    </row>
    <row r="53" spans="1:7" x14ac:dyDescent="0.25">
      <c r="A53" s="34">
        <v>41893</v>
      </c>
      <c r="B53">
        <v>50.78</v>
      </c>
      <c r="C53">
        <v>51.28</v>
      </c>
      <c r="D53">
        <v>50.51</v>
      </c>
      <c r="E53">
        <v>50.68</v>
      </c>
      <c r="F53">
        <v>16968200</v>
      </c>
      <c r="G53">
        <v>50.68</v>
      </c>
    </row>
    <row r="54" spans="1:7" x14ac:dyDescent="0.25">
      <c r="A54" s="34">
        <v>41894</v>
      </c>
      <c r="B54">
        <v>50.6</v>
      </c>
      <c r="C54">
        <v>53.07</v>
      </c>
      <c r="D54">
        <v>50.04</v>
      </c>
      <c r="E54">
        <v>52.19</v>
      </c>
      <c r="F54">
        <v>42357000</v>
      </c>
      <c r="G54">
        <v>52.19</v>
      </c>
    </row>
    <row r="55" spans="1:7" x14ac:dyDescent="0.25">
      <c r="A55" s="34">
        <v>41897</v>
      </c>
      <c r="B55">
        <v>52.22</v>
      </c>
      <c r="C55">
        <v>52.29</v>
      </c>
      <c r="D55">
        <v>50.76</v>
      </c>
      <c r="E55">
        <v>50.96</v>
      </c>
      <c r="F55">
        <v>12751900</v>
      </c>
      <c r="G55">
        <v>50.96</v>
      </c>
    </row>
  </sheetData>
  <sortState ref="A3:G55">
    <sortCondition ref="A3:A55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26.44</v>
      </c>
      <c r="C3">
        <v>26.76</v>
      </c>
      <c r="D3">
        <v>26.34</v>
      </c>
      <c r="E3">
        <v>26.61</v>
      </c>
      <c r="F3">
        <v>13215100</v>
      </c>
      <c r="G3">
        <v>26.5</v>
      </c>
    </row>
    <row r="4" spans="1:7" x14ac:dyDescent="0.25">
      <c r="A4" s="34">
        <v>41822</v>
      </c>
      <c r="B4">
        <v>26.56</v>
      </c>
      <c r="C4">
        <v>26.72</v>
      </c>
      <c r="D4">
        <v>26.48</v>
      </c>
      <c r="E4">
        <v>26.7</v>
      </c>
      <c r="F4">
        <v>9809200</v>
      </c>
      <c r="G4">
        <v>26.59</v>
      </c>
    </row>
    <row r="5" spans="1:7" x14ac:dyDescent="0.25">
      <c r="A5" s="34">
        <v>41823</v>
      </c>
      <c r="B5">
        <v>26.68</v>
      </c>
      <c r="C5">
        <v>26.93</v>
      </c>
      <c r="D5">
        <v>26.62</v>
      </c>
      <c r="E5">
        <v>26.92</v>
      </c>
      <c r="F5">
        <v>6947900</v>
      </c>
      <c r="G5">
        <v>26.81</v>
      </c>
    </row>
    <row r="6" spans="1:7" x14ac:dyDescent="0.25">
      <c r="A6" s="34">
        <v>41827</v>
      </c>
      <c r="B6">
        <v>26.81</v>
      </c>
      <c r="C6">
        <v>26.93</v>
      </c>
      <c r="D6">
        <v>26.73</v>
      </c>
      <c r="E6">
        <v>26.86</v>
      </c>
      <c r="F6">
        <v>10794300</v>
      </c>
      <c r="G6">
        <v>26.75</v>
      </c>
    </row>
    <row r="7" spans="1:7" x14ac:dyDescent="0.25">
      <c r="A7" s="34">
        <v>41828</v>
      </c>
      <c r="B7">
        <v>26.78</v>
      </c>
      <c r="C7">
        <v>26.83</v>
      </c>
      <c r="D7">
        <v>26.39</v>
      </c>
      <c r="E7">
        <v>26.43</v>
      </c>
      <c r="F7">
        <v>25608900</v>
      </c>
      <c r="G7">
        <v>26.33</v>
      </c>
    </row>
    <row r="8" spans="1:7" x14ac:dyDescent="0.25">
      <c r="A8" s="34">
        <v>41829</v>
      </c>
      <c r="B8">
        <v>26.45</v>
      </c>
      <c r="C8">
        <v>26.7</v>
      </c>
      <c r="D8">
        <v>26.44</v>
      </c>
      <c r="E8">
        <v>26.69</v>
      </c>
      <c r="F8">
        <v>13354700</v>
      </c>
      <c r="G8">
        <v>26.58</v>
      </c>
    </row>
    <row r="9" spans="1:7" x14ac:dyDescent="0.25">
      <c r="A9" s="34">
        <v>41830</v>
      </c>
      <c r="B9">
        <v>26.44</v>
      </c>
      <c r="C9">
        <v>26.78</v>
      </c>
      <c r="D9">
        <v>26.38</v>
      </c>
      <c r="E9">
        <v>26.72</v>
      </c>
      <c r="F9">
        <v>10551400</v>
      </c>
      <c r="G9">
        <v>26.61</v>
      </c>
    </row>
    <row r="10" spans="1:7" x14ac:dyDescent="0.25">
      <c r="A10" s="34">
        <v>41831</v>
      </c>
      <c r="B10">
        <v>26.73</v>
      </c>
      <c r="C10">
        <v>26.74</v>
      </c>
      <c r="D10">
        <v>26.5</v>
      </c>
      <c r="E10">
        <v>26.64</v>
      </c>
      <c r="F10">
        <v>11385700</v>
      </c>
      <c r="G10">
        <v>26.53</v>
      </c>
    </row>
    <row r="11" spans="1:7" x14ac:dyDescent="0.25">
      <c r="A11" s="34">
        <v>41834</v>
      </c>
      <c r="B11">
        <v>26.73</v>
      </c>
      <c r="C11">
        <v>26.95</v>
      </c>
      <c r="D11">
        <v>26.72</v>
      </c>
      <c r="E11">
        <v>26.92</v>
      </c>
      <c r="F11">
        <v>12424300</v>
      </c>
      <c r="G11">
        <v>26.81</v>
      </c>
    </row>
    <row r="12" spans="1:7" x14ac:dyDescent="0.25">
      <c r="A12" s="34">
        <v>41835</v>
      </c>
      <c r="B12">
        <v>26.87</v>
      </c>
      <c r="C12">
        <v>26.94</v>
      </c>
      <c r="D12">
        <v>26.75</v>
      </c>
      <c r="E12">
        <v>26.86</v>
      </c>
      <c r="F12">
        <v>15992600</v>
      </c>
      <c r="G12">
        <v>26.75</v>
      </c>
    </row>
    <row r="13" spans="1:7" x14ac:dyDescent="0.25">
      <c r="A13" s="34">
        <v>41836</v>
      </c>
      <c r="B13">
        <v>26.89</v>
      </c>
      <c r="C13">
        <v>27.06</v>
      </c>
      <c r="D13">
        <v>26.8</v>
      </c>
      <c r="E13">
        <v>27.01</v>
      </c>
      <c r="F13">
        <v>10739800</v>
      </c>
      <c r="G13">
        <v>26.9</v>
      </c>
    </row>
    <row r="14" spans="1:7" x14ac:dyDescent="0.25">
      <c r="A14" s="34">
        <v>41837</v>
      </c>
      <c r="B14">
        <v>26.95</v>
      </c>
      <c r="C14">
        <v>27</v>
      </c>
      <c r="D14">
        <v>26.68</v>
      </c>
      <c r="E14">
        <v>26.73</v>
      </c>
      <c r="F14">
        <v>12372200</v>
      </c>
      <c r="G14">
        <v>26.62</v>
      </c>
    </row>
    <row r="15" spans="1:7" x14ac:dyDescent="0.25">
      <c r="A15" s="34">
        <v>41838</v>
      </c>
      <c r="B15">
        <v>26.83</v>
      </c>
      <c r="C15">
        <v>27</v>
      </c>
      <c r="D15">
        <v>26.76</v>
      </c>
      <c r="E15">
        <v>26.98</v>
      </c>
      <c r="F15">
        <v>12925400</v>
      </c>
      <c r="G15">
        <v>26.87</v>
      </c>
    </row>
    <row r="16" spans="1:7" x14ac:dyDescent="0.25">
      <c r="A16" s="34">
        <v>41841</v>
      </c>
      <c r="B16">
        <v>28.2</v>
      </c>
      <c r="C16">
        <v>28.37</v>
      </c>
      <c r="D16">
        <v>27.76</v>
      </c>
      <c r="E16">
        <v>28.33</v>
      </c>
      <c r="F16">
        <v>51682300</v>
      </c>
      <c r="G16">
        <v>28.22</v>
      </c>
    </row>
    <row r="17" spans="1:7" x14ac:dyDescent="0.25">
      <c r="A17" s="34">
        <v>41842</v>
      </c>
      <c r="B17">
        <v>28.32</v>
      </c>
      <c r="C17">
        <v>28.86</v>
      </c>
      <c r="D17">
        <v>28.26</v>
      </c>
      <c r="E17">
        <v>28.52</v>
      </c>
      <c r="F17">
        <v>28683400</v>
      </c>
      <c r="G17">
        <v>28.41</v>
      </c>
    </row>
    <row r="18" spans="1:7" x14ac:dyDescent="0.25">
      <c r="A18" s="34">
        <v>41843</v>
      </c>
      <c r="B18">
        <v>28.72</v>
      </c>
      <c r="C18">
        <v>29.59</v>
      </c>
      <c r="D18">
        <v>28.59</v>
      </c>
      <c r="E18">
        <v>28.75</v>
      </c>
      <c r="F18">
        <v>49431500</v>
      </c>
      <c r="G18">
        <v>28.64</v>
      </c>
    </row>
    <row r="19" spans="1:7" x14ac:dyDescent="0.25">
      <c r="A19" s="34">
        <v>41844</v>
      </c>
      <c r="B19">
        <v>28.7</v>
      </c>
      <c r="C19">
        <v>28.98</v>
      </c>
      <c r="D19">
        <v>28.67</v>
      </c>
      <c r="E19">
        <v>28.89</v>
      </c>
      <c r="F19">
        <v>21329100</v>
      </c>
      <c r="G19">
        <v>28.78</v>
      </c>
    </row>
    <row r="20" spans="1:7" x14ac:dyDescent="0.25">
      <c r="A20" s="34">
        <v>41845</v>
      </c>
      <c r="B20">
        <v>28.76</v>
      </c>
      <c r="C20">
        <v>29.24</v>
      </c>
      <c r="D20">
        <v>28.75</v>
      </c>
      <c r="E20">
        <v>29.2</v>
      </c>
      <c r="F20">
        <v>23562200</v>
      </c>
      <c r="G20">
        <v>29.08</v>
      </c>
    </row>
    <row r="21" spans="1:7" x14ac:dyDescent="0.25">
      <c r="A21" s="34">
        <v>41848</v>
      </c>
      <c r="B21">
        <v>29.13</v>
      </c>
      <c r="C21">
        <v>29.77</v>
      </c>
      <c r="D21">
        <v>29.13</v>
      </c>
      <c r="E21">
        <v>29.67</v>
      </c>
      <c r="F21">
        <v>29935300</v>
      </c>
      <c r="G21">
        <v>29.55</v>
      </c>
    </row>
    <row r="22" spans="1:7" x14ac:dyDescent="0.25">
      <c r="A22" s="34">
        <v>41849</v>
      </c>
      <c r="B22">
        <v>29.62</v>
      </c>
      <c r="C22">
        <v>29.72</v>
      </c>
      <c r="D22">
        <v>29.34</v>
      </c>
      <c r="E22">
        <v>29.47</v>
      </c>
      <c r="F22">
        <v>17608500</v>
      </c>
      <c r="G22">
        <v>29.35</v>
      </c>
    </row>
    <row r="23" spans="1:7" x14ac:dyDescent="0.25">
      <c r="A23" s="34">
        <v>41850</v>
      </c>
      <c r="B23">
        <v>29.55</v>
      </c>
      <c r="C23">
        <v>29.9</v>
      </c>
      <c r="D23">
        <v>28.63</v>
      </c>
      <c r="E23">
        <v>29.9</v>
      </c>
      <c r="F23">
        <v>22454300</v>
      </c>
      <c r="G23">
        <v>29.78</v>
      </c>
    </row>
    <row r="24" spans="1:7" x14ac:dyDescent="0.25">
      <c r="A24" s="34">
        <v>41851</v>
      </c>
      <c r="B24">
        <v>29.53</v>
      </c>
      <c r="C24">
        <v>29.74</v>
      </c>
      <c r="D24">
        <v>29.3</v>
      </c>
      <c r="E24">
        <v>29.3</v>
      </c>
      <c r="F24">
        <v>18837700</v>
      </c>
      <c r="G24">
        <v>29.18</v>
      </c>
    </row>
    <row r="25" spans="1:7" x14ac:dyDescent="0.25">
      <c r="A25" s="34">
        <v>41852</v>
      </c>
      <c r="B25">
        <v>29.08</v>
      </c>
      <c r="C25">
        <v>29.2</v>
      </c>
      <c r="D25">
        <v>28.68</v>
      </c>
      <c r="E25">
        <v>29.06</v>
      </c>
      <c r="F25">
        <v>20923200</v>
      </c>
      <c r="G25">
        <v>28.94</v>
      </c>
    </row>
    <row r="26" spans="1:7" x14ac:dyDescent="0.25">
      <c r="A26" s="34">
        <v>41855</v>
      </c>
      <c r="B26">
        <v>29.12</v>
      </c>
      <c r="C26">
        <v>29.62</v>
      </c>
      <c r="D26">
        <v>29.11</v>
      </c>
      <c r="E26">
        <v>29.57</v>
      </c>
      <c r="F26">
        <v>16580100</v>
      </c>
      <c r="G26">
        <v>29.45</v>
      </c>
    </row>
    <row r="27" spans="1:7" x14ac:dyDescent="0.25">
      <c r="A27" s="34">
        <v>41856</v>
      </c>
      <c r="B27">
        <v>29.33</v>
      </c>
      <c r="C27">
        <v>29.48</v>
      </c>
      <c r="D27">
        <v>29.09</v>
      </c>
      <c r="E27">
        <v>29.23</v>
      </c>
      <c r="F27">
        <v>16026900</v>
      </c>
      <c r="G27">
        <v>29.11</v>
      </c>
    </row>
    <row r="28" spans="1:7" x14ac:dyDescent="0.25">
      <c r="A28" s="34">
        <v>41857</v>
      </c>
      <c r="B28">
        <v>29.02</v>
      </c>
      <c r="C28">
        <v>29.3</v>
      </c>
      <c r="D28">
        <v>28.98</v>
      </c>
      <c r="E28">
        <v>29.16</v>
      </c>
      <c r="F28">
        <v>20134500</v>
      </c>
      <c r="G28">
        <v>29.04</v>
      </c>
    </row>
    <row r="29" spans="1:7" x14ac:dyDescent="0.25">
      <c r="A29" s="34">
        <v>41858</v>
      </c>
      <c r="B29">
        <v>29.31</v>
      </c>
      <c r="C29">
        <v>29.5</v>
      </c>
      <c r="D29">
        <v>28.8</v>
      </c>
      <c r="E29">
        <v>28.91</v>
      </c>
      <c r="F29">
        <v>13368400</v>
      </c>
      <c r="G29">
        <v>28.8</v>
      </c>
    </row>
    <row r="30" spans="1:7" x14ac:dyDescent="0.25">
      <c r="A30" s="34">
        <v>41859</v>
      </c>
      <c r="B30">
        <v>28.88</v>
      </c>
      <c r="C30">
        <v>29.15</v>
      </c>
      <c r="D30">
        <v>28.88</v>
      </c>
      <c r="E30">
        <v>29.09</v>
      </c>
      <c r="F30">
        <v>10925800</v>
      </c>
      <c r="G30">
        <v>28.97</v>
      </c>
    </row>
    <row r="31" spans="1:7" x14ac:dyDescent="0.25">
      <c r="A31" s="34">
        <v>41862</v>
      </c>
      <c r="B31">
        <v>29.14</v>
      </c>
      <c r="C31">
        <v>29.45</v>
      </c>
      <c r="D31">
        <v>29.05</v>
      </c>
      <c r="E31">
        <v>29.36</v>
      </c>
      <c r="F31">
        <v>15948800</v>
      </c>
      <c r="G31">
        <v>29.24</v>
      </c>
    </row>
    <row r="32" spans="1:7" x14ac:dyDescent="0.25">
      <c r="A32" s="34">
        <v>41863</v>
      </c>
      <c r="B32">
        <v>29.31</v>
      </c>
      <c r="C32">
        <v>29.42</v>
      </c>
      <c r="D32">
        <v>29.14</v>
      </c>
      <c r="E32">
        <v>29.34</v>
      </c>
      <c r="F32">
        <v>9545500</v>
      </c>
      <c r="G32">
        <v>29.22</v>
      </c>
    </row>
    <row r="33" spans="1:7" x14ac:dyDescent="0.25">
      <c r="A33" s="34">
        <v>41864</v>
      </c>
      <c r="B33">
        <v>29.41</v>
      </c>
      <c r="C33">
        <v>29.59</v>
      </c>
      <c r="D33">
        <v>29.36</v>
      </c>
      <c r="E33">
        <v>29.45</v>
      </c>
      <c r="F33">
        <v>14576600</v>
      </c>
      <c r="G33">
        <v>29.33</v>
      </c>
    </row>
    <row r="34" spans="1:7" x14ac:dyDescent="0.25">
      <c r="A34" s="34">
        <v>41865</v>
      </c>
      <c r="B34">
        <v>29.52</v>
      </c>
      <c r="C34">
        <v>29.82</v>
      </c>
      <c r="D34">
        <v>29.42</v>
      </c>
      <c r="E34">
        <v>29.75</v>
      </c>
      <c r="F34">
        <v>10093700</v>
      </c>
      <c r="G34">
        <v>29.63</v>
      </c>
    </row>
    <row r="35" spans="1:7" x14ac:dyDescent="0.25">
      <c r="A35" s="34">
        <v>41866</v>
      </c>
      <c r="B35">
        <v>29.84</v>
      </c>
      <c r="C35">
        <v>29.89</v>
      </c>
      <c r="D35">
        <v>29.52</v>
      </c>
      <c r="E35">
        <v>29.73</v>
      </c>
      <c r="F35">
        <v>15370800</v>
      </c>
      <c r="G35">
        <v>29.61</v>
      </c>
    </row>
    <row r="36" spans="1:7" x14ac:dyDescent="0.25">
      <c r="A36" s="34">
        <v>41869</v>
      </c>
      <c r="B36">
        <v>29.81</v>
      </c>
      <c r="C36">
        <v>30.13</v>
      </c>
      <c r="D36">
        <v>29.72</v>
      </c>
      <c r="E36">
        <v>29.95</v>
      </c>
      <c r="F36">
        <v>12177800</v>
      </c>
      <c r="G36">
        <v>29.83</v>
      </c>
    </row>
    <row r="37" spans="1:7" x14ac:dyDescent="0.25">
      <c r="A37" s="34">
        <v>41870</v>
      </c>
      <c r="B37">
        <v>29.91</v>
      </c>
      <c r="C37">
        <v>29.96</v>
      </c>
      <c r="D37">
        <v>29.78</v>
      </c>
      <c r="E37">
        <v>29.89</v>
      </c>
      <c r="F37">
        <v>8513200</v>
      </c>
      <c r="G37">
        <v>29.77</v>
      </c>
    </row>
    <row r="38" spans="1:7" x14ac:dyDescent="0.25">
      <c r="A38" s="34">
        <v>41871</v>
      </c>
      <c r="B38">
        <v>29.78</v>
      </c>
      <c r="C38">
        <v>29.82</v>
      </c>
      <c r="D38">
        <v>29.48</v>
      </c>
      <c r="E38">
        <v>29.7</v>
      </c>
      <c r="F38">
        <v>11459600</v>
      </c>
      <c r="G38">
        <v>29.58</v>
      </c>
    </row>
    <row r="39" spans="1:7" x14ac:dyDescent="0.25">
      <c r="A39" s="34">
        <v>41872</v>
      </c>
      <c r="B39">
        <v>29.77</v>
      </c>
      <c r="C39">
        <v>29.95</v>
      </c>
      <c r="D39">
        <v>29.61</v>
      </c>
      <c r="E39">
        <v>29.62</v>
      </c>
      <c r="F39">
        <v>10668400</v>
      </c>
      <c r="G39">
        <v>29.5</v>
      </c>
    </row>
    <row r="40" spans="1:7" x14ac:dyDescent="0.25">
      <c r="A40" s="34">
        <v>41873</v>
      </c>
      <c r="B40">
        <v>29.67</v>
      </c>
      <c r="C40">
        <v>29.68</v>
      </c>
      <c r="D40">
        <v>29.49</v>
      </c>
      <c r="E40">
        <v>29.64</v>
      </c>
      <c r="F40">
        <v>9539400</v>
      </c>
      <c r="G40">
        <v>29.52</v>
      </c>
    </row>
    <row r="41" spans="1:7" x14ac:dyDescent="0.25">
      <c r="A41" s="34">
        <v>41876</v>
      </c>
      <c r="B41">
        <v>29.74</v>
      </c>
      <c r="C41">
        <v>29.87</v>
      </c>
      <c r="D41">
        <v>29.54</v>
      </c>
      <c r="E41">
        <v>29.66</v>
      </c>
      <c r="F41">
        <v>10812000</v>
      </c>
      <c r="G41">
        <v>29.54</v>
      </c>
    </row>
    <row r="42" spans="1:7" x14ac:dyDescent="0.25">
      <c r="A42" s="34">
        <v>41877</v>
      </c>
      <c r="B42">
        <v>29.66</v>
      </c>
      <c r="C42">
        <v>29.75</v>
      </c>
      <c r="D42">
        <v>29.41</v>
      </c>
      <c r="E42">
        <v>29.57</v>
      </c>
      <c r="F42">
        <v>7541000</v>
      </c>
      <c r="G42">
        <v>29.45</v>
      </c>
    </row>
    <row r="43" spans="1:7" x14ac:dyDescent="0.25">
      <c r="A43" s="34">
        <v>41878</v>
      </c>
      <c r="B43">
        <v>29.56</v>
      </c>
      <c r="C43">
        <v>29.64</v>
      </c>
      <c r="D43">
        <v>29.35</v>
      </c>
      <c r="E43">
        <v>29.44</v>
      </c>
      <c r="F43">
        <v>6194100</v>
      </c>
      <c r="G43">
        <v>29.32</v>
      </c>
    </row>
    <row r="44" spans="1:7" x14ac:dyDescent="0.25">
      <c r="A44" s="34">
        <v>41879</v>
      </c>
      <c r="B44">
        <v>29.36</v>
      </c>
      <c r="C44">
        <v>29.48</v>
      </c>
      <c r="D44">
        <v>29.26</v>
      </c>
      <c r="E44">
        <v>29.41</v>
      </c>
      <c r="F44">
        <v>5060500</v>
      </c>
      <c r="G44">
        <v>29.29</v>
      </c>
    </row>
    <row r="45" spans="1:7" x14ac:dyDescent="0.25">
      <c r="A45" s="34">
        <v>41880</v>
      </c>
      <c r="B45">
        <v>29.45</v>
      </c>
      <c r="C45">
        <v>29.6</v>
      </c>
      <c r="D45">
        <v>29.29</v>
      </c>
      <c r="E45">
        <v>29.53</v>
      </c>
      <c r="F45">
        <v>6137300</v>
      </c>
      <c r="G45">
        <v>29.41</v>
      </c>
    </row>
    <row r="46" spans="1:7" x14ac:dyDescent="0.25">
      <c r="A46" s="34">
        <v>41884</v>
      </c>
      <c r="B46">
        <v>29.4</v>
      </c>
      <c r="C46">
        <v>29.53</v>
      </c>
      <c r="D46">
        <v>29.09</v>
      </c>
      <c r="E46">
        <v>29.43</v>
      </c>
      <c r="F46">
        <v>10560100</v>
      </c>
      <c r="G46">
        <v>29.31</v>
      </c>
    </row>
    <row r="47" spans="1:7" x14ac:dyDescent="0.25">
      <c r="A47" s="34">
        <v>41885</v>
      </c>
      <c r="B47">
        <v>29.59</v>
      </c>
      <c r="C47">
        <v>29.68</v>
      </c>
      <c r="D47">
        <v>29.44</v>
      </c>
      <c r="E47">
        <v>29.54</v>
      </c>
      <c r="F47">
        <v>10994000</v>
      </c>
      <c r="G47">
        <v>29.42</v>
      </c>
    </row>
    <row r="48" spans="1:7" x14ac:dyDescent="0.25">
      <c r="A48" s="34">
        <v>41886</v>
      </c>
      <c r="B48">
        <v>29.53</v>
      </c>
      <c r="C48">
        <v>29.65</v>
      </c>
      <c r="D48">
        <v>29.04</v>
      </c>
      <c r="E48">
        <v>29.05</v>
      </c>
      <c r="F48">
        <v>19848400</v>
      </c>
      <c r="G48">
        <v>28.93</v>
      </c>
    </row>
    <row r="49" spans="1:7" x14ac:dyDescent="0.25">
      <c r="A49" s="34">
        <v>41887</v>
      </c>
      <c r="B49">
        <v>29.03</v>
      </c>
      <c r="C49">
        <v>29.07</v>
      </c>
      <c r="D49">
        <v>28.79</v>
      </c>
      <c r="E49">
        <v>29.03</v>
      </c>
      <c r="F49">
        <v>10675700</v>
      </c>
      <c r="G49">
        <v>28.92</v>
      </c>
    </row>
    <row r="50" spans="1:7" x14ac:dyDescent="0.25">
      <c r="A50" s="34">
        <v>41890</v>
      </c>
      <c r="B50">
        <v>28.99</v>
      </c>
      <c r="C50">
        <v>29.32</v>
      </c>
      <c r="D50">
        <v>28.96</v>
      </c>
      <c r="E50">
        <v>29.28</v>
      </c>
      <c r="F50">
        <v>13291800</v>
      </c>
      <c r="G50">
        <v>29.16</v>
      </c>
    </row>
    <row r="51" spans="1:7" x14ac:dyDescent="0.25">
      <c r="A51" s="34">
        <v>41891</v>
      </c>
      <c r="B51">
        <v>29.34</v>
      </c>
      <c r="C51">
        <v>29.41</v>
      </c>
      <c r="D51">
        <v>29.16</v>
      </c>
      <c r="E51">
        <v>29.22</v>
      </c>
      <c r="F51">
        <v>11964400</v>
      </c>
      <c r="G51">
        <v>29.1</v>
      </c>
    </row>
    <row r="52" spans="1:7" x14ac:dyDescent="0.25">
      <c r="A52" s="34">
        <v>41892</v>
      </c>
      <c r="B52">
        <v>29.21</v>
      </c>
      <c r="C52">
        <v>29.6</v>
      </c>
      <c r="D52">
        <v>29.13</v>
      </c>
      <c r="E52">
        <v>29.5</v>
      </c>
      <c r="F52">
        <v>14852000</v>
      </c>
      <c r="G52">
        <v>29.38</v>
      </c>
    </row>
    <row r="53" spans="1:7" x14ac:dyDescent="0.25">
      <c r="A53" s="34">
        <v>41893</v>
      </c>
      <c r="B53">
        <v>29.62</v>
      </c>
      <c r="C53">
        <v>29.89</v>
      </c>
      <c r="D53">
        <v>29.45</v>
      </c>
      <c r="E53">
        <v>29.69</v>
      </c>
      <c r="F53">
        <v>18247300</v>
      </c>
      <c r="G53">
        <v>29.57</v>
      </c>
    </row>
    <row r="54" spans="1:7" x14ac:dyDescent="0.25">
      <c r="A54" s="34">
        <v>41894</v>
      </c>
      <c r="B54">
        <v>29.62</v>
      </c>
      <c r="C54">
        <v>29.79</v>
      </c>
      <c r="D54">
        <v>29.53</v>
      </c>
      <c r="E54">
        <v>29.65</v>
      </c>
      <c r="F54">
        <v>16326600</v>
      </c>
      <c r="G54">
        <v>29.53</v>
      </c>
    </row>
    <row r="55" spans="1:7" x14ac:dyDescent="0.25">
      <c r="A55" s="34">
        <v>41897</v>
      </c>
      <c r="B55">
        <v>29.67</v>
      </c>
      <c r="C55">
        <v>29.67</v>
      </c>
      <c r="D55">
        <v>29.3</v>
      </c>
      <c r="E55">
        <v>29.46</v>
      </c>
      <c r="F55">
        <v>16749800</v>
      </c>
      <c r="G55">
        <v>29.34</v>
      </c>
    </row>
  </sheetData>
  <sortState ref="A3:G55">
    <sortCondition ref="A3:A55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66.180000000000007</v>
      </c>
      <c r="C3">
        <v>66.95</v>
      </c>
      <c r="D3">
        <v>65.959999999999994</v>
      </c>
      <c r="E3">
        <v>66.55</v>
      </c>
      <c r="F3">
        <v>2910300</v>
      </c>
      <c r="G3">
        <v>66.09</v>
      </c>
    </row>
    <row r="4" spans="1:7" x14ac:dyDescent="0.25">
      <c r="A4" s="34">
        <v>41822</v>
      </c>
      <c r="B4">
        <v>66.59</v>
      </c>
      <c r="C4">
        <v>66.73</v>
      </c>
      <c r="D4">
        <v>66.13</v>
      </c>
      <c r="E4">
        <v>66.64</v>
      </c>
      <c r="F4">
        <v>2230800</v>
      </c>
      <c r="G4">
        <v>66.180000000000007</v>
      </c>
    </row>
    <row r="5" spans="1:7" x14ac:dyDescent="0.25">
      <c r="A5" s="34">
        <v>41823</v>
      </c>
      <c r="B5">
        <v>66.97</v>
      </c>
      <c r="C5">
        <v>67.650000000000006</v>
      </c>
      <c r="D5">
        <v>66.930000000000007</v>
      </c>
      <c r="E5">
        <v>67.37</v>
      </c>
      <c r="F5">
        <v>1946600</v>
      </c>
      <c r="G5">
        <v>66.91</v>
      </c>
    </row>
    <row r="6" spans="1:7" x14ac:dyDescent="0.25">
      <c r="A6" s="34">
        <v>41827</v>
      </c>
      <c r="B6">
        <v>67.36</v>
      </c>
      <c r="C6">
        <v>67.95</v>
      </c>
      <c r="D6">
        <v>66.819999999999993</v>
      </c>
      <c r="E6">
        <v>67.650000000000006</v>
      </c>
      <c r="F6">
        <v>4105500</v>
      </c>
      <c r="G6">
        <v>67.19</v>
      </c>
    </row>
    <row r="7" spans="1:7" x14ac:dyDescent="0.25">
      <c r="A7" s="34">
        <v>41828</v>
      </c>
      <c r="B7">
        <v>67.38</v>
      </c>
      <c r="C7">
        <v>68.05</v>
      </c>
      <c r="D7">
        <v>67.22</v>
      </c>
      <c r="E7">
        <v>67.83</v>
      </c>
      <c r="F7">
        <v>4211800</v>
      </c>
      <c r="G7">
        <v>67.36</v>
      </c>
    </row>
    <row r="8" spans="1:7" x14ac:dyDescent="0.25">
      <c r="A8" s="34">
        <v>41829</v>
      </c>
      <c r="B8">
        <v>67.89</v>
      </c>
      <c r="C8">
        <v>68.16</v>
      </c>
      <c r="D8">
        <v>67.489999999999995</v>
      </c>
      <c r="E8">
        <v>67.7</v>
      </c>
      <c r="F8">
        <v>2958900</v>
      </c>
      <c r="G8">
        <v>67.239999999999995</v>
      </c>
    </row>
    <row r="9" spans="1:7" x14ac:dyDescent="0.25">
      <c r="A9" s="34">
        <v>41830</v>
      </c>
      <c r="B9">
        <v>67.11</v>
      </c>
      <c r="C9">
        <v>67.59</v>
      </c>
      <c r="D9">
        <v>67</v>
      </c>
      <c r="E9">
        <v>67.2</v>
      </c>
      <c r="F9">
        <v>2569900</v>
      </c>
      <c r="G9">
        <v>66.739999999999995</v>
      </c>
    </row>
    <row r="10" spans="1:7" x14ac:dyDescent="0.25">
      <c r="A10" s="34">
        <v>41831</v>
      </c>
      <c r="B10">
        <v>67.760000000000005</v>
      </c>
      <c r="C10">
        <v>67.760000000000005</v>
      </c>
      <c r="D10">
        <v>66.739999999999995</v>
      </c>
      <c r="E10">
        <v>67.099999999999994</v>
      </c>
      <c r="F10">
        <v>2964100</v>
      </c>
      <c r="G10">
        <v>66.64</v>
      </c>
    </row>
    <row r="11" spans="1:7" x14ac:dyDescent="0.25">
      <c r="A11" s="34">
        <v>41834</v>
      </c>
      <c r="B11">
        <v>67.709999999999994</v>
      </c>
      <c r="C11">
        <v>67.77</v>
      </c>
      <c r="D11">
        <v>67.239999999999995</v>
      </c>
      <c r="E11">
        <v>67.260000000000005</v>
      </c>
      <c r="F11">
        <v>2259500</v>
      </c>
      <c r="G11">
        <v>66.8</v>
      </c>
    </row>
    <row r="12" spans="1:7" x14ac:dyDescent="0.25">
      <c r="A12" s="34">
        <v>41835</v>
      </c>
      <c r="B12">
        <v>67.17</v>
      </c>
      <c r="C12">
        <v>67.72</v>
      </c>
      <c r="D12">
        <v>67.11</v>
      </c>
      <c r="E12">
        <v>67.5</v>
      </c>
      <c r="F12">
        <v>3003200</v>
      </c>
      <c r="G12">
        <v>67.040000000000006</v>
      </c>
    </row>
    <row r="13" spans="1:7" x14ac:dyDescent="0.25">
      <c r="A13" s="34">
        <v>41836</v>
      </c>
      <c r="B13">
        <v>67.959999999999994</v>
      </c>
      <c r="C13">
        <v>68.23</v>
      </c>
      <c r="D13">
        <v>67.75</v>
      </c>
      <c r="E13">
        <v>67.989999999999995</v>
      </c>
      <c r="F13">
        <v>3475700</v>
      </c>
      <c r="G13">
        <v>67.52</v>
      </c>
    </row>
    <row r="14" spans="1:7" x14ac:dyDescent="0.25">
      <c r="A14" s="34">
        <v>41837</v>
      </c>
      <c r="B14">
        <v>67.55</v>
      </c>
      <c r="C14">
        <v>67.61</v>
      </c>
      <c r="D14">
        <v>66.94</v>
      </c>
      <c r="E14">
        <v>66.98</v>
      </c>
      <c r="F14">
        <v>3334100</v>
      </c>
      <c r="G14">
        <v>66.52</v>
      </c>
    </row>
    <row r="15" spans="1:7" x14ac:dyDescent="0.25">
      <c r="A15" s="34">
        <v>41838</v>
      </c>
      <c r="B15">
        <v>67.12</v>
      </c>
      <c r="C15">
        <v>67.48</v>
      </c>
      <c r="D15">
        <v>67.010000000000005</v>
      </c>
      <c r="E15">
        <v>67.39</v>
      </c>
      <c r="F15">
        <v>2535400</v>
      </c>
      <c r="G15">
        <v>66.930000000000007</v>
      </c>
    </row>
    <row r="16" spans="1:7" x14ac:dyDescent="0.25">
      <c r="A16" s="34">
        <v>41841</v>
      </c>
      <c r="B16">
        <v>67.31</v>
      </c>
      <c r="C16">
        <v>67.61</v>
      </c>
      <c r="D16">
        <v>66.989999999999995</v>
      </c>
      <c r="E16">
        <v>67.36</v>
      </c>
      <c r="F16">
        <v>1842000</v>
      </c>
      <c r="G16">
        <v>66.900000000000006</v>
      </c>
    </row>
    <row r="17" spans="1:7" x14ac:dyDescent="0.25">
      <c r="A17" s="34">
        <v>41842</v>
      </c>
      <c r="B17">
        <v>67.5</v>
      </c>
      <c r="C17">
        <v>67.86</v>
      </c>
      <c r="D17">
        <v>67.36</v>
      </c>
      <c r="E17">
        <v>67.42</v>
      </c>
      <c r="F17">
        <v>1899000</v>
      </c>
      <c r="G17">
        <v>66.959999999999994</v>
      </c>
    </row>
    <row r="18" spans="1:7" x14ac:dyDescent="0.25">
      <c r="A18" s="34">
        <v>41843</v>
      </c>
      <c r="B18">
        <v>67.44</v>
      </c>
      <c r="C18">
        <v>67.47</v>
      </c>
      <c r="D18">
        <v>66.86</v>
      </c>
      <c r="E18">
        <v>67.02</v>
      </c>
      <c r="F18">
        <v>1341000</v>
      </c>
      <c r="G18">
        <v>66.56</v>
      </c>
    </row>
    <row r="19" spans="1:7" x14ac:dyDescent="0.25">
      <c r="A19" s="34">
        <v>41844</v>
      </c>
      <c r="B19">
        <v>66.94</v>
      </c>
      <c r="C19">
        <v>67.510000000000005</v>
      </c>
      <c r="D19">
        <v>66.91</v>
      </c>
      <c r="E19">
        <v>67.05</v>
      </c>
      <c r="F19">
        <v>2396500</v>
      </c>
      <c r="G19">
        <v>66.59</v>
      </c>
    </row>
    <row r="20" spans="1:7" x14ac:dyDescent="0.25">
      <c r="A20" s="34">
        <v>41845</v>
      </c>
      <c r="B20">
        <v>67.17</v>
      </c>
      <c r="C20">
        <v>67.77</v>
      </c>
      <c r="D20">
        <v>66.91</v>
      </c>
      <c r="E20">
        <v>67.430000000000007</v>
      </c>
      <c r="F20">
        <v>2965300</v>
      </c>
      <c r="G20">
        <v>66.97</v>
      </c>
    </row>
    <row r="21" spans="1:7" x14ac:dyDescent="0.25">
      <c r="A21" s="34">
        <v>41848</v>
      </c>
      <c r="B21">
        <v>67.239999999999995</v>
      </c>
      <c r="C21">
        <v>67.239999999999995</v>
      </c>
      <c r="D21">
        <v>66.569999999999993</v>
      </c>
      <c r="E21">
        <v>67.08</v>
      </c>
      <c r="F21">
        <v>3044900</v>
      </c>
      <c r="G21">
        <v>66.62</v>
      </c>
    </row>
    <row r="22" spans="1:7" x14ac:dyDescent="0.25">
      <c r="A22" s="34">
        <v>41849</v>
      </c>
      <c r="B22">
        <v>66.98</v>
      </c>
      <c r="C22">
        <v>67.17</v>
      </c>
      <c r="D22">
        <v>66.099999999999994</v>
      </c>
      <c r="E22">
        <v>66.099999999999994</v>
      </c>
      <c r="F22">
        <v>2704000</v>
      </c>
      <c r="G22">
        <v>65.650000000000006</v>
      </c>
    </row>
    <row r="23" spans="1:7" x14ac:dyDescent="0.25">
      <c r="A23" s="34">
        <v>41850</v>
      </c>
      <c r="B23">
        <v>66.150000000000006</v>
      </c>
      <c r="C23">
        <v>66.23</v>
      </c>
      <c r="D23">
        <v>64.790000000000006</v>
      </c>
      <c r="E23">
        <v>65.209999999999994</v>
      </c>
      <c r="F23">
        <v>4661800</v>
      </c>
      <c r="G23">
        <v>64.760000000000005</v>
      </c>
    </row>
    <row r="24" spans="1:7" x14ac:dyDescent="0.25">
      <c r="A24" s="34">
        <v>41851</v>
      </c>
      <c r="B24">
        <v>64.819999999999993</v>
      </c>
      <c r="C24">
        <v>64.92</v>
      </c>
      <c r="D24">
        <v>63.64</v>
      </c>
      <c r="E24">
        <v>63.65</v>
      </c>
      <c r="F24">
        <v>5419800</v>
      </c>
      <c r="G24">
        <v>63.21</v>
      </c>
    </row>
    <row r="25" spans="1:7" x14ac:dyDescent="0.25">
      <c r="A25" s="34">
        <v>41852</v>
      </c>
      <c r="B25">
        <v>63.27</v>
      </c>
      <c r="C25">
        <v>63.78</v>
      </c>
      <c r="D25">
        <v>62.71</v>
      </c>
      <c r="E25">
        <v>63.4</v>
      </c>
      <c r="F25">
        <v>4900800</v>
      </c>
      <c r="G25">
        <v>62.96</v>
      </c>
    </row>
    <row r="26" spans="1:7" x14ac:dyDescent="0.25">
      <c r="A26" s="34">
        <v>41855</v>
      </c>
      <c r="B26">
        <v>63.42</v>
      </c>
      <c r="C26">
        <v>64.14</v>
      </c>
      <c r="D26">
        <v>63.11</v>
      </c>
      <c r="E26">
        <v>63.99</v>
      </c>
      <c r="F26">
        <v>3924500</v>
      </c>
      <c r="G26">
        <v>63.55</v>
      </c>
    </row>
    <row r="27" spans="1:7" x14ac:dyDescent="0.25">
      <c r="A27" s="34">
        <v>41856</v>
      </c>
      <c r="B27">
        <v>62.1</v>
      </c>
      <c r="C27">
        <v>63.96</v>
      </c>
      <c r="D27">
        <v>60.85</v>
      </c>
      <c r="E27">
        <v>62.84</v>
      </c>
      <c r="F27">
        <v>6971200</v>
      </c>
      <c r="G27">
        <v>62.41</v>
      </c>
    </row>
    <row r="28" spans="1:7" x14ac:dyDescent="0.25">
      <c r="A28" s="34">
        <v>41857</v>
      </c>
      <c r="B28">
        <v>62.05</v>
      </c>
      <c r="C28">
        <v>62.51</v>
      </c>
      <c r="D28">
        <v>61.54</v>
      </c>
      <c r="E28">
        <v>61.85</v>
      </c>
      <c r="F28">
        <v>5195200</v>
      </c>
      <c r="G28">
        <v>61.43</v>
      </c>
    </row>
    <row r="29" spans="1:7" x14ac:dyDescent="0.25">
      <c r="A29" s="34">
        <v>41858</v>
      </c>
      <c r="B29">
        <v>62.24</v>
      </c>
      <c r="C29">
        <v>62.39</v>
      </c>
      <c r="D29">
        <v>61.65</v>
      </c>
      <c r="E29">
        <v>61.79</v>
      </c>
      <c r="F29">
        <v>2959300</v>
      </c>
      <c r="G29">
        <v>61.37</v>
      </c>
    </row>
    <row r="30" spans="1:7" x14ac:dyDescent="0.25">
      <c r="A30" s="34">
        <v>41859</v>
      </c>
      <c r="B30">
        <v>62.04</v>
      </c>
      <c r="C30">
        <v>62.84</v>
      </c>
      <c r="D30">
        <v>61.91</v>
      </c>
      <c r="E30">
        <v>62.8</v>
      </c>
      <c r="F30">
        <v>2232500</v>
      </c>
      <c r="G30">
        <v>62.37</v>
      </c>
    </row>
    <row r="31" spans="1:7" x14ac:dyDescent="0.25">
      <c r="A31" s="34">
        <v>41862</v>
      </c>
      <c r="B31">
        <v>63.11</v>
      </c>
      <c r="C31">
        <v>63.13</v>
      </c>
      <c r="D31">
        <v>62.51</v>
      </c>
      <c r="E31">
        <v>62.58</v>
      </c>
      <c r="F31">
        <v>2064500</v>
      </c>
      <c r="G31">
        <v>62.15</v>
      </c>
    </row>
    <row r="32" spans="1:7" x14ac:dyDescent="0.25">
      <c r="A32" s="34">
        <v>41863</v>
      </c>
      <c r="B32">
        <v>62.65</v>
      </c>
      <c r="C32">
        <v>63.1</v>
      </c>
      <c r="D32">
        <v>62.47</v>
      </c>
      <c r="E32">
        <v>62.67</v>
      </c>
      <c r="F32">
        <v>2099500</v>
      </c>
      <c r="G32">
        <v>62.24</v>
      </c>
    </row>
    <row r="33" spans="1:7" x14ac:dyDescent="0.25">
      <c r="A33" s="34">
        <v>41864</v>
      </c>
      <c r="B33">
        <v>62.49</v>
      </c>
      <c r="C33">
        <v>63.14</v>
      </c>
      <c r="D33">
        <v>62.28</v>
      </c>
      <c r="E33">
        <v>63.05</v>
      </c>
      <c r="F33">
        <v>3137300</v>
      </c>
      <c r="G33">
        <v>63.05</v>
      </c>
    </row>
    <row r="34" spans="1:7" x14ac:dyDescent="0.25">
      <c r="A34" s="34">
        <v>41865</v>
      </c>
      <c r="B34">
        <v>62.93</v>
      </c>
      <c r="C34">
        <v>63.23</v>
      </c>
      <c r="D34">
        <v>62.75</v>
      </c>
      <c r="E34">
        <v>62.95</v>
      </c>
      <c r="F34">
        <v>2726800</v>
      </c>
      <c r="G34">
        <v>62.95</v>
      </c>
    </row>
    <row r="35" spans="1:7" x14ac:dyDescent="0.25">
      <c r="A35" s="34">
        <v>41866</v>
      </c>
      <c r="B35">
        <v>63.24</v>
      </c>
      <c r="C35">
        <v>63.41</v>
      </c>
      <c r="D35">
        <v>62.55</v>
      </c>
      <c r="E35">
        <v>62.97</v>
      </c>
      <c r="F35">
        <v>3051100</v>
      </c>
      <c r="G35">
        <v>62.97</v>
      </c>
    </row>
    <row r="36" spans="1:7" x14ac:dyDescent="0.25">
      <c r="A36" s="34">
        <v>41869</v>
      </c>
      <c r="B36">
        <v>63.16</v>
      </c>
      <c r="C36">
        <v>63.84</v>
      </c>
      <c r="D36">
        <v>63.16</v>
      </c>
      <c r="E36">
        <v>63.82</v>
      </c>
      <c r="F36">
        <v>2047200</v>
      </c>
      <c r="G36">
        <v>63.82</v>
      </c>
    </row>
    <row r="37" spans="1:7" x14ac:dyDescent="0.25">
      <c r="A37" s="34">
        <v>41870</v>
      </c>
      <c r="B37">
        <v>63.82</v>
      </c>
      <c r="C37">
        <v>64.19</v>
      </c>
      <c r="D37">
        <v>63.8</v>
      </c>
      <c r="E37">
        <v>63.93</v>
      </c>
      <c r="F37">
        <v>2293800</v>
      </c>
      <c r="G37">
        <v>63.93</v>
      </c>
    </row>
    <row r="38" spans="1:7" x14ac:dyDescent="0.25">
      <c r="A38" s="34">
        <v>41871</v>
      </c>
      <c r="B38">
        <v>63.94</v>
      </c>
      <c r="C38">
        <v>64.58</v>
      </c>
      <c r="D38">
        <v>63.89</v>
      </c>
      <c r="E38">
        <v>64.48</v>
      </c>
      <c r="F38">
        <v>2504500</v>
      </c>
      <c r="G38">
        <v>64.48</v>
      </c>
    </row>
    <row r="39" spans="1:7" x14ac:dyDescent="0.25">
      <c r="A39" s="34">
        <v>41872</v>
      </c>
      <c r="B39">
        <v>64.5</v>
      </c>
      <c r="C39">
        <v>64.7</v>
      </c>
      <c r="D39">
        <v>64.16</v>
      </c>
      <c r="E39">
        <v>64.56</v>
      </c>
      <c r="F39">
        <v>1774100</v>
      </c>
      <c r="G39">
        <v>64.56</v>
      </c>
    </row>
    <row r="40" spans="1:7" x14ac:dyDescent="0.25">
      <c r="A40" s="34">
        <v>41873</v>
      </c>
      <c r="B40">
        <v>64.739999999999995</v>
      </c>
      <c r="C40">
        <v>64.930000000000007</v>
      </c>
      <c r="D40">
        <v>64.430000000000007</v>
      </c>
      <c r="E40">
        <v>64.599999999999994</v>
      </c>
      <c r="F40">
        <v>2433400</v>
      </c>
      <c r="G40">
        <v>64.599999999999994</v>
      </c>
    </row>
    <row r="41" spans="1:7" x14ac:dyDescent="0.25">
      <c r="A41" s="34">
        <v>41876</v>
      </c>
      <c r="B41">
        <v>64.91</v>
      </c>
      <c r="C41">
        <v>65.16</v>
      </c>
      <c r="D41">
        <v>64.64</v>
      </c>
      <c r="E41">
        <v>64.75</v>
      </c>
      <c r="F41">
        <v>1483900</v>
      </c>
      <c r="G41">
        <v>64.75</v>
      </c>
    </row>
    <row r="42" spans="1:7" x14ac:dyDescent="0.25">
      <c r="A42" s="34">
        <v>41877</v>
      </c>
      <c r="B42">
        <v>64.930000000000007</v>
      </c>
      <c r="C42">
        <v>64.959999999999994</v>
      </c>
      <c r="D42">
        <v>64.290000000000006</v>
      </c>
      <c r="E42">
        <v>64.34</v>
      </c>
      <c r="F42">
        <v>1855100</v>
      </c>
      <c r="G42">
        <v>64.34</v>
      </c>
    </row>
    <row r="43" spans="1:7" x14ac:dyDescent="0.25">
      <c r="A43" s="34">
        <v>41878</v>
      </c>
      <c r="B43">
        <v>64.38</v>
      </c>
      <c r="C43">
        <v>64.58</v>
      </c>
      <c r="D43">
        <v>64.08</v>
      </c>
      <c r="E43">
        <v>64.400000000000006</v>
      </c>
      <c r="F43">
        <v>1507500</v>
      </c>
      <c r="G43">
        <v>64.400000000000006</v>
      </c>
    </row>
    <row r="44" spans="1:7" x14ac:dyDescent="0.25">
      <c r="A44" s="34">
        <v>41879</v>
      </c>
      <c r="B44">
        <v>64</v>
      </c>
      <c r="C44">
        <v>64.38</v>
      </c>
      <c r="D44">
        <v>63.9</v>
      </c>
      <c r="E44">
        <v>64.260000000000005</v>
      </c>
      <c r="F44">
        <v>1192500</v>
      </c>
      <c r="G44">
        <v>64.260000000000005</v>
      </c>
    </row>
    <row r="45" spans="1:7" x14ac:dyDescent="0.25">
      <c r="A45" s="34">
        <v>41880</v>
      </c>
      <c r="B45">
        <v>64.39</v>
      </c>
      <c r="C45">
        <v>64.569999999999993</v>
      </c>
      <c r="D45">
        <v>63.99</v>
      </c>
      <c r="E45">
        <v>64.02</v>
      </c>
      <c r="F45">
        <v>2074400</v>
      </c>
      <c r="G45">
        <v>64.02</v>
      </c>
    </row>
    <row r="46" spans="1:7" x14ac:dyDescent="0.25">
      <c r="A46" s="34">
        <v>41884</v>
      </c>
      <c r="B46">
        <v>64.33</v>
      </c>
      <c r="C46">
        <v>64.67</v>
      </c>
      <c r="D46">
        <v>64.069999999999993</v>
      </c>
      <c r="E46">
        <v>64.31</v>
      </c>
      <c r="F46">
        <v>3087500</v>
      </c>
      <c r="G46">
        <v>64.31</v>
      </c>
    </row>
    <row r="47" spans="1:7" x14ac:dyDescent="0.25">
      <c r="A47" s="34">
        <v>41885</v>
      </c>
      <c r="B47">
        <v>64.75</v>
      </c>
      <c r="C47">
        <v>64.849999999999994</v>
      </c>
      <c r="D47">
        <v>64.19</v>
      </c>
      <c r="E47">
        <v>64.290000000000006</v>
      </c>
      <c r="F47">
        <v>2176700</v>
      </c>
      <c r="G47">
        <v>64.290000000000006</v>
      </c>
    </row>
    <row r="48" spans="1:7" x14ac:dyDescent="0.25">
      <c r="A48" s="34">
        <v>41886</v>
      </c>
      <c r="B48">
        <v>64.33</v>
      </c>
      <c r="C48">
        <v>65.48</v>
      </c>
      <c r="D48">
        <v>64.19</v>
      </c>
      <c r="E48">
        <v>64.64</v>
      </c>
      <c r="F48">
        <v>3406400</v>
      </c>
      <c r="G48">
        <v>64.64</v>
      </c>
    </row>
    <row r="49" spans="1:7" x14ac:dyDescent="0.25">
      <c r="A49" s="34">
        <v>41887</v>
      </c>
      <c r="B49">
        <v>64.64</v>
      </c>
      <c r="C49">
        <v>65.3</v>
      </c>
      <c r="D49">
        <v>64.239999999999995</v>
      </c>
      <c r="E49">
        <v>65.08</v>
      </c>
      <c r="F49">
        <v>3698100</v>
      </c>
      <c r="G49">
        <v>65.08</v>
      </c>
    </row>
    <row r="50" spans="1:7" x14ac:dyDescent="0.25">
      <c r="A50" s="34">
        <v>41890</v>
      </c>
      <c r="B50">
        <v>64.92</v>
      </c>
      <c r="C50">
        <v>65.319999999999993</v>
      </c>
      <c r="D50">
        <v>64.86</v>
      </c>
      <c r="E50">
        <v>64.98</v>
      </c>
      <c r="F50">
        <v>3218200</v>
      </c>
      <c r="G50">
        <v>64.98</v>
      </c>
    </row>
    <row r="51" spans="1:7" x14ac:dyDescent="0.25">
      <c r="A51" s="34">
        <v>41891</v>
      </c>
      <c r="B51">
        <v>64.98</v>
      </c>
      <c r="C51">
        <v>65.430000000000007</v>
      </c>
      <c r="D51">
        <v>64.790000000000006</v>
      </c>
      <c r="E51">
        <v>65.11</v>
      </c>
      <c r="F51">
        <v>3204600</v>
      </c>
      <c r="G51">
        <v>65.11</v>
      </c>
    </row>
    <row r="52" spans="1:7" x14ac:dyDescent="0.25">
      <c r="A52" s="34">
        <v>41892</v>
      </c>
      <c r="B52">
        <v>65.19</v>
      </c>
      <c r="C52">
        <v>65.349999999999994</v>
      </c>
      <c r="D52">
        <v>64.87</v>
      </c>
      <c r="E52">
        <v>65.010000000000005</v>
      </c>
      <c r="F52">
        <v>2626300</v>
      </c>
      <c r="G52">
        <v>65.010000000000005</v>
      </c>
    </row>
    <row r="53" spans="1:7" x14ac:dyDescent="0.25">
      <c r="A53" s="34">
        <v>41893</v>
      </c>
      <c r="B53">
        <v>64.760000000000005</v>
      </c>
      <c r="C53">
        <v>65.069999999999993</v>
      </c>
      <c r="D53">
        <v>64.55</v>
      </c>
      <c r="E53">
        <v>64.66</v>
      </c>
      <c r="F53">
        <v>2734800</v>
      </c>
      <c r="G53">
        <v>64.66</v>
      </c>
    </row>
    <row r="54" spans="1:7" x14ac:dyDescent="0.25">
      <c r="A54" s="34">
        <v>41894</v>
      </c>
      <c r="B54">
        <v>64.53</v>
      </c>
      <c r="C54">
        <v>64.66</v>
      </c>
      <c r="D54">
        <v>64.150000000000006</v>
      </c>
      <c r="E54">
        <v>64.489999999999995</v>
      </c>
      <c r="F54">
        <v>3030400</v>
      </c>
      <c r="G54">
        <v>64.489999999999995</v>
      </c>
    </row>
    <row r="55" spans="1:7" x14ac:dyDescent="0.25">
      <c r="A55" s="34">
        <v>41897</v>
      </c>
      <c r="B55">
        <v>64.31</v>
      </c>
      <c r="C55">
        <v>64.540000000000006</v>
      </c>
      <c r="D55">
        <v>64.180000000000007</v>
      </c>
      <c r="E55">
        <v>64.3</v>
      </c>
      <c r="F55">
        <v>2134100</v>
      </c>
      <c r="G55">
        <v>64.3</v>
      </c>
    </row>
  </sheetData>
  <sortState ref="A3:G55">
    <sortCondition ref="A3:A55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36.08</v>
      </c>
      <c r="C3">
        <v>36.26</v>
      </c>
      <c r="D3">
        <v>35.549999999999997</v>
      </c>
      <c r="E3">
        <v>35.700000000000003</v>
      </c>
      <c r="F3">
        <v>7022700</v>
      </c>
      <c r="G3">
        <v>35.35</v>
      </c>
    </row>
    <row r="4" spans="1:7" x14ac:dyDescent="0.25">
      <c r="A4" s="34">
        <v>41822</v>
      </c>
      <c r="B4">
        <v>35.549999999999997</v>
      </c>
      <c r="C4">
        <v>35.590000000000003</v>
      </c>
      <c r="D4">
        <v>34.33</v>
      </c>
      <c r="E4">
        <v>34.590000000000003</v>
      </c>
      <c r="F4">
        <v>11109800</v>
      </c>
      <c r="G4">
        <v>34.25</v>
      </c>
    </row>
    <row r="5" spans="1:7" x14ac:dyDescent="0.25">
      <c r="A5" s="34">
        <v>41823</v>
      </c>
      <c r="B5">
        <v>34.369999999999997</v>
      </c>
      <c r="C5">
        <v>34.369999999999997</v>
      </c>
      <c r="D5">
        <v>33.799999999999997</v>
      </c>
      <c r="E5">
        <v>33.97</v>
      </c>
      <c r="F5">
        <v>8016300</v>
      </c>
      <c r="G5">
        <v>33.64</v>
      </c>
    </row>
    <row r="6" spans="1:7" x14ac:dyDescent="0.25">
      <c r="A6" s="34">
        <v>41827</v>
      </c>
      <c r="B6">
        <v>34.06</v>
      </c>
      <c r="C6">
        <v>34.51</v>
      </c>
      <c r="D6">
        <v>34.03</v>
      </c>
      <c r="E6">
        <v>34.36</v>
      </c>
      <c r="F6">
        <v>10563100</v>
      </c>
      <c r="G6">
        <v>34.03</v>
      </c>
    </row>
    <row r="7" spans="1:7" x14ac:dyDescent="0.25">
      <c r="A7" s="34">
        <v>41828</v>
      </c>
      <c r="B7">
        <v>34.479999999999997</v>
      </c>
      <c r="C7">
        <v>34.520000000000003</v>
      </c>
      <c r="D7">
        <v>34.21</v>
      </c>
      <c r="E7">
        <v>34.32</v>
      </c>
      <c r="F7">
        <v>7229000</v>
      </c>
      <c r="G7">
        <v>33.99</v>
      </c>
    </row>
    <row r="8" spans="1:7" x14ac:dyDescent="0.25">
      <c r="A8" s="34">
        <v>41829</v>
      </c>
      <c r="B8">
        <v>34.369999999999997</v>
      </c>
      <c r="C8">
        <v>34.479999999999997</v>
      </c>
      <c r="D8">
        <v>34.15</v>
      </c>
      <c r="E8">
        <v>34.26</v>
      </c>
      <c r="F8">
        <v>7582500</v>
      </c>
      <c r="G8">
        <v>33.93</v>
      </c>
    </row>
    <row r="9" spans="1:7" x14ac:dyDescent="0.25">
      <c r="A9" s="34">
        <v>41830</v>
      </c>
      <c r="B9">
        <v>34.15</v>
      </c>
      <c r="C9">
        <v>34.47</v>
      </c>
      <c r="D9">
        <v>34.15</v>
      </c>
      <c r="E9">
        <v>34.36</v>
      </c>
      <c r="F9">
        <v>7476400</v>
      </c>
      <c r="G9">
        <v>34.03</v>
      </c>
    </row>
    <row r="10" spans="1:7" x14ac:dyDescent="0.25">
      <c r="A10" s="34">
        <v>41831</v>
      </c>
      <c r="B10">
        <v>34.159999999999997</v>
      </c>
      <c r="C10">
        <v>34.369999999999997</v>
      </c>
      <c r="D10">
        <v>33.72</v>
      </c>
      <c r="E10">
        <v>33.78</v>
      </c>
      <c r="F10">
        <v>9178300</v>
      </c>
      <c r="G10">
        <v>33.450000000000003</v>
      </c>
    </row>
    <row r="11" spans="1:7" x14ac:dyDescent="0.25">
      <c r="A11" s="34">
        <v>41834</v>
      </c>
      <c r="B11">
        <v>33.950000000000003</v>
      </c>
      <c r="C11">
        <v>33.950000000000003</v>
      </c>
      <c r="D11">
        <v>32.86</v>
      </c>
      <c r="E11">
        <v>32.89</v>
      </c>
      <c r="F11">
        <v>10240200</v>
      </c>
      <c r="G11">
        <v>32.57</v>
      </c>
    </row>
    <row r="12" spans="1:7" x14ac:dyDescent="0.25">
      <c r="A12" s="34">
        <v>41835</v>
      </c>
      <c r="B12">
        <v>32.9</v>
      </c>
      <c r="C12">
        <v>33.06</v>
      </c>
      <c r="D12">
        <v>32.71</v>
      </c>
      <c r="E12">
        <v>32.85</v>
      </c>
      <c r="F12">
        <v>9073200</v>
      </c>
      <c r="G12">
        <v>32.53</v>
      </c>
    </row>
    <row r="13" spans="1:7" x14ac:dyDescent="0.25">
      <c r="A13" s="34">
        <v>41836</v>
      </c>
      <c r="B13">
        <v>32.89</v>
      </c>
      <c r="C13">
        <v>32.950000000000003</v>
      </c>
      <c r="D13">
        <v>32.630000000000003</v>
      </c>
      <c r="E13">
        <v>32.94</v>
      </c>
      <c r="F13">
        <v>8855000</v>
      </c>
      <c r="G13">
        <v>32.619999999999997</v>
      </c>
    </row>
    <row r="14" spans="1:7" x14ac:dyDescent="0.25">
      <c r="A14" s="34">
        <v>41837</v>
      </c>
      <c r="B14">
        <v>32.83</v>
      </c>
      <c r="C14">
        <v>33.1</v>
      </c>
      <c r="D14">
        <v>31.95</v>
      </c>
      <c r="E14">
        <v>31.95</v>
      </c>
      <c r="F14">
        <v>10091300</v>
      </c>
      <c r="G14">
        <v>31.64</v>
      </c>
    </row>
    <row r="15" spans="1:7" x14ac:dyDescent="0.25">
      <c r="A15" s="34">
        <v>41838</v>
      </c>
      <c r="B15">
        <v>32.18</v>
      </c>
      <c r="C15">
        <v>32.35</v>
      </c>
      <c r="D15">
        <v>31.87</v>
      </c>
      <c r="E15">
        <v>32.090000000000003</v>
      </c>
      <c r="F15">
        <v>10140000</v>
      </c>
      <c r="G15">
        <v>31.78</v>
      </c>
    </row>
    <row r="16" spans="1:7" x14ac:dyDescent="0.25">
      <c r="A16" s="34">
        <v>41841</v>
      </c>
      <c r="B16">
        <v>32.24</v>
      </c>
      <c r="C16">
        <v>32.32</v>
      </c>
      <c r="D16">
        <v>31.85</v>
      </c>
      <c r="E16">
        <v>32.229999999999997</v>
      </c>
      <c r="F16">
        <v>8362900</v>
      </c>
      <c r="G16">
        <v>31.92</v>
      </c>
    </row>
    <row r="17" spans="1:7" x14ac:dyDescent="0.25">
      <c r="A17" s="34">
        <v>41842</v>
      </c>
      <c r="B17">
        <v>32.25</v>
      </c>
      <c r="C17">
        <v>32.299999999999997</v>
      </c>
      <c r="D17">
        <v>31.76</v>
      </c>
      <c r="E17">
        <v>31.78</v>
      </c>
      <c r="F17">
        <v>8779400</v>
      </c>
      <c r="G17">
        <v>31.47</v>
      </c>
    </row>
    <row r="18" spans="1:7" x14ac:dyDescent="0.25">
      <c r="A18" s="34">
        <v>41843</v>
      </c>
      <c r="B18">
        <v>31.84</v>
      </c>
      <c r="C18">
        <v>31.97</v>
      </c>
      <c r="D18">
        <v>31.68</v>
      </c>
      <c r="E18">
        <v>31.76</v>
      </c>
      <c r="F18">
        <v>4568700</v>
      </c>
      <c r="G18">
        <v>31.45</v>
      </c>
    </row>
    <row r="19" spans="1:7" x14ac:dyDescent="0.25">
      <c r="A19" s="34">
        <v>41844</v>
      </c>
      <c r="B19">
        <v>31.36</v>
      </c>
      <c r="C19">
        <v>31.94</v>
      </c>
      <c r="D19">
        <v>31.27</v>
      </c>
      <c r="E19">
        <v>31.81</v>
      </c>
      <c r="F19">
        <v>6165100</v>
      </c>
      <c r="G19">
        <v>31.5</v>
      </c>
    </row>
    <row r="20" spans="1:7" x14ac:dyDescent="0.25">
      <c r="A20" s="34">
        <v>41845</v>
      </c>
      <c r="B20">
        <v>31.73</v>
      </c>
      <c r="C20">
        <v>31.99</v>
      </c>
      <c r="D20">
        <v>31.38</v>
      </c>
      <c r="E20">
        <v>31.45</v>
      </c>
      <c r="F20">
        <v>3689000</v>
      </c>
      <c r="G20">
        <v>31.14</v>
      </c>
    </row>
    <row r="21" spans="1:7" x14ac:dyDescent="0.25">
      <c r="A21" s="34">
        <v>41848</v>
      </c>
      <c r="B21">
        <v>31.41</v>
      </c>
      <c r="C21">
        <v>32.130000000000003</v>
      </c>
      <c r="D21">
        <v>31.38</v>
      </c>
      <c r="E21">
        <v>31.95</v>
      </c>
      <c r="F21">
        <v>5683400</v>
      </c>
      <c r="G21">
        <v>31.64</v>
      </c>
    </row>
    <row r="22" spans="1:7" x14ac:dyDescent="0.25">
      <c r="A22" s="34">
        <v>41849</v>
      </c>
      <c r="B22">
        <v>31.94</v>
      </c>
      <c r="C22">
        <v>32.049999999999997</v>
      </c>
      <c r="D22">
        <v>31.43</v>
      </c>
      <c r="E22">
        <v>31.47</v>
      </c>
      <c r="F22">
        <v>6292800</v>
      </c>
      <c r="G22">
        <v>31.16</v>
      </c>
    </row>
    <row r="23" spans="1:7" x14ac:dyDescent="0.25">
      <c r="A23" s="34">
        <v>41850</v>
      </c>
      <c r="B23">
        <v>31.63</v>
      </c>
      <c r="C23">
        <v>31.66</v>
      </c>
      <c r="D23">
        <v>30.85</v>
      </c>
      <c r="E23">
        <v>31.01</v>
      </c>
      <c r="F23">
        <v>7976600</v>
      </c>
      <c r="G23">
        <v>30.71</v>
      </c>
    </row>
    <row r="24" spans="1:7" x14ac:dyDescent="0.25">
      <c r="A24" s="34">
        <v>41851</v>
      </c>
      <c r="B24">
        <v>30.93</v>
      </c>
      <c r="C24">
        <v>31.49</v>
      </c>
      <c r="D24">
        <v>30.8</v>
      </c>
      <c r="E24">
        <v>31.08</v>
      </c>
      <c r="F24">
        <v>9236100</v>
      </c>
      <c r="G24">
        <v>30.78</v>
      </c>
    </row>
    <row r="25" spans="1:7" x14ac:dyDescent="0.25">
      <c r="A25" s="34">
        <v>41852</v>
      </c>
      <c r="B25">
        <v>31.14</v>
      </c>
      <c r="C25">
        <v>32.08</v>
      </c>
      <c r="D25">
        <v>31.1</v>
      </c>
      <c r="E25">
        <v>31.54</v>
      </c>
      <c r="F25">
        <v>9734300</v>
      </c>
      <c r="G25">
        <v>31.23</v>
      </c>
    </row>
    <row r="26" spans="1:7" x14ac:dyDescent="0.25">
      <c r="A26" s="34">
        <v>41855</v>
      </c>
      <c r="B26">
        <v>31.52</v>
      </c>
      <c r="C26">
        <v>31.53</v>
      </c>
      <c r="D26">
        <v>30.66</v>
      </c>
      <c r="E26">
        <v>31.36</v>
      </c>
      <c r="F26">
        <v>10079600</v>
      </c>
      <c r="G26">
        <v>31.05</v>
      </c>
    </row>
    <row r="27" spans="1:7" x14ac:dyDescent="0.25">
      <c r="A27" s="34">
        <v>41856</v>
      </c>
      <c r="B27">
        <v>31.28</v>
      </c>
      <c r="C27">
        <v>31.56</v>
      </c>
      <c r="D27">
        <v>31.04</v>
      </c>
      <c r="E27">
        <v>31.13</v>
      </c>
      <c r="F27">
        <v>6683900</v>
      </c>
      <c r="G27">
        <v>30.83</v>
      </c>
    </row>
    <row r="28" spans="1:7" x14ac:dyDescent="0.25">
      <c r="A28" s="34">
        <v>41857</v>
      </c>
      <c r="B28">
        <v>31.04</v>
      </c>
      <c r="C28">
        <v>31.25</v>
      </c>
      <c r="D28">
        <v>30.73</v>
      </c>
      <c r="E28">
        <v>31.18</v>
      </c>
      <c r="F28">
        <v>11411100</v>
      </c>
      <c r="G28">
        <v>30.88</v>
      </c>
    </row>
    <row r="29" spans="1:7" x14ac:dyDescent="0.25">
      <c r="A29" s="34">
        <v>41858</v>
      </c>
      <c r="B29">
        <v>31.26</v>
      </c>
      <c r="C29">
        <v>31.8</v>
      </c>
      <c r="D29">
        <v>31.21</v>
      </c>
      <c r="E29">
        <v>31.56</v>
      </c>
      <c r="F29">
        <v>7241800</v>
      </c>
      <c r="G29">
        <v>31.25</v>
      </c>
    </row>
    <row r="30" spans="1:7" x14ac:dyDescent="0.25">
      <c r="A30" s="34">
        <v>41859</v>
      </c>
      <c r="B30">
        <v>31.6</v>
      </c>
      <c r="C30">
        <v>32.15</v>
      </c>
      <c r="D30">
        <v>31.56</v>
      </c>
      <c r="E30">
        <v>32.119999999999997</v>
      </c>
      <c r="F30">
        <v>5967700</v>
      </c>
      <c r="G30">
        <v>31.81</v>
      </c>
    </row>
    <row r="31" spans="1:7" x14ac:dyDescent="0.25">
      <c r="A31" s="34">
        <v>41862</v>
      </c>
      <c r="B31">
        <v>32.18</v>
      </c>
      <c r="C31">
        <v>32.33</v>
      </c>
      <c r="D31">
        <v>32.01</v>
      </c>
      <c r="E31">
        <v>32.11</v>
      </c>
      <c r="F31">
        <v>4956100</v>
      </c>
      <c r="G31">
        <v>31.8</v>
      </c>
    </row>
    <row r="32" spans="1:7" x14ac:dyDescent="0.25">
      <c r="A32" s="34">
        <v>41863</v>
      </c>
      <c r="B32">
        <v>32.06</v>
      </c>
      <c r="C32">
        <v>32.159999999999997</v>
      </c>
      <c r="D32">
        <v>31.8</v>
      </c>
      <c r="E32">
        <v>31.87</v>
      </c>
      <c r="F32">
        <v>4970700</v>
      </c>
      <c r="G32">
        <v>31.56</v>
      </c>
    </row>
    <row r="33" spans="1:7" x14ac:dyDescent="0.25">
      <c r="A33" s="34">
        <v>41864</v>
      </c>
      <c r="B33">
        <v>31.58</v>
      </c>
      <c r="C33">
        <v>31.72</v>
      </c>
      <c r="D33">
        <v>31.33</v>
      </c>
      <c r="E33">
        <v>31.45</v>
      </c>
      <c r="F33">
        <v>3471900</v>
      </c>
      <c r="G33">
        <v>31.45</v>
      </c>
    </row>
    <row r="34" spans="1:7" x14ac:dyDescent="0.25">
      <c r="A34" s="34">
        <v>41865</v>
      </c>
      <c r="B34">
        <v>31.55</v>
      </c>
      <c r="C34">
        <v>31.92</v>
      </c>
      <c r="D34">
        <v>31.5</v>
      </c>
      <c r="E34">
        <v>31.83</v>
      </c>
      <c r="F34">
        <v>3249000</v>
      </c>
      <c r="G34">
        <v>31.83</v>
      </c>
    </row>
    <row r="35" spans="1:7" x14ac:dyDescent="0.25">
      <c r="A35" s="34">
        <v>41866</v>
      </c>
      <c r="B35">
        <v>31.85</v>
      </c>
      <c r="C35">
        <v>32.200000000000003</v>
      </c>
      <c r="D35">
        <v>31.64</v>
      </c>
      <c r="E35">
        <v>31.8</v>
      </c>
      <c r="F35">
        <v>5611300</v>
      </c>
      <c r="G35">
        <v>31.8</v>
      </c>
    </row>
    <row r="36" spans="1:7" x14ac:dyDescent="0.25">
      <c r="A36" s="34">
        <v>41869</v>
      </c>
      <c r="B36">
        <v>31.93</v>
      </c>
      <c r="C36">
        <v>32.1</v>
      </c>
      <c r="D36">
        <v>31.73</v>
      </c>
      <c r="E36">
        <v>31.82</v>
      </c>
      <c r="F36">
        <v>4037400</v>
      </c>
      <c r="G36">
        <v>31.82</v>
      </c>
    </row>
    <row r="37" spans="1:7" x14ac:dyDescent="0.25">
      <c r="A37" s="34">
        <v>41870</v>
      </c>
      <c r="B37">
        <v>31.91</v>
      </c>
      <c r="C37">
        <v>32</v>
      </c>
      <c r="D37">
        <v>31.68</v>
      </c>
      <c r="E37">
        <v>31.96</v>
      </c>
      <c r="F37">
        <v>4918500</v>
      </c>
      <c r="G37">
        <v>31.96</v>
      </c>
    </row>
    <row r="38" spans="1:7" x14ac:dyDescent="0.25">
      <c r="A38" s="34">
        <v>41871</v>
      </c>
      <c r="B38">
        <v>31.98</v>
      </c>
      <c r="C38">
        <v>32.020000000000003</v>
      </c>
      <c r="D38">
        <v>31.85</v>
      </c>
      <c r="E38">
        <v>31.99</v>
      </c>
      <c r="F38">
        <v>2562600</v>
      </c>
      <c r="G38">
        <v>31.99</v>
      </c>
    </row>
    <row r="39" spans="1:7" x14ac:dyDescent="0.25">
      <c r="A39" s="34">
        <v>41872</v>
      </c>
      <c r="B39">
        <v>31.93</v>
      </c>
      <c r="C39">
        <v>32.49</v>
      </c>
      <c r="D39">
        <v>31.93</v>
      </c>
      <c r="E39">
        <v>32.25</v>
      </c>
      <c r="F39">
        <v>5901000</v>
      </c>
      <c r="G39">
        <v>32.25</v>
      </c>
    </row>
    <row r="40" spans="1:7" x14ac:dyDescent="0.25">
      <c r="A40" s="34">
        <v>41873</v>
      </c>
      <c r="B40">
        <v>32.19</v>
      </c>
      <c r="C40">
        <v>32.619999999999997</v>
      </c>
      <c r="D40">
        <v>32.18</v>
      </c>
      <c r="E40">
        <v>32.39</v>
      </c>
      <c r="F40">
        <v>5511200</v>
      </c>
      <c r="G40">
        <v>32.39</v>
      </c>
    </row>
    <row r="41" spans="1:7" x14ac:dyDescent="0.25">
      <c r="A41" s="34">
        <v>41876</v>
      </c>
      <c r="B41">
        <v>32.46</v>
      </c>
      <c r="C41">
        <v>32.92</v>
      </c>
      <c r="D41">
        <v>32.36</v>
      </c>
      <c r="E41">
        <v>32.83</v>
      </c>
      <c r="F41">
        <v>4532200</v>
      </c>
      <c r="G41">
        <v>32.83</v>
      </c>
    </row>
    <row r="42" spans="1:7" x14ac:dyDescent="0.25">
      <c r="A42" s="34">
        <v>41877</v>
      </c>
      <c r="B42">
        <v>32.85</v>
      </c>
      <c r="C42">
        <v>33.04</v>
      </c>
      <c r="D42">
        <v>32.28</v>
      </c>
      <c r="E42">
        <v>32.31</v>
      </c>
      <c r="F42">
        <v>4101800</v>
      </c>
      <c r="G42">
        <v>32.31</v>
      </c>
    </row>
    <row r="43" spans="1:7" x14ac:dyDescent="0.25">
      <c r="A43" s="34">
        <v>41878</v>
      </c>
      <c r="B43">
        <v>32.340000000000003</v>
      </c>
      <c r="C43">
        <v>32.78</v>
      </c>
      <c r="D43">
        <v>32.340000000000003</v>
      </c>
      <c r="E43">
        <v>32.770000000000003</v>
      </c>
      <c r="F43">
        <v>4544600</v>
      </c>
      <c r="G43">
        <v>32.770000000000003</v>
      </c>
    </row>
    <row r="44" spans="1:7" x14ac:dyDescent="0.25">
      <c r="A44" s="34">
        <v>41879</v>
      </c>
      <c r="B44">
        <v>32.619999999999997</v>
      </c>
      <c r="C44">
        <v>33.17</v>
      </c>
      <c r="D44">
        <v>32.5</v>
      </c>
      <c r="E44">
        <v>33</v>
      </c>
      <c r="F44">
        <v>4007100</v>
      </c>
      <c r="G44">
        <v>33</v>
      </c>
    </row>
    <row r="45" spans="1:7" x14ac:dyDescent="0.25">
      <c r="A45" s="34">
        <v>41880</v>
      </c>
      <c r="B45">
        <v>33.04</v>
      </c>
      <c r="C45">
        <v>33.42</v>
      </c>
      <c r="D45">
        <v>32.979999999999997</v>
      </c>
      <c r="E45">
        <v>33.42</v>
      </c>
      <c r="F45">
        <v>3622200</v>
      </c>
      <c r="G45">
        <v>33.42</v>
      </c>
    </row>
    <row r="46" spans="1:7" x14ac:dyDescent="0.25">
      <c r="A46" s="34">
        <v>41884</v>
      </c>
      <c r="B46">
        <v>33.43</v>
      </c>
      <c r="C46">
        <v>33.46</v>
      </c>
      <c r="D46">
        <v>32.6</v>
      </c>
      <c r="E46">
        <v>32.83</v>
      </c>
      <c r="F46">
        <v>6541800</v>
      </c>
      <c r="G46">
        <v>32.83</v>
      </c>
    </row>
    <row r="47" spans="1:7" x14ac:dyDescent="0.25">
      <c r="A47" s="34">
        <v>41885</v>
      </c>
      <c r="B47">
        <v>33.03</v>
      </c>
      <c r="C47">
        <v>33.35</v>
      </c>
      <c r="D47">
        <v>32.979999999999997</v>
      </c>
      <c r="E47">
        <v>33.26</v>
      </c>
      <c r="F47">
        <v>4442300</v>
      </c>
      <c r="G47">
        <v>33.26</v>
      </c>
    </row>
    <row r="48" spans="1:7" x14ac:dyDescent="0.25">
      <c r="A48" s="34">
        <v>41886</v>
      </c>
      <c r="B48">
        <v>33.130000000000003</v>
      </c>
      <c r="C48">
        <v>33.549999999999997</v>
      </c>
      <c r="D48">
        <v>33.049999999999997</v>
      </c>
      <c r="E48">
        <v>33.549999999999997</v>
      </c>
      <c r="F48">
        <v>8163200</v>
      </c>
      <c r="G48">
        <v>33.549999999999997</v>
      </c>
    </row>
    <row r="49" spans="1:7" x14ac:dyDescent="0.25">
      <c r="A49" s="34">
        <v>41887</v>
      </c>
      <c r="B49">
        <v>33.479999999999997</v>
      </c>
      <c r="C49">
        <v>33.89</v>
      </c>
      <c r="D49">
        <v>33.380000000000003</v>
      </c>
      <c r="E49">
        <v>33.81</v>
      </c>
      <c r="F49">
        <v>6089500</v>
      </c>
      <c r="G49">
        <v>33.81</v>
      </c>
    </row>
    <row r="50" spans="1:7" x14ac:dyDescent="0.25">
      <c r="A50" s="34">
        <v>41890</v>
      </c>
      <c r="B50">
        <v>33.81</v>
      </c>
      <c r="C50">
        <v>33.950000000000003</v>
      </c>
      <c r="D50">
        <v>33.32</v>
      </c>
      <c r="E50">
        <v>33.44</v>
      </c>
      <c r="F50">
        <v>3519900</v>
      </c>
      <c r="G50">
        <v>33.44</v>
      </c>
    </row>
    <row r="51" spans="1:7" x14ac:dyDescent="0.25">
      <c r="A51" s="34">
        <v>41891</v>
      </c>
      <c r="B51">
        <v>33.299999999999997</v>
      </c>
      <c r="C51">
        <v>33.299999999999997</v>
      </c>
      <c r="D51">
        <v>33.01</v>
      </c>
      <c r="E51">
        <v>33.119999999999997</v>
      </c>
      <c r="F51">
        <v>4397900</v>
      </c>
      <c r="G51">
        <v>33.119999999999997</v>
      </c>
    </row>
    <row r="52" spans="1:7" x14ac:dyDescent="0.25">
      <c r="A52" s="34">
        <v>41892</v>
      </c>
      <c r="B52">
        <v>33.14</v>
      </c>
      <c r="C52">
        <v>33.15</v>
      </c>
      <c r="D52">
        <v>32.590000000000003</v>
      </c>
      <c r="E52">
        <v>33.04</v>
      </c>
      <c r="F52">
        <v>5686800</v>
      </c>
      <c r="G52">
        <v>33.04</v>
      </c>
    </row>
    <row r="53" spans="1:7" x14ac:dyDescent="0.25">
      <c r="A53" s="34">
        <v>41893</v>
      </c>
      <c r="B53">
        <v>33.07</v>
      </c>
      <c r="C53">
        <v>33.5</v>
      </c>
      <c r="D53">
        <v>33.04</v>
      </c>
      <c r="E53">
        <v>33.25</v>
      </c>
      <c r="F53">
        <v>4266900</v>
      </c>
      <c r="G53">
        <v>33.25</v>
      </c>
    </row>
    <row r="54" spans="1:7" x14ac:dyDescent="0.25">
      <c r="A54" s="34">
        <v>41894</v>
      </c>
      <c r="B54">
        <v>33.090000000000003</v>
      </c>
      <c r="C54">
        <v>33.159999999999997</v>
      </c>
      <c r="D54">
        <v>32.58</v>
      </c>
      <c r="E54">
        <v>32.86</v>
      </c>
      <c r="F54">
        <v>5154600</v>
      </c>
      <c r="G54">
        <v>32.86</v>
      </c>
    </row>
    <row r="55" spans="1:7" x14ac:dyDescent="0.25">
      <c r="A55" s="34">
        <v>41897</v>
      </c>
      <c r="B55">
        <v>32.9</v>
      </c>
      <c r="C55">
        <v>33.39</v>
      </c>
      <c r="D55">
        <v>32.9</v>
      </c>
      <c r="E55">
        <v>33.229999999999997</v>
      </c>
      <c r="F55">
        <v>4612300</v>
      </c>
      <c r="G55">
        <v>33.229999999999997</v>
      </c>
    </row>
  </sheetData>
  <sortState ref="A3:G55">
    <sortCondition ref="A3:A55"/>
  </sortState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17.34</v>
      </c>
      <c r="C3">
        <v>17.399999999999999</v>
      </c>
      <c r="D3">
        <v>17.07</v>
      </c>
      <c r="E3">
        <v>17.21</v>
      </c>
      <c r="F3">
        <v>36171500</v>
      </c>
      <c r="G3">
        <v>17.09</v>
      </c>
    </row>
    <row r="4" spans="1:7" x14ac:dyDescent="0.25">
      <c r="A4" s="34">
        <v>41822</v>
      </c>
      <c r="B4">
        <v>17.190000000000001</v>
      </c>
      <c r="C4">
        <v>17.3</v>
      </c>
      <c r="D4">
        <v>17.170000000000002</v>
      </c>
      <c r="E4">
        <v>17.22</v>
      </c>
      <c r="F4">
        <v>17001400</v>
      </c>
      <c r="G4">
        <v>17.100000000000001</v>
      </c>
    </row>
    <row r="5" spans="1:7" x14ac:dyDescent="0.25">
      <c r="A5" s="34">
        <v>41823</v>
      </c>
      <c r="B5">
        <v>17.23</v>
      </c>
      <c r="C5">
        <v>17.34</v>
      </c>
      <c r="D5">
        <v>17.22</v>
      </c>
      <c r="E5">
        <v>17.32</v>
      </c>
      <c r="F5">
        <v>13581200</v>
      </c>
      <c r="G5">
        <v>17.2</v>
      </c>
    </row>
    <row r="6" spans="1:7" x14ac:dyDescent="0.25">
      <c r="A6" s="34">
        <v>41827</v>
      </c>
      <c r="B6">
        <v>17.190000000000001</v>
      </c>
      <c r="C6">
        <v>17.399999999999999</v>
      </c>
      <c r="D6">
        <v>17.190000000000001</v>
      </c>
      <c r="E6">
        <v>17.32</v>
      </c>
      <c r="F6">
        <v>20271600</v>
      </c>
      <c r="G6">
        <v>17.2</v>
      </c>
    </row>
    <row r="7" spans="1:7" x14ac:dyDescent="0.25">
      <c r="A7" s="34">
        <v>41828</v>
      </c>
      <c r="B7">
        <v>17.22</v>
      </c>
      <c r="C7">
        <v>17.239999999999998</v>
      </c>
      <c r="D7">
        <v>17.05</v>
      </c>
      <c r="E7">
        <v>17.11</v>
      </c>
      <c r="F7">
        <v>23323400</v>
      </c>
      <c r="G7">
        <v>16.989999999999998</v>
      </c>
    </row>
    <row r="8" spans="1:7" x14ac:dyDescent="0.25">
      <c r="A8" s="34">
        <v>41829</v>
      </c>
      <c r="B8">
        <v>17.16</v>
      </c>
      <c r="C8">
        <v>17.45</v>
      </c>
      <c r="D8">
        <v>17.14</v>
      </c>
      <c r="E8">
        <v>17.43</v>
      </c>
      <c r="F8">
        <v>27037000</v>
      </c>
      <c r="G8">
        <v>17.309999999999999</v>
      </c>
    </row>
    <row r="9" spans="1:7" x14ac:dyDescent="0.25">
      <c r="A9" s="34">
        <v>41830</v>
      </c>
      <c r="B9">
        <v>17.2</v>
      </c>
      <c r="C9">
        <v>17.39</v>
      </c>
      <c r="D9">
        <v>17.170000000000002</v>
      </c>
      <c r="E9">
        <v>17.3</v>
      </c>
      <c r="F9">
        <v>20164400</v>
      </c>
      <c r="G9">
        <v>17.18</v>
      </c>
    </row>
    <row r="10" spans="1:7" x14ac:dyDescent="0.25">
      <c r="A10" s="34">
        <v>41831</v>
      </c>
      <c r="B10">
        <v>17.309999999999999</v>
      </c>
      <c r="C10">
        <v>17.489999999999998</v>
      </c>
      <c r="D10">
        <v>17.29</v>
      </c>
      <c r="E10">
        <v>17.47</v>
      </c>
      <c r="F10">
        <v>20150000</v>
      </c>
      <c r="G10">
        <v>17.350000000000001</v>
      </c>
    </row>
    <row r="11" spans="1:7" x14ac:dyDescent="0.25">
      <c r="A11" s="34">
        <v>41834</v>
      </c>
      <c r="B11">
        <v>17.510000000000002</v>
      </c>
      <c r="C11">
        <v>17.600000000000001</v>
      </c>
      <c r="D11">
        <v>17.45</v>
      </c>
      <c r="E11">
        <v>17.55</v>
      </c>
      <c r="F11">
        <v>20446700</v>
      </c>
      <c r="G11">
        <v>17.43</v>
      </c>
    </row>
    <row r="12" spans="1:7" x14ac:dyDescent="0.25">
      <c r="A12" s="34">
        <v>41835</v>
      </c>
      <c r="B12">
        <v>17.55</v>
      </c>
      <c r="C12">
        <v>17.649999999999999</v>
      </c>
      <c r="D12">
        <v>17.45</v>
      </c>
      <c r="E12">
        <v>17.54</v>
      </c>
      <c r="F12">
        <v>22626400</v>
      </c>
      <c r="G12">
        <v>17.420000000000002</v>
      </c>
    </row>
    <row r="13" spans="1:7" x14ac:dyDescent="0.25">
      <c r="A13" s="34">
        <v>41836</v>
      </c>
      <c r="B13">
        <v>17.66</v>
      </c>
      <c r="C13">
        <v>17.87</v>
      </c>
      <c r="D13">
        <v>17.62</v>
      </c>
      <c r="E13">
        <v>17.8</v>
      </c>
      <c r="F13">
        <v>36063400</v>
      </c>
      <c r="G13">
        <v>17.670000000000002</v>
      </c>
    </row>
    <row r="14" spans="1:7" x14ac:dyDescent="0.25">
      <c r="A14" s="34">
        <v>41837</v>
      </c>
      <c r="B14">
        <v>17.66</v>
      </c>
      <c r="C14">
        <v>18.079999999999998</v>
      </c>
      <c r="D14">
        <v>17.64</v>
      </c>
      <c r="E14">
        <v>17.739999999999998</v>
      </c>
      <c r="F14">
        <v>47287300</v>
      </c>
      <c r="G14">
        <v>17.61</v>
      </c>
    </row>
    <row r="15" spans="1:7" x14ac:dyDescent="0.25">
      <c r="A15" s="34">
        <v>41838</v>
      </c>
      <c r="B15">
        <v>17.8</v>
      </c>
      <c r="C15">
        <v>17.84</v>
      </c>
      <c r="D15">
        <v>17.649999999999999</v>
      </c>
      <c r="E15">
        <v>17.72</v>
      </c>
      <c r="F15">
        <v>24838800</v>
      </c>
      <c r="G15">
        <v>17.59</v>
      </c>
    </row>
    <row r="16" spans="1:7" x14ac:dyDescent="0.25">
      <c r="A16" s="34">
        <v>41841</v>
      </c>
      <c r="B16">
        <v>17.649999999999999</v>
      </c>
      <c r="C16">
        <v>17.899999999999999</v>
      </c>
      <c r="D16">
        <v>17.649999999999999</v>
      </c>
      <c r="E16">
        <v>17.7</v>
      </c>
      <c r="F16">
        <v>19197700</v>
      </c>
      <c r="G16">
        <v>17.57</v>
      </c>
    </row>
    <row r="17" spans="1:7" x14ac:dyDescent="0.25">
      <c r="A17" s="34">
        <v>41842</v>
      </c>
      <c r="B17">
        <v>17.77</v>
      </c>
      <c r="C17">
        <v>17.86</v>
      </c>
      <c r="D17">
        <v>17.670000000000002</v>
      </c>
      <c r="E17">
        <v>17.82</v>
      </c>
      <c r="F17">
        <v>24546100</v>
      </c>
      <c r="G17">
        <v>17.690000000000001</v>
      </c>
    </row>
    <row r="18" spans="1:7" x14ac:dyDescent="0.25">
      <c r="A18" s="34">
        <v>41843</v>
      </c>
      <c r="B18">
        <v>17.829999999999998</v>
      </c>
      <c r="C18">
        <v>17.95</v>
      </c>
      <c r="D18">
        <v>17.78</v>
      </c>
      <c r="E18">
        <v>17.78</v>
      </c>
      <c r="F18">
        <v>30932500</v>
      </c>
      <c r="G18">
        <v>17.649999999999999</v>
      </c>
    </row>
    <row r="19" spans="1:7" x14ac:dyDescent="0.25">
      <c r="A19" s="34">
        <v>41844</v>
      </c>
      <c r="B19">
        <v>18.010000000000002</v>
      </c>
      <c r="C19">
        <v>18.12</v>
      </c>
      <c r="D19">
        <v>17.68</v>
      </c>
      <c r="E19">
        <v>17.84</v>
      </c>
      <c r="F19">
        <v>53838000</v>
      </c>
      <c r="G19">
        <v>17.71</v>
      </c>
    </row>
    <row r="20" spans="1:7" x14ac:dyDescent="0.25">
      <c r="A20" s="34">
        <v>41845</v>
      </c>
      <c r="B20">
        <v>17.899999999999999</v>
      </c>
      <c r="C20">
        <v>17.920000000000002</v>
      </c>
      <c r="D20">
        <v>17.510000000000002</v>
      </c>
      <c r="E20">
        <v>17.62</v>
      </c>
      <c r="F20">
        <v>34499800</v>
      </c>
      <c r="G20">
        <v>17.489999999999998</v>
      </c>
    </row>
    <row r="21" spans="1:7" x14ac:dyDescent="0.25">
      <c r="A21" s="34">
        <v>41848</v>
      </c>
      <c r="B21">
        <v>17.62</v>
      </c>
      <c r="C21">
        <v>17.71</v>
      </c>
      <c r="D21">
        <v>17.47</v>
      </c>
      <c r="E21">
        <v>17.64</v>
      </c>
      <c r="F21">
        <v>29662100</v>
      </c>
      <c r="G21">
        <v>17.510000000000002</v>
      </c>
    </row>
    <row r="22" spans="1:7" x14ac:dyDescent="0.25">
      <c r="A22" s="34">
        <v>41849</v>
      </c>
      <c r="B22">
        <v>17.649999999999999</v>
      </c>
      <c r="C22">
        <v>17.850000000000001</v>
      </c>
      <c r="D22">
        <v>17.54</v>
      </c>
      <c r="E22">
        <v>17.57</v>
      </c>
      <c r="F22">
        <v>32972800</v>
      </c>
      <c r="G22">
        <v>17.440000000000001</v>
      </c>
    </row>
    <row r="23" spans="1:7" x14ac:dyDescent="0.25">
      <c r="A23" s="34">
        <v>41850</v>
      </c>
      <c r="B23">
        <v>17.52</v>
      </c>
      <c r="C23">
        <v>17.600000000000001</v>
      </c>
      <c r="D23">
        <v>17.32</v>
      </c>
      <c r="E23">
        <v>17.46</v>
      </c>
      <c r="F23">
        <v>30169700</v>
      </c>
      <c r="G23">
        <v>17.46</v>
      </c>
    </row>
    <row r="24" spans="1:7" x14ac:dyDescent="0.25">
      <c r="A24" s="34">
        <v>41851</v>
      </c>
      <c r="B24">
        <v>17.3</v>
      </c>
      <c r="C24">
        <v>17.329999999999998</v>
      </c>
      <c r="D24">
        <v>17.010000000000002</v>
      </c>
      <c r="E24">
        <v>17.02</v>
      </c>
      <c r="F24">
        <v>34170600</v>
      </c>
      <c r="G24">
        <v>17.02</v>
      </c>
    </row>
    <row r="25" spans="1:7" x14ac:dyDescent="0.25">
      <c r="A25" s="34">
        <v>41852</v>
      </c>
      <c r="B25">
        <v>17.05</v>
      </c>
      <c r="C25">
        <v>17.18</v>
      </c>
      <c r="D25">
        <v>16.72</v>
      </c>
      <c r="E25">
        <v>16.809999999999999</v>
      </c>
      <c r="F25">
        <v>33678000</v>
      </c>
      <c r="G25">
        <v>16.809999999999999</v>
      </c>
    </row>
    <row r="26" spans="1:7" x14ac:dyDescent="0.25">
      <c r="A26" s="34">
        <v>41855</v>
      </c>
      <c r="B26">
        <v>16.96</v>
      </c>
      <c r="C26">
        <v>17.14</v>
      </c>
      <c r="D26">
        <v>16.940000000000001</v>
      </c>
      <c r="E26">
        <v>17.02</v>
      </c>
      <c r="F26">
        <v>24871300</v>
      </c>
      <c r="G26">
        <v>17.02</v>
      </c>
    </row>
    <row r="27" spans="1:7" x14ac:dyDescent="0.25">
      <c r="A27" s="34">
        <v>41856</v>
      </c>
      <c r="B27">
        <v>16.940000000000001</v>
      </c>
      <c r="C27">
        <v>17.14</v>
      </c>
      <c r="D27">
        <v>16.78</v>
      </c>
      <c r="E27">
        <v>16.87</v>
      </c>
      <c r="F27">
        <v>24843500</v>
      </c>
      <c r="G27">
        <v>16.87</v>
      </c>
    </row>
    <row r="28" spans="1:7" x14ac:dyDescent="0.25">
      <c r="A28" s="34">
        <v>41857</v>
      </c>
      <c r="B28">
        <v>16.739999999999998</v>
      </c>
      <c r="C28">
        <v>17.079999999999998</v>
      </c>
      <c r="D28">
        <v>16.739999999999998</v>
      </c>
      <c r="E28">
        <v>16.98</v>
      </c>
      <c r="F28">
        <v>21872900</v>
      </c>
      <c r="G28">
        <v>16.98</v>
      </c>
    </row>
    <row r="29" spans="1:7" x14ac:dyDescent="0.25">
      <c r="A29" s="34">
        <v>41858</v>
      </c>
      <c r="B29">
        <v>17.04</v>
      </c>
      <c r="C29">
        <v>17.100000000000001</v>
      </c>
      <c r="D29">
        <v>16.77</v>
      </c>
      <c r="E29">
        <v>16.82</v>
      </c>
      <c r="F29">
        <v>19997700</v>
      </c>
      <c r="G29">
        <v>16.82</v>
      </c>
    </row>
    <row r="30" spans="1:7" x14ac:dyDescent="0.25">
      <c r="A30" s="34">
        <v>41859</v>
      </c>
      <c r="B30">
        <v>16.8</v>
      </c>
      <c r="C30">
        <v>17.12</v>
      </c>
      <c r="D30">
        <v>16.75</v>
      </c>
      <c r="E30">
        <v>17.09</v>
      </c>
      <c r="F30">
        <v>29370400</v>
      </c>
      <c r="G30">
        <v>17.09</v>
      </c>
    </row>
    <row r="31" spans="1:7" x14ac:dyDescent="0.25">
      <c r="A31" s="34">
        <v>41862</v>
      </c>
      <c r="B31">
        <v>17.170000000000002</v>
      </c>
      <c r="C31">
        <v>17.25</v>
      </c>
      <c r="D31">
        <v>17.11</v>
      </c>
      <c r="E31">
        <v>17.170000000000002</v>
      </c>
      <c r="F31">
        <v>17814900</v>
      </c>
      <c r="G31">
        <v>17.170000000000002</v>
      </c>
    </row>
    <row r="32" spans="1:7" x14ac:dyDescent="0.25">
      <c r="A32" s="34">
        <v>41863</v>
      </c>
      <c r="B32">
        <v>17.149999999999999</v>
      </c>
      <c r="C32">
        <v>17.41</v>
      </c>
      <c r="D32">
        <v>17.14</v>
      </c>
      <c r="E32">
        <v>17.21</v>
      </c>
      <c r="F32">
        <v>25514800</v>
      </c>
      <c r="G32">
        <v>17.21</v>
      </c>
    </row>
    <row r="33" spans="1:7" x14ac:dyDescent="0.25">
      <c r="A33" s="34">
        <v>41864</v>
      </c>
      <c r="B33">
        <v>17.48</v>
      </c>
      <c r="C33">
        <v>17.48</v>
      </c>
      <c r="D33">
        <v>17.32</v>
      </c>
      <c r="E33">
        <v>17.420000000000002</v>
      </c>
      <c r="F33">
        <v>26177800</v>
      </c>
      <c r="G33">
        <v>17.420000000000002</v>
      </c>
    </row>
    <row r="34" spans="1:7" x14ac:dyDescent="0.25">
      <c r="A34" s="34">
        <v>41865</v>
      </c>
      <c r="B34">
        <v>17.399999999999999</v>
      </c>
      <c r="C34">
        <v>17.48</v>
      </c>
      <c r="D34">
        <v>17.23</v>
      </c>
      <c r="E34">
        <v>17.43</v>
      </c>
      <c r="F34">
        <v>19733500</v>
      </c>
      <c r="G34">
        <v>17.43</v>
      </c>
    </row>
    <row r="35" spans="1:7" x14ac:dyDescent="0.25">
      <c r="A35" s="34">
        <v>41866</v>
      </c>
      <c r="B35">
        <v>17.489999999999998</v>
      </c>
      <c r="C35">
        <v>17.489999999999998</v>
      </c>
      <c r="D35">
        <v>17.170000000000002</v>
      </c>
      <c r="E35">
        <v>17.309999999999999</v>
      </c>
      <c r="F35">
        <v>20958100</v>
      </c>
      <c r="G35">
        <v>17.309999999999999</v>
      </c>
    </row>
    <row r="36" spans="1:7" x14ac:dyDescent="0.25">
      <c r="A36" s="34">
        <v>41869</v>
      </c>
      <c r="B36">
        <v>17.38</v>
      </c>
      <c r="C36">
        <v>17.52</v>
      </c>
      <c r="D36">
        <v>17.38</v>
      </c>
      <c r="E36">
        <v>17.43</v>
      </c>
      <c r="F36">
        <v>17174900</v>
      </c>
      <c r="G36">
        <v>17.43</v>
      </c>
    </row>
    <row r="37" spans="1:7" x14ac:dyDescent="0.25">
      <c r="A37" s="34">
        <v>41870</v>
      </c>
      <c r="B37">
        <v>17.510000000000002</v>
      </c>
      <c r="C37">
        <v>17.52</v>
      </c>
      <c r="D37">
        <v>17.32</v>
      </c>
      <c r="E37">
        <v>17.36</v>
      </c>
      <c r="F37">
        <v>15899400</v>
      </c>
      <c r="G37">
        <v>17.36</v>
      </c>
    </row>
    <row r="38" spans="1:7" x14ac:dyDescent="0.25">
      <c r="A38" s="34">
        <v>41871</v>
      </c>
      <c r="B38">
        <v>17.350000000000001</v>
      </c>
      <c r="C38">
        <v>17.43</v>
      </c>
      <c r="D38">
        <v>17.25</v>
      </c>
      <c r="E38">
        <v>17.41</v>
      </c>
      <c r="F38">
        <v>14204600</v>
      </c>
      <c r="G38">
        <v>17.41</v>
      </c>
    </row>
    <row r="39" spans="1:7" x14ac:dyDescent="0.25">
      <c r="A39" s="34">
        <v>41872</v>
      </c>
      <c r="B39">
        <v>17.43</v>
      </c>
      <c r="C39">
        <v>17.489999999999998</v>
      </c>
      <c r="D39">
        <v>17.37</v>
      </c>
      <c r="E39">
        <v>17.399999999999999</v>
      </c>
      <c r="F39">
        <v>15018700</v>
      </c>
      <c r="G39">
        <v>17.399999999999999</v>
      </c>
    </row>
    <row r="40" spans="1:7" x14ac:dyDescent="0.25">
      <c r="A40" s="34">
        <v>41873</v>
      </c>
      <c r="B40">
        <v>17.32</v>
      </c>
      <c r="C40">
        <v>17.39</v>
      </c>
      <c r="D40">
        <v>17.149999999999999</v>
      </c>
      <c r="E40">
        <v>17.170000000000002</v>
      </c>
      <c r="F40">
        <v>20247000</v>
      </c>
      <c r="G40">
        <v>17.170000000000002</v>
      </c>
    </row>
    <row r="41" spans="1:7" x14ac:dyDescent="0.25">
      <c r="A41" s="34">
        <v>41876</v>
      </c>
      <c r="B41">
        <v>17.21</v>
      </c>
      <c r="C41">
        <v>17.29</v>
      </c>
      <c r="D41">
        <v>17.2</v>
      </c>
      <c r="E41">
        <v>17.23</v>
      </c>
      <c r="F41">
        <v>10726100</v>
      </c>
      <c r="G41">
        <v>17.23</v>
      </c>
    </row>
    <row r="42" spans="1:7" x14ac:dyDescent="0.25">
      <c r="A42" s="34">
        <v>41877</v>
      </c>
      <c r="B42">
        <v>17.260000000000002</v>
      </c>
      <c r="C42">
        <v>17.350000000000001</v>
      </c>
      <c r="D42">
        <v>17.190000000000001</v>
      </c>
      <c r="E42">
        <v>17.190000000000001</v>
      </c>
      <c r="F42">
        <v>12018200</v>
      </c>
      <c r="G42">
        <v>17.190000000000001</v>
      </c>
    </row>
    <row r="43" spans="1:7" x14ac:dyDescent="0.25">
      <c r="A43" s="34">
        <v>41878</v>
      </c>
      <c r="B43">
        <v>17.23</v>
      </c>
      <c r="C43">
        <v>17.399999999999999</v>
      </c>
      <c r="D43">
        <v>17.21</v>
      </c>
      <c r="E43">
        <v>17.36</v>
      </c>
      <c r="F43">
        <v>18022900</v>
      </c>
      <c r="G43">
        <v>17.36</v>
      </c>
    </row>
    <row r="44" spans="1:7" x14ac:dyDescent="0.25">
      <c r="A44" s="34">
        <v>41879</v>
      </c>
      <c r="B44">
        <v>17.27</v>
      </c>
      <c r="C44">
        <v>17.45</v>
      </c>
      <c r="D44">
        <v>17.21</v>
      </c>
      <c r="E44">
        <v>17.420000000000002</v>
      </c>
      <c r="F44">
        <v>16812900</v>
      </c>
      <c r="G44">
        <v>17.420000000000002</v>
      </c>
    </row>
    <row r="45" spans="1:7" x14ac:dyDescent="0.25">
      <c r="A45" s="34">
        <v>41880</v>
      </c>
      <c r="B45">
        <v>17.47</v>
      </c>
      <c r="C45">
        <v>17.489999999999998</v>
      </c>
      <c r="D45">
        <v>17.39</v>
      </c>
      <c r="E45">
        <v>17.41</v>
      </c>
      <c r="F45">
        <v>15373400</v>
      </c>
      <c r="G45">
        <v>17.41</v>
      </c>
    </row>
    <row r="46" spans="1:7" x14ac:dyDescent="0.25">
      <c r="A46" s="34">
        <v>41884</v>
      </c>
      <c r="B46">
        <v>17.48</v>
      </c>
      <c r="C46">
        <v>17.62</v>
      </c>
      <c r="D46">
        <v>17.48</v>
      </c>
      <c r="E46">
        <v>17.600000000000001</v>
      </c>
      <c r="F46">
        <v>18403300</v>
      </c>
      <c r="G46">
        <v>17.600000000000001</v>
      </c>
    </row>
    <row r="47" spans="1:7" x14ac:dyDescent="0.25">
      <c r="A47" s="34">
        <v>41885</v>
      </c>
      <c r="B47">
        <v>17.71</v>
      </c>
      <c r="C47">
        <v>17.87</v>
      </c>
      <c r="D47">
        <v>17.440000000000001</v>
      </c>
      <c r="E47">
        <v>17.47</v>
      </c>
      <c r="F47">
        <v>25606700</v>
      </c>
      <c r="G47">
        <v>17.47</v>
      </c>
    </row>
    <row r="48" spans="1:7" x14ac:dyDescent="0.25">
      <c r="A48" s="34">
        <v>41886</v>
      </c>
      <c r="B48">
        <v>17.46</v>
      </c>
      <c r="C48">
        <v>17.63</v>
      </c>
      <c r="D48">
        <v>17.190000000000001</v>
      </c>
      <c r="E48">
        <v>17.27</v>
      </c>
      <c r="F48">
        <v>20599800</v>
      </c>
      <c r="G48">
        <v>17.27</v>
      </c>
    </row>
    <row r="49" spans="1:7" x14ac:dyDescent="0.25">
      <c r="A49" s="34">
        <v>41887</v>
      </c>
      <c r="B49">
        <v>17.3</v>
      </c>
      <c r="C49">
        <v>17.3</v>
      </c>
      <c r="D49">
        <v>16.940000000000001</v>
      </c>
      <c r="E49">
        <v>17.14</v>
      </c>
      <c r="F49">
        <v>29703800</v>
      </c>
      <c r="G49">
        <v>17.14</v>
      </c>
    </row>
    <row r="50" spans="1:7" x14ac:dyDescent="0.25">
      <c r="A50" s="34">
        <v>41890</v>
      </c>
      <c r="B50">
        <v>16.739999999999998</v>
      </c>
      <c r="C50">
        <v>16.87</v>
      </c>
      <c r="D50">
        <v>16.71</v>
      </c>
      <c r="E50">
        <v>16.8</v>
      </c>
      <c r="F50">
        <v>47350600</v>
      </c>
      <c r="G50">
        <v>16.8</v>
      </c>
    </row>
    <row r="51" spans="1:7" x14ac:dyDescent="0.25">
      <c r="A51" s="34">
        <v>41891</v>
      </c>
      <c r="B51">
        <v>16.79</v>
      </c>
      <c r="C51">
        <v>16.82</v>
      </c>
      <c r="D51">
        <v>16.59</v>
      </c>
      <c r="E51">
        <v>16.63</v>
      </c>
      <c r="F51">
        <v>26569700</v>
      </c>
      <c r="G51">
        <v>16.63</v>
      </c>
    </row>
    <row r="52" spans="1:7" x14ac:dyDescent="0.25">
      <c r="A52" s="34">
        <v>41892</v>
      </c>
      <c r="B52">
        <v>16.649999999999999</v>
      </c>
      <c r="C52">
        <v>16.72</v>
      </c>
      <c r="D52">
        <v>16.61</v>
      </c>
      <c r="E52">
        <v>16.63</v>
      </c>
      <c r="F52">
        <v>16632200</v>
      </c>
      <c r="G52">
        <v>16.63</v>
      </c>
    </row>
    <row r="53" spans="1:7" x14ac:dyDescent="0.25">
      <c r="A53" s="34">
        <v>41893</v>
      </c>
      <c r="B53">
        <v>16.59</v>
      </c>
      <c r="C53">
        <v>16.670000000000002</v>
      </c>
      <c r="D53">
        <v>16.510000000000002</v>
      </c>
      <c r="E53">
        <v>16.66</v>
      </c>
      <c r="F53">
        <v>14658900</v>
      </c>
      <c r="G53">
        <v>16.66</v>
      </c>
    </row>
    <row r="54" spans="1:7" x14ac:dyDescent="0.25">
      <c r="A54" s="34">
        <v>41894</v>
      </c>
      <c r="B54">
        <v>16.64</v>
      </c>
      <c r="C54">
        <v>16.68</v>
      </c>
      <c r="D54">
        <v>16.5</v>
      </c>
      <c r="E54">
        <v>16.59</v>
      </c>
      <c r="F54">
        <v>16470100</v>
      </c>
      <c r="G54">
        <v>16.59</v>
      </c>
    </row>
    <row r="55" spans="1:7" x14ac:dyDescent="0.25">
      <c r="A55" s="34">
        <v>41897</v>
      </c>
      <c r="B55">
        <v>16.559999999999999</v>
      </c>
      <c r="C55">
        <v>16.62</v>
      </c>
      <c r="D55">
        <v>16.420000000000002</v>
      </c>
      <c r="E55">
        <v>16.47</v>
      </c>
      <c r="F55">
        <v>23630500</v>
      </c>
      <c r="G55">
        <v>16.47</v>
      </c>
    </row>
  </sheetData>
  <sortState ref="A3:G55">
    <sortCondition ref="A3:A55"/>
  </sortState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67.58</v>
      </c>
      <c r="C3">
        <v>68.44</v>
      </c>
      <c r="D3">
        <v>67.39</v>
      </c>
      <c r="E3">
        <v>68.06</v>
      </c>
      <c r="F3">
        <v>33166100</v>
      </c>
      <c r="G3">
        <v>68.06</v>
      </c>
    </row>
    <row r="4" spans="1:7" x14ac:dyDescent="0.25">
      <c r="A4" s="34">
        <v>41822</v>
      </c>
      <c r="B4">
        <v>68.040000000000006</v>
      </c>
      <c r="C4">
        <v>68.3</v>
      </c>
      <c r="D4">
        <v>65.790000000000006</v>
      </c>
      <c r="E4">
        <v>66.45</v>
      </c>
      <c r="F4">
        <v>41805900</v>
      </c>
      <c r="G4">
        <v>66.45</v>
      </c>
    </row>
    <row r="5" spans="1:7" x14ac:dyDescent="0.25">
      <c r="A5" s="34">
        <v>41823</v>
      </c>
      <c r="B5">
        <v>66.86</v>
      </c>
      <c r="C5">
        <v>67</v>
      </c>
      <c r="D5">
        <v>65.760000000000005</v>
      </c>
      <c r="E5">
        <v>66.290000000000006</v>
      </c>
      <c r="F5">
        <v>25203200</v>
      </c>
      <c r="G5">
        <v>66.290000000000006</v>
      </c>
    </row>
    <row r="6" spans="1:7" x14ac:dyDescent="0.25">
      <c r="A6" s="34">
        <v>41827</v>
      </c>
      <c r="B6">
        <v>66.3</v>
      </c>
      <c r="C6">
        <v>66.569999999999993</v>
      </c>
      <c r="D6">
        <v>65.12</v>
      </c>
      <c r="E6">
        <v>65.290000000000006</v>
      </c>
      <c r="F6">
        <v>28707100</v>
      </c>
      <c r="G6">
        <v>65.290000000000006</v>
      </c>
    </row>
    <row r="7" spans="1:7" x14ac:dyDescent="0.25">
      <c r="A7" s="34">
        <v>41828</v>
      </c>
      <c r="B7">
        <v>65.06</v>
      </c>
      <c r="C7">
        <v>65.56</v>
      </c>
      <c r="D7">
        <v>62.21</v>
      </c>
      <c r="E7">
        <v>62.76</v>
      </c>
      <c r="F7">
        <v>68855600</v>
      </c>
      <c r="G7">
        <v>62.76</v>
      </c>
    </row>
    <row r="8" spans="1:7" x14ac:dyDescent="0.25">
      <c r="A8" s="34">
        <v>41829</v>
      </c>
      <c r="B8">
        <v>63.41</v>
      </c>
      <c r="C8">
        <v>65.12</v>
      </c>
      <c r="D8">
        <v>63.15</v>
      </c>
      <c r="E8">
        <v>64.97</v>
      </c>
      <c r="F8">
        <v>51378000</v>
      </c>
      <c r="G8">
        <v>64.97</v>
      </c>
    </row>
    <row r="9" spans="1:7" x14ac:dyDescent="0.25">
      <c r="A9" s="34">
        <v>41830</v>
      </c>
      <c r="B9">
        <v>63.31</v>
      </c>
      <c r="C9">
        <v>65.34</v>
      </c>
      <c r="D9">
        <v>63.05</v>
      </c>
      <c r="E9">
        <v>64.87</v>
      </c>
      <c r="F9">
        <v>44388200</v>
      </c>
      <c r="G9">
        <v>64.87</v>
      </c>
    </row>
    <row r="10" spans="1:7" x14ac:dyDescent="0.25">
      <c r="A10" s="34">
        <v>41831</v>
      </c>
      <c r="B10">
        <v>65.28</v>
      </c>
      <c r="C10">
        <v>66.59</v>
      </c>
      <c r="D10">
        <v>64.790000000000006</v>
      </c>
      <c r="E10">
        <v>66.34</v>
      </c>
      <c r="F10">
        <v>39167800</v>
      </c>
      <c r="G10">
        <v>66.34</v>
      </c>
    </row>
    <row r="11" spans="1:7" x14ac:dyDescent="0.25">
      <c r="A11" s="34">
        <v>41834</v>
      </c>
      <c r="B11">
        <v>67.13</v>
      </c>
      <c r="C11">
        <v>68.17</v>
      </c>
      <c r="D11">
        <v>66.900000000000006</v>
      </c>
      <c r="E11">
        <v>67.900000000000006</v>
      </c>
      <c r="F11">
        <v>38468000</v>
      </c>
      <c r="G11">
        <v>67.900000000000006</v>
      </c>
    </row>
    <row r="12" spans="1:7" x14ac:dyDescent="0.25">
      <c r="A12" s="34">
        <v>41835</v>
      </c>
      <c r="B12">
        <v>67.959999999999994</v>
      </c>
      <c r="C12">
        <v>68.09</v>
      </c>
      <c r="D12">
        <v>66.260000000000005</v>
      </c>
      <c r="E12">
        <v>67.17</v>
      </c>
      <c r="F12">
        <v>44213200</v>
      </c>
      <c r="G12">
        <v>67.17</v>
      </c>
    </row>
    <row r="13" spans="1:7" x14ac:dyDescent="0.25">
      <c r="A13" s="34">
        <v>41836</v>
      </c>
      <c r="B13">
        <v>67.540000000000006</v>
      </c>
      <c r="C13">
        <v>67.94</v>
      </c>
      <c r="D13">
        <v>67.069999999999993</v>
      </c>
      <c r="E13">
        <v>67.66</v>
      </c>
      <c r="F13">
        <v>29541600</v>
      </c>
      <c r="G13">
        <v>67.66</v>
      </c>
    </row>
    <row r="14" spans="1:7" x14ac:dyDescent="0.25">
      <c r="A14" s="34">
        <v>41837</v>
      </c>
      <c r="B14">
        <v>67.03</v>
      </c>
      <c r="C14">
        <v>67.849999999999994</v>
      </c>
      <c r="D14">
        <v>66.040000000000006</v>
      </c>
      <c r="E14">
        <v>66.41</v>
      </c>
      <c r="F14">
        <v>38024200</v>
      </c>
      <c r="G14">
        <v>66.41</v>
      </c>
    </row>
    <row r="15" spans="1:7" x14ac:dyDescent="0.25">
      <c r="A15" s="34">
        <v>41838</v>
      </c>
      <c r="B15">
        <v>66.8</v>
      </c>
      <c r="C15">
        <v>68.459999999999994</v>
      </c>
      <c r="D15">
        <v>66.16</v>
      </c>
      <c r="E15">
        <v>68.42</v>
      </c>
      <c r="F15">
        <v>42262200</v>
      </c>
      <c r="G15">
        <v>68.42</v>
      </c>
    </row>
    <row r="16" spans="1:7" x14ac:dyDescent="0.25">
      <c r="A16" s="34">
        <v>41841</v>
      </c>
      <c r="B16">
        <v>68.81</v>
      </c>
      <c r="C16">
        <v>69.959999999999994</v>
      </c>
      <c r="D16">
        <v>68.5</v>
      </c>
      <c r="E16">
        <v>69.400000000000006</v>
      </c>
      <c r="F16">
        <v>49431600</v>
      </c>
      <c r="G16">
        <v>69.400000000000006</v>
      </c>
    </row>
    <row r="17" spans="1:7" x14ac:dyDescent="0.25">
      <c r="A17" s="34">
        <v>41842</v>
      </c>
      <c r="B17">
        <v>69.760000000000005</v>
      </c>
      <c r="C17">
        <v>69.77</v>
      </c>
      <c r="D17">
        <v>68.61</v>
      </c>
      <c r="E17">
        <v>69.27</v>
      </c>
      <c r="F17">
        <v>40301800</v>
      </c>
      <c r="G17">
        <v>69.27</v>
      </c>
    </row>
    <row r="18" spans="1:7" x14ac:dyDescent="0.25">
      <c r="A18" s="34">
        <v>41843</v>
      </c>
      <c r="B18">
        <v>69.739999999999995</v>
      </c>
      <c r="C18">
        <v>71.33</v>
      </c>
      <c r="D18">
        <v>69.61</v>
      </c>
      <c r="E18">
        <v>71.290000000000006</v>
      </c>
      <c r="F18">
        <v>77435900</v>
      </c>
      <c r="G18">
        <v>71.290000000000006</v>
      </c>
    </row>
    <row r="19" spans="1:7" x14ac:dyDescent="0.25">
      <c r="A19" s="34">
        <v>41844</v>
      </c>
      <c r="B19">
        <v>75.959999999999994</v>
      </c>
      <c r="C19">
        <v>76.739999999999995</v>
      </c>
      <c r="D19">
        <v>74.510000000000005</v>
      </c>
      <c r="E19">
        <v>74.98</v>
      </c>
      <c r="F19">
        <v>124006900</v>
      </c>
      <c r="G19">
        <v>74.98</v>
      </c>
    </row>
    <row r="20" spans="1:7" x14ac:dyDescent="0.25">
      <c r="A20" s="34">
        <v>41845</v>
      </c>
      <c r="B20">
        <v>74.989999999999995</v>
      </c>
      <c r="C20">
        <v>75.67</v>
      </c>
      <c r="D20">
        <v>74.66</v>
      </c>
      <c r="E20">
        <v>75.19</v>
      </c>
      <c r="F20">
        <v>45823100</v>
      </c>
      <c r="G20">
        <v>75.19</v>
      </c>
    </row>
    <row r="21" spans="1:7" x14ac:dyDescent="0.25">
      <c r="A21" s="34">
        <v>41848</v>
      </c>
      <c r="B21">
        <v>75.17</v>
      </c>
      <c r="C21">
        <v>75.5</v>
      </c>
      <c r="D21">
        <v>73.849999999999994</v>
      </c>
      <c r="E21">
        <v>74.92</v>
      </c>
      <c r="F21">
        <v>41640000</v>
      </c>
      <c r="G21">
        <v>74.92</v>
      </c>
    </row>
    <row r="22" spans="1:7" x14ac:dyDescent="0.25">
      <c r="A22" s="34">
        <v>41849</v>
      </c>
      <c r="B22">
        <v>74.72</v>
      </c>
      <c r="C22">
        <v>74.92</v>
      </c>
      <c r="D22">
        <v>73.42</v>
      </c>
      <c r="E22">
        <v>73.709999999999994</v>
      </c>
      <c r="F22">
        <v>41126900</v>
      </c>
      <c r="G22">
        <v>73.709999999999994</v>
      </c>
    </row>
    <row r="23" spans="1:7" x14ac:dyDescent="0.25">
      <c r="A23" s="34">
        <v>41850</v>
      </c>
      <c r="B23">
        <v>74.209999999999994</v>
      </c>
      <c r="C23">
        <v>75.19</v>
      </c>
      <c r="D23">
        <v>74.13</v>
      </c>
      <c r="E23">
        <v>74.680000000000007</v>
      </c>
      <c r="F23">
        <v>36823000</v>
      </c>
      <c r="G23">
        <v>74.680000000000007</v>
      </c>
    </row>
    <row r="24" spans="1:7" x14ac:dyDescent="0.25">
      <c r="A24" s="34">
        <v>41851</v>
      </c>
      <c r="B24">
        <v>74</v>
      </c>
      <c r="C24">
        <v>74.17</v>
      </c>
      <c r="D24">
        <v>72.44</v>
      </c>
      <c r="E24">
        <v>72.650000000000006</v>
      </c>
      <c r="F24">
        <v>43909200</v>
      </c>
      <c r="G24">
        <v>72.650000000000006</v>
      </c>
    </row>
    <row r="25" spans="1:7" x14ac:dyDescent="0.25">
      <c r="A25" s="34">
        <v>41852</v>
      </c>
      <c r="B25">
        <v>72.22</v>
      </c>
      <c r="C25">
        <v>73.22</v>
      </c>
      <c r="D25">
        <v>71.55</v>
      </c>
      <c r="E25">
        <v>72.36</v>
      </c>
      <c r="F25">
        <v>43456400</v>
      </c>
      <c r="G25">
        <v>72.36</v>
      </c>
    </row>
    <row r="26" spans="1:7" x14ac:dyDescent="0.25">
      <c r="A26" s="34">
        <v>41855</v>
      </c>
      <c r="B26">
        <v>72.36</v>
      </c>
      <c r="C26">
        <v>73.88</v>
      </c>
      <c r="D26">
        <v>72.36</v>
      </c>
      <c r="E26">
        <v>73.510000000000005</v>
      </c>
      <c r="F26">
        <v>30656900</v>
      </c>
      <c r="G26">
        <v>73.510000000000005</v>
      </c>
    </row>
    <row r="27" spans="1:7" x14ac:dyDescent="0.25">
      <c r="A27" s="34">
        <v>41856</v>
      </c>
      <c r="B27">
        <v>73.2</v>
      </c>
      <c r="C27">
        <v>73.59</v>
      </c>
      <c r="D27">
        <v>72.180000000000007</v>
      </c>
      <c r="E27">
        <v>72.69</v>
      </c>
      <c r="F27">
        <v>34820400</v>
      </c>
      <c r="G27">
        <v>72.69</v>
      </c>
    </row>
    <row r="28" spans="1:7" x14ac:dyDescent="0.25">
      <c r="A28" s="34">
        <v>41857</v>
      </c>
      <c r="B28">
        <v>72.02</v>
      </c>
      <c r="C28">
        <v>73.72</v>
      </c>
      <c r="D28">
        <v>71.790000000000006</v>
      </c>
      <c r="E28">
        <v>72.47</v>
      </c>
      <c r="F28">
        <v>30940200</v>
      </c>
      <c r="G28">
        <v>72.47</v>
      </c>
    </row>
    <row r="29" spans="1:7" x14ac:dyDescent="0.25">
      <c r="A29" s="34">
        <v>41858</v>
      </c>
      <c r="B29">
        <v>73</v>
      </c>
      <c r="C29">
        <v>74</v>
      </c>
      <c r="D29">
        <v>72.7</v>
      </c>
      <c r="E29">
        <v>73.17</v>
      </c>
      <c r="F29">
        <v>38093400</v>
      </c>
      <c r="G29">
        <v>73.17</v>
      </c>
    </row>
    <row r="30" spans="1:7" x14ac:dyDescent="0.25">
      <c r="A30" s="34">
        <v>41859</v>
      </c>
      <c r="B30">
        <v>73.400000000000006</v>
      </c>
      <c r="C30">
        <v>73.430000000000007</v>
      </c>
      <c r="D30">
        <v>72.56</v>
      </c>
      <c r="E30">
        <v>73.06</v>
      </c>
      <c r="F30">
        <v>27155700</v>
      </c>
      <c r="G30">
        <v>73.06</v>
      </c>
    </row>
    <row r="31" spans="1:7" x14ac:dyDescent="0.25">
      <c r="A31" s="34">
        <v>41862</v>
      </c>
      <c r="B31">
        <v>73.459999999999994</v>
      </c>
      <c r="C31">
        <v>73.91</v>
      </c>
      <c r="D31">
        <v>73.06</v>
      </c>
      <c r="E31">
        <v>73.44</v>
      </c>
      <c r="F31">
        <v>24544100</v>
      </c>
      <c r="G31">
        <v>73.44</v>
      </c>
    </row>
    <row r="32" spans="1:7" x14ac:dyDescent="0.25">
      <c r="A32" s="34">
        <v>41863</v>
      </c>
      <c r="B32">
        <v>73.09</v>
      </c>
      <c r="C32">
        <v>73.33</v>
      </c>
      <c r="D32">
        <v>72.22</v>
      </c>
      <c r="E32">
        <v>72.83</v>
      </c>
      <c r="F32">
        <v>27374400</v>
      </c>
      <c r="G32">
        <v>72.83</v>
      </c>
    </row>
    <row r="33" spans="1:7" x14ac:dyDescent="0.25">
      <c r="A33" s="34">
        <v>41864</v>
      </c>
      <c r="B33">
        <v>73.12</v>
      </c>
      <c r="C33">
        <v>74.25</v>
      </c>
      <c r="D33">
        <v>73.05</v>
      </c>
      <c r="E33">
        <v>73.77</v>
      </c>
      <c r="F33">
        <v>29198500</v>
      </c>
      <c r="G33">
        <v>73.77</v>
      </c>
    </row>
    <row r="34" spans="1:7" x14ac:dyDescent="0.25">
      <c r="A34" s="34">
        <v>41865</v>
      </c>
      <c r="B34">
        <v>73.97</v>
      </c>
      <c r="C34">
        <v>74.38</v>
      </c>
      <c r="D34">
        <v>73.69</v>
      </c>
      <c r="E34">
        <v>74.3</v>
      </c>
      <c r="F34">
        <v>22182800</v>
      </c>
      <c r="G34">
        <v>74.3</v>
      </c>
    </row>
    <row r="35" spans="1:7" x14ac:dyDescent="0.25">
      <c r="A35" s="34">
        <v>41866</v>
      </c>
      <c r="B35">
        <v>74.319999999999993</v>
      </c>
      <c r="C35">
        <v>74.650000000000006</v>
      </c>
      <c r="D35">
        <v>73</v>
      </c>
      <c r="E35">
        <v>73.63</v>
      </c>
      <c r="F35">
        <v>38846600</v>
      </c>
      <c r="G35">
        <v>73.63</v>
      </c>
    </row>
    <row r="36" spans="1:7" x14ac:dyDescent="0.25">
      <c r="A36" s="34">
        <v>41869</v>
      </c>
      <c r="B36">
        <v>74</v>
      </c>
      <c r="C36">
        <v>74.72</v>
      </c>
      <c r="D36">
        <v>73.959999999999994</v>
      </c>
      <c r="E36">
        <v>74.59</v>
      </c>
      <c r="F36">
        <v>23913200</v>
      </c>
      <c r="G36">
        <v>74.59</v>
      </c>
    </row>
    <row r="37" spans="1:7" x14ac:dyDescent="0.25">
      <c r="A37" s="34">
        <v>41870</v>
      </c>
      <c r="B37">
        <v>74.81</v>
      </c>
      <c r="C37">
        <v>75.58</v>
      </c>
      <c r="D37">
        <v>74.510000000000005</v>
      </c>
      <c r="E37">
        <v>75.290000000000006</v>
      </c>
      <c r="F37">
        <v>26618600</v>
      </c>
      <c r="G37">
        <v>75.290000000000006</v>
      </c>
    </row>
    <row r="38" spans="1:7" x14ac:dyDescent="0.25">
      <c r="A38" s="34">
        <v>41871</v>
      </c>
      <c r="B38">
        <v>74.97</v>
      </c>
      <c r="C38">
        <v>75.180000000000007</v>
      </c>
      <c r="D38">
        <v>74.62</v>
      </c>
      <c r="E38">
        <v>74.81</v>
      </c>
      <c r="F38">
        <v>22878000</v>
      </c>
      <c r="G38">
        <v>74.81</v>
      </c>
    </row>
    <row r="39" spans="1:7" x14ac:dyDescent="0.25">
      <c r="A39" s="34">
        <v>41872</v>
      </c>
      <c r="B39">
        <v>74.92</v>
      </c>
      <c r="C39">
        <v>75.19</v>
      </c>
      <c r="D39">
        <v>74.41</v>
      </c>
      <c r="E39">
        <v>74.569999999999993</v>
      </c>
      <c r="F39">
        <v>20075900</v>
      </c>
      <c r="G39">
        <v>74.569999999999993</v>
      </c>
    </row>
    <row r="40" spans="1:7" x14ac:dyDescent="0.25">
      <c r="A40" s="34">
        <v>41873</v>
      </c>
      <c r="B40">
        <v>74.34</v>
      </c>
      <c r="C40">
        <v>74.73</v>
      </c>
      <c r="D40">
        <v>73.569999999999993</v>
      </c>
      <c r="E40">
        <v>74.569999999999993</v>
      </c>
      <c r="F40">
        <v>20874600</v>
      </c>
      <c r="G40">
        <v>74.569999999999993</v>
      </c>
    </row>
    <row r="41" spans="1:7" x14ac:dyDescent="0.25">
      <c r="A41" s="34">
        <v>41876</v>
      </c>
      <c r="B41">
        <v>74.94</v>
      </c>
      <c r="C41">
        <v>75.28</v>
      </c>
      <c r="D41">
        <v>74.790000000000006</v>
      </c>
      <c r="E41">
        <v>75.02</v>
      </c>
      <c r="F41">
        <v>19691100</v>
      </c>
      <c r="G41">
        <v>75.02</v>
      </c>
    </row>
    <row r="42" spans="1:7" x14ac:dyDescent="0.25">
      <c r="A42" s="34">
        <v>41877</v>
      </c>
      <c r="B42">
        <v>75</v>
      </c>
      <c r="C42">
        <v>75.989999999999995</v>
      </c>
      <c r="D42">
        <v>74.73</v>
      </c>
      <c r="E42">
        <v>75.959999999999994</v>
      </c>
      <c r="F42">
        <v>23886100</v>
      </c>
      <c r="G42">
        <v>75.959999999999994</v>
      </c>
    </row>
    <row r="43" spans="1:7" x14ac:dyDescent="0.25">
      <c r="A43" s="34">
        <v>41878</v>
      </c>
      <c r="B43">
        <v>75.27</v>
      </c>
      <c r="C43">
        <v>75.489999999999995</v>
      </c>
      <c r="D43">
        <v>74.459999999999994</v>
      </c>
      <c r="E43">
        <v>74.63</v>
      </c>
      <c r="F43">
        <v>36238700</v>
      </c>
      <c r="G43">
        <v>74.63</v>
      </c>
    </row>
    <row r="44" spans="1:7" x14ac:dyDescent="0.25">
      <c r="A44" s="34">
        <v>41879</v>
      </c>
      <c r="B44">
        <v>74</v>
      </c>
      <c r="C44">
        <v>74.430000000000007</v>
      </c>
      <c r="D44">
        <v>73.73</v>
      </c>
      <c r="E44">
        <v>73.86</v>
      </c>
      <c r="F44">
        <v>21922800</v>
      </c>
      <c r="G44">
        <v>73.86</v>
      </c>
    </row>
    <row r="45" spans="1:7" x14ac:dyDescent="0.25">
      <c r="A45" s="34">
        <v>41880</v>
      </c>
      <c r="B45">
        <v>74.3</v>
      </c>
      <c r="C45">
        <v>74.819999999999993</v>
      </c>
      <c r="D45">
        <v>74.010000000000005</v>
      </c>
      <c r="E45">
        <v>74.819999999999993</v>
      </c>
      <c r="F45">
        <v>26224300</v>
      </c>
      <c r="G45">
        <v>74.819999999999993</v>
      </c>
    </row>
    <row r="46" spans="1:7" x14ac:dyDescent="0.25">
      <c r="A46" s="34">
        <v>41884</v>
      </c>
      <c r="B46">
        <v>75.010000000000005</v>
      </c>
      <c r="C46">
        <v>76.7</v>
      </c>
      <c r="D46">
        <v>74.819999999999993</v>
      </c>
      <c r="E46">
        <v>76.680000000000007</v>
      </c>
      <c r="F46">
        <v>34785800</v>
      </c>
      <c r="G46">
        <v>76.680000000000007</v>
      </c>
    </row>
    <row r="47" spans="1:7" x14ac:dyDescent="0.25">
      <c r="A47" s="34">
        <v>41885</v>
      </c>
      <c r="B47">
        <v>77.14</v>
      </c>
      <c r="C47">
        <v>77.48</v>
      </c>
      <c r="D47">
        <v>75.599999999999994</v>
      </c>
      <c r="E47">
        <v>75.83</v>
      </c>
      <c r="F47">
        <v>32330200</v>
      </c>
      <c r="G47">
        <v>75.83</v>
      </c>
    </row>
    <row r="48" spans="1:7" x14ac:dyDescent="0.25">
      <c r="A48" s="34">
        <v>41886</v>
      </c>
      <c r="B48">
        <v>75.89</v>
      </c>
      <c r="C48">
        <v>76.930000000000007</v>
      </c>
      <c r="D48">
        <v>75.53</v>
      </c>
      <c r="E48">
        <v>75.95</v>
      </c>
      <c r="F48">
        <v>26625500</v>
      </c>
      <c r="G48">
        <v>75.95</v>
      </c>
    </row>
    <row r="49" spans="1:7" x14ac:dyDescent="0.25">
      <c r="A49" s="34">
        <v>41887</v>
      </c>
      <c r="B49">
        <v>76.099999999999994</v>
      </c>
      <c r="C49">
        <v>77.38</v>
      </c>
      <c r="D49">
        <v>75.599999999999994</v>
      </c>
      <c r="E49">
        <v>77.260000000000005</v>
      </c>
      <c r="F49">
        <v>29407300</v>
      </c>
      <c r="G49">
        <v>77.260000000000005</v>
      </c>
    </row>
    <row r="50" spans="1:7" x14ac:dyDescent="0.25">
      <c r="A50" s="34">
        <v>41890</v>
      </c>
      <c r="B50">
        <v>77.260000000000005</v>
      </c>
      <c r="C50">
        <v>78.17</v>
      </c>
      <c r="D50">
        <v>77.010000000000005</v>
      </c>
      <c r="E50">
        <v>77.89</v>
      </c>
      <c r="F50">
        <v>28149300</v>
      </c>
      <c r="G50">
        <v>77.89</v>
      </c>
    </row>
    <row r="51" spans="1:7" x14ac:dyDescent="0.25">
      <c r="A51" s="34">
        <v>41891</v>
      </c>
      <c r="B51">
        <v>77.59</v>
      </c>
      <c r="C51">
        <v>78.17</v>
      </c>
      <c r="D51">
        <v>76.2</v>
      </c>
      <c r="E51">
        <v>76.67</v>
      </c>
      <c r="F51">
        <v>28769300</v>
      </c>
      <c r="G51">
        <v>76.67</v>
      </c>
    </row>
    <row r="52" spans="1:7" x14ac:dyDescent="0.25">
      <c r="A52" s="34">
        <v>41892</v>
      </c>
      <c r="B52">
        <v>76.52</v>
      </c>
      <c r="C52">
        <v>77.95</v>
      </c>
      <c r="D52">
        <v>76.510000000000005</v>
      </c>
      <c r="E52">
        <v>77.430000000000007</v>
      </c>
      <c r="F52">
        <v>29864000</v>
      </c>
      <c r="G52">
        <v>77.430000000000007</v>
      </c>
    </row>
    <row r="53" spans="1:7" x14ac:dyDescent="0.25">
      <c r="A53" s="34">
        <v>41893</v>
      </c>
      <c r="B53">
        <v>77.13</v>
      </c>
      <c r="C53">
        <v>78.36</v>
      </c>
      <c r="D53">
        <v>77.05</v>
      </c>
      <c r="E53">
        <v>77.92</v>
      </c>
      <c r="F53">
        <v>32219000</v>
      </c>
      <c r="G53">
        <v>77.92</v>
      </c>
    </row>
    <row r="54" spans="1:7" x14ac:dyDescent="0.25">
      <c r="A54" s="34">
        <v>41894</v>
      </c>
      <c r="B54">
        <v>78.02</v>
      </c>
      <c r="C54">
        <v>78.3</v>
      </c>
      <c r="D54">
        <v>77.099999999999994</v>
      </c>
      <c r="E54">
        <v>77.48</v>
      </c>
      <c r="F54">
        <v>26676800</v>
      </c>
      <c r="G54">
        <v>77.48</v>
      </c>
    </row>
    <row r="55" spans="1:7" x14ac:dyDescent="0.25">
      <c r="A55" s="34">
        <v>41897</v>
      </c>
      <c r="B55">
        <v>77.150000000000006</v>
      </c>
      <c r="C55">
        <v>77.25</v>
      </c>
      <c r="D55">
        <v>73.430000000000007</v>
      </c>
      <c r="E55">
        <v>74.58</v>
      </c>
      <c r="F55">
        <v>49576900</v>
      </c>
      <c r="G55">
        <v>74.58</v>
      </c>
    </row>
  </sheetData>
  <sortState ref="A3:G55">
    <sortCondition ref="A3:A55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36.880000000000003</v>
      </c>
      <c r="C3">
        <v>37.32</v>
      </c>
      <c r="D3">
        <v>36.83</v>
      </c>
      <c r="E3">
        <v>36.85</v>
      </c>
      <c r="F3">
        <v>11556400</v>
      </c>
      <c r="G3">
        <v>36.549999999999997</v>
      </c>
    </row>
    <row r="4" spans="1:7" x14ac:dyDescent="0.25">
      <c r="A4" s="34">
        <v>41822</v>
      </c>
      <c r="B4">
        <v>37.03</v>
      </c>
      <c r="C4">
        <v>37.99</v>
      </c>
      <c r="D4">
        <v>36.99</v>
      </c>
      <c r="E4">
        <v>37.83</v>
      </c>
      <c r="F4">
        <v>14137300</v>
      </c>
      <c r="G4">
        <v>37.53</v>
      </c>
    </row>
    <row r="5" spans="1:7" x14ac:dyDescent="0.25">
      <c r="A5" s="34">
        <v>41823</v>
      </c>
      <c r="B5">
        <v>38.159999999999997</v>
      </c>
      <c r="C5">
        <v>38.590000000000003</v>
      </c>
      <c r="D5">
        <v>38.03</v>
      </c>
      <c r="E5">
        <v>38.51</v>
      </c>
      <c r="F5">
        <v>12172000</v>
      </c>
      <c r="G5">
        <v>38.200000000000003</v>
      </c>
    </row>
    <row r="6" spans="1:7" x14ac:dyDescent="0.25">
      <c r="A6" s="34">
        <v>41827</v>
      </c>
      <c r="B6">
        <v>38.47</v>
      </c>
      <c r="C6">
        <v>38.9</v>
      </c>
      <c r="D6">
        <v>38.29</v>
      </c>
      <c r="E6">
        <v>38.67</v>
      </c>
      <c r="F6">
        <v>12834200</v>
      </c>
      <c r="G6">
        <v>38.36</v>
      </c>
    </row>
    <row r="7" spans="1:7" x14ac:dyDescent="0.25">
      <c r="A7" s="34">
        <v>41828</v>
      </c>
      <c r="B7">
        <v>38.479999999999997</v>
      </c>
      <c r="C7">
        <v>38.9</v>
      </c>
      <c r="D7">
        <v>38.43</v>
      </c>
      <c r="E7">
        <v>38.74</v>
      </c>
      <c r="F7">
        <v>12041400</v>
      </c>
      <c r="G7">
        <v>38.43</v>
      </c>
    </row>
    <row r="8" spans="1:7" x14ac:dyDescent="0.25">
      <c r="A8" s="34">
        <v>41829</v>
      </c>
      <c r="B8">
        <v>38.950000000000003</v>
      </c>
      <c r="C8">
        <v>39.299999999999997</v>
      </c>
      <c r="D8">
        <v>38.74</v>
      </c>
      <c r="E8">
        <v>39.04</v>
      </c>
      <c r="F8">
        <v>11054500</v>
      </c>
      <c r="G8">
        <v>38.729999999999997</v>
      </c>
    </row>
    <row r="9" spans="1:7" x14ac:dyDescent="0.25">
      <c r="A9" s="34">
        <v>41830</v>
      </c>
      <c r="B9">
        <v>38.770000000000003</v>
      </c>
      <c r="C9">
        <v>39.32</v>
      </c>
      <c r="D9">
        <v>38.51</v>
      </c>
      <c r="E9">
        <v>38.86</v>
      </c>
      <c r="F9">
        <v>13141400</v>
      </c>
      <c r="G9">
        <v>38.549999999999997</v>
      </c>
    </row>
    <row r="10" spans="1:7" x14ac:dyDescent="0.25">
      <c r="A10" s="34">
        <v>41831</v>
      </c>
      <c r="B10">
        <v>38.630000000000003</v>
      </c>
      <c r="C10">
        <v>38.81</v>
      </c>
      <c r="D10">
        <v>38.31</v>
      </c>
      <c r="E10">
        <v>38.71</v>
      </c>
      <c r="F10">
        <v>9705600</v>
      </c>
      <c r="G10">
        <v>38.71</v>
      </c>
    </row>
    <row r="11" spans="1:7" x14ac:dyDescent="0.25">
      <c r="A11" s="34">
        <v>41834</v>
      </c>
      <c r="B11">
        <v>38.630000000000003</v>
      </c>
      <c r="C11">
        <v>38.729999999999997</v>
      </c>
      <c r="D11">
        <v>38.51</v>
      </c>
      <c r="E11">
        <v>38.700000000000003</v>
      </c>
      <c r="F11">
        <v>6388400</v>
      </c>
      <c r="G11">
        <v>38.700000000000003</v>
      </c>
    </row>
    <row r="12" spans="1:7" x14ac:dyDescent="0.25">
      <c r="A12" s="34">
        <v>41835</v>
      </c>
      <c r="B12">
        <v>38.69</v>
      </c>
      <c r="C12">
        <v>38.869999999999997</v>
      </c>
      <c r="D12">
        <v>38</v>
      </c>
      <c r="E12">
        <v>38.29</v>
      </c>
      <c r="F12">
        <v>11065000</v>
      </c>
      <c r="G12">
        <v>38.29</v>
      </c>
    </row>
    <row r="13" spans="1:7" x14ac:dyDescent="0.25">
      <c r="A13" s="34">
        <v>41836</v>
      </c>
      <c r="B13">
        <v>38.619999999999997</v>
      </c>
      <c r="C13">
        <v>39</v>
      </c>
      <c r="D13">
        <v>38.619999999999997</v>
      </c>
      <c r="E13">
        <v>38.83</v>
      </c>
      <c r="F13">
        <v>8486700</v>
      </c>
      <c r="G13">
        <v>38.83</v>
      </c>
    </row>
    <row r="14" spans="1:7" x14ac:dyDescent="0.25">
      <c r="A14" s="34">
        <v>41837</v>
      </c>
      <c r="B14">
        <v>38.6</v>
      </c>
      <c r="C14">
        <v>38.85</v>
      </c>
      <c r="D14">
        <v>38.33</v>
      </c>
      <c r="E14">
        <v>38.5</v>
      </c>
      <c r="F14">
        <v>13989000</v>
      </c>
      <c r="G14">
        <v>38.5</v>
      </c>
    </row>
    <row r="15" spans="1:7" x14ac:dyDescent="0.25">
      <c r="A15" s="34">
        <v>41838</v>
      </c>
      <c r="B15">
        <v>38.549999999999997</v>
      </c>
      <c r="C15">
        <v>38.61</v>
      </c>
      <c r="D15">
        <v>38.119999999999997</v>
      </c>
      <c r="E15">
        <v>38.35</v>
      </c>
      <c r="F15">
        <v>8608500</v>
      </c>
      <c r="G15">
        <v>38.35</v>
      </c>
    </row>
    <row r="16" spans="1:7" x14ac:dyDescent="0.25">
      <c r="A16" s="34">
        <v>41841</v>
      </c>
      <c r="B16">
        <v>38.299999999999997</v>
      </c>
      <c r="C16">
        <v>38.75</v>
      </c>
      <c r="D16">
        <v>38.270000000000003</v>
      </c>
      <c r="E16">
        <v>38.67</v>
      </c>
      <c r="F16">
        <v>7125700</v>
      </c>
      <c r="G16">
        <v>38.67</v>
      </c>
    </row>
    <row r="17" spans="1:7" x14ac:dyDescent="0.25">
      <c r="A17" s="34">
        <v>41842</v>
      </c>
      <c r="B17">
        <v>38.909999999999997</v>
      </c>
      <c r="C17">
        <v>39.04</v>
      </c>
      <c r="D17">
        <v>38.67</v>
      </c>
      <c r="E17">
        <v>38.72</v>
      </c>
      <c r="F17">
        <v>9729300</v>
      </c>
      <c r="G17">
        <v>38.72</v>
      </c>
    </row>
    <row r="18" spans="1:7" x14ac:dyDescent="0.25">
      <c r="A18" s="34">
        <v>41843</v>
      </c>
      <c r="B18">
        <v>38.700000000000003</v>
      </c>
      <c r="C18">
        <v>39.049999999999997</v>
      </c>
      <c r="D18">
        <v>38.28</v>
      </c>
      <c r="E18">
        <v>38.549999999999997</v>
      </c>
      <c r="F18">
        <v>11610000</v>
      </c>
      <c r="G18">
        <v>38.549999999999997</v>
      </c>
    </row>
    <row r="19" spans="1:7" x14ac:dyDescent="0.25">
      <c r="A19" s="34">
        <v>41844</v>
      </c>
      <c r="B19">
        <v>38.119999999999997</v>
      </c>
      <c r="C19">
        <v>38.14</v>
      </c>
      <c r="D19">
        <v>37.299999999999997</v>
      </c>
      <c r="E19">
        <v>37.53</v>
      </c>
      <c r="F19">
        <v>15614600</v>
      </c>
      <c r="G19">
        <v>37.53</v>
      </c>
    </row>
    <row r="20" spans="1:7" x14ac:dyDescent="0.25">
      <c r="A20" s="34">
        <v>41845</v>
      </c>
      <c r="B20">
        <v>37.43</v>
      </c>
      <c r="C20">
        <v>38.22</v>
      </c>
      <c r="D20">
        <v>37.35</v>
      </c>
      <c r="E20">
        <v>37.99</v>
      </c>
      <c r="F20">
        <v>11058700</v>
      </c>
      <c r="G20">
        <v>37.99</v>
      </c>
    </row>
    <row r="21" spans="1:7" x14ac:dyDescent="0.25">
      <c r="A21" s="34">
        <v>41848</v>
      </c>
      <c r="B21">
        <v>38.049999999999997</v>
      </c>
      <c r="C21">
        <v>38.200000000000003</v>
      </c>
      <c r="D21">
        <v>37.72</v>
      </c>
      <c r="E21">
        <v>38.06</v>
      </c>
      <c r="F21">
        <v>7513000</v>
      </c>
      <c r="G21">
        <v>38.06</v>
      </c>
    </row>
    <row r="22" spans="1:7" x14ac:dyDescent="0.25">
      <c r="A22" s="34">
        <v>41849</v>
      </c>
      <c r="B22">
        <v>38.04</v>
      </c>
      <c r="C22">
        <v>38.26</v>
      </c>
      <c r="D22">
        <v>37.880000000000003</v>
      </c>
      <c r="E22">
        <v>37.909999999999997</v>
      </c>
      <c r="F22">
        <v>7688600</v>
      </c>
      <c r="G22">
        <v>37.909999999999997</v>
      </c>
    </row>
    <row r="23" spans="1:7" x14ac:dyDescent="0.25">
      <c r="A23" s="34">
        <v>41850</v>
      </c>
      <c r="B23">
        <v>38.090000000000003</v>
      </c>
      <c r="C23">
        <v>38.22</v>
      </c>
      <c r="D23">
        <v>37.67</v>
      </c>
      <c r="E23">
        <v>37.880000000000003</v>
      </c>
      <c r="F23">
        <v>6046000</v>
      </c>
      <c r="G23">
        <v>37.880000000000003</v>
      </c>
    </row>
    <row r="24" spans="1:7" x14ac:dyDescent="0.25">
      <c r="A24" s="34">
        <v>41851</v>
      </c>
      <c r="B24">
        <v>37.51</v>
      </c>
      <c r="C24">
        <v>37.770000000000003</v>
      </c>
      <c r="D24">
        <v>37.14</v>
      </c>
      <c r="E24">
        <v>37.22</v>
      </c>
      <c r="F24">
        <v>8271500</v>
      </c>
      <c r="G24">
        <v>37.22</v>
      </c>
    </row>
    <row r="25" spans="1:7" x14ac:dyDescent="0.25">
      <c r="A25" s="34">
        <v>41852</v>
      </c>
      <c r="B25">
        <v>37.119999999999997</v>
      </c>
      <c r="C25">
        <v>37.42</v>
      </c>
      <c r="D25">
        <v>36.47</v>
      </c>
      <c r="E25">
        <v>36.78</v>
      </c>
      <c r="F25">
        <v>9964200</v>
      </c>
      <c r="G25">
        <v>36.78</v>
      </c>
    </row>
    <row r="26" spans="1:7" x14ac:dyDescent="0.25">
      <c r="A26" s="34">
        <v>41855</v>
      </c>
      <c r="B26">
        <v>37.03</v>
      </c>
      <c r="C26">
        <v>37.32</v>
      </c>
      <c r="D26">
        <v>36.840000000000003</v>
      </c>
      <c r="E26">
        <v>37.24</v>
      </c>
      <c r="F26">
        <v>6342900</v>
      </c>
      <c r="G26">
        <v>37.24</v>
      </c>
    </row>
    <row r="27" spans="1:7" x14ac:dyDescent="0.25">
      <c r="A27" s="34">
        <v>41856</v>
      </c>
      <c r="B27">
        <v>36.9</v>
      </c>
      <c r="C27">
        <v>37.15</v>
      </c>
      <c r="D27">
        <v>36.700000000000003</v>
      </c>
      <c r="E27">
        <v>36.93</v>
      </c>
      <c r="F27">
        <v>5880600</v>
      </c>
      <c r="G27">
        <v>36.93</v>
      </c>
    </row>
    <row r="28" spans="1:7" x14ac:dyDescent="0.25">
      <c r="A28" s="34">
        <v>41857</v>
      </c>
      <c r="B28">
        <v>36.590000000000003</v>
      </c>
      <c r="C28">
        <v>37.53</v>
      </c>
      <c r="D28">
        <v>36.57</v>
      </c>
      <c r="E28">
        <v>36.700000000000003</v>
      </c>
      <c r="F28">
        <v>9247500</v>
      </c>
      <c r="G28">
        <v>36.700000000000003</v>
      </c>
    </row>
    <row r="29" spans="1:7" x14ac:dyDescent="0.25">
      <c r="A29" s="34">
        <v>41858</v>
      </c>
      <c r="B29">
        <v>36.83</v>
      </c>
      <c r="C29">
        <v>37</v>
      </c>
      <c r="D29">
        <v>35.72</v>
      </c>
      <c r="E29">
        <v>36.15</v>
      </c>
      <c r="F29">
        <v>12659100</v>
      </c>
      <c r="G29">
        <v>36.15</v>
      </c>
    </row>
    <row r="30" spans="1:7" x14ac:dyDescent="0.25">
      <c r="A30" s="34">
        <v>41859</v>
      </c>
      <c r="B30">
        <v>36.130000000000003</v>
      </c>
      <c r="C30">
        <v>36.57</v>
      </c>
      <c r="D30">
        <v>36.01</v>
      </c>
      <c r="E30">
        <v>36.49</v>
      </c>
      <c r="F30">
        <v>5731600</v>
      </c>
      <c r="G30">
        <v>36.49</v>
      </c>
    </row>
    <row r="31" spans="1:7" x14ac:dyDescent="0.25">
      <c r="A31" s="34">
        <v>41862</v>
      </c>
      <c r="B31">
        <v>36.909999999999997</v>
      </c>
      <c r="C31">
        <v>37.07</v>
      </c>
      <c r="D31">
        <v>36.67</v>
      </c>
      <c r="E31">
        <v>36.9</v>
      </c>
      <c r="F31">
        <v>6927200</v>
      </c>
      <c r="G31">
        <v>36.9</v>
      </c>
    </row>
    <row r="32" spans="1:7" x14ac:dyDescent="0.25">
      <c r="A32" s="34">
        <v>41863</v>
      </c>
      <c r="B32">
        <v>36.74</v>
      </c>
      <c r="C32">
        <v>37.07</v>
      </c>
      <c r="D32">
        <v>36.68</v>
      </c>
      <c r="E32">
        <v>36.880000000000003</v>
      </c>
      <c r="F32">
        <v>4620900</v>
      </c>
      <c r="G32">
        <v>36.880000000000003</v>
      </c>
    </row>
    <row r="33" spans="1:7" x14ac:dyDescent="0.25">
      <c r="A33" s="34">
        <v>41864</v>
      </c>
      <c r="B33">
        <v>36.83</v>
      </c>
      <c r="C33">
        <v>36.869999999999997</v>
      </c>
      <c r="D33">
        <v>36.32</v>
      </c>
      <c r="E33">
        <v>36.39</v>
      </c>
      <c r="F33">
        <v>7117500</v>
      </c>
      <c r="G33">
        <v>36.39</v>
      </c>
    </row>
    <row r="34" spans="1:7" x14ac:dyDescent="0.25">
      <c r="A34" s="34">
        <v>41865</v>
      </c>
      <c r="B34">
        <v>35.950000000000003</v>
      </c>
      <c r="C34">
        <v>36.08</v>
      </c>
      <c r="D34">
        <v>35.78</v>
      </c>
      <c r="E34">
        <v>36.049999999999997</v>
      </c>
      <c r="F34">
        <v>8076800</v>
      </c>
      <c r="G34">
        <v>36.049999999999997</v>
      </c>
    </row>
    <row r="35" spans="1:7" x14ac:dyDescent="0.25">
      <c r="A35" s="34">
        <v>41866</v>
      </c>
      <c r="B35">
        <v>36.14</v>
      </c>
      <c r="C35">
        <v>36.14</v>
      </c>
      <c r="D35">
        <v>35.700000000000003</v>
      </c>
      <c r="E35">
        <v>36.1</v>
      </c>
      <c r="F35">
        <v>6950400</v>
      </c>
      <c r="G35">
        <v>36.1</v>
      </c>
    </row>
    <row r="36" spans="1:7" x14ac:dyDescent="0.25">
      <c r="A36" s="34">
        <v>41869</v>
      </c>
      <c r="B36">
        <v>36.1</v>
      </c>
      <c r="C36">
        <v>36.39</v>
      </c>
      <c r="D36">
        <v>36</v>
      </c>
      <c r="E36">
        <v>36.369999999999997</v>
      </c>
      <c r="F36">
        <v>6347200</v>
      </c>
      <c r="G36">
        <v>36.369999999999997</v>
      </c>
    </row>
    <row r="37" spans="1:7" x14ac:dyDescent="0.25">
      <c r="A37" s="34">
        <v>41870</v>
      </c>
      <c r="B37">
        <v>36.270000000000003</v>
      </c>
      <c r="C37">
        <v>36.57</v>
      </c>
      <c r="D37">
        <v>36.119999999999997</v>
      </c>
      <c r="E37">
        <v>36.29</v>
      </c>
      <c r="F37">
        <v>5773400</v>
      </c>
      <c r="G37">
        <v>36.29</v>
      </c>
    </row>
    <row r="38" spans="1:7" x14ac:dyDescent="0.25">
      <c r="A38" s="34">
        <v>41871</v>
      </c>
      <c r="B38">
        <v>36.42</v>
      </c>
      <c r="C38">
        <v>37.1</v>
      </c>
      <c r="D38">
        <v>36.380000000000003</v>
      </c>
      <c r="E38">
        <v>36.979999999999997</v>
      </c>
      <c r="F38">
        <v>9667900</v>
      </c>
      <c r="G38">
        <v>36.979999999999997</v>
      </c>
    </row>
    <row r="39" spans="1:7" x14ac:dyDescent="0.25">
      <c r="A39" s="34">
        <v>41872</v>
      </c>
      <c r="B39">
        <v>36.86</v>
      </c>
      <c r="C39">
        <v>36.9</v>
      </c>
      <c r="D39">
        <v>36.450000000000003</v>
      </c>
      <c r="E39">
        <v>36.68</v>
      </c>
      <c r="F39">
        <v>5136100</v>
      </c>
      <c r="G39">
        <v>36.68</v>
      </c>
    </row>
    <row r="40" spans="1:7" x14ac:dyDescent="0.25">
      <c r="A40" s="34">
        <v>41873</v>
      </c>
      <c r="B40">
        <v>36.619999999999997</v>
      </c>
      <c r="C40">
        <v>36.619999999999997</v>
      </c>
      <c r="D40">
        <v>36.299999999999997</v>
      </c>
      <c r="E40">
        <v>36.44</v>
      </c>
      <c r="F40">
        <v>4091200</v>
      </c>
      <c r="G40">
        <v>36.44</v>
      </c>
    </row>
    <row r="41" spans="1:7" x14ac:dyDescent="0.25">
      <c r="A41" s="34">
        <v>41876</v>
      </c>
      <c r="B41">
        <v>36.58</v>
      </c>
      <c r="C41">
        <v>36.76</v>
      </c>
      <c r="D41">
        <v>36.4</v>
      </c>
      <c r="E41">
        <v>36.47</v>
      </c>
      <c r="F41">
        <v>4360700</v>
      </c>
      <c r="G41">
        <v>36.47</v>
      </c>
    </row>
    <row r="42" spans="1:7" x14ac:dyDescent="0.25">
      <c r="A42" s="34">
        <v>41877</v>
      </c>
      <c r="B42">
        <v>36.54</v>
      </c>
      <c r="C42">
        <v>36.630000000000003</v>
      </c>
      <c r="D42">
        <v>36.299999999999997</v>
      </c>
      <c r="E42">
        <v>36.39</v>
      </c>
      <c r="F42">
        <v>6602000</v>
      </c>
      <c r="G42">
        <v>36.39</v>
      </c>
    </row>
    <row r="43" spans="1:7" x14ac:dyDescent="0.25">
      <c r="A43" s="34">
        <v>41878</v>
      </c>
      <c r="B43">
        <v>36.58</v>
      </c>
      <c r="C43">
        <v>36.65</v>
      </c>
      <c r="D43">
        <v>36.26</v>
      </c>
      <c r="E43">
        <v>36.44</v>
      </c>
      <c r="F43">
        <v>5740300</v>
      </c>
      <c r="G43">
        <v>36.44</v>
      </c>
    </row>
    <row r="44" spans="1:7" x14ac:dyDescent="0.25">
      <c r="A44" s="34">
        <v>41879</v>
      </c>
      <c r="B44">
        <v>36.14</v>
      </c>
      <c r="C44">
        <v>36.17</v>
      </c>
      <c r="D44">
        <v>35.630000000000003</v>
      </c>
      <c r="E44">
        <v>36.159999999999997</v>
      </c>
      <c r="F44">
        <v>7635900</v>
      </c>
      <c r="G44">
        <v>36.159999999999997</v>
      </c>
    </row>
    <row r="45" spans="1:7" x14ac:dyDescent="0.25">
      <c r="A45" s="34">
        <v>41880</v>
      </c>
      <c r="B45">
        <v>36.299999999999997</v>
      </c>
      <c r="C45">
        <v>36.479999999999997</v>
      </c>
      <c r="D45">
        <v>36.159999999999997</v>
      </c>
      <c r="E45">
        <v>36.369999999999997</v>
      </c>
      <c r="F45">
        <v>4562400</v>
      </c>
      <c r="G45">
        <v>36.369999999999997</v>
      </c>
    </row>
    <row r="46" spans="1:7" x14ac:dyDescent="0.25">
      <c r="A46" s="34">
        <v>41884</v>
      </c>
      <c r="B46">
        <v>36.04</v>
      </c>
      <c r="C46">
        <v>36.22</v>
      </c>
      <c r="D46">
        <v>35.450000000000003</v>
      </c>
      <c r="E46">
        <v>35.49</v>
      </c>
      <c r="F46">
        <v>10882300</v>
      </c>
      <c r="G46">
        <v>35.49</v>
      </c>
    </row>
    <row r="47" spans="1:7" x14ac:dyDescent="0.25">
      <c r="A47" s="34">
        <v>41885</v>
      </c>
      <c r="B47">
        <v>35.619999999999997</v>
      </c>
      <c r="C47">
        <v>35.659999999999997</v>
      </c>
      <c r="D47">
        <v>35.21</v>
      </c>
      <c r="E47">
        <v>35.299999999999997</v>
      </c>
      <c r="F47">
        <v>6491200</v>
      </c>
      <c r="G47">
        <v>35.299999999999997</v>
      </c>
    </row>
    <row r="48" spans="1:7" x14ac:dyDescent="0.25">
      <c r="A48" s="34">
        <v>41886</v>
      </c>
      <c r="B48">
        <v>35.32</v>
      </c>
      <c r="C48">
        <v>35.67</v>
      </c>
      <c r="D48">
        <v>35.049999999999997</v>
      </c>
      <c r="E48">
        <v>35.22</v>
      </c>
      <c r="F48">
        <v>6054700</v>
      </c>
      <c r="G48">
        <v>35.22</v>
      </c>
    </row>
    <row r="49" spans="1:7" x14ac:dyDescent="0.25">
      <c r="A49" s="34">
        <v>41887</v>
      </c>
      <c r="B49">
        <v>35.159999999999997</v>
      </c>
      <c r="C49">
        <v>35.19</v>
      </c>
      <c r="D49">
        <v>34.729999999999997</v>
      </c>
      <c r="E49">
        <v>35.020000000000003</v>
      </c>
      <c r="F49">
        <v>12000400</v>
      </c>
      <c r="G49">
        <v>35.020000000000003</v>
      </c>
    </row>
    <row r="50" spans="1:7" x14ac:dyDescent="0.25">
      <c r="A50" s="34">
        <v>41890</v>
      </c>
      <c r="B50">
        <v>34.96</v>
      </c>
      <c r="C50">
        <v>35.020000000000003</v>
      </c>
      <c r="D50">
        <v>34.74</v>
      </c>
      <c r="E50">
        <v>34.909999999999997</v>
      </c>
      <c r="F50">
        <v>7045300</v>
      </c>
      <c r="G50">
        <v>34.909999999999997</v>
      </c>
    </row>
    <row r="51" spans="1:7" x14ac:dyDescent="0.25">
      <c r="A51" s="34">
        <v>41891</v>
      </c>
      <c r="B51">
        <v>34.68</v>
      </c>
      <c r="C51">
        <v>35</v>
      </c>
      <c r="D51">
        <v>34.200000000000003</v>
      </c>
      <c r="E51">
        <v>34.44</v>
      </c>
      <c r="F51">
        <v>7736200</v>
      </c>
      <c r="G51">
        <v>34.44</v>
      </c>
    </row>
    <row r="52" spans="1:7" x14ac:dyDescent="0.25">
      <c r="A52" s="34">
        <v>41892</v>
      </c>
      <c r="B52">
        <v>34.35</v>
      </c>
      <c r="C52">
        <v>34.619999999999997</v>
      </c>
      <c r="D52">
        <v>33.909999999999997</v>
      </c>
      <c r="E52">
        <v>34.56</v>
      </c>
      <c r="F52">
        <v>7824900</v>
      </c>
      <c r="G52">
        <v>34.56</v>
      </c>
    </row>
    <row r="53" spans="1:7" x14ac:dyDescent="0.25">
      <c r="A53" s="34">
        <v>41893</v>
      </c>
      <c r="B53">
        <v>34.35</v>
      </c>
      <c r="C53">
        <v>34.729999999999997</v>
      </c>
      <c r="D53">
        <v>34.119999999999997</v>
      </c>
      <c r="E53">
        <v>34.56</v>
      </c>
      <c r="F53">
        <v>6740500</v>
      </c>
      <c r="G53">
        <v>34.56</v>
      </c>
    </row>
    <row r="54" spans="1:7" x14ac:dyDescent="0.25">
      <c r="A54" s="34">
        <v>41894</v>
      </c>
      <c r="B54">
        <v>34.39</v>
      </c>
      <c r="C54">
        <v>34.61</v>
      </c>
      <c r="D54">
        <v>34.1</v>
      </c>
      <c r="E54">
        <v>34.24</v>
      </c>
      <c r="F54">
        <v>6336800</v>
      </c>
      <c r="G54">
        <v>34.24</v>
      </c>
    </row>
    <row r="55" spans="1:7" x14ac:dyDescent="0.25">
      <c r="A55" s="34">
        <v>41897</v>
      </c>
      <c r="B55">
        <v>34.24</v>
      </c>
      <c r="C55">
        <v>34.39</v>
      </c>
      <c r="D55">
        <v>34.11</v>
      </c>
      <c r="E55">
        <v>34.32</v>
      </c>
      <c r="F55">
        <v>4811400</v>
      </c>
      <c r="G55">
        <v>34.32</v>
      </c>
    </row>
  </sheetData>
  <sortState ref="A3:G55">
    <sortCondition ref="A3:A55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152</v>
      </c>
      <c r="C3">
        <v>152.84</v>
      </c>
      <c r="D3">
        <v>151.57</v>
      </c>
      <c r="E3">
        <v>152.38</v>
      </c>
      <c r="F3">
        <v>1445000</v>
      </c>
      <c r="G3">
        <v>152.18</v>
      </c>
    </row>
    <row r="4" spans="1:7" x14ac:dyDescent="0.25">
      <c r="A4" s="34">
        <v>41822</v>
      </c>
      <c r="B4">
        <v>152.27000000000001</v>
      </c>
      <c r="C4">
        <v>153.24</v>
      </c>
      <c r="D4">
        <v>152.08000000000001</v>
      </c>
      <c r="E4">
        <v>152.27000000000001</v>
      </c>
      <c r="F4">
        <v>1236300</v>
      </c>
      <c r="G4">
        <v>152.07</v>
      </c>
    </row>
    <row r="5" spans="1:7" x14ac:dyDescent="0.25">
      <c r="A5" s="34">
        <v>41823</v>
      </c>
      <c r="B5">
        <v>152.79</v>
      </c>
      <c r="C5">
        <v>153.74</v>
      </c>
      <c r="D5">
        <v>152.54</v>
      </c>
      <c r="E5">
        <v>153.61000000000001</v>
      </c>
      <c r="F5">
        <v>660800</v>
      </c>
      <c r="G5">
        <v>153.41</v>
      </c>
    </row>
    <row r="6" spans="1:7" x14ac:dyDescent="0.25">
      <c r="A6" s="34">
        <v>41827</v>
      </c>
      <c r="B6">
        <v>152.86000000000001</v>
      </c>
      <c r="C6">
        <v>153.1</v>
      </c>
      <c r="D6">
        <v>151.38</v>
      </c>
      <c r="E6">
        <v>151.68</v>
      </c>
      <c r="F6">
        <v>1147900</v>
      </c>
      <c r="G6">
        <v>151.47999999999999</v>
      </c>
    </row>
    <row r="7" spans="1:7" x14ac:dyDescent="0.25">
      <c r="A7" s="34">
        <v>41828</v>
      </c>
      <c r="B7">
        <v>151.37</v>
      </c>
      <c r="C7">
        <v>151.59</v>
      </c>
      <c r="D7">
        <v>149.82</v>
      </c>
      <c r="E7">
        <v>151.16999999999999</v>
      </c>
      <c r="F7">
        <v>1207200</v>
      </c>
      <c r="G7">
        <v>150.97</v>
      </c>
    </row>
    <row r="8" spans="1:7" x14ac:dyDescent="0.25">
      <c r="A8" s="34">
        <v>41829</v>
      </c>
      <c r="B8">
        <v>151.61000000000001</v>
      </c>
      <c r="C8">
        <v>152.44</v>
      </c>
      <c r="D8">
        <v>150.81</v>
      </c>
      <c r="E8">
        <v>151.32</v>
      </c>
      <c r="F8">
        <v>822400</v>
      </c>
      <c r="G8">
        <v>151.12</v>
      </c>
    </row>
    <row r="9" spans="1:7" x14ac:dyDescent="0.25">
      <c r="A9" s="34">
        <v>41830</v>
      </c>
      <c r="B9">
        <v>149.87</v>
      </c>
      <c r="C9">
        <v>150.88</v>
      </c>
      <c r="D9">
        <v>149.41999999999999</v>
      </c>
      <c r="E9">
        <v>150.26</v>
      </c>
      <c r="F9">
        <v>984300</v>
      </c>
      <c r="G9">
        <v>150.06</v>
      </c>
    </row>
    <row r="10" spans="1:7" x14ac:dyDescent="0.25">
      <c r="A10" s="34">
        <v>41831</v>
      </c>
      <c r="B10">
        <v>150.15</v>
      </c>
      <c r="C10">
        <v>151.32</v>
      </c>
      <c r="D10">
        <v>149.91999999999999</v>
      </c>
      <c r="E10">
        <v>150.63999999999999</v>
      </c>
      <c r="F10">
        <v>839100</v>
      </c>
      <c r="G10">
        <v>150.44</v>
      </c>
    </row>
    <row r="11" spans="1:7" x14ac:dyDescent="0.25">
      <c r="A11" s="34">
        <v>41834</v>
      </c>
      <c r="B11">
        <v>151.65</v>
      </c>
      <c r="C11">
        <v>151.91</v>
      </c>
      <c r="D11">
        <v>150.97999999999999</v>
      </c>
      <c r="E11">
        <v>151.07</v>
      </c>
      <c r="F11">
        <v>1149100</v>
      </c>
      <c r="G11">
        <v>150.87</v>
      </c>
    </row>
    <row r="12" spans="1:7" x14ac:dyDescent="0.25">
      <c r="A12" s="34">
        <v>41835</v>
      </c>
      <c r="B12">
        <v>149.58000000000001</v>
      </c>
      <c r="C12">
        <v>152.66999999999999</v>
      </c>
      <c r="D12">
        <v>149.58000000000001</v>
      </c>
      <c r="E12">
        <v>151.9</v>
      </c>
      <c r="F12">
        <v>1193500</v>
      </c>
      <c r="G12">
        <v>151.69999999999999</v>
      </c>
    </row>
    <row r="13" spans="1:7" x14ac:dyDescent="0.25">
      <c r="A13" s="34">
        <v>41836</v>
      </c>
      <c r="B13">
        <v>152.4</v>
      </c>
      <c r="C13">
        <v>154.5</v>
      </c>
      <c r="D13">
        <v>152.25</v>
      </c>
      <c r="E13">
        <v>154.38</v>
      </c>
      <c r="F13">
        <v>1424700</v>
      </c>
      <c r="G13">
        <v>154.18</v>
      </c>
    </row>
    <row r="14" spans="1:7" x14ac:dyDescent="0.25">
      <c r="A14" s="34">
        <v>41837</v>
      </c>
      <c r="B14">
        <v>153.35</v>
      </c>
      <c r="C14">
        <v>155.31</v>
      </c>
      <c r="D14">
        <v>151.72999999999999</v>
      </c>
      <c r="E14">
        <v>151.9</v>
      </c>
      <c r="F14">
        <v>1811900</v>
      </c>
      <c r="G14">
        <v>151.69999999999999</v>
      </c>
    </row>
    <row r="15" spans="1:7" x14ac:dyDescent="0.25">
      <c r="A15" s="34">
        <v>41838</v>
      </c>
      <c r="B15">
        <v>151.34</v>
      </c>
      <c r="C15">
        <v>153.15</v>
      </c>
      <c r="D15">
        <v>151.22999999999999</v>
      </c>
      <c r="E15">
        <v>152.87</v>
      </c>
      <c r="F15">
        <v>1032400</v>
      </c>
      <c r="G15">
        <v>152.66999999999999</v>
      </c>
    </row>
    <row r="16" spans="1:7" x14ac:dyDescent="0.25">
      <c r="A16" s="34">
        <v>41841</v>
      </c>
      <c r="B16">
        <v>152.53</v>
      </c>
      <c r="C16">
        <v>153.31</v>
      </c>
      <c r="D16">
        <v>152.08000000000001</v>
      </c>
      <c r="E16">
        <v>152.35</v>
      </c>
      <c r="F16">
        <v>1030500</v>
      </c>
      <c r="G16">
        <v>152.15</v>
      </c>
    </row>
    <row r="17" spans="1:7" x14ac:dyDescent="0.25">
      <c r="A17" s="34">
        <v>41842</v>
      </c>
      <c r="B17">
        <v>152.88999999999999</v>
      </c>
      <c r="C17">
        <v>153.93</v>
      </c>
      <c r="D17">
        <v>152.82</v>
      </c>
      <c r="E17">
        <v>153.29</v>
      </c>
      <c r="F17">
        <v>1314300</v>
      </c>
      <c r="G17">
        <v>153.09</v>
      </c>
    </row>
    <row r="18" spans="1:7" x14ac:dyDescent="0.25">
      <c r="A18" s="34">
        <v>41843</v>
      </c>
      <c r="B18">
        <v>153.46</v>
      </c>
      <c r="C18">
        <v>153.88999999999999</v>
      </c>
      <c r="D18">
        <v>152.6</v>
      </c>
      <c r="E18">
        <v>152.68</v>
      </c>
      <c r="F18">
        <v>966600</v>
      </c>
      <c r="G18">
        <v>152.47999999999999</v>
      </c>
    </row>
    <row r="19" spans="1:7" x14ac:dyDescent="0.25">
      <c r="A19" s="34">
        <v>41844</v>
      </c>
      <c r="B19">
        <v>153.03</v>
      </c>
      <c r="C19">
        <v>153.25</v>
      </c>
      <c r="D19">
        <v>152.33000000000001</v>
      </c>
      <c r="E19">
        <v>152.5</v>
      </c>
      <c r="F19">
        <v>1009900</v>
      </c>
      <c r="G19">
        <v>152.30000000000001</v>
      </c>
    </row>
    <row r="20" spans="1:7" x14ac:dyDescent="0.25">
      <c r="A20" s="34">
        <v>41845</v>
      </c>
      <c r="B20">
        <v>152</v>
      </c>
      <c r="C20">
        <v>152.41</v>
      </c>
      <c r="D20">
        <v>150.80000000000001</v>
      </c>
      <c r="E20">
        <v>150.86000000000001</v>
      </c>
      <c r="F20">
        <v>1269600</v>
      </c>
      <c r="G20">
        <v>150.66</v>
      </c>
    </row>
    <row r="21" spans="1:7" x14ac:dyDescent="0.25">
      <c r="A21" s="34">
        <v>41848</v>
      </c>
      <c r="B21">
        <v>150.9</v>
      </c>
      <c r="C21">
        <v>151.46</v>
      </c>
      <c r="D21">
        <v>148.30000000000001</v>
      </c>
      <c r="E21">
        <v>149.53</v>
      </c>
      <c r="F21">
        <v>1652200</v>
      </c>
      <c r="G21">
        <v>149.33000000000001</v>
      </c>
    </row>
    <row r="22" spans="1:7" x14ac:dyDescent="0.25">
      <c r="A22" s="34">
        <v>41849</v>
      </c>
      <c r="B22">
        <v>148.5</v>
      </c>
      <c r="C22">
        <v>149.86000000000001</v>
      </c>
      <c r="D22">
        <v>147.04</v>
      </c>
      <c r="E22">
        <v>147.13999999999999</v>
      </c>
      <c r="F22">
        <v>1706200</v>
      </c>
      <c r="G22">
        <v>146.94999999999999</v>
      </c>
    </row>
    <row r="23" spans="1:7" x14ac:dyDescent="0.25">
      <c r="A23" s="34">
        <v>41850</v>
      </c>
      <c r="B23">
        <v>147.36000000000001</v>
      </c>
      <c r="C23">
        <v>150.34</v>
      </c>
      <c r="D23">
        <v>147.36000000000001</v>
      </c>
      <c r="E23">
        <v>149.36000000000001</v>
      </c>
      <c r="F23">
        <v>1390600</v>
      </c>
      <c r="G23">
        <v>149.16999999999999</v>
      </c>
    </row>
    <row r="24" spans="1:7" x14ac:dyDescent="0.25">
      <c r="A24" s="34">
        <v>41851</v>
      </c>
      <c r="B24">
        <v>148.07</v>
      </c>
      <c r="C24">
        <v>149.11000000000001</v>
      </c>
      <c r="D24">
        <v>146.63999999999999</v>
      </c>
      <c r="E24">
        <v>146.88</v>
      </c>
      <c r="F24">
        <v>1519800</v>
      </c>
      <c r="G24">
        <v>146.69</v>
      </c>
    </row>
    <row r="25" spans="1:7" x14ac:dyDescent="0.25">
      <c r="A25" s="34">
        <v>41852</v>
      </c>
      <c r="B25">
        <v>146.63</v>
      </c>
      <c r="C25">
        <v>147.99</v>
      </c>
      <c r="D25">
        <v>145.93</v>
      </c>
      <c r="E25">
        <v>146.75</v>
      </c>
      <c r="F25">
        <v>1709100</v>
      </c>
      <c r="G25">
        <v>146.56</v>
      </c>
    </row>
    <row r="26" spans="1:7" x14ac:dyDescent="0.25">
      <c r="A26" s="34">
        <v>41855</v>
      </c>
      <c r="B26">
        <v>147.31</v>
      </c>
      <c r="C26">
        <v>149.08000000000001</v>
      </c>
      <c r="D26">
        <v>146.94999999999999</v>
      </c>
      <c r="E26">
        <v>148.83000000000001</v>
      </c>
      <c r="F26">
        <v>1444000</v>
      </c>
      <c r="G26">
        <v>148.63999999999999</v>
      </c>
    </row>
    <row r="27" spans="1:7" x14ac:dyDescent="0.25">
      <c r="A27" s="34">
        <v>41856</v>
      </c>
      <c r="B27">
        <v>147.84</v>
      </c>
      <c r="C27">
        <v>148.55000000000001</v>
      </c>
      <c r="D27">
        <v>146.15</v>
      </c>
      <c r="E27">
        <v>146.84</v>
      </c>
      <c r="F27">
        <v>860700</v>
      </c>
      <c r="G27">
        <v>146.65</v>
      </c>
    </row>
    <row r="28" spans="1:7" x14ac:dyDescent="0.25">
      <c r="A28" s="34">
        <v>41857</v>
      </c>
      <c r="B28">
        <v>145.83000000000001</v>
      </c>
      <c r="C28">
        <v>146.41999999999999</v>
      </c>
      <c r="D28">
        <v>145.08000000000001</v>
      </c>
      <c r="E28">
        <v>145.47</v>
      </c>
      <c r="F28">
        <v>1098000</v>
      </c>
      <c r="G28">
        <v>145.28</v>
      </c>
    </row>
    <row r="29" spans="1:7" x14ac:dyDescent="0.25">
      <c r="A29" s="34">
        <v>41858</v>
      </c>
      <c r="B29">
        <v>146.96</v>
      </c>
      <c r="C29">
        <v>148.41</v>
      </c>
      <c r="D29">
        <v>145.91</v>
      </c>
      <c r="E29">
        <v>146.02000000000001</v>
      </c>
      <c r="F29">
        <v>1659200</v>
      </c>
      <c r="G29">
        <v>145.83000000000001</v>
      </c>
    </row>
    <row r="30" spans="1:7" x14ac:dyDescent="0.25">
      <c r="A30" s="34">
        <v>41859</v>
      </c>
      <c r="B30">
        <v>146.22999999999999</v>
      </c>
      <c r="C30">
        <v>147.91999999999999</v>
      </c>
      <c r="D30">
        <v>145.62</v>
      </c>
      <c r="E30">
        <v>147.85</v>
      </c>
      <c r="F30">
        <v>825500</v>
      </c>
      <c r="G30">
        <v>147.66</v>
      </c>
    </row>
    <row r="31" spans="1:7" x14ac:dyDescent="0.25">
      <c r="A31" s="34">
        <v>41862</v>
      </c>
      <c r="B31">
        <v>148.81</v>
      </c>
      <c r="C31">
        <v>149.07</v>
      </c>
      <c r="D31">
        <v>147.72</v>
      </c>
      <c r="E31">
        <v>148.28</v>
      </c>
      <c r="F31">
        <v>790900</v>
      </c>
      <c r="G31">
        <v>148.09</v>
      </c>
    </row>
    <row r="32" spans="1:7" x14ac:dyDescent="0.25">
      <c r="A32" s="34">
        <v>41863</v>
      </c>
      <c r="B32">
        <v>148.32</v>
      </c>
      <c r="C32">
        <v>149.19</v>
      </c>
      <c r="D32">
        <v>148.01</v>
      </c>
      <c r="E32">
        <v>148.43</v>
      </c>
      <c r="F32">
        <v>495400</v>
      </c>
      <c r="G32">
        <v>148.24</v>
      </c>
    </row>
    <row r="33" spans="1:7" x14ac:dyDescent="0.25">
      <c r="A33" s="34">
        <v>41864</v>
      </c>
      <c r="B33">
        <v>149</v>
      </c>
      <c r="C33">
        <v>149.66999999999999</v>
      </c>
      <c r="D33">
        <v>148.91999999999999</v>
      </c>
      <c r="E33">
        <v>149.35</v>
      </c>
      <c r="F33">
        <v>622500</v>
      </c>
      <c r="G33">
        <v>149.16</v>
      </c>
    </row>
    <row r="34" spans="1:7" x14ac:dyDescent="0.25">
      <c r="A34" s="34">
        <v>41865</v>
      </c>
      <c r="B34">
        <v>149.63999999999999</v>
      </c>
      <c r="C34">
        <v>149.72</v>
      </c>
      <c r="D34">
        <v>148.61000000000001</v>
      </c>
      <c r="E34">
        <v>149.63999999999999</v>
      </c>
      <c r="F34">
        <v>529000</v>
      </c>
      <c r="G34">
        <v>149.44</v>
      </c>
    </row>
    <row r="35" spans="1:7" x14ac:dyDescent="0.25">
      <c r="A35" s="34">
        <v>41866</v>
      </c>
      <c r="B35">
        <v>150.04</v>
      </c>
      <c r="C35">
        <v>150.24</v>
      </c>
      <c r="D35">
        <v>147.5</v>
      </c>
      <c r="E35">
        <v>148.72</v>
      </c>
      <c r="F35">
        <v>1071500</v>
      </c>
      <c r="G35">
        <v>148.53</v>
      </c>
    </row>
    <row r="36" spans="1:7" x14ac:dyDescent="0.25">
      <c r="A36" s="34">
        <v>41869</v>
      </c>
      <c r="B36">
        <v>149.29</v>
      </c>
      <c r="C36">
        <v>150.44999999999999</v>
      </c>
      <c r="D36">
        <v>149.22999999999999</v>
      </c>
      <c r="E36">
        <v>150.41999999999999</v>
      </c>
      <c r="F36">
        <v>1066900</v>
      </c>
      <c r="G36">
        <v>150.22</v>
      </c>
    </row>
    <row r="37" spans="1:7" x14ac:dyDescent="0.25">
      <c r="A37" s="34">
        <v>41870</v>
      </c>
      <c r="B37">
        <v>150.51</v>
      </c>
      <c r="C37">
        <v>150.6</v>
      </c>
      <c r="D37">
        <v>149.91</v>
      </c>
      <c r="E37">
        <v>150</v>
      </c>
      <c r="F37">
        <v>1062800</v>
      </c>
      <c r="G37">
        <v>149.80000000000001</v>
      </c>
    </row>
    <row r="38" spans="1:7" x14ac:dyDescent="0.25">
      <c r="A38" s="34">
        <v>41871</v>
      </c>
      <c r="B38">
        <v>150.16</v>
      </c>
      <c r="C38">
        <v>150.96</v>
      </c>
      <c r="D38">
        <v>149.99</v>
      </c>
      <c r="E38">
        <v>150.63</v>
      </c>
      <c r="F38">
        <v>1476600</v>
      </c>
      <c r="G38">
        <v>150.43</v>
      </c>
    </row>
    <row r="39" spans="1:7" x14ac:dyDescent="0.25">
      <c r="A39" s="34">
        <v>41872</v>
      </c>
      <c r="B39">
        <v>151.03</v>
      </c>
      <c r="C39">
        <v>151.07</v>
      </c>
      <c r="D39">
        <v>150</v>
      </c>
      <c r="E39">
        <v>150.55000000000001</v>
      </c>
      <c r="F39">
        <v>817400</v>
      </c>
      <c r="G39">
        <v>150.35</v>
      </c>
    </row>
    <row r="40" spans="1:7" x14ac:dyDescent="0.25">
      <c r="A40" s="34">
        <v>41873</v>
      </c>
      <c r="B40">
        <v>150.72999999999999</v>
      </c>
      <c r="C40">
        <v>150.72999999999999</v>
      </c>
      <c r="D40">
        <v>149.04</v>
      </c>
      <c r="E40">
        <v>149.46</v>
      </c>
      <c r="F40">
        <v>1075900</v>
      </c>
      <c r="G40">
        <v>149.27000000000001</v>
      </c>
    </row>
    <row r="41" spans="1:7" x14ac:dyDescent="0.25">
      <c r="A41" s="34">
        <v>41876</v>
      </c>
      <c r="B41">
        <v>150.13</v>
      </c>
      <c r="C41">
        <v>150.54</v>
      </c>
      <c r="D41">
        <v>149.65</v>
      </c>
      <c r="E41">
        <v>149.79</v>
      </c>
      <c r="F41">
        <v>619500</v>
      </c>
      <c r="G41">
        <v>149.59</v>
      </c>
    </row>
    <row r="42" spans="1:7" x14ac:dyDescent="0.25">
      <c r="A42" s="34">
        <v>41877</v>
      </c>
      <c r="B42">
        <v>150</v>
      </c>
      <c r="C42">
        <v>150.38999999999999</v>
      </c>
      <c r="D42">
        <v>149.18</v>
      </c>
      <c r="E42">
        <v>149.28</v>
      </c>
      <c r="F42">
        <v>609100</v>
      </c>
      <c r="G42">
        <v>149.09</v>
      </c>
    </row>
    <row r="43" spans="1:7" x14ac:dyDescent="0.25">
      <c r="A43" s="34">
        <v>41878</v>
      </c>
      <c r="B43">
        <v>149.25</v>
      </c>
      <c r="C43">
        <v>149.80000000000001</v>
      </c>
      <c r="D43">
        <v>148.94999999999999</v>
      </c>
      <c r="E43">
        <v>149.1</v>
      </c>
      <c r="F43">
        <v>696600</v>
      </c>
      <c r="G43">
        <v>148.91</v>
      </c>
    </row>
    <row r="44" spans="1:7" x14ac:dyDescent="0.25">
      <c r="A44" s="34">
        <v>41879</v>
      </c>
      <c r="B44">
        <v>148.79</v>
      </c>
      <c r="C44">
        <v>149</v>
      </c>
      <c r="D44">
        <v>147.03</v>
      </c>
      <c r="E44">
        <v>147.87</v>
      </c>
      <c r="F44">
        <v>1364300</v>
      </c>
      <c r="G44">
        <v>147.68</v>
      </c>
    </row>
    <row r="45" spans="1:7" x14ac:dyDescent="0.25">
      <c r="A45" s="34">
        <v>41880</v>
      </c>
      <c r="B45">
        <v>148.4</v>
      </c>
      <c r="C45">
        <v>148.49</v>
      </c>
      <c r="D45">
        <v>147.65</v>
      </c>
      <c r="E45">
        <v>147.88</v>
      </c>
      <c r="F45">
        <v>1227400</v>
      </c>
      <c r="G45">
        <v>147.69</v>
      </c>
    </row>
    <row r="46" spans="1:7" x14ac:dyDescent="0.25">
      <c r="A46" s="34">
        <v>41884</v>
      </c>
      <c r="B46">
        <v>148.72</v>
      </c>
      <c r="C46">
        <v>150.57</v>
      </c>
      <c r="D46">
        <v>148.37</v>
      </c>
      <c r="E46">
        <v>150.4</v>
      </c>
      <c r="F46">
        <v>1416900</v>
      </c>
      <c r="G46">
        <v>150.19999999999999</v>
      </c>
    </row>
    <row r="47" spans="1:7" x14ac:dyDescent="0.25">
      <c r="A47" s="34">
        <v>41885</v>
      </c>
      <c r="B47">
        <v>150.47999999999999</v>
      </c>
      <c r="C47">
        <v>152.21</v>
      </c>
      <c r="D47">
        <v>150.37</v>
      </c>
      <c r="E47">
        <v>151.71</v>
      </c>
      <c r="F47">
        <v>1479300</v>
      </c>
      <c r="G47">
        <v>151.51</v>
      </c>
    </row>
    <row r="48" spans="1:7" x14ac:dyDescent="0.25">
      <c r="A48" s="34">
        <v>41886</v>
      </c>
      <c r="B48">
        <v>152.22</v>
      </c>
      <c r="C48">
        <v>154.24</v>
      </c>
      <c r="D48">
        <v>151.69</v>
      </c>
      <c r="E48">
        <v>152.04</v>
      </c>
      <c r="F48">
        <v>1748300</v>
      </c>
      <c r="G48">
        <v>151.84</v>
      </c>
    </row>
    <row r="49" spans="1:7" x14ac:dyDescent="0.25">
      <c r="A49" s="34">
        <v>41887</v>
      </c>
      <c r="B49">
        <v>151.55000000000001</v>
      </c>
      <c r="C49">
        <v>153.35</v>
      </c>
      <c r="D49">
        <v>150.1</v>
      </c>
      <c r="E49">
        <v>153.30000000000001</v>
      </c>
      <c r="F49">
        <v>1208100</v>
      </c>
      <c r="G49">
        <v>153.1</v>
      </c>
    </row>
    <row r="50" spans="1:7" x14ac:dyDescent="0.25">
      <c r="A50" s="34">
        <v>41890</v>
      </c>
      <c r="B50">
        <v>152.54</v>
      </c>
      <c r="C50">
        <v>153.25</v>
      </c>
      <c r="D50">
        <v>151.88999999999999</v>
      </c>
      <c r="E50">
        <v>152.4</v>
      </c>
      <c r="F50">
        <v>1349200</v>
      </c>
      <c r="G50">
        <v>152.4</v>
      </c>
    </row>
    <row r="51" spans="1:7" x14ac:dyDescent="0.25">
      <c r="A51" s="34">
        <v>41891</v>
      </c>
      <c r="B51">
        <v>152.19</v>
      </c>
      <c r="C51">
        <v>152.4</v>
      </c>
      <c r="D51">
        <v>150.69</v>
      </c>
      <c r="E51">
        <v>151</v>
      </c>
      <c r="F51">
        <v>1001600</v>
      </c>
      <c r="G51">
        <v>151</v>
      </c>
    </row>
    <row r="52" spans="1:7" x14ac:dyDescent="0.25">
      <c r="A52" s="34">
        <v>41892</v>
      </c>
      <c r="B52">
        <v>150.94999999999999</v>
      </c>
      <c r="C52">
        <v>151.07</v>
      </c>
      <c r="D52">
        <v>150.01</v>
      </c>
      <c r="E52">
        <v>150.76</v>
      </c>
      <c r="F52">
        <v>993200</v>
      </c>
      <c r="G52">
        <v>150.76</v>
      </c>
    </row>
    <row r="53" spans="1:7" x14ac:dyDescent="0.25">
      <c r="A53" s="34">
        <v>41893</v>
      </c>
      <c r="B53">
        <v>150.08000000000001</v>
      </c>
      <c r="C53">
        <v>152.99</v>
      </c>
      <c r="D53">
        <v>150.01</v>
      </c>
      <c r="E53">
        <v>152.53</v>
      </c>
      <c r="F53">
        <v>1029100</v>
      </c>
      <c r="G53">
        <v>152.53</v>
      </c>
    </row>
    <row r="54" spans="1:7" x14ac:dyDescent="0.25">
      <c r="A54" s="34">
        <v>41894</v>
      </c>
      <c r="B54">
        <v>153.18</v>
      </c>
      <c r="C54">
        <v>154.09</v>
      </c>
      <c r="D54">
        <v>152.54</v>
      </c>
      <c r="E54">
        <v>153.77000000000001</v>
      </c>
      <c r="F54">
        <v>1564600</v>
      </c>
      <c r="G54">
        <v>153.77000000000001</v>
      </c>
    </row>
    <row r="55" spans="1:7" x14ac:dyDescent="0.25">
      <c r="A55" s="34">
        <v>41897</v>
      </c>
      <c r="B55">
        <v>154</v>
      </c>
      <c r="C55">
        <v>154.32</v>
      </c>
      <c r="D55">
        <v>152.01</v>
      </c>
      <c r="E55">
        <v>154.04</v>
      </c>
      <c r="F55">
        <v>1684600</v>
      </c>
      <c r="G55">
        <v>154.04</v>
      </c>
    </row>
  </sheetData>
  <sortState ref="A3:G55">
    <sortCondition ref="A3:A55"/>
  </sortState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34.26</v>
      </c>
      <c r="C3">
        <v>35.450000000000003</v>
      </c>
      <c r="D3">
        <v>34.17</v>
      </c>
      <c r="E3">
        <v>35.299999999999997</v>
      </c>
      <c r="F3">
        <v>9850500</v>
      </c>
      <c r="G3">
        <v>35.18</v>
      </c>
    </row>
    <row r="4" spans="1:7" x14ac:dyDescent="0.25">
      <c r="A4" s="34">
        <v>41822</v>
      </c>
      <c r="B4">
        <v>35.19</v>
      </c>
      <c r="C4">
        <v>35.78</v>
      </c>
      <c r="D4">
        <v>35.17</v>
      </c>
      <c r="E4">
        <v>35.700000000000003</v>
      </c>
      <c r="F4">
        <v>7890000</v>
      </c>
      <c r="G4">
        <v>35.58</v>
      </c>
    </row>
    <row r="5" spans="1:7" x14ac:dyDescent="0.25">
      <c r="A5" s="34">
        <v>41823</v>
      </c>
      <c r="B5">
        <v>35.74</v>
      </c>
      <c r="C5">
        <v>36.21</v>
      </c>
      <c r="D5">
        <v>35.58</v>
      </c>
      <c r="E5">
        <v>36.21</v>
      </c>
      <c r="F5">
        <v>6806200</v>
      </c>
      <c r="G5">
        <v>36.08</v>
      </c>
    </row>
    <row r="6" spans="1:7" x14ac:dyDescent="0.25">
      <c r="A6" s="34">
        <v>41827</v>
      </c>
      <c r="B6">
        <v>36.06</v>
      </c>
      <c r="C6">
        <v>36.14</v>
      </c>
      <c r="D6">
        <v>35.619999999999997</v>
      </c>
      <c r="E6">
        <v>35.69</v>
      </c>
      <c r="F6">
        <v>6243200</v>
      </c>
      <c r="G6">
        <v>35.57</v>
      </c>
    </row>
    <row r="7" spans="1:7" x14ac:dyDescent="0.25">
      <c r="A7" s="34">
        <v>41828</v>
      </c>
      <c r="B7">
        <v>35.67</v>
      </c>
      <c r="C7">
        <v>35.770000000000003</v>
      </c>
      <c r="D7">
        <v>34.97</v>
      </c>
      <c r="E7">
        <v>35.1</v>
      </c>
      <c r="F7">
        <v>12079500</v>
      </c>
      <c r="G7">
        <v>34.979999999999997</v>
      </c>
    </row>
    <row r="8" spans="1:7" x14ac:dyDescent="0.25">
      <c r="A8" s="34">
        <v>41829</v>
      </c>
      <c r="B8">
        <v>35.18</v>
      </c>
      <c r="C8">
        <v>35.979999999999997</v>
      </c>
      <c r="D8">
        <v>35.15</v>
      </c>
      <c r="E8">
        <v>35.909999999999997</v>
      </c>
      <c r="F8">
        <v>11174500</v>
      </c>
      <c r="G8">
        <v>35.79</v>
      </c>
    </row>
    <row r="9" spans="1:7" x14ac:dyDescent="0.25">
      <c r="A9" s="34">
        <v>41830</v>
      </c>
      <c r="B9">
        <v>35.46</v>
      </c>
      <c r="C9">
        <v>35.9</v>
      </c>
      <c r="D9">
        <v>35.22</v>
      </c>
      <c r="E9">
        <v>35.71</v>
      </c>
      <c r="F9">
        <v>6190900</v>
      </c>
      <c r="G9">
        <v>35.590000000000003</v>
      </c>
    </row>
    <row r="10" spans="1:7" x14ac:dyDescent="0.25">
      <c r="A10" s="34">
        <v>41831</v>
      </c>
      <c r="B10">
        <v>35.729999999999997</v>
      </c>
      <c r="C10">
        <v>35.880000000000003</v>
      </c>
      <c r="D10">
        <v>35.29</v>
      </c>
      <c r="E10">
        <v>35.64</v>
      </c>
      <c r="F10">
        <v>10288200</v>
      </c>
      <c r="G10">
        <v>35.520000000000003</v>
      </c>
    </row>
    <row r="11" spans="1:7" x14ac:dyDescent="0.25">
      <c r="A11" s="34">
        <v>41834</v>
      </c>
      <c r="B11">
        <v>35.75</v>
      </c>
      <c r="C11">
        <v>35.93</v>
      </c>
      <c r="D11">
        <v>35.49</v>
      </c>
      <c r="E11">
        <v>35.54</v>
      </c>
      <c r="F11">
        <v>5972800</v>
      </c>
      <c r="G11">
        <v>35.42</v>
      </c>
    </row>
    <row r="12" spans="1:7" x14ac:dyDescent="0.25">
      <c r="A12" s="34">
        <v>41835</v>
      </c>
      <c r="B12">
        <v>35.46</v>
      </c>
      <c r="C12">
        <v>35.54</v>
      </c>
      <c r="D12">
        <v>34.83</v>
      </c>
      <c r="E12">
        <v>35.19</v>
      </c>
      <c r="F12">
        <v>9962100</v>
      </c>
      <c r="G12">
        <v>35.07</v>
      </c>
    </row>
    <row r="13" spans="1:7" x14ac:dyDescent="0.25">
      <c r="A13" s="34">
        <v>41836</v>
      </c>
      <c r="B13">
        <v>35.25</v>
      </c>
      <c r="C13">
        <v>35.29</v>
      </c>
      <c r="D13">
        <v>32.69</v>
      </c>
      <c r="E13">
        <v>33</v>
      </c>
      <c r="F13">
        <v>89282600</v>
      </c>
      <c r="G13">
        <v>32.89</v>
      </c>
    </row>
    <row r="14" spans="1:7" x14ac:dyDescent="0.25">
      <c r="A14" s="34">
        <v>41837</v>
      </c>
      <c r="B14">
        <v>32.99</v>
      </c>
      <c r="C14">
        <v>33.31</v>
      </c>
      <c r="D14">
        <v>32.68</v>
      </c>
      <c r="E14">
        <v>32.770000000000003</v>
      </c>
      <c r="F14">
        <v>38800600</v>
      </c>
      <c r="G14">
        <v>32.659999999999997</v>
      </c>
    </row>
    <row r="15" spans="1:7" x14ac:dyDescent="0.25">
      <c r="A15" s="34">
        <v>41838</v>
      </c>
      <c r="B15">
        <v>33.049999999999997</v>
      </c>
      <c r="C15">
        <v>33.14</v>
      </c>
      <c r="D15">
        <v>32.58</v>
      </c>
      <c r="E15">
        <v>33.01</v>
      </c>
      <c r="F15">
        <v>29432000</v>
      </c>
      <c r="G15">
        <v>32.9</v>
      </c>
    </row>
    <row r="16" spans="1:7" x14ac:dyDescent="0.25">
      <c r="A16" s="34">
        <v>41841</v>
      </c>
      <c r="B16">
        <v>32.9</v>
      </c>
      <c r="C16">
        <v>33.15</v>
      </c>
      <c r="D16">
        <v>32.74</v>
      </c>
      <c r="E16">
        <v>32.89</v>
      </c>
      <c r="F16">
        <v>16953400</v>
      </c>
      <c r="G16">
        <v>32.78</v>
      </c>
    </row>
    <row r="17" spans="1:7" x14ac:dyDescent="0.25">
      <c r="A17" s="34">
        <v>41842</v>
      </c>
      <c r="B17">
        <v>33.08</v>
      </c>
      <c r="C17">
        <v>33.47</v>
      </c>
      <c r="D17">
        <v>32.89</v>
      </c>
      <c r="E17">
        <v>33.340000000000003</v>
      </c>
      <c r="F17">
        <v>15797900</v>
      </c>
      <c r="G17">
        <v>33.22</v>
      </c>
    </row>
    <row r="18" spans="1:7" x14ac:dyDescent="0.25">
      <c r="A18" s="34">
        <v>41843</v>
      </c>
      <c r="B18">
        <v>33.08</v>
      </c>
      <c r="C18">
        <v>33.18</v>
      </c>
      <c r="D18">
        <v>32.56</v>
      </c>
      <c r="E18">
        <v>32.700000000000003</v>
      </c>
      <c r="F18">
        <v>24368600</v>
      </c>
      <c r="G18">
        <v>32.590000000000003</v>
      </c>
    </row>
    <row r="19" spans="1:7" x14ac:dyDescent="0.25">
      <c r="A19" s="34">
        <v>41844</v>
      </c>
      <c r="B19">
        <v>32.68</v>
      </c>
      <c r="C19">
        <v>33.01</v>
      </c>
      <c r="D19">
        <v>32.619999999999997</v>
      </c>
      <c r="E19">
        <v>32.92</v>
      </c>
      <c r="F19">
        <v>24516000</v>
      </c>
      <c r="G19">
        <v>32.81</v>
      </c>
    </row>
    <row r="20" spans="1:7" x14ac:dyDescent="0.25">
      <c r="A20" s="34">
        <v>41845</v>
      </c>
      <c r="B20">
        <v>33.47</v>
      </c>
      <c r="C20">
        <v>33.49</v>
      </c>
      <c r="D20">
        <v>32.78</v>
      </c>
      <c r="E20">
        <v>32.81</v>
      </c>
      <c r="F20">
        <v>18561200</v>
      </c>
      <c r="G20">
        <v>32.700000000000003</v>
      </c>
    </row>
    <row r="21" spans="1:7" x14ac:dyDescent="0.25">
      <c r="A21" s="34">
        <v>41848</v>
      </c>
      <c r="B21">
        <v>32.83</v>
      </c>
      <c r="C21">
        <v>32.93</v>
      </c>
      <c r="D21">
        <v>32.42</v>
      </c>
      <c r="E21">
        <v>32.46</v>
      </c>
      <c r="F21">
        <v>17754200</v>
      </c>
      <c r="G21">
        <v>32.35</v>
      </c>
    </row>
    <row r="22" spans="1:7" x14ac:dyDescent="0.25">
      <c r="A22" s="34">
        <v>41849</v>
      </c>
      <c r="B22">
        <v>32.56</v>
      </c>
      <c r="C22">
        <v>32.64</v>
      </c>
      <c r="D22">
        <v>32.15</v>
      </c>
      <c r="E22">
        <v>32.15</v>
      </c>
      <c r="F22">
        <v>15845800</v>
      </c>
      <c r="G22">
        <v>32.04</v>
      </c>
    </row>
    <row r="23" spans="1:7" x14ac:dyDescent="0.25">
      <c r="A23" s="34">
        <v>41850</v>
      </c>
      <c r="B23">
        <v>32.25</v>
      </c>
      <c r="C23">
        <v>32.53</v>
      </c>
      <c r="D23">
        <v>31.94</v>
      </c>
      <c r="E23">
        <v>32</v>
      </c>
      <c r="F23">
        <v>27828400</v>
      </c>
      <c r="G23">
        <v>31.89</v>
      </c>
    </row>
    <row r="24" spans="1:7" x14ac:dyDescent="0.25">
      <c r="A24" s="34">
        <v>41851</v>
      </c>
      <c r="B24">
        <v>31.89</v>
      </c>
      <c r="C24">
        <v>32.270000000000003</v>
      </c>
      <c r="D24">
        <v>31.67</v>
      </c>
      <c r="E24">
        <v>31.67</v>
      </c>
      <c r="F24">
        <v>21844600</v>
      </c>
      <c r="G24">
        <v>31.56</v>
      </c>
    </row>
    <row r="25" spans="1:7" x14ac:dyDescent="0.25">
      <c r="A25" s="34">
        <v>41852</v>
      </c>
      <c r="B25">
        <v>31.71</v>
      </c>
      <c r="C25">
        <v>32.08</v>
      </c>
      <c r="D25">
        <v>31.53</v>
      </c>
      <c r="E25">
        <v>31.94</v>
      </c>
      <c r="F25">
        <v>16580700</v>
      </c>
      <c r="G25">
        <v>31.83</v>
      </c>
    </row>
    <row r="26" spans="1:7" x14ac:dyDescent="0.25">
      <c r="A26" s="34">
        <v>41855</v>
      </c>
      <c r="B26">
        <v>31.92</v>
      </c>
      <c r="C26">
        <v>32.08</v>
      </c>
      <c r="D26">
        <v>31.5</v>
      </c>
      <c r="E26">
        <v>31.52</v>
      </c>
      <c r="F26">
        <v>18642400</v>
      </c>
      <c r="G26">
        <v>31.41</v>
      </c>
    </row>
    <row r="27" spans="1:7" x14ac:dyDescent="0.25">
      <c r="A27" s="34">
        <v>41856</v>
      </c>
      <c r="B27">
        <v>31.47</v>
      </c>
      <c r="C27">
        <v>31.78</v>
      </c>
      <c r="D27">
        <v>31.27</v>
      </c>
      <c r="E27">
        <v>31.3</v>
      </c>
      <c r="F27">
        <v>26355800</v>
      </c>
      <c r="G27">
        <v>31.19</v>
      </c>
    </row>
    <row r="28" spans="1:7" x14ac:dyDescent="0.25">
      <c r="A28" s="34">
        <v>41857</v>
      </c>
      <c r="B28">
        <v>33.200000000000003</v>
      </c>
      <c r="C28">
        <v>33.25</v>
      </c>
      <c r="D28">
        <v>32.200000000000003</v>
      </c>
      <c r="E28">
        <v>32.33</v>
      </c>
      <c r="F28">
        <v>49969400</v>
      </c>
      <c r="G28">
        <v>32.22</v>
      </c>
    </row>
    <row r="29" spans="1:7" x14ac:dyDescent="0.25">
      <c r="A29" s="34">
        <v>41858</v>
      </c>
      <c r="B29">
        <v>34.51</v>
      </c>
      <c r="C29">
        <v>34.92</v>
      </c>
      <c r="D29">
        <v>33.69</v>
      </c>
      <c r="E29">
        <v>33.96</v>
      </c>
      <c r="F29">
        <v>42015200</v>
      </c>
      <c r="G29">
        <v>33.840000000000003</v>
      </c>
    </row>
    <row r="30" spans="1:7" x14ac:dyDescent="0.25">
      <c r="A30" s="34">
        <v>41859</v>
      </c>
      <c r="B30">
        <v>33.71</v>
      </c>
      <c r="C30">
        <v>34.409999999999997</v>
      </c>
      <c r="D30">
        <v>33.700000000000003</v>
      </c>
      <c r="E30">
        <v>34.369999999999997</v>
      </c>
      <c r="F30">
        <v>18765000</v>
      </c>
      <c r="G30">
        <v>34.25</v>
      </c>
    </row>
    <row r="31" spans="1:7" x14ac:dyDescent="0.25">
      <c r="A31" s="34">
        <v>41862</v>
      </c>
      <c r="B31">
        <v>34.520000000000003</v>
      </c>
      <c r="C31">
        <v>34.979999999999997</v>
      </c>
      <c r="D31">
        <v>34.159999999999997</v>
      </c>
      <c r="E31">
        <v>34.770000000000003</v>
      </c>
      <c r="F31">
        <v>19259700</v>
      </c>
      <c r="G31">
        <v>34.65</v>
      </c>
    </row>
    <row r="32" spans="1:7" x14ac:dyDescent="0.25">
      <c r="A32" s="34">
        <v>41863</v>
      </c>
      <c r="B32">
        <v>34.69</v>
      </c>
      <c r="C32">
        <v>35.26</v>
      </c>
      <c r="D32">
        <v>34.590000000000003</v>
      </c>
      <c r="E32">
        <v>35.11</v>
      </c>
      <c r="F32">
        <v>17794400</v>
      </c>
      <c r="G32">
        <v>34.99</v>
      </c>
    </row>
    <row r="33" spans="1:7" x14ac:dyDescent="0.25">
      <c r="A33" s="34">
        <v>41864</v>
      </c>
      <c r="B33">
        <v>35.11</v>
      </c>
      <c r="C33">
        <v>35.450000000000003</v>
      </c>
      <c r="D33">
        <v>35.020000000000003</v>
      </c>
      <c r="E33">
        <v>35.4</v>
      </c>
      <c r="F33">
        <v>15511200</v>
      </c>
      <c r="G33">
        <v>35.28</v>
      </c>
    </row>
    <row r="34" spans="1:7" x14ac:dyDescent="0.25">
      <c r="A34" s="34">
        <v>41865</v>
      </c>
      <c r="B34">
        <v>35.29</v>
      </c>
      <c r="C34">
        <v>35.81</v>
      </c>
      <c r="D34">
        <v>35.29</v>
      </c>
      <c r="E34">
        <v>35.76</v>
      </c>
      <c r="F34">
        <v>15799300</v>
      </c>
      <c r="G34">
        <v>35.64</v>
      </c>
    </row>
    <row r="35" spans="1:7" x14ac:dyDescent="0.25">
      <c r="A35" s="34">
        <v>41866</v>
      </c>
      <c r="B35">
        <v>36.01</v>
      </c>
      <c r="C35">
        <v>36.11</v>
      </c>
      <c r="D35">
        <v>35.68</v>
      </c>
      <c r="E35">
        <v>35.86</v>
      </c>
      <c r="F35">
        <v>17620200</v>
      </c>
      <c r="G35">
        <v>35.74</v>
      </c>
    </row>
    <row r="36" spans="1:7" x14ac:dyDescent="0.25">
      <c r="A36" s="34">
        <v>41869</v>
      </c>
      <c r="B36">
        <v>36</v>
      </c>
      <c r="C36">
        <v>36.24</v>
      </c>
      <c r="D36">
        <v>35.78</v>
      </c>
      <c r="E36">
        <v>35.97</v>
      </c>
      <c r="F36">
        <v>10115800</v>
      </c>
      <c r="G36">
        <v>35.85</v>
      </c>
    </row>
    <row r="37" spans="1:7" x14ac:dyDescent="0.25">
      <c r="A37" s="34">
        <v>41870</v>
      </c>
      <c r="B37">
        <v>35.950000000000003</v>
      </c>
      <c r="C37">
        <v>36.04</v>
      </c>
      <c r="D37">
        <v>35.630000000000003</v>
      </c>
      <c r="E37">
        <v>35.89</v>
      </c>
      <c r="F37">
        <v>9121300</v>
      </c>
      <c r="G37">
        <v>35.770000000000003</v>
      </c>
    </row>
    <row r="38" spans="1:7" x14ac:dyDescent="0.25">
      <c r="A38" s="34">
        <v>41871</v>
      </c>
      <c r="B38">
        <v>36.08</v>
      </c>
      <c r="C38">
        <v>36.08</v>
      </c>
      <c r="D38">
        <v>35.58</v>
      </c>
      <c r="E38">
        <v>35.67</v>
      </c>
      <c r="F38">
        <v>9274200</v>
      </c>
      <c r="G38">
        <v>35.549999999999997</v>
      </c>
    </row>
    <row r="39" spans="1:7" x14ac:dyDescent="0.25">
      <c r="A39" s="34">
        <v>41872</v>
      </c>
      <c r="B39">
        <v>35.67</v>
      </c>
      <c r="C39">
        <v>35.85</v>
      </c>
      <c r="D39">
        <v>35.479999999999997</v>
      </c>
      <c r="E39">
        <v>35.729999999999997</v>
      </c>
      <c r="F39">
        <v>7833100</v>
      </c>
      <c r="G39">
        <v>35.61</v>
      </c>
    </row>
    <row r="40" spans="1:7" x14ac:dyDescent="0.25">
      <c r="A40" s="34">
        <v>41873</v>
      </c>
      <c r="B40">
        <v>35.81</v>
      </c>
      <c r="C40">
        <v>35.92</v>
      </c>
      <c r="D40">
        <v>35.51</v>
      </c>
      <c r="E40">
        <v>35.69</v>
      </c>
      <c r="F40">
        <v>6367800</v>
      </c>
      <c r="G40">
        <v>35.57</v>
      </c>
    </row>
    <row r="41" spans="1:7" x14ac:dyDescent="0.25">
      <c r="A41" s="34">
        <v>41876</v>
      </c>
      <c r="B41">
        <v>35.79</v>
      </c>
      <c r="C41">
        <v>35.950000000000003</v>
      </c>
      <c r="D41">
        <v>35.42</v>
      </c>
      <c r="E41">
        <v>35.56</v>
      </c>
      <c r="F41">
        <v>6169600</v>
      </c>
      <c r="G41">
        <v>35.44</v>
      </c>
    </row>
    <row r="42" spans="1:7" x14ac:dyDescent="0.25">
      <c r="A42" s="34">
        <v>41877</v>
      </c>
      <c r="B42">
        <v>35.57</v>
      </c>
      <c r="C42">
        <v>35.78</v>
      </c>
      <c r="D42">
        <v>35.47</v>
      </c>
      <c r="E42">
        <v>35.56</v>
      </c>
      <c r="F42">
        <v>6620100</v>
      </c>
      <c r="G42">
        <v>35.44</v>
      </c>
    </row>
    <row r="43" spans="1:7" x14ac:dyDescent="0.25">
      <c r="A43" s="34">
        <v>41878</v>
      </c>
      <c r="B43">
        <v>35.53</v>
      </c>
      <c r="C43">
        <v>35.85</v>
      </c>
      <c r="D43">
        <v>35.47</v>
      </c>
      <c r="E43">
        <v>35.85</v>
      </c>
      <c r="F43">
        <v>6079600</v>
      </c>
      <c r="G43">
        <v>35.729999999999997</v>
      </c>
    </row>
    <row r="44" spans="1:7" x14ac:dyDescent="0.25">
      <c r="A44" s="34">
        <v>41879</v>
      </c>
      <c r="B44">
        <v>35.630000000000003</v>
      </c>
      <c r="C44">
        <v>35.81</v>
      </c>
      <c r="D44">
        <v>35.57</v>
      </c>
      <c r="E44">
        <v>35.6</v>
      </c>
      <c r="F44">
        <v>6975800</v>
      </c>
      <c r="G44">
        <v>35.479999999999997</v>
      </c>
    </row>
    <row r="45" spans="1:7" x14ac:dyDescent="0.25">
      <c r="A45" s="34">
        <v>41880</v>
      </c>
      <c r="B45">
        <v>35.770000000000003</v>
      </c>
      <c r="C45">
        <v>35.770000000000003</v>
      </c>
      <c r="D45">
        <v>35.26</v>
      </c>
      <c r="E45">
        <v>35.42</v>
      </c>
      <c r="F45">
        <v>9515800</v>
      </c>
      <c r="G45">
        <v>35.299999999999997</v>
      </c>
    </row>
    <row r="46" spans="1:7" x14ac:dyDescent="0.25">
      <c r="A46" s="34">
        <v>41884</v>
      </c>
      <c r="B46">
        <v>35.39</v>
      </c>
      <c r="C46">
        <v>35.99</v>
      </c>
      <c r="D46">
        <v>35.39</v>
      </c>
      <c r="E46">
        <v>35.93</v>
      </c>
      <c r="F46">
        <v>8477200</v>
      </c>
      <c r="G46">
        <v>35.81</v>
      </c>
    </row>
    <row r="47" spans="1:7" x14ac:dyDescent="0.25">
      <c r="A47" s="34">
        <v>41885</v>
      </c>
      <c r="B47">
        <v>36</v>
      </c>
      <c r="C47">
        <v>36.340000000000003</v>
      </c>
      <c r="D47">
        <v>35.86</v>
      </c>
      <c r="E47">
        <v>36.299999999999997</v>
      </c>
      <c r="F47">
        <v>11825400</v>
      </c>
      <c r="G47">
        <v>36.17</v>
      </c>
    </row>
    <row r="48" spans="1:7" x14ac:dyDescent="0.25">
      <c r="A48" s="34">
        <v>41886</v>
      </c>
      <c r="B48">
        <v>36.270000000000003</v>
      </c>
      <c r="C48">
        <v>36.56</v>
      </c>
      <c r="D48">
        <v>36.1</v>
      </c>
      <c r="E48">
        <v>36.130000000000003</v>
      </c>
      <c r="F48">
        <v>11031900</v>
      </c>
      <c r="G48">
        <v>36.01</v>
      </c>
    </row>
    <row r="49" spans="1:7" x14ac:dyDescent="0.25">
      <c r="A49" s="34">
        <v>41887</v>
      </c>
      <c r="B49">
        <v>35.83</v>
      </c>
      <c r="C49">
        <v>36.33</v>
      </c>
      <c r="D49">
        <v>35.83</v>
      </c>
      <c r="E49">
        <v>36.15</v>
      </c>
      <c r="F49">
        <v>8935100</v>
      </c>
      <c r="G49">
        <v>36.03</v>
      </c>
    </row>
    <row r="50" spans="1:7" x14ac:dyDescent="0.25">
      <c r="A50" s="34">
        <v>41890</v>
      </c>
      <c r="B50">
        <v>35.9</v>
      </c>
      <c r="C50">
        <v>36.36</v>
      </c>
      <c r="D50">
        <v>35.83</v>
      </c>
      <c r="E50">
        <v>35.880000000000003</v>
      </c>
      <c r="F50">
        <v>14029900</v>
      </c>
      <c r="G50">
        <v>35.880000000000003</v>
      </c>
    </row>
    <row r="51" spans="1:7" x14ac:dyDescent="0.25">
      <c r="A51" s="34">
        <v>41891</v>
      </c>
      <c r="B51">
        <v>35.76</v>
      </c>
      <c r="C51">
        <v>35.89</v>
      </c>
      <c r="D51">
        <v>35.47</v>
      </c>
      <c r="E51">
        <v>35.67</v>
      </c>
      <c r="F51">
        <v>8795500</v>
      </c>
      <c r="G51">
        <v>35.67</v>
      </c>
    </row>
    <row r="52" spans="1:7" x14ac:dyDescent="0.25">
      <c r="A52" s="34">
        <v>41892</v>
      </c>
      <c r="B52">
        <v>35.590000000000003</v>
      </c>
      <c r="C52">
        <v>35.71</v>
      </c>
      <c r="D52">
        <v>35.36</v>
      </c>
      <c r="E52">
        <v>35.56</v>
      </c>
      <c r="F52">
        <v>7408600</v>
      </c>
      <c r="G52">
        <v>35.56</v>
      </c>
    </row>
    <row r="53" spans="1:7" x14ac:dyDescent="0.25">
      <c r="A53" s="34">
        <v>41893</v>
      </c>
      <c r="B53">
        <v>34.83</v>
      </c>
      <c r="C53">
        <v>35.82</v>
      </c>
      <c r="D53">
        <v>34.83</v>
      </c>
      <c r="E53">
        <v>35.299999999999997</v>
      </c>
      <c r="F53">
        <v>13305000</v>
      </c>
      <c r="G53">
        <v>35.299999999999997</v>
      </c>
    </row>
    <row r="54" spans="1:7" x14ac:dyDescent="0.25">
      <c r="A54" s="34">
        <v>41894</v>
      </c>
      <c r="B54">
        <v>35.340000000000003</v>
      </c>
      <c r="C54">
        <v>35.4</v>
      </c>
      <c r="D54">
        <v>34.96</v>
      </c>
      <c r="E54">
        <v>35.049999999999997</v>
      </c>
      <c r="F54">
        <v>12086700</v>
      </c>
      <c r="G54">
        <v>35.049999999999997</v>
      </c>
    </row>
    <row r="55" spans="1:7" x14ac:dyDescent="0.25">
      <c r="A55" s="34">
        <v>41897</v>
      </c>
      <c r="B55">
        <v>34.950000000000003</v>
      </c>
      <c r="C55">
        <v>35.07</v>
      </c>
      <c r="D55">
        <v>34.53</v>
      </c>
      <c r="E55">
        <v>34.909999999999997</v>
      </c>
      <c r="F55">
        <v>9915300</v>
      </c>
      <c r="G55">
        <v>34.909999999999997</v>
      </c>
    </row>
  </sheetData>
  <sortState ref="A3:G55">
    <sortCondition ref="A3:A55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115.17</v>
      </c>
      <c r="C3">
        <v>117.07</v>
      </c>
      <c r="D3">
        <v>114.66</v>
      </c>
      <c r="E3">
        <v>116.45</v>
      </c>
      <c r="F3">
        <v>2174100</v>
      </c>
      <c r="G3">
        <v>116.45</v>
      </c>
    </row>
    <row r="4" spans="1:7" x14ac:dyDescent="0.25">
      <c r="A4" s="34">
        <v>41822</v>
      </c>
      <c r="B4">
        <v>116.19</v>
      </c>
      <c r="C4">
        <v>116.45</v>
      </c>
      <c r="D4">
        <v>115.13</v>
      </c>
      <c r="E4">
        <v>115.5</v>
      </c>
      <c r="F4">
        <v>1484300</v>
      </c>
      <c r="G4">
        <v>115.5</v>
      </c>
    </row>
    <row r="5" spans="1:7" x14ac:dyDescent="0.25">
      <c r="A5" s="34">
        <v>41823</v>
      </c>
      <c r="B5">
        <v>116.05</v>
      </c>
      <c r="C5">
        <v>116.52</v>
      </c>
      <c r="D5">
        <v>115.75</v>
      </c>
      <c r="E5">
        <v>116.02</v>
      </c>
      <c r="F5">
        <v>888900</v>
      </c>
      <c r="G5">
        <v>116.02</v>
      </c>
    </row>
    <row r="6" spans="1:7" x14ac:dyDescent="0.25">
      <c r="A6" s="34">
        <v>41827</v>
      </c>
      <c r="B6">
        <v>116.17</v>
      </c>
      <c r="C6">
        <v>116.23</v>
      </c>
      <c r="D6">
        <v>115.34</v>
      </c>
      <c r="E6">
        <v>115.75</v>
      </c>
      <c r="F6">
        <v>1392000</v>
      </c>
      <c r="G6">
        <v>115.75</v>
      </c>
    </row>
    <row r="7" spans="1:7" x14ac:dyDescent="0.25">
      <c r="A7" s="34">
        <v>41828</v>
      </c>
      <c r="B7">
        <v>115.67</v>
      </c>
      <c r="C7">
        <v>115.75</v>
      </c>
      <c r="D7">
        <v>114.32</v>
      </c>
      <c r="E7">
        <v>114.8</v>
      </c>
      <c r="F7">
        <v>1316300</v>
      </c>
      <c r="G7">
        <v>114.8</v>
      </c>
    </row>
    <row r="8" spans="1:7" x14ac:dyDescent="0.25">
      <c r="A8" s="34">
        <v>41829</v>
      </c>
      <c r="B8">
        <v>115</v>
      </c>
      <c r="C8">
        <v>115.68</v>
      </c>
      <c r="D8">
        <v>114.53</v>
      </c>
      <c r="E8">
        <v>115.62</v>
      </c>
      <c r="F8">
        <v>1094800</v>
      </c>
      <c r="G8">
        <v>115.62</v>
      </c>
    </row>
    <row r="9" spans="1:7" x14ac:dyDescent="0.25">
      <c r="A9" s="34">
        <v>41830</v>
      </c>
      <c r="B9">
        <v>114.07</v>
      </c>
      <c r="C9">
        <v>116.12</v>
      </c>
      <c r="D9">
        <v>114.04</v>
      </c>
      <c r="E9">
        <v>115.53</v>
      </c>
      <c r="F9">
        <v>1173200</v>
      </c>
      <c r="G9">
        <v>115.53</v>
      </c>
    </row>
    <row r="10" spans="1:7" x14ac:dyDescent="0.25">
      <c r="A10" s="34">
        <v>41831</v>
      </c>
      <c r="B10">
        <v>115.67</v>
      </c>
      <c r="C10">
        <v>117.02</v>
      </c>
      <c r="D10">
        <v>115.31</v>
      </c>
      <c r="E10">
        <v>116.85</v>
      </c>
      <c r="F10">
        <v>1513300</v>
      </c>
      <c r="G10">
        <v>116.85</v>
      </c>
    </row>
    <row r="11" spans="1:7" x14ac:dyDescent="0.25">
      <c r="A11" s="34">
        <v>41834</v>
      </c>
      <c r="B11">
        <v>117.09</v>
      </c>
      <c r="C11">
        <v>117.45</v>
      </c>
      <c r="D11">
        <v>116.41</v>
      </c>
      <c r="E11">
        <v>116.68</v>
      </c>
      <c r="F11">
        <v>1556900</v>
      </c>
      <c r="G11">
        <v>116.68</v>
      </c>
    </row>
    <row r="12" spans="1:7" x14ac:dyDescent="0.25">
      <c r="A12" s="34">
        <v>41835</v>
      </c>
      <c r="B12">
        <v>116.89</v>
      </c>
      <c r="C12">
        <v>118.1</v>
      </c>
      <c r="D12">
        <v>116.87</v>
      </c>
      <c r="E12">
        <v>117.51</v>
      </c>
      <c r="F12">
        <v>1596700</v>
      </c>
      <c r="G12">
        <v>117.51</v>
      </c>
    </row>
    <row r="13" spans="1:7" x14ac:dyDescent="0.25">
      <c r="A13" s="34">
        <v>41836</v>
      </c>
      <c r="B13">
        <v>117.96</v>
      </c>
      <c r="C13">
        <v>118.15</v>
      </c>
      <c r="D13">
        <v>117.15</v>
      </c>
      <c r="E13">
        <v>117.51</v>
      </c>
      <c r="F13">
        <v>798800</v>
      </c>
      <c r="G13">
        <v>117.51</v>
      </c>
    </row>
    <row r="14" spans="1:7" x14ac:dyDescent="0.25">
      <c r="A14" s="34">
        <v>41837</v>
      </c>
      <c r="B14">
        <v>117.06</v>
      </c>
      <c r="C14">
        <v>117.55</v>
      </c>
      <c r="D14">
        <v>116.05</v>
      </c>
      <c r="E14">
        <v>116.1</v>
      </c>
      <c r="F14">
        <v>795800</v>
      </c>
      <c r="G14">
        <v>116.1</v>
      </c>
    </row>
    <row r="15" spans="1:7" x14ac:dyDescent="0.25">
      <c r="A15" s="34">
        <v>41838</v>
      </c>
      <c r="B15">
        <v>116.65</v>
      </c>
      <c r="C15">
        <v>117.88</v>
      </c>
      <c r="D15">
        <v>116.51</v>
      </c>
      <c r="E15">
        <v>117.64</v>
      </c>
      <c r="F15">
        <v>1424900</v>
      </c>
      <c r="G15">
        <v>117.64</v>
      </c>
    </row>
    <row r="16" spans="1:7" x14ac:dyDescent="0.25">
      <c r="A16" s="34">
        <v>41841</v>
      </c>
      <c r="B16">
        <v>117.48</v>
      </c>
      <c r="C16">
        <v>118.47</v>
      </c>
      <c r="D16">
        <v>117.1</v>
      </c>
      <c r="E16">
        <v>118.35</v>
      </c>
      <c r="F16">
        <v>828500</v>
      </c>
      <c r="G16">
        <v>118.35</v>
      </c>
    </row>
    <row r="17" spans="1:7" x14ac:dyDescent="0.25">
      <c r="A17" s="34">
        <v>41842</v>
      </c>
      <c r="B17">
        <v>118.71</v>
      </c>
      <c r="C17">
        <v>119.14</v>
      </c>
      <c r="D17">
        <v>118.35</v>
      </c>
      <c r="E17">
        <v>118.55</v>
      </c>
      <c r="F17">
        <v>1382700</v>
      </c>
      <c r="G17">
        <v>118.55</v>
      </c>
    </row>
    <row r="18" spans="1:7" x14ac:dyDescent="0.25">
      <c r="A18" s="34">
        <v>41843</v>
      </c>
      <c r="B18">
        <v>120.35</v>
      </c>
      <c r="C18">
        <v>121.11</v>
      </c>
      <c r="D18">
        <v>119.11</v>
      </c>
      <c r="E18">
        <v>120.73</v>
      </c>
      <c r="F18">
        <v>2915400</v>
      </c>
      <c r="G18">
        <v>120.73</v>
      </c>
    </row>
    <row r="19" spans="1:7" x14ac:dyDescent="0.25">
      <c r="A19" s="34">
        <v>41844</v>
      </c>
      <c r="B19">
        <v>120.72</v>
      </c>
      <c r="C19">
        <v>121.93</v>
      </c>
      <c r="D19">
        <v>120.65</v>
      </c>
      <c r="E19">
        <v>121.48</v>
      </c>
      <c r="F19">
        <v>2088000</v>
      </c>
      <c r="G19">
        <v>121.48</v>
      </c>
    </row>
    <row r="20" spans="1:7" x14ac:dyDescent="0.25">
      <c r="A20" s="34">
        <v>41845</v>
      </c>
      <c r="B20">
        <v>120.96</v>
      </c>
      <c r="C20">
        <v>122.17</v>
      </c>
      <c r="D20">
        <v>120.86</v>
      </c>
      <c r="E20">
        <v>121.14</v>
      </c>
      <c r="F20">
        <v>1220600</v>
      </c>
      <c r="G20">
        <v>121.14</v>
      </c>
    </row>
    <row r="21" spans="1:7" x14ac:dyDescent="0.25">
      <c r="A21" s="34">
        <v>41848</v>
      </c>
      <c r="B21">
        <v>120.71</v>
      </c>
      <c r="C21">
        <v>121.11</v>
      </c>
      <c r="D21">
        <v>119.71</v>
      </c>
      <c r="E21">
        <v>120.48</v>
      </c>
      <c r="F21">
        <v>1239300</v>
      </c>
      <c r="G21">
        <v>120.48</v>
      </c>
    </row>
    <row r="22" spans="1:7" x14ac:dyDescent="0.25">
      <c r="A22" s="34">
        <v>41849</v>
      </c>
      <c r="B22">
        <v>120.48</v>
      </c>
      <c r="C22">
        <v>120.71</v>
      </c>
      <c r="D22">
        <v>119.18</v>
      </c>
      <c r="E22">
        <v>119.18</v>
      </c>
      <c r="F22">
        <v>990000</v>
      </c>
      <c r="G22">
        <v>119.18</v>
      </c>
    </row>
    <row r="23" spans="1:7" x14ac:dyDescent="0.25">
      <c r="A23" s="34">
        <v>41850</v>
      </c>
      <c r="B23">
        <v>119.23</v>
      </c>
      <c r="C23">
        <v>119.98</v>
      </c>
      <c r="D23">
        <v>118.55</v>
      </c>
      <c r="E23">
        <v>119.21</v>
      </c>
      <c r="F23">
        <v>1184200</v>
      </c>
      <c r="G23">
        <v>119.21</v>
      </c>
    </row>
    <row r="24" spans="1:7" x14ac:dyDescent="0.25">
      <c r="A24" s="34">
        <v>41851</v>
      </c>
      <c r="B24">
        <v>118.33</v>
      </c>
      <c r="C24">
        <v>118.87</v>
      </c>
      <c r="D24">
        <v>116.45</v>
      </c>
      <c r="E24">
        <v>116.77</v>
      </c>
      <c r="F24">
        <v>2168100</v>
      </c>
      <c r="G24">
        <v>116.77</v>
      </c>
    </row>
    <row r="25" spans="1:7" x14ac:dyDescent="0.25">
      <c r="A25" s="34">
        <v>41852</v>
      </c>
      <c r="B25">
        <v>116.42</v>
      </c>
      <c r="C25">
        <v>118.08</v>
      </c>
      <c r="D25">
        <v>116.42</v>
      </c>
      <c r="E25">
        <v>117.38</v>
      </c>
      <c r="F25">
        <v>1540200</v>
      </c>
      <c r="G25">
        <v>117.38</v>
      </c>
    </row>
    <row r="26" spans="1:7" x14ac:dyDescent="0.25">
      <c r="A26" s="34">
        <v>41855</v>
      </c>
      <c r="B26">
        <v>117.38</v>
      </c>
      <c r="C26">
        <v>117.6</v>
      </c>
      <c r="D26">
        <v>115.91</v>
      </c>
      <c r="E26">
        <v>117.23</v>
      </c>
      <c r="F26">
        <v>1814900</v>
      </c>
      <c r="G26">
        <v>117.23</v>
      </c>
    </row>
    <row r="27" spans="1:7" x14ac:dyDescent="0.25">
      <c r="A27" s="34">
        <v>41856</v>
      </c>
      <c r="B27">
        <v>117</v>
      </c>
      <c r="C27">
        <v>118.5</v>
      </c>
      <c r="D27">
        <v>116.16</v>
      </c>
      <c r="E27">
        <v>116.35</v>
      </c>
      <c r="F27">
        <v>1914300</v>
      </c>
      <c r="G27">
        <v>116.35</v>
      </c>
    </row>
    <row r="28" spans="1:7" x14ac:dyDescent="0.25">
      <c r="A28" s="34">
        <v>41857</v>
      </c>
      <c r="B28">
        <v>115.56</v>
      </c>
      <c r="C28">
        <v>115.99</v>
      </c>
      <c r="D28">
        <v>114.6</v>
      </c>
      <c r="E28">
        <v>114.75</v>
      </c>
      <c r="F28">
        <v>1826600</v>
      </c>
      <c r="G28">
        <v>114.75</v>
      </c>
    </row>
    <row r="29" spans="1:7" x14ac:dyDescent="0.25">
      <c r="A29" s="34">
        <v>41858</v>
      </c>
      <c r="B29">
        <v>114.74</v>
      </c>
      <c r="C29">
        <v>116.1</v>
      </c>
      <c r="D29">
        <v>114.1</v>
      </c>
      <c r="E29">
        <v>114.39</v>
      </c>
      <c r="F29">
        <v>1566300</v>
      </c>
      <c r="G29">
        <v>114.39</v>
      </c>
    </row>
    <row r="30" spans="1:7" x14ac:dyDescent="0.25">
      <c r="A30" s="34">
        <v>41859</v>
      </c>
      <c r="B30">
        <v>114.6</v>
      </c>
      <c r="C30">
        <v>117.29</v>
      </c>
      <c r="D30">
        <v>114.6</v>
      </c>
      <c r="E30">
        <v>117.16</v>
      </c>
      <c r="F30">
        <v>1873500</v>
      </c>
      <c r="G30">
        <v>117.16</v>
      </c>
    </row>
    <row r="31" spans="1:7" x14ac:dyDescent="0.25">
      <c r="A31" s="34">
        <v>41862</v>
      </c>
      <c r="B31">
        <v>117.86</v>
      </c>
      <c r="C31">
        <v>118.51</v>
      </c>
      <c r="D31">
        <v>117.42</v>
      </c>
      <c r="E31">
        <v>117.82</v>
      </c>
      <c r="F31">
        <v>1139000</v>
      </c>
      <c r="G31">
        <v>117.82</v>
      </c>
    </row>
    <row r="32" spans="1:7" x14ac:dyDescent="0.25">
      <c r="A32" s="34">
        <v>41863</v>
      </c>
      <c r="B32">
        <v>117.72</v>
      </c>
      <c r="C32">
        <v>118.6</v>
      </c>
      <c r="D32">
        <v>116.86</v>
      </c>
      <c r="E32">
        <v>117.22</v>
      </c>
      <c r="F32">
        <v>936800</v>
      </c>
      <c r="G32">
        <v>117.22</v>
      </c>
    </row>
    <row r="33" spans="1:7" x14ac:dyDescent="0.25">
      <c r="A33" s="34">
        <v>41864</v>
      </c>
      <c r="B33">
        <v>117.85</v>
      </c>
      <c r="C33">
        <v>119.3</v>
      </c>
      <c r="D33">
        <v>117.64</v>
      </c>
      <c r="E33">
        <v>119.12</v>
      </c>
      <c r="F33">
        <v>921100</v>
      </c>
      <c r="G33">
        <v>119.12</v>
      </c>
    </row>
    <row r="34" spans="1:7" x14ac:dyDescent="0.25">
      <c r="A34" s="34">
        <v>41865</v>
      </c>
      <c r="B34">
        <v>119.35</v>
      </c>
      <c r="C34">
        <v>119.93</v>
      </c>
      <c r="D34">
        <v>119.05</v>
      </c>
      <c r="E34">
        <v>119.12</v>
      </c>
      <c r="F34">
        <v>966000</v>
      </c>
      <c r="G34">
        <v>119.12</v>
      </c>
    </row>
    <row r="35" spans="1:7" x14ac:dyDescent="0.25">
      <c r="A35" s="34">
        <v>41866</v>
      </c>
      <c r="B35">
        <v>119.55</v>
      </c>
      <c r="C35">
        <v>120</v>
      </c>
      <c r="D35">
        <v>118.55</v>
      </c>
      <c r="E35">
        <v>119.34</v>
      </c>
      <c r="F35">
        <v>1879600</v>
      </c>
      <c r="G35">
        <v>119.34</v>
      </c>
    </row>
    <row r="36" spans="1:7" x14ac:dyDescent="0.25">
      <c r="A36" s="34">
        <v>41869</v>
      </c>
      <c r="B36">
        <v>120.2</v>
      </c>
      <c r="C36">
        <v>121.49</v>
      </c>
      <c r="D36">
        <v>120.17</v>
      </c>
      <c r="E36">
        <v>121.18</v>
      </c>
      <c r="F36">
        <v>1079400</v>
      </c>
      <c r="G36">
        <v>121.18</v>
      </c>
    </row>
    <row r="37" spans="1:7" x14ac:dyDescent="0.25">
      <c r="A37" s="34">
        <v>41870</v>
      </c>
      <c r="B37">
        <v>121.4</v>
      </c>
      <c r="C37">
        <v>121.98</v>
      </c>
      <c r="D37">
        <v>121.3</v>
      </c>
      <c r="E37">
        <v>121.81</v>
      </c>
      <c r="F37">
        <v>1054800</v>
      </c>
      <c r="G37">
        <v>121.81</v>
      </c>
    </row>
    <row r="38" spans="1:7" x14ac:dyDescent="0.25">
      <c r="A38" s="34">
        <v>41871</v>
      </c>
      <c r="B38">
        <v>121.65</v>
      </c>
      <c r="C38">
        <v>123.75</v>
      </c>
      <c r="D38">
        <v>121.49</v>
      </c>
      <c r="E38">
        <v>123.48</v>
      </c>
      <c r="F38">
        <v>1220800</v>
      </c>
      <c r="G38">
        <v>123.48</v>
      </c>
    </row>
    <row r="39" spans="1:7" x14ac:dyDescent="0.25">
      <c r="A39" s="34">
        <v>41872</v>
      </c>
      <c r="B39">
        <v>123.47</v>
      </c>
      <c r="C39">
        <v>124.25</v>
      </c>
      <c r="D39">
        <v>123.13</v>
      </c>
      <c r="E39">
        <v>123.68</v>
      </c>
      <c r="F39">
        <v>1254700</v>
      </c>
      <c r="G39">
        <v>123.68</v>
      </c>
    </row>
    <row r="40" spans="1:7" x14ac:dyDescent="0.25">
      <c r="A40" s="34">
        <v>41873</v>
      </c>
      <c r="B40">
        <v>123.67</v>
      </c>
      <c r="C40">
        <v>124.38</v>
      </c>
      <c r="D40">
        <v>123.12</v>
      </c>
      <c r="E40">
        <v>123.85</v>
      </c>
      <c r="F40">
        <v>1121600</v>
      </c>
      <c r="G40">
        <v>123.85</v>
      </c>
    </row>
    <row r="41" spans="1:7" x14ac:dyDescent="0.25">
      <c r="A41" s="34">
        <v>41876</v>
      </c>
      <c r="B41">
        <v>124.19</v>
      </c>
      <c r="C41">
        <v>124.85</v>
      </c>
      <c r="D41">
        <v>123.63</v>
      </c>
      <c r="E41">
        <v>124.42</v>
      </c>
      <c r="F41">
        <v>1167900</v>
      </c>
      <c r="G41">
        <v>124.42</v>
      </c>
    </row>
    <row r="42" spans="1:7" x14ac:dyDescent="0.25">
      <c r="A42" s="34">
        <v>41877</v>
      </c>
      <c r="B42">
        <v>124.66</v>
      </c>
      <c r="C42">
        <v>124.89</v>
      </c>
      <c r="D42">
        <v>124.26</v>
      </c>
      <c r="E42">
        <v>124.4</v>
      </c>
      <c r="F42">
        <v>760300</v>
      </c>
      <c r="G42">
        <v>124.4</v>
      </c>
    </row>
    <row r="43" spans="1:7" x14ac:dyDescent="0.25">
      <c r="A43" s="34">
        <v>41878</v>
      </c>
      <c r="B43">
        <v>124.6</v>
      </c>
      <c r="C43">
        <v>124.76</v>
      </c>
      <c r="D43">
        <v>123.68</v>
      </c>
      <c r="E43">
        <v>123.99</v>
      </c>
      <c r="F43">
        <v>878500</v>
      </c>
      <c r="G43">
        <v>123.99</v>
      </c>
    </row>
    <row r="44" spans="1:7" x14ac:dyDescent="0.25">
      <c r="A44" s="34">
        <v>41879</v>
      </c>
      <c r="B44">
        <v>123.7</v>
      </c>
      <c r="C44">
        <v>123.79</v>
      </c>
      <c r="D44">
        <v>122.94</v>
      </c>
      <c r="E44">
        <v>123.39</v>
      </c>
      <c r="F44">
        <v>1083900</v>
      </c>
      <c r="G44">
        <v>123.39</v>
      </c>
    </row>
    <row r="45" spans="1:7" x14ac:dyDescent="0.25">
      <c r="A45" s="34">
        <v>41880</v>
      </c>
      <c r="B45">
        <v>123.05</v>
      </c>
      <c r="C45">
        <v>123.6</v>
      </c>
      <c r="D45">
        <v>122.64</v>
      </c>
      <c r="E45">
        <v>123.25</v>
      </c>
      <c r="F45">
        <v>1140600</v>
      </c>
      <c r="G45">
        <v>123.25</v>
      </c>
    </row>
    <row r="46" spans="1:7" x14ac:dyDescent="0.25">
      <c r="A46" s="34">
        <v>41884</v>
      </c>
      <c r="B46">
        <v>123.35</v>
      </c>
      <c r="C46">
        <v>123.84</v>
      </c>
      <c r="D46">
        <v>122.54</v>
      </c>
      <c r="E46">
        <v>122.66</v>
      </c>
      <c r="F46">
        <v>1711300</v>
      </c>
      <c r="G46">
        <v>122.66</v>
      </c>
    </row>
    <row r="47" spans="1:7" x14ac:dyDescent="0.25">
      <c r="A47" s="34">
        <v>41885</v>
      </c>
      <c r="B47">
        <v>123.55</v>
      </c>
      <c r="C47">
        <v>124.98</v>
      </c>
      <c r="D47">
        <v>123.47</v>
      </c>
      <c r="E47">
        <v>124.93</v>
      </c>
      <c r="F47">
        <v>2142800</v>
      </c>
      <c r="G47">
        <v>124.93</v>
      </c>
    </row>
    <row r="48" spans="1:7" x14ac:dyDescent="0.25">
      <c r="A48" s="34">
        <v>41886</v>
      </c>
      <c r="B48">
        <v>124.95</v>
      </c>
      <c r="C48">
        <v>126.22</v>
      </c>
      <c r="D48">
        <v>124.51</v>
      </c>
      <c r="E48">
        <v>124.7</v>
      </c>
      <c r="F48">
        <v>1493000</v>
      </c>
      <c r="G48">
        <v>124.7</v>
      </c>
    </row>
    <row r="49" spans="1:7" x14ac:dyDescent="0.25">
      <c r="A49" s="34">
        <v>41887</v>
      </c>
      <c r="B49">
        <v>124.73</v>
      </c>
      <c r="C49">
        <v>125.5</v>
      </c>
      <c r="D49">
        <v>123.56</v>
      </c>
      <c r="E49">
        <v>125.45</v>
      </c>
      <c r="F49">
        <v>1459800</v>
      </c>
      <c r="G49">
        <v>125.45</v>
      </c>
    </row>
    <row r="50" spans="1:7" x14ac:dyDescent="0.25">
      <c r="A50" s="34">
        <v>41890</v>
      </c>
      <c r="B50">
        <v>125.26</v>
      </c>
      <c r="C50">
        <v>126.45</v>
      </c>
      <c r="D50">
        <v>125.04</v>
      </c>
      <c r="E50">
        <v>125.77</v>
      </c>
      <c r="F50">
        <v>1479400</v>
      </c>
      <c r="G50">
        <v>125.77</v>
      </c>
    </row>
    <row r="51" spans="1:7" x14ac:dyDescent="0.25">
      <c r="A51" s="34">
        <v>41891</v>
      </c>
      <c r="B51">
        <v>125.77</v>
      </c>
      <c r="C51">
        <v>127.02</v>
      </c>
      <c r="D51">
        <v>125.72</v>
      </c>
      <c r="E51">
        <v>126.26</v>
      </c>
      <c r="F51">
        <v>1607800</v>
      </c>
      <c r="G51">
        <v>126.26</v>
      </c>
    </row>
    <row r="52" spans="1:7" x14ac:dyDescent="0.25">
      <c r="A52" s="34">
        <v>41892</v>
      </c>
      <c r="B52">
        <v>126.13</v>
      </c>
      <c r="C52">
        <v>127.69</v>
      </c>
      <c r="D52">
        <v>126.03</v>
      </c>
      <c r="E52">
        <v>127.42</v>
      </c>
      <c r="F52">
        <v>1203000</v>
      </c>
      <c r="G52">
        <v>127.42</v>
      </c>
    </row>
    <row r="53" spans="1:7" x14ac:dyDescent="0.25">
      <c r="A53" s="34">
        <v>41893</v>
      </c>
      <c r="B53">
        <v>127.09</v>
      </c>
      <c r="C53">
        <v>127.2</v>
      </c>
      <c r="D53">
        <v>126.34</v>
      </c>
      <c r="E53">
        <v>126.62</v>
      </c>
      <c r="F53">
        <v>1241800</v>
      </c>
      <c r="G53">
        <v>126.62</v>
      </c>
    </row>
    <row r="54" spans="1:7" x14ac:dyDescent="0.25">
      <c r="A54" s="34">
        <v>41894</v>
      </c>
      <c r="B54">
        <v>126.61</v>
      </c>
      <c r="C54">
        <v>126.69</v>
      </c>
      <c r="D54">
        <v>125.8</v>
      </c>
      <c r="E54">
        <v>126.4</v>
      </c>
      <c r="F54">
        <v>1027200</v>
      </c>
      <c r="G54">
        <v>126.4</v>
      </c>
    </row>
    <row r="55" spans="1:7" x14ac:dyDescent="0.25">
      <c r="A55" s="34">
        <v>41897</v>
      </c>
      <c r="B55">
        <v>126.34</v>
      </c>
      <c r="C55">
        <v>127.13</v>
      </c>
      <c r="D55">
        <v>125.78</v>
      </c>
      <c r="E55">
        <v>126.85</v>
      </c>
      <c r="F55">
        <v>1099300</v>
      </c>
      <c r="G55">
        <v>126.85</v>
      </c>
    </row>
  </sheetData>
  <sortState ref="A3:G55">
    <sortCondition ref="A3:A55"/>
  </sortState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26.27</v>
      </c>
      <c r="C3">
        <v>26.5</v>
      </c>
      <c r="D3">
        <v>26.26</v>
      </c>
      <c r="E3">
        <v>26.4</v>
      </c>
      <c r="F3">
        <v>28064500</v>
      </c>
      <c r="G3">
        <v>26.18</v>
      </c>
    </row>
    <row r="4" spans="1:7" x14ac:dyDescent="0.25">
      <c r="A4" s="34">
        <v>41822</v>
      </c>
      <c r="B4">
        <v>26.35</v>
      </c>
      <c r="C4">
        <v>26.65</v>
      </c>
      <c r="D4">
        <v>26.34</v>
      </c>
      <c r="E4">
        <v>26.61</v>
      </c>
      <c r="F4">
        <v>21284100</v>
      </c>
      <c r="G4">
        <v>26.39</v>
      </c>
    </row>
    <row r="5" spans="1:7" x14ac:dyDescent="0.25">
      <c r="A5" s="34">
        <v>41823</v>
      </c>
      <c r="B5">
        <v>26.81</v>
      </c>
      <c r="C5">
        <v>26.89</v>
      </c>
      <c r="D5">
        <v>26.78</v>
      </c>
      <c r="E5">
        <v>26.86</v>
      </c>
      <c r="F5">
        <v>20513900</v>
      </c>
      <c r="G5">
        <v>26.64</v>
      </c>
    </row>
    <row r="6" spans="1:7" x14ac:dyDescent="0.25">
      <c r="A6" s="34">
        <v>41827</v>
      </c>
      <c r="B6">
        <v>26.8</v>
      </c>
      <c r="C6">
        <v>26.84</v>
      </c>
      <c r="D6">
        <v>26.68</v>
      </c>
      <c r="E6">
        <v>26.75</v>
      </c>
      <c r="F6">
        <v>25263000</v>
      </c>
      <c r="G6">
        <v>26.53</v>
      </c>
    </row>
    <row r="7" spans="1:7" x14ac:dyDescent="0.25">
      <c r="A7" s="34">
        <v>41828</v>
      </c>
      <c r="B7">
        <v>26.62</v>
      </c>
      <c r="C7">
        <v>26.65</v>
      </c>
      <c r="D7">
        <v>26.35</v>
      </c>
      <c r="E7">
        <v>26.37</v>
      </c>
      <c r="F7">
        <v>29105600</v>
      </c>
      <c r="G7">
        <v>26.15</v>
      </c>
    </row>
    <row r="8" spans="1:7" x14ac:dyDescent="0.25">
      <c r="A8" s="34">
        <v>41829</v>
      </c>
      <c r="B8">
        <v>26.43</v>
      </c>
      <c r="C8">
        <v>26.43</v>
      </c>
      <c r="D8">
        <v>26.26</v>
      </c>
      <c r="E8">
        <v>26.32</v>
      </c>
      <c r="F8">
        <v>37820500</v>
      </c>
      <c r="G8">
        <v>26.1</v>
      </c>
    </row>
    <row r="9" spans="1:7" x14ac:dyDescent="0.25">
      <c r="A9" s="34">
        <v>41830</v>
      </c>
      <c r="B9">
        <v>26.13</v>
      </c>
      <c r="C9">
        <v>26.29</v>
      </c>
      <c r="D9">
        <v>26.1</v>
      </c>
      <c r="E9">
        <v>26.2</v>
      </c>
      <c r="F9">
        <v>33238500</v>
      </c>
      <c r="G9">
        <v>25.98</v>
      </c>
    </row>
    <row r="10" spans="1:7" x14ac:dyDescent="0.25">
      <c r="A10" s="34">
        <v>41831</v>
      </c>
      <c r="B10">
        <v>26.19</v>
      </c>
      <c r="C10">
        <v>26.55</v>
      </c>
      <c r="D10">
        <v>26.12</v>
      </c>
      <c r="E10">
        <v>26.55</v>
      </c>
      <c r="F10">
        <v>35440200</v>
      </c>
      <c r="G10">
        <v>26.33</v>
      </c>
    </row>
    <row r="11" spans="1:7" x14ac:dyDescent="0.25">
      <c r="A11" s="34">
        <v>41834</v>
      </c>
      <c r="B11">
        <v>26.63</v>
      </c>
      <c r="C11">
        <v>26.86</v>
      </c>
      <c r="D11">
        <v>26.62</v>
      </c>
      <c r="E11">
        <v>26.66</v>
      </c>
      <c r="F11">
        <v>25273800</v>
      </c>
      <c r="G11">
        <v>26.44</v>
      </c>
    </row>
    <row r="12" spans="1:7" x14ac:dyDescent="0.25">
      <c r="A12" s="34">
        <v>41835</v>
      </c>
      <c r="B12">
        <v>26.75</v>
      </c>
      <c r="C12">
        <v>26.8</v>
      </c>
      <c r="D12">
        <v>26.55</v>
      </c>
      <c r="E12">
        <v>26.61</v>
      </c>
      <c r="F12">
        <v>41440200</v>
      </c>
      <c r="G12">
        <v>26.39</v>
      </c>
    </row>
    <row r="13" spans="1:7" x14ac:dyDescent="0.25">
      <c r="A13" s="34">
        <v>41836</v>
      </c>
      <c r="B13">
        <v>26.69</v>
      </c>
      <c r="C13">
        <v>27.15</v>
      </c>
      <c r="D13">
        <v>26.66</v>
      </c>
      <c r="E13">
        <v>27.02</v>
      </c>
      <c r="F13">
        <v>47071000</v>
      </c>
      <c r="G13">
        <v>26.79</v>
      </c>
    </row>
    <row r="14" spans="1:7" x14ac:dyDescent="0.25">
      <c r="A14" s="34">
        <v>41837</v>
      </c>
      <c r="B14">
        <v>26.92</v>
      </c>
      <c r="C14">
        <v>26.98</v>
      </c>
      <c r="D14">
        <v>26.6</v>
      </c>
      <c r="E14">
        <v>26.61</v>
      </c>
      <c r="F14">
        <v>37548900</v>
      </c>
      <c r="G14">
        <v>26.39</v>
      </c>
    </row>
    <row r="15" spans="1:7" x14ac:dyDescent="0.25">
      <c r="A15" s="34">
        <v>41838</v>
      </c>
      <c r="B15">
        <v>26.77</v>
      </c>
      <c r="C15">
        <v>26.78</v>
      </c>
      <c r="D15">
        <v>26.25</v>
      </c>
      <c r="E15">
        <v>26.46</v>
      </c>
      <c r="F15">
        <v>55403000</v>
      </c>
      <c r="G15">
        <v>26.24</v>
      </c>
    </row>
    <row r="16" spans="1:7" x14ac:dyDescent="0.25">
      <c r="A16" s="34">
        <v>41841</v>
      </c>
      <c r="B16">
        <v>26.33</v>
      </c>
      <c r="C16">
        <v>26.33</v>
      </c>
      <c r="D16">
        <v>25.72</v>
      </c>
      <c r="E16">
        <v>25.98</v>
      </c>
      <c r="F16">
        <v>59343000</v>
      </c>
      <c r="G16">
        <v>25.76</v>
      </c>
    </row>
    <row r="17" spans="1:7" x14ac:dyDescent="0.25">
      <c r="A17" s="34">
        <v>41842</v>
      </c>
      <c r="B17">
        <v>26.07</v>
      </c>
      <c r="C17">
        <v>26.1</v>
      </c>
      <c r="D17">
        <v>25.85</v>
      </c>
      <c r="E17">
        <v>26.02</v>
      </c>
      <c r="F17">
        <v>34534600</v>
      </c>
      <c r="G17">
        <v>25.8</v>
      </c>
    </row>
    <row r="18" spans="1:7" x14ac:dyDescent="0.25">
      <c r="A18" s="34">
        <v>41843</v>
      </c>
      <c r="B18">
        <v>26.07</v>
      </c>
      <c r="C18">
        <v>26.09</v>
      </c>
      <c r="D18">
        <v>25.91</v>
      </c>
      <c r="E18">
        <v>25.91</v>
      </c>
      <c r="F18">
        <v>32060800</v>
      </c>
      <c r="G18">
        <v>25.69</v>
      </c>
    </row>
    <row r="19" spans="1:7" x14ac:dyDescent="0.25">
      <c r="A19" s="34">
        <v>41844</v>
      </c>
      <c r="B19">
        <v>25.95</v>
      </c>
      <c r="C19">
        <v>26.08</v>
      </c>
      <c r="D19">
        <v>25.9</v>
      </c>
      <c r="E19">
        <v>25.94</v>
      </c>
      <c r="F19">
        <v>22010800</v>
      </c>
      <c r="G19">
        <v>25.72</v>
      </c>
    </row>
    <row r="20" spans="1:7" x14ac:dyDescent="0.25">
      <c r="A20" s="34">
        <v>41845</v>
      </c>
      <c r="B20">
        <v>25.97</v>
      </c>
      <c r="C20">
        <v>25.99</v>
      </c>
      <c r="D20">
        <v>25.73</v>
      </c>
      <c r="E20">
        <v>25.79</v>
      </c>
      <c r="F20">
        <v>24634100</v>
      </c>
      <c r="G20">
        <v>25.57</v>
      </c>
    </row>
    <row r="21" spans="1:7" x14ac:dyDescent="0.25">
      <c r="A21" s="34">
        <v>41848</v>
      </c>
      <c r="B21">
        <v>25.67</v>
      </c>
      <c r="C21">
        <v>25.73</v>
      </c>
      <c r="D21">
        <v>25.44</v>
      </c>
      <c r="E21">
        <v>25.59</v>
      </c>
      <c r="F21">
        <v>32980200</v>
      </c>
      <c r="G21">
        <v>25.38</v>
      </c>
    </row>
    <row r="22" spans="1:7" x14ac:dyDescent="0.25">
      <c r="A22" s="34">
        <v>41849</v>
      </c>
      <c r="B22">
        <v>25.57</v>
      </c>
      <c r="C22">
        <v>25.72</v>
      </c>
      <c r="D22">
        <v>25.45</v>
      </c>
      <c r="E22">
        <v>25.45</v>
      </c>
      <c r="F22">
        <v>22528900</v>
      </c>
      <c r="G22">
        <v>25.24</v>
      </c>
    </row>
    <row r="23" spans="1:7" x14ac:dyDescent="0.25">
      <c r="A23" s="34">
        <v>41850</v>
      </c>
      <c r="B23">
        <v>25.58</v>
      </c>
      <c r="C23">
        <v>25.79</v>
      </c>
      <c r="D23">
        <v>25.4</v>
      </c>
      <c r="E23">
        <v>25.64</v>
      </c>
      <c r="F23">
        <v>25838200</v>
      </c>
      <c r="G23">
        <v>25.43</v>
      </c>
    </row>
    <row r="24" spans="1:7" x14ac:dyDescent="0.25">
      <c r="A24" s="34">
        <v>41851</v>
      </c>
      <c r="B24">
        <v>25.53</v>
      </c>
      <c r="C24">
        <v>25.56</v>
      </c>
      <c r="D24">
        <v>25.15</v>
      </c>
      <c r="E24">
        <v>25.15</v>
      </c>
      <c r="F24">
        <v>37995200</v>
      </c>
      <c r="G24">
        <v>24.94</v>
      </c>
    </row>
    <row r="25" spans="1:7" x14ac:dyDescent="0.25">
      <c r="A25" s="34">
        <v>41852</v>
      </c>
      <c r="B25">
        <v>25.07</v>
      </c>
      <c r="C25">
        <v>25.36</v>
      </c>
      <c r="D25">
        <v>24.75</v>
      </c>
      <c r="E25">
        <v>25.35</v>
      </c>
      <c r="F25">
        <v>40198800</v>
      </c>
      <c r="G25">
        <v>25.14</v>
      </c>
    </row>
    <row r="26" spans="1:7" x14ac:dyDescent="0.25">
      <c r="A26" s="34">
        <v>41855</v>
      </c>
      <c r="B26">
        <v>25.33</v>
      </c>
      <c r="C26">
        <v>25.42</v>
      </c>
      <c r="D26">
        <v>25.1</v>
      </c>
      <c r="E26">
        <v>25.27</v>
      </c>
      <c r="F26">
        <v>28410300</v>
      </c>
      <c r="G26">
        <v>25.06</v>
      </c>
    </row>
    <row r="27" spans="1:7" x14ac:dyDescent="0.25">
      <c r="A27" s="34">
        <v>41856</v>
      </c>
      <c r="B27">
        <v>25.1</v>
      </c>
      <c r="C27">
        <v>25.29</v>
      </c>
      <c r="D27">
        <v>24.95</v>
      </c>
      <c r="E27">
        <v>25.02</v>
      </c>
      <c r="F27">
        <v>27694300</v>
      </c>
      <c r="G27">
        <v>24.81</v>
      </c>
    </row>
    <row r="28" spans="1:7" x14ac:dyDescent="0.25">
      <c r="A28" s="34">
        <v>41857</v>
      </c>
      <c r="B28">
        <v>25.13</v>
      </c>
      <c r="C28">
        <v>25.57</v>
      </c>
      <c r="D28">
        <v>25.09</v>
      </c>
      <c r="E28">
        <v>25.44</v>
      </c>
      <c r="F28">
        <v>47222600</v>
      </c>
      <c r="G28">
        <v>25.23</v>
      </c>
    </row>
    <row r="29" spans="1:7" x14ac:dyDescent="0.25">
      <c r="A29" s="34">
        <v>41858</v>
      </c>
      <c r="B29">
        <v>25.61</v>
      </c>
      <c r="C29">
        <v>25.7</v>
      </c>
      <c r="D29">
        <v>25.42</v>
      </c>
      <c r="E29">
        <v>25.5</v>
      </c>
      <c r="F29">
        <v>36167500</v>
      </c>
      <c r="G29">
        <v>25.29</v>
      </c>
    </row>
    <row r="30" spans="1:7" x14ac:dyDescent="0.25">
      <c r="A30" s="34">
        <v>41859</v>
      </c>
      <c r="B30">
        <v>25.46</v>
      </c>
      <c r="C30">
        <v>25.67</v>
      </c>
      <c r="D30">
        <v>25.3</v>
      </c>
      <c r="E30">
        <v>25.66</v>
      </c>
      <c r="F30">
        <v>22929500</v>
      </c>
      <c r="G30">
        <v>25.45</v>
      </c>
    </row>
    <row r="31" spans="1:7" x14ac:dyDescent="0.25">
      <c r="A31" s="34">
        <v>41862</v>
      </c>
      <c r="B31">
        <v>25.84</v>
      </c>
      <c r="C31">
        <v>26</v>
      </c>
      <c r="D31">
        <v>25.72</v>
      </c>
      <c r="E31">
        <v>25.79</v>
      </c>
      <c r="F31">
        <v>27873100</v>
      </c>
      <c r="G31">
        <v>25.57</v>
      </c>
    </row>
    <row r="32" spans="1:7" x14ac:dyDescent="0.25">
      <c r="A32" s="34">
        <v>41863</v>
      </c>
      <c r="B32">
        <v>25.85</v>
      </c>
      <c r="C32">
        <v>25.86</v>
      </c>
      <c r="D32">
        <v>25.59</v>
      </c>
      <c r="E32">
        <v>25.61</v>
      </c>
      <c r="F32">
        <v>21780300</v>
      </c>
      <c r="G32">
        <v>25.4</v>
      </c>
    </row>
    <row r="33" spans="1:7" x14ac:dyDescent="0.25">
      <c r="A33" s="34">
        <v>41864</v>
      </c>
      <c r="B33">
        <v>25.72</v>
      </c>
      <c r="C33">
        <v>25.92</v>
      </c>
      <c r="D33">
        <v>25.7</v>
      </c>
      <c r="E33">
        <v>25.83</v>
      </c>
      <c r="F33">
        <v>19870100</v>
      </c>
      <c r="G33">
        <v>25.61</v>
      </c>
    </row>
    <row r="34" spans="1:7" x14ac:dyDescent="0.25">
      <c r="A34" s="34">
        <v>41865</v>
      </c>
      <c r="B34">
        <v>25.89</v>
      </c>
      <c r="C34">
        <v>25.95</v>
      </c>
      <c r="D34">
        <v>25.73</v>
      </c>
      <c r="E34">
        <v>25.88</v>
      </c>
      <c r="F34">
        <v>23322100</v>
      </c>
      <c r="G34">
        <v>25.66</v>
      </c>
    </row>
    <row r="35" spans="1:7" x14ac:dyDescent="0.25">
      <c r="A35" s="34">
        <v>41866</v>
      </c>
      <c r="B35">
        <v>25.95</v>
      </c>
      <c r="C35">
        <v>25.97</v>
      </c>
      <c r="D35">
        <v>25.51</v>
      </c>
      <c r="E35">
        <v>25.64</v>
      </c>
      <c r="F35">
        <v>28167900</v>
      </c>
      <c r="G35">
        <v>25.43</v>
      </c>
    </row>
    <row r="36" spans="1:7" x14ac:dyDescent="0.25">
      <c r="A36" s="34">
        <v>41869</v>
      </c>
      <c r="B36">
        <v>25.87</v>
      </c>
      <c r="C36">
        <v>26.07</v>
      </c>
      <c r="D36">
        <v>25.85</v>
      </c>
      <c r="E36">
        <v>26.07</v>
      </c>
      <c r="F36">
        <v>26809900</v>
      </c>
      <c r="G36">
        <v>25.85</v>
      </c>
    </row>
    <row r="37" spans="1:7" x14ac:dyDescent="0.25">
      <c r="A37" s="34">
        <v>41870</v>
      </c>
      <c r="B37">
        <v>26.14</v>
      </c>
      <c r="C37">
        <v>26.16</v>
      </c>
      <c r="D37">
        <v>26.05</v>
      </c>
      <c r="E37">
        <v>26.05</v>
      </c>
      <c r="F37">
        <v>16137200</v>
      </c>
      <c r="G37">
        <v>25.83</v>
      </c>
    </row>
    <row r="38" spans="1:7" x14ac:dyDescent="0.25">
      <c r="A38" s="34">
        <v>41871</v>
      </c>
      <c r="B38">
        <v>26.08</v>
      </c>
      <c r="C38">
        <v>26.4</v>
      </c>
      <c r="D38">
        <v>26.01</v>
      </c>
      <c r="E38">
        <v>26.36</v>
      </c>
      <c r="F38">
        <v>28855400</v>
      </c>
      <c r="G38">
        <v>26.14</v>
      </c>
    </row>
    <row r="39" spans="1:7" x14ac:dyDescent="0.25">
      <c r="A39" s="34">
        <v>41872</v>
      </c>
      <c r="B39">
        <v>26.42</v>
      </c>
      <c r="C39">
        <v>26.45</v>
      </c>
      <c r="D39">
        <v>26.3</v>
      </c>
      <c r="E39">
        <v>26.43</v>
      </c>
      <c r="F39">
        <v>22185000</v>
      </c>
      <c r="G39">
        <v>26.21</v>
      </c>
    </row>
    <row r="40" spans="1:7" x14ac:dyDescent="0.25">
      <c r="A40" s="34">
        <v>41873</v>
      </c>
      <c r="B40">
        <v>26.34</v>
      </c>
      <c r="C40">
        <v>26.37</v>
      </c>
      <c r="D40">
        <v>26.11</v>
      </c>
      <c r="E40">
        <v>26.15</v>
      </c>
      <c r="F40">
        <v>22784400</v>
      </c>
      <c r="G40">
        <v>25.93</v>
      </c>
    </row>
    <row r="41" spans="1:7" x14ac:dyDescent="0.25">
      <c r="A41" s="34">
        <v>41876</v>
      </c>
      <c r="B41">
        <v>26.15</v>
      </c>
      <c r="C41">
        <v>26.29</v>
      </c>
      <c r="D41">
        <v>26.02</v>
      </c>
      <c r="E41">
        <v>26.2</v>
      </c>
      <c r="F41">
        <v>21856200</v>
      </c>
      <c r="G41">
        <v>25.98</v>
      </c>
    </row>
    <row r="42" spans="1:7" x14ac:dyDescent="0.25">
      <c r="A42" s="34">
        <v>41877</v>
      </c>
      <c r="B42">
        <v>26.22</v>
      </c>
      <c r="C42">
        <v>26.28</v>
      </c>
      <c r="D42">
        <v>26.01</v>
      </c>
      <c r="E42">
        <v>26.01</v>
      </c>
      <c r="F42">
        <v>26313600</v>
      </c>
      <c r="G42">
        <v>25.79</v>
      </c>
    </row>
    <row r="43" spans="1:7" x14ac:dyDescent="0.25">
      <c r="A43" s="34">
        <v>41878</v>
      </c>
      <c r="B43">
        <v>26.05</v>
      </c>
      <c r="C43">
        <v>26.2</v>
      </c>
      <c r="D43">
        <v>26.02</v>
      </c>
      <c r="E43">
        <v>26.13</v>
      </c>
      <c r="F43">
        <v>21176500</v>
      </c>
      <c r="G43">
        <v>25.91</v>
      </c>
    </row>
    <row r="44" spans="1:7" x14ac:dyDescent="0.25">
      <c r="A44" s="34">
        <v>41879</v>
      </c>
      <c r="B44">
        <v>26.03</v>
      </c>
      <c r="C44">
        <v>26.09</v>
      </c>
      <c r="D44">
        <v>25.96</v>
      </c>
      <c r="E44">
        <v>26.01</v>
      </c>
      <c r="F44">
        <v>13438900</v>
      </c>
      <c r="G44">
        <v>25.79</v>
      </c>
    </row>
    <row r="45" spans="1:7" x14ac:dyDescent="0.25">
      <c r="A45" s="34">
        <v>41880</v>
      </c>
      <c r="B45">
        <v>26.03</v>
      </c>
      <c r="C45">
        <v>26.09</v>
      </c>
      <c r="D45">
        <v>25.9</v>
      </c>
      <c r="E45">
        <v>25.98</v>
      </c>
      <c r="F45">
        <v>21914000</v>
      </c>
      <c r="G45">
        <v>25.76</v>
      </c>
    </row>
    <row r="46" spans="1:7" x14ac:dyDescent="0.25">
      <c r="A46" s="34">
        <v>41884</v>
      </c>
      <c r="B46">
        <v>25.89</v>
      </c>
      <c r="C46">
        <v>26.03</v>
      </c>
      <c r="D46">
        <v>25.77</v>
      </c>
      <c r="E46">
        <v>25.85</v>
      </c>
      <c r="F46">
        <v>24378700</v>
      </c>
      <c r="G46">
        <v>25.63</v>
      </c>
    </row>
    <row r="47" spans="1:7" x14ac:dyDescent="0.25">
      <c r="A47" s="34">
        <v>41885</v>
      </c>
      <c r="B47">
        <v>25.98</v>
      </c>
      <c r="C47">
        <v>26</v>
      </c>
      <c r="D47">
        <v>25.82</v>
      </c>
      <c r="E47">
        <v>25.95</v>
      </c>
      <c r="F47">
        <v>19962200</v>
      </c>
      <c r="G47">
        <v>25.73</v>
      </c>
    </row>
    <row r="48" spans="1:7" x14ac:dyDescent="0.25">
      <c r="A48" s="34">
        <v>41886</v>
      </c>
      <c r="B48">
        <v>25.99</v>
      </c>
      <c r="C48">
        <v>26.13</v>
      </c>
      <c r="D48">
        <v>25.89</v>
      </c>
      <c r="E48">
        <v>25.96</v>
      </c>
      <c r="F48">
        <v>26891800</v>
      </c>
      <c r="G48">
        <v>25.74</v>
      </c>
    </row>
    <row r="49" spans="1:7" x14ac:dyDescent="0.25">
      <c r="A49" s="34">
        <v>41887</v>
      </c>
      <c r="B49">
        <v>25.9</v>
      </c>
      <c r="C49">
        <v>26.1</v>
      </c>
      <c r="D49">
        <v>25.8</v>
      </c>
      <c r="E49">
        <v>26.1</v>
      </c>
      <c r="F49">
        <v>21041600</v>
      </c>
      <c r="G49">
        <v>25.88</v>
      </c>
    </row>
    <row r="50" spans="1:7" x14ac:dyDescent="0.25">
      <c r="A50" s="34">
        <v>41890</v>
      </c>
      <c r="B50">
        <v>26.14</v>
      </c>
      <c r="C50">
        <v>26.27</v>
      </c>
      <c r="D50">
        <v>26.06</v>
      </c>
      <c r="E50">
        <v>26.08</v>
      </c>
      <c r="F50">
        <v>20379700</v>
      </c>
      <c r="G50">
        <v>25.86</v>
      </c>
    </row>
    <row r="51" spans="1:7" x14ac:dyDescent="0.25">
      <c r="A51" s="34">
        <v>41891</v>
      </c>
      <c r="B51">
        <v>26.07</v>
      </c>
      <c r="C51">
        <v>26.11</v>
      </c>
      <c r="D51">
        <v>25.85</v>
      </c>
      <c r="E51">
        <v>25.9</v>
      </c>
      <c r="F51">
        <v>21666400</v>
      </c>
      <c r="G51">
        <v>25.68</v>
      </c>
    </row>
    <row r="52" spans="1:7" x14ac:dyDescent="0.25">
      <c r="A52" s="34">
        <v>41892</v>
      </c>
      <c r="B52">
        <v>25.99</v>
      </c>
      <c r="C52">
        <v>26.03</v>
      </c>
      <c r="D52">
        <v>25.85</v>
      </c>
      <c r="E52">
        <v>25.95</v>
      </c>
      <c r="F52">
        <v>19110000</v>
      </c>
      <c r="G52">
        <v>25.73</v>
      </c>
    </row>
    <row r="53" spans="1:7" x14ac:dyDescent="0.25">
      <c r="A53" s="34">
        <v>41893</v>
      </c>
      <c r="B53">
        <v>25.91</v>
      </c>
      <c r="C53">
        <v>26.09</v>
      </c>
      <c r="D53">
        <v>25.83</v>
      </c>
      <c r="E53">
        <v>26.02</v>
      </c>
      <c r="F53">
        <v>22581000</v>
      </c>
      <c r="G53">
        <v>25.8</v>
      </c>
    </row>
    <row r="54" spans="1:7" x14ac:dyDescent="0.25">
      <c r="A54" s="34">
        <v>41894</v>
      </c>
      <c r="B54">
        <v>25.97</v>
      </c>
      <c r="C54">
        <v>25.97</v>
      </c>
      <c r="D54">
        <v>25.8</v>
      </c>
      <c r="E54">
        <v>25.87</v>
      </c>
      <c r="F54">
        <v>24639200</v>
      </c>
      <c r="G54">
        <v>25.65</v>
      </c>
    </row>
    <row r="55" spans="1:7" x14ac:dyDescent="0.25">
      <c r="A55" s="34">
        <v>41897</v>
      </c>
      <c r="B55">
        <v>25.83</v>
      </c>
      <c r="C55">
        <v>25.95</v>
      </c>
      <c r="D55">
        <v>25.75</v>
      </c>
      <c r="E55">
        <v>25.92</v>
      </c>
      <c r="F55">
        <v>15347200</v>
      </c>
      <c r="G55">
        <v>25.7</v>
      </c>
    </row>
  </sheetData>
  <sortState ref="A3:G55">
    <sortCondition ref="A3:A55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83.37</v>
      </c>
      <c r="C3">
        <v>85.49</v>
      </c>
      <c r="D3">
        <v>83.32</v>
      </c>
      <c r="E3">
        <v>85.29</v>
      </c>
      <c r="F3">
        <v>11583500</v>
      </c>
      <c r="G3">
        <v>85.29</v>
      </c>
    </row>
    <row r="4" spans="1:7" x14ac:dyDescent="0.25">
      <c r="A4" s="34">
        <v>41822</v>
      </c>
      <c r="B4">
        <v>85.55</v>
      </c>
      <c r="C4">
        <v>87.88</v>
      </c>
      <c r="D4">
        <v>85.38</v>
      </c>
      <c r="E4">
        <v>87.1</v>
      </c>
      <c r="F4">
        <v>13949300</v>
      </c>
      <c r="G4">
        <v>87.1</v>
      </c>
    </row>
    <row r="5" spans="1:7" x14ac:dyDescent="0.25">
      <c r="A5" s="34">
        <v>41823</v>
      </c>
      <c r="B5">
        <v>87.7</v>
      </c>
      <c r="C5">
        <v>88.4</v>
      </c>
      <c r="D5">
        <v>87.05</v>
      </c>
      <c r="E5">
        <v>87.9</v>
      </c>
      <c r="F5">
        <v>9126100</v>
      </c>
      <c r="G5">
        <v>87.9</v>
      </c>
    </row>
    <row r="6" spans="1:7" x14ac:dyDescent="0.25">
      <c r="A6" s="34">
        <v>41827</v>
      </c>
      <c r="B6">
        <v>88.06</v>
      </c>
      <c r="C6">
        <v>88.6</v>
      </c>
      <c r="D6">
        <v>86.99</v>
      </c>
      <c r="E6">
        <v>87.21</v>
      </c>
      <c r="F6">
        <v>11474000</v>
      </c>
      <c r="G6">
        <v>87.21</v>
      </c>
    </row>
    <row r="7" spans="1:7" x14ac:dyDescent="0.25">
      <c r="A7" s="34">
        <v>41828</v>
      </c>
      <c r="B7">
        <v>86.84</v>
      </c>
      <c r="C7">
        <v>87.52</v>
      </c>
      <c r="D7">
        <v>86.03</v>
      </c>
      <c r="E7">
        <v>87.11</v>
      </c>
      <c r="F7">
        <v>11727100</v>
      </c>
      <c r="G7">
        <v>87.11</v>
      </c>
    </row>
    <row r="8" spans="1:7" x14ac:dyDescent="0.25">
      <c r="A8" s="34">
        <v>41829</v>
      </c>
      <c r="B8">
        <v>87.25</v>
      </c>
      <c r="C8">
        <v>88.96</v>
      </c>
      <c r="D8">
        <v>87.19</v>
      </c>
      <c r="E8">
        <v>88.68</v>
      </c>
      <c r="F8">
        <v>10384400</v>
      </c>
      <c r="G8">
        <v>88.68</v>
      </c>
    </row>
    <row r="9" spans="1:7" x14ac:dyDescent="0.25">
      <c r="A9" s="34">
        <v>41830</v>
      </c>
      <c r="B9">
        <v>87.18</v>
      </c>
      <c r="C9">
        <v>89.25</v>
      </c>
      <c r="D9">
        <v>86.31</v>
      </c>
      <c r="E9">
        <v>88.94</v>
      </c>
      <c r="F9">
        <v>9521200</v>
      </c>
      <c r="G9">
        <v>88.94</v>
      </c>
    </row>
    <row r="10" spans="1:7" x14ac:dyDescent="0.25">
      <c r="A10" s="34">
        <v>41831</v>
      </c>
      <c r="B10">
        <v>88.9</v>
      </c>
      <c r="C10">
        <v>89.98</v>
      </c>
      <c r="D10">
        <v>88.25</v>
      </c>
      <c r="E10">
        <v>88.73</v>
      </c>
      <c r="F10">
        <v>11268700</v>
      </c>
      <c r="G10">
        <v>88.73</v>
      </c>
    </row>
    <row r="11" spans="1:7" x14ac:dyDescent="0.25">
      <c r="A11" s="34">
        <v>41834</v>
      </c>
      <c r="B11">
        <v>89.13</v>
      </c>
      <c r="C11">
        <v>90.27</v>
      </c>
      <c r="D11">
        <v>88.84</v>
      </c>
      <c r="E11">
        <v>89.85</v>
      </c>
      <c r="F11">
        <v>10729000</v>
      </c>
      <c r="G11">
        <v>89.85</v>
      </c>
    </row>
    <row r="12" spans="1:7" x14ac:dyDescent="0.25">
      <c r="A12" s="34">
        <v>41835</v>
      </c>
      <c r="B12">
        <v>90.03</v>
      </c>
      <c r="C12">
        <v>90.74</v>
      </c>
      <c r="D12">
        <v>88.19</v>
      </c>
      <c r="E12">
        <v>89</v>
      </c>
      <c r="F12">
        <v>13756100</v>
      </c>
      <c r="G12">
        <v>89</v>
      </c>
    </row>
    <row r="13" spans="1:7" x14ac:dyDescent="0.25">
      <c r="A13" s="34">
        <v>41836</v>
      </c>
      <c r="B13">
        <v>89.4</v>
      </c>
      <c r="C13">
        <v>89.44</v>
      </c>
      <c r="D13">
        <v>85.82</v>
      </c>
      <c r="E13">
        <v>87</v>
      </c>
      <c r="F13">
        <v>14259700</v>
      </c>
      <c r="G13">
        <v>87</v>
      </c>
    </row>
    <row r="14" spans="1:7" x14ac:dyDescent="0.25">
      <c r="A14" s="34">
        <v>41837</v>
      </c>
      <c r="B14">
        <v>86.4</v>
      </c>
      <c r="C14">
        <v>88.17</v>
      </c>
      <c r="D14">
        <v>84.75</v>
      </c>
      <c r="E14">
        <v>85.07</v>
      </c>
      <c r="F14">
        <v>14942500</v>
      </c>
      <c r="G14">
        <v>85.07</v>
      </c>
    </row>
    <row r="15" spans="1:7" x14ac:dyDescent="0.25">
      <c r="A15" s="34">
        <v>41838</v>
      </c>
      <c r="B15">
        <v>85.73</v>
      </c>
      <c r="C15">
        <v>89.75</v>
      </c>
      <c r="D15">
        <v>85.3</v>
      </c>
      <c r="E15">
        <v>89.19</v>
      </c>
      <c r="F15">
        <v>13236100</v>
      </c>
      <c r="G15">
        <v>89.19</v>
      </c>
    </row>
    <row r="16" spans="1:7" x14ac:dyDescent="0.25">
      <c r="A16" s="34">
        <v>41841</v>
      </c>
      <c r="B16">
        <v>89.8</v>
      </c>
      <c r="C16">
        <v>90.98</v>
      </c>
      <c r="D16">
        <v>88.81</v>
      </c>
      <c r="E16">
        <v>88.86</v>
      </c>
      <c r="F16">
        <v>13809500</v>
      </c>
      <c r="G16">
        <v>88.86</v>
      </c>
    </row>
    <row r="17" spans="1:7" x14ac:dyDescent="0.25">
      <c r="A17" s="34">
        <v>41842</v>
      </c>
      <c r="B17">
        <v>89.32</v>
      </c>
      <c r="C17">
        <v>89.9</v>
      </c>
      <c r="D17">
        <v>88.58</v>
      </c>
      <c r="E17">
        <v>89.33</v>
      </c>
      <c r="F17">
        <v>12302900</v>
      </c>
      <c r="G17">
        <v>89.33</v>
      </c>
    </row>
    <row r="18" spans="1:7" x14ac:dyDescent="0.25">
      <c r="A18" s="34">
        <v>41843</v>
      </c>
      <c r="B18">
        <v>90.1</v>
      </c>
      <c r="C18">
        <v>90.73</v>
      </c>
      <c r="D18">
        <v>89.29</v>
      </c>
      <c r="E18">
        <v>90.34</v>
      </c>
      <c r="F18">
        <v>17612500</v>
      </c>
      <c r="G18">
        <v>90.34</v>
      </c>
    </row>
    <row r="19" spans="1:7" x14ac:dyDescent="0.25">
      <c r="A19" s="34">
        <v>41844</v>
      </c>
      <c r="B19">
        <v>91.56</v>
      </c>
      <c r="C19">
        <v>92.97</v>
      </c>
      <c r="D19">
        <v>89.89</v>
      </c>
      <c r="E19">
        <v>90.54</v>
      </c>
      <c r="F19">
        <v>23528700</v>
      </c>
      <c r="G19">
        <v>90.54</v>
      </c>
    </row>
    <row r="20" spans="1:7" x14ac:dyDescent="0.25">
      <c r="A20" s="34">
        <v>41845</v>
      </c>
      <c r="B20">
        <v>90.68</v>
      </c>
      <c r="C20">
        <v>90.78</v>
      </c>
      <c r="D20">
        <v>88.7</v>
      </c>
      <c r="E20">
        <v>89.84</v>
      </c>
      <c r="F20">
        <v>13059400</v>
      </c>
      <c r="G20">
        <v>89.84</v>
      </c>
    </row>
    <row r="21" spans="1:7" x14ac:dyDescent="0.25">
      <c r="A21" s="34">
        <v>41848</v>
      </c>
      <c r="B21">
        <v>90.1</v>
      </c>
      <c r="C21">
        <v>91.73</v>
      </c>
      <c r="D21">
        <v>89.93</v>
      </c>
      <c r="E21">
        <v>91.46</v>
      </c>
      <c r="F21">
        <v>14066500</v>
      </c>
      <c r="G21">
        <v>91.46</v>
      </c>
    </row>
    <row r="22" spans="1:7" x14ac:dyDescent="0.25">
      <c r="A22" s="34">
        <v>41849</v>
      </c>
      <c r="B22">
        <v>92.1</v>
      </c>
      <c r="C22">
        <v>93.25</v>
      </c>
      <c r="D22">
        <v>91.6</v>
      </c>
      <c r="E22">
        <v>92.99</v>
      </c>
      <c r="F22">
        <v>13989000</v>
      </c>
      <c r="G22">
        <v>92.99</v>
      </c>
    </row>
    <row r="23" spans="1:7" x14ac:dyDescent="0.25">
      <c r="A23" s="34">
        <v>41850</v>
      </c>
      <c r="B23">
        <v>94.3</v>
      </c>
      <c r="C23">
        <v>94.34</v>
      </c>
      <c r="D23">
        <v>93.56</v>
      </c>
      <c r="E23">
        <v>93.79</v>
      </c>
      <c r="F23">
        <v>10753800</v>
      </c>
      <c r="G23">
        <v>93.79</v>
      </c>
    </row>
    <row r="24" spans="1:7" x14ac:dyDescent="0.25">
      <c r="A24" s="34">
        <v>41851</v>
      </c>
      <c r="B24">
        <v>93</v>
      </c>
      <c r="C24">
        <v>93.37</v>
      </c>
      <c r="D24">
        <v>91.25</v>
      </c>
      <c r="E24">
        <v>91.55</v>
      </c>
      <c r="F24">
        <v>13429400</v>
      </c>
      <c r="G24">
        <v>91.55</v>
      </c>
    </row>
    <row r="25" spans="1:7" x14ac:dyDescent="0.25">
      <c r="A25" s="34">
        <v>41852</v>
      </c>
      <c r="B25">
        <v>91</v>
      </c>
      <c r="C25">
        <v>92.6</v>
      </c>
      <c r="D25">
        <v>90.69</v>
      </c>
      <c r="E25">
        <v>91.5</v>
      </c>
      <c r="F25">
        <v>11992900</v>
      </c>
      <c r="G25">
        <v>91.5</v>
      </c>
    </row>
    <row r="26" spans="1:7" x14ac:dyDescent="0.25">
      <c r="A26" s="34">
        <v>41855</v>
      </c>
      <c r="B26">
        <v>92</v>
      </c>
      <c r="C26">
        <v>92.89</v>
      </c>
      <c r="D26">
        <v>91.52</v>
      </c>
      <c r="E26">
        <v>92.18</v>
      </c>
      <c r="F26">
        <v>11030000</v>
      </c>
      <c r="G26">
        <v>92.18</v>
      </c>
    </row>
    <row r="27" spans="1:7" x14ac:dyDescent="0.25">
      <c r="A27" s="34">
        <v>41856</v>
      </c>
      <c r="B27">
        <v>92.25</v>
      </c>
      <c r="C27">
        <v>93.08</v>
      </c>
      <c r="D27">
        <v>91.6</v>
      </c>
      <c r="E27">
        <v>92.27</v>
      </c>
      <c r="F27">
        <v>10250800</v>
      </c>
      <c r="G27">
        <v>92.27</v>
      </c>
    </row>
    <row r="28" spans="1:7" x14ac:dyDescent="0.25">
      <c r="A28" s="34">
        <v>41857</v>
      </c>
      <c r="B28">
        <v>91.5</v>
      </c>
      <c r="C28">
        <v>93.02</v>
      </c>
      <c r="D28">
        <v>91.09</v>
      </c>
      <c r="E28">
        <v>92.79</v>
      </c>
      <c r="F28">
        <v>11016200</v>
      </c>
      <c r="G28">
        <v>92.79</v>
      </c>
    </row>
    <row r="29" spans="1:7" x14ac:dyDescent="0.25">
      <c r="A29" s="34">
        <v>41858</v>
      </c>
      <c r="B29">
        <v>93.55</v>
      </c>
      <c r="C29">
        <v>93.64</v>
      </c>
      <c r="D29">
        <v>91.66</v>
      </c>
      <c r="E29">
        <v>92.05</v>
      </c>
      <c r="F29">
        <v>8804600</v>
      </c>
      <c r="G29">
        <v>92.05</v>
      </c>
    </row>
    <row r="30" spans="1:7" x14ac:dyDescent="0.25">
      <c r="A30" s="34">
        <v>41859</v>
      </c>
      <c r="B30">
        <v>91.84</v>
      </c>
      <c r="C30">
        <v>92.54</v>
      </c>
      <c r="D30">
        <v>90.82</v>
      </c>
      <c r="E30">
        <v>92.45</v>
      </c>
      <c r="F30">
        <v>9820800</v>
      </c>
      <c r="G30">
        <v>92.45</v>
      </c>
    </row>
    <row r="31" spans="1:7" x14ac:dyDescent="0.25">
      <c r="A31" s="34">
        <v>41862</v>
      </c>
      <c r="B31">
        <v>93.14</v>
      </c>
      <c r="C31">
        <v>93.31</v>
      </c>
      <c r="D31">
        <v>92.52</v>
      </c>
      <c r="E31">
        <v>92.92</v>
      </c>
      <c r="F31">
        <v>8575000</v>
      </c>
      <c r="G31">
        <v>92.92</v>
      </c>
    </row>
    <row r="32" spans="1:7" x14ac:dyDescent="0.25">
      <c r="A32" s="34">
        <v>41863</v>
      </c>
      <c r="B32">
        <v>92.7</v>
      </c>
      <c r="C32">
        <v>93.38</v>
      </c>
      <c r="D32">
        <v>92.51</v>
      </c>
      <c r="E32">
        <v>93.36</v>
      </c>
      <c r="F32">
        <v>10587800</v>
      </c>
      <c r="G32">
        <v>93.36</v>
      </c>
    </row>
    <row r="33" spans="1:7" x14ac:dyDescent="0.25">
      <c r="A33" s="34">
        <v>41864</v>
      </c>
      <c r="B33">
        <v>93.5</v>
      </c>
      <c r="C33">
        <v>94.61</v>
      </c>
      <c r="D33">
        <v>93.34</v>
      </c>
      <c r="E33">
        <v>93.98</v>
      </c>
      <c r="F33">
        <v>13027400</v>
      </c>
      <c r="G33">
        <v>93.98</v>
      </c>
    </row>
    <row r="34" spans="1:7" x14ac:dyDescent="0.25">
      <c r="A34" s="34">
        <v>41865</v>
      </c>
      <c r="B34">
        <v>94.58</v>
      </c>
      <c r="C34">
        <v>96.37</v>
      </c>
      <c r="D34">
        <v>94.24</v>
      </c>
      <c r="E34">
        <v>96.36</v>
      </c>
      <c r="F34">
        <v>12339700</v>
      </c>
      <c r="G34">
        <v>96.36</v>
      </c>
    </row>
    <row r="35" spans="1:7" x14ac:dyDescent="0.25">
      <c r="A35" s="34">
        <v>41866</v>
      </c>
      <c r="B35">
        <v>98.42</v>
      </c>
      <c r="C35">
        <v>99.49</v>
      </c>
      <c r="D35">
        <v>97.02</v>
      </c>
      <c r="E35">
        <v>99.49</v>
      </c>
      <c r="F35">
        <v>19678600</v>
      </c>
      <c r="G35">
        <v>99.49</v>
      </c>
    </row>
    <row r="36" spans="1:7" x14ac:dyDescent="0.25">
      <c r="A36" s="34">
        <v>41869</v>
      </c>
      <c r="B36">
        <v>100.44</v>
      </c>
      <c r="C36">
        <v>101.5</v>
      </c>
      <c r="D36">
        <v>100.08</v>
      </c>
      <c r="E36">
        <v>100.72</v>
      </c>
      <c r="F36">
        <v>14755700</v>
      </c>
      <c r="G36">
        <v>100.72</v>
      </c>
    </row>
    <row r="37" spans="1:7" x14ac:dyDescent="0.25">
      <c r="A37" s="34">
        <v>41870</v>
      </c>
      <c r="B37">
        <v>101.43</v>
      </c>
      <c r="C37">
        <v>101.65</v>
      </c>
      <c r="D37">
        <v>99.33</v>
      </c>
      <c r="E37">
        <v>101.28</v>
      </c>
      <c r="F37">
        <v>16300900</v>
      </c>
      <c r="G37">
        <v>101.28</v>
      </c>
    </row>
    <row r="38" spans="1:7" x14ac:dyDescent="0.25">
      <c r="A38" s="34">
        <v>41871</v>
      </c>
      <c r="B38">
        <v>100.71</v>
      </c>
      <c r="C38">
        <v>102.57</v>
      </c>
      <c r="D38">
        <v>100.61</v>
      </c>
      <c r="E38">
        <v>100.79</v>
      </c>
      <c r="F38">
        <v>12590600</v>
      </c>
      <c r="G38">
        <v>100.79</v>
      </c>
    </row>
    <row r="39" spans="1:7" x14ac:dyDescent="0.25">
      <c r="A39" s="34">
        <v>41872</v>
      </c>
      <c r="B39">
        <v>101</v>
      </c>
      <c r="C39">
        <v>102.31</v>
      </c>
      <c r="D39">
        <v>100.86</v>
      </c>
      <c r="E39">
        <v>102.27</v>
      </c>
      <c r="F39">
        <v>9786700</v>
      </c>
      <c r="G39">
        <v>102.27</v>
      </c>
    </row>
    <row r="40" spans="1:7" x14ac:dyDescent="0.25">
      <c r="A40" s="34">
        <v>41873</v>
      </c>
      <c r="B40">
        <v>103.02</v>
      </c>
      <c r="C40">
        <v>105.16</v>
      </c>
      <c r="D40">
        <v>102.61</v>
      </c>
      <c r="E40">
        <v>103.96</v>
      </c>
      <c r="F40">
        <v>13255900</v>
      </c>
      <c r="G40">
        <v>103.96</v>
      </c>
    </row>
    <row r="41" spans="1:7" x14ac:dyDescent="0.25">
      <c r="A41" s="34">
        <v>41876</v>
      </c>
      <c r="B41">
        <v>105.11</v>
      </c>
      <c r="C41">
        <v>107.53</v>
      </c>
      <c r="D41">
        <v>105.11</v>
      </c>
      <c r="E41">
        <v>107.45</v>
      </c>
      <c r="F41">
        <v>19852700</v>
      </c>
      <c r="G41">
        <v>107.45</v>
      </c>
    </row>
    <row r="42" spans="1:7" x14ac:dyDescent="0.25">
      <c r="A42" s="34">
        <v>41877</v>
      </c>
      <c r="B42">
        <v>108.06</v>
      </c>
      <c r="C42">
        <v>108.72</v>
      </c>
      <c r="D42">
        <v>104.77</v>
      </c>
      <c r="E42">
        <v>106.27</v>
      </c>
      <c r="F42">
        <v>18779400</v>
      </c>
      <c r="G42">
        <v>106.27</v>
      </c>
    </row>
    <row r="43" spans="1:7" x14ac:dyDescent="0.25">
      <c r="A43" s="34">
        <v>41878</v>
      </c>
      <c r="B43">
        <v>106.55</v>
      </c>
      <c r="C43">
        <v>108.77</v>
      </c>
      <c r="D43">
        <v>105.76</v>
      </c>
      <c r="E43">
        <v>107.41</v>
      </c>
      <c r="F43">
        <v>16164800</v>
      </c>
      <c r="G43">
        <v>107.41</v>
      </c>
    </row>
    <row r="44" spans="1:7" x14ac:dyDescent="0.25">
      <c r="A44" s="34">
        <v>41879</v>
      </c>
      <c r="B44">
        <v>107</v>
      </c>
      <c r="C44">
        <v>108.11</v>
      </c>
      <c r="D44">
        <v>106.74</v>
      </c>
      <c r="E44">
        <v>107.51</v>
      </c>
      <c r="F44">
        <v>10301600</v>
      </c>
      <c r="G44">
        <v>107.51</v>
      </c>
    </row>
    <row r="45" spans="1:7" x14ac:dyDescent="0.25">
      <c r="A45" s="34">
        <v>41880</v>
      </c>
      <c r="B45">
        <v>107.9</v>
      </c>
      <c r="C45">
        <v>108.24</v>
      </c>
      <c r="D45">
        <v>106.78</v>
      </c>
      <c r="E45">
        <v>107.56</v>
      </c>
      <c r="F45">
        <v>11318200</v>
      </c>
      <c r="G45">
        <v>107.56</v>
      </c>
    </row>
    <row r="46" spans="1:7" x14ac:dyDescent="0.25">
      <c r="A46" s="34">
        <v>41884</v>
      </c>
      <c r="B46">
        <v>108.17</v>
      </c>
      <c r="C46">
        <v>109.5</v>
      </c>
      <c r="D46">
        <v>107.61</v>
      </c>
      <c r="E46">
        <v>109.36</v>
      </c>
      <c r="F46">
        <v>15264200</v>
      </c>
      <c r="G46">
        <v>109.36</v>
      </c>
    </row>
    <row r="47" spans="1:7" x14ac:dyDescent="0.25">
      <c r="A47" s="34">
        <v>41885</v>
      </c>
      <c r="B47">
        <v>110</v>
      </c>
      <c r="C47">
        <v>110.64</v>
      </c>
      <c r="D47">
        <v>108.34</v>
      </c>
      <c r="E47">
        <v>109.43</v>
      </c>
      <c r="F47">
        <v>14388400</v>
      </c>
      <c r="G47">
        <v>109.43</v>
      </c>
    </row>
    <row r="48" spans="1:7" x14ac:dyDescent="0.25">
      <c r="A48" s="34">
        <v>41886</v>
      </c>
      <c r="B48">
        <v>109.81</v>
      </c>
      <c r="C48">
        <v>110</v>
      </c>
      <c r="D48">
        <v>106.27</v>
      </c>
      <c r="E48">
        <v>106.86</v>
      </c>
      <c r="F48">
        <v>13757500</v>
      </c>
      <c r="G48">
        <v>106.86</v>
      </c>
    </row>
    <row r="49" spans="1:7" x14ac:dyDescent="0.25">
      <c r="A49" s="34">
        <v>41887</v>
      </c>
      <c r="B49">
        <v>106.4</v>
      </c>
      <c r="C49">
        <v>106.5</v>
      </c>
      <c r="D49">
        <v>97.54</v>
      </c>
      <c r="E49">
        <v>105.36</v>
      </c>
      <c r="F49">
        <v>36051400</v>
      </c>
      <c r="G49">
        <v>105.36</v>
      </c>
    </row>
    <row r="50" spans="1:7" x14ac:dyDescent="0.25">
      <c r="A50" s="34">
        <v>41890</v>
      </c>
      <c r="B50">
        <v>104.95</v>
      </c>
      <c r="C50">
        <v>106.85</v>
      </c>
      <c r="D50">
        <v>104.74</v>
      </c>
      <c r="E50">
        <v>106.53</v>
      </c>
      <c r="F50">
        <v>11917400</v>
      </c>
      <c r="G50">
        <v>106.53</v>
      </c>
    </row>
    <row r="51" spans="1:7" x14ac:dyDescent="0.25">
      <c r="A51" s="34">
        <v>41891</v>
      </c>
      <c r="B51">
        <v>106.9</v>
      </c>
      <c r="C51">
        <v>106.98</v>
      </c>
      <c r="D51">
        <v>104.32</v>
      </c>
      <c r="E51">
        <v>105.89</v>
      </c>
      <c r="F51">
        <v>14049100</v>
      </c>
      <c r="G51">
        <v>105.89</v>
      </c>
    </row>
    <row r="52" spans="1:7" x14ac:dyDescent="0.25">
      <c r="A52" s="34">
        <v>41892</v>
      </c>
      <c r="B52">
        <v>106.2</v>
      </c>
      <c r="C52">
        <v>108.23</v>
      </c>
      <c r="D52">
        <v>105.76</v>
      </c>
      <c r="E52">
        <v>108.22</v>
      </c>
      <c r="F52">
        <v>11246400</v>
      </c>
      <c r="G52">
        <v>108.22</v>
      </c>
    </row>
    <row r="53" spans="1:7" x14ac:dyDescent="0.25">
      <c r="A53" s="34">
        <v>41893</v>
      </c>
      <c r="B53">
        <v>108</v>
      </c>
      <c r="C53">
        <v>108.49</v>
      </c>
      <c r="D53">
        <v>105.8</v>
      </c>
      <c r="E53">
        <v>106.39</v>
      </c>
      <c r="F53">
        <v>10470000</v>
      </c>
      <c r="G53">
        <v>106.39</v>
      </c>
    </row>
    <row r="54" spans="1:7" x14ac:dyDescent="0.25">
      <c r="A54" s="34">
        <v>41894</v>
      </c>
      <c r="B54">
        <v>106.17</v>
      </c>
      <c r="C54">
        <v>106.9</v>
      </c>
      <c r="D54">
        <v>102.9</v>
      </c>
      <c r="E54">
        <v>103.66</v>
      </c>
      <c r="F54">
        <v>15843400</v>
      </c>
      <c r="G54">
        <v>103.66</v>
      </c>
    </row>
    <row r="55" spans="1:7" x14ac:dyDescent="0.25">
      <c r="A55" s="34">
        <v>41897</v>
      </c>
      <c r="B55">
        <v>101.9</v>
      </c>
      <c r="C55">
        <v>102.1</v>
      </c>
      <c r="D55">
        <v>99.33</v>
      </c>
      <c r="E55">
        <v>100.99</v>
      </c>
      <c r="F55">
        <v>18137800</v>
      </c>
      <c r="G55">
        <v>100.99</v>
      </c>
    </row>
  </sheetData>
  <sortState ref="A3:G55">
    <sortCondition ref="A3:A55"/>
  </sortState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36.25</v>
      </c>
      <c r="C3">
        <v>37.64</v>
      </c>
      <c r="D3">
        <v>36.25</v>
      </c>
      <c r="E3">
        <v>37.590000000000003</v>
      </c>
      <c r="F3">
        <v>23414100</v>
      </c>
      <c r="G3">
        <v>37.26</v>
      </c>
    </row>
    <row r="4" spans="1:7" x14ac:dyDescent="0.25">
      <c r="A4" s="34">
        <v>41822</v>
      </c>
      <c r="B4">
        <v>37.5</v>
      </c>
      <c r="C4">
        <v>38.15</v>
      </c>
      <c r="D4">
        <v>37.369999999999997</v>
      </c>
      <c r="E4">
        <v>37.74</v>
      </c>
      <c r="F4">
        <v>17672200</v>
      </c>
      <c r="G4">
        <v>37.409999999999997</v>
      </c>
    </row>
    <row r="5" spans="1:7" x14ac:dyDescent="0.25">
      <c r="A5" s="34">
        <v>41823</v>
      </c>
      <c r="B5">
        <v>37.96</v>
      </c>
      <c r="C5">
        <v>38.11</v>
      </c>
      <c r="D5">
        <v>37.72</v>
      </c>
      <c r="E5">
        <v>37.74</v>
      </c>
      <c r="F5">
        <v>6743700</v>
      </c>
      <c r="G5">
        <v>37.409999999999997</v>
      </c>
    </row>
    <row r="6" spans="1:7" x14ac:dyDescent="0.25">
      <c r="A6" s="34">
        <v>41827</v>
      </c>
      <c r="B6">
        <v>37.909999999999997</v>
      </c>
      <c r="C6">
        <v>37.909999999999997</v>
      </c>
      <c r="D6">
        <v>37.17</v>
      </c>
      <c r="E6">
        <v>37.44</v>
      </c>
      <c r="F6">
        <v>11129900</v>
      </c>
      <c r="G6">
        <v>37.119999999999997</v>
      </c>
    </row>
    <row r="7" spans="1:7" x14ac:dyDescent="0.25">
      <c r="A7" s="34">
        <v>41828</v>
      </c>
      <c r="B7">
        <v>37.409999999999997</v>
      </c>
      <c r="C7">
        <v>37.770000000000003</v>
      </c>
      <c r="D7">
        <v>37.200000000000003</v>
      </c>
      <c r="E7">
        <v>37.58</v>
      </c>
      <c r="F7">
        <v>11783200</v>
      </c>
      <c r="G7">
        <v>37.25</v>
      </c>
    </row>
    <row r="8" spans="1:7" x14ac:dyDescent="0.25">
      <c r="A8" s="34">
        <v>41829</v>
      </c>
      <c r="B8">
        <v>37.659999999999997</v>
      </c>
      <c r="C8">
        <v>38.130000000000003</v>
      </c>
      <c r="D8">
        <v>37.630000000000003</v>
      </c>
      <c r="E8">
        <v>37.97</v>
      </c>
      <c r="F8">
        <v>11676300</v>
      </c>
      <c r="G8">
        <v>37.64</v>
      </c>
    </row>
    <row r="9" spans="1:7" x14ac:dyDescent="0.25">
      <c r="A9" s="34">
        <v>41830</v>
      </c>
      <c r="B9">
        <v>37.479999999999997</v>
      </c>
      <c r="C9">
        <v>37.9</v>
      </c>
      <c r="D9">
        <v>37.35</v>
      </c>
      <c r="E9">
        <v>37.75</v>
      </c>
      <c r="F9">
        <v>9898900</v>
      </c>
      <c r="G9">
        <v>37.42</v>
      </c>
    </row>
    <row r="10" spans="1:7" x14ac:dyDescent="0.25">
      <c r="A10" s="34">
        <v>41831</v>
      </c>
      <c r="B10">
        <v>37.72</v>
      </c>
      <c r="C10">
        <v>38.01</v>
      </c>
      <c r="D10">
        <v>37.590000000000003</v>
      </c>
      <c r="E10">
        <v>37.950000000000003</v>
      </c>
      <c r="F10">
        <v>6203400</v>
      </c>
      <c r="G10">
        <v>37.619999999999997</v>
      </c>
    </row>
    <row r="11" spans="1:7" x14ac:dyDescent="0.25">
      <c r="A11" s="34">
        <v>41834</v>
      </c>
      <c r="B11">
        <v>38.1</v>
      </c>
      <c r="C11">
        <v>38.130000000000003</v>
      </c>
      <c r="D11">
        <v>37.56</v>
      </c>
      <c r="E11">
        <v>37.700000000000003</v>
      </c>
      <c r="F11">
        <v>9314600</v>
      </c>
      <c r="G11">
        <v>37.369999999999997</v>
      </c>
    </row>
    <row r="12" spans="1:7" x14ac:dyDescent="0.25">
      <c r="A12" s="34">
        <v>41835</v>
      </c>
      <c r="B12">
        <v>37.61</v>
      </c>
      <c r="C12">
        <v>37.950000000000003</v>
      </c>
      <c r="D12">
        <v>37.44</v>
      </c>
      <c r="E12">
        <v>37.58</v>
      </c>
      <c r="F12">
        <v>8615400</v>
      </c>
      <c r="G12">
        <v>37.25</v>
      </c>
    </row>
    <row r="13" spans="1:7" x14ac:dyDescent="0.25">
      <c r="A13" s="34">
        <v>41836</v>
      </c>
      <c r="B13">
        <v>37.770000000000003</v>
      </c>
      <c r="C13">
        <v>37.909999999999997</v>
      </c>
      <c r="D13">
        <v>37.46</v>
      </c>
      <c r="E13">
        <v>37.479999999999997</v>
      </c>
      <c r="F13">
        <v>10954200</v>
      </c>
      <c r="G13">
        <v>37.15</v>
      </c>
    </row>
    <row r="14" spans="1:7" x14ac:dyDescent="0.25">
      <c r="A14" s="34">
        <v>41837</v>
      </c>
      <c r="B14">
        <v>37.31</v>
      </c>
      <c r="C14">
        <v>37.67</v>
      </c>
      <c r="D14">
        <v>37.01</v>
      </c>
      <c r="E14">
        <v>37.1</v>
      </c>
      <c r="F14">
        <v>11014700</v>
      </c>
      <c r="G14">
        <v>36.78</v>
      </c>
    </row>
    <row r="15" spans="1:7" x14ac:dyDescent="0.25">
      <c r="A15" s="34">
        <v>41838</v>
      </c>
      <c r="B15">
        <v>37.340000000000003</v>
      </c>
      <c r="C15">
        <v>37.42</v>
      </c>
      <c r="D15">
        <v>37.06</v>
      </c>
      <c r="E15">
        <v>37.409999999999997</v>
      </c>
      <c r="F15">
        <v>8741400</v>
      </c>
      <c r="G15">
        <v>37.090000000000003</v>
      </c>
    </row>
    <row r="16" spans="1:7" x14ac:dyDescent="0.25">
      <c r="A16" s="34">
        <v>41841</v>
      </c>
      <c r="B16">
        <v>37.380000000000003</v>
      </c>
      <c r="C16">
        <v>37.53</v>
      </c>
      <c r="D16">
        <v>37.049999999999997</v>
      </c>
      <c r="E16">
        <v>37.43</v>
      </c>
      <c r="F16">
        <v>6625100</v>
      </c>
      <c r="G16">
        <v>37.11</v>
      </c>
    </row>
    <row r="17" spans="1:7" x14ac:dyDescent="0.25">
      <c r="A17" s="34">
        <v>41842</v>
      </c>
      <c r="B17">
        <v>37.56</v>
      </c>
      <c r="C17">
        <v>37.9</v>
      </c>
      <c r="D17">
        <v>37.53</v>
      </c>
      <c r="E17">
        <v>37.76</v>
      </c>
      <c r="F17">
        <v>9655800</v>
      </c>
      <c r="G17">
        <v>37.43</v>
      </c>
    </row>
    <row r="18" spans="1:7" x14ac:dyDescent="0.25">
      <c r="A18" s="34">
        <v>41843</v>
      </c>
      <c r="B18">
        <v>37.79</v>
      </c>
      <c r="C18">
        <v>37.92</v>
      </c>
      <c r="D18">
        <v>37.409999999999997</v>
      </c>
      <c r="E18">
        <v>37.409999999999997</v>
      </c>
      <c r="F18">
        <v>13865100</v>
      </c>
      <c r="G18">
        <v>37.090000000000003</v>
      </c>
    </row>
    <row r="19" spans="1:7" x14ac:dyDescent="0.25">
      <c r="A19" s="34">
        <v>41844</v>
      </c>
      <c r="B19">
        <v>36.67</v>
      </c>
      <c r="C19">
        <v>36.85</v>
      </c>
      <c r="D19">
        <v>35.32</v>
      </c>
      <c r="E19">
        <v>35.74</v>
      </c>
      <c r="F19">
        <v>35694100</v>
      </c>
      <c r="G19">
        <v>35.43</v>
      </c>
    </row>
    <row r="20" spans="1:7" x14ac:dyDescent="0.25">
      <c r="A20" s="34">
        <v>41845</v>
      </c>
      <c r="B20">
        <v>35.1</v>
      </c>
      <c r="C20">
        <v>35.29</v>
      </c>
      <c r="D20">
        <v>34.56</v>
      </c>
      <c r="E20">
        <v>35.07</v>
      </c>
      <c r="F20">
        <v>28537300</v>
      </c>
      <c r="G20">
        <v>34.770000000000003</v>
      </c>
    </row>
    <row r="21" spans="1:7" x14ac:dyDescent="0.25">
      <c r="A21" s="34">
        <v>41848</v>
      </c>
      <c r="B21">
        <v>35.03</v>
      </c>
      <c r="C21">
        <v>35.090000000000003</v>
      </c>
      <c r="D21">
        <v>34.78</v>
      </c>
      <c r="E21">
        <v>34.9</v>
      </c>
      <c r="F21">
        <v>15051300</v>
      </c>
      <c r="G21">
        <v>34.6</v>
      </c>
    </row>
    <row r="22" spans="1:7" x14ac:dyDescent="0.25">
      <c r="A22" s="34">
        <v>41849</v>
      </c>
      <c r="B22">
        <v>35.01</v>
      </c>
      <c r="C22">
        <v>35.200000000000003</v>
      </c>
      <c r="D22">
        <v>34.43</v>
      </c>
      <c r="E22">
        <v>34.450000000000003</v>
      </c>
      <c r="F22">
        <v>16560100</v>
      </c>
      <c r="G22">
        <v>34.15</v>
      </c>
    </row>
    <row r="23" spans="1:7" x14ac:dyDescent="0.25">
      <c r="A23" s="34">
        <v>41850</v>
      </c>
      <c r="B23">
        <v>34.5</v>
      </c>
      <c r="C23">
        <v>34.659999999999997</v>
      </c>
      <c r="D23">
        <v>34.01</v>
      </c>
      <c r="E23">
        <v>34.31</v>
      </c>
      <c r="F23">
        <v>18941700</v>
      </c>
      <c r="G23">
        <v>34.01</v>
      </c>
    </row>
    <row r="24" spans="1:7" x14ac:dyDescent="0.25">
      <c r="A24" s="34">
        <v>41851</v>
      </c>
      <c r="B24">
        <v>34.15</v>
      </c>
      <c r="C24">
        <v>34.24</v>
      </c>
      <c r="D24">
        <v>33.78</v>
      </c>
      <c r="E24">
        <v>33.82</v>
      </c>
      <c r="F24">
        <v>13408400</v>
      </c>
      <c r="G24">
        <v>33.53</v>
      </c>
    </row>
    <row r="25" spans="1:7" x14ac:dyDescent="0.25">
      <c r="A25" s="34">
        <v>41852</v>
      </c>
      <c r="B25">
        <v>33.79</v>
      </c>
      <c r="C25">
        <v>34</v>
      </c>
      <c r="D25">
        <v>33.299999999999997</v>
      </c>
      <c r="E25">
        <v>33.44</v>
      </c>
      <c r="F25">
        <v>15343800</v>
      </c>
      <c r="G25">
        <v>33.15</v>
      </c>
    </row>
    <row r="26" spans="1:7" x14ac:dyDescent="0.25">
      <c r="A26" s="34">
        <v>41855</v>
      </c>
      <c r="B26">
        <v>33.76</v>
      </c>
      <c r="C26">
        <v>34.020000000000003</v>
      </c>
      <c r="D26">
        <v>33.5</v>
      </c>
      <c r="E26">
        <v>33.61</v>
      </c>
      <c r="F26">
        <v>11486300</v>
      </c>
      <c r="G26">
        <v>33.32</v>
      </c>
    </row>
    <row r="27" spans="1:7" x14ac:dyDescent="0.25">
      <c r="A27" s="34">
        <v>41856</v>
      </c>
      <c r="B27">
        <v>33.57</v>
      </c>
      <c r="C27">
        <v>33.81</v>
      </c>
      <c r="D27">
        <v>33.15</v>
      </c>
      <c r="E27">
        <v>33.36</v>
      </c>
      <c r="F27">
        <v>11012500</v>
      </c>
      <c r="G27">
        <v>33.07</v>
      </c>
    </row>
    <row r="28" spans="1:7" x14ac:dyDescent="0.25">
      <c r="A28" s="34">
        <v>41857</v>
      </c>
      <c r="B28">
        <v>33.229999999999997</v>
      </c>
      <c r="C28">
        <v>33.67</v>
      </c>
      <c r="D28">
        <v>33.229999999999997</v>
      </c>
      <c r="E28">
        <v>33.4</v>
      </c>
      <c r="F28">
        <v>8715400</v>
      </c>
      <c r="G28">
        <v>33.11</v>
      </c>
    </row>
    <row r="29" spans="1:7" x14ac:dyDescent="0.25">
      <c r="A29" s="34">
        <v>41858</v>
      </c>
      <c r="B29">
        <v>33.56</v>
      </c>
      <c r="C29">
        <v>33.630000000000003</v>
      </c>
      <c r="D29">
        <v>32.799999999999997</v>
      </c>
      <c r="E29">
        <v>33.11</v>
      </c>
      <c r="F29">
        <v>13526700</v>
      </c>
      <c r="G29">
        <v>32.82</v>
      </c>
    </row>
    <row r="30" spans="1:7" x14ac:dyDescent="0.25">
      <c r="A30" s="34">
        <v>41859</v>
      </c>
      <c r="B30">
        <v>33.090000000000003</v>
      </c>
      <c r="C30">
        <v>33.56</v>
      </c>
      <c r="D30">
        <v>33.090000000000003</v>
      </c>
      <c r="E30">
        <v>33.53</v>
      </c>
      <c r="F30">
        <v>9935600</v>
      </c>
      <c r="G30">
        <v>33.24</v>
      </c>
    </row>
    <row r="31" spans="1:7" x14ac:dyDescent="0.25">
      <c r="A31" s="34">
        <v>41862</v>
      </c>
      <c r="B31">
        <v>33.64</v>
      </c>
      <c r="C31">
        <v>33.85</v>
      </c>
      <c r="D31">
        <v>33.409999999999997</v>
      </c>
      <c r="E31">
        <v>33.799999999999997</v>
      </c>
      <c r="F31">
        <v>10873700</v>
      </c>
      <c r="G31">
        <v>33.51</v>
      </c>
    </row>
    <row r="32" spans="1:7" x14ac:dyDescent="0.25">
      <c r="A32" s="34">
        <v>41863</v>
      </c>
      <c r="B32">
        <v>33.75</v>
      </c>
      <c r="C32">
        <v>34.14</v>
      </c>
      <c r="D32">
        <v>33.549999999999997</v>
      </c>
      <c r="E32">
        <v>33.700000000000003</v>
      </c>
      <c r="F32">
        <v>10304000</v>
      </c>
      <c r="G32">
        <v>33.409999999999997</v>
      </c>
    </row>
    <row r="33" spans="1:7" x14ac:dyDescent="0.25">
      <c r="A33" s="34">
        <v>41864</v>
      </c>
      <c r="B33">
        <v>33.93</v>
      </c>
      <c r="C33">
        <v>34.07</v>
      </c>
      <c r="D33">
        <v>33.78</v>
      </c>
      <c r="E33">
        <v>33.950000000000003</v>
      </c>
      <c r="F33">
        <v>7156100</v>
      </c>
      <c r="G33">
        <v>33.659999999999997</v>
      </c>
    </row>
    <row r="34" spans="1:7" x14ac:dyDescent="0.25">
      <c r="A34" s="34">
        <v>41865</v>
      </c>
      <c r="B34">
        <v>33.81</v>
      </c>
      <c r="C34">
        <v>33.96</v>
      </c>
      <c r="D34">
        <v>33.22</v>
      </c>
      <c r="E34">
        <v>33.950000000000003</v>
      </c>
      <c r="F34">
        <v>9956800</v>
      </c>
      <c r="G34">
        <v>33.659999999999997</v>
      </c>
    </row>
    <row r="35" spans="1:7" x14ac:dyDescent="0.25">
      <c r="A35" s="34">
        <v>41866</v>
      </c>
      <c r="B35">
        <v>34.049999999999997</v>
      </c>
      <c r="C35">
        <v>34.159999999999997</v>
      </c>
      <c r="D35">
        <v>33.51</v>
      </c>
      <c r="E35">
        <v>33.840000000000003</v>
      </c>
      <c r="F35">
        <v>14153500</v>
      </c>
      <c r="G35">
        <v>33.549999999999997</v>
      </c>
    </row>
    <row r="36" spans="1:7" x14ac:dyDescent="0.25">
      <c r="A36" s="34">
        <v>41869</v>
      </c>
      <c r="B36">
        <v>34.090000000000003</v>
      </c>
      <c r="C36">
        <v>34.44</v>
      </c>
      <c r="D36">
        <v>34.04</v>
      </c>
      <c r="E36">
        <v>34.4</v>
      </c>
      <c r="F36">
        <v>10327200</v>
      </c>
      <c r="G36">
        <v>34.1</v>
      </c>
    </row>
    <row r="37" spans="1:7" x14ac:dyDescent="0.25">
      <c r="A37" s="34">
        <v>41870</v>
      </c>
      <c r="B37">
        <v>34.69</v>
      </c>
      <c r="C37">
        <v>34.75</v>
      </c>
      <c r="D37">
        <v>34.33</v>
      </c>
      <c r="E37">
        <v>34.57</v>
      </c>
      <c r="F37">
        <v>10422900</v>
      </c>
      <c r="G37">
        <v>34.270000000000003</v>
      </c>
    </row>
    <row r="38" spans="1:7" x14ac:dyDescent="0.25">
      <c r="A38" s="34">
        <v>41871</v>
      </c>
      <c r="B38">
        <v>34.49</v>
      </c>
      <c r="C38">
        <v>34.72</v>
      </c>
      <c r="D38">
        <v>34.299999999999997</v>
      </c>
      <c r="E38">
        <v>34.53</v>
      </c>
      <c r="F38">
        <v>9112500</v>
      </c>
      <c r="G38">
        <v>34.229999999999997</v>
      </c>
    </row>
    <row r="39" spans="1:7" x14ac:dyDescent="0.25">
      <c r="A39" s="34">
        <v>41872</v>
      </c>
      <c r="B39">
        <v>34.619999999999997</v>
      </c>
      <c r="C39">
        <v>34.729999999999997</v>
      </c>
      <c r="D39">
        <v>34.46</v>
      </c>
      <c r="E39">
        <v>34.6</v>
      </c>
      <c r="F39">
        <v>6585300</v>
      </c>
      <c r="G39">
        <v>34.299999999999997</v>
      </c>
    </row>
    <row r="40" spans="1:7" x14ac:dyDescent="0.25">
      <c r="A40" s="34">
        <v>41873</v>
      </c>
      <c r="B40">
        <v>34.51</v>
      </c>
      <c r="C40">
        <v>34.520000000000003</v>
      </c>
      <c r="D40">
        <v>34.159999999999997</v>
      </c>
      <c r="E40">
        <v>34.24</v>
      </c>
      <c r="F40">
        <v>8665700</v>
      </c>
      <c r="G40">
        <v>33.94</v>
      </c>
    </row>
    <row r="41" spans="1:7" x14ac:dyDescent="0.25">
      <c r="A41" s="34">
        <v>41876</v>
      </c>
      <c r="B41">
        <v>34.43</v>
      </c>
      <c r="C41">
        <v>34.74</v>
      </c>
      <c r="D41">
        <v>34.31</v>
      </c>
      <c r="E41">
        <v>34.67</v>
      </c>
      <c r="F41">
        <v>9546400</v>
      </c>
      <c r="G41">
        <v>34.369999999999997</v>
      </c>
    </row>
    <row r="42" spans="1:7" x14ac:dyDescent="0.25">
      <c r="A42" s="34">
        <v>41877</v>
      </c>
      <c r="B42">
        <v>34.76</v>
      </c>
      <c r="C42">
        <v>35</v>
      </c>
      <c r="D42">
        <v>34.630000000000003</v>
      </c>
      <c r="E42">
        <v>34.85</v>
      </c>
      <c r="F42">
        <v>7535000</v>
      </c>
      <c r="G42">
        <v>34.549999999999997</v>
      </c>
    </row>
    <row r="43" spans="1:7" x14ac:dyDescent="0.25">
      <c r="A43" s="34">
        <v>41878</v>
      </c>
      <c r="B43">
        <v>34.92</v>
      </c>
      <c r="C43">
        <v>34.93</v>
      </c>
      <c r="D43">
        <v>34.58</v>
      </c>
      <c r="E43">
        <v>34.71</v>
      </c>
      <c r="F43">
        <v>7118000</v>
      </c>
      <c r="G43">
        <v>34.409999999999997</v>
      </c>
    </row>
    <row r="44" spans="1:7" x14ac:dyDescent="0.25">
      <c r="A44" s="34">
        <v>41879</v>
      </c>
      <c r="B44">
        <v>34.49</v>
      </c>
      <c r="C44">
        <v>34.75</v>
      </c>
      <c r="D44">
        <v>34.22</v>
      </c>
      <c r="E44">
        <v>34.68</v>
      </c>
      <c r="F44">
        <v>5971400</v>
      </c>
      <c r="G44">
        <v>34.380000000000003</v>
      </c>
    </row>
    <row r="45" spans="1:7" x14ac:dyDescent="0.25">
      <c r="A45" s="34">
        <v>41880</v>
      </c>
      <c r="B45">
        <v>34.74</v>
      </c>
      <c r="C45">
        <v>34.85</v>
      </c>
      <c r="D45">
        <v>34.61</v>
      </c>
      <c r="E45">
        <v>34.799999999999997</v>
      </c>
      <c r="F45">
        <v>5548700</v>
      </c>
      <c r="G45">
        <v>34.5</v>
      </c>
    </row>
    <row r="46" spans="1:7" x14ac:dyDescent="0.25">
      <c r="A46" s="34">
        <v>41884</v>
      </c>
      <c r="B46">
        <v>34.880000000000003</v>
      </c>
      <c r="C46">
        <v>35.14</v>
      </c>
      <c r="D46">
        <v>34.619999999999997</v>
      </c>
      <c r="E46">
        <v>34.799999999999997</v>
      </c>
      <c r="F46">
        <v>7824100</v>
      </c>
      <c r="G46">
        <v>34.5</v>
      </c>
    </row>
    <row r="47" spans="1:7" x14ac:dyDescent="0.25">
      <c r="A47" s="34">
        <v>41885</v>
      </c>
      <c r="B47">
        <v>35.06</v>
      </c>
      <c r="C47">
        <v>35.119999999999997</v>
      </c>
      <c r="D47">
        <v>34.46</v>
      </c>
      <c r="E47">
        <v>34.47</v>
      </c>
      <c r="F47">
        <v>11626400</v>
      </c>
      <c r="G47">
        <v>34.17</v>
      </c>
    </row>
    <row r="48" spans="1:7" x14ac:dyDescent="0.25">
      <c r="A48" s="34">
        <v>41886</v>
      </c>
      <c r="B48">
        <v>34.49</v>
      </c>
      <c r="C48">
        <v>34.92</v>
      </c>
      <c r="D48">
        <v>34.44</v>
      </c>
      <c r="E48">
        <v>34.630000000000003</v>
      </c>
      <c r="F48">
        <v>9566300</v>
      </c>
      <c r="G48">
        <v>34.33</v>
      </c>
    </row>
    <row r="49" spans="1:7" x14ac:dyDescent="0.25">
      <c r="A49" s="34">
        <v>41887</v>
      </c>
      <c r="B49">
        <v>34.590000000000003</v>
      </c>
      <c r="C49">
        <v>34.61</v>
      </c>
      <c r="D49">
        <v>34.229999999999997</v>
      </c>
      <c r="E49">
        <v>34.58</v>
      </c>
      <c r="F49">
        <v>13671800</v>
      </c>
      <c r="G49">
        <v>34.28</v>
      </c>
    </row>
    <row r="50" spans="1:7" x14ac:dyDescent="0.25">
      <c r="A50" s="34">
        <v>41890</v>
      </c>
      <c r="B50">
        <v>34.03</v>
      </c>
      <c r="C50">
        <v>34.15</v>
      </c>
      <c r="D50">
        <v>33.15</v>
      </c>
      <c r="E50">
        <v>33.24</v>
      </c>
      <c r="F50">
        <v>22120600</v>
      </c>
      <c r="G50">
        <v>33.24</v>
      </c>
    </row>
    <row r="51" spans="1:7" x14ac:dyDescent="0.25">
      <c r="A51" s="34">
        <v>41891</v>
      </c>
      <c r="B51">
        <v>33.200000000000003</v>
      </c>
      <c r="C51">
        <v>33.299999999999997</v>
      </c>
      <c r="D51">
        <v>33.01</v>
      </c>
      <c r="E51">
        <v>33.07</v>
      </c>
      <c r="F51">
        <v>11861000</v>
      </c>
      <c r="G51">
        <v>33.07</v>
      </c>
    </row>
    <row r="52" spans="1:7" x14ac:dyDescent="0.25">
      <c r="A52" s="34">
        <v>41892</v>
      </c>
      <c r="B52">
        <v>33.119999999999997</v>
      </c>
      <c r="C52">
        <v>33.340000000000003</v>
      </c>
      <c r="D52">
        <v>33.06</v>
      </c>
      <c r="E52">
        <v>33.29</v>
      </c>
      <c r="F52">
        <v>10471000</v>
      </c>
      <c r="G52">
        <v>33.29</v>
      </c>
    </row>
    <row r="53" spans="1:7" x14ac:dyDescent="0.25">
      <c r="A53" s="34">
        <v>41893</v>
      </c>
      <c r="B53">
        <v>33.159999999999997</v>
      </c>
      <c r="C53">
        <v>33.700000000000003</v>
      </c>
      <c r="D53">
        <v>33.15</v>
      </c>
      <c r="E53">
        <v>33.61</v>
      </c>
      <c r="F53">
        <v>10120400</v>
      </c>
      <c r="G53">
        <v>33.61</v>
      </c>
    </row>
    <row r="54" spans="1:7" x14ac:dyDescent="0.25">
      <c r="A54" s="34">
        <v>41894</v>
      </c>
      <c r="B54">
        <v>33.479999999999997</v>
      </c>
      <c r="C54">
        <v>33.6</v>
      </c>
      <c r="D54">
        <v>33.1</v>
      </c>
      <c r="E54">
        <v>33.270000000000003</v>
      </c>
      <c r="F54">
        <v>11077900</v>
      </c>
      <c r="G54">
        <v>33.270000000000003</v>
      </c>
    </row>
    <row r="55" spans="1:7" x14ac:dyDescent="0.25">
      <c r="A55" s="34">
        <v>41897</v>
      </c>
      <c r="B55">
        <v>33.159999999999997</v>
      </c>
      <c r="C55">
        <v>33.799999999999997</v>
      </c>
      <c r="D55">
        <v>33.15</v>
      </c>
      <c r="E55">
        <v>33.630000000000003</v>
      </c>
      <c r="F55">
        <v>12509900</v>
      </c>
      <c r="G55">
        <v>33.630000000000003</v>
      </c>
    </row>
  </sheetData>
  <sortState ref="A3:G55">
    <sortCondition ref="A3:A55"/>
  </sortState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578.32000000000005</v>
      </c>
      <c r="C3">
        <v>584.4</v>
      </c>
      <c r="D3">
        <v>576.65</v>
      </c>
      <c r="E3">
        <v>582.66999999999996</v>
      </c>
      <c r="F3">
        <v>1444000</v>
      </c>
      <c r="G3">
        <v>582.66999999999996</v>
      </c>
    </row>
    <row r="4" spans="1:7" x14ac:dyDescent="0.25">
      <c r="A4" s="34">
        <v>41822</v>
      </c>
      <c r="B4">
        <v>583.35</v>
      </c>
      <c r="C4">
        <v>585.44000000000005</v>
      </c>
      <c r="D4">
        <v>580.39</v>
      </c>
      <c r="E4">
        <v>582.34</v>
      </c>
      <c r="F4">
        <v>1053500</v>
      </c>
      <c r="G4">
        <v>582.34</v>
      </c>
    </row>
    <row r="5" spans="1:7" x14ac:dyDescent="0.25">
      <c r="A5" s="34">
        <v>41823</v>
      </c>
      <c r="B5">
        <v>583.35</v>
      </c>
      <c r="C5">
        <v>585.01</v>
      </c>
      <c r="D5">
        <v>580.91999999999996</v>
      </c>
      <c r="E5">
        <v>584.73</v>
      </c>
      <c r="F5">
        <v>712200</v>
      </c>
      <c r="G5">
        <v>584.73</v>
      </c>
    </row>
    <row r="6" spans="1:7" x14ac:dyDescent="0.25">
      <c r="A6" s="34">
        <v>41827</v>
      </c>
      <c r="B6">
        <v>583.76</v>
      </c>
      <c r="C6">
        <v>586.42999999999995</v>
      </c>
      <c r="D6">
        <v>579.59</v>
      </c>
      <c r="E6">
        <v>582.25</v>
      </c>
      <c r="F6">
        <v>1061700</v>
      </c>
      <c r="G6">
        <v>582.25</v>
      </c>
    </row>
    <row r="7" spans="1:7" x14ac:dyDescent="0.25">
      <c r="A7" s="34">
        <v>41828</v>
      </c>
      <c r="B7">
        <v>577.66</v>
      </c>
      <c r="C7">
        <v>579.53</v>
      </c>
      <c r="D7">
        <v>566.14</v>
      </c>
      <c r="E7">
        <v>571.09</v>
      </c>
      <c r="F7">
        <v>1904300</v>
      </c>
      <c r="G7">
        <v>571.09</v>
      </c>
    </row>
    <row r="8" spans="1:7" x14ac:dyDescent="0.25">
      <c r="A8" s="34">
        <v>41829</v>
      </c>
      <c r="B8">
        <v>571.58000000000004</v>
      </c>
      <c r="C8">
        <v>576.72</v>
      </c>
      <c r="D8">
        <v>569.38</v>
      </c>
      <c r="E8">
        <v>576.08000000000004</v>
      </c>
      <c r="F8">
        <v>1113700</v>
      </c>
      <c r="G8">
        <v>576.08000000000004</v>
      </c>
    </row>
    <row r="9" spans="1:7" x14ac:dyDescent="0.25">
      <c r="A9" s="34">
        <v>41830</v>
      </c>
      <c r="B9">
        <v>565.91</v>
      </c>
      <c r="C9">
        <v>576.59</v>
      </c>
      <c r="D9">
        <v>565.01</v>
      </c>
      <c r="E9">
        <v>571.1</v>
      </c>
      <c r="F9">
        <v>1353000</v>
      </c>
      <c r="G9">
        <v>571.1</v>
      </c>
    </row>
    <row r="10" spans="1:7" x14ac:dyDescent="0.25">
      <c r="A10" s="34">
        <v>41831</v>
      </c>
      <c r="B10">
        <v>571.91</v>
      </c>
      <c r="C10">
        <v>580.85</v>
      </c>
      <c r="D10">
        <v>571.41999999999996</v>
      </c>
      <c r="E10">
        <v>579.17999999999995</v>
      </c>
      <c r="F10">
        <v>1617300</v>
      </c>
      <c r="G10">
        <v>579.17999999999995</v>
      </c>
    </row>
    <row r="11" spans="1:7" x14ac:dyDescent="0.25">
      <c r="A11" s="34">
        <v>41834</v>
      </c>
      <c r="B11">
        <v>582.6</v>
      </c>
      <c r="C11">
        <v>585.21</v>
      </c>
      <c r="D11">
        <v>578.03</v>
      </c>
      <c r="E11">
        <v>584.87</v>
      </c>
      <c r="F11">
        <v>1849000</v>
      </c>
      <c r="G11">
        <v>584.87</v>
      </c>
    </row>
    <row r="12" spans="1:7" x14ac:dyDescent="0.25">
      <c r="A12" s="34">
        <v>41835</v>
      </c>
      <c r="B12">
        <v>585.74</v>
      </c>
      <c r="C12">
        <v>585.79999999999995</v>
      </c>
      <c r="D12">
        <v>576.55999999999995</v>
      </c>
      <c r="E12">
        <v>584.78</v>
      </c>
      <c r="F12">
        <v>1618600</v>
      </c>
      <c r="G12">
        <v>584.78</v>
      </c>
    </row>
    <row r="13" spans="1:7" x14ac:dyDescent="0.25">
      <c r="A13" s="34">
        <v>41836</v>
      </c>
      <c r="B13">
        <v>588</v>
      </c>
      <c r="C13">
        <v>588.4</v>
      </c>
      <c r="D13">
        <v>582.20000000000005</v>
      </c>
      <c r="E13">
        <v>582.66</v>
      </c>
      <c r="F13">
        <v>1393300</v>
      </c>
      <c r="G13">
        <v>582.66</v>
      </c>
    </row>
    <row r="14" spans="1:7" x14ac:dyDescent="0.25">
      <c r="A14" s="34">
        <v>41837</v>
      </c>
      <c r="B14">
        <v>579.53</v>
      </c>
      <c r="C14">
        <v>580.99</v>
      </c>
      <c r="D14">
        <v>568.61</v>
      </c>
      <c r="E14">
        <v>573.73</v>
      </c>
      <c r="F14">
        <v>3008300</v>
      </c>
      <c r="G14">
        <v>573.73</v>
      </c>
    </row>
    <row r="15" spans="1:7" x14ac:dyDescent="0.25">
      <c r="A15" s="34">
        <v>41838</v>
      </c>
      <c r="B15">
        <v>593</v>
      </c>
      <c r="C15">
        <v>596.79999999999995</v>
      </c>
      <c r="D15">
        <v>582</v>
      </c>
      <c r="E15">
        <v>595.08000000000004</v>
      </c>
      <c r="F15">
        <v>4003200</v>
      </c>
      <c r="G15">
        <v>595.08000000000004</v>
      </c>
    </row>
    <row r="16" spans="1:7" x14ac:dyDescent="0.25">
      <c r="A16" s="34">
        <v>41841</v>
      </c>
      <c r="B16">
        <v>591.75</v>
      </c>
      <c r="C16">
        <v>594.4</v>
      </c>
      <c r="D16">
        <v>585.23</v>
      </c>
      <c r="E16">
        <v>589.47</v>
      </c>
      <c r="F16">
        <v>2056500</v>
      </c>
      <c r="G16">
        <v>589.47</v>
      </c>
    </row>
    <row r="17" spans="1:7" x14ac:dyDescent="0.25">
      <c r="A17" s="34">
        <v>41842</v>
      </c>
      <c r="B17">
        <v>590.72</v>
      </c>
      <c r="C17">
        <v>599.65</v>
      </c>
      <c r="D17">
        <v>590.6</v>
      </c>
      <c r="E17">
        <v>594.74</v>
      </c>
      <c r="F17">
        <v>1694500</v>
      </c>
      <c r="G17">
        <v>594.74</v>
      </c>
    </row>
    <row r="18" spans="1:7" x14ac:dyDescent="0.25">
      <c r="A18" s="34">
        <v>41843</v>
      </c>
      <c r="B18">
        <v>593.23</v>
      </c>
      <c r="C18">
        <v>597.85</v>
      </c>
      <c r="D18">
        <v>592.5</v>
      </c>
      <c r="E18">
        <v>595.98</v>
      </c>
      <c r="F18">
        <v>1229800</v>
      </c>
      <c r="G18">
        <v>595.98</v>
      </c>
    </row>
    <row r="19" spans="1:7" x14ac:dyDescent="0.25">
      <c r="A19" s="34">
        <v>41844</v>
      </c>
      <c r="B19">
        <v>596.45000000000005</v>
      </c>
      <c r="C19">
        <v>599.5</v>
      </c>
      <c r="D19">
        <v>591.77</v>
      </c>
      <c r="E19">
        <v>593.35</v>
      </c>
      <c r="F19">
        <v>1032300</v>
      </c>
      <c r="G19">
        <v>593.35</v>
      </c>
    </row>
    <row r="20" spans="1:7" x14ac:dyDescent="0.25">
      <c r="A20" s="34">
        <v>41845</v>
      </c>
      <c r="B20">
        <v>590.4</v>
      </c>
      <c r="C20">
        <v>591.86</v>
      </c>
      <c r="D20">
        <v>587.03</v>
      </c>
      <c r="E20">
        <v>589.02</v>
      </c>
      <c r="F20">
        <v>929900</v>
      </c>
      <c r="G20">
        <v>589.02</v>
      </c>
    </row>
    <row r="21" spans="1:7" x14ac:dyDescent="0.25">
      <c r="A21" s="34">
        <v>41848</v>
      </c>
      <c r="B21">
        <v>588.07000000000005</v>
      </c>
      <c r="C21">
        <v>592.5</v>
      </c>
      <c r="D21">
        <v>584.75</v>
      </c>
      <c r="E21">
        <v>590.6</v>
      </c>
      <c r="F21">
        <v>984100</v>
      </c>
      <c r="G21">
        <v>590.6</v>
      </c>
    </row>
    <row r="22" spans="1:7" x14ac:dyDescent="0.25">
      <c r="A22" s="34">
        <v>41849</v>
      </c>
      <c r="B22">
        <v>588.75</v>
      </c>
      <c r="C22">
        <v>589.70000000000005</v>
      </c>
      <c r="D22">
        <v>583.52</v>
      </c>
      <c r="E22">
        <v>585.61</v>
      </c>
      <c r="F22">
        <v>1346200</v>
      </c>
      <c r="G22">
        <v>585.61</v>
      </c>
    </row>
    <row r="23" spans="1:7" x14ac:dyDescent="0.25">
      <c r="A23" s="34">
        <v>41850</v>
      </c>
      <c r="B23">
        <v>586.54999999999995</v>
      </c>
      <c r="C23">
        <v>589.5</v>
      </c>
      <c r="D23">
        <v>584</v>
      </c>
      <c r="E23">
        <v>587.41999999999996</v>
      </c>
      <c r="F23">
        <v>1013700</v>
      </c>
      <c r="G23">
        <v>587.41999999999996</v>
      </c>
    </row>
    <row r="24" spans="1:7" x14ac:dyDescent="0.25">
      <c r="A24" s="34">
        <v>41851</v>
      </c>
      <c r="B24">
        <v>580.6</v>
      </c>
      <c r="C24">
        <v>583.65</v>
      </c>
      <c r="D24">
        <v>570</v>
      </c>
      <c r="E24">
        <v>571.6</v>
      </c>
      <c r="F24">
        <v>2097000</v>
      </c>
      <c r="G24">
        <v>571.6</v>
      </c>
    </row>
    <row r="25" spans="1:7" x14ac:dyDescent="0.25">
      <c r="A25" s="34">
        <v>41852</v>
      </c>
      <c r="B25">
        <v>570.4</v>
      </c>
      <c r="C25">
        <v>575.96</v>
      </c>
      <c r="D25">
        <v>562.85</v>
      </c>
      <c r="E25">
        <v>566.07000000000005</v>
      </c>
      <c r="F25">
        <v>1949900</v>
      </c>
      <c r="G25">
        <v>566.07000000000005</v>
      </c>
    </row>
    <row r="26" spans="1:7" x14ac:dyDescent="0.25">
      <c r="A26" s="34">
        <v>41855</v>
      </c>
      <c r="B26">
        <v>569.04</v>
      </c>
      <c r="C26">
        <v>575.35</v>
      </c>
      <c r="D26">
        <v>564.1</v>
      </c>
      <c r="E26">
        <v>573.15</v>
      </c>
      <c r="F26">
        <v>1423400</v>
      </c>
      <c r="G26">
        <v>573.15</v>
      </c>
    </row>
    <row r="27" spans="1:7" x14ac:dyDescent="0.25">
      <c r="A27" s="34">
        <v>41856</v>
      </c>
      <c r="B27">
        <v>570.04999999999995</v>
      </c>
      <c r="C27">
        <v>571.98</v>
      </c>
      <c r="D27">
        <v>562.61</v>
      </c>
      <c r="E27">
        <v>565.07000000000005</v>
      </c>
      <c r="F27">
        <v>1547000</v>
      </c>
      <c r="G27">
        <v>565.07000000000005</v>
      </c>
    </row>
    <row r="28" spans="1:7" x14ac:dyDescent="0.25">
      <c r="A28" s="34">
        <v>41857</v>
      </c>
      <c r="B28">
        <v>561.78</v>
      </c>
      <c r="C28">
        <v>570.70000000000005</v>
      </c>
      <c r="D28">
        <v>560</v>
      </c>
      <c r="E28">
        <v>566.37</v>
      </c>
      <c r="F28">
        <v>1330700</v>
      </c>
      <c r="G28">
        <v>566.37</v>
      </c>
    </row>
    <row r="29" spans="1:7" x14ac:dyDescent="0.25">
      <c r="A29" s="34">
        <v>41858</v>
      </c>
      <c r="B29">
        <v>568</v>
      </c>
      <c r="C29">
        <v>569.89</v>
      </c>
      <c r="D29">
        <v>561.1</v>
      </c>
      <c r="E29">
        <v>563.36</v>
      </c>
      <c r="F29">
        <v>1107900</v>
      </c>
      <c r="G29">
        <v>563.36</v>
      </c>
    </row>
    <row r="30" spans="1:7" x14ac:dyDescent="0.25">
      <c r="A30" s="34">
        <v>41859</v>
      </c>
      <c r="B30">
        <v>563.55999999999995</v>
      </c>
      <c r="C30">
        <v>570.25</v>
      </c>
      <c r="D30">
        <v>560.35</v>
      </c>
      <c r="E30">
        <v>568.77</v>
      </c>
      <c r="F30">
        <v>1490700</v>
      </c>
      <c r="G30">
        <v>568.77</v>
      </c>
    </row>
    <row r="31" spans="1:7" x14ac:dyDescent="0.25">
      <c r="A31" s="34">
        <v>41862</v>
      </c>
      <c r="B31">
        <v>569.99</v>
      </c>
      <c r="C31">
        <v>570.49</v>
      </c>
      <c r="D31">
        <v>566</v>
      </c>
      <c r="E31">
        <v>567.88</v>
      </c>
      <c r="F31">
        <v>1211400</v>
      </c>
      <c r="G31">
        <v>567.88</v>
      </c>
    </row>
    <row r="32" spans="1:7" x14ac:dyDescent="0.25">
      <c r="A32" s="34">
        <v>41863</v>
      </c>
      <c r="B32">
        <v>564.52</v>
      </c>
      <c r="C32">
        <v>565.9</v>
      </c>
      <c r="D32">
        <v>560.88</v>
      </c>
      <c r="E32">
        <v>562.73</v>
      </c>
      <c r="F32">
        <v>1537800</v>
      </c>
      <c r="G32">
        <v>562.73</v>
      </c>
    </row>
    <row r="33" spans="1:7" x14ac:dyDescent="0.25">
      <c r="A33" s="34">
        <v>41864</v>
      </c>
      <c r="B33">
        <v>567.30999999999995</v>
      </c>
      <c r="C33">
        <v>575</v>
      </c>
      <c r="D33">
        <v>565.75</v>
      </c>
      <c r="E33">
        <v>574.78</v>
      </c>
      <c r="F33">
        <v>1435300</v>
      </c>
      <c r="G33">
        <v>574.78</v>
      </c>
    </row>
    <row r="34" spans="1:7" x14ac:dyDescent="0.25">
      <c r="A34" s="34">
        <v>41865</v>
      </c>
      <c r="B34">
        <v>576.17999999999995</v>
      </c>
      <c r="C34">
        <v>577.9</v>
      </c>
      <c r="D34">
        <v>570.88</v>
      </c>
      <c r="E34">
        <v>574.65</v>
      </c>
      <c r="F34">
        <v>982800</v>
      </c>
      <c r="G34">
        <v>574.65</v>
      </c>
    </row>
    <row r="35" spans="1:7" x14ac:dyDescent="0.25">
      <c r="A35" s="34">
        <v>41866</v>
      </c>
      <c r="B35">
        <v>577.86</v>
      </c>
      <c r="C35">
        <v>579.38</v>
      </c>
      <c r="D35">
        <v>570.52</v>
      </c>
      <c r="E35">
        <v>573.48</v>
      </c>
      <c r="F35">
        <v>1515000</v>
      </c>
      <c r="G35">
        <v>573.48</v>
      </c>
    </row>
    <row r="36" spans="1:7" x14ac:dyDescent="0.25">
      <c r="A36" s="34">
        <v>41869</v>
      </c>
      <c r="B36">
        <v>576.11</v>
      </c>
      <c r="C36">
        <v>584.51</v>
      </c>
      <c r="D36">
        <v>576</v>
      </c>
      <c r="E36">
        <v>582.16</v>
      </c>
      <c r="F36">
        <v>1280600</v>
      </c>
      <c r="G36">
        <v>582.16</v>
      </c>
    </row>
    <row r="37" spans="1:7" x14ac:dyDescent="0.25">
      <c r="A37" s="34">
        <v>41870</v>
      </c>
      <c r="B37">
        <v>585</v>
      </c>
      <c r="C37">
        <v>587.34</v>
      </c>
      <c r="D37">
        <v>584</v>
      </c>
      <c r="E37">
        <v>586.86</v>
      </c>
      <c r="F37">
        <v>976000</v>
      </c>
      <c r="G37">
        <v>586.86</v>
      </c>
    </row>
    <row r="38" spans="1:7" x14ac:dyDescent="0.25">
      <c r="A38" s="34">
        <v>41871</v>
      </c>
      <c r="B38">
        <v>585.88</v>
      </c>
      <c r="C38">
        <v>586.70000000000005</v>
      </c>
      <c r="D38">
        <v>582.57000000000005</v>
      </c>
      <c r="E38">
        <v>584.49</v>
      </c>
      <c r="F38">
        <v>1033900</v>
      </c>
      <c r="G38">
        <v>584.49</v>
      </c>
    </row>
    <row r="39" spans="1:7" x14ac:dyDescent="0.25">
      <c r="A39" s="34">
        <v>41872</v>
      </c>
      <c r="B39">
        <v>583.82000000000005</v>
      </c>
      <c r="C39">
        <v>584.5</v>
      </c>
      <c r="D39">
        <v>581.14</v>
      </c>
      <c r="E39">
        <v>583.37</v>
      </c>
      <c r="F39">
        <v>912300</v>
      </c>
      <c r="G39">
        <v>583.37</v>
      </c>
    </row>
    <row r="40" spans="1:7" x14ac:dyDescent="0.25">
      <c r="A40" s="34">
        <v>41873</v>
      </c>
      <c r="B40">
        <v>583.59</v>
      </c>
      <c r="C40">
        <v>585.24</v>
      </c>
      <c r="D40">
        <v>580.64</v>
      </c>
      <c r="E40">
        <v>582.55999999999995</v>
      </c>
      <c r="F40">
        <v>786900</v>
      </c>
      <c r="G40">
        <v>582.55999999999995</v>
      </c>
    </row>
    <row r="41" spans="1:7" x14ac:dyDescent="0.25">
      <c r="A41" s="34">
        <v>41876</v>
      </c>
      <c r="B41">
        <v>584.72</v>
      </c>
      <c r="C41">
        <v>585</v>
      </c>
      <c r="D41">
        <v>579</v>
      </c>
      <c r="E41">
        <v>580.20000000000005</v>
      </c>
      <c r="F41">
        <v>1357700</v>
      </c>
      <c r="G41">
        <v>580.20000000000005</v>
      </c>
    </row>
    <row r="42" spans="1:7" x14ac:dyDescent="0.25">
      <c r="A42" s="34">
        <v>41877</v>
      </c>
      <c r="B42">
        <v>581.26</v>
      </c>
      <c r="C42">
        <v>581.79999999999995</v>
      </c>
      <c r="D42">
        <v>576.58000000000004</v>
      </c>
      <c r="E42">
        <v>577.86</v>
      </c>
      <c r="F42">
        <v>1635200</v>
      </c>
      <c r="G42">
        <v>577.86</v>
      </c>
    </row>
    <row r="43" spans="1:7" x14ac:dyDescent="0.25">
      <c r="A43" s="34">
        <v>41878</v>
      </c>
      <c r="B43">
        <v>577.27</v>
      </c>
      <c r="C43">
        <v>578.49</v>
      </c>
      <c r="D43">
        <v>570.1</v>
      </c>
      <c r="E43">
        <v>571</v>
      </c>
      <c r="F43">
        <v>1698700</v>
      </c>
      <c r="G43">
        <v>571</v>
      </c>
    </row>
    <row r="44" spans="1:7" x14ac:dyDescent="0.25">
      <c r="A44" s="34">
        <v>41879</v>
      </c>
      <c r="B44">
        <v>569.55999999999995</v>
      </c>
      <c r="C44">
        <v>573.25</v>
      </c>
      <c r="D44">
        <v>567.1</v>
      </c>
      <c r="E44">
        <v>569.20000000000005</v>
      </c>
      <c r="F44">
        <v>1289400</v>
      </c>
      <c r="G44">
        <v>569.20000000000005</v>
      </c>
    </row>
    <row r="45" spans="1:7" x14ac:dyDescent="0.25">
      <c r="A45" s="34">
        <v>41880</v>
      </c>
      <c r="B45">
        <v>571.33000000000004</v>
      </c>
      <c r="C45">
        <v>572.04</v>
      </c>
      <c r="D45">
        <v>567.07000000000005</v>
      </c>
      <c r="E45">
        <v>571.6</v>
      </c>
      <c r="F45">
        <v>1080800</v>
      </c>
      <c r="G45">
        <v>571.6</v>
      </c>
    </row>
    <row r="46" spans="1:7" x14ac:dyDescent="0.25">
      <c r="A46" s="34">
        <v>41884</v>
      </c>
      <c r="B46">
        <v>571.85</v>
      </c>
      <c r="C46">
        <v>577.83000000000004</v>
      </c>
      <c r="D46">
        <v>571.19000000000005</v>
      </c>
      <c r="E46">
        <v>577.33000000000004</v>
      </c>
      <c r="F46">
        <v>1574100</v>
      </c>
      <c r="G46">
        <v>577.33000000000004</v>
      </c>
    </row>
    <row r="47" spans="1:7" x14ac:dyDescent="0.25">
      <c r="A47" s="34">
        <v>41885</v>
      </c>
      <c r="B47">
        <v>580</v>
      </c>
      <c r="C47">
        <v>582.99</v>
      </c>
      <c r="D47">
        <v>575</v>
      </c>
      <c r="E47">
        <v>577.94000000000005</v>
      </c>
      <c r="F47">
        <v>1211800</v>
      </c>
      <c r="G47">
        <v>577.94000000000005</v>
      </c>
    </row>
    <row r="48" spans="1:7" x14ac:dyDescent="0.25">
      <c r="A48" s="34">
        <v>41886</v>
      </c>
      <c r="B48">
        <v>580</v>
      </c>
      <c r="C48">
        <v>586</v>
      </c>
      <c r="D48">
        <v>579.22</v>
      </c>
      <c r="E48">
        <v>581.98</v>
      </c>
      <c r="F48">
        <v>1454200</v>
      </c>
      <c r="G48">
        <v>581.98</v>
      </c>
    </row>
    <row r="49" spans="1:7" x14ac:dyDescent="0.25">
      <c r="A49" s="34">
        <v>41887</v>
      </c>
      <c r="B49">
        <v>583.98</v>
      </c>
      <c r="C49">
        <v>586.54999999999995</v>
      </c>
      <c r="D49">
        <v>581.95000000000005</v>
      </c>
      <c r="E49">
        <v>586.08000000000004</v>
      </c>
      <c r="F49">
        <v>1627900</v>
      </c>
      <c r="G49">
        <v>586.08000000000004</v>
      </c>
    </row>
    <row r="50" spans="1:7" x14ac:dyDescent="0.25">
      <c r="A50" s="34">
        <v>41890</v>
      </c>
      <c r="B50">
        <v>586.6</v>
      </c>
      <c r="C50">
        <v>591.77</v>
      </c>
      <c r="D50">
        <v>586.29999999999995</v>
      </c>
      <c r="E50">
        <v>589.72</v>
      </c>
      <c r="F50">
        <v>1427100</v>
      </c>
      <c r="G50">
        <v>589.72</v>
      </c>
    </row>
    <row r="51" spans="1:7" x14ac:dyDescent="0.25">
      <c r="A51" s="34">
        <v>41891</v>
      </c>
      <c r="B51">
        <v>588.9</v>
      </c>
      <c r="C51">
        <v>589</v>
      </c>
      <c r="D51">
        <v>580</v>
      </c>
      <c r="E51">
        <v>581.01</v>
      </c>
      <c r="F51">
        <v>1283700</v>
      </c>
      <c r="G51">
        <v>581.01</v>
      </c>
    </row>
    <row r="52" spans="1:7" x14ac:dyDescent="0.25">
      <c r="A52" s="34">
        <v>41892</v>
      </c>
      <c r="B52">
        <v>581.5</v>
      </c>
      <c r="C52">
        <v>583.5</v>
      </c>
      <c r="D52">
        <v>576.94000000000005</v>
      </c>
      <c r="E52">
        <v>583.1</v>
      </c>
      <c r="F52">
        <v>974700</v>
      </c>
      <c r="G52">
        <v>583.1</v>
      </c>
    </row>
    <row r="53" spans="1:7" x14ac:dyDescent="0.25">
      <c r="A53" s="34">
        <v>41893</v>
      </c>
      <c r="B53">
        <v>580.36</v>
      </c>
      <c r="C53">
        <v>581.80999999999995</v>
      </c>
      <c r="D53">
        <v>576.26</v>
      </c>
      <c r="E53">
        <v>581.35</v>
      </c>
      <c r="F53">
        <v>1217700</v>
      </c>
      <c r="G53">
        <v>581.35</v>
      </c>
    </row>
    <row r="54" spans="1:7" x14ac:dyDescent="0.25">
      <c r="A54" s="34">
        <v>41894</v>
      </c>
      <c r="B54">
        <v>581</v>
      </c>
      <c r="C54">
        <v>581.64</v>
      </c>
      <c r="D54">
        <v>574.46</v>
      </c>
      <c r="E54">
        <v>575.62</v>
      </c>
      <c r="F54">
        <v>1597300</v>
      </c>
      <c r="G54">
        <v>575.62</v>
      </c>
    </row>
    <row r="55" spans="1:7" x14ac:dyDescent="0.25">
      <c r="A55" s="34">
        <v>41897</v>
      </c>
      <c r="B55">
        <v>572.94000000000005</v>
      </c>
      <c r="C55">
        <v>574.95000000000005</v>
      </c>
      <c r="D55">
        <v>568.21</v>
      </c>
      <c r="E55">
        <v>573.1</v>
      </c>
      <c r="F55">
        <v>1593200</v>
      </c>
      <c r="G55">
        <v>573.1</v>
      </c>
    </row>
  </sheetData>
  <sortState ref="A3:G55">
    <sortCondition ref="A3:A55"/>
  </sortState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587.65</v>
      </c>
      <c r="C3">
        <v>593.66</v>
      </c>
      <c r="D3">
        <v>586.29</v>
      </c>
      <c r="E3">
        <v>591.49</v>
      </c>
      <c r="F3">
        <v>1643200</v>
      </c>
      <c r="G3">
        <v>591.49</v>
      </c>
    </row>
    <row r="4" spans="1:7" x14ac:dyDescent="0.25">
      <c r="A4" s="34">
        <v>41822</v>
      </c>
      <c r="B4">
        <v>592.26</v>
      </c>
      <c r="C4">
        <v>594.15</v>
      </c>
      <c r="D4">
        <v>589.11</v>
      </c>
      <c r="E4">
        <v>590.78</v>
      </c>
      <c r="F4">
        <v>1195800</v>
      </c>
      <c r="G4">
        <v>590.78</v>
      </c>
    </row>
    <row r="5" spans="1:7" x14ac:dyDescent="0.25">
      <c r="A5" s="34">
        <v>41823</v>
      </c>
      <c r="B5">
        <v>591.70000000000005</v>
      </c>
      <c r="C5">
        <v>594.25</v>
      </c>
      <c r="D5">
        <v>589</v>
      </c>
      <c r="E5">
        <v>593.08000000000004</v>
      </c>
      <c r="F5">
        <v>898900</v>
      </c>
      <c r="G5">
        <v>593.08000000000004</v>
      </c>
    </row>
    <row r="6" spans="1:7" x14ac:dyDescent="0.25">
      <c r="A6" s="34">
        <v>41827</v>
      </c>
      <c r="B6">
        <v>593.51</v>
      </c>
      <c r="C6">
        <v>595.65</v>
      </c>
      <c r="D6">
        <v>587.94000000000005</v>
      </c>
      <c r="E6">
        <v>590.76</v>
      </c>
      <c r="F6">
        <v>1336700</v>
      </c>
      <c r="G6">
        <v>590.76</v>
      </c>
    </row>
    <row r="7" spans="1:7" x14ac:dyDescent="0.25">
      <c r="A7" s="34">
        <v>41828</v>
      </c>
      <c r="B7">
        <v>586.37</v>
      </c>
      <c r="C7">
        <v>587.97</v>
      </c>
      <c r="D7">
        <v>574</v>
      </c>
      <c r="E7">
        <v>578.4</v>
      </c>
      <c r="F7">
        <v>2125200</v>
      </c>
      <c r="G7">
        <v>578.4</v>
      </c>
    </row>
    <row r="8" spans="1:7" x14ac:dyDescent="0.25">
      <c r="A8" s="34">
        <v>41829</v>
      </c>
      <c r="B8">
        <v>578.95000000000005</v>
      </c>
      <c r="C8">
        <v>584.1</v>
      </c>
      <c r="D8">
        <v>577</v>
      </c>
      <c r="E8">
        <v>583.36</v>
      </c>
      <c r="F8">
        <v>1372800</v>
      </c>
      <c r="G8">
        <v>583.36</v>
      </c>
    </row>
    <row r="9" spans="1:7" x14ac:dyDescent="0.25">
      <c r="A9" s="34">
        <v>41830</v>
      </c>
      <c r="B9">
        <v>573</v>
      </c>
      <c r="C9">
        <v>585.25</v>
      </c>
      <c r="D9">
        <v>572.1</v>
      </c>
      <c r="E9">
        <v>580.04</v>
      </c>
      <c r="F9">
        <v>1436200</v>
      </c>
      <c r="G9">
        <v>580.04</v>
      </c>
    </row>
    <row r="10" spans="1:7" x14ac:dyDescent="0.25">
      <c r="A10" s="34">
        <v>41831</v>
      </c>
      <c r="B10">
        <v>581</v>
      </c>
      <c r="C10">
        <v>588.23</v>
      </c>
      <c r="D10">
        <v>580.58000000000004</v>
      </c>
      <c r="E10">
        <v>586.65</v>
      </c>
      <c r="F10">
        <v>1511600</v>
      </c>
      <c r="G10">
        <v>586.65</v>
      </c>
    </row>
    <row r="11" spans="1:7" x14ac:dyDescent="0.25">
      <c r="A11" s="34">
        <v>41834</v>
      </c>
      <c r="B11">
        <v>590.6</v>
      </c>
      <c r="C11">
        <v>594.86</v>
      </c>
      <c r="D11">
        <v>586.69000000000005</v>
      </c>
      <c r="E11">
        <v>594.26</v>
      </c>
      <c r="F11">
        <v>1951600</v>
      </c>
      <c r="G11">
        <v>594.26</v>
      </c>
    </row>
    <row r="12" spans="1:7" x14ac:dyDescent="0.25">
      <c r="A12" s="34">
        <v>41835</v>
      </c>
      <c r="B12">
        <v>595.15</v>
      </c>
      <c r="C12">
        <v>595.29999999999995</v>
      </c>
      <c r="D12">
        <v>585.30999999999995</v>
      </c>
      <c r="E12">
        <v>593.05999999999995</v>
      </c>
      <c r="F12">
        <v>1673800</v>
      </c>
      <c r="G12">
        <v>593.05999999999995</v>
      </c>
    </row>
    <row r="13" spans="1:7" x14ac:dyDescent="0.25">
      <c r="A13" s="34">
        <v>41836</v>
      </c>
      <c r="B13">
        <v>596.89</v>
      </c>
      <c r="C13">
        <v>597</v>
      </c>
      <c r="D13">
        <v>590.25</v>
      </c>
      <c r="E13">
        <v>590.62</v>
      </c>
      <c r="F13">
        <v>1440800</v>
      </c>
      <c r="G13">
        <v>590.62</v>
      </c>
    </row>
    <row r="14" spans="1:7" x14ac:dyDescent="0.25">
      <c r="A14" s="34">
        <v>41837</v>
      </c>
      <c r="B14">
        <v>588.97</v>
      </c>
      <c r="C14">
        <v>589.5</v>
      </c>
      <c r="D14">
        <v>576.85</v>
      </c>
      <c r="E14">
        <v>580.82000000000005</v>
      </c>
      <c r="F14">
        <v>2935300</v>
      </c>
      <c r="G14">
        <v>580.82000000000005</v>
      </c>
    </row>
    <row r="15" spans="1:7" x14ac:dyDescent="0.25">
      <c r="A15" s="34">
        <v>41838</v>
      </c>
      <c r="B15">
        <v>603.01</v>
      </c>
      <c r="C15">
        <v>606.70000000000005</v>
      </c>
      <c r="D15">
        <v>590.91999999999996</v>
      </c>
      <c r="E15">
        <v>605.11</v>
      </c>
      <c r="F15">
        <v>4871600</v>
      </c>
      <c r="G15">
        <v>605.11</v>
      </c>
    </row>
    <row r="16" spans="1:7" x14ac:dyDescent="0.25">
      <c r="A16" s="34">
        <v>41841</v>
      </c>
      <c r="B16">
        <v>601.35</v>
      </c>
      <c r="C16">
        <v>604.16</v>
      </c>
      <c r="D16">
        <v>594.45000000000005</v>
      </c>
      <c r="E16">
        <v>598.44000000000005</v>
      </c>
      <c r="F16">
        <v>2237900</v>
      </c>
      <c r="G16">
        <v>598.44000000000005</v>
      </c>
    </row>
    <row r="17" spans="1:7" x14ac:dyDescent="0.25">
      <c r="A17" s="34">
        <v>41842</v>
      </c>
      <c r="B17">
        <v>599.70000000000005</v>
      </c>
      <c r="C17">
        <v>608.89</v>
      </c>
      <c r="D17">
        <v>599.26</v>
      </c>
      <c r="E17">
        <v>603.57000000000005</v>
      </c>
      <c r="F17">
        <v>1881600</v>
      </c>
      <c r="G17">
        <v>603.57000000000005</v>
      </c>
    </row>
    <row r="18" spans="1:7" x14ac:dyDescent="0.25">
      <c r="A18" s="34">
        <v>41843</v>
      </c>
      <c r="B18">
        <v>602.04999999999995</v>
      </c>
      <c r="C18">
        <v>607.04999999999995</v>
      </c>
      <c r="D18">
        <v>601.35</v>
      </c>
      <c r="E18">
        <v>605.19000000000005</v>
      </c>
      <c r="F18">
        <v>1106000</v>
      </c>
      <c r="G18">
        <v>605.19000000000005</v>
      </c>
    </row>
    <row r="19" spans="1:7" x14ac:dyDescent="0.25">
      <c r="A19" s="34">
        <v>41844</v>
      </c>
      <c r="B19">
        <v>605.53</v>
      </c>
      <c r="C19">
        <v>608.91</v>
      </c>
      <c r="D19">
        <v>601</v>
      </c>
      <c r="E19">
        <v>603.01</v>
      </c>
      <c r="F19">
        <v>1355000</v>
      </c>
      <c r="G19">
        <v>603.01</v>
      </c>
    </row>
    <row r="20" spans="1:7" x14ac:dyDescent="0.25">
      <c r="A20" s="34">
        <v>41845</v>
      </c>
      <c r="B20">
        <v>599.25</v>
      </c>
      <c r="C20">
        <v>601</v>
      </c>
      <c r="D20">
        <v>595.75</v>
      </c>
      <c r="E20">
        <v>598.08000000000004</v>
      </c>
      <c r="F20">
        <v>1360000</v>
      </c>
      <c r="G20">
        <v>598.08000000000004</v>
      </c>
    </row>
    <row r="21" spans="1:7" x14ac:dyDescent="0.25">
      <c r="A21" s="34">
        <v>41848</v>
      </c>
      <c r="B21">
        <v>597.75</v>
      </c>
      <c r="C21">
        <v>601.1</v>
      </c>
      <c r="D21">
        <v>592.59</v>
      </c>
      <c r="E21">
        <v>599.02</v>
      </c>
      <c r="F21">
        <v>1358100</v>
      </c>
      <c r="G21">
        <v>599.02</v>
      </c>
    </row>
    <row r="22" spans="1:7" x14ac:dyDescent="0.25">
      <c r="A22" s="34">
        <v>41849</v>
      </c>
      <c r="B22">
        <v>597.70000000000005</v>
      </c>
      <c r="C22">
        <v>598.49</v>
      </c>
      <c r="D22">
        <v>592.16999999999996</v>
      </c>
      <c r="E22">
        <v>593.95000000000005</v>
      </c>
      <c r="F22">
        <v>1366600</v>
      </c>
      <c r="G22">
        <v>593.95000000000005</v>
      </c>
    </row>
    <row r="23" spans="1:7" x14ac:dyDescent="0.25">
      <c r="A23" s="34">
        <v>41850</v>
      </c>
      <c r="B23">
        <v>595.80999999999995</v>
      </c>
      <c r="C23">
        <v>598.45000000000005</v>
      </c>
      <c r="D23">
        <v>592.70000000000005</v>
      </c>
      <c r="E23">
        <v>595.44000000000005</v>
      </c>
      <c r="F23">
        <v>1215100</v>
      </c>
      <c r="G23">
        <v>595.44000000000005</v>
      </c>
    </row>
    <row r="24" spans="1:7" x14ac:dyDescent="0.25">
      <c r="A24" s="34">
        <v>41851</v>
      </c>
      <c r="B24">
        <v>588.96</v>
      </c>
      <c r="C24">
        <v>591.99</v>
      </c>
      <c r="D24">
        <v>577.67999999999995</v>
      </c>
      <c r="E24">
        <v>579.54999999999995</v>
      </c>
      <c r="F24">
        <v>2309500</v>
      </c>
      <c r="G24">
        <v>579.54999999999995</v>
      </c>
    </row>
    <row r="25" spans="1:7" x14ac:dyDescent="0.25">
      <c r="A25" s="34">
        <v>41852</v>
      </c>
      <c r="B25">
        <v>578.54999999999995</v>
      </c>
      <c r="C25">
        <v>583.42999999999995</v>
      </c>
      <c r="D25">
        <v>570.29999999999995</v>
      </c>
      <c r="E25">
        <v>573.6</v>
      </c>
      <c r="F25">
        <v>2213300</v>
      </c>
      <c r="G25">
        <v>573.6</v>
      </c>
    </row>
    <row r="26" spans="1:7" x14ac:dyDescent="0.25">
      <c r="A26" s="34">
        <v>41855</v>
      </c>
      <c r="B26">
        <v>576.51</v>
      </c>
      <c r="C26">
        <v>583.82000000000005</v>
      </c>
      <c r="D26">
        <v>572.26</v>
      </c>
      <c r="E26">
        <v>582.27</v>
      </c>
      <c r="F26">
        <v>1519400</v>
      </c>
      <c r="G26">
        <v>582.27</v>
      </c>
    </row>
    <row r="27" spans="1:7" x14ac:dyDescent="0.25">
      <c r="A27" s="34">
        <v>41856</v>
      </c>
      <c r="B27">
        <v>579.38</v>
      </c>
      <c r="C27">
        <v>580.20000000000005</v>
      </c>
      <c r="D27">
        <v>570.30999999999995</v>
      </c>
      <c r="E27">
        <v>573.14</v>
      </c>
      <c r="F27">
        <v>1643800</v>
      </c>
      <c r="G27">
        <v>573.14</v>
      </c>
    </row>
    <row r="28" spans="1:7" x14ac:dyDescent="0.25">
      <c r="A28" s="34">
        <v>41857</v>
      </c>
      <c r="B28">
        <v>569.5</v>
      </c>
      <c r="C28">
        <v>578.64</v>
      </c>
      <c r="D28">
        <v>567.45000000000005</v>
      </c>
      <c r="E28">
        <v>574.49</v>
      </c>
      <c r="F28">
        <v>1322800</v>
      </c>
      <c r="G28">
        <v>574.49</v>
      </c>
    </row>
    <row r="29" spans="1:7" x14ac:dyDescent="0.25">
      <c r="A29" s="34">
        <v>41858</v>
      </c>
      <c r="B29">
        <v>576.04999999999995</v>
      </c>
      <c r="C29">
        <v>578.30999999999995</v>
      </c>
      <c r="D29">
        <v>569.42999999999995</v>
      </c>
      <c r="E29">
        <v>571.80999999999995</v>
      </c>
      <c r="F29">
        <v>1163000</v>
      </c>
      <c r="G29">
        <v>571.80999999999995</v>
      </c>
    </row>
    <row r="30" spans="1:7" x14ac:dyDescent="0.25">
      <c r="A30" s="34">
        <v>41859</v>
      </c>
      <c r="B30">
        <v>572.02</v>
      </c>
      <c r="C30">
        <v>579.55999999999995</v>
      </c>
      <c r="D30">
        <v>569.02</v>
      </c>
      <c r="E30">
        <v>577.94000000000005</v>
      </c>
      <c r="F30">
        <v>1493300</v>
      </c>
      <c r="G30">
        <v>577.94000000000005</v>
      </c>
    </row>
    <row r="31" spans="1:7" x14ac:dyDescent="0.25">
      <c r="A31" s="34">
        <v>41862</v>
      </c>
      <c r="B31">
        <v>579</v>
      </c>
      <c r="C31">
        <v>579.69000000000005</v>
      </c>
      <c r="D31">
        <v>575.29999999999995</v>
      </c>
      <c r="E31">
        <v>577.25</v>
      </c>
      <c r="F31">
        <v>1171300</v>
      </c>
      <c r="G31">
        <v>577.25</v>
      </c>
    </row>
    <row r="32" spans="1:7" x14ac:dyDescent="0.25">
      <c r="A32" s="34">
        <v>41863</v>
      </c>
      <c r="B32">
        <v>575</v>
      </c>
      <c r="C32">
        <v>575.9</v>
      </c>
      <c r="D32">
        <v>569.91</v>
      </c>
      <c r="E32">
        <v>572.12</v>
      </c>
      <c r="F32">
        <v>1394500</v>
      </c>
      <c r="G32">
        <v>572.12</v>
      </c>
    </row>
    <row r="33" spans="1:7" x14ac:dyDescent="0.25">
      <c r="A33" s="34">
        <v>41864</v>
      </c>
      <c r="B33">
        <v>576.45000000000005</v>
      </c>
      <c r="C33">
        <v>586.13</v>
      </c>
      <c r="D33">
        <v>575.20000000000005</v>
      </c>
      <c r="E33">
        <v>584.55999999999995</v>
      </c>
      <c r="F33">
        <v>1899400</v>
      </c>
      <c r="G33">
        <v>584.55999999999995</v>
      </c>
    </row>
    <row r="34" spans="1:7" x14ac:dyDescent="0.25">
      <c r="A34" s="34">
        <v>41865</v>
      </c>
      <c r="B34">
        <v>586.69000000000005</v>
      </c>
      <c r="C34">
        <v>587.79999999999995</v>
      </c>
      <c r="D34">
        <v>580.91999999999996</v>
      </c>
      <c r="E34">
        <v>584.65</v>
      </c>
      <c r="F34">
        <v>1272900</v>
      </c>
      <c r="G34">
        <v>584.65</v>
      </c>
    </row>
    <row r="35" spans="1:7" x14ac:dyDescent="0.25">
      <c r="A35" s="34">
        <v>41866</v>
      </c>
      <c r="B35">
        <v>587.5</v>
      </c>
      <c r="C35">
        <v>589.47</v>
      </c>
      <c r="D35">
        <v>580.76</v>
      </c>
      <c r="E35">
        <v>583.71</v>
      </c>
      <c r="F35">
        <v>1723400</v>
      </c>
      <c r="G35">
        <v>583.71</v>
      </c>
    </row>
    <row r="36" spans="1:7" x14ac:dyDescent="0.25">
      <c r="A36" s="34">
        <v>41869</v>
      </c>
      <c r="B36">
        <v>587.1</v>
      </c>
      <c r="C36">
        <v>595.04999999999995</v>
      </c>
      <c r="D36">
        <v>586.54999999999995</v>
      </c>
      <c r="E36">
        <v>592.70000000000005</v>
      </c>
      <c r="F36">
        <v>1466000</v>
      </c>
      <c r="G36">
        <v>592.70000000000005</v>
      </c>
    </row>
    <row r="37" spans="1:7" x14ac:dyDescent="0.25">
      <c r="A37" s="34">
        <v>41870</v>
      </c>
      <c r="B37">
        <v>595.59</v>
      </c>
      <c r="C37">
        <v>597.80999999999995</v>
      </c>
      <c r="D37">
        <v>594.44000000000005</v>
      </c>
      <c r="E37">
        <v>597.11</v>
      </c>
      <c r="F37">
        <v>1043200</v>
      </c>
      <c r="G37">
        <v>597.11</v>
      </c>
    </row>
    <row r="38" spans="1:7" x14ac:dyDescent="0.25">
      <c r="A38" s="34">
        <v>41871</v>
      </c>
      <c r="B38">
        <v>596.95000000000005</v>
      </c>
      <c r="C38">
        <v>596.99</v>
      </c>
      <c r="D38">
        <v>593</v>
      </c>
      <c r="E38">
        <v>595.41</v>
      </c>
      <c r="F38">
        <v>967300</v>
      </c>
      <c r="G38">
        <v>595.41</v>
      </c>
    </row>
    <row r="39" spans="1:7" x14ac:dyDescent="0.25">
      <c r="A39" s="34">
        <v>41872</v>
      </c>
      <c r="B39">
        <v>594.9</v>
      </c>
      <c r="C39">
        <v>595.25</v>
      </c>
      <c r="D39">
        <v>591.1</v>
      </c>
      <c r="E39">
        <v>592.41999999999996</v>
      </c>
      <c r="F39">
        <v>1132000</v>
      </c>
      <c r="G39">
        <v>592.41999999999996</v>
      </c>
    </row>
    <row r="40" spans="1:7" x14ac:dyDescent="0.25">
      <c r="A40" s="34">
        <v>41873</v>
      </c>
      <c r="B40">
        <v>593.27</v>
      </c>
      <c r="C40">
        <v>594.99</v>
      </c>
      <c r="D40">
        <v>589.79999999999995</v>
      </c>
      <c r="E40">
        <v>592.54</v>
      </c>
      <c r="F40">
        <v>877200</v>
      </c>
      <c r="G40">
        <v>592.54</v>
      </c>
    </row>
    <row r="41" spans="1:7" x14ac:dyDescent="0.25">
      <c r="A41" s="34">
        <v>41876</v>
      </c>
      <c r="B41">
        <v>594.77</v>
      </c>
      <c r="C41">
        <v>595.58000000000004</v>
      </c>
      <c r="D41">
        <v>589.26</v>
      </c>
      <c r="E41">
        <v>590.57000000000005</v>
      </c>
      <c r="F41">
        <v>1295600</v>
      </c>
      <c r="G41">
        <v>590.57000000000005</v>
      </c>
    </row>
    <row r="42" spans="1:7" x14ac:dyDescent="0.25">
      <c r="A42" s="34">
        <v>41877</v>
      </c>
      <c r="B42">
        <v>592</v>
      </c>
      <c r="C42">
        <v>592.04999999999995</v>
      </c>
      <c r="D42">
        <v>587.45000000000005</v>
      </c>
      <c r="E42">
        <v>588.12</v>
      </c>
      <c r="F42">
        <v>1471700</v>
      </c>
      <c r="G42">
        <v>588.12</v>
      </c>
    </row>
    <row r="43" spans="1:7" x14ac:dyDescent="0.25">
      <c r="A43" s="34">
        <v>41878</v>
      </c>
      <c r="B43">
        <v>587.80999999999995</v>
      </c>
      <c r="C43">
        <v>589.37</v>
      </c>
      <c r="D43">
        <v>580.9</v>
      </c>
      <c r="E43">
        <v>583</v>
      </c>
      <c r="F43">
        <v>1364600</v>
      </c>
      <c r="G43">
        <v>583</v>
      </c>
    </row>
    <row r="44" spans="1:7" x14ac:dyDescent="0.25">
      <c r="A44" s="34">
        <v>41879</v>
      </c>
      <c r="B44">
        <v>580.02</v>
      </c>
      <c r="C44">
        <v>584.71</v>
      </c>
      <c r="D44">
        <v>577.88</v>
      </c>
      <c r="E44">
        <v>580.32000000000005</v>
      </c>
      <c r="F44">
        <v>1405800</v>
      </c>
      <c r="G44">
        <v>580.32000000000005</v>
      </c>
    </row>
    <row r="45" spans="1:7" x14ac:dyDescent="0.25">
      <c r="A45" s="34">
        <v>41880</v>
      </c>
      <c r="B45">
        <v>582.35</v>
      </c>
      <c r="C45">
        <v>582.9</v>
      </c>
      <c r="D45">
        <v>578.24</v>
      </c>
      <c r="E45">
        <v>582.36</v>
      </c>
      <c r="F45">
        <v>1206100</v>
      </c>
      <c r="G45">
        <v>582.36</v>
      </c>
    </row>
    <row r="46" spans="1:7" x14ac:dyDescent="0.25">
      <c r="A46" s="34">
        <v>41884</v>
      </c>
      <c r="B46">
        <v>582.95000000000005</v>
      </c>
      <c r="C46">
        <v>589.29999999999995</v>
      </c>
      <c r="D46">
        <v>582.4</v>
      </c>
      <c r="E46">
        <v>588.63</v>
      </c>
      <c r="F46">
        <v>1583000</v>
      </c>
      <c r="G46">
        <v>588.63</v>
      </c>
    </row>
    <row r="47" spans="1:7" x14ac:dyDescent="0.25">
      <c r="A47" s="34">
        <v>41885</v>
      </c>
      <c r="B47">
        <v>591.73</v>
      </c>
      <c r="C47">
        <v>594.49</v>
      </c>
      <c r="D47">
        <v>586.5</v>
      </c>
      <c r="E47">
        <v>589.52</v>
      </c>
      <c r="F47">
        <v>1579000</v>
      </c>
      <c r="G47">
        <v>589.52</v>
      </c>
    </row>
    <row r="48" spans="1:7" x14ac:dyDescent="0.25">
      <c r="A48" s="34">
        <v>41886</v>
      </c>
      <c r="B48">
        <v>592.13</v>
      </c>
      <c r="C48">
        <v>598</v>
      </c>
      <c r="D48">
        <v>590.6</v>
      </c>
      <c r="E48">
        <v>593.14</v>
      </c>
      <c r="F48">
        <v>1630800</v>
      </c>
      <c r="G48">
        <v>593.14</v>
      </c>
    </row>
    <row r="49" spans="1:7" x14ac:dyDescent="0.25">
      <c r="A49" s="34">
        <v>41887</v>
      </c>
      <c r="B49">
        <v>595.13</v>
      </c>
      <c r="C49">
        <v>598.5</v>
      </c>
      <c r="D49">
        <v>593.54999999999995</v>
      </c>
      <c r="E49">
        <v>597.78</v>
      </c>
      <c r="F49">
        <v>1799100</v>
      </c>
      <c r="G49">
        <v>597.78</v>
      </c>
    </row>
    <row r="50" spans="1:7" x14ac:dyDescent="0.25">
      <c r="A50" s="34">
        <v>41890</v>
      </c>
      <c r="B50">
        <v>599.14</v>
      </c>
      <c r="C50">
        <v>603.52</v>
      </c>
      <c r="D50">
        <v>598.02</v>
      </c>
      <c r="E50">
        <v>601.63</v>
      </c>
      <c r="F50">
        <v>1599200</v>
      </c>
      <c r="G50">
        <v>601.63</v>
      </c>
    </row>
    <row r="51" spans="1:7" x14ac:dyDescent="0.25">
      <c r="A51" s="34">
        <v>41891</v>
      </c>
      <c r="B51">
        <v>600.27</v>
      </c>
      <c r="C51">
        <v>600.6</v>
      </c>
      <c r="D51">
        <v>590.48</v>
      </c>
      <c r="E51">
        <v>591.97</v>
      </c>
      <c r="F51">
        <v>1571200</v>
      </c>
      <c r="G51">
        <v>591.97</v>
      </c>
    </row>
    <row r="52" spans="1:7" x14ac:dyDescent="0.25">
      <c r="A52" s="34">
        <v>41892</v>
      </c>
      <c r="B52">
        <v>591.74</v>
      </c>
      <c r="C52">
        <v>593.72</v>
      </c>
      <c r="D52">
        <v>587.14</v>
      </c>
      <c r="E52">
        <v>593.41999999999996</v>
      </c>
      <c r="F52">
        <v>1160100</v>
      </c>
      <c r="G52">
        <v>593.41999999999996</v>
      </c>
    </row>
    <row r="53" spans="1:7" x14ac:dyDescent="0.25">
      <c r="A53" s="34">
        <v>41893</v>
      </c>
      <c r="B53">
        <v>590</v>
      </c>
      <c r="C53">
        <v>591.95000000000005</v>
      </c>
      <c r="D53">
        <v>586.04</v>
      </c>
      <c r="E53">
        <v>591.11</v>
      </c>
      <c r="F53">
        <v>1501400</v>
      </c>
      <c r="G53">
        <v>591.11</v>
      </c>
    </row>
    <row r="54" spans="1:7" x14ac:dyDescent="0.25">
      <c r="A54" s="34">
        <v>41894</v>
      </c>
      <c r="B54">
        <v>590.39</v>
      </c>
      <c r="C54">
        <v>591.48</v>
      </c>
      <c r="D54">
        <v>583.28</v>
      </c>
      <c r="E54">
        <v>584.9</v>
      </c>
      <c r="F54">
        <v>1851500</v>
      </c>
      <c r="G54">
        <v>584.9</v>
      </c>
    </row>
    <row r="55" spans="1:7" x14ac:dyDescent="0.25">
      <c r="A55" s="34">
        <v>41897</v>
      </c>
      <c r="B55">
        <v>582.24</v>
      </c>
      <c r="C55">
        <v>583.91999999999996</v>
      </c>
      <c r="D55">
        <v>577.01</v>
      </c>
      <c r="E55">
        <v>581.64</v>
      </c>
      <c r="F55">
        <v>1545400</v>
      </c>
      <c r="G55">
        <v>581.64</v>
      </c>
    </row>
  </sheetData>
  <sortState ref="A3:G55">
    <sortCondition ref="A3:A55"/>
  </sortState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166.35</v>
      </c>
      <c r="C3">
        <v>168.27</v>
      </c>
      <c r="D3">
        <v>166.06</v>
      </c>
      <c r="E3">
        <v>166.81</v>
      </c>
      <c r="F3">
        <v>2947800</v>
      </c>
      <c r="G3">
        <v>166.29</v>
      </c>
    </row>
    <row r="4" spans="1:7" x14ac:dyDescent="0.25">
      <c r="A4" s="34">
        <v>41822</v>
      </c>
      <c r="B4">
        <v>167</v>
      </c>
      <c r="C4">
        <v>167.81</v>
      </c>
      <c r="D4">
        <v>166.57</v>
      </c>
      <c r="E4">
        <v>166.89</v>
      </c>
      <c r="F4">
        <v>1877600</v>
      </c>
      <c r="G4">
        <v>166.37</v>
      </c>
    </row>
    <row r="5" spans="1:7" x14ac:dyDescent="0.25">
      <c r="A5" s="34">
        <v>41823</v>
      </c>
      <c r="B5">
        <v>167.83</v>
      </c>
      <c r="C5">
        <v>169.9</v>
      </c>
      <c r="D5">
        <v>167.72</v>
      </c>
      <c r="E5">
        <v>169.46</v>
      </c>
      <c r="F5">
        <v>1801200</v>
      </c>
      <c r="G5">
        <v>168.94</v>
      </c>
    </row>
    <row r="6" spans="1:7" x14ac:dyDescent="0.25">
      <c r="A6" s="34">
        <v>41827</v>
      </c>
      <c r="B6">
        <v>168.97</v>
      </c>
      <c r="C6">
        <v>168.97</v>
      </c>
      <c r="D6">
        <v>166.9</v>
      </c>
      <c r="E6">
        <v>167.78</v>
      </c>
      <c r="F6">
        <v>1774000</v>
      </c>
      <c r="G6">
        <v>167.26</v>
      </c>
    </row>
    <row r="7" spans="1:7" x14ac:dyDescent="0.25">
      <c r="A7" s="34">
        <v>41828</v>
      </c>
      <c r="B7">
        <v>166.74</v>
      </c>
      <c r="C7">
        <v>166.78</v>
      </c>
      <c r="D7">
        <v>163.72999999999999</v>
      </c>
      <c r="E7">
        <v>164.91</v>
      </c>
      <c r="F7">
        <v>2422200</v>
      </c>
      <c r="G7">
        <v>164.4</v>
      </c>
    </row>
    <row r="8" spans="1:7" x14ac:dyDescent="0.25">
      <c r="A8" s="34">
        <v>41829</v>
      </c>
      <c r="B8">
        <v>165.24</v>
      </c>
      <c r="C8">
        <v>165.33</v>
      </c>
      <c r="D8">
        <v>163.63</v>
      </c>
      <c r="E8">
        <v>164.67</v>
      </c>
      <c r="F8">
        <v>1943800</v>
      </c>
      <c r="G8">
        <v>164.16</v>
      </c>
    </row>
    <row r="9" spans="1:7" x14ac:dyDescent="0.25">
      <c r="A9" s="34">
        <v>41830</v>
      </c>
      <c r="B9">
        <v>162.22</v>
      </c>
      <c r="C9">
        <v>163.78</v>
      </c>
      <c r="D9">
        <v>161.53</v>
      </c>
      <c r="E9">
        <v>163.41999999999999</v>
      </c>
      <c r="F9">
        <v>2204100</v>
      </c>
      <c r="G9">
        <v>162.91</v>
      </c>
    </row>
    <row r="10" spans="1:7" x14ac:dyDescent="0.25">
      <c r="A10" s="34">
        <v>41831</v>
      </c>
      <c r="B10">
        <v>163.02000000000001</v>
      </c>
      <c r="C10">
        <v>165.14</v>
      </c>
      <c r="D10">
        <v>162.38</v>
      </c>
      <c r="E10">
        <v>164.8</v>
      </c>
      <c r="F10">
        <v>2293300</v>
      </c>
      <c r="G10">
        <v>164.29</v>
      </c>
    </row>
    <row r="11" spans="1:7" x14ac:dyDescent="0.25">
      <c r="A11" s="34">
        <v>41834</v>
      </c>
      <c r="B11">
        <v>167.18</v>
      </c>
      <c r="C11">
        <v>167.72</v>
      </c>
      <c r="D11">
        <v>166.46</v>
      </c>
      <c r="E11">
        <v>167</v>
      </c>
      <c r="F11">
        <v>3007700</v>
      </c>
      <c r="G11">
        <v>166.48</v>
      </c>
    </row>
    <row r="12" spans="1:7" x14ac:dyDescent="0.25">
      <c r="A12" s="34">
        <v>41835</v>
      </c>
      <c r="B12">
        <v>169.7</v>
      </c>
      <c r="C12">
        <v>170.15</v>
      </c>
      <c r="D12">
        <v>167.15</v>
      </c>
      <c r="E12">
        <v>169.17</v>
      </c>
      <c r="F12">
        <v>4802300</v>
      </c>
      <c r="G12">
        <v>168.65</v>
      </c>
    </row>
    <row r="13" spans="1:7" x14ac:dyDescent="0.25">
      <c r="A13" s="34">
        <v>41836</v>
      </c>
      <c r="B13">
        <v>169.2</v>
      </c>
      <c r="C13">
        <v>170.99</v>
      </c>
      <c r="D13">
        <v>169</v>
      </c>
      <c r="E13">
        <v>170.47</v>
      </c>
      <c r="F13">
        <v>3305200</v>
      </c>
      <c r="G13">
        <v>169.94</v>
      </c>
    </row>
    <row r="14" spans="1:7" x14ac:dyDescent="0.25">
      <c r="A14" s="34">
        <v>41837</v>
      </c>
      <c r="B14">
        <v>170.21</v>
      </c>
      <c r="C14">
        <v>171.6</v>
      </c>
      <c r="D14">
        <v>168.92</v>
      </c>
      <c r="E14">
        <v>170.14</v>
      </c>
      <c r="F14">
        <v>3815500</v>
      </c>
      <c r="G14">
        <v>169.61</v>
      </c>
    </row>
    <row r="15" spans="1:7" x14ac:dyDescent="0.25">
      <c r="A15" s="34">
        <v>41838</v>
      </c>
      <c r="B15">
        <v>170.41</v>
      </c>
      <c r="C15">
        <v>171.79</v>
      </c>
      <c r="D15">
        <v>169.65</v>
      </c>
      <c r="E15">
        <v>171.47</v>
      </c>
      <c r="F15">
        <v>2558600</v>
      </c>
      <c r="G15">
        <v>170.94</v>
      </c>
    </row>
    <row r="16" spans="1:7" x14ac:dyDescent="0.25">
      <c r="A16" s="34">
        <v>41841</v>
      </c>
      <c r="B16">
        <v>170.17</v>
      </c>
      <c r="C16">
        <v>172.1</v>
      </c>
      <c r="D16">
        <v>170.05</v>
      </c>
      <c r="E16">
        <v>171.72</v>
      </c>
      <c r="F16">
        <v>2227400</v>
      </c>
      <c r="G16">
        <v>171.19</v>
      </c>
    </row>
    <row r="17" spans="1:7" x14ac:dyDescent="0.25">
      <c r="A17" s="34">
        <v>41842</v>
      </c>
      <c r="B17">
        <v>172.38</v>
      </c>
      <c r="C17">
        <v>175.38</v>
      </c>
      <c r="D17">
        <v>172.38</v>
      </c>
      <c r="E17">
        <v>175.02</v>
      </c>
      <c r="F17">
        <v>3849500</v>
      </c>
      <c r="G17">
        <v>174.48</v>
      </c>
    </row>
    <row r="18" spans="1:7" x14ac:dyDescent="0.25">
      <c r="A18" s="34">
        <v>41843</v>
      </c>
      <c r="B18">
        <v>175.21</v>
      </c>
      <c r="C18">
        <v>177.22</v>
      </c>
      <c r="D18">
        <v>174.63</v>
      </c>
      <c r="E18">
        <v>176.82</v>
      </c>
      <c r="F18">
        <v>3436100</v>
      </c>
      <c r="G18">
        <v>176.27</v>
      </c>
    </row>
    <row r="19" spans="1:7" x14ac:dyDescent="0.25">
      <c r="A19" s="34">
        <v>41844</v>
      </c>
      <c r="B19">
        <v>176.8</v>
      </c>
      <c r="C19">
        <v>177.32</v>
      </c>
      <c r="D19">
        <v>175.61</v>
      </c>
      <c r="E19">
        <v>176.26</v>
      </c>
      <c r="F19">
        <v>2012800</v>
      </c>
      <c r="G19">
        <v>175.72</v>
      </c>
    </row>
    <row r="20" spans="1:7" x14ac:dyDescent="0.25">
      <c r="A20" s="34">
        <v>41845</v>
      </c>
      <c r="B20">
        <v>175.91</v>
      </c>
      <c r="C20">
        <v>176.46</v>
      </c>
      <c r="D20">
        <v>174.72</v>
      </c>
      <c r="E20">
        <v>175.4</v>
      </c>
      <c r="F20">
        <v>2114900</v>
      </c>
      <c r="G20">
        <v>174.86</v>
      </c>
    </row>
    <row r="21" spans="1:7" x14ac:dyDescent="0.25">
      <c r="A21" s="34">
        <v>41848</v>
      </c>
      <c r="B21">
        <v>175</v>
      </c>
      <c r="C21">
        <v>176.46</v>
      </c>
      <c r="D21">
        <v>174.67</v>
      </c>
      <c r="E21">
        <v>175.95</v>
      </c>
      <c r="F21">
        <v>2303400</v>
      </c>
      <c r="G21">
        <v>175.41</v>
      </c>
    </row>
    <row r="22" spans="1:7" x14ac:dyDescent="0.25">
      <c r="A22" s="34">
        <v>41849</v>
      </c>
      <c r="B22">
        <v>176.17</v>
      </c>
      <c r="C22">
        <v>177.11</v>
      </c>
      <c r="D22">
        <v>175.45</v>
      </c>
      <c r="E22">
        <v>175.54</v>
      </c>
      <c r="F22">
        <v>3055600</v>
      </c>
      <c r="G22">
        <v>175</v>
      </c>
    </row>
    <row r="23" spans="1:7" x14ac:dyDescent="0.25">
      <c r="A23" s="34">
        <v>41850</v>
      </c>
      <c r="B23">
        <v>175.96</v>
      </c>
      <c r="C23">
        <v>177.48</v>
      </c>
      <c r="D23">
        <v>175.36</v>
      </c>
      <c r="E23">
        <v>175.76</v>
      </c>
      <c r="F23">
        <v>2345600</v>
      </c>
      <c r="G23">
        <v>175.22</v>
      </c>
    </row>
    <row r="24" spans="1:7" x14ac:dyDescent="0.25">
      <c r="A24" s="34">
        <v>41851</v>
      </c>
      <c r="B24">
        <v>174.44</v>
      </c>
      <c r="C24">
        <v>175.27</v>
      </c>
      <c r="D24">
        <v>172.79</v>
      </c>
      <c r="E24">
        <v>172.87</v>
      </c>
      <c r="F24">
        <v>3797600</v>
      </c>
      <c r="G24">
        <v>172.34</v>
      </c>
    </row>
    <row r="25" spans="1:7" x14ac:dyDescent="0.25">
      <c r="A25" s="34">
        <v>41852</v>
      </c>
      <c r="B25">
        <v>172.38</v>
      </c>
      <c r="C25">
        <v>172.76</v>
      </c>
      <c r="D25">
        <v>169.4</v>
      </c>
      <c r="E25">
        <v>170.25</v>
      </c>
      <c r="F25">
        <v>3140000</v>
      </c>
      <c r="G25">
        <v>169.72</v>
      </c>
    </row>
    <row r="26" spans="1:7" x14ac:dyDescent="0.25">
      <c r="A26" s="34">
        <v>41855</v>
      </c>
      <c r="B26">
        <v>170.57</v>
      </c>
      <c r="C26">
        <v>171.89</v>
      </c>
      <c r="D26">
        <v>170.05</v>
      </c>
      <c r="E26">
        <v>171.69</v>
      </c>
      <c r="F26">
        <v>2103900</v>
      </c>
      <c r="G26">
        <v>171.16</v>
      </c>
    </row>
    <row r="27" spans="1:7" x14ac:dyDescent="0.25">
      <c r="A27" s="34">
        <v>41856</v>
      </c>
      <c r="B27">
        <v>171.3</v>
      </c>
      <c r="C27">
        <v>171.77</v>
      </c>
      <c r="D27">
        <v>168.89</v>
      </c>
      <c r="E27">
        <v>169.42</v>
      </c>
      <c r="F27">
        <v>2746200</v>
      </c>
      <c r="G27">
        <v>168.9</v>
      </c>
    </row>
    <row r="28" spans="1:7" x14ac:dyDescent="0.25">
      <c r="A28" s="34">
        <v>41857</v>
      </c>
      <c r="B28">
        <v>168.15</v>
      </c>
      <c r="C28">
        <v>170.85</v>
      </c>
      <c r="D28">
        <v>168.02</v>
      </c>
      <c r="E28">
        <v>169.74</v>
      </c>
      <c r="F28">
        <v>1711700</v>
      </c>
      <c r="G28">
        <v>169.22</v>
      </c>
    </row>
    <row r="29" spans="1:7" x14ac:dyDescent="0.25">
      <c r="A29" s="34">
        <v>41858</v>
      </c>
      <c r="B29">
        <v>170.3</v>
      </c>
      <c r="C29">
        <v>171.07</v>
      </c>
      <c r="D29">
        <v>168.74</v>
      </c>
      <c r="E29">
        <v>169.1</v>
      </c>
      <c r="F29">
        <v>1920900</v>
      </c>
      <c r="G29">
        <v>168.58</v>
      </c>
    </row>
    <row r="30" spans="1:7" x14ac:dyDescent="0.25">
      <c r="A30" s="34">
        <v>41859</v>
      </c>
      <c r="B30">
        <v>169.35</v>
      </c>
      <c r="C30">
        <v>172.49</v>
      </c>
      <c r="D30">
        <v>168.68</v>
      </c>
      <c r="E30">
        <v>172.26</v>
      </c>
      <c r="F30">
        <v>2250900</v>
      </c>
      <c r="G30">
        <v>171.73</v>
      </c>
    </row>
    <row r="31" spans="1:7" x14ac:dyDescent="0.25">
      <c r="A31" s="34">
        <v>41862</v>
      </c>
      <c r="B31">
        <v>172.75</v>
      </c>
      <c r="C31">
        <v>173.41</v>
      </c>
      <c r="D31">
        <v>171.62</v>
      </c>
      <c r="E31">
        <v>172.46</v>
      </c>
      <c r="F31">
        <v>2098000</v>
      </c>
      <c r="G31">
        <v>171.93</v>
      </c>
    </row>
    <row r="32" spans="1:7" x14ac:dyDescent="0.25">
      <c r="A32" s="34">
        <v>41863</v>
      </c>
      <c r="B32">
        <v>171.78</v>
      </c>
      <c r="C32">
        <v>173.11</v>
      </c>
      <c r="D32">
        <v>171.38</v>
      </c>
      <c r="E32">
        <v>172.33</v>
      </c>
      <c r="F32">
        <v>1362900</v>
      </c>
      <c r="G32">
        <v>171.8</v>
      </c>
    </row>
    <row r="33" spans="1:7" x14ac:dyDescent="0.25">
      <c r="A33" s="34">
        <v>41864</v>
      </c>
      <c r="B33">
        <v>172.4</v>
      </c>
      <c r="C33">
        <v>172.89</v>
      </c>
      <c r="D33">
        <v>171.27</v>
      </c>
      <c r="E33">
        <v>172.37</v>
      </c>
      <c r="F33">
        <v>1711100</v>
      </c>
      <c r="G33">
        <v>171.84</v>
      </c>
    </row>
    <row r="34" spans="1:7" x14ac:dyDescent="0.25">
      <c r="A34" s="34">
        <v>41865</v>
      </c>
      <c r="B34">
        <v>172.8</v>
      </c>
      <c r="C34">
        <v>173.1</v>
      </c>
      <c r="D34">
        <v>171.69</v>
      </c>
      <c r="E34">
        <v>172.73</v>
      </c>
      <c r="F34">
        <v>1431400</v>
      </c>
      <c r="G34">
        <v>172.2</v>
      </c>
    </row>
    <row r="35" spans="1:7" x14ac:dyDescent="0.25">
      <c r="A35" s="34">
        <v>41866</v>
      </c>
      <c r="B35">
        <v>172.84</v>
      </c>
      <c r="C35">
        <v>174.6</v>
      </c>
      <c r="D35">
        <v>171.44</v>
      </c>
      <c r="E35">
        <v>171.9</v>
      </c>
      <c r="F35">
        <v>2446000</v>
      </c>
      <c r="G35">
        <v>171.37</v>
      </c>
    </row>
    <row r="36" spans="1:7" x14ac:dyDescent="0.25">
      <c r="A36" s="34">
        <v>41869</v>
      </c>
      <c r="B36">
        <v>173.25</v>
      </c>
      <c r="C36">
        <v>174.63</v>
      </c>
      <c r="D36">
        <v>172.7</v>
      </c>
      <c r="E36">
        <v>174.55</v>
      </c>
      <c r="F36">
        <v>1877700</v>
      </c>
      <c r="G36">
        <v>174.01</v>
      </c>
    </row>
    <row r="37" spans="1:7" x14ac:dyDescent="0.25">
      <c r="A37" s="34">
        <v>41870</v>
      </c>
      <c r="B37">
        <v>174.91</v>
      </c>
      <c r="C37">
        <v>175.1</v>
      </c>
      <c r="D37">
        <v>173.63</v>
      </c>
      <c r="E37">
        <v>173.96</v>
      </c>
      <c r="F37">
        <v>1916100</v>
      </c>
      <c r="G37">
        <v>173.42</v>
      </c>
    </row>
    <row r="38" spans="1:7" x14ac:dyDescent="0.25">
      <c r="A38" s="34">
        <v>41871</v>
      </c>
      <c r="B38">
        <v>173.27</v>
      </c>
      <c r="C38">
        <v>174.18</v>
      </c>
      <c r="D38">
        <v>172.6</v>
      </c>
      <c r="E38">
        <v>174.03</v>
      </c>
      <c r="F38">
        <v>1755100</v>
      </c>
      <c r="G38">
        <v>173.49</v>
      </c>
    </row>
    <row r="39" spans="1:7" x14ac:dyDescent="0.25">
      <c r="A39" s="34">
        <v>41872</v>
      </c>
      <c r="B39">
        <v>174.24</v>
      </c>
      <c r="C39">
        <v>175.92</v>
      </c>
      <c r="D39">
        <v>173.44</v>
      </c>
      <c r="E39">
        <v>175.15</v>
      </c>
      <c r="F39">
        <v>2075200</v>
      </c>
      <c r="G39">
        <v>174.61</v>
      </c>
    </row>
    <row r="40" spans="1:7" x14ac:dyDescent="0.25">
      <c r="A40" s="34">
        <v>41873</v>
      </c>
      <c r="B40">
        <v>175.35</v>
      </c>
      <c r="C40">
        <v>176.98</v>
      </c>
      <c r="D40">
        <v>174.83</v>
      </c>
      <c r="E40">
        <v>175.47</v>
      </c>
      <c r="F40">
        <v>2682000</v>
      </c>
      <c r="G40">
        <v>174.93</v>
      </c>
    </row>
    <row r="41" spans="1:7" x14ac:dyDescent="0.25">
      <c r="A41" s="34">
        <v>41876</v>
      </c>
      <c r="B41">
        <v>176.71</v>
      </c>
      <c r="C41">
        <v>179.86</v>
      </c>
      <c r="D41">
        <v>176.46</v>
      </c>
      <c r="E41">
        <v>177.87</v>
      </c>
      <c r="F41">
        <v>3063500</v>
      </c>
      <c r="G41">
        <v>177.32</v>
      </c>
    </row>
    <row r="42" spans="1:7" x14ac:dyDescent="0.25">
      <c r="A42" s="34">
        <v>41877</v>
      </c>
      <c r="B42">
        <v>178.47</v>
      </c>
      <c r="C42">
        <v>179.15</v>
      </c>
      <c r="D42">
        <v>177.81</v>
      </c>
      <c r="E42">
        <v>177.9</v>
      </c>
      <c r="F42">
        <v>3110600</v>
      </c>
      <c r="G42">
        <v>177.35</v>
      </c>
    </row>
    <row r="43" spans="1:7" x14ac:dyDescent="0.25">
      <c r="A43" s="34">
        <v>41878</v>
      </c>
      <c r="B43">
        <v>178.36</v>
      </c>
      <c r="C43">
        <v>178.36</v>
      </c>
      <c r="D43">
        <v>177.01</v>
      </c>
      <c r="E43">
        <v>177.81</v>
      </c>
      <c r="F43">
        <v>2073700</v>
      </c>
      <c r="G43">
        <v>177.81</v>
      </c>
    </row>
    <row r="44" spans="1:7" x14ac:dyDescent="0.25">
      <c r="A44" s="34">
        <v>41879</v>
      </c>
      <c r="B44">
        <v>177.05</v>
      </c>
      <c r="C44">
        <v>177.75</v>
      </c>
      <c r="D44">
        <v>175.89</v>
      </c>
      <c r="E44">
        <v>177.65</v>
      </c>
      <c r="F44">
        <v>1961800</v>
      </c>
      <c r="G44">
        <v>177.65</v>
      </c>
    </row>
    <row r="45" spans="1:7" x14ac:dyDescent="0.25">
      <c r="A45" s="34">
        <v>41880</v>
      </c>
      <c r="B45">
        <v>178.32</v>
      </c>
      <c r="C45">
        <v>179.5</v>
      </c>
      <c r="D45">
        <v>177.85</v>
      </c>
      <c r="E45">
        <v>179.11</v>
      </c>
      <c r="F45">
        <v>2560600</v>
      </c>
      <c r="G45">
        <v>179.11</v>
      </c>
    </row>
    <row r="46" spans="1:7" x14ac:dyDescent="0.25">
      <c r="A46" s="34">
        <v>41884</v>
      </c>
      <c r="B46">
        <v>179.26</v>
      </c>
      <c r="C46">
        <v>180.22</v>
      </c>
      <c r="D46">
        <v>178.38</v>
      </c>
      <c r="E46">
        <v>179.77</v>
      </c>
      <c r="F46">
        <v>1986300</v>
      </c>
      <c r="G46">
        <v>179.77</v>
      </c>
    </row>
    <row r="47" spans="1:7" x14ac:dyDescent="0.25">
      <c r="A47" s="34">
        <v>41885</v>
      </c>
      <c r="B47">
        <v>180.48</v>
      </c>
      <c r="C47">
        <v>182.07</v>
      </c>
      <c r="D47">
        <v>179.43</v>
      </c>
      <c r="E47">
        <v>179.6</v>
      </c>
      <c r="F47">
        <v>2397700</v>
      </c>
      <c r="G47">
        <v>179.6</v>
      </c>
    </row>
    <row r="48" spans="1:7" x14ac:dyDescent="0.25">
      <c r="A48" s="34">
        <v>41886</v>
      </c>
      <c r="B48">
        <v>179.93</v>
      </c>
      <c r="C48">
        <v>181.6</v>
      </c>
      <c r="D48">
        <v>179.55</v>
      </c>
      <c r="E48">
        <v>180.08</v>
      </c>
      <c r="F48">
        <v>1678500</v>
      </c>
      <c r="G48">
        <v>180.08</v>
      </c>
    </row>
    <row r="49" spans="1:7" x14ac:dyDescent="0.25">
      <c r="A49" s="34">
        <v>41887</v>
      </c>
      <c r="B49">
        <v>179.58</v>
      </c>
      <c r="C49">
        <v>179.91</v>
      </c>
      <c r="D49">
        <v>177.88</v>
      </c>
      <c r="E49">
        <v>179.75</v>
      </c>
      <c r="F49">
        <v>2562800</v>
      </c>
      <c r="G49">
        <v>179.75</v>
      </c>
    </row>
    <row r="50" spans="1:7" x14ac:dyDescent="0.25">
      <c r="A50" s="34">
        <v>41890</v>
      </c>
      <c r="B50">
        <v>179.58</v>
      </c>
      <c r="C50">
        <v>180.92</v>
      </c>
      <c r="D50">
        <v>179.22</v>
      </c>
      <c r="E50">
        <v>180.11</v>
      </c>
      <c r="F50">
        <v>1746400</v>
      </c>
      <c r="G50">
        <v>180.11</v>
      </c>
    </row>
    <row r="51" spans="1:7" x14ac:dyDescent="0.25">
      <c r="A51" s="34">
        <v>41891</v>
      </c>
      <c r="B51">
        <v>177.93</v>
      </c>
      <c r="C51">
        <v>178.64</v>
      </c>
      <c r="D51">
        <v>176.62</v>
      </c>
      <c r="E51">
        <v>177.4</v>
      </c>
      <c r="F51">
        <v>2598500</v>
      </c>
      <c r="G51">
        <v>177.4</v>
      </c>
    </row>
    <row r="52" spans="1:7" x14ac:dyDescent="0.25">
      <c r="A52" s="34">
        <v>41892</v>
      </c>
      <c r="B52">
        <v>178.33</v>
      </c>
      <c r="C52">
        <v>180.18</v>
      </c>
      <c r="D52">
        <v>178.12</v>
      </c>
      <c r="E52">
        <v>179.87</v>
      </c>
      <c r="F52">
        <v>2457800</v>
      </c>
      <c r="G52">
        <v>179.87</v>
      </c>
    </row>
    <row r="53" spans="1:7" x14ac:dyDescent="0.25">
      <c r="A53" s="34">
        <v>41893</v>
      </c>
      <c r="B53">
        <v>178.77</v>
      </c>
      <c r="C53">
        <v>181.44</v>
      </c>
      <c r="D53">
        <v>178.5</v>
      </c>
      <c r="E53">
        <v>181</v>
      </c>
      <c r="F53">
        <v>1905300</v>
      </c>
      <c r="G53">
        <v>181</v>
      </c>
    </row>
    <row r="54" spans="1:7" x14ac:dyDescent="0.25">
      <c r="A54" s="34">
        <v>41894</v>
      </c>
      <c r="B54">
        <v>180.63</v>
      </c>
      <c r="C54">
        <v>183.47</v>
      </c>
      <c r="D54">
        <v>180.63</v>
      </c>
      <c r="E54">
        <v>183.17</v>
      </c>
      <c r="F54">
        <v>3358600</v>
      </c>
      <c r="G54">
        <v>183.17</v>
      </c>
    </row>
    <row r="55" spans="1:7" x14ac:dyDescent="0.25">
      <c r="A55" s="34">
        <v>41897</v>
      </c>
      <c r="B55">
        <v>182.91</v>
      </c>
      <c r="C55">
        <v>184.4</v>
      </c>
      <c r="D55">
        <v>182.51</v>
      </c>
      <c r="E55">
        <v>183.98</v>
      </c>
      <c r="F55">
        <v>2308000</v>
      </c>
      <c r="G55">
        <v>183.98</v>
      </c>
    </row>
  </sheetData>
  <sortState ref="A3:G55">
    <sortCondition ref="A3:A55"/>
  </sortState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71.27</v>
      </c>
      <c r="C3">
        <v>71.459999999999994</v>
      </c>
      <c r="D3">
        <v>70.77</v>
      </c>
      <c r="E3">
        <v>70.849999999999994</v>
      </c>
      <c r="F3">
        <v>5572700</v>
      </c>
      <c r="G3">
        <v>70.69</v>
      </c>
    </row>
    <row r="4" spans="1:7" x14ac:dyDescent="0.25">
      <c r="A4" s="34">
        <v>41822</v>
      </c>
      <c r="B4">
        <v>70.64</v>
      </c>
      <c r="C4">
        <v>71.27</v>
      </c>
      <c r="D4">
        <v>70.599999999999994</v>
      </c>
      <c r="E4">
        <v>70.819999999999993</v>
      </c>
      <c r="F4">
        <v>4907600</v>
      </c>
      <c r="G4">
        <v>70.66</v>
      </c>
    </row>
    <row r="5" spans="1:7" x14ac:dyDescent="0.25">
      <c r="A5" s="34">
        <v>41823</v>
      </c>
      <c r="B5">
        <v>70.98</v>
      </c>
      <c r="C5">
        <v>71.03</v>
      </c>
      <c r="D5">
        <v>70.34</v>
      </c>
      <c r="E5">
        <v>70.97</v>
      </c>
      <c r="F5">
        <v>2506600</v>
      </c>
      <c r="G5">
        <v>70.81</v>
      </c>
    </row>
    <row r="6" spans="1:7" x14ac:dyDescent="0.25">
      <c r="A6" s="34">
        <v>41827</v>
      </c>
      <c r="B6">
        <v>70.27</v>
      </c>
      <c r="C6">
        <v>70.459999999999994</v>
      </c>
      <c r="D6">
        <v>69.62</v>
      </c>
      <c r="E6">
        <v>70.16</v>
      </c>
      <c r="F6">
        <v>4446400</v>
      </c>
      <c r="G6">
        <v>70</v>
      </c>
    </row>
    <row r="7" spans="1:7" x14ac:dyDescent="0.25">
      <c r="A7" s="34">
        <v>41828</v>
      </c>
      <c r="B7">
        <v>70.03</v>
      </c>
      <c r="C7">
        <v>70.14</v>
      </c>
      <c r="D7">
        <v>68.959999999999994</v>
      </c>
      <c r="E7">
        <v>69.66</v>
      </c>
      <c r="F7">
        <v>5554900</v>
      </c>
      <c r="G7">
        <v>69.5</v>
      </c>
    </row>
    <row r="8" spans="1:7" x14ac:dyDescent="0.25">
      <c r="A8" s="34">
        <v>41829</v>
      </c>
      <c r="B8">
        <v>70.03</v>
      </c>
      <c r="C8">
        <v>70.75</v>
      </c>
      <c r="D8">
        <v>69.92</v>
      </c>
      <c r="E8">
        <v>70.67</v>
      </c>
      <c r="F8">
        <v>4460700</v>
      </c>
      <c r="G8">
        <v>70.510000000000005</v>
      </c>
    </row>
    <row r="9" spans="1:7" x14ac:dyDescent="0.25">
      <c r="A9" s="34">
        <v>41830</v>
      </c>
      <c r="B9">
        <v>69.73</v>
      </c>
      <c r="C9">
        <v>69.900000000000006</v>
      </c>
      <c r="D9">
        <v>68.91</v>
      </c>
      <c r="E9">
        <v>69.349999999999994</v>
      </c>
      <c r="F9">
        <v>5630800</v>
      </c>
      <c r="G9">
        <v>69.2</v>
      </c>
    </row>
    <row r="10" spans="1:7" x14ac:dyDescent="0.25">
      <c r="A10" s="34">
        <v>41831</v>
      </c>
      <c r="B10">
        <v>69.239999999999995</v>
      </c>
      <c r="C10">
        <v>69.349999999999994</v>
      </c>
      <c r="D10">
        <v>68.66</v>
      </c>
      <c r="E10">
        <v>68.989999999999995</v>
      </c>
      <c r="F10">
        <v>4651900</v>
      </c>
      <c r="G10">
        <v>68.84</v>
      </c>
    </row>
    <row r="11" spans="1:7" x14ac:dyDescent="0.25">
      <c r="A11" s="34">
        <v>41834</v>
      </c>
      <c r="B11">
        <v>69.41</v>
      </c>
      <c r="C11">
        <v>70.010000000000005</v>
      </c>
      <c r="D11">
        <v>69.12</v>
      </c>
      <c r="E11">
        <v>69.8</v>
      </c>
      <c r="F11">
        <v>5290100</v>
      </c>
      <c r="G11">
        <v>69.64</v>
      </c>
    </row>
    <row r="12" spans="1:7" x14ac:dyDescent="0.25">
      <c r="A12" s="34">
        <v>41835</v>
      </c>
      <c r="B12">
        <v>69.59</v>
      </c>
      <c r="C12">
        <v>70.37</v>
      </c>
      <c r="D12">
        <v>69.27</v>
      </c>
      <c r="E12">
        <v>70.260000000000005</v>
      </c>
      <c r="F12">
        <v>7133400</v>
      </c>
      <c r="G12">
        <v>70.099999999999994</v>
      </c>
    </row>
    <row r="13" spans="1:7" x14ac:dyDescent="0.25">
      <c r="A13" s="34">
        <v>41836</v>
      </c>
      <c r="B13">
        <v>70.64</v>
      </c>
      <c r="C13">
        <v>71.94</v>
      </c>
      <c r="D13">
        <v>70.34</v>
      </c>
      <c r="E13">
        <v>71.86</v>
      </c>
      <c r="F13">
        <v>7157000</v>
      </c>
      <c r="G13">
        <v>71.7</v>
      </c>
    </row>
    <row r="14" spans="1:7" x14ac:dyDescent="0.25">
      <c r="A14" s="34">
        <v>41837</v>
      </c>
      <c r="B14">
        <v>71.88</v>
      </c>
      <c r="C14">
        <v>71.900000000000006</v>
      </c>
      <c r="D14">
        <v>70.290000000000006</v>
      </c>
      <c r="E14">
        <v>70.349999999999994</v>
      </c>
      <c r="F14">
        <v>5844300</v>
      </c>
      <c r="G14">
        <v>70.19</v>
      </c>
    </row>
    <row r="15" spans="1:7" x14ac:dyDescent="0.25">
      <c r="A15" s="34">
        <v>41838</v>
      </c>
      <c r="B15">
        <v>70.33</v>
      </c>
      <c r="C15">
        <v>71.150000000000006</v>
      </c>
      <c r="D15">
        <v>69.92</v>
      </c>
      <c r="E15">
        <v>70.930000000000007</v>
      </c>
      <c r="F15">
        <v>7106500</v>
      </c>
      <c r="G15">
        <v>70.77</v>
      </c>
    </row>
    <row r="16" spans="1:7" x14ac:dyDescent="0.25">
      <c r="A16" s="34">
        <v>41841</v>
      </c>
      <c r="B16">
        <v>70.97</v>
      </c>
      <c r="C16">
        <v>72.2</v>
      </c>
      <c r="D16">
        <v>70.650000000000006</v>
      </c>
      <c r="E16">
        <v>71</v>
      </c>
      <c r="F16">
        <v>9449600</v>
      </c>
      <c r="G16">
        <v>70.84</v>
      </c>
    </row>
    <row r="17" spans="1:7" x14ac:dyDescent="0.25">
      <c r="A17" s="34">
        <v>41842</v>
      </c>
      <c r="B17">
        <v>71.7</v>
      </c>
      <c r="C17">
        <v>73.430000000000007</v>
      </c>
      <c r="D17">
        <v>71.59</v>
      </c>
      <c r="E17">
        <v>73.290000000000006</v>
      </c>
      <c r="F17">
        <v>11419100</v>
      </c>
      <c r="G17">
        <v>73.13</v>
      </c>
    </row>
    <row r="18" spans="1:7" x14ac:dyDescent="0.25">
      <c r="A18" s="34">
        <v>41843</v>
      </c>
      <c r="B18">
        <v>73.34</v>
      </c>
      <c r="C18">
        <v>74.33</v>
      </c>
      <c r="D18">
        <v>72.52</v>
      </c>
      <c r="E18">
        <v>74.02</v>
      </c>
      <c r="F18">
        <v>8126800</v>
      </c>
      <c r="G18">
        <v>73.86</v>
      </c>
    </row>
    <row r="19" spans="1:7" x14ac:dyDescent="0.25">
      <c r="A19" s="34">
        <v>41844</v>
      </c>
      <c r="B19">
        <v>74.099999999999994</v>
      </c>
      <c r="C19">
        <v>74.33</v>
      </c>
      <c r="D19">
        <v>73.23</v>
      </c>
      <c r="E19">
        <v>73.41</v>
      </c>
      <c r="F19">
        <v>6243600</v>
      </c>
      <c r="G19">
        <v>73.25</v>
      </c>
    </row>
    <row r="20" spans="1:7" x14ac:dyDescent="0.25">
      <c r="A20" s="34">
        <v>41845</v>
      </c>
      <c r="B20">
        <v>73.349999999999994</v>
      </c>
      <c r="C20">
        <v>73.66</v>
      </c>
      <c r="D20">
        <v>72.739999999999995</v>
      </c>
      <c r="E20">
        <v>73.41</v>
      </c>
      <c r="F20">
        <v>4506200</v>
      </c>
      <c r="G20">
        <v>73.25</v>
      </c>
    </row>
    <row r="21" spans="1:7" x14ac:dyDescent="0.25">
      <c r="A21" s="34">
        <v>41848</v>
      </c>
      <c r="B21">
        <v>73.06</v>
      </c>
      <c r="C21">
        <v>73.16</v>
      </c>
      <c r="D21">
        <v>72.13</v>
      </c>
      <c r="E21">
        <v>72.64</v>
      </c>
      <c r="F21">
        <v>4237600</v>
      </c>
      <c r="G21">
        <v>72.48</v>
      </c>
    </row>
    <row r="22" spans="1:7" x14ac:dyDescent="0.25">
      <c r="A22" s="34">
        <v>41849</v>
      </c>
      <c r="B22">
        <v>72.78</v>
      </c>
      <c r="C22">
        <v>72.78</v>
      </c>
      <c r="D22">
        <v>71.209999999999994</v>
      </c>
      <c r="E22">
        <v>71.22</v>
      </c>
      <c r="F22">
        <v>6508600</v>
      </c>
      <c r="G22">
        <v>71.06</v>
      </c>
    </row>
    <row r="23" spans="1:7" x14ac:dyDescent="0.25">
      <c r="A23" s="34">
        <v>41850</v>
      </c>
      <c r="B23">
        <v>71.349999999999994</v>
      </c>
      <c r="C23">
        <v>71.86</v>
      </c>
      <c r="D23">
        <v>70.650000000000006</v>
      </c>
      <c r="E23">
        <v>70.739999999999995</v>
      </c>
      <c r="F23">
        <v>6360700</v>
      </c>
      <c r="G23">
        <v>70.58</v>
      </c>
    </row>
    <row r="24" spans="1:7" x14ac:dyDescent="0.25">
      <c r="A24" s="34">
        <v>41851</v>
      </c>
      <c r="B24">
        <v>70.25</v>
      </c>
      <c r="C24">
        <v>70.31</v>
      </c>
      <c r="D24">
        <v>68.510000000000005</v>
      </c>
      <c r="E24">
        <v>68.989999999999995</v>
      </c>
      <c r="F24">
        <v>9979400</v>
      </c>
      <c r="G24">
        <v>68.84</v>
      </c>
    </row>
    <row r="25" spans="1:7" x14ac:dyDescent="0.25">
      <c r="A25" s="34">
        <v>41852</v>
      </c>
      <c r="B25">
        <v>68.569999999999993</v>
      </c>
      <c r="C25">
        <v>69.16</v>
      </c>
      <c r="D25">
        <v>67.37</v>
      </c>
      <c r="E25">
        <v>68.72</v>
      </c>
      <c r="F25">
        <v>9411900</v>
      </c>
      <c r="G25">
        <v>68.569999999999993</v>
      </c>
    </row>
    <row r="26" spans="1:7" x14ac:dyDescent="0.25">
      <c r="A26" s="34">
        <v>41855</v>
      </c>
      <c r="B26">
        <v>69.02</v>
      </c>
      <c r="C26">
        <v>70.33</v>
      </c>
      <c r="D26">
        <v>68.41</v>
      </c>
      <c r="E26">
        <v>70.09</v>
      </c>
      <c r="F26">
        <v>7051900</v>
      </c>
      <c r="G26">
        <v>69.930000000000007</v>
      </c>
    </row>
    <row r="27" spans="1:7" x14ac:dyDescent="0.25">
      <c r="A27" s="34">
        <v>41856</v>
      </c>
      <c r="B27">
        <v>69.78</v>
      </c>
      <c r="C27">
        <v>69.819999999999993</v>
      </c>
      <c r="D27">
        <v>66.77</v>
      </c>
      <c r="E27">
        <v>67.72</v>
      </c>
      <c r="F27">
        <v>9491900</v>
      </c>
      <c r="G27">
        <v>67.569999999999993</v>
      </c>
    </row>
    <row r="28" spans="1:7" x14ac:dyDescent="0.25">
      <c r="A28" s="34">
        <v>41857</v>
      </c>
      <c r="B28">
        <v>67.2</v>
      </c>
      <c r="C28">
        <v>69.23</v>
      </c>
      <c r="D28">
        <v>67.150000000000006</v>
      </c>
      <c r="E28">
        <v>67.959999999999994</v>
      </c>
      <c r="F28">
        <v>6468600</v>
      </c>
      <c r="G28">
        <v>67.81</v>
      </c>
    </row>
    <row r="29" spans="1:7" x14ac:dyDescent="0.25">
      <c r="A29" s="34">
        <v>41858</v>
      </c>
      <c r="B29">
        <v>68.349999999999994</v>
      </c>
      <c r="C29">
        <v>68.55</v>
      </c>
      <c r="D29">
        <v>67.03</v>
      </c>
      <c r="E29">
        <v>67.37</v>
      </c>
      <c r="F29">
        <v>6880600</v>
      </c>
      <c r="G29">
        <v>67.22</v>
      </c>
    </row>
    <row r="30" spans="1:7" x14ac:dyDescent="0.25">
      <c r="A30" s="34">
        <v>41859</v>
      </c>
      <c r="B30">
        <v>67.569999999999993</v>
      </c>
      <c r="C30">
        <v>68.38</v>
      </c>
      <c r="D30">
        <v>67.25</v>
      </c>
      <c r="E30">
        <v>68.31</v>
      </c>
      <c r="F30">
        <v>5645600</v>
      </c>
      <c r="G30">
        <v>68.16</v>
      </c>
    </row>
    <row r="31" spans="1:7" x14ac:dyDescent="0.25">
      <c r="A31" s="34">
        <v>41862</v>
      </c>
      <c r="B31">
        <v>69.069999999999993</v>
      </c>
      <c r="C31">
        <v>69.94</v>
      </c>
      <c r="D31">
        <v>68.790000000000006</v>
      </c>
      <c r="E31">
        <v>69.42</v>
      </c>
      <c r="F31">
        <v>6182100</v>
      </c>
      <c r="G31">
        <v>69.27</v>
      </c>
    </row>
    <row r="32" spans="1:7" x14ac:dyDescent="0.25">
      <c r="A32" s="34">
        <v>41863</v>
      </c>
      <c r="B32">
        <v>68.819999999999993</v>
      </c>
      <c r="C32">
        <v>69.39</v>
      </c>
      <c r="D32">
        <v>68.489999999999995</v>
      </c>
      <c r="E32">
        <v>69.02</v>
      </c>
      <c r="F32">
        <v>5067300</v>
      </c>
      <c r="G32">
        <v>68.87</v>
      </c>
    </row>
    <row r="33" spans="1:7" x14ac:dyDescent="0.25">
      <c r="A33" s="34">
        <v>41864</v>
      </c>
      <c r="B33">
        <v>69.430000000000007</v>
      </c>
      <c r="C33">
        <v>69.86</v>
      </c>
      <c r="D33">
        <v>69.040000000000006</v>
      </c>
      <c r="E33">
        <v>69.540000000000006</v>
      </c>
      <c r="F33">
        <v>3895800</v>
      </c>
      <c r="G33">
        <v>69.39</v>
      </c>
    </row>
    <row r="34" spans="1:7" x14ac:dyDescent="0.25">
      <c r="A34" s="34">
        <v>41865</v>
      </c>
      <c r="B34">
        <v>69.83</v>
      </c>
      <c r="C34">
        <v>69.849999999999994</v>
      </c>
      <c r="D34">
        <v>67.17</v>
      </c>
      <c r="E34">
        <v>67.34</v>
      </c>
      <c r="F34">
        <v>8358200</v>
      </c>
      <c r="G34">
        <v>67.19</v>
      </c>
    </row>
    <row r="35" spans="1:7" x14ac:dyDescent="0.25">
      <c r="A35" s="34">
        <v>41866</v>
      </c>
      <c r="B35">
        <v>67.790000000000006</v>
      </c>
      <c r="C35">
        <v>68.47</v>
      </c>
      <c r="D35">
        <v>67.36</v>
      </c>
      <c r="E35">
        <v>68.42</v>
      </c>
      <c r="F35">
        <v>6838800</v>
      </c>
      <c r="G35">
        <v>68.27</v>
      </c>
    </row>
    <row r="36" spans="1:7" x14ac:dyDescent="0.25">
      <c r="A36" s="34">
        <v>41869</v>
      </c>
      <c r="B36">
        <v>68.91</v>
      </c>
      <c r="C36">
        <v>69.27</v>
      </c>
      <c r="D36">
        <v>68.53</v>
      </c>
      <c r="E36">
        <v>68.87</v>
      </c>
      <c r="F36">
        <v>5016500</v>
      </c>
      <c r="G36">
        <v>68.72</v>
      </c>
    </row>
    <row r="37" spans="1:7" x14ac:dyDescent="0.25">
      <c r="A37" s="34">
        <v>41870</v>
      </c>
      <c r="B37">
        <v>69</v>
      </c>
      <c r="C37">
        <v>69.459999999999994</v>
      </c>
      <c r="D37">
        <v>68.64</v>
      </c>
      <c r="E37">
        <v>68.77</v>
      </c>
      <c r="F37">
        <v>5812300</v>
      </c>
      <c r="G37">
        <v>68.62</v>
      </c>
    </row>
    <row r="38" spans="1:7" x14ac:dyDescent="0.25">
      <c r="A38" s="34">
        <v>41871</v>
      </c>
      <c r="B38">
        <v>68.98</v>
      </c>
      <c r="C38">
        <v>69</v>
      </c>
      <c r="D38">
        <v>68.05</v>
      </c>
      <c r="E38">
        <v>68.78</v>
      </c>
      <c r="F38">
        <v>4444600</v>
      </c>
      <c r="G38">
        <v>68.63</v>
      </c>
    </row>
    <row r="39" spans="1:7" x14ac:dyDescent="0.25">
      <c r="A39" s="34">
        <v>41872</v>
      </c>
      <c r="B39">
        <v>68.91</v>
      </c>
      <c r="C39">
        <v>68.91</v>
      </c>
      <c r="D39">
        <v>68.05</v>
      </c>
      <c r="E39">
        <v>68.34</v>
      </c>
      <c r="F39">
        <v>4708500</v>
      </c>
      <c r="G39">
        <v>68.19</v>
      </c>
    </row>
    <row r="40" spans="1:7" x14ac:dyDescent="0.25">
      <c r="A40" s="34">
        <v>41873</v>
      </c>
      <c r="B40">
        <v>68.23</v>
      </c>
      <c r="C40">
        <v>68.3</v>
      </c>
      <c r="D40">
        <v>67.260000000000005</v>
      </c>
      <c r="E40">
        <v>67.47</v>
      </c>
      <c r="F40">
        <v>5123700</v>
      </c>
      <c r="G40">
        <v>67.319999999999993</v>
      </c>
    </row>
    <row r="41" spans="1:7" x14ac:dyDescent="0.25">
      <c r="A41" s="34">
        <v>41876</v>
      </c>
      <c r="B41">
        <v>67.91</v>
      </c>
      <c r="C41">
        <v>68.61</v>
      </c>
      <c r="D41">
        <v>67.540000000000006</v>
      </c>
      <c r="E41">
        <v>68.55</v>
      </c>
      <c r="F41">
        <v>5063400</v>
      </c>
      <c r="G41">
        <v>68.400000000000006</v>
      </c>
    </row>
    <row r="42" spans="1:7" x14ac:dyDescent="0.25">
      <c r="A42" s="34">
        <v>41877</v>
      </c>
      <c r="B42">
        <v>68.97</v>
      </c>
      <c r="C42">
        <v>70.5</v>
      </c>
      <c r="D42">
        <v>68.8</v>
      </c>
      <c r="E42">
        <v>69.81</v>
      </c>
      <c r="F42">
        <v>7822800</v>
      </c>
      <c r="G42">
        <v>69.650000000000006</v>
      </c>
    </row>
    <row r="43" spans="1:7" x14ac:dyDescent="0.25">
      <c r="A43" s="34">
        <v>41878</v>
      </c>
      <c r="B43">
        <v>69.81</v>
      </c>
      <c r="C43">
        <v>69.81</v>
      </c>
      <c r="D43">
        <v>68.069999999999993</v>
      </c>
      <c r="E43">
        <v>68.48</v>
      </c>
      <c r="F43">
        <v>15546000</v>
      </c>
      <c r="G43">
        <v>68.33</v>
      </c>
    </row>
    <row r="44" spans="1:7" x14ac:dyDescent="0.25">
      <c r="A44" s="34">
        <v>41879</v>
      </c>
      <c r="B44">
        <v>68.11</v>
      </c>
      <c r="C44">
        <v>68.260000000000005</v>
      </c>
      <c r="D44">
        <v>67.27</v>
      </c>
      <c r="E44">
        <v>67.38</v>
      </c>
      <c r="F44">
        <v>7429300</v>
      </c>
      <c r="G44">
        <v>67.23</v>
      </c>
    </row>
    <row r="45" spans="1:7" x14ac:dyDescent="0.25">
      <c r="A45" s="34">
        <v>41880</v>
      </c>
      <c r="B45">
        <v>67.31</v>
      </c>
      <c r="C45">
        <v>67.67</v>
      </c>
      <c r="D45">
        <v>67.150000000000006</v>
      </c>
      <c r="E45">
        <v>67.61</v>
      </c>
      <c r="F45">
        <v>5249900</v>
      </c>
      <c r="G45">
        <v>67.61</v>
      </c>
    </row>
    <row r="46" spans="1:7" x14ac:dyDescent="0.25">
      <c r="A46" s="34">
        <v>41884</v>
      </c>
      <c r="B46">
        <v>68.17</v>
      </c>
      <c r="C46">
        <v>68.180000000000007</v>
      </c>
      <c r="D46">
        <v>66.23</v>
      </c>
      <c r="E46">
        <v>67.489999999999995</v>
      </c>
      <c r="F46">
        <v>10644500</v>
      </c>
      <c r="G46">
        <v>67.489999999999995</v>
      </c>
    </row>
    <row r="47" spans="1:7" x14ac:dyDescent="0.25">
      <c r="A47" s="34">
        <v>41885</v>
      </c>
      <c r="B47">
        <v>68.03</v>
      </c>
      <c r="C47">
        <v>68.180000000000007</v>
      </c>
      <c r="D47">
        <v>66.81</v>
      </c>
      <c r="E47">
        <v>67.58</v>
      </c>
      <c r="F47">
        <v>8111500</v>
      </c>
      <c r="G47">
        <v>67.58</v>
      </c>
    </row>
    <row r="48" spans="1:7" x14ac:dyDescent="0.25">
      <c r="A48" s="34">
        <v>41886</v>
      </c>
      <c r="B48">
        <v>67.53</v>
      </c>
      <c r="C48">
        <v>67.94</v>
      </c>
      <c r="D48">
        <v>66.23</v>
      </c>
      <c r="E48">
        <v>66.55</v>
      </c>
      <c r="F48">
        <v>10185400</v>
      </c>
      <c r="G48">
        <v>66.55</v>
      </c>
    </row>
    <row r="49" spans="1:7" x14ac:dyDescent="0.25">
      <c r="A49" s="34">
        <v>41887</v>
      </c>
      <c r="B49">
        <v>66.52</v>
      </c>
      <c r="C49">
        <v>67.64</v>
      </c>
      <c r="D49">
        <v>65.88</v>
      </c>
      <c r="E49">
        <v>67.45</v>
      </c>
      <c r="F49">
        <v>8977100</v>
      </c>
      <c r="G49">
        <v>67.45</v>
      </c>
    </row>
    <row r="50" spans="1:7" x14ac:dyDescent="0.25">
      <c r="A50" s="34">
        <v>41890</v>
      </c>
      <c r="B50">
        <v>67.040000000000006</v>
      </c>
      <c r="C50">
        <v>67.14</v>
      </c>
      <c r="D50">
        <v>65.94</v>
      </c>
      <c r="E50">
        <v>66.31</v>
      </c>
      <c r="F50">
        <v>8816900</v>
      </c>
      <c r="G50">
        <v>66.31</v>
      </c>
    </row>
    <row r="51" spans="1:7" x14ac:dyDescent="0.25">
      <c r="A51" s="34">
        <v>41891</v>
      </c>
      <c r="B51">
        <v>66.22</v>
      </c>
      <c r="C51">
        <v>66.92</v>
      </c>
      <c r="D51">
        <v>65.47</v>
      </c>
      <c r="E51">
        <v>65.83</v>
      </c>
      <c r="F51">
        <v>5912500</v>
      </c>
      <c r="G51">
        <v>65.83</v>
      </c>
    </row>
    <row r="52" spans="1:7" x14ac:dyDescent="0.25">
      <c r="A52" s="34">
        <v>41892</v>
      </c>
      <c r="B52">
        <v>65.790000000000006</v>
      </c>
      <c r="C52">
        <v>66.75</v>
      </c>
      <c r="D52">
        <v>65.430000000000007</v>
      </c>
      <c r="E52">
        <v>66.709999999999994</v>
      </c>
      <c r="F52">
        <v>6107500</v>
      </c>
      <c r="G52">
        <v>66.709999999999994</v>
      </c>
    </row>
    <row r="53" spans="1:7" x14ac:dyDescent="0.25">
      <c r="A53" s="34">
        <v>41893</v>
      </c>
      <c r="B53">
        <v>66.12</v>
      </c>
      <c r="C53">
        <v>67.290000000000006</v>
      </c>
      <c r="D53">
        <v>65.73</v>
      </c>
      <c r="E53">
        <v>67.069999999999993</v>
      </c>
      <c r="F53">
        <v>6588500</v>
      </c>
      <c r="G53">
        <v>67.069999999999993</v>
      </c>
    </row>
    <row r="54" spans="1:7" x14ac:dyDescent="0.25">
      <c r="A54" s="34">
        <v>41894</v>
      </c>
      <c r="B54">
        <v>66.69</v>
      </c>
      <c r="C54">
        <v>66.790000000000006</v>
      </c>
      <c r="D54">
        <v>65.61</v>
      </c>
      <c r="E54">
        <v>65.86</v>
      </c>
      <c r="F54">
        <v>6321200</v>
      </c>
      <c r="G54">
        <v>65.86</v>
      </c>
    </row>
    <row r="55" spans="1:7" x14ac:dyDescent="0.25">
      <c r="A55" s="34">
        <v>41897</v>
      </c>
      <c r="B55">
        <v>65.650000000000006</v>
      </c>
      <c r="C55">
        <v>66.430000000000007</v>
      </c>
      <c r="D55">
        <v>64.91</v>
      </c>
      <c r="E55">
        <v>66.28</v>
      </c>
      <c r="F55">
        <v>5987700</v>
      </c>
      <c r="G55">
        <v>66.28</v>
      </c>
    </row>
  </sheetData>
  <sortState ref="A3:G55">
    <sortCondition ref="A3:A55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81.319999999999993</v>
      </c>
      <c r="C3">
        <v>81.97</v>
      </c>
      <c r="D3">
        <v>81.22</v>
      </c>
      <c r="E3">
        <v>81.819999999999993</v>
      </c>
      <c r="F3">
        <v>5234600</v>
      </c>
      <c r="G3">
        <v>81.41</v>
      </c>
    </row>
    <row r="4" spans="1:7" x14ac:dyDescent="0.25">
      <c r="A4" s="34">
        <v>41822</v>
      </c>
      <c r="B4">
        <v>81.84</v>
      </c>
      <c r="C4">
        <v>82.18</v>
      </c>
      <c r="D4">
        <v>81.62</v>
      </c>
      <c r="E4">
        <v>81.98</v>
      </c>
      <c r="F4">
        <v>4185700</v>
      </c>
      <c r="G4">
        <v>81.569999999999993</v>
      </c>
    </row>
    <row r="5" spans="1:7" x14ac:dyDescent="0.25">
      <c r="A5" s="34">
        <v>41823</v>
      </c>
      <c r="B5">
        <v>82.07</v>
      </c>
      <c r="C5">
        <v>82.35</v>
      </c>
      <c r="D5">
        <v>81.8</v>
      </c>
      <c r="E5">
        <v>82.05</v>
      </c>
      <c r="F5">
        <v>2764000</v>
      </c>
      <c r="G5">
        <v>81.64</v>
      </c>
    </row>
    <row r="6" spans="1:7" x14ac:dyDescent="0.25">
      <c r="A6" s="34">
        <v>41827</v>
      </c>
      <c r="B6">
        <v>81.73</v>
      </c>
      <c r="C6">
        <v>82.09</v>
      </c>
      <c r="D6">
        <v>81.14</v>
      </c>
      <c r="E6">
        <v>81.42</v>
      </c>
      <c r="F6">
        <v>6071000</v>
      </c>
      <c r="G6">
        <v>81.010000000000005</v>
      </c>
    </row>
    <row r="7" spans="1:7" x14ac:dyDescent="0.25">
      <c r="A7" s="34">
        <v>41828</v>
      </c>
      <c r="B7">
        <v>81.42</v>
      </c>
      <c r="C7">
        <v>81.53</v>
      </c>
      <c r="D7">
        <v>80.55</v>
      </c>
      <c r="E7">
        <v>80.760000000000005</v>
      </c>
      <c r="F7">
        <v>7322900</v>
      </c>
      <c r="G7">
        <v>80.349999999999994</v>
      </c>
    </row>
    <row r="8" spans="1:7" x14ac:dyDescent="0.25">
      <c r="A8" s="34">
        <v>41829</v>
      </c>
      <c r="B8">
        <v>81.11</v>
      </c>
      <c r="C8">
        <v>81.23</v>
      </c>
      <c r="D8">
        <v>80.180000000000007</v>
      </c>
      <c r="E8">
        <v>80.73</v>
      </c>
      <c r="F8">
        <v>6980600</v>
      </c>
      <c r="G8">
        <v>80.319999999999993</v>
      </c>
    </row>
    <row r="9" spans="1:7" x14ac:dyDescent="0.25">
      <c r="A9" s="34">
        <v>41830</v>
      </c>
      <c r="B9">
        <v>79.05</v>
      </c>
      <c r="C9">
        <v>79.58</v>
      </c>
      <c r="D9">
        <v>77.95</v>
      </c>
      <c r="E9">
        <v>79.400000000000006</v>
      </c>
      <c r="F9">
        <v>11530900</v>
      </c>
      <c r="G9">
        <v>79</v>
      </c>
    </row>
    <row r="10" spans="1:7" x14ac:dyDescent="0.25">
      <c r="A10" s="34">
        <v>41831</v>
      </c>
      <c r="B10">
        <v>79.59</v>
      </c>
      <c r="C10">
        <v>79.900000000000006</v>
      </c>
      <c r="D10">
        <v>79.209999999999994</v>
      </c>
      <c r="E10">
        <v>79.61</v>
      </c>
      <c r="F10">
        <v>4746400</v>
      </c>
      <c r="G10">
        <v>79.209999999999994</v>
      </c>
    </row>
    <row r="11" spans="1:7" x14ac:dyDescent="0.25">
      <c r="A11" s="34">
        <v>41834</v>
      </c>
      <c r="B11">
        <v>79.92</v>
      </c>
      <c r="C11">
        <v>80.06</v>
      </c>
      <c r="D11">
        <v>79.19</v>
      </c>
      <c r="E11">
        <v>79.459999999999994</v>
      </c>
      <c r="F11">
        <v>7657200</v>
      </c>
      <c r="G11">
        <v>79.06</v>
      </c>
    </row>
    <row r="12" spans="1:7" x14ac:dyDescent="0.25">
      <c r="A12" s="34">
        <v>41835</v>
      </c>
      <c r="B12">
        <v>79.5</v>
      </c>
      <c r="C12">
        <v>80.06</v>
      </c>
      <c r="D12">
        <v>79.42</v>
      </c>
      <c r="E12">
        <v>79.86</v>
      </c>
      <c r="F12">
        <v>6051900</v>
      </c>
      <c r="G12">
        <v>79.459999999999994</v>
      </c>
    </row>
    <row r="13" spans="1:7" x14ac:dyDescent="0.25">
      <c r="A13" s="34">
        <v>41836</v>
      </c>
      <c r="B13">
        <v>80.040000000000006</v>
      </c>
      <c r="C13">
        <v>80.239999999999995</v>
      </c>
      <c r="D13">
        <v>79.38</v>
      </c>
      <c r="E13">
        <v>79.66</v>
      </c>
      <c r="F13">
        <v>9033700</v>
      </c>
      <c r="G13">
        <v>79.260000000000005</v>
      </c>
    </row>
    <row r="14" spans="1:7" x14ac:dyDescent="0.25">
      <c r="A14" s="34">
        <v>41837</v>
      </c>
      <c r="B14">
        <v>79.45</v>
      </c>
      <c r="C14">
        <v>79.88</v>
      </c>
      <c r="D14">
        <v>79.23</v>
      </c>
      <c r="E14">
        <v>79.55</v>
      </c>
      <c r="F14">
        <v>7697300</v>
      </c>
      <c r="G14">
        <v>79.150000000000006</v>
      </c>
    </row>
    <row r="15" spans="1:7" x14ac:dyDescent="0.25">
      <c r="A15" s="34">
        <v>41838</v>
      </c>
      <c r="B15">
        <v>79.8</v>
      </c>
      <c r="C15">
        <v>80.28</v>
      </c>
      <c r="D15">
        <v>79.45</v>
      </c>
      <c r="E15">
        <v>80.08</v>
      </c>
      <c r="F15">
        <v>5323200</v>
      </c>
      <c r="G15">
        <v>79.680000000000007</v>
      </c>
    </row>
    <row r="16" spans="1:7" x14ac:dyDescent="0.25">
      <c r="A16" s="34">
        <v>41841</v>
      </c>
      <c r="B16">
        <v>80.010000000000005</v>
      </c>
      <c r="C16">
        <v>80.03</v>
      </c>
      <c r="D16">
        <v>79.53</v>
      </c>
      <c r="E16">
        <v>79.709999999999994</v>
      </c>
      <c r="F16">
        <v>4112800</v>
      </c>
      <c r="G16">
        <v>79.31</v>
      </c>
    </row>
    <row r="17" spans="1:7" x14ac:dyDescent="0.25">
      <c r="A17" s="34">
        <v>41842</v>
      </c>
      <c r="B17">
        <v>80.36</v>
      </c>
      <c r="C17">
        <v>80.75</v>
      </c>
      <c r="D17">
        <v>80.2</v>
      </c>
      <c r="E17">
        <v>80.540000000000006</v>
      </c>
      <c r="F17">
        <v>6336100</v>
      </c>
      <c r="G17">
        <v>80.14</v>
      </c>
    </row>
    <row r="18" spans="1:7" x14ac:dyDescent="0.25">
      <c r="A18" s="34">
        <v>41843</v>
      </c>
      <c r="B18">
        <v>80.459999999999994</v>
      </c>
      <c r="C18">
        <v>81.09</v>
      </c>
      <c r="D18">
        <v>80.209999999999994</v>
      </c>
      <c r="E18">
        <v>81.02</v>
      </c>
      <c r="F18">
        <v>3669200</v>
      </c>
      <c r="G18">
        <v>80.61</v>
      </c>
    </row>
    <row r="19" spans="1:7" x14ac:dyDescent="0.25">
      <c r="A19" s="34">
        <v>41844</v>
      </c>
      <c r="B19">
        <v>81.19</v>
      </c>
      <c r="C19">
        <v>81.540000000000006</v>
      </c>
      <c r="D19">
        <v>80.89</v>
      </c>
      <c r="E19">
        <v>81.2</v>
      </c>
      <c r="F19">
        <v>4359600</v>
      </c>
      <c r="G19">
        <v>80.790000000000006</v>
      </c>
    </row>
    <row r="20" spans="1:7" x14ac:dyDescent="0.25">
      <c r="A20" s="34">
        <v>41845</v>
      </c>
      <c r="B20">
        <v>81.099999999999994</v>
      </c>
      <c r="C20">
        <v>81.3</v>
      </c>
      <c r="D20">
        <v>80.89</v>
      </c>
      <c r="E20">
        <v>81.03</v>
      </c>
      <c r="F20">
        <v>4680100</v>
      </c>
      <c r="G20">
        <v>80.62</v>
      </c>
    </row>
    <row r="21" spans="1:7" x14ac:dyDescent="0.25">
      <c r="A21" s="34">
        <v>41848</v>
      </c>
      <c r="B21">
        <v>81.2</v>
      </c>
      <c r="C21">
        <v>81.34</v>
      </c>
      <c r="D21">
        <v>80.66</v>
      </c>
      <c r="E21">
        <v>81.069999999999993</v>
      </c>
      <c r="F21">
        <v>3441600</v>
      </c>
      <c r="G21">
        <v>80.66</v>
      </c>
    </row>
    <row r="22" spans="1:7" x14ac:dyDescent="0.25">
      <c r="A22" s="34">
        <v>41849</v>
      </c>
      <c r="B22">
        <v>81.209999999999994</v>
      </c>
      <c r="C22">
        <v>81.81</v>
      </c>
      <c r="D22">
        <v>80.89</v>
      </c>
      <c r="E22">
        <v>80.98</v>
      </c>
      <c r="F22">
        <v>4536500</v>
      </c>
      <c r="G22">
        <v>80.569999999999993</v>
      </c>
    </row>
    <row r="23" spans="1:7" x14ac:dyDescent="0.25">
      <c r="A23" s="34">
        <v>41850</v>
      </c>
      <c r="B23">
        <v>81.5</v>
      </c>
      <c r="C23">
        <v>81.849999999999994</v>
      </c>
      <c r="D23">
        <v>81.069999999999993</v>
      </c>
      <c r="E23">
        <v>81.760000000000005</v>
      </c>
      <c r="F23">
        <v>5807300</v>
      </c>
      <c r="G23">
        <v>81.349999999999994</v>
      </c>
    </row>
    <row r="24" spans="1:7" x14ac:dyDescent="0.25">
      <c r="A24" s="34">
        <v>41851</v>
      </c>
      <c r="B24">
        <v>81.09</v>
      </c>
      <c r="C24">
        <v>81.58</v>
      </c>
      <c r="D24">
        <v>80.849999999999994</v>
      </c>
      <c r="E24">
        <v>80.849999999999994</v>
      </c>
      <c r="F24">
        <v>5748900</v>
      </c>
      <c r="G24">
        <v>80.44</v>
      </c>
    </row>
    <row r="25" spans="1:7" x14ac:dyDescent="0.25">
      <c r="A25" s="34">
        <v>41852</v>
      </c>
      <c r="B25">
        <v>80.56</v>
      </c>
      <c r="C25">
        <v>81.08</v>
      </c>
      <c r="D25">
        <v>79.739999999999995</v>
      </c>
      <c r="E25">
        <v>79.75</v>
      </c>
      <c r="F25">
        <v>8708000</v>
      </c>
      <c r="G25">
        <v>79.349999999999994</v>
      </c>
    </row>
    <row r="26" spans="1:7" x14ac:dyDescent="0.25">
      <c r="A26" s="34">
        <v>41855</v>
      </c>
      <c r="B26">
        <v>79.7</v>
      </c>
      <c r="C26">
        <v>80.25</v>
      </c>
      <c r="D26">
        <v>79.66</v>
      </c>
      <c r="E26">
        <v>80.03</v>
      </c>
      <c r="F26">
        <v>7025000</v>
      </c>
      <c r="G26">
        <v>79.63</v>
      </c>
    </row>
    <row r="27" spans="1:7" x14ac:dyDescent="0.25">
      <c r="A27" s="34">
        <v>41856</v>
      </c>
      <c r="B27">
        <v>79.78</v>
      </c>
      <c r="C27">
        <v>80.86</v>
      </c>
      <c r="D27">
        <v>79.78</v>
      </c>
      <c r="E27">
        <v>80.03</v>
      </c>
      <c r="F27">
        <v>5895500</v>
      </c>
      <c r="G27">
        <v>79.63</v>
      </c>
    </row>
    <row r="28" spans="1:7" x14ac:dyDescent="0.25">
      <c r="A28" s="34">
        <v>41857</v>
      </c>
      <c r="B28">
        <v>79.94</v>
      </c>
      <c r="C28">
        <v>81.02</v>
      </c>
      <c r="D28">
        <v>79.849999999999994</v>
      </c>
      <c r="E28">
        <v>80.52</v>
      </c>
      <c r="F28">
        <v>4228200</v>
      </c>
      <c r="G28">
        <v>80.12</v>
      </c>
    </row>
    <row r="29" spans="1:7" x14ac:dyDescent="0.25">
      <c r="A29" s="34">
        <v>41858</v>
      </c>
      <c r="B29">
        <v>80.75</v>
      </c>
      <c r="C29">
        <v>81.069999999999993</v>
      </c>
      <c r="D29">
        <v>80.290000000000006</v>
      </c>
      <c r="E29">
        <v>80.47</v>
      </c>
      <c r="F29">
        <v>4045900</v>
      </c>
      <c r="G29">
        <v>80.069999999999993</v>
      </c>
    </row>
    <row r="30" spans="1:7" x14ac:dyDescent="0.25">
      <c r="A30" s="34">
        <v>41859</v>
      </c>
      <c r="B30">
        <v>81.069999999999993</v>
      </c>
      <c r="C30">
        <v>82.46</v>
      </c>
      <c r="D30">
        <v>80.88</v>
      </c>
      <c r="E30">
        <v>82.43</v>
      </c>
      <c r="F30">
        <v>7226500</v>
      </c>
      <c r="G30">
        <v>82.02</v>
      </c>
    </row>
    <row r="31" spans="1:7" x14ac:dyDescent="0.25">
      <c r="A31" s="34">
        <v>41862</v>
      </c>
      <c r="B31">
        <v>82.61</v>
      </c>
      <c r="C31">
        <v>83.07</v>
      </c>
      <c r="D31">
        <v>82.5</v>
      </c>
      <c r="E31">
        <v>82.88</v>
      </c>
      <c r="F31">
        <v>3952000</v>
      </c>
      <c r="G31">
        <v>82.46</v>
      </c>
    </row>
    <row r="32" spans="1:7" x14ac:dyDescent="0.25">
      <c r="A32" s="34">
        <v>41863</v>
      </c>
      <c r="B32">
        <v>82.75</v>
      </c>
      <c r="C32">
        <v>83.09</v>
      </c>
      <c r="D32">
        <v>82.68</v>
      </c>
      <c r="E32">
        <v>82.92</v>
      </c>
      <c r="F32">
        <v>3657100</v>
      </c>
      <c r="G32">
        <v>82.5</v>
      </c>
    </row>
    <row r="33" spans="1:7" x14ac:dyDescent="0.25">
      <c r="A33" s="34">
        <v>41864</v>
      </c>
      <c r="B33">
        <v>82.98</v>
      </c>
      <c r="C33">
        <v>83.39</v>
      </c>
      <c r="D33">
        <v>82.74</v>
      </c>
      <c r="E33">
        <v>83.12</v>
      </c>
      <c r="F33">
        <v>4498700</v>
      </c>
      <c r="G33">
        <v>82.7</v>
      </c>
    </row>
    <row r="34" spans="1:7" x14ac:dyDescent="0.25">
      <c r="A34" s="34">
        <v>41865</v>
      </c>
      <c r="B34">
        <v>83.09</v>
      </c>
      <c r="C34">
        <v>83.97</v>
      </c>
      <c r="D34">
        <v>82.74</v>
      </c>
      <c r="E34">
        <v>83.86</v>
      </c>
      <c r="F34">
        <v>4923000</v>
      </c>
      <c r="G34">
        <v>83.44</v>
      </c>
    </row>
    <row r="35" spans="1:7" x14ac:dyDescent="0.25">
      <c r="A35" s="34">
        <v>41866</v>
      </c>
      <c r="B35">
        <v>84.04</v>
      </c>
      <c r="C35">
        <v>84.09</v>
      </c>
      <c r="D35">
        <v>82.85</v>
      </c>
      <c r="E35">
        <v>83.69</v>
      </c>
      <c r="F35">
        <v>5383500</v>
      </c>
      <c r="G35">
        <v>83.27</v>
      </c>
    </row>
    <row r="36" spans="1:7" x14ac:dyDescent="0.25">
      <c r="A36" s="34">
        <v>41869</v>
      </c>
      <c r="B36">
        <v>84.21</v>
      </c>
      <c r="C36">
        <v>84.62</v>
      </c>
      <c r="D36">
        <v>83.29</v>
      </c>
      <c r="E36">
        <v>83.59</v>
      </c>
      <c r="F36">
        <v>9475300</v>
      </c>
      <c r="G36">
        <v>83.17</v>
      </c>
    </row>
    <row r="37" spans="1:7" x14ac:dyDescent="0.25">
      <c r="A37" s="34">
        <v>41870</v>
      </c>
      <c r="B37">
        <v>86.9</v>
      </c>
      <c r="C37">
        <v>88.99</v>
      </c>
      <c r="D37">
        <v>86.57</v>
      </c>
      <c r="E37">
        <v>88.23</v>
      </c>
      <c r="F37">
        <v>18244600</v>
      </c>
      <c r="G37">
        <v>87.79</v>
      </c>
    </row>
    <row r="38" spans="1:7" x14ac:dyDescent="0.25">
      <c r="A38" s="34">
        <v>41871</v>
      </c>
      <c r="B38">
        <v>88.17</v>
      </c>
      <c r="C38">
        <v>91.07</v>
      </c>
      <c r="D38">
        <v>88.08</v>
      </c>
      <c r="E38">
        <v>90.75</v>
      </c>
      <c r="F38">
        <v>13394200</v>
      </c>
      <c r="G38">
        <v>90.29</v>
      </c>
    </row>
    <row r="39" spans="1:7" x14ac:dyDescent="0.25">
      <c r="A39" s="34">
        <v>41872</v>
      </c>
      <c r="B39">
        <v>90.68</v>
      </c>
      <c r="C39">
        <v>91.81</v>
      </c>
      <c r="D39">
        <v>90.67</v>
      </c>
      <c r="E39">
        <v>91.15</v>
      </c>
      <c r="F39">
        <v>8315900</v>
      </c>
      <c r="G39">
        <v>90.69</v>
      </c>
    </row>
    <row r="40" spans="1:7" x14ac:dyDescent="0.25">
      <c r="A40" s="34">
        <v>41873</v>
      </c>
      <c r="B40">
        <v>90.74</v>
      </c>
      <c r="C40">
        <v>91.33</v>
      </c>
      <c r="D40">
        <v>90.65</v>
      </c>
      <c r="E40">
        <v>91.03</v>
      </c>
      <c r="F40">
        <v>6939200</v>
      </c>
      <c r="G40">
        <v>90.57</v>
      </c>
    </row>
    <row r="41" spans="1:7" x14ac:dyDescent="0.25">
      <c r="A41" s="34">
        <v>41876</v>
      </c>
      <c r="B41">
        <v>91.25</v>
      </c>
      <c r="C41">
        <v>91.82</v>
      </c>
      <c r="D41">
        <v>90.95</v>
      </c>
      <c r="E41">
        <v>91.2</v>
      </c>
      <c r="F41">
        <v>7328700</v>
      </c>
      <c r="G41">
        <v>90.74</v>
      </c>
    </row>
    <row r="42" spans="1:7" x14ac:dyDescent="0.25">
      <c r="A42" s="34">
        <v>41877</v>
      </c>
      <c r="B42">
        <v>90.98</v>
      </c>
      <c r="C42">
        <v>91.83</v>
      </c>
      <c r="D42">
        <v>90.9</v>
      </c>
      <c r="E42">
        <v>91.63</v>
      </c>
      <c r="F42">
        <v>5396400</v>
      </c>
      <c r="G42">
        <v>91.17</v>
      </c>
    </row>
    <row r="43" spans="1:7" x14ac:dyDescent="0.25">
      <c r="A43" s="34">
        <v>41878</v>
      </c>
      <c r="B43">
        <v>91.68</v>
      </c>
      <c r="C43">
        <v>91.96</v>
      </c>
      <c r="D43">
        <v>91.31</v>
      </c>
      <c r="E43">
        <v>91.87</v>
      </c>
      <c r="F43">
        <v>4320200</v>
      </c>
      <c r="G43">
        <v>91.41</v>
      </c>
    </row>
    <row r="44" spans="1:7" x14ac:dyDescent="0.25">
      <c r="A44" s="34">
        <v>41879</v>
      </c>
      <c r="B44">
        <v>91.4</v>
      </c>
      <c r="C44">
        <v>92.73</v>
      </c>
      <c r="D44">
        <v>91.27</v>
      </c>
      <c r="E44">
        <v>92.51</v>
      </c>
      <c r="F44">
        <v>7575700</v>
      </c>
      <c r="G44">
        <v>92.04</v>
      </c>
    </row>
    <row r="45" spans="1:7" x14ac:dyDescent="0.25">
      <c r="A45" s="34">
        <v>41880</v>
      </c>
      <c r="B45">
        <v>92.74</v>
      </c>
      <c r="C45">
        <v>93.52</v>
      </c>
      <c r="D45">
        <v>92.61</v>
      </c>
      <c r="E45">
        <v>93.5</v>
      </c>
      <c r="F45">
        <v>7672200</v>
      </c>
      <c r="G45">
        <v>93.03</v>
      </c>
    </row>
    <row r="46" spans="1:7" x14ac:dyDescent="0.25">
      <c r="A46" s="34">
        <v>41884</v>
      </c>
      <c r="B46">
        <v>93.04</v>
      </c>
      <c r="C46">
        <v>93.31</v>
      </c>
      <c r="D46">
        <v>89.85</v>
      </c>
      <c r="E46">
        <v>91.15</v>
      </c>
      <c r="F46">
        <v>20753200</v>
      </c>
      <c r="G46">
        <v>91.15</v>
      </c>
    </row>
    <row r="47" spans="1:7" x14ac:dyDescent="0.25">
      <c r="A47" s="34">
        <v>41885</v>
      </c>
      <c r="B47">
        <v>91.11</v>
      </c>
      <c r="C47">
        <v>91.31</v>
      </c>
      <c r="D47">
        <v>88.98</v>
      </c>
      <c r="E47">
        <v>89</v>
      </c>
      <c r="F47">
        <v>15410400</v>
      </c>
      <c r="G47">
        <v>89</v>
      </c>
    </row>
    <row r="48" spans="1:7" x14ac:dyDescent="0.25">
      <c r="A48" s="34">
        <v>41886</v>
      </c>
      <c r="B48">
        <v>89</v>
      </c>
      <c r="C48">
        <v>90.75</v>
      </c>
      <c r="D48">
        <v>89</v>
      </c>
      <c r="E48">
        <v>89.93</v>
      </c>
      <c r="F48">
        <v>8452200</v>
      </c>
      <c r="G48">
        <v>89.93</v>
      </c>
    </row>
    <row r="49" spans="1:7" x14ac:dyDescent="0.25">
      <c r="A49" s="34">
        <v>41887</v>
      </c>
      <c r="B49">
        <v>89.66</v>
      </c>
      <c r="C49">
        <v>91.64</v>
      </c>
      <c r="D49">
        <v>89.28</v>
      </c>
      <c r="E49">
        <v>91.61</v>
      </c>
      <c r="F49">
        <v>7746400</v>
      </c>
      <c r="G49">
        <v>91.61</v>
      </c>
    </row>
    <row r="50" spans="1:7" x14ac:dyDescent="0.25">
      <c r="A50" s="34">
        <v>41890</v>
      </c>
      <c r="B50">
        <v>91.38</v>
      </c>
      <c r="C50">
        <v>91.78</v>
      </c>
      <c r="D50">
        <v>90.57</v>
      </c>
      <c r="E50">
        <v>90.82</v>
      </c>
      <c r="F50">
        <v>4885900</v>
      </c>
      <c r="G50">
        <v>90.82</v>
      </c>
    </row>
    <row r="51" spans="1:7" x14ac:dyDescent="0.25">
      <c r="A51" s="34">
        <v>41891</v>
      </c>
      <c r="B51">
        <v>90.21</v>
      </c>
      <c r="C51">
        <v>90.33</v>
      </c>
      <c r="D51">
        <v>88.78</v>
      </c>
      <c r="E51">
        <v>88.93</v>
      </c>
      <c r="F51">
        <v>8103000</v>
      </c>
      <c r="G51">
        <v>88.93</v>
      </c>
    </row>
    <row r="52" spans="1:7" x14ac:dyDescent="0.25">
      <c r="A52" s="34">
        <v>41892</v>
      </c>
      <c r="B52">
        <v>88.66</v>
      </c>
      <c r="C52">
        <v>89.4</v>
      </c>
      <c r="D52">
        <v>88.33</v>
      </c>
      <c r="E52">
        <v>89.25</v>
      </c>
      <c r="F52">
        <v>6245400</v>
      </c>
      <c r="G52">
        <v>89.25</v>
      </c>
    </row>
    <row r="53" spans="1:7" x14ac:dyDescent="0.25">
      <c r="A53" s="34">
        <v>41893</v>
      </c>
      <c r="B53">
        <v>89.07</v>
      </c>
      <c r="C53">
        <v>89.42</v>
      </c>
      <c r="D53">
        <v>88.62</v>
      </c>
      <c r="E53">
        <v>89.22</v>
      </c>
      <c r="F53">
        <v>4537800</v>
      </c>
      <c r="G53">
        <v>89.22</v>
      </c>
    </row>
    <row r="54" spans="1:7" x14ac:dyDescent="0.25">
      <c r="A54" s="34">
        <v>41894</v>
      </c>
      <c r="B54">
        <v>89.38</v>
      </c>
      <c r="C54">
        <v>89.5</v>
      </c>
      <c r="D54">
        <v>88.46</v>
      </c>
      <c r="E54">
        <v>88.84</v>
      </c>
      <c r="F54">
        <v>4593700</v>
      </c>
      <c r="G54">
        <v>88.84</v>
      </c>
    </row>
    <row r="55" spans="1:7" x14ac:dyDescent="0.25">
      <c r="A55" s="34">
        <v>41897</v>
      </c>
      <c r="B55">
        <v>89.18</v>
      </c>
      <c r="C55">
        <v>89.54</v>
      </c>
      <c r="D55">
        <v>88.6</v>
      </c>
      <c r="E55">
        <v>89.38</v>
      </c>
      <c r="F55">
        <v>3935000</v>
      </c>
      <c r="G55">
        <v>89.38</v>
      </c>
    </row>
  </sheetData>
  <sortState ref="A3:G55">
    <sortCondition ref="A3:A55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93.29</v>
      </c>
      <c r="C3">
        <v>94.82</v>
      </c>
      <c r="D3">
        <v>93.08</v>
      </c>
      <c r="E3">
        <v>94.59</v>
      </c>
      <c r="F3">
        <v>4379500</v>
      </c>
      <c r="G3">
        <v>94.14</v>
      </c>
    </row>
    <row r="4" spans="1:7" x14ac:dyDescent="0.25">
      <c r="A4" s="34">
        <v>41822</v>
      </c>
      <c r="B4">
        <v>94.24</v>
      </c>
      <c r="C4">
        <v>94.6</v>
      </c>
      <c r="D4">
        <v>93.97</v>
      </c>
      <c r="E4">
        <v>94.28</v>
      </c>
      <c r="F4">
        <v>2260800</v>
      </c>
      <c r="G4">
        <v>93.83</v>
      </c>
    </row>
    <row r="5" spans="1:7" x14ac:dyDescent="0.25">
      <c r="A5" s="34">
        <v>41823</v>
      </c>
      <c r="B5">
        <v>94.78</v>
      </c>
      <c r="C5">
        <v>95.19</v>
      </c>
      <c r="D5">
        <v>94.68</v>
      </c>
      <c r="E5">
        <v>94.88</v>
      </c>
      <c r="F5">
        <v>1521400</v>
      </c>
      <c r="G5">
        <v>94.43</v>
      </c>
    </row>
    <row r="6" spans="1:7" x14ac:dyDescent="0.25">
      <c r="A6" s="34">
        <v>41827</v>
      </c>
      <c r="B6">
        <v>94.72</v>
      </c>
      <c r="C6">
        <v>94.76</v>
      </c>
      <c r="D6">
        <v>94.07</v>
      </c>
      <c r="E6">
        <v>94.38</v>
      </c>
      <c r="F6">
        <v>2914100</v>
      </c>
      <c r="G6">
        <v>93.93</v>
      </c>
    </row>
    <row r="7" spans="1:7" x14ac:dyDescent="0.25">
      <c r="A7" s="34">
        <v>41828</v>
      </c>
      <c r="B7">
        <v>94.31</v>
      </c>
      <c r="C7">
        <v>94.52</v>
      </c>
      <c r="D7">
        <v>93.86</v>
      </c>
      <c r="E7">
        <v>94.21</v>
      </c>
      <c r="F7">
        <v>2418900</v>
      </c>
      <c r="G7">
        <v>93.76</v>
      </c>
    </row>
    <row r="8" spans="1:7" x14ac:dyDescent="0.25">
      <c r="A8" s="34">
        <v>41829</v>
      </c>
      <c r="B8">
        <v>94.62</v>
      </c>
      <c r="C8">
        <v>94.87</v>
      </c>
      <c r="D8">
        <v>93.95</v>
      </c>
      <c r="E8">
        <v>94.54</v>
      </c>
      <c r="F8">
        <v>1883400</v>
      </c>
      <c r="G8">
        <v>94.09</v>
      </c>
    </row>
    <row r="9" spans="1:7" x14ac:dyDescent="0.25">
      <c r="A9" s="34">
        <v>41830</v>
      </c>
      <c r="B9">
        <v>93.49</v>
      </c>
      <c r="C9">
        <v>94.54</v>
      </c>
      <c r="D9">
        <v>93.27</v>
      </c>
      <c r="E9">
        <v>94.28</v>
      </c>
      <c r="F9">
        <v>2780800</v>
      </c>
      <c r="G9">
        <v>93.83</v>
      </c>
    </row>
    <row r="10" spans="1:7" x14ac:dyDescent="0.25">
      <c r="A10" s="34">
        <v>41831</v>
      </c>
      <c r="B10">
        <v>94.23</v>
      </c>
      <c r="C10">
        <v>94.98</v>
      </c>
      <c r="D10">
        <v>94.08</v>
      </c>
      <c r="E10">
        <v>94.9</v>
      </c>
      <c r="F10">
        <v>2536900</v>
      </c>
      <c r="G10">
        <v>94.45</v>
      </c>
    </row>
    <row r="11" spans="1:7" x14ac:dyDescent="0.25">
      <c r="A11" s="34">
        <v>41834</v>
      </c>
      <c r="B11">
        <v>95.37</v>
      </c>
      <c r="C11">
        <v>95.86</v>
      </c>
      <c r="D11">
        <v>95.09</v>
      </c>
      <c r="E11">
        <v>95.74</v>
      </c>
      <c r="F11">
        <v>3118900</v>
      </c>
      <c r="G11">
        <v>95.29</v>
      </c>
    </row>
    <row r="12" spans="1:7" x14ac:dyDescent="0.25">
      <c r="A12" s="34">
        <v>41835</v>
      </c>
      <c r="B12">
        <v>95.56</v>
      </c>
      <c r="C12">
        <v>96.27</v>
      </c>
      <c r="D12">
        <v>95.38</v>
      </c>
      <c r="E12">
        <v>95.96</v>
      </c>
      <c r="F12">
        <v>4025900</v>
      </c>
      <c r="G12">
        <v>95.51</v>
      </c>
    </row>
    <row r="13" spans="1:7" x14ac:dyDescent="0.25">
      <c r="A13" s="34">
        <v>41836</v>
      </c>
      <c r="B13">
        <v>96.45</v>
      </c>
      <c r="C13">
        <v>96.76</v>
      </c>
      <c r="D13">
        <v>96.19</v>
      </c>
      <c r="E13">
        <v>96.39</v>
      </c>
      <c r="F13">
        <v>3166000</v>
      </c>
      <c r="G13">
        <v>95.93</v>
      </c>
    </row>
    <row r="14" spans="1:7" x14ac:dyDescent="0.25">
      <c r="A14" s="34">
        <v>41837</v>
      </c>
      <c r="B14">
        <v>95.39</v>
      </c>
      <c r="C14">
        <v>96.35</v>
      </c>
      <c r="D14">
        <v>95.16</v>
      </c>
      <c r="E14">
        <v>95.17</v>
      </c>
      <c r="F14">
        <v>3776600</v>
      </c>
      <c r="G14">
        <v>94.72</v>
      </c>
    </row>
    <row r="15" spans="1:7" x14ac:dyDescent="0.25">
      <c r="A15" s="34">
        <v>41838</v>
      </c>
      <c r="B15">
        <v>96.3</v>
      </c>
      <c r="C15">
        <v>97.28</v>
      </c>
      <c r="D15">
        <v>95.65</v>
      </c>
      <c r="E15">
        <v>96.82</v>
      </c>
      <c r="F15">
        <v>4488000</v>
      </c>
      <c r="G15">
        <v>96.36</v>
      </c>
    </row>
    <row r="16" spans="1:7" x14ac:dyDescent="0.25">
      <c r="A16" s="34">
        <v>41841</v>
      </c>
      <c r="B16">
        <v>96.7</v>
      </c>
      <c r="C16">
        <v>97.5</v>
      </c>
      <c r="D16">
        <v>96.29</v>
      </c>
      <c r="E16">
        <v>97.34</v>
      </c>
      <c r="F16">
        <v>3741400</v>
      </c>
      <c r="G16">
        <v>96.88</v>
      </c>
    </row>
    <row r="17" spans="1:7" x14ac:dyDescent="0.25">
      <c r="A17" s="34">
        <v>41842</v>
      </c>
      <c r="B17">
        <v>97.93</v>
      </c>
      <c r="C17">
        <v>98.09</v>
      </c>
      <c r="D17">
        <v>96.77</v>
      </c>
      <c r="E17">
        <v>97.19</v>
      </c>
      <c r="F17">
        <v>3836900</v>
      </c>
      <c r="G17">
        <v>96.73</v>
      </c>
    </row>
    <row r="18" spans="1:7" x14ac:dyDescent="0.25">
      <c r="A18" s="34">
        <v>41843</v>
      </c>
      <c r="B18">
        <v>97.75</v>
      </c>
      <c r="C18">
        <v>97.8</v>
      </c>
      <c r="D18">
        <v>96.59</v>
      </c>
      <c r="E18">
        <v>96.6</v>
      </c>
      <c r="F18">
        <v>3170000</v>
      </c>
      <c r="G18">
        <v>96.14</v>
      </c>
    </row>
    <row r="19" spans="1:7" x14ac:dyDescent="0.25">
      <c r="A19" s="34">
        <v>41844</v>
      </c>
      <c r="B19">
        <v>96.59</v>
      </c>
      <c r="C19">
        <v>96.8</v>
      </c>
      <c r="D19">
        <v>95.92</v>
      </c>
      <c r="E19">
        <v>96.01</v>
      </c>
      <c r="F19">
        <v>2193600</v>
      </c>
      <c r="G19">
        <v>95.56</v>
      </c>
    </row>
    <row r="20" spans="1:7" x14ac:dyDescent="0.25">
      <c r="A20" s="34">
        <v>41845</v>
      </c>
      <c r="B20">
        <v>95.82</v>
      </c>
      <c r="C20">
        <v>96.23</v>
      </c>
      <c r="D20">
        <v>95.65</v>
      </c>
      <c r="E20">
        <v>95.76</v>
      </c>
      <c r="F20">
        <v>2245800</v>
      </c>
      <c r="G20">
        <v>95.31</v>
      </c>
    </row>
    <row r="21" spans="1:7" x14ac:dyDescent="0.25">
      <c r="A21" s="34">
        <v>41848</v>
      </c>
      <c r="B21">
        <v>95.83</v>
      </c>
      <c r="C21">
        <v>96</v>
      </c>
      <c r="D21">
        <v>94.36</v>
      </c>
      <c r="E21">
        <v>95.17</v>
      </c>
      <c r="F21">
        <v>3307600</v>
      </c>
      <c r="G21">
        <v>94.72</v>
      </c>
    </row>
    <row r="22" spans="1:7" x14ac:dyDescent="0.25">
      <c r="A22" s="34">
        <v>41849</v>
      </c>
      <c r="B22">
        <v>95.1</v>
      </c>
      <c r="C22">
        <v>95.37</v>
      </c>
      <c r="D22">
        <v>93.69</v>
      </c>
      <c r="E22">
        <v>93.78</v>
      </c>
      <c r="F22">
        <v>3487000</v>
      </c>
      <c r="G22">
        <v>93.34</v>
      </c>
    </row>
    <row r="23" spans="1:7" x14ac:dyDescent="0.25">
      <c r="A23" s="34">
        <v>41850</v>
      </c>
      <c r="B23">
        <v>94.83</v>
      </c>
      <c r="C23">
        <v>94.83</v>
      </c>
      <c r="D23">
        <v>93.34</v>
      </c>
      <c r="E23">
        <v>94.07</v>
      </c>
      <c r="F23">
        <v>2636800</v>
      </c>
      <c r="G23">
        <v>93.63</v>
      </c>
    </row>
    <row r="24" spans="1:7" x14ac:dyDescent="0.25">
      <c r="A24" s="34">
        <v>41851</v>
      </c>
      <c r="B24">
        <v>93.31</v>
      </c>
      <c r="C24">
        <v>93.44</v>
      </c>
      <c r="D24">
        <v>91.83</v>
      </c>
      <c r="E24">
        <v>91.83</v>
      </c>
      <c r="F24">
        <v>4108500</v>
      </c>
      <c r="G24">
        <v>91.4</v>
      </c>
    </row>
    <row r="25" spans="1:7" x14ac:dyDescent="0.25">
      <c r="A25" s="34">
        <v>41852</v>
      </c>
      <c r="B25">
        <v>91.75</v>
      </c>
      <c r="C25">
        <v>92.3</v>
      </c>
      <c r="D25">
        <v>90.94</v>
      </c>
      <c r="E25">
        <v>91.57</v>
      </c>
      <c r="F25">
        <v>4633300</v>
      </c>
      <c r="G25">
        <v>91.14</v>
      </c>
    </row>
    <row r="26" spans="1:7" x14ac:dyDescent="0.25">
      <c r="A26" s="34">
        <v>41855</v>
      </c>
      <c r="B26">
        <v>92.86</v>
      </c>
      <c r="C26">
        <v>92.86</v>
      </c>
      <c r="D26">
        <v>90.75</v>
      </c>
      <c r="E26">
        <v>91.36</v>
      </c>
      <c r="F26">
        <v>3324700</v>
      </c>
      <c r="G26">
        <v>90.93</v>
      </c>
    </row>
    <row r="27" spans="1:7" x14ac:dyDescent="0.25">
      <c r="A27" s="34">
        <v>41856</v>
      </c>
      <c r="B27">
        <v>90.86</v>
      </c>
      <c r="C27">
        <v>92.28</v>
      </c>
      <c r="D27">
        <v>90.59</v>
      </c>
      <c r="E27">
        <v>91.24</v>
      </c>
      <c r="F27">
        <v>4288200</v>
      </c>
      <c r="G27">
        <v>90.81</v>
      </c>
    </row>
    <row r="28" spans="1:7" x14ac:dyDescent="0.25">
      <c r="A28" s="34">
        <v>41857</v>
      </c>
      <c r="B28">
        <v>90.36</v>
      </c>
      <c r="C28">
        <v>91.01</v>
      </c>
      <c r="D28">
        <v>90.18</v>
      </c>
      <c r="E28">
        <v>90.56</v>
      </c>
      <c r="F28">
        <v>3886700</v>
      </c>
      <c r="G28">
        <v>90.13</v>
      </c>
    </row>
    <row r="29" spans="1:7" x14ac:dyDescent="0.25">
      <c r="A29" s="34">
        <v>41858</v>
      </c>
      <c r="B29">
        <v>90.99</v>
      </c>
      <c r="C29">
        <v>91.4</v>
      </c>
      <c r="D29">
        <v>90.59</v>
      </c>
      <c r="E29">
        <v>90.96</v>
      </c>
      <c r="F29">
        <v>3588700</v>
      </c>
      <c r="G29">
        <v>90.53</v>
      </c>
    </row>
    <row r="30" spans="1:7" x14ac:dyDescent="0.25">
      <c r="A30" s="34">
        <v>41859</v>
      </c>
      <c r="B30">
        <v>91.11</v>
      </c>
      <c r="C30">
        <v>92.79</v>
      </c>
      <c r="D30">
        <v>90.88</v>
      </c>
      <c r="E30">
        <v>92.71</v>
      </c>
      <c r="F30">
        <v>2923800</v>
      </c>
      <c r="G30">
        <v>92.27</v>
      </c>
    </row>
    <row r="31" spans="1:7" x14ac:dyDescent="0.25">
      <c r="A31" s="34">
        <v>41862</v>
      </c>
      <c r="B31">
        <v>93</v>
      </c>
      <c r="C31">
        <v>93.84</v>
      </c>
      <c r="D31">
        <v>92.96</v>
      </c>
      <c r="E31">
        <v>93.16</v>
      </c>
      <c r="F31">
        <v>2812000</v>
      </c>
      <c r="G31">
        <v>92.72</v>
      </c>
    </row>
    <row r="32" spans="1:7" x14ac:dyDescent="0.25">
      <c r="A32" s="34">
        <v>41863</v>
      </c>
      <c r="B32">
        <v>92.82</v>
      </c>
      <c r="C32">
        <v>93.54</v>
      </c>
      <c r="D32">
        <v>92.55</v>
      </c>
      <c r="E32">
        <v>92.91</v>
      </c>
      <c r="F32">
        <v>2197300</v>
      </c>
      <c r="G32">
        <v>92.47</v>
      </c>
    </row>
    <row r="33" spans="1:7" x14ac:dyDescent="0.25">
      <c r="A33" s="34">
        <v>41864</v>
      </c>
      <c r="B33">
        <v>93.28</v>
      </c>
      <c r="C33">
        <v>94.35</v>
      </c>
      <c r="D33">
        <v>93.08</v>
      </c>
      <c r="E33">
        <v>94.27</v>
      </c>
      <c r="F33">
        <v>2236500</v>
      </c>
      <c r="G33">
        <v>93.82</v>
      </c>
    </row>
    <row r="34" spans="1:7" x14ac:dyDescent="0.25">
      <c r="A34" s="34">
        <v>41865</v>
      </c>
      <c r="B34">
        <v>94.47</v>
      </c>
      <c r="C34">
        <v>94.77</v>
      </c>
      <c r="D34">
        <v>94.27</v>
      </c>
      <c r="E34">
        <v>94.39</v>
      </c>
      <c r="F34">
        <v>1957400</v>
      </c>
      <c r="G34">
        <v>93.94</v>
      </c>
    </row>
    <row r="35" spans="1:7" x14ac:dyDescent="0.25">
      <c r="A35" s="34">
        <v>41866</v>
      </c>
      <c r="B35">
        <v>94.49</v>
      </c>
      <c r="C35">
        <v>94.78</v>
      </c>
      <c r="D35">
        <v>93.5</v>
      </c>
      <c r="E35">
        <v>94.23</v>
      </c>
      <c r="F35">
        <v>3457900</v>
      </c>
      <c r="G35">
        <v>93.78</v>
      </c>
    </row>
    <row r="36" spans="1:7" x14ac:dyDescent="0.25">
      <c r="A36" s="34">
        <v>41869</v>
      </c>
      <c r="B36">
        <v>94.62</v>
      </c>
      <c r="C36">
        <v>95.4</v>
      </c>
      <c r="D36">
        <v>94.59</v>
      </c>
      <c r="E36">
        <v>95.26</v>
      </c>
      <c r="F36">
        <v>2831300</v>
      </c>
      <c r="G36">
        <v>94.81</v>
      </c>
    </row>
    <row r="37" spans="1:7" x14ac:dyDescent="0.25">
      <c r="A37" s="34">
        <v>41870</v>
      </c>
      <c r="B37">
        <v>95.07</v>
      </c>
      <c r="C37">
        <v>95.15</v>
      </c>
      <c r="D37">
        <v>94.67</v>
      </c>
      <c r="E37">
        <v>94.72</v>
      </c>
      <c r="F37">
        <v>2393800</v>
      </c>
      <c r="G37">
        <v>94.72</v>
      </c>
    </row>
    <row r="38" spans="1:7" x14ac:dyDescent="0.25">
      <c r="A38" s="34">
        <v>41871</v>
      </c>
      <c r="B38">
        <v>95.04</v>
      </c>
      <c r="C38">
        <v>95.98</v>
      </c>
      <c r="D38">
        <v>94.59</v>
      </c>
      <c r="E38">
        <v>95.77</v>
      </c>
      <c r="F38">
        <v>2572200</v>
      </c>
      <c r="G38">
        <v>95.77</v>
      </c>
    </row>
    <row r="39" spans="1:7" x14ac:dyDescent="0.25">
      <c r="A39" s="34">
        <v>41872</v>
      </c>
      <c r="B39">
        <v>95.98</v>
      </c>
      <c r="C39">
        <v>96.33</v>
      </c>
      <c r="D39">
        <v>95.54</v>
      </c>
      <c r="E39">
        <v>95.94</v>
      </c>
      <c r="F39">
        <v>1511900</v>
      </c>
      <c r="G39">
        <v>95.94</v>
      </c>
    </row>
    <row r="40" spans="1:7" x14ac:dyDescent="0.25">
      <c r="A40" s="34">
        <v>41873</v>
      </c>
      <c r="B40">
        <v>95.74</v>
      </c>
      <c r="C40">
        <v>95.89</v>
      </c>
      <c r="D40">
        <v>95.25</v>
      </c>
      <c r="E40">
        <v>95.56</v>
      </c>
      <c r="F40">
        <v>1449500</v>
      </c>
      <c r="G40">
        <v>95.56</v>
      </c>
    </row>
    <row r="41" spans="1:7" x14ac:dyDescent="0.25">
      <c r="A41" s="34">
        <v>41876</v>
      </c>
      <c r="B41">
        <v>96.04</v>
      </c>
      <c r="C41">
        <v>96.17</v>
      </c>
      <c r="D41">
        <v>95.71</v>
      </c>
      <c r="E41">
        <v>95.81</v>
      </c>
      <c r="F41">
        <v>1185700</v>
      </c>
      <c r="G41">
        <v>95.81</v>
      </c>
    </row>
    <row r="42" spans="1:7" x14ac:dyDescent="0.25">
      <c r="A42" s="34">
        <v>41877</v>
      </c>
      <c r="B42">
        <v>95.89</v>
      </c>
      <c r="C42">
        <v>96.04</v>
      </c>
      <c r="D42">
        <v>95.46</v>
      </c>
      <c r="E42">
        <v>95.51</v>
      </c>
      <c r="F42">
        <v>1494500</v>
      </c>
      <c r="G42">
        <v>95.51</v>
      </c>
    </row>
    <row r="43" spans="1:7" x14ac:dyDescent="0.25">
      <c r="A43" s="34">
        <v>41878</v>
      </c>
      <c r="B43">
        <v>95.75</v>
      </c>
      <c r="C43">
        <v>95.89</v>
      </c>
      <c r="D43">
        <v>95.28</v>
      </c>
      <c r="E43">
        <v>95.57</v>
      </c>
      <c r="F43">
        <v>1303900</v>
      </c>
      <c r="G43">
        <v>95.57</v>
      </c>
    </row>
    <row r="44" spans="1:7" x14ac:dyDescent="0.25">
      <c r="A44" s="34">
        <v>41879</v>
      </c>
      <c r="B44">
        <v>95.14</v>
      </c>
      <c r="C44">
        <v>95.4</v>
      </c>
      <c r="D44">
        <v>94.7</v>
      </c>
      <c r="E44">
        <v>95.3</v>
      </c>
      <c r="F44">
        <v>945800</v>
      </c>
      <c r="G44">
        <v>95.3</v>
      </c>
    </row>
    <row r="45" spans="1:7" x14ac:dyDescent="0.25">
      <c r="A45" s="34">
        <v>41880</v>
      </c>
      <c r="B45">
        <v>95.35</v>
      </c>
      <c r="C45">
        <v>95.57</v>
      </c>
      <c r="D45">
        <v>94.83</v>
      </c>
      <c r="E45">
        <v>95.23</v>
      </c>
      <c r="F45">
        <v>1170600</v>
      </c>
      <c r="G45">
        <v>95.23</v>
      </c>
    </row>
    <row r="46" spans="1:7" x14ac:dyDescent="0.25">
      <c r="A46" s="34">
        <v>41884</v>
      </c>
      <c r="B46">
        <v>95.18</v>
      </c>
      <c r="C46">
        <v>95.79</v>
      </c>
      <c r="D46">
        <v>95.06</v>
      </c>
      <c r="E46">
        <v>95.5</v>
      </c>
      <c r="F46">
        <v>1672800</v>
      </c>
      <c r="G46">
        <v>95.5</v>
      </c>
    </row>
    <row r="47" spans="1:7" x14ac:dyDescent="0.25">
      <c r="A47" s="34">
        <v>41885</v>
      </c>
      <c r="B47">
        <v>95.86</v>
      </c>
      <c r="C47">
        <v>95.95</v>
      </c>
      <c r="D47">
        <v>95.26</v>
      </c>
      <c r="E47">
        <v>95.46</v>
      </c>
      <c r="F47">
        <v>1342000</v>
      </c>
      <c r="G47">
        <v>95.46</v>
      </c>
    </row>
    <row r="48" spans="1:7" x14ac:dyDescent="0.25">
      <c r="A48" s="34">
        <v>41886</v>
      </c>
      <c r="B48">
        <v>95.48</v>
      </c>
      <c r="C48">
        <v>96.02</v>
      </c>
      <c r="D48">
        <v>94.82</v>
      </c>
      <c r="E48">
        <v>94.99</v>
      </c>
      <c r="F48">
        <v>2521500</v>
      </c>
      <c r="G48">
        <v>94.99</v>
      </c>
    </row>
    <row r="49" spans="1:7" x14ac:dyDescent="0.25">
      <c r="A49" s="34">
        <v>41887</v>
      </c>
      <c r="B49">
        <v>94.99</v>
      </c>
      <c r="C49">
        <v>95.81</v>
      </c>
      <c r="D49">
        <v>94.5</v>
      </c>
      <c r="E49">
        <v>95.61</v>
      </c>
      <c r="F49">
        <v>1923400</v>
      </c>
      <c r="G49">
        <v>95.61</v>
      </c>
    </row>
    <row r="50" spans="1:7" x14ac:dyDescent="0.25">
      <c r="A50" s="34">
        <v>41890</v>
      </c>
      <c r="B50">
        <v>95.54</v>
      </c>
      <c r="C50">
        <v>95.63</v>
      </c>
      <c r="D50">
        <v>94.98</v>
      </c>
      <c r="E50">
        <v>95.24</v>
      </c>
      <c r="F50">
        <v>2022000</v>
      </c>
      <c r="G50">
        <v>95.24</v>
      </c>
    </row>
    <row r="51" spans="1:7" x14ac:dyDescent="0.25">
      <c r="A51" s="34">
        <v>41891</v>
      </c>
      <c r="B51">
        <v>95.04</v>
      </c>
      <c r="C51">
        <v>95.28</v>
      </c>
      <c r="D51">
        <v>94.33</v>
      </c>
      <c r="E51">
        <v>94.46</v>
      </c>
      <c r="F51">
        <v>2240500</v>
      </c>
      <c r="G51">
        <v>94.46</v>
      </c>
    </row>
    <row r="52" spans="1:7" x14ac:dyDescent="0.25">
      <c r="A52" s="34">
        <v>41892</v>
      </c>
      <c r="B52">
        <v>94.33</v>
      </c>
      <c r="C52">
        <v>94.61</v>
      </c>
      <c r="D52">
        <v>93.8</v>
      </c>
      <c r="E52">
        <v>94.36</v>
      </c>
      <c r="F52">
        <v>2497100</v>
      </c>
      <c r="G52">
        <v>94.36</v>
      </c>
    </row>
    <row r="53" spans="1:7" x14ac:dyDescent="0.25">
      <c r="A53" s="34">
        <v>41893</v>
      </c>
      <c r="B53">
        <v>94.13</v>
      </c>
      <c r="C53">
        <v>94.79</v>
      </c>
      <c r="D53">
        <v>93.94</v>
      </c>
      <c r="E53">
        <v>94.74</v>
      </c>
      <c r="F53">
        <v>1529900</v>
      </c>
      <c r="G53">
        <v>94.74</v>
      </c>
    </row>
    <row r="54" spans="1:7" x14ac:dyDescent="0.25">
      <c r="A54" s="34">
        <v>41894</v>
      </c>
      <c r="B54">
        <v>94.76</v>
      </c>
      <c r="C54">
        <v>94.98</v>
      </c>
      <c r="D54">
        <v>94.27</v>
      </c>
      <c r="E54">
        <v>94.5</v>
      </c>
      <c r="F54">
        <v>3024500</v>
      </c>
      <c r="G54">
        <v>94.5</v>
      </c>
    </row>
    <row r="55" spans="1:7" x14ac:dyDescent="0.25">
      <c r="A55" s="34">
        <v>41897</v>
      </c>
      <c r="B55">
        <v>94.31</v>
      </c>
      <c r="C55">
        <v>94.83</v>
      </c>
      <c r="D55">
        <v>93.77</v>
      </c>
      <c r="E55">
        <v>94.65</v>
      </c>
      <c r="F55">
        <v>2711600</v>
      </c>
      <c r="G55">
        <v>94.65</v>
      </c>
    </row>
  </sheetData>
  <sortState ref="A3:G55">
    <sortCondition ref="A3:A55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33.93</v>
      </c>
      <c r="C3">
        <v>34.42</v>
      </c>
      <c r="D3">
        <v>33.68</v>
      </c>
      <c r="E3">
        <v>34.18</v>
      </c>
      <c r="F3">
        <v>8635000</v>
      </c>
      <c r="G3">
        <v>34.03</v>
      </c>
    </row>
    <row r="4" spans="1:7" x14ac:dyDescent="0.25">
      <c r="A4" s="34">
        <v>41822</v>
      </c>
      <c r="B4">
        <v>34.21</v>
      </c>
      <c r="C4">
        <v>34.24</v>
      </c>
      <c r="D4">
        <v>33.86</v>
      </c>
      <c r="E4">
        <v>33.880000000000003</v>
      </c>
      <c r="F4">
        <v>8961200</v>
      </c>
      <c r="G4">
        <v>33.74</v>
      </c>
    </row>
    <row r="5" spans="1:7" x14ac:dyDescent="0.25">
      <c r="A5" s="34">
        <v>41823</v>
      </c>
      <c r="B5">
        <v>34.04</v>
      </c>
      <c r="C5">
        <v>34.119999999999997</v>
      </c>
      <c r="D5">
        <v>33.92</v>
      </c>
      <c r="E5">
        <v>34</v>
      </c>
      <c r="F5">
        <v>4860500</v>
      </c>
      <c r="G5">
        <v>33.86</v>
      </c>
    </row>
    <row r="6" spans="1:7" x14ac:dyDescent="0.25">
      <c r="A6" s="34">
        <v>41827</v>
      </c>
      <c r="B6">
        <v>33.909999999999997</v>
      </c>
      <c r="C6">
        <v>34</v>
      </c>
      <c r="D6">
        <v>33.67</v>
      </c>
      <c r="E6">
        <v>33.869999999999997</v>
      </c>
      <c r="F6">
        <v>6907100</v>
      </c>
      <c r="G6">
        <v>33.729999999999997</v>
      </c>
    </row>
    <row r="7" spans="1:7" x14ac:dyDescent="0.25">
      <c r="A7" s="34">
        <v>41828</v>
      </c>
      <c r="B7">
        <v>33.880000000000003</v>
      </c>
      <c r="C7">
        <v>33.93</v>
      </c>
      <c r="D7">
        <v>33.43</v>
      </c>
      <c r="E7">
        <v>33.5</v>
      </c>
      <c r="F7">
        <v>7179700</v>
      </c>
      <c r="G7">
        <v>33.36</v>
      </c>
    </row>
    <row r="8" spans="1:7" x14ac:dyDescent="0.25">
      <c r="A8" s="34">
        <v>41829</v>
      </c>
      <c r="B8">
        <v>33.549999999999997</v>
      </c>
      <c r="C8">
        <v>33.79</v>
      </c>
      <c r="D8">
        <v>33.51</v>
      </c>
      <c r="E8">
        <v>33.65</v>
      </c>
      <c r="F8">
        <v>5683500</v>
      </c>
      <c r="G8">
        <v>33.51</v>
      </c>
    </row>
    <row r="9" spans="1:7" x14ac:dyDescent="0.25">
      <c r="A9" s="34">
        <v>41830</v>
      </c>
      <c r="B9">
        <v>33.44</v>
      </c>
      <c r="C9">
        <v>34.01</v>
      </c>
      <c r="D9">
        <v>33.24</v>
      </c>
      <c r="E9">
        <v>33.85</v>
      </c>
      <c r="F9">
        <v>8630400</v>
      </c>
      <c r="G9">
        <v>33.71</v>
      </c>
    </row>
    <row r="10" spans="1:7" x14ac:dyDescent="0.25">
      <c r="A10" s="34">
        <v>41831</v>
      </c>
      <c r="B10">
        <v>33.93</v>
      </c>
      <c r="C10">
        <v>34.18</v>
      </c>
      <c r="D10">
        <v>33.89</v>
      </c>
      <c r="E10">
        <v>33.97</v>
      </c>
      <c r="F10">
        <v>6458900</v>
      </c>
      <c r="G10">
        <v>33.83</v>
      </c>
    </row>
    <row r="11" spans="1:7" x14ac:dyDescent="0.25">
      <c r="A11" s="34">
        <v>41834</v>
      </c>
      <c r="B11">
        <v>34.200000000000003</v>
      </c>
      <c r="C11">
        <v>34.340000000000003</v>
      </c>
      <c r="D11">
        <v>34.01</v>
      </c>
      <c r="E11">
        <v>34.15</v>
      </c>
      <c r="F11">
        <v>10877500</v>
      </c>
      <c r="G11">
        <v>34</v>
      </c>
    </row>
    <row r="12" spans="1:7" x14ac:dyDescent="0.25">
      <c r="A12" s="34">
        <v>41835</v>
      </c>
      <c r="B12">
        <v>34.35</v>
      </c>
      <c r="C12">
        <v>34.47</v>
      </c>
      <c r="D12">
        <v>34</v>
      </c>
      <c r="E12">
        <v>34.15</v>
      </c>
      <c r="F12">
        <v>7717900</v>
      </c>
      <c r="G12">
        <v>34</v>
      </c>
    </row>
    <row r="13" spans="1:7" x14ac:dyDescent="0.25">
      <c r="A13" s="34">
        <v>41836</v>
      </c>
      <c r="B13">
        <v>34.42</v>
      </c>
      <c r="C13">
        <v>35.119999999999997</v>
      </c>
      <c r="D13">
        <v>34.42</v>
      </c>
      <c r="E13">
        <v>34.82</v>
      </c>
      <c r="F13">
        <v>19258800</v>
      </c>
      <c r="G13">
        <v>34.67</v>
      </c>
    </row>
    <row r="14" spans="1:7" x14ac:dyDescent="0.25">
      <c r="A14" s="34">
        <v>41837</v>
      </c>
      <c r="B14">
        <v>34.69</v>
      </c>
      <c r="C14">
        <v>34.69</v>
      </c>
      <c r="D14">
        <v>34.33</v>
      </c>
      <c r="E14">
        <v>34.43</v>
      </c>
      <c r="F14">
        <v>13630200</v>
      </c>
      <c r="G14">
        <v>34.28</v>
      </c>
    </row>
    <row r="15" spans="1:7" x14ac:dyDescent="0.25">
      <c r="A15" s="34">
        <v>41838</v>
      </c>
      <c r="B15">
        <v>34.520000000000003</v>
      </c>
      <c r="C15">
        <v>34.840000000000003</v>
      </c>
      <c r="D15">
        <v>34.44</v>
      </c>
      <c r="E15">
        <v>34.81</v>
      </c>
      <c r="F15">
        <v>10370800</v>
      </c>
      <c r="G15">
        <v>34.659999999999997</v>
      </c>
    </row>
    <row r="16" spans="1:7" x14ac:dyDescent="0.25">
      <c r="A16" s="34">
        <v>41841</v>
      </c>
      <c r="B16">
        <v>34.78</v>
      </c>
      <c r="C16">
        <v>34.840000000000003</v>
      </c>
      <c r="D16">
        <v>34.39</v>
      </c>
      <c r="E16">
        <v>34.520000000000003</v>
      </c>
      <c r="F16">
        <v>7301200</v>
      </c>
      <c r="G16">
        <v>34.369999999999997</v>
      </c>
    </row>
    <row r="17" spans="1:7" x14ac:dyDescent="0.25">
      <c r="A17" s="34">
        <v>41842</v>
      </c>
      <c r="B17">
        <v>34.549999999999997</v>
      </c>
      <c r="C17">
        <v>35.29</v>
      </c>
      <c r="D17">
        <v>34.520000000000003</v>
      </c>
      <c r="E17">
        <v>35.15</v>
      </c>
      <c r="F17">
        <v>8166100</v>
      </c>
      <c r="G17">
        <v>35</v>
      </c>
    </row>
    <row r="18" spans="1:7" x14ac:dyDescent="0.25">
      <c r="A18" s="34">
        <v>41843</v>
      </c>
      <c r="B18">
        <v>35.17</v>
      </c>
      <c r="C18">
        <v>35.35</v>
      </c>
      <c r="D18">
        <v>34.979999999999997</v>
      </c>
      <c r="E18">
        <v>34.979999999999997</v>
      </c>
      <c r="F18">
        <v>6425900</v>
      </c>
      <c r="G18">
        <v>34.83</v>
      </c>
    </row>
    <row r="19" spans="1:7" x14ac:dyDescent="0.25">
      <c r="A19" s="34">
        <v>41844</v>
      </c>
      <c r="B19">
        <v>35.130000000000003</v>
      </c>
      <c r="C19">
        <v>35.18</v>
      </c>
      <c r="D19">
        <v>34.869999999999997</v>
      </c>
      <c r="E19">
        <v>35.04</v>
      </c>
      <c r="F19">
        <v>7584800</v>
      </c>
      <c r="G19">
        <v>34.89</v>
      </c>
    </row>
    <row r="20" spans="1:7" x14ac:dyDescent="0.25">
      <c r="A20" s="34">
        <v>41845</v>
      </c>
      <c r="B20">
        <v>34.76</v>
      </c>
      <c r="C20">
        <v>35.57</v>
      </c>
      <c r="D20">
        <v>34.67</v>
      </c>
      <c r="E20">
        <v>35.43</v>
      </c>
      <c r="F20">
        <v>8215400</v>
      </c>
      <c r="G20">
        <v>35.28</v>
      </c>
    </row>
    <row r="21" spans="1:7" x14ac:dyDescent="0.25">
      <c r="A21" s="34">
        <v>41848</v>
      </c>
      <c r="B21">
        <v>35.4</v>
      </c>
      <c r="C21">
        <v>35.61</v>
      </c>
      <c r="D21">
        <v>35.25</v>
      </c>
      <c r="E21">
        <v>35.6</v>
      </c>
      <c r="F21">
        <v>6787200</v>
      </c>
      <c r="G21">
        <v>35.450000000000003</v>
      </c>
    </row>
    <row r="22" spans="1:7" x14ac:dyDescent="0.25">
      <c r="A22" s="34">
        <v>41849</v>
      </c>
      <c r="B22">
        <v>35.71</v>
      </c>
      <c r="C22">
        <v>36.21</v>
      </c>
      <c r="D22">
        <v>35.6</v>
      </c>
      <c r="E22">
        <v>35.94</v>
      </c>
      <c r="F22">
        <v>12212800</v>
      </c>
      <c r="G22">
        <v>35.79</v>
      </c>
    </row>
    <row r="23" spans="1:7" x14ac:dyDescent="0.25">
      <c r="A23" s="34">
        <v>41850</v>
      </c>
      <c r="B23">
        <v>36</v>
      </c>
      <c r="C23">
        <v>36.200000000000003</v>
      </c>
      <c r="D23">
        <v>35.840000000000003</v>
      </c>
      <c r="E23">
        <v>36.11</v>
      </c>
      <c r="F23">
        <v>9724200</v>
      </c>
      <c r="G23">
        <v>35.96</v>
      </c>
    </row>
    <row r="24" spans="1:7" x14ac:dyDescent="0.25">
      <c r="A24" s="34">
        <v>41851</v>
      </c>
      <c r="B24">
        <v>35.729999999999997</v>
      </c>
      <c r="C24">
        <v>35.86</v>
      </c>
      <c r="D24">
        <v>35.450000000000003</v>
      </c>
      <c r="E24">
        <v>35.61</v>
      </c>
      <c r="F24">
        <v>10709200</v>
      </c>
      <c r="G24">
        <v>35.46</v>
      </c>
    </row>
    <row r="25" spans="1:7" x14ac:dyDescent="0.25">
      <c r="A25" s="34">
        <v>41852</v>
      </c>
      <c r="B25">
        <v>35.33</v>
      </c>
      <c r="C25">
        <v>35.43</v>
      </c>
      <c r="D25">
        <v>34.47</v>
      </c>
      <c r="E25">
        <v>35.19</v>
      </c>
      <c r="F25">
        <v>11871500</v>
      </c>
      <c r="G25">
        <v>35.04</v>
      </c>
    </row>
    <row r="26" spans="1:7" x14ac:dyDescent="0.25">
      <c r="A26" s="34">
        <v>41855</v>
      </c>
      <c r="B26">
        <v>35.28</v>
      </c>
      <c r="C26">
        <v>35.450000000000003</v>
      </c>
      <c r="D26">
        <v>35</v>
      </c>
      <c r="E26">
        <v>35.33</v>
      </c>
      <c r="F26">
        <v>6478400</v>
      </c>
      <c r="G26">
        <v>35.18</v>
      </c>
    </row>
    <row r="27" spans="1:7" x14ac:dyDescent="0.25">
      <c r="A27" s="34">
        <v>41856</v>
      </c>
      <c r="B27">
        <v>35.11</v>
      </c>
      <c r="C27">
        <v>35.33</v>
      </c>
      <c r="D27">
        <v>34.82</v>
      </c>
      <c r="E27">
        <v>35.07</v>
      </c>
      <c r="F27">
        <v>5641100</v>
      </c>
      <c r="G27">
        <v>34.92</v>
      </c>
    </row>
    <row r="28" spans="1:7" x14ac:dyDescent="0.25">
      <c r="A28" s="34">
        <v>41857</v>
      </c>
      <c r="B28">
        <v>34.67</v>
      </c>
      <c r="C28">
        <v>35.28</v>
      </c>
      <c r="D28">
        <v>34.450000000000003</v>
      </c>
      <c r="E28">
        <v>35.04</v>
      </c>
      <c r="F28">
        <v>6112100</v>
      </c>
      <c r="G28">
        <v>34.89</v>
      </c>
    </row>
    <row r="29" spans="1:7" x14ac:dyDescent="0.25">
      <c r="A29" s="34">
        <v>41858</v>
      </c>
      <c r="B29">
        <v>35.22</v>
      </c>
      <c r="C29">
        <v>35.380000000000003</v>
      </c>
      <c r="D29">
        <v>34.659999999999997</v>
      </c>
      <c r="E29">
        <v>34.82</v>
      </c>
      <c r="F29">
        <v>6438200</v>
      </c>
      <c r="G29">
        <v>34.67</v>
      </c>
    </row>
    <row r="30" spans="1:7" x14ac:dyDescent="0.25">
      <c r="A30" s="34">
        <v>41859</v>
      </c>
      <c r="B30">
        <v>34.770000000000003</v>
      </c>
      <c r="C30">
        <v>35.22</v>
      </c>
      <c r="D30">
        <v>34.630000000000003</v>
      </c>
      <c r="E30">
        <v>35.17</v>
      </c>
      <c r="F30">
        <v>5649000</v>
      </c>
      <c r="G30">
        <v>35.020000000000003</v>
      </c>
    </row>
    <row r="31" spans="1:7" x14ac:dyDescent="0.25">
      <c r="A31" s="34">
        <v>41862</v>
      </c>
      <c r="B31">
        <v>35.43</v>
      </c>
      <c r="C31">
        <v>35.53</v>
      </c>
      <c r="D31">
        <v>35.119999999999997</v>
      </c>
      <c r="E31">
        <v>35.200000000000003</v>
      </c>
      <c r="F31">
        <v>5976000</v>
      </c>
      <c r="G31">
        <v>35.049999999999997</v>
      </c>
    </row>
    <row r="32" spans="1:7" x14ac:dyDescent="0.25">
      <c r="A32" s="34">
        <v>41863</v>
      </c>
      <c r="B32">
        <v>35.28</v>
      </c>
      <c r="C32">
        <v>35.33</v>
      </c>
      <c r="D32">
        <v>34.86</v>
      </c>
      <c r="E32">
        <v>35.119999999999997</v>
      </c>
      <c r="F32">
        <v>4844500</v>
      </c>
      <c r="G32">
        <v>34.97</v>
      </c>
    </row>
    <row r="33" spans="1:7" x14ac:dyDescent="0.25">
      <c r="A33" s="34">
        <v>41864</v>
      </c>
      <c r="B33">
        <v>35.26</v>
      </c>
      <c r="C33">
        <v>35.43</v>
      </c>
      <c r="D33">
        <v>35.049999999999997</v>
      </c>
      <c r="E33">
        <v>35.299999999999997</v>
      </c>
      <c r="F33">
        <v>6787200</v>
      </c>
      <c r="G33">
        <v>35.15</v>
      </c>
    </row>
    <row r="34" spans="1:7" x14ac:dyDescent="0.25">
      <c r="A34" s="34">
        <v>41865</v>
      </c>
      <c r="B34">
        <v>35.299999999999997</v>
      </c>
      <c r="C34">
        <v>35.619999999999997</v>
      </c>
      <c r="D34">
        <v>34.96</v>
      </c>
      <c r="E34">
        <v>35.590000000000003</v>
      </c>
      <c r="F34">
        <v>9824200</v>
      </c>
      <c r="G34">
        <v>35.44</v>
      </c>
    </row>
    <row r="35" spans="1:7" x14ac:dyDescent="0.25">
      <c r="A35" s="34">
        <v>41866</v>
      </c>
      <c r="B35">
        <v>35.729999999999997</v>
      </c>
      <c r="C35">
        <v>35.75</v>
      </c>
      <c r="D35">
        <v>34.909999999999997</v>
      </c>
      <c r="E35">
        <v>35.07</v>
      </c>
      <c r="F35">
        <v>11510500</v>
      </c>
      <c r="G35">
        <v>34.92</v>
      </c>
    </row>
    <row r="36" spans="1:7" x14ac:dyDescent="0.25">
      <c r="A36" s="34">
        <v>41869</v>
      </c>
      <c r="B36">
        <v>35.51</v>
      </c>
      <c r="C36">
        <v>35.54</v>
      </c>
      <c r="D36">
        <v>35.22</v>
      </c>
      <c r="E36">
        <v>35.340000000000003</v>
      </c>
      <c r="F36">
        <v>9582800</v>
      </c>
      <c r="G36">
        <v>35.19</v>
      </c>
    </row>
    <row r="37" spans="1:7" x14ac:dyDescent="0.25">
      <c r="A37" s="34">
        <v>41870</v>
      </c>
      <c r="B37">
        <v>35.51</v>
      </c>
      <c r="C37">
        <v>35.770000000000003</v>
      </c>
      <c r="D37">
        <v>35.29</v>
      </c>
      <c r="E37">
        <v>35.479999999999997</v>
      </c>
      <c r="F37">
        <v>8787200</v>
      </c>
      <c r="G37">
        <v>35.33</v>
      </c>
    </row>
    <row r="38" spans="1:7" x14ac:dyDescent="0.25">
      <c r="A38" s="34">
        <v>41871</v>
      </c>
      <c r="B38">
        <v>35.72</v>
      </c>
      <c r="C38">
        <v>35.72</v>
      </c>
      <c r="D38">
        <v>34.869999999999997</v>
      </c>
      <c r="E38">
        <v>35.119999999999997</v>
      </c>
      <c r="F38">
        <v>18762100</v>
      </c>
      <c r="G38">
        <v>34.97</v>
      </c>
    </row>
    <row r="39" spans="1:7" x14ac:dyDescent="0.25">
      <c r="A39" s="34">
        <v>41872</v>
      </c>
      <c r="B39">
        <v>35.39</v>
      </c>
      <c r="C39">
        <v>37.4</v>
      </c>
      <c r="D39">
        <v>35.270000000000003</v>
      </c>
      <c r="E39">
        <v>37</v>
      </c>
      <c r="F39">
        <v>39516000</v>
      </c>
      <c r="G39">
        <v>36.840000000000003</v>
      </c>
    </row>
    <row r="40" spans="1:7" x14ac:dyDescent="0.25">
      <c r="A40" s="34">
        <v>41873</v>
      </c>
      <c r="B40">
        <v>36.85</v>
      </c>
      <c r="C40">
        <v>37.07</v>
      </c>
      <c r="D40">
        <v>36.65</v>
      </c>
      <c r="E40">
        <v>36.840000000000003</v>
      </c>
      <c r="F40">
        <v>14398700</v>
      </c>
      <c r="G40">
        <v>36.68</v>
      </c>
    </row>
    <row r="41" spans="1:7" x14ac:dyDescent="0.25">
      <c r="A41" s="34">
        <v>41876</v>
      </c>
      <c r="B41">
        <v>36.99</v>
      </c>
      <c r="C41">
        <v>37.36</v>
      </c>
      <c r="D41">
        <v>36.78</v>
      </c>
      <c r="E41">
        <v>37.15</v>
      </c>
      <c r="F41">
        <v>10954900</v>
      </c>
      <c r="G41">
        <v>36.99</v>
      </c>
    </row>
    <row r="42" spans="1:7" x14ac:dyDescent="0.25">
      <c r="A42" s="34">
        <v>41877</v>
      </c>
      <c r="B42">
        <v>37.24</v>
      </c>
      <c r="C42">
        <v>38.130000000000003</v>
      </c>
      <c r="D42">
        <v>37.11</v>
      </c>
      <c r="E42">
        <v>37.83</v>
      </c>
      <c r="F42">
        <v>13922300</v>
      </c>
      <c r="G42">
        <v>37.67</v>
      </c>
    </row>
    <row r="43" spans="1:7" x14ac:dyDescent="0.25">
      <c r="A43" s="34">
        <v>41878</v>
      </c>
      <c r="B43">
        <v>37.799999999999997</v>
      </c>
      <c r="C43">
        <v>38.200000000000003</v>
      </c>
      <c r="D43">
        <v>37.54</v>
      </c>
      <c r="E43">
        <v>38.159999999999997</v>
      </c>
      <c r="F43">
        <v>9715500</v>
      </c>
      <c r="G43">
        <v>38</v>
      </c>
    </row>
    <row r="44" spans="1:7" x14ac:dyDescent="0.25">
      <c r="A44" s="34">
        <v>41879</v>
      </c>
      <c r="B44">
        <v>37.9</v>
      </c>
      <c r="C44">
        <v>38.090000000000003</v>
      </c>
      <c r="D44">
        <v>37.6</v>
      </c>
      <c r="E44">
        <v>37.99</v>
      </c>
      <c r="F44">
        <v>6971600</v>
      </c>
      <c r="G44">
        <v>37.83</v>
      </c>
    </row>
    <row r="45" spans="1:7" x14ac:dyDescent="0.25">
      <c r="A45" s="34">
        <v>41880</v>
      </c>
      <c r="B45">
        <v>38.03</v>
      </c>
      <c r="C45">
        <v>38.18</v>
      </c>
      <c r="D45">
        <v>37.82</v>
      </c>
      <c r="E45">
        <v>38</v>
      </c>
      <c r="F45">
        <v>6211900</v>
      </c>
      <c r="G45">
        <v>37.840000000000003</v>
      </c>
    </row>
    <row r="46" spans="1:7" x14ac:dyDescent="0.25">
      <c r="A46" s="34">
        <v>41884</v>
      </c>
      <c r="B46">
        <v>38</v>
      </c>
      <c r="C46">
        <v>38.07</v>
      </c>
      <c r="D46">
        <v>37.659999999999997</v>
      </c>
      <c r="E46">
        <v>38.049999999999997</v>
      </c>
      <c r="F46">
        <v>7224400</v>
      </c>
      <c r="G46">
        <v>37.89</v>
      </c>
    </row>
    <row r="47" spans="1:7" x14ac:dyDescent="0.25">
      <c r="A47" s="34">
        <v>41885</v>
      </c>
      <c r="B47">
        <v>38.130000000000003</v>
      </c>
      <c r="C47">
        <v>38.25</v>
      </c>
      <c r="D47">
        <v>38.04</v>
      </c>
      <c r="E47">
        <v>38.07</v>
      </c>
      <c r="F47">
        <v>6854500</v>
      </c>
      <c r="G47">
        <v>37.909999999999997</v>
      </c>
    </row>
    <row r="48" spans="1:7" x14ac:dyDescent="0.25">
      <c r="A48" s="34">
        <v>41886</v>
      </c>
      <c r="B48">
        <v>38.049999999999997</v>
      </c>
      <c r="C48">
        <v>38.25</v>
      </c>
      <c r="D48">
        <v>37.479999999999997</v>
      </c>
      <c r="E48">
        <v>37.659999999999997</v>
      </c>
      <c r="F48">
        <v>8634600</v>
      </c>
      <c r="G48">
        <v>37.5</v>
      </c>
    </row>
    <row r="49" spans="1:7" x14ac:dyDescent="0.25">
      <c r="A49" s="34">
        <v>41887</v>
      </c>
      <c r="B49">
        <v>37.590000000000003</v>
      </c>
      <c r="C49">
        <v>37.659999999999997</v>
      </c>
      <c r="D49">
        <v>37.17</v>
      </c>
      <c r="E49">
        <v>37.58</v>
      </c>
      <c r="F49">
        <v>11257300</v>
      </c>
      <c r="G49">
        <v>37.42</v>
      </c>
    </row>
    <row r="50" spans="1:7" x14ac:dyDescent="0.25">
      <c r="A50" s="34">
        <v>41890</v>
      </c>
      <c r="B50">
        <v>37.25</v>
      </c>
      <c r="C50">
        <v>37.47</v>
      </c>
      <c r="D50">
        <v>37.11</v>
      </c>
      <c r="E50">
        <v>37.28</v>
      </c>
      <c r="F50">
        <v>7366700</v>
      </c>
      <c r="G50">
        <v>37.28</v>
      </c>
    </row>
    <row r="51" spans="1:7" x14ac:dyDescent="0.25">
      <c r="A51" s="34">
        <v>41891</v>
      </c>
      <c r="B51">
        <v>37.119999999999997</v>
      </c>
      <c r="C51">
        <v>37.15</v>
      </c>
      <c r="D51">
        <v>36.630000000000003</v>
      </c>
      <c r="E51">
        <v>36.79</v>
      </c>
      <c r="F51">
        <v>10295000</v>
      </c>
      <c r="G51">
        <v>36.79</v>
      </c>
    </row>
    <row r="52" spans="1:7" x14ac:dyDescent="0.25">
      <c r="A52" s="34">
        <v>41892</v>
      </c>
      <c r="B52">
        <v>36.93</v>
      </c>
      <c r="C52">
        <v>37.07</v>
      </c>
      <c r="D52">
        <v>36.75</v>
      </c>
      <c r="E52">
        <v>37.03</v>
      </c>
      <c r="F52">
        <v>7857700</v>
      </c>
      <c r="G52">
        <v>37.03</v>
      </c>
    </row>
    <row r="53" spans="1:7" x14ac:dyDescent="0.25">
      <c r="A53" s="34">
        <v>41893</v>
      </c>
      <c r="B53">
        <v>37</v>
      </c>
      <c r="C53">
        <v>37.03</v>
      </c>
      <c r="D53">
        <v>36.520000000000003</v>
      </c>
      <c r="E53">
        <v>36.76</v>
      </c>
      <c r="F53">
        <v>8032700</v>
      </c>
      <c r="G53">
        <v>36.76</v>
      </c>
    </row>
    <row r="54" spans="1:7" x14ac:dyDescent="0.25">
      <c r="A54" s="34">
        <v>41894</v>
      </c>
      <c r="B54">
        <v>36.76</v>
      </c>
      <c r="C54">
        <v>36.85</v>
      </c>
      <c r="D54">
        <v>36.5</v>
      </c>
      <c r="E54">
        <v>36.56</v>
      </c>
      <c r="F54">
        <v>7634100</v>
      </c>
      <c r="G54">
        <v>36.56</v>
      </c>
    </row>
    <row r="55" spans="1:7" x14ac:dyDescent="0.25">
      <c r="A55" s="34">
        <v>41897</v>
      </c>
      <c r="B55">
        <v>36.54</v>
      </c>
      <c r="C55">
        <v>36.549999999999997</v>
      </c>
      <c r="D55">
        <v>36.130000000000003</v>
      </c>
      <c r="E55">
        <v>36.25</v>
      </c>
      <c r="F55">
        <v>7274300</v>
      </c>
      <c r="G55">
        <v>36.25</v>
      </c>
    </row>
  </sheetData>
  <sortState ref="A3:G55">
    <sortCondition ref="A3:A55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181.7</v>
      </c>
      <c r="C3">
        <v>187.27</v>
      </c>
      <c r="D3">
        <v>181.7</v>
      </c>
      <c r="E3">
        <v>186.35</v>
      </c>
      <c r="F3">
        <v>6643100</v>
      </c>
      <c r="G3">
        <v>185.25</v>
      </c>
    </row>
    <row r="4" spans="1:7" x14ac:dyDescent="0.25">
      <c r="A4" s="34">
        <v>41822</v>
      </c>
      <c r="B4">
        <v>186.34</v>
      </c>
      <c r="C4">
        <v>188.99</v>
      </c>
      <c r="D4">
        <v>186.17</v>
      </c>
      <c r="E4">
        <v>188.39</v>
      </c>
      <c r="F4">
        <v>5093000</v>
      </c>
      <c r="G4">
        <v>187.28</v>
      </c>
    </row>
    <row r="5" spans="1:7" x14ac:dyDescent="0.25">
      <c r="A5" s="34">
        <v>41823</v>
      </c>
      <c r="B5">
        <v>188.39</v>
      </c>
      <c r="C5">
        <v>188.81</v>
      </c>
      <c r="D5">
        <v>187.35</v>
      </c>
      <c r="E5">
        <v>188.53</v>
      </c>
      <c r="F5">
        <v>2422400</v>
      </c>
      <c r="G5">
        <v>187.42</v>
      </c>
    </row>
    <row r="6" spans="1:7" x14ac:dyDescent="0.25">
      <c r="A6" s="34">
        <v>41827</v>
      </c>
      <c r="B6">
        <v>187.61</v>
      </c>
      <c r="C6">
        <v>188.27</v>
      </c>
      <c r="D6">
        <v>187.44</v>
      </c>
      <c r="E6">
        <v>188.04</v>
      </c>
      <c r="F6">
        <v>2958700</v>
      </c>
      <c r="G6">
        <v>186.93</v>
      </c>
    </row>
    <row r="7" spans="1:7" x14ac:dyDescent="0.25">
      <c r="A7" s="34">
        <v>41828</v>
      </c>
      <c r="B7">
        <v>187.65</v>
      </c>
      <c r="C7">
        <v>188.08</v>
      </c>
      <c r="D7">
        <v>186.37</v>
      </c>
      <c r="E7">
        <v>187.22</v>
      </c>
      <c r="F7">
        <v>3135100</v>
      </c>
      <c r="G7">
        <v>186.12</v>
      </c>
    </row>
    <row r="8" spans="1:7" x14ac:dyDescent="0.25">
      <c r="A8" s="34">
        <v>41829</v>
      </c>
      <c r="B8">
        <v>187.68</v>
      </c>
      <c r="C8">
        <v>188.9</v>
      </c>
      <c r="D8">
        <v>186.89</v>
      </c>
      <c r="E8">
        <v>188.42</v>
      </c>
      <c r="F8">
        <v>3309600</v>
      </c>
      <c r="G8">
        <v>187.31</v>
      </c>
    </row>
    <row r="9" spans="1:7" x14ac:dyDescent="0.25">
      <c r="A9" s="34">
        <v>41830</v>
      </c>
      <c r="B9">
        <v>186.44</v>
      </c>
      <c r="C9">
        <v>188.05</v>
      </c>
      <c r="D9">
        <v>186.21</v>
      </c>
      <c r="E9">
        <v>187.7</v>
      </c>
      <c r="F9">
        <v>3177800</v>
      </c>
      <c r="G9">
        <v>186.6</v>
      </c>
    </row>
    <row r="10" spans="1:7" x14ac:dyDescent="0.25">
      <c r="A10" s="34">
        <v>41831</v>
      </c>
      <c r="B10">
        <v>187.73</v>
      </c>
      <c r="C10">
        <v>188.35</v>
      </c>
      <c r="D10">
        <v>186.71</v>
      </c>
      <c r="E10">
        <v>188</v>
      </c>
      <c r="F10">
        <v>2402500</v>
      </c>
      <c r="G10">
        <v>186.89</v>
      </c>
    </row>
    <row r="11" spans="1:7" x14ac:dyDescent="0.25">
      <c r="A11" s="34">
        <v>41834</v>
      </c>
      <c r="B11">
        <v>188.55</v>
      </c>
      <c r="C11">
        <v>190.44</v>
      </c>
      <c r="D11">
        <v>188.53</v>
      </c>
      <c r="E11">
        <v>189.86</v>
      </c>
      <c r="F11">
        <v>4501100</v>
      </c>
      <c r="G11">
        <v>188.74</v>
      </c>
    </row>
    <row r="12" spans="1:7" x14ac:dyDescent="0.25">
      <c r="A12" s="34">
        <v>41835</v>
      </c>
      <c r="B12">
        <v>189.54</v>
      </c>
      <c r="C12">
        <v>190.08</v>
      </c>
      <c r="D12">
        <v>188.21</v>
      </c>
      <c r="E12">
        <v>188.49</v>
      </c>
      <c r="F12">
        <v>4864700</v>
      </c>
      <c r="G12">
        <v>187.38</v>
      </c>
    </row>
    <row r="13" spans="1:7" x14ac:dyDescent="0.25">
      <c r="A13" s="34">
        <v>41836</v>
      </c>
      <c r="B13">
        <v>192.24</v>
      </c>
      <c r="C13">
        <v>193.36</v>
      </c>
      <c r="D13">
        <v>190.76</v>
      </c>
      <c r="E13">
        <v>192.36</v>
      </c>
      <c r="F13">
        <v>7812600</v>
      </c>
      <c r="G13">
        <v>191.23</v>
      </c>
    </row>
    <row r="14" spans="1:7" x14ac:dyDescent="0.25">
      <c r="A14" s="34">
        <v>41837</v>
      </c>
      <c r="B14">
        <v>192.36</v>
      </c>
      <c r="C14">
        <v>195.95</v>
      </c>
      <c r="D14">
        <v>192</v>
      </c>
      <c r="E14">
        <v>192.49</v>
      </c>
      <c r="F14">
        <v>8872300</v>
      </c>
      <c r="G14">
        <v>191.36</v>
      </c>
    </row>
    <row r="15" spans="1:7" x14ac:dyDescent="0.25">
      <c r="A15" s="34">
        <v>41838</v>
      </c>
      <c r="B15">
        <v>191.96</v>
      </c>
      <c r="C15">
        <v>193.44</v>
      </c>
      <c r="D15">
        <v>190</v>
      </c>
      <c r="E15">
        <v>192.5</v>
      </c>
      <c r="F15">
        <v>8166400</v>
      </c>
      <c r="G15">
        <v>191.37</v>
      </c>
    </row>
    <row r="16" spans="1:7" x14ac:dyDescent="0.25">
      <c r="A16" s="34">
        <v>41841</v>
      </c>
      <c r="B16">
        <v>191.3</v>
      </c>
      <c r="C16">
        <v>191.7</v>
      </c>
      <c r="D16">
        <v>189.25</v>
      </c>
      <c r="E16">
        <v>190.85</v>
      </c>
      <c r="F16">
        <v>4154400</v>
      </c>
      <c r="G16">
        <v>189.73</v>
      </c>
    </row>
    <row r="17" spans="1:7" x14ac:dyDescent="0.25">
      <c r="A17" s="34">
        <v>41842</v>
      </c>
      <c r="B17">
        <v>191.59</v>
      </c>
      <c r="C17">
        <v>194.72</v>
      </c>
      <c r="D17">
        <v>191.56</v>
      </c>
      <c r="E17">
        <v>194.09</v>
      </c>
      <c r="F17">
        <v>4853000</v>
      </c>
      <c r="G17">
        <v>192.95</v>
      </c>
    </row>
    <row r="18" spans="1:7" x14ac:dyDescent="0.25">
      <c r="A18" s="34">
        <v>41843</v>
      </c>
      <c r="B18">
        <v>194.11</v>
      </c>
      <c r="C18">
        <v>194.9</v>
      </c>
      <c r="D18">
        <v>193.57</v>
      </c>
      <c r="E18">
        <v>193.63</v>
      </c>
      <c r="F18">
        <v>3584200</v>
      </c>
      <c r="G18">
        <v>192.49</v>
      </c>
    </row>
    <row r="19" spans="1:7" x14ac:dyDescent="0.25">
      <c r="A19" s="34">
        <v>41844</v>
      </c>
      <c r="B19">
        <v>193.95</v>
      </c>
      <c r="C19">
        <v>195.62</v>
      </c>
      <c r="D19">
        <v>193.75</v>
      </c>
      <c r="E19">
        <v>195.24</v>
      </c>
      <c r="F19">
        <v>3612700</v>
      </c>
      <c r="G19">
        <v>194.09</v>
      </c>
    </row>
    <row r="20" spans="1:7" x14ac:dyDescent="0.25">
      <c r="A20" s="34">
        <v>41845</v>
      </c>
      <c r="B20">
        <v>195.3</v>
      </c>
      <c r="C20">
        <v>195.9</v>
      </c>
      <c r="D20">
        <v>193.79</v>
      </c>
      <c r="E20">
        <v>194.4</v>
      </c>
      <c r="F20">
        <v>3376400</v>
      </c>
      <c r="G20">
        <v>193.26</v>
      </c>
    </row>
    <row r="21" spans="1:7" x14ac:dyDescent="0.25">
      <c r="A21" s="34">
        <v>41848</v>
      </c>
      <c r="B21">
        <v>194.3</v>
      </c>
      <c r="C21">
        <v>196.4</v>
      </c>
      <c r="D21">
        <v>193.65</v>
      </c>
      <c r="E21">
        <v>195.78</v>
      </c>
      <c r="F21">
        <v>3242400</v>
      </c>
      <c r="G21">
        <v>194.63</v>
      </c>
    </row>
    <row r="22" spans="1:7" x14ac:dyDescent="0.25">
      <c r="A22" s="34">
        <v>41849</v>
      </c>
      <c r="B22">
        <v>195.3</v>
      </c>
      <c r="C22">
        <v>195.89</v>
      </c>
      <c r="D22">
        <v>194.54</v>
      </c>
      <c r="E22">
        <v>194.57</v>
      </c>
      <c r="F22">
        <v>3264100</v>
      </c>
      <c r="G22">
        <v>193.43</v>
      </c>
    </row>
    <row r="23" spans="1:7" x14ac:dyDescent="0.25">
      <c r="A23" s="34">
        <v>41850</v>
      </c>
      <c r="B23">
        <v>195.2</v>
      </c>
      <c r="C23">
        <v>195.99</v>
      </c>
      <c r="D23">
        <v>192.9</v>
      </c>
      <c r="E23">
        <v>194</v>
      </c>
      <c r="F23">
        <v>3943800</v>
      </c>
      <c r="G23">
        <v>192.86</v>
      </c>
    </row>
    <row r="24" spans="1:7" x14ac:dyDescent="0.25">
      <c r="A24" s="34">
        <v>41851</v>
      </c>
      <c r="B24">
        <v>192.84</v>
      </c>
      <c r="C24">
        <v>194.29</v>
      </c>
      <c r="D24">
        <v>191.54</v>
      </c>
      <c r="E24">
        <v>191.67</v>
      </c>
      <c r="F24">
        <v>4207500</v>
      </c>
      <c r="G24">
        <v>190.54</v>
      </c>
    </row>
    <row r="25" spans="1:7" x14ac:dyDescent="0.25">
      <c r="A25" s="34">
        <v>41852</v>
      </c>
      <c r="B25">
        <v>190.5</v>
      </c>
      <c r="C25">
        <v>191.5</v>
      </c>
      <c r="D25">
        <v>188.86</v>
      </c>
      <c r="E25">
        <v>189.15</v>
      </c>
      <c r="F25">
        <v>5181100</v>
      </c>
      <c r="G25">
        <v>188.04</v>
      </c>
    </row>
    <row r="26" spans="1:7" x14ac:dyDescent="0.25">
      <c r="A26" s="34">
        <v>41855</v>
      </c>
      <c r="B26">
        <v>189.35</v>
      </c>
      <c r="C26">
        <v>189.95</v>
      </c>
      <c r="D26">
        <v>188.6</v>
      </c>
      <c r="E26">
        <v>189.64</v>
      </c>
      <c r="F26">
        <v>2125900</v>
      </c>
      <c r="G26">
        <v>188.53</v>
      </c>
    </row>
    <row r="27" spans="1:7" x14ac:dyDescent="0.25">
      <c r="A27" s="34">
        <v>41856</v>
      </c>
      <c r="B27">
        <v>188.75</v>
      </c>
      <c r="C27">
        <v>189.2</v>
      </c>
      <c r="D27">
        <v>186.44</v>
      </c>
      <c r="E27">
        <v>187.1</v>
      </c>
      <c r="F27">
        <v>3307900</v>
      </c>
      <c r="G27">
        <v>186</v>
      </c>
    </row>
    <row r="28" spans="1:7" x14ac:dyDescent="0.25">
      <c r="A28" s="34">
        <v>41857</v>
      </c>
      <c r="B28">
        <v>185.36</v>
      </c>
      <c r="C28">
        <v>186.88</v>
      </c>
      <c r="D28">
        <v>184.44</v>
      </c>
      <c r="E28">
        <v>185.97</v>
      </c>
      <c r="F28">
        <v>3847000</v>
      </c>
      <c r="G28">
        <v>185.97</v>
      </c>
    </row>
    <row r="29" spans="1:7" x14ac:dyDescent="0.25">
      <c r="A29" s="34">
        <v>41858</v>
      </c>
      <c r="B29">
        <v>186.64</v>
      </c>
      <c r="C29">
        <v>186.68</v>
      </c>
      <c r="D29">
        <v>183.58</v>
      </c>
      <c r="E29">
        <v>184.3</v>
      </c>
      <c r="F29">
        <v>2708600</v>
      </c>
      <c r="G29">
        <v>184.3</v>
      </c>
    </row>
    <row r="30" spans="1:7" x14ac:dyDescent="0.25">
      <c r="A30" s="34">
        <v>41859</v>
      </c>
      <c r="B30">
        <v>184.4</v>
      </c>
      <c r="C30">
        <v>186.67</v>
      </c>
      <c r="D30">
        <v>183.58</v>
      </c>
      <c r="E30">
        <v>186.63</v>
      </c>
      <c r="F30">
        <v>2781500</v>
      </c>
      <c r="G30">
        <v>186.63</v>
      </c>
    </row>
    <row r="31" spans="1:7" x14ac:dyDescent="0.25">
      <c r="A31" s="34">
        <v>41862</v>
      </c>
      <c r="B31">
        <v>187.81</v>
      </c>
      <c r="C31">
        <v>188.36</v>
      </c>
      <c r="D31">
        <v>186.28</v>
      </c>
      <c r="E31">
        <v>187.47</v>
      </c>
      <c r="F31">
        <v>2527200</v>
      </c>
      <c r="G31">
        <v>187.47</v>
      </c>
    </row>
    <row r="32" spans="1:7" x14ac:dyDescent="0.25">
      <c r="A32" s="34">
        <v>41863</v>
      </c>
      <c r="B32">
        <v>187.45</v>
      </c>
      <c r="C32">
        <v>188.69</v>
      </c>
      <c r="D32">
        <v>186.81</v>
      </c>
      <c r="E32">
        <v>187.34</v>
      </c>
      <c r="F32">
        <v>1858600</v>
      </c>
      <c r="G32">
        <v>187.34</v>
      </c>
    </row>
    <row r="33" spans="1:7" x14ac:dyDescent="0.25">
      <c r="A33" s="34">
        <v>41864</v>
      </c>
      <c r="B33">
        <v>188</v>
      </c>
      <c r="C33">
        <v>188.48</v>
      </c>
      <c r="D33">
        <v>187.37</v>
      </c>
      <c r="E33">
        <v>187.95</v>
      </c>
      <c r="F33">
        <v>1797000</v>
      </c>
      <c r="G33">
        <v>187.95</v>
      </c>
    </row>
    <row r="34" spans="1:7" x14ac:dyDescent="0.25">
      <c r="A34" s="34">
        <v>41865</v>
      </c>
      <c r="B34">
        <v>187.57</v>
      </c>
      <c r="C34">
        <v>188.17</v>
      </c>
      <c r="D34">
        <v>186.93</v>
      </c>
      <c r="E34">
        <v>187.88</v>
      </c>
      <c r="F34">
        <v>1929500</v>
      </c>
      <c r="G34">
        <v>187.88</v>
      </c>
    </row>
    <row r="35" spans="1:7" x14ac:dyDescent="0.25">
      <c r="A35" s="34">
        <v>41866</v>
      </c>
      <c r="B35">
        <v>187.85</v>
      </c>
      <c r="C35">
        <v>188.88</v>
      </c>
      <c r="D35">
        <v>186.79</v>
      </c>
      <c r="E35">
        <v>187.38</v>
      </c>
      <c r="F35">
        <v>2814800</v>
      </c>
      <c r="G35">
        <v>187.38</v>
      </c>
    </row>
    <row r="36" spans="1:7" x14ac:dyDescent="0.25">
      <c r="A36" s="34">
        <v>41869</v>
      </c>
      <c r="B36">
        <v>188.1</v>
      </c>
      <c r="C36">
        <v>189.81</v>
      </c>
      <c r="D36">
        <v>187.76</v>
      </c>
      <c r="E36">
        <v>189.36</v>
      </c>
      <c r="F36">
        <v>2420300</v>
      </c>
      <c r="G36">
        <v>189.36</v>
      </c>
    </row>
    <row r="37" spans="1:7" x14ac:dyDescent="0.25">
      <c r="A37" s="34">
        <v>41870</v>
      </c>
      <c r="B37">
        <v>190.04</v>
      </c>
      <c r="C37">
        <v>190.25</v>
      </c>
      <c r="D37">
        <v>189.36</v>
      </c>
      <c r="E37">
        <v>190.07</v>
      </c>
      <c r="F37">
        <v>2040100</v>
      </c>
      <c r="G37">
        <v>190.07</v>
      </c>
    </row>
    <row r="38" spans="1:7" x14ac:dyDescent="0.25">
      <c r="A38" s="34">
        <v>41871</v>
      </c>
      <c r="B38">
        <v>189.86</v>
      </c>
      <c r="C38">
        <v>190.39</v>
      </c>
      <c r="D38">
        <v>189.25</v>
      </c>
      <c r="E38">
        <v>190.1</v>
      </c>
      <c r="F38">
        <v>2177600</v>
      </c>
      <c r="G38">
        <v>190.1</v>
      </c>
    </row>
    <row r="39" spans="1:7" x14ac:dyDescent="0.25">
      <c r="A39" s="34">
        <v>41872</v>
      </c>
      <c r="B39">
        <v>190.9</v>
      </c>
      <c r="C39">
        <v>192.07</v>
      </c>
      <c r="D39">
        <v>190.5</v>
      </c>
      <c r="E39">
        <v>191.23</v>
      </c>
      <c r="F39">
        <v>2496500</v>
      </c>
      <c r="G39">
        <v>191.23</v>
      </c>
    </row>
    <row r="40" spans="1:7" x14ac:dyDescent="0.25">
      <c r="A40" s="34">
        <v>41873</v>
      </c>
      <c r="B40">
        <v>190.77</v>
      </c>
      <c r="C40">
        <v>191.88</v>
      </c>
      <c r="D40">
        <v>190.29</v>
      </c>
      <c r="E40">
        <v>190.41</v>
      </c>
      <c r="F40">
        <v>1940300</v>
      </c>
      <c r="G40">
        <v>190.41</v>
      </c>
    </row>
    <row r="41" spans="1:7" x14ac:dyDescent="0.25">
      <c r="A41" s="34">
        <v>41876</v>
      </c>
      <c r="B41">
        <v>191.39</v>
      </c>
      <c r="C41">
        <v>191.81</v>
      </c>
      <c r="D41">
        <v>190.71</v>
      </c>
      <c r="E41">
        <v>191.16</v>
      </c>
      <c r="F41">
        <v>1723600</v>
      </c>
      <c r="G41">
        <v>191.16</v>
      </c>
    </row>
    <row r="42" spans="1:7" x14ac:dyDescent="0.25">
      <c r="A42" s="34">
        <v>41877</v>
      </c>
      <c r="B42">
        <v>191.02</v>
      </c>
      <c r="C42">
        <v>193.53</v>
      </c>
      <c r="D42">
        <v>191.02</v>
      </c>
      <c r="E42">
        <v>192.99</v>
      </c>
      <c r="F42">
        <v>3160900</v>
      </c>
      <c r="G42">
        <v>192.99</v>
      </c>
    </row>
    <row r="43" spans="1:7" x14ac:dyDescent="0.25">
      <c r="A43" s="34">
        <v>41878</v>
      </c>
      <c r="B43">
        <v>193.03</v>
      </c>
      <c r="C43">
        <v>194.13</v>
      </c>
      <c r="D43">
        <v>191.56</v>
      </c>
      <c r="E43">
        <v>192.25</v>
      </c>
      <c r="F43">
        <v>2190200</v>
      </c>
      <c r="G43">
        <v>192.25</v>
      </c>
    </row>
    <row r="44" spans="1:7" x14ac:dyDescent="0.25">
      <c r="A44" s="34">
        <v>41879</v>
      </c>
      <c r="B44">
        <v>191.47</v>
      </c>
      <c r="C44">
        <v>192.3</v>
      </c>
      <c r="D44">
        <v>190.66</v>
      </c>
      <c r="E44">
        <v>192</v>
      </c>
      <c r="F44">
        <v>1503600</v>
      </c>
      <c r="G44">
        <v>192</v>
      </c>
    </row>
    <row r="45" spans="1:7" x14ac:dyDescent="0.25">
      <c r="A45" s="34">
        <v>41880</v>
      </c>
      <c r="B45">
        <v>192.28</v>
      </c>
      <c r="C45">
        <v>192.75</v>
      </c>
      <c r="D45">
        <v>191.14</v>
      </c>
      <c r="E45">
        <v>192.3</v>
      </c>
      <c r="F45">
        <v>2909400</v>
      </c>
      <c r="G45">
        <v>192.3</v>
      </c>
    </row>
    <row r="46" spans="1:7" x14ac:dyDescent="0.25">
      <c r="A46" s="34">
        <v>41884</v>
      </c>
      <c r="B46">
        <v>192.68</v>
      </c>
      <c r="C46">
        <v>192.97</v>
      </c>
      <c r="D46">
        <v>190.93</v>
      </c>
      <c r="E46">
        <v>191.56</v>
      </c>
      <c r="F46">
        <v>2679700</v>
      </c>
      <c r="G46">
        <v>191.56</v>
      </c>
    </row>
    <row r="47" spans="1:7" x14ac:dyDescent="0.25">
      <c r="A47" s="34">
        <v>41885</v>
      </c>
      <c r="B47">
        <v>192.39</v>
      </c>
      <c r="C47">
        <v>192.95</v>
      </c>
      <c r="D47">
        <v>191.86</v>
      </c>
      <c r="E47">
        <v>191.95</v>
      </c>
      <c r="F47">
        <v>1822800</v>
      </c>
      <c r="G47">
        <v>191.95</v>
      </c>
    </row>
    <row r="48" spans="1:7" x14ac:dyDescent="0.25">
      <c r="A48" s="34">
        <v>41886</v>
      </c>
      <c r="B48">
        <v>191.69</v>
      </c>
      <c r="C48">
        <v>192.69</v>
      </c>
      <c r="D48">
        <v>190.06</v>
      </c>
      <c r="E48">
        <v>190.68</v>
      </c>
      <c r="F48">
        <v>2865000</v>
      </c>
      <c r="G48">
        <v>190.68</v>
      </c>
    </row>
    <row r="49" spans="1:7" x14ac:dyDescent="0.25">
      <c r="A49" s="34">
        <v>41887</v>
      </c>
      <c r="B49">
        <v>190.53</v>
      </c>
      <c r="C49">
        <v>191.75</v>
      </c>
      <c r="D49">
        <v>190.09</v>
      </c>
      <c r="E49">
        <v>191.2</v>
      </c>
      <c r="F49">
        <v>2260200</v>
      </c>
      <c r="G49">
        <v>191.2</v>
      </c>
    </row>
    <row r="50" spans="1:7" x14ac:dyDescent="0.25">
      <c r="A50" s="34">
        <v>41890</v>
      </c>
      <c r="B50">
        <v>190.75</v>
      </c>
      <c r="C50">
        <v>191.2</v>
      </c>
      <c r="D50">
        <v>189.51</v>
      </c>
      <c r="E50">
        <v>190.14</v>
      </c>
      <c r="F50">
        <v>2524200</v>
      </c>
      <c r="G50">
        <v>190.14</v>
      </c>
    </row>
    <row r="51" spans="1:7" x14ac:dyDescent="0.25">
      <c r="A51" s="34">
        <v>41891</v>
      </c>
      <c r="B51">
        <v>190.34</v>
      </c>
      <c r="C51">
        <v>190.74</v>
      </c>
      <c r="D51">
        <v>189.78</v>
      </c>
      <c r="E51">
        <v>189.99</v>
      </c>
      <c r="F51">
        <v>2390400</v>
      </c>
      <c r="G51">
        <v>189.99</v>
      </c>
    </row>
    <row r="52" spans="1:7" x14ac:dyDescent="0.25">
      <c r="A52" s="34">
        <v>41892</v>
      </c>
      <c r="B52">
        <v>190.12</v>
      </c>
      <c r="C52">
        <v>192.15</v>
      </c>
      <c r="D52">
        <v>190.1</v>
      </c>
      <c r="E52">
        <v>191.54</v>
      </c>
      <c r="F52">
        <v>2764000</v>
      </c>
      <c r="G52">
        <v>191.54</v>
      </c>
    </row>
    <row r="53" spans="1:7" x14ac:dyDescent="0.25">
      <c r="A53" s="34">
        <v>41893</v>
      </c>
      <c r="B53">
        <v>191.08</v>
      </c>
      <c r="C53">
        <v>192.78</v>
      </c>
      <c r="D53">
        <v>190.12</v>
      </c>
      <c r="E53">
        <v>191.72</v>
      </c>
      <c r="F53">
        <v>2298500</v>
      </c>
      <c r="G53">
        <v>191.72</v>
      </c>
    </row>
    <row r="54" spans="1:7" x14ac:dyDescent="0.25">
      <c r="A54" s="34">
        <v>41894</v>
      </c>
      <c r="B54">
        <v>191.47</v>
      </c>
      <c r="C54">
        <v>191.6</v>
      </c>
      <c r="D54">
        <v>190.57</v>
      </c>
      <c r="E54">
        <v>191.28</v>
      </c>
      <c r="F54">
        <v>2901000</v>
      </c>
      <c r="G54">
        <v>191.28</v>
      </c>
    </row>
    <row r="55" spans="1:7" x14ac:dyDescent="0.25">
      <c r="A55" s="34">
        <v>41897</v>
      </c>
      <c r="B55">
        <v>191.42</v>
      </c>
      <c r="C55">
        <v>192.49</v>
      </c>
      <c r="D55">
        <v>190.58</v>
      </c>
      <c r="E55">
        <v>191.81</v>
      </c>
      <c r="F55">
        <v>2456400</v>
      </c>
      <c r="G55">
        <v>191.81</v>
      </c>
    </row>
  </sheetData>
  <sortState ref="A3:G55">
    <sortCondition ref="A3:A55"/>
  </sortState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30.99</v>
      </c>
      <c r="C3">
        <v>31.09</v>
      </c>
      <c r="D3">
        <v>30.87</v>
      </c>
      <c r="E3">
        <v>30.98</v>
      </c>
      <c r="F3">
        <v>28240000</v>
      </c>
      <c r="G3">
        <v>30.78</v>
      </c>
    </row>
    <row r="4" spans="1:7" x14ac:dyDescent="0.25">
      <c r="A4" s="34">
        <v>41822</v>
      </c>
      <c r="B4">
        <v>30.99</v>
      </c>
      <c r="C4">
        <v>31.05</v>
      </c>
      <c r="D4">
        <v>30.8</v>
      </c>
      <c r="E4">
        <v>30.98</v>
      </c>
      <c r="F4">
        <v>16831200</v>
      </c>
      <c r="G4">
        <v>30.78</v>
      </c>
    </row>
    <row r="5" spans="1:7" x14ac:dyDescent="0.25">
      <c r="A5" s="34">
        <v>41823</v>
      </c>
      <c r="B5">
        <v>31.08</v>
      </c>
      <c r="C5">
        <v>31.36</v>
      </c>
      <c r="D5">
        <v>31.02</v>
      </c>
      <c r="E5">
        <v>31.14</v>
      </c>
      <c r="F5">
        <v>20437600</v>
      </c>
      <c r="G5">
        <v>30.93</v>
      </c>
    </row>
    <row r="6" spans="1:7" x14ac:dyDescent="0.25">
      <c r="A6" s="34">
        <v>41827</v>
      </c>
      <c r="B6">
        <v>31.09</v>
      </c>
      <c r="C6">
        <v>31.2</v>
      </c>
      <c r="D6">
        <v>30.92</v>
      </c>
      <c r="E6">
        <v>31.03</v>
      </c>
      <c r="F6">
        <v>22233400</v>
      </c>
      <c r="G6">
        <v>30.82</v>
      </c>
    </row>
    <row r="7" spans="1:7" x14ac:dyDescent="0.25">
      <c r="A7" s="34">
        <v>41828</v>
      </c>
      <c r="B7">
        <v>31</v>
      </c>
      <c r="C7">
        <v>31.08</v>
      </c>
      <c r="D7">
        <v>30.7</v>
      </c>
      <c r="E7">
        <v>30.79</v>
      </c>
      <c r="F7">
        <v>37608700</v>
      </c>
      <c r="G7">
        <v>30.59</v>
      </c>
    </row>
    <row r="8" spans="1:7" x14ac:dyDescent="0.25">
      <c r="A8" s="34">
        <v>41829</v>
      </c>
      <c r="B8">
        <v>30.84</v>
      </c>
      <c r="C8">
        <v>30.98</v>
      </c>
      <c r="D8">
        <v>30.69</v>
      </c>
      <c r="E8">
        <v>30.89</v>
      </c>
      <c r="F8">
        <v>28302400</v>
      </c>
      <c r="G8">
        <v>30.69</v>
      </c>
    </row>
    <row r="9" spans="1:7" x14ac:dyDescent="0.25">
      <c r="A9" s="34">
        <v>41830</v>
      </c>
      <c r="B9">
        <v>30.6</v>
      </c>
      <c r="C9">
        <v>31.33</v>
      </c>
      <c r="D9">
        <v>30.44</v>
      </c>
      <c r="E9">
        <v>31.26</v>
      </c>
      <c r="F9">
        <v>32455100</v>
      </c>
      <c r="G9">
        <v>31.05</v>
      </c>
    </row>
    <row r="10" spans="1:7" x14ac:dyDescent="0.25">
      <c r="A10" s="34">
        <v>41831</v>
      </c>
      <c r="B10">
        <v>31.26</v>
      </c>
      <c r="C10">
        <v>31.45</v>
      </c>
      <c r="D10">
        <v>31.04</v>
      </c>
      <c r="E10">
        <v>31.25</v>
      </c>
      <c r="F10">
        <v>20045000</v>
      </c>
      <c r="G10">
        <v>31.04</v>
      </c>
    </row>
    <row r="11" spans="1:7" x14ac:dyDescent="0.25">
      <c r="A11" s="34">
        <v>41834</v>
      </c>
      <c r="B11">
        <v>31.41</v>
      </c>
      <c r="C11">
        <v>31.58</v>
      </c>
      <c r="D11">
        <v>31.34</v>
      </c>
      <c r="E11">
        <v>31.49</v>
      </c>
      <c r="F11">
        <v>24244600</v>
      </c>
      <c r="G11">
        <v>31.28</v>
      </c>
    </row>
    <row r="12" spans="1:7" x14ac:dyDescent="0.25">
      <c r="A12" s="34">
        <v>41835</v>
      </c>
      <c r="B12">
        <v>31.58</v>
      </c>
      <c r="C12">
        <v>31.8</v>
      </c>
      <c r="D12">
        <v>31.16</v>
      </c>
      <c r="E12">
        <v>31.71</v>
      </c>
      <c r="F12">
        <v>61006100</v>
      </c>
      <c r="G12">
        <v>31.5</v>
      </c>
    </row>
    <row r="13" spans="1:7" x14ac:dyDescent="0.25">
      <c r="A13" s="34">
        <v>41836</v>
      </c>
      <c r="B13">
        <v>33.31</v>
      </c>
      <c r="C13">
        <v>34.74</v>
      </c>
      <c r="D13">
        <v>33.21</v>
      </c>
      <c r="E13">
        <v>34.65</v>
      </c>
      <c r="F13">
        <v>135893200</v>
      </c>
      <c r="G13">
        <v>34.42</v>
      </c>
    </row>
    <row r="14" spans="1:7" x14ac:dyDescent="0.25">
      <c r="A14" s="34">
        <v>41837</v>
      </c>
      <c r="B14">
        <v>34.200000000000003</v>
      </c>
      <c r="C14">
        <v>34.36</v>
      </c>
      <c r="D14">
        <v>33.630000000000003</v>
      </c>
      <c r="E14">
        <v>33.700000000000003</v>
      </c>
      <c r="F14">
        <v>70591100</v>
      </c>
      <c r="G14">
        <v>33.479999999999997</v>
      </c>
    </row>
    <row r="15" spans="1:7" x14ac:dyDescent="0.25">
      <c r="A15" s="34">
        <v>41838</v>
      </c>
      <c r="B15">
        <v>33.799999999999997</v>
      </c>
      <c r="C15">
        <v>33.840000000000003</v>
      </c>
      <c r="D15">
        <v>33.39</v>
      </c>
      <c r="E15">
        <v>33.700000000000003</v>
      </c>
      <c r="F15">
        <v>46528800</v>
      </c>
      <c r="G15">
        <v>33.479999999999997</v>
      </c>
    </row>
    <row r="16" spans="1:7" x14ac:dyDescent="0.25">
      <c r="A16" s="34">
        <v>41841</v>
      </c>
      <c r="B16">
        <v>33.549999999999997</v>
      </c>
      <c r="C16">
        <v>34.229999999999997</v>
      </c>
      <c r="D16">
        <v>33.54</v>
      </c>
      <c r="E16">
        <v>34.06</v>
      </c>
      <c r="F16">
        <v>32097200</v>
      </c>
      <c r="G16">
        <v>33.83</v>
      </c>
    </row>
    <row r="17" spans="1:7" x14ac:dyDescent="0.25">
      <c r="A17" s="34">
        <v>41842</v>
      </c>
      <c r="B17">
        <v>34.159999999999997</v>
      </c>
      <c r="C17">
        <v>34.83</v>
      </c>
      <c r="D17">
        <v>34.07</v>
      </c>
      <c r="E17">
        <v>34.79</v>
      </c>
      <c r="F17">
        <v>42915100</v>
      </c>
      <c r="G17">
        <v>34.56</v>
      </c>
    </row>
    <row r="18" spans="1:7" x14ac:dyDescent="0.25">
      <c r="A18" s="34">
        <v>41843</v>
      </c>
      <c r="B18">
        <v>34.68</v>
      </c>
      <c r="C18">
        <v>34.71</v>
      </c>
      <c r="D18">
        <v>34.299999999999997</v>
      </c>
      <c r="E18">
        <v>34.5</v>
      </c>
      <c r="F18">
        <v>26077000</v>
      </c>
      <c r="G18">
        <v>34.270000000000003</v>
      </c>
    </row>
    <row r="19" spans="1:7" x14ac:dyDescent="0.25">
      <c r="A19" s="34">
        <v>41844</v>
      </c>
      <c r="B19">
        <v>34.380000000000003</v>
      </c>
      <c r="C19">
        <v>34.67</v>
      </c>
      <c r="D19">
        <v>34.1</v>
      </c>
      <c r="E19">
        <v>34.25</v>
      </c>
      <c r="F19">
        <v>33180400</v>
      </c>
      <c r="G19">
        <v>34.020000000000003</v>
      </c>
    </row>
    <row r="20" spans="1:7" x14ac:dyDescent="0.25">
      <c r="A20" s="34">
        <v>41845</v>
      </c>
      <c r="B20">
        <v>34.15</v>
      </c>
      <c r="C20">
        <v>34.369999999999997</v>
      </c>
      <c r="D20">
        <v>33.93</v>
      </c>
      <c r="E20">
        <v>34.25</v>
      </c>
      <c r="F20">
        <v>31614000</v>
      </c>
      <c r="G20">
        <v>34.020000000000003</v>
      </c>
    </row>
    <row r="21" spans="1:7" x14ac:dyDescent="0.25">
      <c r="A21" s="34">
        <v>41848</v>
      </c>
      <c r="B21">
        <v>34.229999999999997</v>
      </c>
      <c r="C21">
        <v>34.32</v>
      </c>
      <c r="D21">
        <v>33.880000000000003</v>
      </c>
      <c r="E21">
        <v>34.229999999999997</v>
      </c>
      <c r="F21">
        <v>30972200</v>
      </c>
      <c r="G21">
        <v>34</v>
      </c>
    </row>
    <row r="22" spans="1:7" x14ac:dyDescent="0.25">
      <c r="A22" s="34">
        <v>41849</v>
      </c>
      <c r="B22">
        <v>34.270000000000003</v>
      </c>
      <c r="C22">
        <v>34.369999999999997</v>
      </c>
      <c r="D22">
        <v>34.090000000000003</v>
      </c>
      <c r="E22">
        <v>34.19</v>
      </c>
      <c r="F22">
        <v>26141700</v>
      </c>
      <c r="G22">
        <v>33.96</v>
      </c>
    </row>
    <row r="23" spans="1:7" x14ac:dyDescent="0.25">
      <c r="A23" s="34">
        <v>41850</v>
      </c>
      <c r="B23">
        <v>34.31</v>
      </c>
      <c r="C23">
        <v>34.57</v>
      </c>
      <c r="D23">
        <v>34.04</v>
      </c>
      <c r="E23">
        <v>34.35</v>
      </c>
      <c r="F23">
        <v>32782800</v>
      </c>
      <c r="G23">
        <v>34.119999999999997</v>
      </c>
    </row>
    <row r="24" spans="1:7" x14ac:dyDescent="0.25">
      <c r="A24" s="34">
        <v>41851</v>
      </c>
      <c r="B24">
        <v>34.090000000000003</v>
      </c>
      <c r="C24">
        <v>34.25</v>
      </c>
      <c r="D24">
        <v>33.81</v>
      </c>
      <c r="E24">
        <v>33.89</v>
      </c>
      <c r="F24">
        <v>35431200</v>
      </c>
      <c r="G24">
        <v>33.67</v>
      </c>
    </row>
    <row r="25" spans="1:7" x14ac:dyDescent="0.25">
      <c r="A25" s="34">
        <v>41852</v>
      </c>
      <c r="B25">
        <v>33.75</v>
      </c>
      <c r="C25">
        <v>34.03</v>
      </c>
      <c r="D25">
        <v>33.61</v>
      </c>
      <c r="E25">
        <v>33.74</v>
      </c>
      <c r="F25">
        <v>33472400</v>
      </c>
      <c r="G25">
        <v>33.520000000000003</v>
      </c>
    </row>
    <row r="26" spans="1:7" x14ac:dyDescent="0.25">
      <c r="A26" s="34">
        <v>41855</v>
      </c>
      <c r="B26">
        <v>33.79</v>
      </c>
      <c r="C26">
        <v>34.090000000000003</v>
      </c>
      <c r="D26">
        <v>33.549999999999997</v>
      </c>
      <c r="E26">
        <v>34.049999999999997</v>
      </c>
      <c r="F26">
        <v>27250100</v>
      </c>
      <c r="G26">
        <v>33.82</v>
      </c>
    </row>
    <row r="27" spans="1:7" x14ac:dyDescent="0.25">
      <c r="A27" s="34">
        <v>41856</v>
      </c>
      <c r="B27">
        <v>33.76</v>
      </c>
      <c r="C27">
        <v>33.78</v>
      </c>
      <c r="D27">
        <v>32.6</v>
      </c>
      <c r="E27">
        <v>32.82</v>
      </c>
      <c r="F27">
        <v>49845100</v>
      </c>
      <c r="G27">
        <v>32.82</v>
      </c>
    </row>
    <row r="28" spans="1:7" x14ac:dyDescent="0.25">
      <c r="A28" s="34">
        <v>41857</v>
      </c>
      <c r="B28">
        <v>32.6</v>
      </c>
      <c r="C28">
        <v>33.19</v>
      </c>
      <c r="D28">
        <v>32.39</v>
      </c>
      <c r="E28">
        <v>32.85</v>
      </c>
      <c r="F28">
        <v>27923900</v>
      </c>
      <c r="G28">
        <v>32.85</v>
      </c>
    </row>
    <row r="29" spans="1:7" x14ac:dyDescent="0.25">
      <c r="A29" s="34">
        <v>41858</v>
      </c>
      <c r="B29">
        <v>32.93</v>
      </c>
      <c r="C29">
        <v>33.15</v>
      </c>
      <c r="D29">
        <v>32.54</v>
      </c>
      <c r="E29">
        <v>32.68</v>
      </c>
      <c r="F29">
        <v>27820100</v>
      </c>
      <c r="G29">
        <v>32.68</v>
      </c>
    </row>
    <row r="30" spans="1:7" x14ac:dyDescent="0.25">
      <c r="A30" s="34">
        <v>41859</v>
      </c>
      <c r="B30">
        <v>32.78</v>
      </c>
      <c r="C30">
        <v>33</v>
      </c>
      <c r="D30">
        <v>32.54</v>
      </c>
      <c r="E30">
        <v>32.6</v>
      </c>
      <c r="F30">
        <v>35484000</v>
      </c>
      <c r="G30">
        <v>32.6</v>
      </c>
    </row>
    <row r="31" spans="1:7" x14ac:dyDescent="0.25">
      <c r="A31" s="34">
        <v>41862</v>
      </c>
      <c r="B31">
        <v>32.82</v>
      </c>
      <c r="C31">
        <v>33.24</v>
      </c>
      <c r="D31">
        <v>32.81</v>
      </c>
      <c r="E31">
        <v>33.020000000000003</v>
      </c>
      <c r="F31">
        <v>27718600</v>
      </c>
      <c r="G31">
        <v>33.020000000000003</v>
      </c>
    </row>
    <row r="32" spans="1:7" x14ac:dyDescent="0.25">
      <c r="A32" s="34">
        <v>41863</v>
      </c>
      <c r="B32">
        <v>32.909999999999997</v>
      </c>
      <c r="C32">
        <v>33.15</v>
      </c>
      <c r="D32">
        <v>32.68</v>
      </c>
      <c r="E32">
        <v>33.130000000000003</v>
      </c>
      <c r="F32">
        <v>24805600</v>
      </c>
      <c r="G32">
        <v>33.130000000000003</v>
      </c>
    </row>
    <row r="33" spans="1:7" x14ac:dyDescent="0.25">
      <c r="A33" s="34">
        <v>41864</v>
      </c>
      <c r="B33">
        <v>33.24</v>
      </c>
      <c r="C33">
        <v>34.15</v>
      </c>
      <c r="D33">
        <v>33.229999999999997</v>
      </c>
      <c r="E33">
        <v>34.1</v>
      </c>
      <c r="F33">
        <v>36257500</v>
      </c>
      <c r="G33">
        <v>34.1</v>
      </c>
    </row>
    <row r="34" spans="1:7" x14ac:dyDescent="0.25">
      <c r="A34" s="34">
        <v>41865</v>
      </c>
      <c r="B34">
        <v>34.049999999999997</v>
      </c>
      <c r="C34">
        <v>34.229999999999997</v>
      </c>
      <c r="D34">
        <v>33.74</v>
      </c>
      <c r="E34">
        <v>33.94</v>
      </c>
      <c r="F34">
        <v>25452700</v>
      </c>
      <c r="G34">
        <v>33.94</v>
      </c>
    </row>
    <row r="35" spans="1:7" x14ac:dyDescent="0.25">
      <c r="A35" s="34">
        <v>41866</v>
      </c>
      <c r="B35">
        <v>34.1</v>
      </c>
      <c r="C35">
        <v>34.21</v>
      </c>
      <c r="D35">
        <v>33.71</v>
      </c>
      <c r="E35">
        <v>34.17</v>
      </c>
      <c r="F35">
        <v>28577600</v>
      </c>
      <c r="G35">
        <v>34.17</v>
      </c>
    </row>
    <row r="36" spans="1:7" x14ac:dyDescent="0.25">
      <c r="A36" s="34">
        <v>41869</v>
      </c>
      <c r="B36">
        <v>34.26</v>
      </c>
      <c r="C36">
        <v>34.47</v>
      </c>
      <c r="D36">
        <v>33.979999999999997</v>
      </c>
      <c r="E36">
        <v>34.409999999999997</v>
      </c>
      <c r="F36">
        <v>27232200</v>
      </c>
      <c r="G36">
        <v>34.409999999999997</v>
      </c>
    </row>
    <row r="37" spans="1:7" x14ac:dyDescent="0.25">
      <c r="A37" s="34">
        <v>41870</v>
      </c>
      <c r="B37">
        <v>34.5</v>
      </c>
      <c r="C37">
        <v>34.5</v>
      </c>
      <c r="D37">
        <v>34.25</v>
      </c>
      <c r="E37">
        <v>34.340000000000003</v>
      </c>
      <c r="F37">
        <v>29281900</v>
      </c>
      <c r="G37">
        <v>34.340000000000003</v>
      </c>
    </row>
    <row r="38" spans="1:7" x14ac:dyDescent="0.25">
      <c r="A38" s="34">
        <v>41871</v>
      </c>
      <c r="B38">
        <v>34.229999999999997</v>
      </c>
      <c r="C38">
        <v>34.51</v>
      </c>
      <c r="D38">
        <v>34.18</v>
      </c>
      <c r="E38">
        <v>34.5</v>
      </c>
      <c r="F38">
        <v>27140300</v>
      </c>
      <c r="G38">
        <v>34.5</v>
      </c>
    </row>
    <row r="39" spans="1:7" x14ac:dyDescent="0.25">
      <c r="A39" s="34">
        <v>41872</v>
      </c>
      <c r="B39">
        <v>34.46</v>
      </c>
      <c r="C39">
        <v>35.19</v>
      </c>
      <c r="D39">
        <v>34.450000000000003</v>
      </c>
      <c r="E39">
        <v>35.15</v>
      </c>
      <c r="F39">
        <v>37142800</v>
      </c>
      <c r="G39">
        <v>35.15</v>
      </c>
    </row>
    <row r="40" spans="1:7" x14ac:dyDescent="0.25">
      <c r="A40" s="34">
        <v>41873</v>
      </c>
      <c r="B40">
        <v>35.200000000000003</v>
      </c>
      <c r="C40">
        <v>35.200000000000003</v>
      </c>
      <c r="D40">
        <v>34.909999999999997</v>
      </c>
      <c r="E40">
        <v>34.94</v>
      </c>
      <c r="F40">
        <v>21196700</v>
      </c>
      <c r="G40">
        <v>34.94</v>
      </c>
    </row>
    <row r="41" spans="1:7" x14ac:dyDescent="0.25">
      <c r="A41" s="34">
        <v>41876</v>
      </c>
      <c r="B41">
        <v>35.090000000000003</v>
      </c>
      <c r="C41">
        <v>35.15</v>
      </c>
      <c r="D41">
        <v>34.65</v>
      </c>
      <c r="E41">
        <v>34.81</v>
      </c>
      <c r="F41">
        <v>18588900</v>
      </c>
      <c r="G41">
        <v>34.81</v>
      </c>
    </row>
    <row r="42" spans="1:7" x14ac:dyDescent="0.25">
      <c r="A42" s="34">
        <v>41877</v>
      </c>
      <c r="B42">
        <v>34.79</v>
      </c>
      <c r="C42">
        <v>35.049999999999997</v>
      </c>
      <c r="D42">
        <v>34.69</v>
      </c>
      <c r="E42">
        <v>34.799999999999997</v>
      </c>
      <c r="F42">
        <v>19633400</v>
      </c>
      <c r="G42">
        <v>34.799999999999997</v>
      </c>
    </row>
    <row r="43" spans="1:7" x14ac:dyDescent="0.25">
      <c r="A43" s="34">
        <v>41878</v>
      </c>
      <c r="B43">
        <v>34.89</v>
      </c>
      <c r="C43">
        <v>34.94</v>
      </c>
      <c r="D43">
        <v>34.630000000000003</v>
      </c>
      <c r="E43">
        <v>34.79</v>
      </c>
      <c r="F43">
        <v>16785200</v>
      </c>
      <c r="G43">
        <v>34.79</v>
      </c>
    </row>
    <row r="44" spans="1:7" x14ac:dyDescent="0.25">
      <c r="A44" s="34">
        <v>41879</v>
      </c>
      <c r="B44">
        <v>34.61</v>
      </c>
      <c r="C44">
        <v>34.81</v>
      </c>
      <c r="D44">
        <v>34.61</v>
      </c>
      <c r="E44">
        <v>34.65</v>
      </c>
      <c r="F44">
        <v>18908900</v>
      </c>
      <c r="G44">
        <v>34.65</v>
      </c>
    </row>
    <row r="45" spans="1:7" x14ac:dyDescent="0.25">
      <c r="A45" s="34">
        <v>41880</v>
      </c>
      <c r="B45">
        <v>34.81</v>
      </c>
      <c r="C45">
        <v>34.94</v>
      </c>
      <c r="D45">
        <v>34.67</v>
      </c>
      <c r="E45">
        <v>34.92</v>
      </c>
      <c r="F45">
        <v>32302800</v>
      </c>
      <c r="G45">
        <v>34.92</v>
      </c>
    </row>
    <row r="46" spans="1:7" x14ac:dyDescent="0.25">
      <c r="A46" s="34">
        <v>41884</v>
      </c>
      <c r="B46">
        <v>34.76</v>
      </c>
      <c r="C46">
        <v>34.909999999999997</v>
      </c>
      <c r="D46">
        <v>34.43</v>
      </c>
      <c r="E46">
        <v>34.57</v>
      </c>
      <c r="F46">
        <v>32094800</v>
      </c>
      <c r="G46">
        <v>34.57</v>
      </c>
    </row>
    <row r="47" spans="1:7" x14ac:dyDescent="0.25">
      <c r="A47" s="34">
        <v>41885</v>
      </c>
      <c r="B47">
        <v>34.82</v>
      </c>
      <c r="C47">
        <v>34.880000000000003</v>
      </c>
      <c r="D47">
        <v>34.450000000000003</v>
      </c>
      <c r="E47">
        <v>34.57</v>
      </c>
      <c r="F47">
        <v>26668800</v>
      </c>
      <c r="G47">
        <v>34.57</v>
      </c>
    </row>
    <row r="48" spans="1:7" x14ac:dyDescent="0.25">
      <c r="A48" s="34">
        <v>41886</v>
      </c>
      <c r="B48">
        <v>34.53</v>
      </c>
      <c r="C48">
        <v>35.090000000000003</v>
      </c>
      <c r="D48">
        <v>34.520000000000003</v>
      </c>
      <c r="E48">
        <v>34.909999999999997</v>
      </c>
      <c r="F48">
        <v>27632400</v>
      </c>
      <c r="G48">
        <v>34.909999999999997</v>
      </c>
    </row>
    <row r="49" spans="1:7" x14ac:dyDescent="0.25">
      <c r="A49" s="34">
        <v>41887</v>
      </c>
      <c r="B49">
        <v>34.92</v>
      </c>
      <c r="C49">
        <v>35.119999999999997</v>
      </c>
      <c r="D49">
        <v>34.83</v>
      </c>
      <c r="E49">
        <v>35</v>
      </c>
      <c r="F49">
        <v>20841900</v>
      </c>
      <c r="G49">
        <v>35</v>
      </c>
    </row>
    <row r="50" spans="1:7" x14ac:dyDescent="0.25">
      <c r="A50" s="34">
        <v>41890</v>
      </c>
      <c r="B50">
        <v>34.96</v>
      </c>
      <c r="C50">
        <v>35.56</v>
      </c>
      <c r="D50">
        <v>34.880000000000003</v>
      </c>
      <c r="E50">
        <v>35.33</v>
      </c>
      <c r="F50">
        <v>24859600</v>
      </c>
      <c r="G50">
        <v>35.33</v>
      </c>
    </row>
    <row r="51" spans="1:7" x14ac:dyDescent="0.25">
      <c r="A51" s="34">
        <v>41891</v>
      </c>
      <c r="B51">
        <v>35.29</v>
      </c>
      <c r="C51">
        <v>35.29</v>
      </c>
      <c r="D51">
        <v>34.85</v>
      </c>
      <c r="E51">
        <v>34.909999999999997</v>
      </c>
      <c r="F51">
        <v>22333100</v>
      </c>
      <c r="G51">
        <v>34.909999999999997</v>
      </c>
    </row>
    <row r="52" spans="1:7" x14ac:dyDescent="0.25">
      <c r="A52" s="34">
        <v>41892</v>
      </c>
      <c r="B52">
        <v>34.85</v>
      </c>
      <c r="C52">
        <v>35.130000000000003</v>
      </c>
      <c r="D52">
        <v>34.67</v>
      </c>
      <c r="E52">
        <v>35.020000000000003</v>
      </c>
      <c r="F52">
        <v>19964200</v>
      </c>
      <c r="G52">
        <v>35.020000000000003</v>
      </c>
    </row>
    <row r="53" spans="1:7" x14ac:dyDescent="0.25">
      <c r="A53" s="34">
        <v>41893</v>
      </c>
      <c r="B53">
        <v>34.79</v>
      </c>
      <c r="C53">
        <v>35.020000000000003</v>
      </c>
      <c r="D53">
        <v>34.53</v>
      </c>
      <c r="E53">
        <v>35.020000000000003</v>
      </c>
      <c r="F53">
        <v>21949000</v>
      </c>
      <c r="G53">
        <v>35.020000000000003</v>
      </c>
    </row>
    <row r="54" spans="1:7" x14ac:dyDescent="0.25">
      <c r="A54" s="34">
        <v>41894</v>
      </c>
      <c r="B54">
        <v>34.9</v>
      </c>
      <c r="C54">
        <v>34.909999999999997</v>
      </c>
      <c r="D54">
        <v>34.5</v>
      </c>
      <c r="E54">
        <v>34.619999999999997</v>
      </c>
      <c r="F54">
        <v>26732600</v>
      </c>
      <c r="G54">
        <v>34.619999999999997</v>
      </c>
    </row>
    <row r="55" spans="1:7" x14ac:dyDescent="0.25">
      <c r="A55" s="34">
        <v>41897</v>
      </c>
      <c r="B55">
        <v>34.71</v>
      </c>
      <c r="C55">
        <v>34.770000000000003</v>
      </c>
      <c r="D55">
        <v>34.229999999999997</v>
      </c>
      <c r="E55">
        <v>34.54</v>
      </c>
      <c r="F55">
        <v>22438000</v>
      </c>
      <c r="G55">
        <v>34.54</v>
      </c>
    </row>
  </sheetData>
  <sortState ref="A3:G55">
    <sortCondition ref="A3:A55"/>
  </sortState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105.15</v>
      </c>
      <c r="C3">
        <v>106</v>
      </c>
      <c r="D3">
        <v>104.99</v>
      </c>
      <c r="E3">
        <v>105.87</v>
      </c>
      <c r="F3">
        <v>5129200</v>
      </c>
      <c r="G3">
        <v>105.16</v>
      </c>
    </row>
    <row r="4" spans="1:7" x14ac:dyDescent="0.25">
      <c r="A4" s="34">
        <v>41822</v>
      </c>
      <c r="B4">
        <v>105.7</v>
      </c>
      <c r="C4">
        <v>105.97</v>
      </c>
      <c r="D4">
        <v>105.3</v>
      </c>
      <c r="E4">
        <v>105.86</v>
      </c>
      <c r="F4">
        <v>3764900</v>
      </c>
      <c r="G4">
        <v>105.15</v>
      </c>
    </row>
    <row r="5" spans="1:7" x14ac:dyDescent="0.25">
      <c r="A5" s="34">
        <v>41823</v>
      </c>
      <c r="B5">
        <v>105.87</v>
      </c>
      <c r="C5">
        <v>106.25</v>
      </c>
      <c r="D5">
        <v>105.11</v>
      </c>
      <c r="E5">
        <v>105.42</v>
      </c>
      <c r="F5">
        <v>4199100</v>
      </c>
      <c r="G5">
        <v>104.71</v>
      </c>
    </row>
    <row r="6" spans="1:7" x14ac:dyDescent="0.25">
      <c r="A6" s="34">
        <v>41827</v>
      </c>
      <c r="B6">
        <v>105.42</v>
      </c>
      <c r="C6">
        <v>106.74</v>
      </c>
      <c r="D6">
        <v>105.27</v>
      </c>
      <c r="E6">
        <v>106.47</v>
      </c>
      <c r="F6">
        <v>7014900</v>
      </c>
      <c r="G6">
        <v>105.75</v>
      </c>
    </row>
    <row r="7" spans="1:7" x14ac:dyDescent="0.25">
      <c r="A7" s="34">
        <v>41828</v>
      </c>
      <c r="B7">
        <v>106.21</v>
      </c>
      <c r="C7">
        <v>106.25</v>
      </c>
      <c r="D7">
        <v>105.52</v>
      </c>
      <c r="E7">
        <v>105.72</v>
      </c>
      <c r="F7">
        <v>6268400</v>
      </c>
      <c r="G7">
        <v>105.01</v>
      </c>
    </row>
    <row r="8" spans="1:7" x14ac:dyDescent="0.25">
      <c r="A8" s="34">
        <v>41829</v>
      </c>
      <c r="B8">
        <v>106</v>
      </c>
      <c r="C8">
        <v>106.21</v>
      </c>
      <c r="D8">
        <v>105.72</v>
      </c>
      <c r="E8">
        <v>106.04</v>
      </c>
      <c r="F8">
        <v>5720900</v>
      </c>
      <c r="G8">
        <v>105.33</v>
      </c>
    </row>
    <row r="9" spans="1:7" x14ac:dyDescent="0.25">
      <c r="A9" s="34">
        <v>41830</v>
      </c>
      <c r="B9">
        <v>105.08</v>
      </c>
      <c r="C9">
        <v>106</v>
      </c>
      <c r="D9">
        <v>104.52</v>
      </c>
      <c r="E9">
        <v>105.8</v>
      </c>
      <c r="F9">
        <v>4955100</v>
      </c>
      <c r="G9">
        <v>105.09</v>
      </c>
    </row>
    <row r="10" spans="1:7" x14ac:dyDescent="0.25">
      <c r="A10" s="34">
        <v>41831</v>
      </c>
      <c r="B10">
        <v>105.84</v>
      </c>
      <c r="C10">
        <v>106.01</v>
      </c>
      <c r="D10">
        <v>104.86</v>
      </c>
      <c r="E10">
        <v>105.1</v>
      </c>
      <c r="F10">
        <v>5461000</v>
      </c>
      <c r="G10">
        <v>104.39</v>
      </c>
    </row>
    <row r="11" spans="1:7" x14ac:dyDescent="0.25">
      <c r="A11" s="34">
        <v>41834</v>
      </c>
      <c r="B11">
        <v>105.38</v>
      </c>
      <c r="C11">
        <v>105.49</v>
      </c>
      <c r="D11">
        <v>105.11</v>
      </c>
      <c r="E11">
        <v>105.38</v>
      </c>
      <c r="F11">
        <v>7784800</v>
      </c>
      <c r="G11">
        <v>104.67</v>
      </c>
    </row>
    <row r="12" spans="1:7" x14ac:dyDescent="0.25">
      <c r="A12" s="34">
        <v>41835</v>
      </c>
      <c r="B12">
        <v>105.23</v>
      </c>
      <c r="C12">
        <v>105.47</v>
      </c>
      <c r="D12">
        <v>102.77</v>
      </c>
      <c r="E12">
        <v>103.28</v>
      </c>
      <c r="F12">
        <v>14219700</v>
      </c>
      <c r="G12">
        <v>102.59</v>
      </c>
    </row>
    <row r="13" spans="1:7" x14ac:dyDescent="0.25">
      <c r="A13" s="34">
        <v>41836</v>
      </c>
      <c r="B13">
        <v>103.53</v>
      </c>
      <c r="C13">
        <v>103.67</v>
      </c>
      <c r="D13">
        <v>101.95</v>
      </c>
      <c r="E13">
        <v>102.22</v>
      </c>
      <c r="F13">
        <v>11946800</v>
      </c>
      <c r="G13">
        <v>101.53</v>
      </c>
    </row>
    <row r="14" spans="1:7" x14ac:dyDescent="0.25">
      <c r="A14" s="34">
        <v>41837</v>
      </c>
      <c r="B14">
        <v>101.9</v>
      </c>
      <c r="C14">
        <v>102.1</v>
      </c>
      <c r="D14">
        <v>100.26</v>
      </c>
      <c r="E14">
        <v>100.37</v>
      </c>
      <c r="F14">
        <v>11218900</v>
      </c>
      <c r="G14">
        <v>99.7</v>
      </c>
    </row>
    <row r="15" spans="1:7" x14ac:dyDescent="0.25">
      <c r="A15" s="34">
        <v>41838</v>
      </c>
      <c r="B15">
        <v>100.67</v>
      </c>
      <c r="C15">
        <v>101.96</v>
      </c>
      <c r="D15">
        <v>100.37</v>
      </c>
      <c r="E15">
        <v>101.8</v>
      </c>
      <c r="F15">
        <v>8408400</v>
      </c>
      <c r="G15">
        <v>101.12</v>
      </c>
    </row>
    <row r="16" spans="1:7" x14ac:dyDescent="0.25">
      <c r="A16" s="34">
        <v>41841</v>
      </c>
      <c r="B16">
        <v>101.44</v>
      </c>
      <c r="C16">
        <v>101.58</v>
      </c>
      <c r="D16">
        <v>101.02</v>
      </c>
      <c r="E16">
        <v>101.27</v>
      </c>
      <c r="F16">
        <v>6379900</v>
      </c>
      <c r="G16">
        <v>100.59</v>
      </c>
    </row>
    <row r="17" spans="1:7" x14ac:dyDescent="0.25">
      <c r="A17" s="34">
        <v>41842</v>
      </c>
      <c r="B17">
        <v>101.91</v>
      </c>
      <c r="C17">
        <v>102.54</v>
      </c>
      <c r="D17">
        <v>101.78</v>
      </c>
      <c r="E17">
        <v>102.47</v>
      </c>
      <c r="F17">
        <v>6554100</v>
      </c>
      <c r="G17">
        <v>101.78</v>
      </c>
    </row>
    <row r="18" spans="1:7" x14ac:dyDescent="0.25">
      <c r="A18" s="34">
        <v>41843</v>
      </c>
      <c r="B18">
        <v>102.8</v>
      </c>
      <c r="C18">
        <v>102.93</v>
      </c>
      <c r="D18">
        <v>101.88</v>
      </c>
      <c r="E18">
        <v>102.19</v>
      </c>
      <c r="F18">
        <v>4815300</v>
      </c>
      <c r="G18">
        <v>101.5</v>
      </c>
    </row>
    <row r="19" spans="1:7" x14ac:dyDescent="0.25">
      <c r="A19" s="34">
        <v>41844</v>
      </c>
      <c r="B19">
        <v>102.34</v>
      </c>
      <c r="C19">
        <v>102.73</v>
      </c>
      <c r="D19">
        <v>102.02</v>
      </c>
      <c r="E19">
        <v>102.2</v>
      </c>
      <c r="F19">
        <v>5177200</v>
      </c>
      <c r="G19">
        <v>101.51</v>
      </c>
    </row>
    <row r="20" spans="1:7" x14ac:dyDescent="0.25">
      <c r="A20" s="34">
        <v>41845</v>
      </c>
      <c r="B20">
        <v>102.27</v>
      </c>
      <c r="C20">
        <v>102.4</v>
      </c>
      <c r="D20">
        <v>101.8</v>
      </c>
      <c r="E20">
        <v>102.11</v>
      </c>
      <c r="F20">
        <v>3951500</v>
      </c>
      <c r="G20">
        <v>101.42</v>
      </c>
    </row>
    <row r="21" spans="1:7" x14ac:dyDescent="0.25">
      <c r="A21" s="34">
        <v>41848</v>
      </c>
      <c r="B21">
        <v>101.89</v>
      </c>
      <c r="C21">
        <v>102.4</v>
      </c>
      <c r="D21">
        <v>101.66</v>
      </c>
      <c r="E21">
        <v>102.11</v>
      </c>
      <c r="F21">
        <v>4634800</v>
      </c>
      <c r="G21">
        <v>101.42</v>
      </c>
    </row>
    <row r="22" spans="1:7" x14ac:dyDescent="0.25">
      <c r="A22" s="34">
        <v>41849</v>
      </c>
      <c r="B22">
        <v>102.45</v>
      </c>
      <c r="C22">
        <v>102.51</v>
      </c>
      <c r="D22">
        <v>101.69</v>
      </c>
      <c r="E22">
        <v>101.96</v>
      </c>
      <c r="F22">
        <v>6053900</v>
      </c>
      <c r="G22">
        <v>101.27</v>
      </c>
    </row>
    <row r="23" spans="1:7" x14ac:dyDescent="0.25">
      <c r="A23" s="34">
        <v>41850</v>
      </c>
      <c r="B23">
        <v>102.27</v>
      </c>
      <c r="C23">
        <v>102.85</v>
      </c>
      <c r="D23">
        <v>101.81</v>
      </c>
      <c r="E23">
        <v>102.3</v>
      </c>
      <c r="F23">
        <v>5994800</v>
      </c>
      <c r="G23">
        <v>101.61</v>
      </c>
    </row>
    <row r="24" spans="1:7" x14ac:dyDescent="0.25">
      <c r="A24" s="34">
        <v>41851</v>
      </c>
      <c r="B24">
        <v>101.77</v>
      </c>
      <c r="C24">
        <v>101.84</v>
      </c>
      <c r="D24">
        <v>100.05</v>
      </c>
      <c r="E24">
        <v>100.09</v>
      </c>
      <c r="F24">
        <v>9141500</v>
      </c>
      <c r="G24">
        <v>99.42</v>
      </c>
    </row>
    <row r="25" spans="1:7" x14ac:dyDescent="0.25">
      <c r="A25" s="34">
        <v>41852</v>
      </c>
      <c r="B25">
        <v>99.76</v>
      </c>
      <c r="C25">
        <v>100.41</v>
      </c>
      <c r="D25">
        <v>98.8</v>
      </c>
      <c r="E25">
        <v>99.9</v>
      </c>
      <c r="F25">
        <v>8610700</v>
      </c>
      <c r="G25">
        <v>99.23</v>
      </c>
    </row>
    <row r="26" spans="1:7" x14ac:dyDescent="0.25">
      <c r="A26" s="34">
        <v>41855</v>
      </c>
      <c r="B26">
        <v>99.99</v>
      </c>
      <c r="C26">
        <v>100.38</v>
      </c>
      <c r="D26">
        <v>99.32</v>
      </c>
      <c r="E26">
        <v>100.16</v>
      </c>
      <c r="F26">
        <v>6790800</v>
      </c>
      <c r="G26">
        <v>99.49</v>
      </c>
    </row>
    <row r="27" spans="1:7" x14ac:dyDescent="0.25">
      <c r="A27" s="34">
        <v>41856</v>
      </c>
      <c r="B27">
        <v>99.83</v>
      </c>
      <c r="C27">
        <v>100.24</v>
      </c>
      <c r="D27">
        <v>99.55</v>
      </c>
      <c r="E27">
        <v>99.82</v>
      </c>
      <c r="F27">
        <v>6230900</v>
      </c>
      <c r="G27">
        <v>99.15</v>
      </c>
    </row>
    <row r="28" spans="1:7" x14ac:dyDescent="0.25">
      <c r="A28" s="34">
        <v>41857</v>
      </c>
      <c r="B28">
        <v>99.67</v>
      </c>
      <c r="C28">
        <v>100.83</v>
      </c>
      <c r="D28">
        <v>99.6</v>
      </c>
      <c r="E28">
        <v>100.71</v>
      </c>
      <c r="F28">
        <v>7412100</v>
      </c>
      <c r="G28">
        <v>100.03</v>
      </c>
    </row>
    <row r="29" spans="1:7" x14ac:dyDescent="0.25">
      <c r="A29" s="34">
        <v>41858</v>
      </c>
      <c r="B29">
        <v>101.09</v>
      </c>
      <c r="C29">
        <v>101.19</v>
      </c>
      <c r="D29">
        <v>99.58</v>
      </c>
      <c r="E29">
        <v>99.93</v>
      </c>
      <c r="F29">
        <v>7417800</v>
      </c>
      <c r="G29">
        <v>99.26</v>
      </c>
    </row>
    <row r="30" spans="1:7" x14ac:dyDescent="0.25">
      <c r="A30" s="34">
        <v>41859</v>
      </c>
      <c r="B30">
        <v>100.21</v>
      </c>
      <c r="C30">
        <v>101.15</v>
      </c>
      <c r="D30">
        <v>99.77</v>
      </c>
      <c r="E30">
        <v>101.08</v>
      </c>
      <c r="F30">
        <v>5618400</v>
      </c>
      <c r="G30">
        <v>100.4</v>
      </c>
    </row>
    <row r="31" spans="1:7" x14ac:dyDescent="0.25">
      <c r="A31" s="34">
        <v>41862</v>
      </c>
      <c r="B31">
        <v>101.62</v>
      </c>
      <c r="C31">
        <v>101.78</v>
      </c>
      <c r="D31">
        <v>101.01</v>
      </c>
      <c r="E31">
        <v>101.16</v>
      </c>
      <c r="F31">
        <v>5703000</v>
      </c>
      <c r="G31">
        <v>100.48</v>
      </c>
    </row>
    <row r="32" spans="1:7" x14ac:dyDescent="0.25">
      <c r="A32" s="34">
        <v>41863</v>
      </c>
      <c r="B32">
        <v>101</v>
      </c>
      <c r="C32">
        <v>101.22</v>
      </c>
      <c r="D32">
        <v>100.31</v>
      </c>
      <c r="E32">
        <v>100.63</v>
      </c>
      <c r="F32">
        <v>4577700</v>
      </c>
      <c r="G32">
        <v>99.95</v>
      </c>
    </row>
    <row r="33" spans="1:7" x14ac:dyDescent="0.25">
      <c r="A33" s="34">
        <v>41864</v>
      </c>
      <c r="B33">
        <v>101.15</v>
      </c>
      <c r="C33">
        <v>101.95</v>
      </c>
      <c r="D33">
        <v>101.15</v>
      </c>
      <c r="E33">
        <v>101.74</v>
      </c>
      <c r="F33">
        <v>4563700</v>
      </c>
      <c r="G33">
        <v>101.06</v>
      </c>
    </row>
    <row r="34" spans="1:7" x14ac:dyDescent="0.25">
      <c r="A34" s="34">
        <v>41865</v>
      </c>
      <c r="B34">
        <v>101.89</v>
      </c>
      <c r="C34">
        <v>102.05</v>
      </c>
      <c r="D34">
        <v>101.5</v>
      </c>
      <c r="E34">
        <v>102.02</v>
      </c>
      <c r="F34">
        <v>5239400</v>
      </c>
      <c r="G34">
        <v>101.33</v>
      </c>
    </row>
    <row r="35" spans="1:7" x14ac:dyDescent="0.25">
      <c r="A35" s="34">
        <v>41866</v>
      </c>
      <c r="B35">
        <v>102.21</v>
      </c>
      <c r="C35">
        <v>102.44</v>
      </c>
      <c r="D35">
        <v>100.8</v>
      </c>
      <c r="E35">
        <v>101.17</v>
      </c>
      <c r="F35">
        <v>6986000</v>
      </c>
      <c r="G35">
        <v>100.49</v>
      </c>
    </row>
    <row r="36" spans="1:7" x14ac:dyDescent="0.25">
      <c r="A36" s="34">
        <v>41869</v>
      </c>
      <c r="B36">
        <v>101.92</v>
      </c>
      <c r="C36">
        <v>102.72</v>
      </c>
      <c r="D36">
        <v>101.75</v>
      </c>
      <c r="E36">
        <v>102.7</v>
      </c>
      <c r="F36">
        <v>5979500</v>
      </c>
      <c r="G36">
        <v>102.01</v>
      </c>
    </row>
    <row r="37" spans="1:7" x14ac:dyDescent="0.25">
      <c r="A37" s="34">
        <v>41870</v>
      </c>
      <c r="B37">
        <v>102.73</v>
      </c>
      <c r="C37">
        <v>102.96</v>
      </c>
      <c r="D37">
        <v>102.02</v>
      </c>
      <c r="E37">
        <v>102.96</v>
      </c>
      <c r="F37">
        <v>5670000</v>
      </c>
      <c r="G37">
        <v>102.27</v>
      </c>
    </row>
    <row r="38" spans="1:7" x14ac:dyDescent="0.25">
      <c r="A38" s="34">
        <v>41871</v>
      </c>
      <c r="B38">
        <v>102.87</v>
      </c>
      <c r="C38">
        <v>103.3</v>
      </c>
      <c r="D38">
        <v>102.7</v>
      </c>
      <c r="E38">
        <v>103.21</v>
      </c>
      <c r="F38">
        <v>5183000</v>
      </c>
      <c r="G38">
        <v>102.52</v>
      </c>
    </row>
    <row r="39" spans="1:7" x14ac:dyDescent="0.25">
      <c r="A39" s="34">
        <v>41872</v>
      </c>
      <c r="B39">
        <v>103.33</v>
      </c>
      <c r="C39">
        <v>104.42</v>
      </c>
      <c r="D39">
        <v>103.33</v>
      </c>
      <c r="E39">
        <v>104.19</v>
      </c>
      <c r="F39">
        <v>8357600</v>
      </c>
      <c r="G39">
        <v>103.49</v>
      </c>
    </row>
    <row r="40" spans="1:7" x14ac:dyDescent="0.25">
      <c r="A40" s="34">
        <v>41873</v>
      </c>
      <c r="B40">
        <v>103.63</v>
      </c>
      <c r="C40">
        <v>104.03</v>
      </c>
      <c r="D40">
        <v>102.97</v>
      </c>
      <c r="E40">
        <v>103.1</v>
      </c>
      <c r="F40">
        <v>5076300</v>
      </c>
      <c r="G40">
        <v>103.1</v>
      </c>
    </row>
    <row r="41" spans="1:7" x14ac:dyDescent="0.25">
      <c r="A41" s="34">
        <v>41876</v>
      </c>
      <c r="B41">
        <v>103.65</v>
      </c>
      <c r="C41">
        <v>103.81</v>
      </c>
      <c r="D41">
        <v>103.09</v>
      </c>
      <c r="E41">
        <v>103.23</v>
      </c>
      <c r="F41">
        <v>3678200</v>
      </c>
      <c r="G41">
        <v>103.23</v>
      </c>
    </row>
    <row r="42" spans="1:7" x14ac:dyDescent="0.25">
      <c r="A42" s="34">
        <v>41877</v>
      </c>
      <c r="B42">
        <v>103.47</v>
      </c>
      <c r="C42">
        <v>103.72</v>
      </c>
      <c r="D42">
        <v>103.17</v>
      </c>
      <c r="E42">
        <v>103.44</v>
      </c>
      <c r="F42">
        <v>3512400</v>
      </c>
      <c r="G42">
        <v>103.44</v>
      </c>
    </row>
    <row r="43" spans="1:7" x14ac:dyDescent="0.25">
      <c r="A43" s="34">
        <v>41878</v>
      </c>
      <c r="B43">
        <v>103.6</v>
      </c>
      <c r="C43">
        <v>103.72</v>
      </c>
      <c r="D43">
        <v>102.91</v>
      </c>
      <c r="E43">
        <v>103.22</v>
      </c>
      <c r="F43">
        <v>4786100</v>
      </c>
      <c r="G43">
        <v>103.22</v>
      </c>
    </row>
    <row r="44" spans="1:7" x14ac:dyDescent="0.25">
      <c r="A44" s="34">
        <v>41879</v>
      </c>
      <c r="B44">
        <v>102.9</v>
      </c>
      <c r="C44">
        <v>103.19</v>
      </c>
      <c r="D44">
        <v>102.71</v>
      </c>
      <c r="E44">
        <v>102.95</v>
      </c>
      <c r="F44">
        <v>3482200</v>
      </c>
      <c r="G44">
        <v>102.95</v>
      </c>
    </row>
    <row r="45" spans="1:7" x14ac:dyDescent="0.25">
      <c r="A45" s="34">
        <v>41880</v>
      </c>
      <c r="B45">
        <v>103.1</v>
      </c>
      <c r="C45">
        <v>103.76</v>
      </c>
      <c r="D45">
        <v>103.01</v>
      </c>
      <c r="E45">
        <v>103.73</v>
      </c>
      <c r="F45">
        <v>5287800</v>
      </c>
      <c r="G45">
        <v>103.73</v>
      </c>
    </row>
    <row r="46" spans="1:7" x14ac:dyDescent="0.25">
      <c r="A46" s="34">
        <v>41884</v>
      </c>
      <c r="B46">
        <v>103.3</v>
      </c>
      <c r="C46">
        <v>103.71</v>
      </c>
      <c r="D46">
        <v>103.02</v>
      </c>
      <c r="E46">
        <v>103.36</v>
      </c>
      <c r="F46">
        <v>4644800</v>
      </c>
      <c r="G46">
        <v>103.36</v>
      </c>
    </row>
    <row r="47" spans="1:7" x14ac:dyDescent="0.25">
      <c r="A47" s="34">
        <v>41885</v>
      </c>
      <c r="B47">
        <v>103.82</v>
      </c>
      <c r="C47">
        <v>104.1</v>
      </c>
      <c r="D47">
        <v>103.54</v>
      </c>
      <c r="E47">
        <v>103.76</v>
      </c>
      <c r="F47">
        <v>4725800</v>
      </c>
      <c r="G47">
        <v>103.76</v>
      </c>
    </row>
    <row r="48" spans="1:7" x14ac:dyDescent="0.25">
      <c r="A48" s="34">
        <v>41886</v>
      </c>
      <c r="B48">
        <v>103.99</v>
      </c>
      <c r="C48">
        <v>104.1</v>
      </c>
      <c r="D48">
        <v>103.76</v>
      </c>
      <c r="E48">
        <v>103.84</v>
      </c>
      <c r="F48">
        <v>6147700</v>
      </c>
      <c r="G48">
        <v>103.84</v>
      </c>
    </row>
    <row r="49" spans="1:7" x14ac:dyDescent="0.25">
      <c r="A49" s="34">
        <v>41887</v>
      </c>
      <c r="B49">
        <v>103.92</v>
      </c>
      <c r="C49">
        <v>104.42</v>
      </c>
      <c r="D49">
        <v>103.34</v>
      </c>
      <c r="E49">
        <v>104.42</v>
      </c>
      <c r="F49">
        <v>5744400</v>
      </c>
      <c r="G49">
        <v>104.42</v>
      </c>
    </row>
    <row r="50" spans="1:7" x14ac:dyDescent="0.25">
      <c r="A50" s="34">
        <v>41890</v>
      </c>
      <c r="B50">
        <v>104.42</v>
      </c>
      <c r="C50">
        <v>104.58</v>
      </c>
      <c r="D50">
        <v>103.83</v>
      </c>
      <c r="E50">
        <v>104.05</v>
      </c>
      <c r="F50">
        <v>4900300</v>
      </c>
      <c r="G50">
        <v>104.05</v>
      </c>
    </row>
    <row r="51" spans="1:7" x14ac:dyDescent="0.25">
      <c r="A51" s="34">
        <v>41891</v>
      </c>
      <c r="B51">
        <v>104.4</v>
      </c>
      <c r="C51">
        <v>104.4</v>
      </c>
      <c r="D51">
        <v>103.55</v>
      </c>
      <c r="E51">
        <v>103.8</v>
      </c>
      <c r="F51">
        <v>5999400</v>
      </c>
      <c r="G51">
        <v>103.8</v>
      </c>
    </row>
    <row r="52" spans="1:7" x14ac:dyDescent="0.25">
      <c r="A52" s="34">
        <v>41892</v>
      </c>
      <c r="B52">
        <v>104.19</v>
      </c>
      <c r="C52">
        <v>105.34</v>
      </c>
      <c r="D52">
        <v>103.96</v>
      </c>
      <c r="E52">
        <v>104.99</v>
      </c>
      <c r="F52">
        <v>7402200</v>
      </c>
      <c r="G52">
        <v>104.99</v>
      </c>
    </row>
    <row r="53" spans="1:7" x14ac:dyDescent="0.25">
      <c r="A53" s="34">
        <v>41893</v>
      </c>
      <c r="B53">
        <v>104.78</v>
      </c>
      <c r="C53">
        <v>104.89</v>
      </c>
      <c r="D53">
        <v>104.1</v>
      </c>
      <c r="E53">
        <v>104.55</v>
      </c>
      <c r="F53">
        <v>4834100</v>
      </c>
      <c r="G53">
        <v>104.55</v>
      </c>
    </row>
    <row r="54" spans="1:7" x14ac:dyDescent="0.25">
      <c r="A54" s="34">
        <v>41894</v>
      </c>
      <c r="B54">
        <v>104.54</v>
      </c>
      <c r="C54">
        <v>104.81</v>
      </c>
      <c r="D54">
        <v>103.96</v>
      </c>
      <c r="E54">
        <v>104.58</v>
      </c>
      <c r="F54">
        <v>5929200</v>
      </c>
      <c r="G54">
        <v>104.58</v>
      </c>
    </row>
    <row r="55" spans="1:7" x14ac:dyDescent="0.25">
      <c r="A55" s="34">
        <v>41897</v>
      </c>
      <c r="B55">
        <v>104.59</v>
      </c>
      <c r="C55">
        <v>104.91</v>
      </c>
      <c r="D55">
        <v>104.35</v>
      </c>
      <c r="E55">
        <v>104.72</v>
      </c>
      <c r="F55">
        <v>4525500</v>
      </c>
      <c r="G55">
        <v>104.72</v>
      </c>
    </row>
  </sheetData>
  <sortState ref="A3:G55">
    <sortCondition ref="A3:A55"/>
  </sortState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57.15</v>
      </c>
      <c r="C3">
        <v>57.99</v>
      </c>
      <c r="D3">
        <v>57.08</v>
      </c>
      <c r="E3">
        <v>57.57</v>
      </c>
      <c r="F3">
        <v>14472200</v>
      </c>
      <c r="G3">
        <v>57.57</v>
      </c>
    </row>
    <row r="4" spans="1:7" x14ac:dyDescent="0.25">
      <c r="A4" s="34">
        <v>41822</v>
      </c>
      <c r="B4">
        <v>57.27</v>
      </c>
      <c r="C4">
        <v>57.48</v>
      </c>
      <c r="D4">
        <v>56.82</v>
      </c>
      <c r="E4">
        <v>56.97</v>
      </c>
      <c r="F4">
        <v>19189900</v>
      </c>
      <c r="G4">
        <v>56.97</v>
      </c>
    </row>
    <row r="5" spans="1:7" x14ac:dyDescent="0.25">
      <c r="A5" s="34">
        <v>41823</v>
      </c>
      <c r="B5">
        <v>57.23</v>
      </c>
      <c r="C5">
        <v>57.65</v>
      </c>
      <c r="D5">
        <v>57</v>
      </c>
      <c r="E5">
        <v>57.05</v>
      </c>
      <c r="F5">
        <v>12599800</v>
      </c>
      <c r="G5">
        <v>57.05</v>
      </c>
    </row>
    <row r="6" spans="1:7" x14ac:dyDescent="0.25">
      <c r="A6" s="34">
        <v>41827</v>
      </c>
      <c r="B6">
        <v>56.89</v>
      </c>
      <c r="C6">
        <v>56.99</v>
      </c>
      <c r="D6">
        <v>56.4</v>
      </c>
      <c r="E6">
        <v>56.67</v>
      </c>
      <c r="F6">
        <v>13916100</v>
      </c>
      <c r="G6">
        <v>56.67</v>
      </c>
    </row>
    <row r="7" spans="1:7" x14ac:dyDescent="0.25">
      <c r="A7" s="34">
        <v>41828</v>
      </c>
      <c r="B7">
        <v>56.35</v>
      </c>
      <c r="C7">
        <v>56.47</v>
      </c>
      <c r="D7">
        <v>55.63</v>
      </c>
      <c r="E7">
        <v>55.76</v>
      </c>
      <c r="F7">
        <v>18343400</v>
      </c>
      <c r="G7">
        <v>55.76</v>
      </c>
    </row>
    <row r="8" spans="1:7" x14ac:dyDescent="0.25">
      <c r="A8" s="34">
        <v>41829</v>
      </c>
      <c r="B8">
        <v>55.88</v>
      </c>
      <c r="C8">
        <v>56.12</v>
      </c>
      <c r="D8">
        <v>55.61</v>
      </c>
      <c r="E8">
        <v>56.02</v>
      </c>
      <c r="F8">
        <v>10914300</v>
      </c>
      <c r="G8">
        <v>56.02</v>
      </c>
    </row>
    <row r="9" spans="1:7" x14ac:dyDescent="0.25">
      <c r="A9" s="34">
        <v>41830</v>
      </c>
      <c r="B9">
        <v>55.06</v>
      </c>
      <c r="C9">
        <v>55.81</v>
      </c>
      <c r="D9">
        <v>54.96</v>
      </c>
      <c r="E9">
        <v>55.56</v>
      </c>
      <c r="F9">
        <v>12436600</v>
      </c>
      <c r="G9">
        <v>55.56</v>
      </c>
    </row>
    <row r="10" spans="1:7" x14ac:dyDescent="0.25">
      <c r="A10" s="34">
        <v>41831</v>
      </c>
      <c r="B10">
        <v>55.29</v>
      </c>
      <c r="C10">
        <v>55.91</v>
      </c>
      <c r="D10">
        <v>55.19</v>
      </c>
      <c r="E10">
        <v>55.8</v>
      </c>
      <c r="F10">
        <v>10230000</v>
      </c>
      <c r="G10">
        <v>55.8</v>
      </c>
    </row>
    <row r="11" spans="1:7" x14ac:dyDescent="0.25">
      <c r="A11" s="34">
        <v>41834</v>
      </c>
      <c r="B11">
        <v>56.53</v>
      </c>
      <c r="C11">
        <v>56.84</v>
      </c>
      <c r="D11">
        <v>56.2</v>
      </c>
      <c r="E11">
        <v>56.29</v>
      </c>
      <c r="F11">
        <v>14004400</v>
      </c>
      <c r="G11">
        <v>56.29</v>
      </c>
    </row>
    <row r="12" spans="1:7" x14ac:dyDescent="0.25">
      <c r="A12" s="34">
        <v>41835</v>
      </c>
      <c r="B12">
        <v>57.95</v>
      </c>
      <c r="C12">
        <v>58.69</v>
      </c>
      <c r="D12">
        <v>57.76</v>
      </c>
      <c r="E12">
        <v>58.27</v>
      </c>
      <c r="F12">
        <v>36178000</v>
      </c>
      <c r="G12">
        <v>58.27</v>
      </c>
    </row>
    <row r="13" spans="1:7" x14ac:dyDescent="0.25">
      <c r="A13" s="34">
        <v>41836</v>
      </c>
      <c r="B13">
        <v>58.51</v>
      </c>
      <c r="C13">
        <v>58.98</v>
      </c>
      <c r="D13">
        <v>58.31</v>
      </c>
      <c r="E13">
        <v>58.71</v>
      </c>
      <c r="F13">
        <v>20507500</v>
      </c>
      <c r="G13">
        <v>58.71</v>
      </c>
    </row>
    <row r="14" spans="1:7" x14ac:dyDescent="0.25">
      <c r="A14" s="34">
        <v>41837</v>
      </c>
      <c r="B14">
        <v>58.56</v>
      </c>
      <c r="C14">
        <v>58.86</v>
      </c>
      <c r="D14">
        <v>57.76</v>
      </c>
      <c r="E14">
        <v>57.86</v>
      </c>
      <c r="F14">
        <v>17013500</v>
      </c>
      <c r="G14">
        <v>57.86</v>
      </c>
    </row>
    <row r="15" spans="1:7" x14ac:dyDescent="0.25">
      <c r="A15" s="34">
        <v>41838</v>
      </c>
      <c r="B15">
        <v>58.33</v>
      </c>
      <c r="C15">
        <v>58.48</v>
      </c>
      <c r="D15">
        <v>57.9</v>
      </c>
      <c r="E15">
        <v>58.23</v>
      </c>
      <c r="F15">
        <v>12803300</v>
      </c>
      <c r="G15">
        <v>58.23</v>
      </c>
    </row>
    <row r="16" spans="1:7" x14ac:dyDescent="0.25">
      <c r="A16" s="34">
        <v>41841</v>
      </c>
      <c r="B16">
        <v>58.12</v>
      </c>
      <c r="C16">
        <v>58.41</v>
      </c>
      <c r="D16">
        <v>57.9</v>
      </c>
      <c r="E16">
        <v>58.24</v>
      </c>
      <c r="F16">
        <v>9141400</v>
      </c>
      <c r="G16">
        <v>58.24</v>
      </c>
    </row>
    <row r="17" spans="1:7" x14ac:dyDescent="0.25">
      <c r="A17" s="34">
        <v>41842</v>
      </c>
      <c r="B17">
        <v>58.42</v>
      </c>
      <c r="C17">
        <v>58.8</v>
      </c>
      <c r="D17">
        <v>58.37</v>
      </c>
      <c r="E17">
        <v>58.67</v>
      </c>
      <c r="F17">
        <v>10375200</v>
      </c>
      <c r="G17">
        <v>58.67</v>
      </c>
    </row>
    <row r="18" spans="1:7" x14ac:dyDescent="0.25">
      <c r="A18" s="34">
        <v>41843</v>
      </c>
      <c r="B18">
        <v>58.76</v>
      </c>
      <c r="C18">
        <v>59.19</v>
      </c>
      <c r="D18">
        <v>58.52</v>
      </c>
      <c r="E18">
        <v>59</v>
      </c>
      <c r="F18">
        <v>11086000</v>
      </c>
      <c r="G18">
        <v>59</v>
      </c>
    </row>
    <row r="19" spans="1:7" x14ac:dyDescent="0.25">
      <c r="A19" s="34">
        <v>41844</v>
      </c>
      <c r="B19">
        <v>59.07</v>
      </c>
      <c r="C19">
        <v>59.35</v>
      </c>
      <c r="D19">
        <v>58.99</v>
      </c>
      <c r="E19">
        <v>59.17</v>
      </c>
      <c r="F19">
        <v>9844100</v>
      </c>
      <c r="G19">
        <v>59.17</v>
      </c>
    </row>
    <row r="20" spans="1:7" x14ac:dyDescent="0.25">
      <c r="A20" s="34">
        <v>41845</v>
      </c>
      <c r="B20">
        <v>58.92</v>
      </c>
      <c r="C20">
        <v>59.27</v>
      </c>
      <c r="D20">
        <v>58.84</v>
      </c>
      <c r="E20">
        <v>59.01</v>
      </c>
      <c r="F20">
        <v>10487000</v>
      </c>
      <c r="G20">
        <v>59.01</v>
      </c>
    </row>
    <row r="21" spans="1:7" x14ac:dyDescent="0.25">
      <c r="A21" s="34">
        <v>41848</v>
      </c>
      <c r="B21">
        <v>58.94</v>
      </c>
      <c r="C21">
        <v>59.26</v>
      </c>
      <c r="D21">
        <v>58.67</v>
      </c>
      <c r="E21">
        <v>59.19</v>
      </c>
      <c r="F21">
        <v>12382800</v>
      </c>
      <c r="G21">
        <v>59.19</v>
      </c>
    </row>
    <row r="22" spans="1:7" x14ac:dyDescent="0.25">
      <c r="A22" s="34">
        <v>41849</v>
      </c>
      <c r="B22">
        <v>59.13</v>
      </c>
      <c r="C22">
        <v>59.13</v>
      </c>
      <c r="D22">
        <v>58.44</v>
      </c>
      <c r="E22">
        <v>58.64</v>
      </c>
      <c r="F22">
        <v>13482700</v>
      </c>
      <c r="G22">
        <v>58.64</v>
      </c>
    </row>
    <row r="23" spans="1:7" x14ac:dyDescent="0.25">
      <c r="A23" s="34">
        <v>41850</v>
      </c>
      <c r="B23">
        <v>59.02</v>
      </c>
      <c r="C23">
        <v>59.28</v>
      </c>
      <c r="D23">
        <v>58.61</v>
      </c>
      <c r="E23">
        <v>58.91</v>
      </c>
      <c r="F23">
        <v>11815700</v>
      </c>
      <c r="G23">
        <v>58.91</v>
      </c>
    </row>
    <row r="24" spans="1:7" x14ac:dyDescent="0.25">
      <c r="A24" s="34">
        <v>41851</v>
      </c>
      <c r="B24">
        <v>58.65</v>
      </c>
      <c r="C24">
        <v>58.68</v>
      </c>
      <c r="D24">
        <v>57.66</v>
      </c>
      <c r="E24">
        <v>57.67</v>
      </c>
      <c r="F24">
        <v>15955900</v>
      </c>
      <c r="G24">
        <v>57.67</v>
      </c>
    </row>
    <row r="25" spans="1:7" x14ac:dyDescent="0.25">
      <c r="A25" s="34">
        <v>41852</v>
      </c>
      <c r="B25">
        <v>57.39</v>
      </c>
      <c r="C25">
        <v>57.49</v>
      </c>
      <c r="D25">
        <v>55.97</v>
      </c>
      <c r="E25">
        <v>56.48</v>
      </c>
      <c r="F25">
        <v>23915400</v>
      </c>
      <c r="G25">
        <v>56.48</v>
      </c>
    </row>
    <row r="26" spans="1:7" x14ac:dyDescent="0.25">
      <c r="A26" s="34">
        <v>41855</v>
      </c>
      <c r="B26">
        <v>56.91</v>
      </c>
      <c r="C26">
        <v>56.98</v>
      </c>
      <c r="D26">
        <v>56.34</v>
      </c>
      <c r="E26">
        <v>56.65</v>
      </c>
      <c r="F26">
        <v>13543900</v>
      </c>
      <c r="G26">
        <v>56.65</v>
      </c>
    </row>
    <row r="27" spans="1:7" x14ac:dyDescent="0.25">
      <c r="A27" s="34">
        <v>41856</v>
      </c>
      <c r="B27">
        <v>56.43</v>
      </c>
      <c r="C27">
        <v>56.6</v>
      </c>
      <c r="D27">
        <v>55.6</v>
      </c>
      <c r="E27">
        <v>56.06</v>
      </c>
      <c r="F27">
        <v>16863300</v>
      </c>
      <c r="G27">
        <v>56.06</v>
      </c>
    </row>
    <row r="28" spans="1:7" x14ac:dyDescent="0.25">
      <c r="A28" s="34">
        <v>41857</v>
      </c>
      <c r="B28">
        <v>55.89</v>
      </c>
      <c r="C28">
        <v>56.69</v>
      </c>
      <c r="D28">
        <v>55.83</v>
      </c>
      <c r="E28">
        <v>56.23</v>
      </c>
      <c r="F28">
        <v>12190600</v>
      </c>
      <c r="G28">
        <v>56.23</v>
      </c>
    </row>
    <row r="29" spans="1:7" x14ac:dyDescent="0.25">
      <c r="A29" s="34">
        <v>41858</v>
      </c>
      <c r="B29">
        <v>56.63</v>
      </c>
      <c r="C29">
        <v>56.69</v>
      </c>
      <c r="D29">
        <v>55.68</v>
      </c>
      <c r="E29">
        <v>55.91</v>
      </c>
      <c r="F29">
        <v>11732500</v>
      </c>
      <c r="G29">
        <v>55.91</v>
      </c>
    </row>
    <row r="30" spans="1:7" x14ac:dyDescent="0.25">
      <c r="A30" s="34">
        <v>41859</v>
      </c>
      <c r="B30">
        <v>55.89</v>
      </c>
      <c r="C30">
        <v>56.36</v>
      </c>
      <c r="D30">
        <v>55.64</v>
      </c>
      <c r="E30">
        <v>56.34</v>
      </c>
      <c r="F30">
        <v>12181000</v>
      </c>
      <c r="G30">
        <v>56.34</v>
      </c>
    </row>
    <row r="31" spans="1:7" x14ac:dyDescent="0.25">
      <c r="A31" s="34">
        <v>41862</v>
      </c>
      <c r="B31">
        <v>56.54</v>
      </c>
      <c r="C31">
        <v>56.58</v>
      </c>
      <c r="D31">
        <v>56.17</v>
      </c>
      <c r="E31">
        <v>56.32</v>
      </c>
      <c r="F31">
        <v>8721100</v>
      </c>
      <c r="G31">
        <v>56.32</v>
      </c>
    </row>
    <row r="32" spans="1:7" x14ac:dyDescent="0.25">
      <c r="A32" s="34">
        <v>41863</v>
      </c>
      <c r="B32">
        <v>56.23</v>
      </c>
      <c r="C32">
        <v>56.55</v>
      </c>
      <c r="D32">
        <v>56.13</v>
      </c>
      <c r="E32">
        <v>56.35</v>
      </c>
      <c r="F32">
        <v>11289600</v>
      </c>
      <c r="G32">
        <v>56.35</v>
      </c>
    </row>
    <row r="33" spans="1:7" x14ac:dyDescent="0.25">
      <c r="A33" s="34">
        <v>41864</v>
      </c>
      <c r="B33">
        <v>56.69</v>
      </c>
      <c r="C33">
        <v>56.84</v>
      </c>
      <c r="D33">
        <v>56.51</v>
      </c>
      <c r="E33">
        <v>56.72</v>
      </c>
      <c r="F33">
        <v>7012600</v>
      </c>
      <c r="G33">
        <v>56.72</v>
      </c>
    </row>
    <row r="34" spans="1:7" x14ac:dyDescent="0.25">
      <c r="A34" s="34">
        <v>41865</v>
      </c>
      <c r="B34">
        <v>56.77</v>
      </c>
      <c r="C34">
        <v>57</v>
      </c>
      <c r="D34">
        <v>56.7</v>
      </c>
      <c r="E34">
        <v>56.98</v>
      </c>
      <c r="F34">
        <v>8275400</v>
      </c>
      <c r="G34">
        <v>56.98</v>
      </c>
    </row>
    <row r="35" spans="1:7" x14ac:dyDescent="0.25">
      <c r="A35" s="34">
        <v>41866</v>
      </c>
      <c r="B35">
        <v>57.24</v>
      </c>
      <c r="C35">
        <v>57.5</v>
      </c>
      <c r="D35">
        <v>56.39</v>
      </c>
      <c r="E35">
        <v>56.75</v>
      </c>
      <c r="F35">
        <v>12727400</v>
      </c>
      <c r="G35">
        <v>56.75</v>
      </c>
    </row>
    <row r="36" spans="1:7" x14ac:dyDescent="0.25">
      <c r="A36" s="34">
        <v>41869</v>
      </c>
      <c r="B36">
        <v>56.86</v>
      </c>
      <c r="C36">
        <v>57.43</v>
      </c>
      <c r="D36">
        <v>56.76</v>
      </c>
      <c r="E36">
        <v>57.23</v>
      </c>
      <c r="F36">
        <v>8866600</v>
      </c>
      <c r="G36">
        <v>57.23</v>
      </c>
    </row>
    <row r="37" spans="1:7" x14ac:dyDescent="0.25">
      <c r="A37" s="34">
        <v>41870</v>
      </c>
      <c r="B37">
        <v>57.6</v>
      </c>
      <c r="C37">
        <v>57.72</v>
      </c>
      <c r="D37">
        <v>57.34</v>
      </c>
      <c r="E37">
        <v>57.56</v>
      </c>
      <c r="F37">
        <v>9029500</v>
      </c>
      <c r="G37">
        <v>57.56</v>
      </c>
    </row>
    <row r="38" spans="1:7" x14ac:dyDescent="0.25">
      <c r="A38" s="34">
        <v>41871</v>
      </c>
      <c r="B38">
        <v>57.42</v>
      </c>
      <c r="C38">
        <v>57.85</v>
      </c>
      <c r="D38">
        <v>57.39</v>
      </c>
      <c r="E38">
        <v>57.64</v>
      </c>
      <c r="F38">
        <v>8103400</v>
      </c>
      <c r="G38">
        <v>57.64</v>
      </c>
    </row>
    <row r="39" spans="1:7" x14ac:dyDescent="0.25">
      <c r="A39" s="34">
        <v>41872</v>
      </c>
      <c r="B39">
        <v>57.66</v>
      </c>
      <c r="C39">
        <v>58.77</v>
      </c>
      <c r="D39">
        <v>57.6</v>
      </c>
      <c r="E39">
        <v>58.5</v>
      </c>
      <c r="F39">
        <v>12722700</v>
      </c>
      <c r="G39">
        <v>58.5</v>
      </c>
    </row>
    <row r="40" spans="1:7" x14ac:dyDescent="0.25">
      <c r="A40" s="34">
        <v>41873</v>
      </c>
      <c r="B40">
        <v>58.44</v>
      </c>
      <c r="C40">
        <v>59.08</v>
      </c>
      <c r="D40">
        <v>58.33</v>
      </c>
      <c r="E40">
        <v>58.49</v>
      </c>
      <c r="F40">
        <v>10184500</v>
      </c>
      <c r="G40">
        <v>58.49</v>
      </c>
    </row>
    <row r="41" spans="1:7" x14ac:dyDescent="0.25">
      <c r="A41" s="34">
        <v>41876</v>
      </c>
      <c r="B41">
        <v>58.98</v>
      </c>
      <c r="C41">
        <v>59.83</v>
      </c>
      <c r="D41">
        <v>58.86</v>
      </c>
      <c r="E41">
        <v>59.34</v>
      </c>
      <c r="F41">
        <v>13969300</v>
      </c>
      <c r="G41">
        <v>59.34</v>
      </c>
    </row>
    <row r="42" spans="1:7" x14ac:dyDescent="0.25">
      <c r="A42" s="34">
        <v>41877</v>
      </c>
      <c r="B42">
        <v>59.57</v>
      </c>
      <c r="C42">
        <v>59.95</v>
      </c>
      <c r="D42">
        <v>59.39</v>
      </c>
      <c r="E42">
        <v>59.74</v>
      </c>
      <c r="F42">
        <v>10231100</v>
      </c>
      <c r="G42">
        <v>59.74</v>
      </c>
    </row>
    <row r="43" spans="1:7" x14ac:dyDescent="0.25">
      <c r="A43" s="34">
        <v>41878</v>
      </c>
      <c r="B43">
        <v>59.85</v>
      </c>
      <c r="C43">
        <v>59.95</v>
      </c>
      <c r="D43">
        <v>59.53</v>
      </c>
      <c r="E43">
        <v>59.59</v>
      </c>
      <c r="F43">
        <v>11389100</v>
      </c>
      <c r="G43">
        <v>59.59</v>
      </c>
    </row>
    <row r="44" spans="1:7" x14ac:dyDescent="0.25">
      <c r="A44" s="34">
        <v>41879</v>
      </c>
      <c r="B44">
        <v>59.25</v>
      </c>
      <c r="C44">
        <v>59.37</v>
      </c>
      <c r="D44">
        <v>58.81</v>
      </c>
      <c r="E44">
        <v>59.16</v>
      </c>
      <c r="F44">
        <v>9085400</v>
      </c>
      <c r="G44">
        <v>59.16</v>
      </c>
    </row>
    <row r="45" spans="1:7" x14ac:dyDescent="0.25">
      <c r="A45" s="34">
        <v>41880</v>
      </c>
      <c r="B45">
        <v>59.34</v>
      </c>
      <c r="C45">
        <v>59.65</v>
      </c>
      <c r="D45">
        <v>59.23</v>
      </c>
      <c r="E45">
        <v>59.45</v>
      </c>
      <c r="F45">
        <v>8897900</v>
      </c>
      <c r="G45">
        <v>59.45</v>
      </c>
    </row>
    <row r="46" spans="1:7" x14ac:dyDescent="0.25">
      <c r="A46" s="34">
        <v>41884</v>
      </c>
      <c r="B46">
        <v>59.46</v>
      </c>
      <c r="C46">
        <v>59.71</v>
      </c>
      <c r="D46">
        <v>59.15</v>
      </c>
      <c r="E46">
        <v>59.67</v>
      </c>
      <c r="F46">
        <v>8671100</v>
      </c>
      <c r="G46">
        <v>59.67</v>
      </c>
    </row>
    <row r="47" spans="1:7" x14ac:dyDescent="0.25">
      <c r="A47" s="34">
        <v>41885</v>
      </c>
      <c r="B47">
        <v>60.02</v>
      </c>
      <c r="C47">
        <v>60.37</v>
      </c>
      <c r="D47">
        <v>59.46</v>
      </c>
      <c r="E47">
        <v>59.7</v>
      </c>
      <c r="F47">
        <v>11791800</v>
      </c>
      <c r="G47">
        <v>59.7</v>
      </c>
    </row>
    <row r="48" spans="1:7" x14ac:dyDescent="0.25">
      <c r="A48" s="34">
        <v>41886</v>
      </c>
      <c r="B48">
        <v>59.63</v>
      </c>
      <c r="C48">
        <v>60.14</v>
      </c>
      <c r="D48">
        <v>59.43</v>
      </c>
      <c r="E48">
        <v>59.71</v>
      </c>
      <c r="F48">
        <v>9786000</v>
      </c>
      <c r="G48">
        <v>59.71</v>
      </c>
    </row>
    <row r="49" spans="1:7" x14ac:dyDescent="0.25">
      <c r="A49" s="34">
        <v>41887</v>
      </c>
      <c r="B49">
        <v>59.62</v>
      </c>
      <c r="C49">
        <v>59.91</v>
      </c>
      <c r="D49">
        <v>59.22</v>
      </c>
      <c r="E49">
        <v>59.91</v>
      </c>
      <c r="F49">
        <v>9589000</v>
      </c>
      <c r="G49">
        <v>59.91</v>
      </c>
    </row>
    <row r="50" spans="1:7" x14ac:dyDescent="0.25">
      <c r="A50" s="34">
        <v>41890</v>
      </c>
      <c r="B50">
        <v>59.84</v>
      </c>
      <c r="C50">
        <v>60.22</v>
      </c>
      <c r="D50">
        <v>59.74</v>
      </c>
      <c r="E50">
        <v>59.89</v>
      </c>
      <c r="F50">
        <v>8090000</v>
      </c>
      <c r="G50">
        <v>59.89</v>
      </c>
    </row>
    <row r="51" spans="1:7" x14ac:dyDescent="0.25">
      <c r="A51" s="34">
        <v>41891</v>
      </c>
      <c r="B51">
        <v>59.63</v>
      </c>
      <c r="C51">
        <v>59.68</v>
      </c>
      <c r="D51">
        <v>58.78</v>
      </c>
      <c r="E51">
        <v>59.06</v>
      </c>
      <c r="F51">
        <v>14846100</v>
      </c>
      <c r="G51">
        <v>59.06</v>
      </c>
    </row>
    <row r="52" spans="1:7" x14ac:dyDescent="0.25">
      <c r="A52" s="34">
        <v>41892</v>
      </c>
      <c r="B52">
        <v>59.15</v>
      </c>
      <c r="C52">
        <v>59.56</v>
      </c>
      <c r="D52">
        <v>58.92</v>
      </c>
      <c r="E52">
        <v>59.22</v>
      </c>
      <c r="F52">
        <v>9153800</v>
      </c>
      <c r="G52">
        <v>59.22</v>
      </c>
    </row>
    <row r="53" spans="1:7" x14ac:dyDescent="0.25">
      <c r="A53" s="34">
        <v>41893</v>
      </c>
      <c r="B53">
        <v>59.18</v>
      </c>
      <c r="C53">
        <v>59.84</v>
      </c>
      <c r="D53">
        <v>58.97</v>
      </c>
      <c r="E53">
        <v>59.76</v>
      </c>
      <c r="F53">
        <v>11467000</v>
      </c>
      <c r="G53">
        <v>59.76</v>
      </c>
    </row>
    <row r="54" spans="1:7" x14ac:dyDescent="0.25">
      <c r="A54" s="34">
        <v>41894</v>
      </c>
      <c r="B54">
        <v>59.8</v>
      </c>
      <c r="C54">
        <v>60.41</v>
      </c>
      <c r="D54">
        <v>59.75</v>
      </c>
      <c r="E54">
        <v>60.03</v>
      </c>
      <c r="F54">
        <v>14359100</v>
      </c>
      <c r="G54">
        <v>60.03</v>
      </c>
    </row>
    <row r="55" spans="1:7" x14ac:dyDescent="0.25">
      <c r="A55" s="34">
        <v>41897</v>
      </c>
      <c r="B55">
        <v>59.78</v>
      </c>
      <c r="C55">
        <v>59.99</v>
      </c>
      <c r="D55">
        <v>59.45</v>
      </c>
      <c r="E55">
        <v>59.94</v>
      </c>
      <c r="F55">
        <v>10675500</v>
      </c>
      <c r="G55">
        <v>59.94</v>
      </c>
    </row>
  </sheetData>
  <sortState ref="A3:G55">
    <sortCondition ref="A3:A55"/>
  </sortState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42.39</v>
      </c>
      <c r="C3">
        <v>42.45</v>
      </c>
      <c r="D3">
        <v>42.15</v>
      </c>
      <c r="E3">
        <v>42.29</v>
      </c>
      <c r="F3">
        <v>11497700</v>
      </c>
      <c r="G3">
        <v>41.98</v>
      </c>
    </row>
    <row r="4" spans="1:7" x14ac:dyDescent="0.25">
      <c r="A4" s="34">
        <v>41822</v>
      </c>
      <c r="B4">
        <v>42.31</v>
      </c>
      <c r="C4">
        <v>42.41</v>
      </c>
      <c r="D4">
        <v>42.15</v>
      </c>
      <c r="E4">
        <v>42.29</v>
      </c>
      <c r="F4">
        <v>6707000</v>
      </c>
      <c r="G4">
        <v>41.98</v>
      </c>
    </row>
    <row r="5" spans="1:7" x14ac:dyDescent="0.25">
      <c r="A5" s="34">
        <v>41823</v>
      </c>
      <c r="B5">
        <v>42.26</v>
      </c>
      <c r="C5">
        <v>42.32</v>
      </c>
      <c r="D5">
        <v>42.01</v>
      </c>
      <c r="E5">
        <v>42.23</v>
      </c>
      <c r="F5">
        <v>7537700</v>
      </c>
      <c r="G5">
        <v>41.92</v>
      </c>
    </row>
    <row r="6" spans="1:7" x14ac:dyDescent="0.25">
      <c r="A6" s="34">
        <v>41827</v>
      </c>
      <c r="B6">
        <v>41.96</v>
      </c>
      <c r="C6">
        <v>42.2</v>
      </c>
      <c r="D6">
        <v>41.93</v>
      </c>
      <c r="E6">
        <v>42.14</v>
      </c>
      <c r="F6">
        <v>8991900</v>
      </c>
      <c r="G6">
        <v>41.84</v>
      </c>
    </row>
    <row r="7" spans="1:7" x14ac:dyDescent="0.25">
      <c r="A7" s="34">
        <v>41828</v>
      </c>
      <c r="B7">
        <v>41.97</v>
      </c>
      <c r="C7">
        <v>42.25</v>
      </c>
      <c r="D7">
        <v>41.91</v>
      </c>
      <c r="E7">
        <v>41.94</v>
      </c>
      <c r="F7">
        <v>10090500</v>
      </c>
      <c r="G7">
        <v>41.64</v>
      </c>
    </row>
    <row r="8" spans="1:7" x14ac:dyDescent="0.25">
      <c r="A8" s="34">
        <v>41829</v>
      </c>
      <c r="B8">
        <v>41.93</v>
      </c>
      <c r="C8">
        <v>42.16</v>
      </c>
      <c r="D8">
        <v>41.79</v>
      </c>
      <c r="E8">
        <v>41.95</v>
      </c>
      <c r="F8">
        <v>9891600</v>
      </c>
      <c r="G8">
        <v>41.65</v>
      </c>
    </row>
    <row r="9" spans="1:7" x14ac:dyDescent="0.25">
      <c r="A9" s="34">
        <v>41830</v>
      </c>
      <c r="B9">
        <v>41.56</v>
      </c>
      <c r="C9">
        <v>42.29</v>
      </c>
      <c r="D9">
        <v>41.55</v>
      </c>
      <c r="E9">
        <v>42.26</v>
      </c>
      <c r="F9">
        <v>12564500</v>
      </c>
      <c r="G9">
        <v>41.95</v>
      </c>
    </row>
    <row r="10" spans="1:7" x14ac:dyDescent="0.25">
      <c r="A10" s="34">
        <v>41831</v>
      </c>
      <c r="B10">
        <v>42.12</v>
      </c>
      <c r="C10">
        <v>42.25</v>
      </c>
      <c r="D10">
        <v>41.88</v>
      </c>
      <c r="E10">
        <v>41.97</v>
      </c>
      <c r="F10">
        <v>9773000</v>
      </c>
      <c r="G10">
        <v>41.67</v>
      </c>
    </row>
    <row r="11" spans="1:7" x14ac:dyDescent="0.25">
      <c r="A11" s="34">
        <v>41834</v>
      </c>
      <c r="B11">
        <v>41.99</v>
      </c>
      <c r="C11">
        <v>42.39</v>
      </c>
      <c r="D11">
        <v>41.98</v>
      </c>
      <c r="E11">
        <v>42.38</v>
      </c>
      <c r="F11">
        <v>11857700</v>
      </c>
      <c r="G11">
        <v>42.07</v>
      </c>
    </row>
    <row r="12" spans="1:7" x14ac:dyDescent="0.25">
      <c r="A12" s="34">
        <v>41835</v>
      </c>
      <c r="B12">
        <v>42.41</v>
      </c>
      <c r="C12">
        <v>42.43</v>
      </c>
      <c r="D12">
        <v>41.95</v>
      </c>
      <c r="E12">
        <v>42.1</v>
      </c>
      <c r="F12">
        <v>10541900</v>
      </c>
      <c r="G12">
        <v>41.8</v>
      </c>
    </row>
    <row r="13" spans="1:7" x14ac:dyDescent="0.25">
      <c r="A13" s="34">
        <v>41836</v>
      </c>
      <c r="B13">
        <v>42.26</v>
      </c>
      <c r="C13">
        <v>42.39</v>
      </c>
      <c r="D13">
        <v>42.02</v>
      </c>
      <c r="E13">
        <v>42.12</v>
      </c>
      <c r="F13">
        <v>10331400</v>
      </c>
      <c r="G13">
        <v>41.82</v>
      </c>
    </row>
    <row r="14" spans="1:7" x14ac:dyDescent="0.25">
      <c r="A14" s="34">
        <v>41837</v>
      </c>
      <c r="B14">
        <v>41.93</v>
      </c>
      <c r="C14">
        <v>42.15</v>
      </c>
      <c r="D14">
        <v>41.83</v>
      </c>
      <c r="E14">
        <v>42.02</v>
      </c>
      <c r="F14">
        <v>9983500</v>
      </c>
      <c r="G14">
        <v>41.72</v>
      </c>
    </row>
    <row r="15" spans="1:7" x14ac:dyDescent="0.25">
      <c r="A15" s="34">
        <v>41838</v>
      </c>
      <c r="B15">
        <v>42.14</v>
      </c>
      <c r="C15">
        <v>42.47</v>
      </c>
      <c r="D15">
        <v>42.02</v>
      </c>
      <c r="E15">
        <v>42.43</v>
      </c>
      <c r="F15">
        <v>19272400</v>
      </c>
      <c r="G15">
        <v>42.12</v>
      </c>
    </row>
    <row r="16" spans="1:7" x14ac:dyDescent="0.25">
      <c r="A16" s="34">
        <v>41841</v>
      </c>
      <c r="B16">
        <v>42.12</v>
      </c>
      <c r="C16">
        <v>42.57</v>
      </c>
      <c r="D16">
        <v>42.09</v>
      </c>
      <c r="E16">
        <v>42.4</v>
      </c>
      <c r="F16">
        <v>17607200</v>
      </c>
      <c r="G16">
        <v>42.09</v>
      </c>
    </row>
    <row r="17" spans="1:7" x14ac:dyDescent="0.25">
      <c r="A17" s="34">
        <v>41842</v>
      </c>
      <c r="B17">
        <v>41.1</v>
      </c>
      <c r="C17">
        <v>41.33</v>
      </c>
      <c r="D17">
        <v>40.61</v>
      </c>
      <c r="E17">
        <v>41.19</v>
      </c>
      <c r="F17">
        <v>24706000</v>
      </c>
      <c r="G17">
        <v>40.89</v>
      </c>
    </row>
    <row r="18" spans="1:7" x14ac:dyDescent="0.25">
      <c r="A18" s="34">
        <v>41843</v>
      </c>
      <c r="B18">
        <v>40.98</v>
      </c>
      <c r="C18">
        <v>41.05</v>
      </c>
      <c r="D18">
        <v>40.630000000000003</v>
      </c>
      <c r="E18">
        <v>40.81</v>
      </c>
      <c r="F18">
        <v>17531700</v>
      </c>
      <c r="G18">
        <v>40.51</v>
      </c>
    </row>
    <row r="19" spans="1:7" x14ac:dyDescent="0.25">
      <c r="A19" s="34">
        <v>41844</v>
      </c>
      <c r="B19">
        <v>40.97</v>
      </c>
      <c r="C19">
        <v>41.1</v>
      </c>
      <c r="D19">
        <v>40.659999999999997</v>
      </c>
      <c r="E19">
        <v>40.97</v>
      </c>
      <c r="F19">
        <v>14856000</v>
      </c>
      <c r="G19">
        <v>40.67</v>
      </c>
    </row>
    <row r="20" spans="1:7" x14ac:dyDescent="0.25">
      <c r="A20" s="34">
        <v>41845</v>
      </c>
      <c r="B20">
        <v>40.92</v>
      </c>
      <c r="C20">
        <v>41.04</v>
      </c>
      <c r="D20">
        <v>40.81</v>
      </c>
      <c r="E20">
        <v>41</v>
      </c>
      <c r="F20">
        <v>10809900</v>
      </c>
      <c r="G20">
        <v>40.700000000000003</v>
      </c>
    </row>
    <row r="21" spans="1:7" x14ac:dyDescent="0.25">
      <c r="A21" s="34">
        <v>41848</v>
      </c>
      <c r="B21">
        <v>40.99</v>
      </c>
      <c r="C21">
        <v>41</v>
      </c>
      <c r="D21">
        <v>40.61</v>
      </c>
      <c r="E21">
        <v>40.68</v>
      </c>
      <c r="F21">
        <v>11709100</v>
      </c>
      <c r="G21">
        <v>40.39</v>
      </c>
    </row>
    <row r="22" spans="1:7" x14ac:dyDescent="0.25">
      <c r="A22" s="34">
        <v>41849</v>
      </c>
      <c r="B22">
        <v>40.75</v>
      </c>
      <c r="C22">
        <v>40.78</v>
      </c>
      <c r="D22">
        <v>40.35</v>
      </c>
      <c r="E22">
        <v>40.35</v>
      </c>
      <c r="F22">
        <v>10863600</v>
      </c>
      <c r="G22">
        <v>40.06</v>
      </c>
    </row>
    <row r="23" spans="1:7" x14ac:dyDescent="0.25">
      <c r="A23" s="34">
        <v>41850</v>
      </c>
      <c r="B23">
        <v>40.450000000000003</v>
      </c>
      <c r="C23">
        <v>40.5</v>
      </c>
      <c r="D23">
        <v>39.61</v>
      </c>
      <c r="E23">
        <v>39.619999999999997</v>
      </c>
      <c r="F23">
        <v>20346200</v>
      </c>
      <c r="G23">
        <v>39.33</v>
      </c>
    </row>
    <row r="24" spans="1:7" x14ac:dyDescent="0.25">
      <c r="A24" s="34">
        <v>41851</v>
      </c>
      <c r="B24">
        <v>39.53</v>
      </c>
      <c r="C24">
        <v>39.729999999999997</v>
      </c>
      <c r="D24">
        <v>39.25</v>
      </c>
      <c r="E24">
        <v>39.29</v>
      </c>
      <c r="F24">
        <v>15434700</v>
      </c>
      <c r="G24">
        <v>39.01</v>
      </c>
    </row>
    <row r="25" spans="1:7" x14ac:dyDescent="0.25">
      <c r="A25" s="34">
        <v>41852</v>
      </c>
      <c r="B25">
        <v>39.130000000000003</v>
      </c>
      <c r="C25">
        <v>39.49</v>
      </c>
      <c r="D25">
        <v>39.06</v>
      </c>
      <c r="E25">
        <v>39.29</v>
      </c>
      <c r="F25">
        <v>13566700</v>
      </c>
      <c r="G25">
        <v>39.01</v>
      </c>
    </row>
    <row r="26" spans="1:7" x14ac:dyDescent="0.25">
      <c r="A26" s="34">
        <v>41855</v>
      </c>
      <c r="B26">
        <v>39.409999999999997</v>
      </c>
      <c r="C26">
        <v>39.46</v>
      </c>
      <c r="D26">
        <v>39.119999999999997</v>
      </c>
      <c r="E26">
        <v>39.4</v>
      </c>
      <c r="F26">
        <v>11012900</v>
      </c>
      <c r="G26">
        <v>39.119999999999997</v>
      </c>
    </row>
    <row r="27" spans="1:7" x14ac:dyDescent="0.25">
      <c r="A27" s="34">
        <v>41856</v>
      </c>
      <c r="B27">
        <v>39.340000000000003</v>
      </c>
      <c r="C27">
        <v>39.53</v>
      </c>
      <c r="D27">
        <v>39.1</v>
      </c>
      <c r="E27">
        <v>39.18</v>
      </c>
      <c r="F27">
        <v>11639200</v>
      </c>
      <c r="G27">
        <v>38.9</v>
      </c>
    </row>
    <row r="28" spans="1:7" x14ac:dyDescent="0.25">
      <c r="A28" s="34">
        <v>41857</v>
      </c>
      <c r="B28">
        <v>39.130000000000003</v>
      </c>
      <c r="C28">
        <v>39.96</v>
      </c>
      <c r="D28">
        <v>39.130000000000003</v>
      </c>
      <c r="E28">
        <v>39.92</v>
      </c>
      <c r="F28">
        <v>17567500</v>
      </c>
      <c r="G28">
        <v>39.630000000000003</v>
      </c>
    </row>
    <row r="29" spans="1:7" x14ac:dyDescent="0.25">
      <c r="A29" s="34">
        <v>41858</v>
      </c>
      <c r="B29">
        <v>39.96</v>
      </c>
      <c r="C29">
        <v>40.01</v>
      </c>
      <c r="D29">
        <v>39.33</v>
      </c>
      <c r="E29">
        <v>39.35</v>
      </c>
      <c r="F29">
        <v>14367400</v>
      </c>
      <c r="G29">
        <v>39.07</v>
      </c>
    </row>
    <row r="30" spans="1:7" x14ac:dyDescent="0.25">
      <c r="A30" s="34">
        <v>41859</v>
      </c>
      <c r="B30">
        <v>39.340000000000003</v>
      </c>
      <c r="C30">
        <v>39.58</v>
      </c>
      <c r="D30">
        <v>39.26</v>
      </c>
      <c r="E30">
        <v>39.450000000000003</v>
      </c>
      <c r="F30">
        <v>13667000</v>
      </c>
      <c r="G30">
        <v>39.159999999999997</v>
      </c>
    </row>
    <row r="31" spans="1:7" x14ac:dyDescent="0.25">
      <c r="A31" s="34">
        <v>41862</v>
      </c>
      <c r="B31">
        <v>39.520000000000003</v>
      </c>
      <c r="C31">
        <v>39.869999999999997</v>
      </c>
      <c r="D31">
        <v>39.520000000000003</v>
      </c>
      <c r="E31">
        <v>39.57</v>
      </c>
      <c r="F31">
        <v>14102600</v>
      </c>
      <c r="G31">
        <v>39.28</v>
      </c>
    </row>
    <row r="32" spans="1:7" x14ac:dyDescent="0.25">
      <c r="A32" s="34">
        <v>41863</v>
      </c>
      <c r="B32">
        <v>39.56</v>
      </c>
      <c r="C32">
        <v>39.840000000000003</v>
      </c>
      <c r="D32">
        <v>39.54</v>
      </c>
      <c r="E32">
        <v>39.68</v>
      </c>
      <c r="F32">
        <v>13297500</v>
      </c>
      <c r="G32">
        <v>39.39</v>
      </c>
    </row>
    <row r="33" spans="1:7" x14ac:dyDescent="0.25">
      <c r="A33" s="34">
        <v>41864</v>
      </c>
      <c r="B33">
        <v>39.700000000000003</v>
      </c>
      <c r="C33">
        <v>40.1</v>
      </c>
      <c r="D33">
        <v>39.700000000000003</v>
      </c>
      <c r="E33">
        <v>39.94</v>
      </c>
      <c r="F33">
        <v>9646500</v>
      </c>
      <c r="G33">
        <v>39.65</v>
      </c>
    </row>
    <row r="34" spans="1:7" x14ac:dyDescent="0.25">
      <c r="A34" s="34">
        <v>41865</v>
      </c>
      <c r="B34">
        <v>39.93</v>
      </c>
      <c r="C34">
        <v>40.19</v>
      </c>
      <c r="D34">
        <v>39.93</v>
      </c>
      <c r="E34">
        <v>40.18</v>
      </c>
      <c r="F34">
        <v>6902000</v>
      </c>
      <c r="G34">
        <v>39.89</v>
      </c>
    </row>
    <row r="35" spans="1:7" x14ac:dyDescent="0.25">
      <c r="A35" s="34">
        <v>41866</v>
      </c>
      <c r="B35">
        <v>40.85</v>
      </c>
      <c r="C35">
        <v>41.15</v>
      </c>
      <c r="D35">
        <v>40.659999999999997</v>
      </c>
      <c r="E35">
        <v>40.880000000000003</v>
      </c>
      <c r="F35">
        <v>23221600</v>
      </c>
      <c r="G35">
        <v>40.58</v>
      </c>
    </row>
    <row r="36" spans="1:7" x14ac:dyDescent="0.25">
      <c r="A36" s="34">
        <v>41869</v>
      </c>
      <c r="B36">
        <v>40.79</v>
      </c>
      <c r="C36">
        <v>41.42</v>
      </c>
      <c r="D36">
        <v>40.79</v>
      </c>
      <c r="E36">
        <v>41.35</v>
      </c>
      <c r="F36">
        <v>14891500</v>
      </c>
      <c r="G36">
        <v>41.05</v>
      </c>
    </row>
    <row r="37" spans="1:7" x14ac:dyDescent="0.25">
      <c r="A37" s="34">
        <v>41870</v>
      </c>
      <c r="B37">
        <v>41.35</v>
      </c>
      <c r="C37">
        <v>41.48</v>
      </c>
      <c r="D37">
        <v>41.16</v>
      </c>
      <c r="E37">
        <v>41.26</v>
      </c>
      <c r="F37">
        <v>10260400</v>
      </c>
      <c r="G37">
        <v>40.96</v>
      </c>
    </row>
    <row r="38" spans="1:7" x14ac:dyDescent="0.25">
      <c r="A38" s="34">
        <v>41871</v>
      </c>
      <c r="B38">
        <v>41.15</v>
      </c>
      <c r="C38">
        <v>41.34</v>
      </c>
      <c r="D38">
        <v>41.09</v>
      </c>
      <c r="E38">
        <v>41.25</v>
      </c>
      <c r="F38">
        <v>6782500</v>
      </c>
      <c r="G38">
        <v>40.950000000000003</v>
      </c>
    </row>
    <row r="39" spans="1:7" x14ac:dyDescent="0.25">
      <c r="A39" s="34">
        <v>41872</v>
      </c>
      <c r="B39">
        <v>41.29</v>
      </c>
      <c r="C39">
        <v>41.69</v>
      </c>
      <c r="D39">
        <v>41.22</v>
      </c>
      <c r="E39">
        <v>41.41</v>
      </c>
      <c r="F39">
        <v>11951000</v>
      </c>
      <c r="G39">
        <v>41.11</v>
      </c>
    </row>
    <row r="40" spans="1:7" x14ac:dyDescent="0.25">
      <c r="A40" s="34">
        <v>41873</v>
      </c>
      <c r="B40">
        <v>41.29</v>
      </c>
      <c r="C40">
        <v>41.52</v>
      </c>
      <c r="D40">
        <v>41.05</v>
      </c>
      <c r="E40">
        <v>41.12</v>
      </c>
      <c r="F40">
        <v>11244600</v>
      </c>
      <c r="G40">
        <v>40.82</v>
      </c>
    </row>
    <row r="41" spans="1:7" x14ac:dyDescent="0.25">
      <c r="A41" s="34">
        <v>41876</v>
      </c>
      <c r="B41">
        <v>41.32</v>
      </c>
      <c r="C41">
        <v>41.45</v>
      </c>
      <c r="D41">
        <v>41.12</v>
      </c>
      <c r="E41">
        <v>41.41</v>
      </c>
      <c r="F41">
        <v>10229300</v>
      </c>
      <c r="G41">
        <v>41.11</v>
      </c>
    </row>
    <row r="42" spans="1:7" x14ac:dyDescent="0.25">
      <c r="A42" s="34">
        <v>41877</v>
      </c>
      <c r="B42">
        <v>41.41</v>
      </c>
      <c r="C42">
        <v>41.7</v>
      </c>
      <c r="D42">
        <v>41.41</v>
      </c>
      <c r="E42">
        <v>41.6</v>
      </c>
      <c r="F42">
        <v>8416500</v>
      </c>
      <c r="G42">
        <v>41.3</v>
      </c>
    </row>
    <row r="43" spans="1:7" x14ac:dyDescent="0.25">
      <c r="A43" s="34">
        <v>41878</v>
      </c>
      <c r="B43">
        <v>41.53</v>
      </c>
      <c r="C43">
        <v>41.71</v>
      </c>
      <c r="D43">
        <v>41.44</v>
      </c>
      <c r="E43">
        <v>41.6</v>
      </c>
      <c r="F43">
        <v>7693100</v>
      </c>
      <c r="G43">
        <v>41.3</v>
      </c>
    </row>
    <row r="44" spans="1:7" x14ac:dyDescent="0.25">
      <c r="A44" s="34">
        <v>41879</v>
      </c>
      <c r="B44">
        <v>41.51</v>
      </c>
      <c r="C44">
        <v>41.7</v>
      </c>
      <c r="D44">
        <v>41.44</v>
      </c>
      <c r="E44">
        <v>41.63</v>
      </c>
      <c r="F44">
        <v>9746400</v>
      </c>
      <c r="G44">
        <v>41.33</v>
      </c>
    </row>
    <row r="45" spans="1:7" x14ac:dyDescent="0.25">
      <c r="A45" s="34">
        <v>41880</v>
      </c>
      <c r="B45">
        <v>41.6</v>
      </c>
      <c r="C45">
        <v>41.75</v>
      </c>
      <c r="D45">
        <v>41.47</v>
      </c>
      <c r="E45">
        <v>41.72</v>
      </c>
      <c r="F45">
        <v>7666700</v>
      </c>
      <c r="G45">
        <v>41.42</v>
      </c>
    </row>
    <row r="46" spans="1:7" x14ac:dyDescent="0.25">
      <c r="A46" s="34">
        <v>41884</v>
      </c>
      <c r="B46">
        <v>41.52</v>
      </c>
      <c r="C46">
        <v>41.84</v>
      </c>
      <c r="D46">
        <v>41.31</v>
      </c>
      <c r="E46">
        <v>41.64</v>
      </c>
      <c r="F46">
        <v>9798100</v>
      </c>
      <c r="G46">
        <v>41.34</v>
      </c>
    </row>
    <row r="47" spans="1:7" x14ac:dyDescent="0.25">
      <c r="A47" s="34">
        <v>41885</v>
      </c>
      <c r="B47">
        <v>41.69</v>
      </c>
      <c r="C47">
        <v>41.85</v>
      </c>
      <c r="D47">
        <v>41.66</v>
      </c>
      <c r="E47">
        <v>41.78</v>
      </c>
      <c r="F47">
        <v>8635400</v>
      </c>
      <c r="G47">
        <v>41.48</v>
      </c>
    </row>
    <row r="48" spans="1:7" x14ac:dyDescent="0.25">
      <c r="A48" s="34">
        <v>41886</v>
      </c>
      <c r="B48">
        <v>41.8</v>
      </c>
      <c r="C48">
        <v>42.17</v>
      </c>
      <c r="D48">
        <v>41.73</v>
      </c>
      <c r="E48">
        <v>41.87</v>
      </c>
      <c r="F48">
        <v>16785300</v>
      </c>
      <c r="G48">
        <v>41.57</v>
      </c>
    </row>
    <row r="49" spans="1:7" x14ac:dyDescent="0.25">
      <c r="A49" s="34">
        <v>41887</v>
      </c>
      <c r="B49">
        <v>41.86</v>
      </c>
      <c r="C49">
        <v>41.86</v>
      </c>
      <c r="D49">
        <v>41.61</v>
      </c>
      <c r="E49">
        <v>41.84</v>
      </c>
      <c r="F49">
        <v>12768100</v>
      </c>
      <c r="G49">
        <v>41.54</v>
      </c>
    </row>
    <row r="50" spans="1:7" x14ac:dyDescent="0.25">
      <c r="A50" s="34">
        <v>41890</v>
      </c>
      <c r="B50">
        <v>41.67</v>
      </c>
      <c r="C50">
        <v>41.94</v>
      </c>
      <c r="D50">
        <v>41.63</v>
      </c>
      <c r="E50">
        <v>41.78</v>
      </c>
      <c r="F50">
        <v>9097700</v>
      </c>
      <c r="G50">
        <v>41.48</v>
      </c>
    </row>
    <row r="51" spans="1:7" x14ac:dyDescent="0.25">
      <c r="A51" s="34">
        <v>41891</v>
      </c>
      <c r="B51">
        <v>41.77</v>
      </c>
      <c r="C51">
        <v>42.03</v>
      </c>
      <c r="D51">
        <v>41.75</v>
      </c>
      <c r="E51">
        <v>41.94</v>
      </c>
      <c r="F51">
        <v>11892500</v>
      </c>
      <c r="G51">
        <v>41.64</v>
      </c>
    </row>
    <row r="52" spans="1:7" x14ac:dyDescent="0.25">
      <c r="A52" s="34">
        <v>41892</v>
      </c>
      <c r="B52">
        <v>41.9</v>
      </c>
      <c r="C52">
        <v>42.19</v>
      </c>
      <c r="D52">
        <v>41.83</v>
      </c>
      <c r="E52">
        <v>42.17</v>
      </c>
      <c r="F52">
        <v>17558000</v>
      </c>
      <c r="G52">
        <v>41.86</v>
      </c>
    </row>
    <row r="53" spans="1:7" x14ac:dyDescent="0.25">
      <c r="A53" s="34">
        <v>41893</v>
      </c>
      <c r="B53">
        <v>41.68</v>
      </c>
      <c r="C53">
        <v>42.06</v>
      </c>
      <c r="D53">
        <v>41.66</v>
      </c>
      <c r="E53">
        <v>41.95</v>
      </c>
      <c r="F53">
        <v>19614000</v>
      </c>
      <c r="G53">
        <v>41.95</v>
      </c>
    </row>
    <row r="54" spans="1:7" x14ac:dyDescent="0.25">
      <c r="A54" s="34">
        <v>41894</v>
      </c>
      <c r="B54">
        <v>41.9</v>
      </c>
      <c r="C54">
        <v>41.92</v>
      </c>
      <c r="D54">
        <v>41.36</v>
      </c>
      <c r="E54">
        <v>41.46</v>
      </c>
      <c r="F54">
        <v>12979900</v>
      </c>
      <c r="G54">
        <v>41.46</v>
      </c>
    </row>
    <row r="55" spans="1:7" x14ac:dyDescent="0.25">
      <c r="A55" s="34">
        <v>41897</v>
      </c>
      <c r="B55">
        <v>41.45</v>
      </c>
      <c r="C55">
        <v>41.58</v>
      </c>
      <c r="D55">
        <v>41.33</v>
      </c>
      <c r="E55">
        <v>41.5</v>
      </c>
      <c r="F55">
        <v>12259600</v>
      </c>
      <c r="G55">
        <v>41.5</v>
      </c>
    </row>
  </sheetData>
  <sortState ref="A3:G55">
    <sortCondition ref="A3:A55"/>
  </sortState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62.63</v>
      </c>
      <c r="C3">
        <v>62.85</v>
      </c>
      <c r="D3">
        <v>62</v>
      </c>
      <c r="E3">
        <v>62.5</v>
      </c>
      <c r="F3">
        <v>4109000</v>
      </c>
      <c r="G3">
        <v>62</v>
      </c>
    </row>
    <row r="4" spans="1:7" x14ac:dyDescent="0.25">
      <c r="A4" s="34">
        <v>41822</v>
      </c>
      <c r="B4">
        <v>62.45</v>
      </c>
      <c r="C4">
        <v>63.08</v>
      </c>
      <c r="D4">
        <v>62.12</v>
      </c>
      <c r="E4">
        <v>62.7</v>
      </c>
      <c r="F4">
        <v>3941000</v>
      </c>
      <c r="G4">
        <v>62.2</v>
      </c>
    </row>
    <row r="5" spans="1:7" x14ac:dyDescent="0.25">
      <c r="A5" s="34">
        <v>41823</v>
      </c>
      <c r="B5">
        <v>62.9</v>
      </c>
      <c r="C5">
        <v>63.1</v>
      </c>
      <c r="D5">
        <v>62.44</v>
      </c>
      <c r="E5">
        <v>63.06</v>
      </c>
      <c r="F5">
        <v>2709100</v>
      </c>
      <c r="G5">
        <v>62.56</v>
      </c>
    </row>
    <row r="6" spans="1:7" x14ac:dyDescent="0.25">
      <c r="A6" s="34">
        <v>41827</v>
      </c>
      <c r="B6">
        <v>62.83</v>
      </c>
      <c r="C6">
        <v>63.23</v>
      </c>
      <c r="D6">
        <v>62.32</v>
      </c>
      <c r="E6">
        <v>62.61</v>
      </c>
      <c r="F6">
        <v>2627300</v>
      </c>
      <c r="G6">
        <v>62.11</v>
      </c>
    </row>
    <row r="7" spans="1:7" x14ac:dyDescent="0.25">
      <c r="A7" s="34">
        <v>41828</v>
      </c>
      <c r="B7">
        <v>62.49</v>
      </c>
      <c r="C7">
        <v>62.54</v>
      </c>
      <c r="D7">
        <v>61.87</v>
      </c>
      <c r="E7">
        <v>62.46</v>
      </c>
      <c r="F7">
        <v>3449400</v>
      </c>
      <c r="G7">
        <v>61.96</v>
      </c>
    </row>
    <row r="8" spans="1:7" x14ac:dyDescent="0.25">
      <c r="A8" s="34">
        <v>41829</v>
      </c>
      <c r="B8">
        <v>62.53</v>
      </c>
      <c r="C8">
        <v>62.71</v>
      </c>
      <c r="D8">
        <v>62.27</v>
      </c>
      <c r="E8">
        <v>62.62</v>
      </c>
      <c r="F8">
        <v>2748600</v>
      </c>
      <c r="G8">
        <v>62.12</v>
      </c>
    </row>
    <row r="9" spans="1:7" x14ac:dyDescent="0.25">
      <c r="A9" s="34">
        <v>41830</v>
      </c>
      <c r="B9">
        <v>62.13</v>
      </c>
      <c r="C9">
        <v>62.71</v>
      </c>
      <c r="D9">
        <v>62</v>
      </c>
      <c r="E9">
        <v>62.53</v>
      </c>
      <c r="F9">
        <v>2619200</v>
      </c>
      <c r="G9">
        <v>62.03</v>
      </c>
    </row>
    <row r="10" spans="1:7" x14ac:dyDescent="0.25">
      <c r="A10" s="34">
        <v>41831</v>
      </c>
      <c r="B10">
        <v>62.44</v>
      </c>
      <c r="C10">
        <v>62.95</v>
      </c>
      <c r="D10">
        <v>62.27</v>
      </c>
      <c r="E10">
        <v>62.84</v>
      </c>
      <c r="F10">
        <v>2400700</v>
      </c>
      <c r="G10">
        <v>62.34</v>
      </c>
    </row>
    <row r="11" spans="1:7" x14ac:dyDescent="0.25">
      <c r="A11" s="34">
        <v>41834</v>
      </c>
      <c r="B11">
        <v>63</v>
      </c>
      <c r="C11">
        <v>63.29</v>
      </c>
      <c r="D11">
        <v>62.71</v>
      </c>
      <c r="E11">
        <v>63.01</v>
      </c>
      <c r="F11">
        <v>2436600</v>
      </c>
      <c r="G11">
        <v>62.51</v>
      </c>
    </row>
    <row r="12" spans="1:7" x14ac:dyDescent="0.25">
      <c r="A12" s="34">
        <v>41835</v>
      </c>
      <c r="B12">
        <v>63</v>
      </c>
      <c r="C12">
        <v>63.12</v>
      </c>
      <c r="D12">
        <v>62.73</v>
      </c>
      <c r="E12">
        <v>62.86</v>
      </c>
      <c r="F12">
        <v>3854400</v>
      </c>
      <c r="G12">
        <v>62.36</v>
      </c>
    </row>
    <row r="13" spans="1:7" x14ac:dyDescent="0.25">
      <c r="A13" s="34">
        <v>41836</v>
      </c>
      <c r="B13">
        <v>63.05</v>
      </c>
      <c r="C13">
        <v>63.17</v>
      </c>
      <c r="D13">
        <v>62.07</v>
      </c>
      <c r="E13">
        <v>62.81</v>
      </c>
      <c r="F13">
        <v>3885700</v>
      </c>
      <c r="G13">
        <v>62.31</v>
      </c>
    </row>
    <row r="14" spans="1:7" x14ac:dyDescent="0.25">
      <c r="A14" s="34">
        <v>41837</v>
      </c>
      <c r="B14">
        <v>62.36</v>
      </c>
      <c r="C14">
        <v>62.87</v>
      </c>
      <c r="D14">
        <v>62.14</v>
      </c>
      <c r="E14">
        <v>62.26</v>
      </c>
      <c r="F14">
        <v>3424700</v>
      </c>
      <c r="G14">
        <v>61.76</v>
      </c>
    </row>
    <row r="15" spans="1:7" x14ac:dyDescent="0.25">
      <c r="A15" s="34">
        <v>41838</v>
      </c>
      <c r="B15">
        <v>62.48</v>
      </c>
      <c r="C15">
        <v>63.5</v>
      </c>
      <c r="D15">
        <v>62.32</v>
      </c>
      <c r="E15">
        <v>63.47</v>
      </c>
      <c r="F15">
        <v>3281400</v>
      </c>
      <c r="G15">
        <v>62.96</v>
      </c>
    </row>
    <row r="16" spans="1:7" x14ac:dyDescent="0.25">
      <c r="A16" s="34">
        <v>41841</v>
      </c>
      <c r="B16">
        <v>63</v>
      </c>
      <c r="C16">
        <v>63.69</v>
      </c>
      <c r="D16">
        <v>62.75</v>
      </c>
      <c r="E16">
        <v>63.64</v>
      </c>
      <c r="F16">
        <v>3479400</v>
      </c>
      <c r="G16">
        <v>63.13</v>
      </c>
    </row>
    <row r="17" spans="1:7" x14ac:dyDescent="0.25">
      <c r="A17" s="34">
        <v>41842</v>
      </c>
      <c r="B17">
        <v>63.82</v>
      </c>
      <c r="C17">
        <v>64.150000000000006</v>
      </c>
      <c r="D17">
        <v>63.44</v>
      </c>
      <c r="E17">
        <v>63.72</v>
      </c>
      <c r="F17">
        <v>3101800</v>
      </c>
      <c r="G17">
        <v>63.21</v>
      </c>
    </row>
    <row r="18" spans="1:7" x14ac:dyDescent="0.25">
      <c r="A18" s="34">
        <v>41843</v>
      </c>
      <c r="B18">
        <v>63.93</v>
      </c>
      <c r="C18">
        <v>64.44</v>
      </c>
      <c r="D18">
        <v>63.8</v>
      </c>
      <c r="E18">
        <v>64.25</v>
      </c>
      <c r="F18">
        <v>5559900</v>
      </c>
      <c r="G18">
        <v>63.74</v>
      </c>
    </row>
    <row r="19" spans="1:7" x14ac:dyDescent="0.25">
      <c r="A19" s="34">
        <v>41844</v>
      </c>
      <c r="B19">
        <v>64.099999999999994</v>
      </c>
      <c r="C19">
        <v>65.7</v>
      </c>
      <c r="D19">
        <v>63.8</v>
      </c>
      <c r="E19">
        <v>64.37</v>
      </c>
      <c r="F19">
        <v>5090200</v>
      </c>
      <c r="G19">
        <v>63.86</v>
      </c>
    </row>
    <row r="20" spans="1:7" x14ac:dyDescent="0.25">
      <c r="A20" s="34">
        <v>41845</v>
      </c>
      <c r="B20">
        <v>64.02</v>
      </c>
      <c r="C20">
        <v>64.099999999999994</v>
      </c>
      <c r="D20">
        <v>63.49</v>
      </c>
      <c r="E20">
        <v>63.78</v>
      </c>
      <c r="F20">
        <v>2987400</v>
      </c>
      <c r="G20">
        <v>63.27</v>
      </c>
    </row>
    <row r="21" spans="1:7" x14ac:dyDescent="0.25">
      <c r="A21" s="34">
        <v>41848</v>
      </c>
      <c r="B21">
        <v>63.78</v>
      </c>
      <c r="C21">
        <v>64.8</v>
      </c>
      <c r="D21">
        <v>62.87</v>
      </c>
      <c r="E21">
        <v>63.39</v>
      </c>
      <c r="F21">
        <v>3956600</v>
      </c>
      <c r="G21">
        <v>62.88</v>
      </c>
    </row>
    <row r="22" spans="1:7" x14ac:dyDescent="0.25">
      <c r="A22" s="34">
        <v>41849</v>
      </c>
      <c r="B22">
        <v>63.7</v>
      </c>
      <c r="C22">
        <v>63.81</v>
      </c>
      <c r="D22">
        <v>62.61</v>
      </c>
      <c r="E22">
        <v>62.77</v>
      </c>
      <c r="F22">
        <v>5287400</v>
      </c>
      <c r="G22">
        <v>62.27</v>
      </c>
    </row>
    <row r="23" spans="1:7" x14ac:dyDescent="0.25">
      <c r="A23" s="34">
        <v>41850</v>
      </c>
      <c r="B23">
        <v>63.14</v>
      </c>
      <c r="C23">
        <v>63.18</v>
      </c>
      <c r="D23">
        <v>62.27</v>
      </c>
      <c r="E23">
        <v>62.62</v>
      </c>
      <c r="F23">
        <v>3974000</v>
      </c>
      <c r="G23">
        <v>62.12</v>
      </c>
    </row>
    <row r="24" spans="1:7" x14ac:dyDescent="0.25">
      <c r="A24" s="34">
        <v>41851</v>
      </c>
      <c r="B24">
        <v>61.97</v>
      </c>
      <c r="C24">
        <v>62.45</v>
      </c>
      <c r="D24">
        <v>60.94</v>
      </c>
      <c r="E24">
        <v>61.06</v>
      </c>
      <c r="F24">
        <v>5485600</v>
      </c>
      <c r="G24">
        <v>60.57</v>
      </c>
    </row>
    <row r="25" spans="1:7" x14ac:dyDescent="0.25">
      <c r="A25" s="34">
        <v>41852</v>
      </c>
      <c r="B25">
        <v>61.01</v>
      </c>
      <c r="C25">
        <v>61.06</v>
      </c>
      <c r="D25">
        <v>60.19</v>
      </c>
      <c r="E25">
        <v>60.68</v>
      </c>
      <c r="F25">
        <v>6884700</v>
      </c>
      <c r="G25">
        <v>60.2</v>
      </c>
    </row>
    <row r="26" spans="1:7" x14ac:dyDescent="0.25">
      <c r="A26" s="34">
        <v>41855</v>
      </c>
      <c r="B26">
        <v>61</v>
      </c>
      <c r="C26">
        <v>61.69</v>
      </c>
      <c r="D26">
        <v>60.75</v>
      </c>
      <c r="E26">
        <v>61.63</v>
      </c>
      <c r="F26">
        <v>4379100</v>
      </c>
      <c r="G26">
        <v>61.14</v>
      </c>
    </row>
    <row r="27" spans="1:7" x14ac:dyDescent="0.25">
      <c r="A27" s="34">
        <v>41856</v>
      </c>
      <c r="B27">
        <v>61.5</v>
      </c>
      <c r="C27">
        <v>61.7</v>
      </c>
      <c r="D27">
        <v>60.74</v>
      </c>
      <c r="E27">
        <v>60.87</v>
      </c>
      <c r="F27">
        <v>3389600</v>
      </c>
      <c r="G27">
        <v>60.38</v>
      </c>
    </row>
    <row r="28" spans="1:7" x14ac:dyDescent="0.25">
      <c r="A28" s="34">
        <v>41857</v>
      </c>
      <c r="B28">
        <v>60.91</v>
      </c>
      <c r="C28">
        <v>61.42</v>
      </c>
      <c r="D28">
        <v>60.71</v>
      </c>
      <c r="E28">
        <v>61.11</v>
      </c>
      <c r="F28">
        <v>2682800</v>
      </c>
      <c r="G28">
        <v>60.62</v>
      </c>
    </row>
    <row r="29" spans="1:7" x14ac:dyDescent="0.25">
      <c r="A29" s="34">
        <v>41858</v>
      </c>
      <c r="B29">
        <v>61.4</v>
      </c>
      <c r="C29">
        <v>61.42</v>
      </c>
      <c r="D29">
        <v>60.14</v>
      </c>
      <c r="E29">
        <v>60.35</v>
      </c>
      <c r="F29">
        <v>2352400</v>
      </c>
      <c r="G29">
        <v>59.87</v>
      </c>
    </row>
    <row r="30" spans="1:7" x14ac:dyDescent="0.25">
      <c r="A30" s="34">
        <v>41859</v>
      </c>
      <c r="B30">
        <v>60.48</v>
      </c>
      <c r="C30">
        <v>61.04</v>
      </c>
      <c r="D30">
        <v>60.34</v>
      </c>
      <c r="E30">
        <v>60.98</v>
      </c>
      <c r="F30">
        <v>2665400</v>
      </c>
      <c r="G30">
        <v>60.49</v>
      </c>
    </row>
    <row r="31" spans="1:7" x14ac:dyDescent="0.25">
      <c r="A31" s="34">
        <v>41862</v>
      </c>
      <c r="B31">
        <v>61.35</v>
      </c>
      <c r="C31">
        <v>61.87</v>
      </c>
      <c r="D31">
        <v>61.06</v>
      </c>
      <c r="E31">
        <v>61.08</v>
      </c>
      <c r="F31">
        <v>2850400</v>
      </c>
      <c r="G31">
        <v>60.59</v>
      </c>
    </row>
    <row r="32" spans="1:7" x14ac:dyDescent="0.25">
      <c r="A32" s="34">
        <v>41863</v>
      </c>
      <c r="B32">
        <v>61.07</v>
      </c>
      <c r="C32">
        <v>61.46</v>
      </c>
      <c r="D32">
        <v>61</v>
      </c>
      <c r="E32">
        <v>61.37</v>
      </c>
      <c r="F32">
        <v>3481500</v>
      </c>
      <c r="G32">
        <v>60.88</v>
      </c>
    </row>
    <row r="33" spans="1:7" x14ac:dyDescent="0.25">
      <c r="A33" s="34">
        <v>41864</v>
      </c>
      <c r="B33">
        <v>61.24</v>
      </c>
      <c r="C33">
        <v>61.49</v>
      </c>
      <c r="D33">
        <v>60.46</v>
      </c>
      <c r="E33">
        <v>60.59</v>
      </c>
      <c r="F33">
        <v>4136900</v>
      </c>
      <c r="G33">
        <v>60.59</v>
      </c>
    </row>
    <row r="34" spans="1:7" x14ac:dyDescent="0.25">
      <c r="A34" s="34">
        <v>41865</v>
      </c>
      <c r="B34">
        <v>60.78</v>
      </c>
      <c r="C34">
        <v>61.22</v>
      </c>
      <c r="D34">
        <v>60.78</v>
      </c>
      <c r="E34">
        <v>61.19</v>
      </c>
      <c r="F34">
        <v>1801600</v>
      </c>
      <c r="G34">
        <v>61.19</v>
      </c>
    </row>
    <row r="35" spans="1:7" x14ac:dyDescent="0.25">
      <c r="A35" s="34">
        <v>41866</v>
      </c>
      <c r="B35">
        <v>61.33</v>
      </c>
      <c r="C35">
        <v>61.46</v>
      </c>
      <c r="D35">
        <v>60.5</v>
      </c>
      <c r="E35">
        <v>60.84</v>
      </c>
      <c r="F35">
        <v>3075600</v>
      </c>
      <c r="G35">
        <v>60.84</v>
      </c>
    </row>
    <row r="36" spans="1:7" x14ac:dyDescent="0.25">
      <c r="A36" s="34">
        <v>41869</v>
      </c>
      <c r="B36">
        <v>61.18</v>
      </c>
      <c r="C36">
        <v>61.45</v>
      </c>
      <c r="D36">
        <v>61.07</v>
      </c>
      <c r="E36">
        <v>61.35</v>
      </c>
      <c r="F36">
        <v>2198300</v>
      </c>
      <c r="G36">
        <v>61.35</v>
      </c>
    </row>
    <row r="37" spans="1:7" x14ac:dyDescent="0.25">
      <c r="A37" s="34">
        <v>41870</v>
      </c>
      <c r="B37">
        <v>61.89</v>
      </c>
      <c r="C37">
        <v>62.36</v>
      </c>
      <c r="D37">
        <v>61.32</v>
      </c>
      <c r="E37">
        <v>62.16</v>
      </c>
      <c r="F37">
        <v>3504600</v>
      </c>
      <c r="G37">
        <v>62.16</v>
      </c>
    </row>
    <row r="38" spans="1:7" x14ac:dyDescent="0.25">
      <c r="A38" s="34">
        <v>41871</v>
      </c>
      <c r="B38">
        <v>61.94</v>
      </c>
      <c r="C38">
        <v>62.24</v>
      </c>
      <c r="D38">
        <v>61.67</v>
      </c>
      <c r="E38">
        <v>62.01</v>
      </c>
      <c r="F38">
        <v>2082200</v>
      </c>
      <c r="G38">
        <v>62.01</v>
      </c>
    </row>
    <row r="39" spans="1:7" x14ac:dyDescent="0.25">
      <c r="A39" s="34">
        <v>41872</v>
      </c>
      <c r="B39">
        <v>62.37</v>
      </c>
      <c r="C39">
        <v>62.44</v>
      </c>
      <c r="D39">
        <v>61.91</v>
      </c>
      <c r="E39">
        <v>62.03</v>
      </c>
      <c r="F39">
        <v>2833400</v>
      </c>
      <c r="G39">
        <v>62.03</v>
      </c>
    </row>
    <row r="40" spans="1:7" x14ac:dyDescent="0.25">
      <c r="A40" s="34">
        <v>41873</v>
      </c>
      <c r="B40">
        <v>62.01</v>
      </c>
      <c r="C40">
        <v>62.81</v>
      </c>
      <c r="D40">
        <v>61.9</v>
      </c>
      <c r="E40">
        <v>62.32</v>
      </c>
      <c r="F40">
        <v>3147200</v>
      </c>
      <c r="G40">
        <v>62.32</v>
      </c>
    </row>
    <row r="41" spans="1:7" x14ac:dyDescent="0.25">
      <c r="A41" s="34">
        <v>41876</v>
      </c>
      <c r="B41">
        <v>62.43</v>
      </c>
      <c r="C41">
        <v>63.13</v>
      </c>
      <c r="D41">
        <v>62.19</v>
      </c>
      <c r="E41">
        <v>62.73</v>
      </c>
      <c r="F41">
        <v>2031700</v>
      </c>
      <c r="G41">
        <v>62.73</v>
      </c>
    </row>
    <row r="42" spans="1:7" x14ac:dyDescent="0.25">
      <c r="A42" s="34">
        <v>41877</v>
      </c>
      <c r="B42">
        <v>62.71</v>
      </c>
      <c r="C42">
        <v>63.02</v>
      </c>
      <c r="D42">
        <v>62.62</v>
      </c>
      <c r="E42">
        <v>62.81</v>
      </c>
      <c r="F42">
        <v>1867400</v>
      </c>
      <c r="G42">
        <v>62.81</v>
      </c>
    </row>
    <row r="43" spans="1:7" x14ac:dyDescent="0.25">
      <c r="A43" s="34">
        <v>41878</v>
      </c>
      <c r="B43">
        <v>63.19</v>
      </c>
      <c r="C43">
        <v>63.29</v>
      </c>
      <c r="D43">
        <v>62.8</v>
      </c>
      <c r="E43">
        <v>63</v>
      </c>
      <c r="F43">
        <v>3057300</v>
      </c>
      <c r="G43">
        <v>63</v>
      </c>
    </row>
    <row r="44" spans="1:7" x14ac:dyDescent="0.25">
      <c r="A44" s="34">
        <v>41879</v>
      </c>
      <c r="B44">
        <v>62.81</v>
      </c>
      <c r="C44">
        <v>63.27</v>
      </c>
      <c r="D44">
        <v>62.54</v>
      </c>
      <c r="E44">
        <v>63.11</v>
      </c>
      <c r="F44">
        <v>2162000</v>
      </c>
      <c r="G44">
        <v>63.11</v>
      </c>
    </row>
    <row r="45" spans="1:7" x14ac:dyDescent="0.25">
      <c r="A45" s="34">
        <v>41880</v>
      </c>
      <c r="B45">
        <v>63.37</v>
      </c>
      <c r="C45">
        <v>63.59</v>
      </c>
      <c r="D45">
        <v>62.97</v>
      </c>
      <c r="E45">
        <v>63.56</v>
      </c>
      <c r="F45">
        <v>3373600</v>
      </c>
      <c r="G45">
        <v>63.56</v>
      </c>
    </row>
    <row r="46" spans="1:7" x14ac:dyDescent="0.25">
      <c r="A46" s="34">
        <v>41884</v>
      </c>
      <c r="B46">
        <v>63.6</v>
      </c>
      <c r="C46">
        <v>63.87</v>
      </c>
      <c r="D46">
        <v>63.48</v>
      </c>
      <c r="E46">
        <v>63.68</v>
      </c>
      <c r="F46">
        <v>3470600</v>
      </c>
      <c r="G46">
        <v>63.68</v>
      </c>
    </row>
    <row r="47" spans="1:7" x14ac:dyDescent="0.25">
      <c r="A47" s="34">
        <v>41885</v>
      </c>
      <c r="B47">
        <v>63.91</v>
      </c>
      <c r="C47">
        <v>64.16</v>
      </c>
      <c r="D47">
        <v>63.75</v>
      </c>
      <c r="E47">
        <v>64.150000000000006</v>
      </c>
      <c r="F47">
        <v>4655400</v>
      </c>
      <c r="G47">
        <v>64.150000000000006</v>
      </c>
    </row>
    <row r="48" spans="1:7" x14ac:dyDescent="0.25">
      <c r="A48" s="34">
        <v>41886</v>
      </c>
      <c r="B48">
        <v>64.12</v>
      </c>
      <c r="C48">
        <v>64.37</v>
      </c>
      <c r="D48">
        <v>64</v>
      </c>
      <c r="E48">
        <v>64.22</v>
      </c>
      <c r="F48">
        <v>5792000</v>
      </c>
      <c r="G48">
        <v>64.22</v>
      </c>
    </row>
    <row r="49" spans="1:7" x14ac:dyDescent="0.25">
      <c r="A49" s="34">
        <v>41887</v>
      </c>
      <c r="B49">
        <v>64.11</v>
      </c>
      <c r="C49">
        <v>64.819999999999993</v>
      </c>
      <c r="D49">
        <v>63.97</v>
      </c>
      <c r="E49">
        <v>64.72</v>
      </c>
      <c r="F49">
        <v>5445900</v>
      </c>
      <c r="G49">
        <v>64.72</v>
      </c>
    </row>
    <row r="50" spans="1:7" x14ac:dyDescent="0.25">
      <c r="A50" s="34">
        <v>41890</v>
      </c>
      <c r="B50">
        <v>64.62</v>
      </c>
      <c r="C50">
        <v>65.25</v>
      </c>
      <c r="D50">
        <v>64.59</v>
      </c>
      <c r="E50">
        <v>65</v>
      </c>
      <c r="F50">
        <v>4246700</v>
      </c>
      <c r="G50">
        <v>65</v>
      </c>
    </row>
    <row r="51" spans="1:7" x14ac:dyDescent="0.25">
      <c r="A51" s="34">
        <v>41891</v>
      </c>
      <c r="B51">
        <v>64.73</v>
      </c>
      <c r="C51">
        <v>64.83</v>
      </c>
      <c r="D51">
        <v>64.099999999999994</v>
      </c>
      <c r="E51">
        <v>64.44</v>
      </c>
      <c r="F51">
        <v>4732400</v>
      </c>
      <c r="G51">
        <v>64.44</v>
      </c>
    </row>
    <row r="52" spans="1:7" x14ac:dyDescent="0.25">
      <c r="A52" s="34">
        <v>41892</v>
      </c>
      <c r="B52">
        <v>64.84</v>
      </c>
      <c r="C52">
        <v>64.959999999999994</v>
      </c>
      <c r="D52">
        <v>64.33</v>
      </c>
      <c r="E52">
        <v>64.78</v>
      </c>
      <c r="F52">
        <v>3893000</v>
      </c>
      <c r="G52">
        <v>64.78</v>
      </c>
    </row>
    <row r="53" spans="1:7" x14ac:dyDescent="0.25">
      <c r="A53" s="34">
        <v>41893</v>
      </c>
      <c r="B53">
        <v>64.650000000000006</v>
      </c>
      <c r="C53">
        <v>65.19</v>
      </c>
      <c r="D53">
        <v>64.56</v>
      </c>
      <c r="E53">
        <v>65.180000000000007</v>
      </c>
      <c r="F53">
        <v>3577000</v>
      </c>
      <c r="G53">
        <v>65.180000000000007</v>
      </c>
    </row>
    <row r="54" spans="1:7" x14ac:dyDescent="0.25">
      <c r="A54" s="34">
        <v>41894</v>
      </c>
      <c r="B54">
        <v>65.25</v>
      </c>
      <c r="C54">
        <v>65.540000000000006</v>
      </c>
      <c r="D54">
        <v>65</v>
      </c>
      <c r="E54">
        <v>65.27</v>
      </c>
      <c r="F54">
        <v>5376800</v>
      </c>
      <c r="G54">
        <v>65.27</v>
      </c>
    </row>
    <row r="55" spans="1:7" x14ac:dyDescent="0.25">
      <c r="A55" s="34">
        <v>41897</v>
      </c>
      <c r="B55">
        <v>65.14</v>
      </c>
      <c r="C55">
        <v>65.239999999999995</v>
      </c>
      <c r="D55">
        <v>64.790000000000006</v>
      </c>
      <c r="E55">
        <v>65.19</v>
      </c>
      <c r="F55">
        <v>2720900</v>
      </c>
      <c r="G55">
        <v>65.19</v>
      </c>
    </row>
  </sheetData>
  <sortState ref="A3:G55">
    <sortCondition ref="A3:A55"/>
  </sortState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160.04</v>
      </c>
      <c r="C3">
        <v>161.77000000000001</v>
      </c>
      <c r="D3">
        <v>158.59</v>
      </c>
      <c r="E3">
        <v>160.63999999999999</v>
      </c>
      <c r="F3">
        <v>1358200</v>
      </c>
      <c r="G3">
        <v>159.43</v>
      </c>
    </row>
    <row r="4" spans="1:7" x14ac:dyDescent="0.25">
      <c r="A4" s="34">
        <v>41822</v>
      </c>
      <c r="B4">
        <v>160.77000000000001</v>
      </c>
      <c r="C4">
        <v>160.88</v>
      </c>
      <c r="D4">
        <v>158.19999999999999</v>
      </c>
      <c r="E4">
        <v>158.97999999999999</v>
      </c>
      <c r="F4">
        <v>1309800</v>
      </c>
      <c r="G4">
        <v>157.78</v>
      </c>
    </row>
    <row r="5" spans="1:7" x14ac:dyDescent="0.25">
      <c r="A5" s="34">
        <v>41823</v>
      </c>
      <c r="B5">
        <v>159.80000000000001</v>
      </c>
      <c r="C5">
        <v>160.38</v>
      </c>
      <c r="D5">
        <v>159.11000000000001</v>
      </c>
      <c r="E5">
        <v>159.9</v>
      </c>
      <c r="F5">
        <v>687200</v>
      </c>
      <c r="G5">
        <v>158.69999999999999</v>
      </c>
    </row>
    <row r="6" spans="1:7" x14ac:dyDescent="0.25">
      <c r="A6" s="34">
        <v>41827</v>
      </c>
      <c r="B6">
        <v>159.25</v>
      </c>
      <c r="C6">
        <v>159.71</v>
      </c>
      <c r="D6">
        <v>157.71</v>
      </c>
      <c r="E6">
        <v>158.30000000000001</v>
      </c>
      <c r="F6">
        <v>1164700</v>
      </c>
      <c r="G6">
        <v>157.11000000000001</v>
      </c>
    </row>
    <row r="7" spans="1:7" x14ac:dyDescent="0.25">
      <c r="A7" s="34">
        <v>41828</v>
      </c>
      <c r="B7">
        <v>158.44</v>
      </c>
      <c r="C7">
        <v>158.44</v>
      </c>
      <c r="D7">
        <v>156.96</v>
      </c>
      <c r="E7">
        <v>157.21</v>
      </c>
      <c r="F7">
        <v>970900</v>
      </c>
      <c r="G7">
        <v>156.03</v>
      </c>
    </row>
    <row r="8" spans="1:7" x14ac:dyDescent="0.25">
      <c r="A8" s="34">
        <v>41829</v>
      </c>
      <c r="B8">
        <v>158.12</v>
      </c>
      <c r="C8">
        <v>158.72999999999999</v>
      </c>
      <c r="D8">
        <v>157.43</v>
      </c>
      <c r="E8">
        <v>157.93</v>
      </c>
      <c r="F8">
        <v>827400</v>
      </c>
      <c r="G8">
        <v>156.74</v>
      </c>
    </row>
    <row r="9" spans="1:7" x14ac:dyDescent="0.25">
      <c r="A9" s="34">
        <v>41830</v>
      </c>
      <c r="B9">
        <v>156.22999999999999</v>
      </c>
      <c r="C9">
        <v>159.04</v>
      </c>
      <c r="D9">
        <v>156.22999999999999</v>
      </c>
      <c r="E9">
        <v>158.18</v>
      </c>
      <c r="F9">
        <v>815700</v>
      </c>
      <c r="G9">
        <v>156.99</v>
      </c>
    </row>
    <row r="10" spans="1:7" x14ac:dyDescent="0.25">
      <c r="A10" s="34">
        <v>41831</v>
      </c>
      <c r="B10">
        <v>158.13</v>
      </c>
      <c r="C10">
        <v>160.62</v>
      </c>
      <c r="D10">
        <v>157.93</v>
      </c>
      <c r="E10">
        <v>160.31</v>
      </c>
      <c r="F10">
        <v>1073600</v>
      </c>
      <c r="G10">
        <v>159.1</v>
      </c>
    </row>
    <row r="11" spans="1:7" x14ac:dyDescent="0.25">
      <c r="A11" s="34">
        <v>41834</v>
      </c>
      <c r="B11">
        <v>160.78</v>
      </c>
      <c r="C11">
        <v>161.97999999999999</v>
      </c>
      <c r="D11">
        <v>160.5</v>
      </c>
      <c r="E11">
        <v>161.81</v>
      </c>
      <c r="F11">
        <v>1045100</v>
      </c>
      <c r="G11">
        <v>160.59</v>
      </c>
    </row>
    <row r="12" spans="1:7" x14ac:dyDescent="0.25">
      <c r="A12" s="34">
        <v>41835</v>
      </c>
      <c r="B12">
        <v>161.72999999999999</v>
      </c>
      <c r="C12">
        <v>163.49</v>
      </c>
      <c r="D12">
        <v>161.47</v>
      </c>
      <c r="E12">
        <v>162.62</v>
      </c>
      <c r="F12">
        <v>1312000</v>
      </c>
      <c r="G12">
        <v>161.38999999999999</v>
      </c>
    </row>
    <row r="13" spans="1:7" x14ac:dyDescent="0.25">
      <c r="A13" s="34">
        <v>41836</v>
      </c>
      <c r="B13">
        <v>163.08000000000001</v>
      </c>
      <c r="C13">
        <v>163.46</v>
      </c>
      <c r="D13">
        <v>161.15</v>
      </c>
      <c r="E13">
        <v>161.55000000000001</v>
      </c>
      <c r="F13">
        <v>947800</v>
      </c>
      <c r="G13">
        <v>160.33000000000001</v>
      </c>
    </row>
    <row r="14" spans="1:7" x14ac:dyDescent="0.25">
      <c r="A14" s="34">
        <v>41837</v>
      </c>
      <c r="B14">
        <v>161.11000000000001</v>
      </c>
      <c r="C14">
        <v>163.19999999999999</v>
      </c>
      <c r="D14">
        <v>160.56</v>
      </c>
      <c r="E14">
        <v>161.33000000000001</v>
      </c>
      <c r="F14">
        <v>1190600</v>
      </c>
      <c r="G14">
        <v>160.11000000000001</v>
      </c>
    </row>
    <row r="15" spans="1:7" x14ac:dyDescent="0.25">
      <c r="A15" s="34">
        <v>41838</v>
      </c>
      <c r="B15">
        <v>161.82</v>
      </c>
      <c r="C15">
        <v>162.54</v>
      </c>
      <c r="D15">
        <v>161.06</v>
      </c>
      <c r="E15">
        <v>162.49</v>
      </c>
      <c r="F15">
        <v>1074700</v>
      </c>
      <c r="G15">
        <v>161.27000000000001</v>
      </c>
    </row>
    <row r="16" spans="1:7" x14ac:dyDescent="0.25">
      <c r="A16" s="34">
        <v>41841</v>
      </c>
      <c r="B16">
        <v>162</v>
      </c>
      <c r="C16">
        <v>163.66999999999999</v>
      </c>
      <c r="D16">
        <v>161.19</v>
      </c>
      <c r="E16">
        <v>162.97999999999999</v>
      </c>
      <c r="F16">
        <v>1201200</v>
      </c>
      <c r="G16">
        <v>161.75</v>
      </c>
    </row>
    <row r="17" spans="1:7" x14ac:dyDescent="0.25">
      <c r="A17" s="34">
        <v>41842</v>
      </c>
      <c r="B17">
        <v>164.5</v>
      </c>
      <c r="C17">
        <v>168.18</v>
      </c>
      <c r="D17">
        <v>164.39</v>
      </c>
      <c r="E17">
        <v>167.87</v>
      </c>
      <c r="F17">
        <v>2174500</v>
      </c>
      <c r="G17">
        <v>166.61</v>
      </c>
    </row>
    <row r="18" spans="1:7" x14ac:dyDescent="0.25">
      <c r="A18" s="34">
        <v>41843</v>
      </c>
      <c r="B18">
        <v>167.76</v>
      </c>
      <c r="C18">
        <v>169.21</v>
      </c>
      <c r="D18">
        <v>167.22</v>
      </c>
      <c r="E18">
        <v>168.1</v>
      </c>
      <c r="F18">
        <v>1808500</v>
      </c>
      <c r="G18">
        <v>166.83</v>
      </c>
    </row>
    <row r="19" spans="1:7" x14ac:dyDescent="0.25">
      <c r="A19" s="34">
        <v>41844</v>
      </c>
      <c r="B19">
        <v>168.53</v>
      </c>
      <c r="C19">
        <v>170.12</v>
      </c>
      <c r="D19">
        <v>167.82</v>
      </c>
      <c r="E19">
        <v>169.97</v>
      </c>
      <c r="F19">
        <v>1617600</v>
      </c>
      <c r="G19">
        <v>168.69</v>
      </c>
    </row>
    <row r="20" spans="1:7" x14ac:dyDescent="0.25">
      <c r="A20" s="34">
        <v>41845</v>
      </c>
      <c r="B20">
        <v>169.33</v>
      </c>
      <c r="C20">
        <v>170.69</v>
      </c>
      <c r="D20">
        <v>169.19</v>
      </c>
      <c r="E20">
        <v>170.04</v>
      </c>
      <c r="F20">
        <v>2112300</v>
      </c>
      <c r="G20">
        <v>168.76</v>
      </c>
    </row>
    <row r="21" spans="1:7" x14ac:dyDescent="0.25">
      <c r="A21" s="34">
        <v>41848</v>
      </c>
      <c r="B21">
        <v>169.99</v>
      </c>
      <c r="C21">
        <v>170.57</v>
      </c>
      <c r="D21">
        <v>168.3</v>
      </c>
      <c r="E21">
        <v>170</v>
      </c>
      <c r="F21">
        <v>1989600</v>
      </c>
      <c r="G21">
        <v>168.72</v>
      </c>
    </row>
    <row r="22" spans="1:7" x14ac:dyDescent="0.25">
      <c r="A22" s="34">
        <v>41849</v>
      </c>
      <c r="B22">
        <v>170.5</v>
      </c>
      <c r="C22">
        <v>170.66</v>
      </c>
      <c r="D22">
        <v>169.24</v>
      </c>
      <c r="E22">
        <v>169.33</v>
      </c>
      <c r="F22">
        <v>1063100</v>
      </c>
      <c r="G22">
        <v>168.05</v>
      </c>
    </row>
    <row r="23" spans="1:7" x14ac:dyDescent="0.25">
      <c r="A23" s="34">
        <v>41850</v>
      </c>
      <c r="B23">
        <v>170.24</v>
      </c>
      <c r="C23">
        <v>171.36</v>
      </c>
      <c r="D23">
        <v>168.84</v>
      </c>
      <c r="E23">
        <v>170.18</v>
      </c>
      <c r="F23">
        <v>1077200</v>
      </c>
      <c r="G23">
        <v>168.9</v>
      </c>
    </row>
    <row r="24" spans="1:7" x14ac:dyDescent="0.25">
      <c r="A24" s="34">
        <v>41851</v>
      </c>
      <c r="B24">
        <v>169.08</v>
      </c>
      <c r="C24">
        <v>169.24</v>
      </c>
      <c r="D24">
        <v>166.97</v>
      </c>
      <c r="E24">
        <v>166.97</v>
      </c>
      <c r="F24">
        <v>1935900</v>
      </c>
      <c r="G24">
        <v>165.71</v>
      </c>
    </row>
    <row r="25" spans="1:7" x14ac:dyDescent="0.25">
      <c r="A25" s="34">
        <v>41852</v>
      </c>
      <c r="B25">
        <v>166.72</v>
      </c>
      <c r="C25">
        <v>168.77</v>
      </c>
      <c r="D25">
        <v>166.19</v>
      </c>
      <c r="E25">
        <v>167.12</v>
      </c>
      <c r="F25">
        <v>1535900</v>
      </c>
      <c r="G25">
        <v>165.86</v>
      </c>
    </row>
    <row r="26" spans="1:7" x14ac:dyDescent="0.25">
      <c r="A26" s="34">
        <v>41855</v>
      </c>
      <c r="B26">
        <v>167.56</v>
      </c>
      <c r="C26">
        <v>168.58</v>
      </c>
      <c r="D26">
        <v>167.03</v>
      </c>
      <c r="E26">
        <v>168.29</v>
      </c>
      <c r="F26">
        <v>1196400</v>
      </c>
      <c r="G26">
        <v>167.02</v>
      </c>
    </row>
    <row r="27" spans="1:7" x14ac:dyDescent="0.25">
      <c r="A27" s="34">
        <v>41856</v>
      </c>
      <c r="B27">
        <v>167.79</v>
      </c>
      <c r="C27">
        <v>169.16</v>
      </c>
      <c r="D27">
        <v>166.56</v>
      </c>
      <c r="E27">
        <v>166.93</v>
      </c>
      <c r="F27">
        <v>1218900</v>
      </c>
      <c r="G27">
        <v>165.67</v>
      </c>
    </row>
    <row r="28" spans="1:7" x14ac:dyDescent="0.25">
      <c r="A28" s="34">
        <v>41857</v>
      </c>
      <c r="B28">
        <v>166.08</v>
      </c>
      <c r="C28">
        <v>166.08</v>
      </c>
      <c r="D28">
        <v>162.71</v>
      </c>
      <c r="E28">
        <v>163.05000000000001</v>
      </c>
      <c r="F28">
        <v>1883000</v>
      </c>
      <c r="G28">
        <v>161.82</v>
      </c>
    </row>
    <row r="29" spans="1:7" x14ac:dyDescent="0.25">
      <c r="A29" s="34">
        <v>41858</v>
      </c>
      <c r="B29">
        <v>164.28</v>
      </c>
      <c r="C29">
        <v>164.62</v>
      </c>
      <c r="D29">
        <v>162.52000000000001</v>
      </c>
      <c r="E29">
        <v>162.94999999999999</v>
      </c>
      <c r="F29">
        <v>1087100</v>
      </c>
      <c r="G29">
        <v>161.72</v>
      </c>
    </row>
    <row r="30" spans="1:7" x14ac:dyDescent="0.25">
      <c r="A30" s="34">
        <v>41859</v>
      </c>
      <c r="B30">
        <v>163.11000000000001</v>
      </c>
      <c r="C30">
        <v>166.19</v>
      </c>
      <c r="D30">
        <v>163.1</v>
      </c>
      <c r="E30">
        <v>165.8</v>
      </c>
      <c r="F30">
        <v>1196000</v>
      </c>
      <c r="G30">
        <v>164.55</v>
      </c>
    </row>
    <row r="31" spans="1:7" x14ac:dyDescent="0.25">
      <c r="A31" s="34">
        <v>41862</v>
      </c>
      <c r="B31">
        <v>166.86</v>
      </c>
      <c r="C31">
        <v>166.93</v>
      </c>
      <c r="D31">
        <v>166</v>
      </c>
      <c r="E31">
        <v>166.15</v>
      </c>
      <c r="F31">
        <v>801800</v>
      </c>
      <c r="G31">
        <v>164.9</v>
      </c>
    </row>
    <row r="32" spans="1:7" x14ac:dyDescent="0.25">
      <c r="A32" s="34">
        <v>41863</v>
      </c>
      <c r="B32">
        <v>166.15</v>
      </c>
      <c r="C32">
        <v>167.15</v>
      </c>
      <c r="D32">
        <v>165.26</v>
      </c>
      <c r="E32">
        <v>165.78</v>
      </c>
      <c r="F32">
        <v>779500</v>
      </c>
      <c r="G32">
        <v>164.53</v>
      </c>
    </row>
    <row r="33" spans="1:7" x14ac:dyDescent="0.25">
      <c r="A33" s="34">
        <v>41864</v>
      </c>
      <c r="B33">
        <v>166.15</v>
      </c>
      <c r="C33">
        <v>169.4</v>
      </c>
      <c r="D33">
        <v>166.15</v>
      </c>
      <c r="E33">
        <v>169.09</v>
      </c>
      <c r="F33">
        <v>1081600</v>
      </c>
      <c r="G33">
        <v>167.82</v>
      </c>
    </row>
    <row r="34" spans="1:7" x14ac:dyDescent="0.25">
      <c r="A34" s="34">
        <v>41865</v>
      </c>
      <c r="B34">
        <v>169.34</v>
      </c>
      <c r="C34">
        <v>170.21</v>
      </c>
      <c r="D34">
        <v>168.86</v>
      </c>
      <c r="E34">
        <v>169.5</v>
      </c>
      <c r="F34">
        <v>1030000</v>
      </c>
      <c r="G34">
        <v>168.22</v>
      </c>
    </row>
    <row r="35" spans="1:7" x14ac:dyDescent="0.25">
      <c r="A35" s="34">
        <v>41866</v>
      </c>
      <c r="B35">
        <v>169.91</v>
      </c>
      <c r="C35">
        <v>170.5</v>
      </c>
      <c r="D35">
        <v>167.94</v>
      </c>
      <c r="E35">
        <v>169.16</v>
      </c>
      <c r="F35">
        <v>1062400</v>
      </c>
      <c r="G35">
        <v>167.89</v>
      </c>
    </row>
    <row r="36" spans="1:7" x14ac:dyDescent="0.25">
      <c r="A36" s="34">
        <v>41869</v>
      </c>
      <c r="B36">
        <v>170.2</v>
      </c>
      <c r="C36">
        <v>172.1</v>
      </c>
      <c r="D36">
        <v>170.04</v>
      </c>
      <c r="E36">
        <v>171.52</v>
      </c>
      <c r="F36">
        <v>766400</v>
      </c>
      <c r="G36">
        <v>170.23</v>
      </c>
    </row>
    <row r="37" spans="1:7" x14ac:dyDescent="0.25">
      <c r="A37" s="34">
        <v>41870</v>
      </c>
      <c r="B37">
        <v>172.02</v>
      </c>
      <c r="C37">
        <v>172.4</v>
      </c>
      <c r="D37">
        <v>171.29</v>
      </c>
      <c r="E37">
        <v>172.13</v>
      </c>
      <c r="F37">
        <v>841100</v>
      </c>
      <c r="G37">
        <v>170.83</v>
      </c>
    </row>
    <row r="38" spans="1:7" x14ac:dyDescent="0.25">
      <c r="A38" s="34">
        <v>41871</v>
      </c>
      <c r="B38">
        <v>172.15</v>
      </c>
      <c r="C38">
        <v>175.47</v>
      </c>
      <c r="D38">
        <v>172.13</v>
      </c>
      <c r="E38">
        <v>175.31</v>
      </c>
      <c r="F38">
        <v>1351100</v>
      </c>
      <c r="G38">
        <v>173.99</v>
      </c>
    </row>
    <row r="39" spans="1:7" x14ac:dyDescent="0.25">
      <c r="A39" s="34">
        <v>41872</v>
      </c>
      <c r="B39">
        <v>174.92</v>
      </c>
      <c r="C39">
        <v>175.49</v>
      </c>
      <c r="D39">
        <v>174.18</v>
      </c>
      <c r="E39">
        <v>175.1</v>
      </c>
      <c r="F39">
        <v>1088200</v>
      </c>
      <c r="G39">
        <v>173.78</v>
      </c>
    </row>
    <row r="40" spans="1:7" x14ac:dyDescent="0.25">
      <c r="A40" s="34">
        <v>41873</v>
      </c>
      <c r="B40">
        <v>174.71</v>
      </c>
      <c r="C40">
        <v>176.13</v>
      </c>
      <c r="D40">
        <v>174.36</v>
      </c>
      <c r="E40">
        <v>175.15</v>
      </c>
      <c r="F40">
        <v>801400</v>
      </c>
      <c r="G40">
        <v>173.83</v>
      </c>
    </row>
    <row r="41" spans="1:7" x14ac:dyDescent="0.25">
      <c r="A41" s="34">
        <v>41876</v>
      </c>
      <c r="B41">
        <v>175.75</v>
      </c>
      <c r="C41">
        <v>177.07</v>
      </c>
      <c r="D41">
        <v>175.43</v>
      </c>
      <c r="E41">
        <v>176.53</v>
      </c>
      <c r="F41">
        <v>866400</v>
      </c>
      <c r="G41">
        <v>175.2</v>
      </c>
    </row>
    <row r="42" spans="1:7" x14ac:dyDescent="0.25">
      <c r="A42" s="34">
        <v>41877</v>
      </c>
      <c r="B42">
        <v>176.97</v>
      </c>
      <c r="C42">
        <v>177.01</v>
      </c>
      <c r="D42">
        <v>176.04</v>
      </c>
      <c r="E42">
        <v>176.61</v>
      </c>
      <c r="F42">
        <v>1036500</v>
      </c>
      <c r="G42">
        <v>175.28</v>
      </c>
    </row>
    <row r="43" spans="1:7" x14ac:dyDescent="0.25">
      <c r="A43" s="34">
        <v>41878</v>
      </c>
      <c r="B43">
        <v>176.99</v>
      </c>
      <c r="C43">
        <v>177.19</v>
      </c>
      <c r="D43">
        <v>176</v>
      </c>
      <c r="E43">
        <v>176.52</v>
      </c>
      <c r="F43">
        <v>1115200</v>
      </c>
      <c r="G43">
        <v>175.19</v>
      </c>
    </row>
    <row r="44" spans="1:7" x14ac:dyDescent="0.25">
      <c r="A44" s="34">
        <v>41879</v>
      </c>
      <c r="B44">
        <v>174.67</v>
      </c>
      <c r="C44">
        <v>175.05</v>
      </c>
      <c r="D44">
        <v>173.74</v>
      </c>
      <c r="E44">
        <v>174.1</v>
      </c>
      <c r="F44">
        <v>1455800</v>
      </c>
      <c r="G44">
        <v>174.1</v>
      </c>
    </row>
    <row r="45" spans="1:7" x14ac:dyDescent="0.25">
      <c r="A45" s="34">
        <v>41880</v>
      </c>
      <c r="B45">
        <v>174.76</v>
      </c>
      <c r="C45">
        <v>175.09</v>
      </c>
      <c r="D45">
        <v>173.75</v>
      </c>
      <c r="E45">
        <v>174</v>
      </c>
      <c r="F45">
        <v>1532000</v>
      </c>
      <c r="G45">
        <v>174</v>
      </c>
    </row>
    <row r="46" spans="1:7" x14ac:dyDescent="0.25">
      <c r="A46" s="34">
        <v>41884</v>
      </c>
      <c r="B46">
        <v>175.14</v>
      </c>
      <c r="C46">
        <v>175.31</v>
      </c>
      <c r="D46">
        <v>173.07</v>
      </c>
      <c r="E46">
        <v>173.8</v>
      </c>
      <c r="F46">
        <v>1547700</v>
      </c>
      <c r="G46">
        <v>173.8</v>
      </c>
    </row>
    <row r="47" spans="1:7" x14ac:dyDescent="0.25">
      <c r="A47" s="34">
        <v>41885</v>
      </c>
      <c r="B47">
        <v>174.94</v>
      </c>
      <c r="C47">
        <v>175.64</v>
      </c>
      <c r="D47">
        <v>173.21</v>
      </c>
      <c r="E47">
        <v>173.5</v>
      </c>
      <c r="F47">
        <v>1454800</v>
      </c>
      <c r="G47">
        <v>173.5</v>
      </c>
    </row>
    <row r="48" spans="1:7" x14ac:dyDescent="0.25">
      <c r="A48" s="34">
        <v>41886</v>
      </c>
      <c r="B48">
        <v>173.99</v>
      </c>
      <c r="C48">
        <v>174.49</v>
      </c>
      <c r="D48">
        <v>172.76</v>
      </c>
      <c r="E48">
        <v>173.04</v>
      </c>
      <c r="F48">
        <v>1109000</v>
      </c>
      <c r="G48">
        <v>173.04</v>
      </c>
    </row>
    <row r="49" spans="1:7" x14ac:dyDescent="0.25">
      <c r="A49" s="34">
        <v>41887</v>
      </c>
      <c r="B49">
        <v>173.17</v>
      </c>
      <c r="C49">
        <v>174.65</v>
      </c>
      <c r="D49">
        <v>172.37</v>
      </c>
      <c r="E49">
        <v>174.58</v>
      </c>
      <c r="F49">
        <v>983600</v>
      </c>
      <c r="G49">
        <v>174.58</v>
      </c>
    </row>
    <row r="50" spans="1:7" x14ac:dyDescent="0.25">
      <c r="A50" s="34">
        <v>41890</v>
      </c>
      <c r="B50">
        <v>174.52</v>
      </c>
      <c r="C50">
        <v>175.57</v>
      </c>
      <c r="D50">
        <v>174.36</v>
      </c>
      <c r="E50">
        <v>174.77</v>
      </c>
      <c r="F50">
        <v>926500</v>
      </c>
      <c r="G50">
        <v>174.77</v>
      </c>
    </row>
    <row r="51" spans="1:7" x14ac:dyDescent="0.25">
      <c r="A51" s="34">
        <v>41891</v>
      </c>
      <c r="B51">
        <v>175.6</v>
      </c>
      <c r="C51">
        <v>176.35</v>
      </c>
      <c r="D51">
        <v>174.84</v>
      </c>
      <c r="E51">
        <v>174.94</v>
      </c>
      <c r="F51">
        <v>1418300</v>
      </c>
      <c r="G51">
        <v>174.94</v>
      </c>
    </row>
    <row r="52" spans="1:7" x14ac:dyDescent="0.25">
      <c r="A52" s="34">
        <v>41892</v>
      </c>
      <c r="B52">
        <v>174.96</v>
      </c>
      <c r="C52">
        <v>175.03</v>
      </c>
      <c r="D52">
        <v>173.72</v>
      </c>
      <c r="E52">
        <v>174.59</v>
      </c>
      <c r="F52">
        <v>2210500</v>
      </c>
      <c r="G52">
        <v>174.59</v>
      </c>
    </row>
    <row r="53" spans="1:7" x14ac:dyDescent="0.25">
      <c r="A53" s="34">
        <v>41893</v>
      </c>
      <c r="B53">
        <v>174.38</v>
      </c>
      <c r="C53">
        <v>174.77</v>
      </c>
      <c r="D53">
        <v>173.58</v>
      </c>
      <c r="E53">
        <v>174.2</v>
      </c>
      <c r="F53">
        <v>1299200</v>
      </c>
      <c r="G53">
        <v>174.2</v>
      </c>
    </row>
    <row r="54" spans="1:7" x14ac:dyDescent="0.25">
      <c r="A54" s="34">
        <v>41894</v>
      </c>
      <c r="B54">
        <v>174.17</v>
      </c>
      <c r="C54">
        <v>174.99</v>
      </c>
      <c r="D54">
        <v>173.71</v>
      </c>
      <c r="E54">
        <v>174.43</v>
      </c>
      <c r="F54">
        <v>759400</v>
      </c>
      <c r="G54">
        <v>174.43</v>
      </c>
    </row>
    <row r="55" spans="1:7" x14ac:dyDescent="0.25">
      <c r="A55" s="34">
        <v>41897</v>
      </c>
      <c r="B55">
        <v>174.42</v>
      </c>
      <c r="C55">
        <v>175.78</v>
      </c>
      <c r="D55">
        <v>173.92</v>
      </c>
      <c r="E55">
        <v>175.6</v>
      </c>
      <c r="F55">
        <v>678500</v>
      </c>
      <c r="G55">
        <v>175.6</v>
      </c>
    </row>
  </sheetData>
  <sortState ref="A3:G55">
    <sortCondition ref="A3:A55"/>
  </sortState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48.03</v>
      </c>
      <c r="C3">
        <v>48.42</v>
      </c>
      <c r="D3">
        <v>47.97</v>
      </c>
      <c r="E3">
        <v>48.13</v>
      </c>
      <c r="F3">
        <v>5843800</v>
      </c>
      <c r="G3">
        <v>47.9</v>
      </c>
    </row>
    <row r="4" spans="1:7" x14ac:dyDescent="0.25">
      <c r="A4" s="34">
        <v>41822</v>
      </c>
      <c r="B4">
        <v>48.16</v>
      </c>
      <c r="C4">
        <v>48.39</v>
      </c>
      <c r="D4">
        <v>48</v>
      </c>
      <c r="E4">
        <v>48.12</v>
      </c>
      <c r="F4">
        <v>3097900</v>
      </c>
      <c r="G4">
        <v>47.89</v>
      </c>
    </row>
    <row r="5" spans="1:7" x14ac:dyDescent="0.25">
      <c r="A5" s="34">
        <v>41823</v>
      </c>
      <c r="B5">
        <v>48.22</v>
      </c>
      <c r="C5">
        <v>48.44</v>
      </c>
      <c r="D5">
        <v>48.18</v>
      </c>
      <c r="E5">
        <v>48.23</v>
      </c>
      <c r="F5">
        <v>2132400</v>
      </c>
      <c r="G5">
        <v>48</v>
      </c>
    </row>
    <row r="6" spans="1:7" x14ac:dyDescent="0.25">
      <c r="A6" s="34">
        <v>41827</v>
      </c>
      <c r="B6">
        <v>48.1</v>
      </c>
      <c r="C6">
        <v>48.4</v>
      </c>
      <c r="D6">
        <v>47.97</v>
      </c>
      <c r="E6">
        <v>48.21</v>
      </c>
      <c r="F6">
        <v>4538000</v>
      </c>
      <c r="G6">
        <v>47.98</v>
      </c>
    </row>
    <row r="7" spans="1:7" x14ac:dyDescent="0.25">
      <c r="A7" s="34">
        <v>41828</v>
      </c>
      <c r="B7">
        <v>48.08</v>
      </c>
      <c r="C7">
        <v>48.15</v>
      </c>
      <c r="D7">
        <v>47.63</v>
      </c>
      <c r="E7">
        <v>47.82</v>
      </c>
      <c r="F7">
        <v>5011300</v>
      </c>
      <c r="G7">
        <v>47.59</v>
      </c>
    </row>
    <row r="8" spans="1:7" x14ac:dyDescent="0.25">
      <c r="A8" s="34">
        <v>41829</v>
      </c>
      <c r="B8">
        <v>48.01</v>
      </c>
      <c r="C8">
        <v>48.32</v>
      </c>
      <c r="D8">
        <v>47.59</v>
      </c>
      <c r="E8">
        <v>47.86</v>
      </c>
      <c r="F8">
        <v>5830900</v>
      </c>
      <c r="G8">
        <v>47.63</v>
      </c>
    </row>
    <row r="9" spans="1:7" x14ac:dyDescent="0.25">
      <c r="A9" s="34">
        <v>41830</v>
      </c>
      <c r="B9">
        <v>46.67</v>
      </c>
      <c r="C9">
        <v>47.42</v>
      </c>
      <c r="D9">
        <v>46.48</v>
      </c>
      <c r="E9">
        <v>47.2</v>
      </c>
      <c r="F9">
        <v>8008700</v>
      </c>
      <c r="G9">
        <v>46.97</v>
      </c>
    </row>
    <row r="10" spans="1:7" x14ac:dyDescent="0.25">
      <c r="A10" s="34">
        <v>41831</v>
      </c>
      <c r="B10">
        <v>47.18</v>
      </c>
      <c r="C10">
        <v>47.51</v>
      </c>
      <c r="D10">
        <v>47.09</v>
      </c>
      <c r="E10">
        <v>47.44</v>
      </c>
      <c r="F10">
        <v>4430800</v>
      </c>
      <c r="G10">
        <v>47.21</v>
      </c>
    </row>
    <row r="11" spans="1:7" x14ac:dyDescent="0.25">
      <c r="A11" s="34">
        <v>41834</v>
      </c>
      <c r="B11">
        <v>47.7</v>
      </c>
      <c r="C11">
        <v>47.7</v>
      </c>
      <c r="D11">
        <v>47.14</v>
      </c>
      <c r="E11">
        <v>47.22</v>
      </c>
      <c r="F11">
        <v>4358900</v>
      </c>
      <c r="G11">
        <v>46.99</v>
      </c>
    </row>
    <row r="12" spans="1:7" x14ac:dyDescent="0.25">
      <c r="A12" s="34">
        <v>41835</v>
      </c>
      <c r="B12">
        <v>47.35</v>
      </c>
      <c r="C12">
        <v>47.73</v>
      </c>
      <c r="D12">
        <v>47.27</v>
      </c>
      <c r="E12">
        <v>47.51</v>
      </c>
      <c r="F12">
        <v>5921700</v>
      </c>
      <c r="G12">
        <v>47.28</v>
      </c>
    </row>
    <row r="13" spans="1:7" x14ac:dyDescent="0.25">
      <c r="A13" s="34">
        <v>41836</v>
      </c>
      <c r="B13">
        <v>47.63</v>
      </c>
      <c r="C13">
        <v>47.77</v>
      </c>
      <c r="D13">
        <v>47.23</v>
      </c>
      <c r="E13">
        <v>47.66</v>
      </c>
      <c r="F13">
        <v>5318100</v>
      </c>
      <c r="G13">
        <v>47.43</v>
      </c>
    </row>
    <row r="14" spans="1:7" x14ac:dyDescent="0.25">
      <c r="A14" s="34">
        <v>41837</v>
      </c>
      <c r="B14">
        <v>47.42</v>
      </c>
      <c r="C14">
        <v>47.78</v>
      </c>
      <c r="D14">
        <v>47.22</v>
      </c>
      <c r="E14">
        <v>47.3</v>
      </c>
      <c r="F14">
        <v>5010000</v>
      </c>
      <c r="G14">
        <v>47.07</v>
      </c>
    </row>
    <row r="15" spans="1:7" x14ac:dyDescent="0.25">
      <c r="A15" s="34">
        <v>41838</v>
      </c>
      <c r="B15">
        <v>47.45</v>
      </c>
      <c r="C15">
        <v>47.87</v>
      </c>
      <c r="D15">
        <v>47.38</v>
      </c>
      <c r="E15">
        <v>47.81</v>
      </c>
      <c r="F15">
        <v>5211200</v>
      </c>
      <c r="G15">
        <v>47.58</v>
      </c>
    </row>
    <row r="16" spans="1:7" x14ac:dyDescent="0.25">
      <c r="A16" s="34">
        <v>41841</v>
      </c>
      <c r="B16">
        <v>47.62</v>
      </c>
      <c r="C16">
        <v>47.76</v>
      </c>
      <c r="D16">
        <v>47.42</v>
      </c>
      <c r="E16">
        <v>47.58</v>
      </c>
      <c r="F16">
        <v>3117900</v>
      </c>
      <c r="G16">
        <v>47.58</v>
      </c>
    </row>
    <row r="17" spans="1:7" x14ac:dyDescent="0.25">
      <c r="A17" s="34">
        <v>41842</v>
      </c>
      <c r="B17">
        <v>47.59</v>
      </c>
      <c r="C17">
        <v>48.08</v>
      </c>
      <c r="D17">
        <v>47.54</v>
      </c>
      <c r="E17">
        <v>47.79</v>
      </c>
      <c r="F17">
        <v>3222400</v>
      </c>
      <c r="G17">
        <v>47.79</v>
      </c>
    </row>
    <row r="18" spans="1:7" x14ac:dyDescent="0.25">
      <c r="A18" s="34">
        <v>41843</v>
      </c>
      <c r="B18">
        <v>47.77</v>
      </c>
      <c r="C18">
        <v>48</v>
      </c>
      <c r="D18">
        <v>47.6</v>
      </c>
      <c r="E18">
        <v>47.91</v>
      </c>
      <c r="F18">
        <v>3917900</v>
      </c>
      <c r="G18">
        <v>47.91</v>
      </c>
    </row>
    <row r="19" spans="1:7" x14ac:dyDescent="0.25">
      <c r="A19" s="34">
        <v>41844</v>
      </c>
      <c r="B19">
        <v>47.98</v>
      </c>
      <c r="C19">
        <v>48.36</v>
      </c>
      <c r="D19">
        <v>47.88</v>
      </c>
      <c r="E19">
        <v>48</v>
      </c>
      <c r="F19">
        <v>3934600</v>
      </c>
      <c r="G19">
        <v>48</v>
      </c>
    </row>
    <row r="20" spans="1:7" x14ac:dyDescent="0.25">
      <c r="A20" s="34">
        <v>41845</v>
      </c>
      <c r="B20">
        <v>47.81</v>
      </c>
      <c r="C20">
        <v>48.13</v>
      </c>
      <c r="D20">
        <v>47.55</v>
      </c>
      <c r="E20">
        <v>47.7</v>
      </c>
      <c r="F20">
        <v>4531100</v>
      </c>
      <c r="G20">
        <v>47.7</v>
      </c>
    </row>
    <row r="21" spans="1:7" x14ac:dyDescent="0.25">
      <c r="A21" s="34">
        <v>41848</v>
      </c>
      <c r="B21">
        <v>47.76</v>
      </c>
      <c r="C21">
        <v>47.85</v>
      </c>
      <c r="D21">
        <v>47.35</v>
      </c>
      <c r="E21">
        <v>47.69</v>
      </c>
      <c r="F21">
        <v>3192900</v>
      </c>
      <c r="G21">
        <v>47.69</v>
      </c>
    </row>
    <row r="22" spans="1:7" x14ac:dyDescent="0.25">
      <c r="A22" s="34">
        <v>41849</v>
      </c>
      <c r="B22">
        <v>47.72</v>
      </c>
      <c r="C22">
        <v>48.26</v>
      </c>
      <c r="D22">
        <v>47.7</v>
      </c>
      <c r="E22">
        <v>48.04</v>
      </c>
      <c r="F22">
        <v>4181400</v>
      </c>
      <c r="G22">
        <v>48.04</v>
      </c>
    </row>
    <row r="23" spans="1:7" x14ac:dyDescent="0.25">
      <c r="A23" s="34">
        <v>41850</v>
      </c>
      <c r="B23">
        <v>48.2</v>
      </c>
      <c r="C23">
        <v>48.54</v>
      </c>
      <c r="D23">
        <v>48.06</v>
      </c>
      <c r="E23">
        <v>48.47</v>
      </c>
      <c r="F23">
        <v>4380500</v>
      </c>
      <c r="G23">
        <v>48.47</v>
      </c>
    </row>
    <row r="24" spans="1:7" x14ac:dyDescent="0.25">
      <c r="A24" s="34">
        <v>41851</v>
      </c>
      <c r="B24">
        <v>48.18</v>
      </c>
      <c r="C24">
        <v>48.47</v>
      </c>
      <c r="D24">
        <v>47.85</v>
      </c>
      <c r="E24">
        <v>47.85</v>
      </c>
      <c r="F24">
        <v>4740700</v>
      </c>
      <c r="G24">
        <v>47.85</v>
      </c>
    </row>
    <row r="25" spans="1:7" x14ac:dyDescent="0.25">
      <c r="A25" s="34">
        <v>41852</v>
      </c>
      <c r="B25">
        <v>47.89</v>
      </c>
      <c r="C25">
        <v>48.13</v>
      </c>
      <c r="D25">
        <v>47.27</v>
      </c>
      <c r="E25">
        <v>47.59</v>
      </c>
      <c r="F25">
        <v>5231200</v>
      </c>
      <c r="G25">
        <v>47.59</v>
      </c>
    </row>
    <row r="26" spans="1:7" x14ac:dyDescent="0.25">
      <c r="A26" s="34">
        <v>41855</v>
      </c>
      <c r="B26">
        <v>47.61</v>
      </c>
      <c r="C26">
        <v>48.05</v>
      </c>
      <c r="D26">
        <v>47.6</v>
      </c>
      <c r="E26">
        <v>47.91</v>
      </c>
      <c r="F26">
        <v>3528100</v>
      </c>
      <c r="G26">
        <v>47.91</v>
      </c>
    </row>
    <row r="27" spans="1:7" x14ac:dyDescent="0.25">
      <c r="A27" s="34">
        <v>41856</v>
      </c>
      <c r="B27">
        <v>47.76</v>
      </c>
      <c r="C27">
        <v>48.23</v>
      </c>
      <c r="D27">
        <v>47.55</v>
      </c>
      <c r="E27">
        <v>47.64</v>
      </c>
      <c r="F27">
        <v>4879400</v>
      </c>
      <c r="G27">
        <v>47.64</v>
      </c>
    </row>
    <row r="28" spans="1:7" x14ac:dyDescent="0.25">
      <c r="A28" s="34">
        <v>41857</v>
      </c>
      <c r="B28">
        <v>47.59</v>
      </c>
      <c r="C28">
        <v>48.22</v>
      </c>
      <c r="D28">
        <v>47.52</v>
      </c>
      <c r="E28">
        <v>48.1</v>
      </c>
      <c r="F28">
        <v>3968500</v>
      </c>
      <c r="G28">
        <v>48.1</v>
      </c>
    </row>
    <row r="29" spans="1:7" x14ac:dyDescent="0.25">
      <c r="A29" s="34">
        <v>41858</v>
      </c>
      <c r="B29">
        <v>48.26</v>
      </c>
      <c r="C29">
        <v>48.5</v>
      </c>
      <c r="D29">
        <v>47.8</v>
      </c>
      <c r="E29">
        <v>47.92</v>
      </c>
      <c r="F29">
        <v>3175700</v>
      </c>
      <c r="G29">
        <v>47.92</v>
      </c>
    </row>
    <row r="30" spans="1:7" x14ac:dyDescent="0.25">
      <c r="A30" s="34">
        <v>41859</v>
      </c>
      <c r="B30">
        <v>48.26</v>
      </c>
      <c r="C30">
        <v>49.79</v>
      </c>
      <c r="D30">
        <v>48.2</v>
      </c>
      <c r="E30">
        <v>49.72</v>
      </c>
      <c r="F30">
        <v>7386400</v>
      </c>
      <c r="G30">
        <v>49.72</v>
      </c>
    </row>
    <row r="31" spans="1:7" x14ac:dyDescent="0.25">
      <c r="A31" s="34">
        <v>41862</v>
      </c>
      <c r="B31">
        <v>49.84</v>
      </c>
      <c r="C31">
        <v>49.95</v>
      </c>
      <c r="D31">
        <v>49.41</v>
      </c>
      <c r="E31">
        <v>49.86</v>
      </c>
      <c r="F31">
        <v>4070500</v>
      </c>
      <c r="G31">
        <v>49.86</v>
      </c>
    </row>
    <row r="32" spans="1:7" x14ac:dyDescent="0.25">
      <c r="A32" s="34">
        <v>41863</v>
      </c>
      <c r="B32">
        <v>49.78</v>
      </c>
      <c r="C32">
        <v>49.95</v>
      </c>
      <c r="D32">
        <v>49.59</v>
      </c>
      <c r="E32">
        <v>49.83</v>
      </c>
      <c r="F32">
        <v>3287300</v>
      </c>
      <c r="G32">
        <v>49.83</v>
      </c>
    </row>
    <row r="33" spans="1:7" x14ac:dyDescent="0.25">
      <c r="A33" s="34">
        <v>41864</v>
      </c>
      <c r="B33">
        <v>49.91</v>
      </c>
      <c r="C33">
        <v>50.3</v>
      </c>
      <c r="D33">
        <v>49.62</v>
      </c>
      <c r="E33">
        <v>49.85</v>
      </c>
      <c r="F33">
        <v>4397800</v>
      </c>
      <c r="G33">
        <v>49.85</v>
      </c>
    </row>
    <row r="34" spans="1:7" x14ac:dyDescent="0.25">
      <c r="A34" s="34">
        <v>41865</v>
      </c>
      <c r="B34">
        <v>49.96</v>
      </c>
      <c r="C34">
        <v>50.41</v>
      </c>
      <c r="D34">
        <v>49.75</v>
      </c>
      <c r="E34">
        <v>50.41</v>
      </c>
      <c r="F34">
        <v>3605200</v>
      </c>
      <c r="G34">
        <v>50.41</v>
      </c>
    </row>
    <row r="35" spans="1:7" x14ac:dyDescent="0.25">
      <c r="A35" s="34">
        <v>41866</v>
      </c>
      <c r="B35">
        <v>50.56</v>
      </c>
      <c r="C35">
        <v>51.19</v>
      </c>
      <c r="D35">
        <v>49.57</v>
      </c>
      <c r="E35">
        <v>50</v>
      </c>
      <c r="F35">
        <v>6642200</v>
      </c>
      <c r="G35">
        <v>50</v>
      </c>
    </row>
    <row r="36" spans="1:7" x14ac:dyDescent="0.25">
      <c r="A36" s="34">
        <v>41869</v>
      </c>
      <c r="B36">
        <v>50.5</v>
      </c>
      <c r="C36">
        <v>50.7</v>
      </c>
      <c r="D36">
        <v>50.34</v>
      </c>
      <c r="E36">
        <v>50.45</v>
      </c>
      <c r="F36">
        <v>4816800</v>
      </c>
      <c r="G36">
        <v>50.45</v>
      </c>
    </row>
    <row r="37" spans="1:7" x14ac:dyDescent="0.25">
      <c r="A37" s="34">
        <v>41870</v>
      </c>
      <c r="B37">
        <v>51.81</v>
      </c>
      <c r="C37">
        <v>52</v>
      </c>
      <c r="D37">
        <v>51.28</v>
      </c>
      <c r="E37">
        <v>51.52</v>
      </c>
      <c r="F37">
        <v>9309800</v>
      </c>
      <c r="G37">
        <v>51.52</v>
      </c>
    </row>
    <row r="38" spans="1:7" x14ac:dyDescent="0.25">
      <c r="A38" s="34">
        <v>41871</v>
      </c>
      <c r="B38">
        <v>49.95</v>
      </c>
      <c r="C38">
        <v>52.66</v>
      </c>
      <c r="D38">
        <v>49.7</v>
      </c>
      <c r="E38">
        <v>52.33</v>
      </c>
      <c r="F38">
        <v>18405900</v>
      </c>
      <c r="G38">
        <v>52.33</v>
      </c>
    </row>
    <row r="39" spans="1:7" x14ac:dyDescent="0.25">
      <c r="A39" s="34">
        <v>41872</v>
      </c>
      <c r="B39">
        <v>52.64</v>
      </c>
      <c r="C39">
        <v>53.04</v>
      </c>
      <c r="D39">
        <v>52.49</v>
      </c>
      <c r="E39">
        <v>52.67</v>
      </c>
      <c r="F39">
        <v>7139100</v>
      </c>
      <c r="G39">
        <v>52.67</v>
      </c>
    </row>
    <row r="40" spans="1:7" x14ac:dyDescent="0.25">
      <c r="A40" s="34">
        <v>41873</v>
      </c>
      <c r="B40">
        <v>52.49</v>
      </c>
      <c r="C40">
        <v>52.9</v>
      </c>
      <c r="D40">
        <v>52.13</v>
      </c>
      <c r="E40">
        <v>52.53</v>
      </c>
      <c r="F40">
        <v>5062200</v>
      </c>
      <c r="G40">
        <v>52.53</v>
      </c>
    </row>
    <row r="41" spans="1:7" x14ac:dyDescent="0.25">
      <c r="A41" s="34">
        <v>41876</v>
      </c>
      <c r="B41">
        <v>52.8</v>
      </c>
      <c r="C41">
        <v>52.95</v>
      </c>
      <c r="D41">
        <v>52.5</v>
      </c>
      <c r="E41">
        <v>52.7</v>
      </c>
      <c r="F41">
        <v>3779300</v>
      </c>
      <c r="G41">
        <v>52.7</v>
      </c>
    </row>
    <row r="42" spans="1:7" x14ac:dyDescent="0.25">
      <c r="A42" s="34">
        <v>41877</v>
      </c>
      <c r="B42">
        <v>52.63</v>
      </c>
      <c r="C42">
        <v>52.97</v>
      </c>
      <c r="D42">
        <v>52.56</v>
      </c>
      <c r="E42">
        <v>52.58</v>
      </c>
      <c r="F42">
        <v>4814000</v>
      </c>
      <c r="G42">
        <v>52.58</v>
      </c>
    </row>
    <row r="43" spans="1:7" x14ac:dyDescent="0.25">
      <c r="A43" s="34">
        <v>41878</v>
      </c>
      <c r="B43">
        <v>52.68</v>
      </c>
      <c r="C43">
        <v>52.84</v>
      </c>
      <c r="D43">
        <v>52.46</v>
      </c>
      <c r="E43">
        <v>52.52</v>
      </c>
      <c r="F43">
        <v>4927900</v>
      </c>
      <c r="G43">
        <v>52.52</v>
      </c>
    </row>
    <row r="44" spans="1:7" x14ac:dyDescent="0.25">
      <c r="A44" s="34">
        <v>41879</v>
      </c>
      <c r="B44">
        <v>52.15</v>
      </c>
      <c r="C44">
        <v>52.69</v>
      </c>
      <c r="D44">
        <v>52.03</v>
      </c>
      <c r="E44">
        <v>52.54</v>
      </c>
      <c r="F44">
        <v>4357500</v>
      </c>
      <c r="G44">
        <v>52.54</v>
      </c>
    </row>
    <row r="45" spans="1:7" x14ac:dyDescent="0.25">
      <c r="A45" s="34">
        <v>41880</v>
      </c>
      <c r="B45">
        <v>52.5</v>
      </c>
      <c r="C45">
        <v>52.73</v>
      </c>
      <c r="D45">
        <v>52.26</v>
      </c>
      <c r="E45">
        <v>52.51</v>
      </c>
      <c r="F45">
        <v>3510600</v>
      </c>
      <c r="G45">
        <v>52.51</v>
      </c>
    </row>
    <row r="46" spans="1:7" x14ac:dyDescent="0.25">
      <c r="A46" s="34">
        <v>41884</v>
      </c>
      <c r="B46">
        <v>52.66</v>
      </c>
      <c r="C46">
        <v>52.94</v>
      </c>
      <c r="D46">
        <v>52.03</v>
      </c>
      <c r="E46">
        <v>52.61</v>
      </c>
      <c r="F46">
        <v>5144200</v>
      </c>
      <c r="G46">
        <v>52.61</v>
      </c>
    </row>
    <row r="47" spans="1:7" x14ac:dyDescent="0.25">
      <c r="A47" s="34">
        <v>41885</v>
      </c>
      <c r="B47">
        <v>52.7</v>
      </c>
      <c r="C47">
        <v>53.04</v>
      </c>
      <c r="D47">
        <v>52.36</v>
      </c>
      <c r="E47">
        <v>52.91</v>
      </c>
      <c r="F47">
        <v>5820100</v>
      </c>
      <c r="G47">
        <v>52.91</v>
      </c>
    </row>
    <row r="48" spans="1:7" x14ac:dyDescent="0.25">
      <c r="A48" s="34">
        <v>41886</v>
      </c>
      <c r="B48">
        <v>53</v>
      </c>
      <c r="C48">
        <v>53.7</v>
      </c>
      <c r="D48">
        <v>52.95</v>
      </c>
      <c r="E48">
        <v>53.61</v>
      </c>
      <c r="F48">
        <v>6665100</v>
      </c>
      <c r="G48">
        <v>53.61</v>
      </c>
    </row>
    <row r="49" spans="1:7" x14ac:dyDescent="0.25">
      <c r="A49" s="34">
        <v>41887</v>
      </c>
      <c r="B49">
        <v>53.53</v>
      </c>
      <c r="C49">
        <v>54.14</v>
      </c>
      <c r="D49">
        <v>53.1</v>
      </c>
      <c r="E49">
        <v>54.11</v>
      </c>
      <c r="F49">
        <v>5073300</v>
      </c>
      <c r="G49">
        <v>54.11</v>
      </c>
    </row>
    <row r="50" spans="1:7" x14ac:dyDescent="0.25">
      <c r="A50" s="34">
        <v>41890</v>
      </c>
      <c r="B50">
        <v>53.83</v>
      </c>
      <c r="C50">
        <v>54.13</v>
      </c>
      <c r="D50">
        <v>53.46</v>
      </c>
      <c r="E50">
        <v>53.54</v>
      </c>
      <c r="F50">
        <v>4019800</v>
      </c>
      <c r="G50">
        <v>53.54</v>
      </c>
    </row>
    <row r="51" spans="1:7" x14ac:dyDescent="0.25">
      <c r="A51" s="34">
        <v>41891</v>
      </c>
      <c r="B51">
        <v>53.44</v>
      </c>
      <c r="C51">
        <v>53.54</v>
      </c>
      <c r="D51">
        <v>52.91</v>
      </c>
      <c r="E51">
        <v>53.03</v>
      </c>
      <c r="F51">
        <v>3342000</v>
      </c>
      <c r="G51">
        <v>53.03</v>
      </c>
    </row>
    <row r="52" spans="1:7" x14ac:dyDescent="0.25">
      <c r="A52" s="34">
        <v>41892</v>
      </c>
      <c r="B52">
        <v>53.11</v>
      </c>
      <c r="C52">
        <v>53.42</v>
      </c>
      <c r="D52">
        <v>52.89</v>
      </c>
      <c r="E52">
        <v>53.39</v>
      </c>
      <c r="F52">
        <v>3265100</v>
      </c>
      <c r="G52">
        <v>53.39</v>
      </c>
    </row>
    <row r="53" spans="1:7" x14ac:dyDescent="0.25">
      <c r="A53" s="34">
        <v>41893</v>
      </c>
      <c r="B53">
        <v>53.04</v>
      </c>
      <c r="C53">
        <v>53.2</v>
      </c>
      <c r="D53">
        <v>52.67</v>
      </c>
      <c r="E53">
        <v>53.08</v>
      </c>
      <c r="F53">
        <v>6348500</v>
      </c>
      <c r="G53">
        <v>53.08</v>
      </c>
    </row>
    <row r="54" spans="1:7" x14ac:dyDescent="0.25">
      <c r="A54" s="34">
        <v>41894</v>
      </c>
      <c r="B54">
        <v>53.12</v>
      </c>
      <c r="C54">
        <v>53.38</v>
      </c>
      <c r="D54">
        <v>52.67</v>
      </c>
      <c r="E54">
        <v>52.97</v>
      </c>
      <c r="F54">
        <v>5443500</v>
      </c>
      <c r="G54">
        <v>52.97</v>
      </c>
    </row>
    <row r="55" spans="1:7" x14ac:dyDescent="0.25">
      <c r="A55" s="34">
        <v>41897</v>
      </c>
      <c r="B55">
        <v>52.95</v>
      </c>
      <c r="C55">
        <v>53.24</v>
      </c>
      <c r="D55">
        <v>52.71</v>
      </c>
      <c r="E55">
        <v>53.13</v>
      </c>
      <c r="F55">
        <v>4418200</v>
      </c>
      <c r="G55">
        <v>53.13</v>
      </c>
    </row>
  </sheetData>
  <sortState ref="A3:G55">
    <sortCondition ref="A3:A55"/>
  </sortState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74.2</v>
      </c>
      <c r="C3">
        <v>75.91</v>
      </c>
      <c r="D3">
        <v>74.14</v>
      </c>
      <c r="E3">
        <v>75.53</v>
      </c>
      <c r="F3">
        <v>6330900</v>
      </c>
      <c r="G3">
        <v>75.42</v>
      </c>
    </row>
    <row r="4" spans="1:7" x14ac:dyDescent="0.25">
      <c r="A4" s="34">
        <v>41822</v>
      </c>
      <c r="B4">
        <v>74.86</v>
      </c>
      <c r="C4">
        <v>76.39</v>
      </c>
      <c r="D4">
        <v>74.86</v>
      </c>
      <c r="E4">
        <v>76.2</v>
      </c>
      <c r="F4">
        <v>3973700</v>
      </c>
      <c r="G4">
        <v>76.09</v>
      </c>
    </row>
    <row r="5" spans="1:7" x14ac:dyDescent="0.25">
      <c r="A5" s="34">
        <v>41823</v>
      </c>
      <c r="B5">
        <v>76.599999999999994</v>
      </c>
      <c r="C5">
        <v>76.900000000000006</v>
      </c>
      <c r="D5">
        <v>76.349999999999994</v>
      </c>
      <c r="E5">
        <v>76.739999999999995</v>
      </c>
      <c r="F5">
        <v>3213400</v>
      </c>
      <c r="G5">
        <v>76.63</v>
      </c>
    </row>
    <row r="6" spans="1:7" x14ac:dyDescent="0.25">
      <c r="A6" s="34">
        <v>41827</v>
      </c>
      <c r="B6">
        <v>76.44</v>
      </c>
      <c r="C6">
        <v>76.64</v>
      </c>
      <c r="D6">
        <v>75.94</v>
      </c>
      <c r="E6">
        <v>76.180000000000007</v>
      </c>
      <c r="F6">
        <v>3591100</v>
      </c>
      <c r="G6">
        <v>76.180000000000007</v>
      </c>
    </row>
    <row r="7" spans="1:7" x14ac:dyDescent="0.25">
      <c r="A7" s="34">
        <v>41828</v>
      </c>
      <c r="B7">
        <v>76.11</v>
      </c>
      <c r="C7">
        <v>76.150000000000006</v>
      </c>
      <c r="D7">
        <v>75.13</v>
      </c>
      <c r="E7">
        <v>75.69</v>
      </c>
      <c r="F7">
        <v>3903600</v>
      </c>
      <c r="G7">
        <v>75.69</v>
      </c>
    </row>
    <row r="8" spans="1:7" x14ac:dyDescent="0.25">
      <c r="A8" s="34">
        <v>41829</v>
      </c>
      <c r="B8">
        <v>75.87</v>
      </c>
      <c r="C8">
        <v>76.67</v>
      </c>
      <c r="D8">
        <v>75.599999999999994</v>
      </c>
      <c r="E8">
        <v>76.63</v>
      </c>
      <c r="F8">
        <v>3337000</v>
      </c>
      <c r="G8">
        <v>76.63</v>
      </c>
    </row>
    <row r="9" spans="1:7" x14ac:dyDescent="0.25">
      <c r="A9" s="34">
        <v>41830</v>
      </c>
      <c r="B9">
        <v>75.650000000000006</v>
      </c>
      <c r="C9">
        <v>75.959999999999994</v>
      </c>
      <c r="D9">
        <v>74.75</v>
      </c>
      <c r="E9">
        <v>75.47</v>
      </c>
      <c r="F9">
        <v>3318000</v>
      </c>
      <c r="G9">
        <v>75.47</v>
      </c>
    </row>
    <row r="10" spans="1:7" x14ac:dyDescent="0.25">
      <c r="A10" s="34">
        <v>41831</v>
      </c>
      <c r="B10">
        <v>75.540000000000006</v>
      </c>
      <c r="C10">
        <v>75.849999999999994</v>
      </c>
      <c r="D10">
        <v>75.260000000000005</v>
      </c>
      <c r="E10">
        <v>75.83</v>
      </c>
      <c r="F10">
        <v>2759000</v>
      </c>
      <c r="G10">
        <v>75.83</v>
      </c>
    </row>
    <row r="11" spans="1:7" x14ac:dyDescent="0.25">
      <c r="A11" s="34">
        <v>41834</v>
      </c>
      <c r="B11">
        <v>76.44</v>
      </c>
      <c r="C11">
        <v>77.709999999999994</v>
      </c>
      <c r="D11">
        <v>76.040000000000006</v>
      </c>
      <c r="E11">
        <v>77.33</v>
      </c>
      <c r="F11">
        <v>5585800</v>
      </c>
      <c r="G11">
        <v>77.33</v>
      </c>
    </row>
    <row r="12" spans="1:7" x14ac:dyDescent="0.25">
      <c r="A12" s="34">
        <v>41835</v>
      </c>
      <c r="B12">
        <v>77.989999999999995</v>
      </c>
      <c r="C12">
        <v>79.22</v>
      </c>
      <c r="D12">
        <v>77.86</v>
      </c>
      <c r="E12">
        <v>78.319999999999993</v>
      </c>
      <c r="F12">
        <v>7508400</v>
      </c>
      <c r="G12">
        <v>78.319999999999993</v>
      </c>
    </row>
    <row r="13" spans="1:7" x14ac:dyDescent="0.25">
      <c r="A13" s="34">
        <v>41836</v>
      </c>
      <c r="B13">
        <v>78.650000000000006</v>
      </c>
      <c r="C13">
        <v>78.69</v>
      </c>
      <c r="D13">
        <v>77.95</v>
      </c>
      <c r="E13">
        <v>78.31</v>
      </c>
      <c r="F13">
        <v>3623200</v>
      </c>
      <c r="G13">
        <v>78.31</v>
      </c>
    </row>
    <row r="14" spans="1:7" x14ac:dyDescent="0.25">
      <c r="A14" s="34">
        <v>41837</v>
      </c>
      <c r="B14">
        <v>77.31</v>
      </c>
      <c r="C14">
        <v>77.87</v>
      </c>
      <c r="D14">
        <v>76.25</v>
      </c>
      <c r="E14">
        <v>76.39</v>
      </c>
      <c r="F14">
        <v>5467000</v>
      </c>
      <c r="G14">
        <v>76.39</v>
      </c>
    </row>
    <row r="15" spans="1:7" x14ac:dyDescent="0.25">
      <c r="A15" s="34">
        <v>41838</v>
      </c>
      <c r="B15">
        <v>76.75</v>
      </c>
      <c r="C15">
        <v>77.650000000000006</v>
      </c>
      <c r="D15">
        <v>76.45</v>
      </c>
      <c r="E15">
        <v>77.5</v>
      </c>
      <c r="F15">
        <v>3485700</v>
      </c>
      <c r="G15">
        <v>77.5</v>
      </c>
    </row>
    <row r="16" spans="1:7" x14ac:dyDescent="0.25">
      <c r="A16" s="34">
        <v>41841</v>
      </c>
      <c r="B16">
        <v>77.11</v>
      </c>
      <c r="C16">
        <v>77.44</v>
      </c>
      <c r="D16">
        <v>76.59</v>
      </c>
      <c r="E16">
        <v>77.349999999999994</v>
      </c>
      <c r="F16">
        <v>3101300</v>
      </c>
      <c r="G16">
        <v>77.349999999999994</v>
      </c>
    </row>
    <row r="17" spans="1:7" x14ac:dyDescent="0.25">
      <c r="A17" s="34">
        <v>41842</v>
      </c>
      <c r="B17">
        <v>77.52</v>
      </c>
      <c r="C17">
        <v>78.39</v>
      </c>
      <c r="D17">
        <v>77.349999999999994</v>
      </c>
      <c r="E17">
        <v>78.27</v>
      </c>
      <c r="F17">
        <v>3467200</v>
      </c>
      <c r="G17">
        <v>78.27</v>
      </c>
    </row>
    <row r="18" spans="1:7" x14ac:dyDescent="0.25">
      <c r="A18" s="34">
        <v>41843</v>
      </c>
      <c r="B18">
        <v>78.16</v>
      </c>
      <c r="C18">
        <v>78.38</v>
      </c>
      <c r="D18">
        <v>77.19</v>
      </c>
      <c r="E18">
        <v>77.739999999999995</v>
      </c>
      <c r="F18">
        <v>3525800</v>
      </c>
      <c r="G18">
        <v>77.739999999999995</v>
      </c>
    </row>
    <row r="19" spans="1:7" x14ac:dyDescent="0.25">
      <c r="A19" s="34">
        <v>41844</v>
      </c>
      <c r="B19">
        <v>77.930000000000007</v>
      </c>
      <c r="C19">
        <v>78.06</v>
      </c>
      <c r="D19">
        <v>76.92</v>
      </c>
      <c r="E19">
        <v>77.569999999999993</v>
      </c>
      <c r="F19">
        <v>5149600</v>
      </c>
      <c r="G19">
        <v>77.569999999999993</v>
      </c>
    </row>
    <row r="20" spans="1:7" x14ac:dyDescent="0.25">
      <c r="A20" s="34">
        <v>41845</v>
      </c>
      <c r="B20">
        <v>75.63</v>
      </c>
      <c r="C20">
        <v>76.03</v>
      </c>
      <c r="D20">
        <v>75.22</v>
      </c>
      <c r="E20">
        <v>75.75</v>
      </c>
      <c r="F20">
        <v>5870200</v>
      </c>
      <c r="G20">
        <v>75.75</v>
      </c>
    </row>
    <row r="21" spans="1:7" x14ac:dyDescent="0.25">
      <c r="A21" s="34">
        <v>41848</v>
      </c>
      <c r="B21">
        <v>75.7</v>
      </c>
      <c r="C21">
        <v>76.209999999999994</v>
      </c>
      <c r="D21">
        <v>75.52</v>
      </c>
      <c r="E21">
        <v>76.19</v>
      </c>
      <c r="F21">
        <v>3209100</v>
      </c>
      <c r="G21">
        <v>76.19</v>
      </c>
    </row>
    <row r="22" spans="1:7" x14ac:dyDescent="0.25">
      <c r="A22" s="34">
        <v>41849</v>
      </c>
      <c r="B22">
        <v>76.31</v>
      </c>
      <c r="C22">
        <v>76.61</v>
      </c>
      <c r="D22">
        <v>75.650000000000006</v>
      </c>
      <c r="E22">
        <v>75.89</v>
      </c>
      <c r="F22">
        <v>4017200</v>
      </c>
      <c r="G22">
        <v>75.89</v>
      </c>
    </row>
    <row r="23" spans="1:7" x14ac:dyDescent="0.25">
      <c r="A23" s="34">
        <v>41850</v>
      </c>
      <c r="B23">
        <v>76.069999999999993</v>
      </c>
      <c r="C23">
        <v>76.290000000000006</v>
      </c>
      <c r="D23">
        <v>75.45</v>
      </c>
      <c r="E23">
        <v>75.91</v>
      </c>
      <c r="F23">
        <v>5521200</v>
      </c>
      <c r="G23">
        <v>75.91</v>
      </c>
    </row>
    <row r="24" spans="1:7" x14ac:dyDescent="0.25">
      <c r="A24" s="34">
        <v>41851</v>
      </c>
      <c r="B24">
        <v>76.3</v>
      </c>
      <c r="C24">
        <v>76.319999999999993</v>
      </c>
      <c r="D24">
        <v>73.81</v>
      </c>
      <c r="E24">
        <v>74.150000000000006</v>
      </c>
      <c r="F24">
        <v>7393700</v>
      </c>
      <c r="G24">
        <v>74.150000000000006</v>
      </c>
    </row>
    <row r="25" spans="1:7" x14ac:dyDescent="0.25">
      <c r="A25" s="34">
        <v>41852</v>
      </c>
      <c r="B25">
        <v>73.84</v>
      </c>
      <c r="C25">
        <v>75.44</v>
      </c>
      <c r="D25">
        <v>73.64</v>
      </c>
      <c r="E25">
        <v>74.98</v>
      </c>
      <c r="F25">
        <v>6029500</v>
      </c>
      <c r="G25">
        <v>74.98</v>
      </c>
    </row>
    <row r="26" spans="1:7" x14ac:dyDescent="0.25">
      <c r="A26" s="34">
        <v>41855</v>
      </c>
      <c r="B26">
        <v>75.39</v>
      </c>
      <c r="C26">
        <v>75.849999999999994</v>
      </c>
      <c r="D26">
        <v>75.08</v>
      </c>
      <c r="E26">
        <v>75.680000000000007</v>
      </c>
      <c r="F26">
        <v>4924000</v>
      </c>
      <c r="G26">
        <v>75.680000000000007</v>
      </c>
    </row>
    <row r="27" spans="1:7" x14ac:dyDescent="0.25">
      <c r="A27" s="34">
        <v>41856</v>
      </c>
      <c r="B27">
        <v>75.31</v>
      </c>
      <c r="C27">
        <v>75.66</v>
      </c>
      <c r="D27">
        <v>74.81</v>
      </c>
      <c r="E27">
        <v>75.2</v>
      </c>
      <c r="F27">
        <v>4606500</v>
      </c>
      <c r="G27">
        <v>75.2</v>
      </c>
    </row>
    <row r="28" spans="1:7" x14ac:dyDescent="0.25">
      <c r="A28" s="34">
        <v>41857</v>
      </c>
      <c r="B28">
        <v>74.849999999999994</v>
      </c>
      <c r="C28">
        <v>75.58</v>
      </c>
      <c r="D28">
        <v>74.69</v>
      </c>
      <c r="E28">
        <v>75.36</v>
      </c>
      <c r="F28">
        <v>2782900</v>
      </c>
      <c r="G28">
        <v>75.36</v>
      </c>
    </row>
    <row r="29" spans="1:7" x14ac:dyDescent="0.25">
      <c r="A29" s="34">
        <v>41858</v>
      </c>
      <c r="B29">
        <v>75.540000000000006</v>
      </c>
      <c r="C29">
        <v>75.680000000000007</v>
      </c>
      <c r="D29">
        <v>73.819999999999993</v>
      </c>
      <c r="E29">
        <v>74.06</v>
      </c>
      <c r="F29">
        <v>4708000</v>
      </c>
      <c r="G29">
        <v>74.06</v>
      </c>
    </row>
    <row r="30" spans="1:7" x14ac:dyDescent="0.25">
      <c r="A30" s="34">
        <v>41859</v>
      </c>
      <c r="B30">
        <v>74</v>
      </c>
      <c r="C30">
        <v>75.23</v>
      </c>
      <c r="D30">
        <v>73.75</v>
      </c>
      <c r="E30">
        <v>75.17</v>
      </c>
      <c r="F30">
        <v>3614300</v>
      </c>
      <c r="G30">
        <v>75.17</v>
      </c>
    </row>
    <row r="31" spans="1:7" x14ac:dyDescent="0.25">
      <c r="A31" s="34">
        <v>41862</v>
      </c>
      <c r="B31">
        <v>75.540000000000006</v>
      </c>
      <c r="C31">
        <v>76.069999999999993</v>
      </c>
      <c r="D31">
        <v>74.989999999999995</v>
      </c>
      <c r="E31">
        <v>75.63</v>
      </c>
      <c r="F31">
        <v>3546600</v>
      </c>
      <c r="G31">
        <v>75.63</v>
      </c>
    </row>
    <row r="32" spans="1:7" x14ac:dyDescent="0.25">
      <c r="A32" s="34">
        <v>41863</v>
      </c>
      <c r="B32">
        <v>75.36</v>
      </c>
      <c r="C32">
        <v>75.819999999999993</v>
      </c>
      <c r="D32">
        <v>74.930000000000007</v>
      </c>
      <c r="E32">
        <v>75.63</v>
      </c>
      <c r="F32">
        <v>2752400</v>
      </c>
      <c r="G32">
        <v>75.63</v>
      </c>
    </row>
    <row r="33" spans="1:7" x14ac:dyDescent="0.25">
      <c r="A33" s="34">
        <v>41864</v>
      </c>
      <c r="B33">
        <v>75.849999999999994</v>
      </c>
      <c r="C33">
        <v>76.510000000000005</v>
      </c>
      <c r="D33">
        <v>75.59</v>
      </c>
      <c r="E33">
        <v>76.3</v>
      </c>
      <c r="F33">
        <v>3389600</v>
      </c>
      <c r="G33">
        <v>76.3</v>
      </c>
    </row>
    <row r="34" spans="1:7" x14ac:dyDescent="0.25">
      <c r="A34" s="34">
        <v>41865</v>
      </c>
      <c r="B34">
        <v>76.599999999999994</v>
      </c>
      <c r="C34">
        <v>76.61</v>
      </c>
      <c r="D34">
        <v>75.66</v>
      </c>
      <c r="E34">
        <v>76.05</v>
      </c>
      <c r="F34">
        <v>2411400</v>
      </c>
      <c r="G34">
        <v>76.05</v>
      </c>
    </row>
    <row r="35" spans="1:7" x14ac:dyDescent="0.25">
      <c r="A35" s="34">
        <v>41866</v>
      </c>
      <c r="B35">
        <v>76.41</v>
      </c>
      <c r="C35">
        <v>76.569999999999993</v>
      </c>
      <c r="D35">
        <v>74.98</v>
      </c>
      <c r="E35">
        <v>75.209999999999994</v>
      </c>
      <c r="F35">
        <v>4351900</v>
      </c>
      <c r="G35">
        <v>75.209999999999994</v>
      </c>
    </row>
    <row r="36" spans="1:7" x14ac:dyDescent="0.25">
      <c r="A36" s="34">
        <v>41869</v>
      </c>
      <c r="B36">
        <v>75.69</v>
      </c>
      <c r="C36">
        <v>76.819999999999993</v>
      </c>
      <c r="D36">
        <v>75.69</v>
      </c>
      <c r="E36">
        <v>76.77</v>
      </c>
      <c r="F36">
        <v>4030300</v>
      </c>
      <c r="G36">
        <v>76.77</v>
      </c>
    </row>
    <row r="37" spans="1:7" x14ac:dyDescent="0.25">
      <c r="A37" s="34">
        <v>41870</v>
      </c>
      <c r="B37">
        <v>76.75</v>
      </c>
      <c r="C37">
        <v>76.8</v>
      </c>
      <c r="D37">
        <v>76.09</v>
      </c>
      <c r="E37">
        <v>76.400000000000006</v>
      </c>
      <c r="F37">
        <v>3562200</v>
      </c>
      <c r="G37">
        <v>76.400000000000006</v>
      </c>
    </row>
    <row r="38" spans="1:7" x14ac:dyDescent="0.25">
      <c r="A38" s="34">
        <v>41871</v>
      </c>
      <c r="B38">
        <v>75.97</v>
      </c>
      <c r="C38">
        <v>76.48</v>
      </c>
      <c r="D38">
        <v>75.900000000000006</v>
      </c>
      <c r="E38">
        <v>76.39</v>
      </c>
      <c r="F38">
        <v>2608200</v>
      </c>
      <c r="G38">
        <v>76.39</v>
      </c>
    </row>
    <row r="39" spans="1:7" x14ac:dyDescent="0.25">
      <c r="A39" s="34">
        <v>41872</v>
      </c>
      <c r="B39">
        <v>76.510000000000005</v>
      </c>
      <c r="C39">
        <v>77.12</v>
      </c>
      <c r="D39">
        <v>76.290000000000006</v>
      </c>
      <c r="E39">
        <v>76.989999999999995</v>
      </c>
      <c r="F39">
        <v>2690000</v>
      </c>
      <c r="G39">
        <v>76.989999999999995</v>
      </c>
    </row>
    <row r="40" spans="1:7" x14ac:dyDescent="0.25">
      <c r="A40" s="34">
        <v>41873</v>
      </c>
      <c r="B40">
        <v>76.75</v>
      </c>
      <c r="C40">
        <v>76.88</v>
      </c>
      <c r="D40">
        <v>76.150000000000006</v>
      </c>
      <c r="E40">
        <v>76.48</v>
      </c>
      <c r="F40">
        <v>2490100</v>
      </c>
      <c r="G40">
        <v>76.48</v>
      </c>
    </row>
    <row r="41" spans="1:7" x14ac:dyDescent="0.25">
      <c r="A41" s="34">
        <v>41876</v>
      </c>
      <c r="B41">
        <v>77.11</v>
      </c>
      <c r="C41">
        <v>77.209999999999994</v>
      </c>
      <c r="D41">
        <v>76.39</v>
      </c>
      <c r="E41">
        <v>76.430000000000007</v>
      </c>
      <c r="F41">
        <v>3386300</v>
      </c>
      <c r="G41">
        <v>76.430000000000007</v>
      </c>
    </row>
    <row r="42" spans="1:7" x14ac:dyDescent="0.25">
      <c r="A42" s="34">
        <v>41877</v>
      </c>
      <c r="B42">
        <v>76.790000000000006</v>
      </c>
      <c r="C42">
        <v>77.849999999999994</v>
      </c>
      <c r="D42">
        <v>76.540000000000006</v>
      </c>
      <c r="E42">
        <v>77</v>
      </c>
      <c r="F42">
        <v>3815600</v>
      </c>
      <c r="G42">
        <v>77</v>
      </c>
    </row>
    <row r="43" spans="1:7" x14ac:dyDescent="0.25">
      <c r="A43" s="34">
        <v>41878</v>
      </c>
      <c r="B43">
        <v>77.02</v>
      </c>
      <c r="C43">
        <v>77.12</v>
      </c>
      <c r="D43">
        <v>76.5</v>
      </c>
      <c r="E43">
        <v>76.64</v>
      </c>
      <c r="F43">
        <v>1957500</v>
      </c>
      <c r="G43">
        <v>76.64</v>
      </c>
    </row>
    <row r="44" spans="1:7" x14ac:dyDescent="0.25">
      <c r="A44" s="34">
        <v>41879</v>
      </c>
      <c r="B44">
        <v>76.09</v>
      </c>
      <c r="C44">
        <v>76.430000000000007</v>
      </c>
      <c r="D44">
        <v>75.66</v>
      </c>
      <c r="E44">
        <v>76.16</v>
      </c>
      <c r="F44">
        <v>2991600</v>
      </c>
      <c r="G44">
        <v>76.16</v>
      </c>
    </row>
    <row r="45" spans="1:7" x14ac:dyDescent="0.25">
      <c r="A45" s="34">
        <v>41880</v>
      </c>
      <c r="B45">
        <v>76.3</v>
      </c>
      <c r="C45">
        <v>76.48</v>
      </c>
      <c r="D45">
        <v>75.73</v>
      </c>
      <c r="E45">
        <v>75.81</v>
      </c>
      <c r="F45">
        <v>3231600</v>
      </c>
      <c r="G45">
        <v>75.81</v>
      </c>
    </row>
    <row r="46" spans="1:7" x14ac:dyDescent="0.25">
      <c r="A46" s="34">
        <v>41884</v>
      </c>
      <c r="B46">
        <v>75.930000000000007</v>
      </c>
      <c r="C46">
        <v>76.010000000000005</v>
      </c>
      <c r="D46">
        <v>75.44</v>
      </c>
      <c r="E46">
        <v>75.58</v>
      </c>
      <c r="F46">
        <v>3613200</v>
      </c>
      <c r="G46">
        <v>75.58</v>
      </c>
    </row>
    <row r="47" spans="1:7" x14ac:dyDescent="0.25">
      <c r="A47" s="34">
        <v>41885</v>
      </c>
      <c r="B47">
        <v>76.099999999999994</v>
      </c>
      <c r="C47">
        <v>76.19</v>
      </c>
      <c r="D47">
        <v>75.73</v>
      </c>
      <c r="E47">
        <v>75.94</v>
      </c>
      <c r="F47">
        <v>2870200</v>
      </c>
      <c r="G47">
        <v>75.94</v>
      </c>
    </row>
    <row r="48" spans="1:7" x14ac:dyDescent="0.25">
      <c r="A48" s="34">
        <v>41886</v>
      </c>
      <c r="B48">
        <v>76.03</v>
      </c>
      <c r="C48">
        <v>76.819999999999993</v>
      </c>
      <c r="D48">
        <v>76</v>
      </c>
      <c r="E48">
        <v>76.38</v>
      </c>
      <c r="F48">
        <v>2680300</v>
      </c>
      <c r="G48">
        <v>76.38</v>
      </c>
    </row>
    <row r="49" spans="1:7" x14ac:dyDescent="0.25">
      <c r="A49" s="34">
        <v>41887</v>
      </c>
      <c r="B49">
        <v>76.19</v>
      </c>
      <c r="C49">
        <v>76.930000000000007</v>
      </c>
      <c r="D49">
        <v>75.86</v>
      </c>
      <c r="E49">
        <v>76.86</v>
      </c>
      <c r="F49">
        <v>3487400</v>
      </c>
      <c r="G49">
        <v>76.86</v>
      </c>
    </row>
    <row r="50" spans="1:7" x14ac:dyDescent="0.25">
      <c r="A50" s="34">
        <v>41890</v>
      </c>
      <c r="B50">
        <v>76.59</v>
      </c>
      <c r="C50">
        <v>76.849999999999994</v>
      </c>
      <c r="D50">
        <v>75.900000000000006</v>
      </c>
      <c r="E50">
        <v>76.23</v>
      </c>
      <c r="F50">
        <v>2845600</v>
      </c>
      <c r="G50">
        <v>76.23</v>
      </c>
    </row>
    <row r="51" spans="1:7" x14ac:dyDescent="0.25">
      <c r="A51" s="34">
        <v>41891</v>
      </c>
      <c r="B51">
        <v>76.260000000000005</v>
      </c>
      <c r="C51">
        <v>76.510000000000005</v>
      </c>
      <c r="D51">
        <v>75.69</v>
      </c>
      <c r="E51">
        <v>76.069999999999993</v>
      </c>
      <c r="F51">
        <v>4144700</v>
      </c>
      <c r="G51">
        <v>76.069999999999993</v>
      </c>
    </row>
    <row r="52" spans="1:7" x14ac:dyDescent="0.25">
      <c r="A52" s="34">
        <v>41892</v>
      </c>
      <c r="B52">
        <v>76.09</v>
      </c>
      <c r="C52">
        <v>76.930000000000007</v>
      </c>
      <c r="D52">
        <v>75.88</v>
      </c>
      <c r="E52">
        <v>76.650000000000006</v>
      </c>
      <c r="F52">
        <v>4188000</v>
      </c>
      <c r="G52">
        <v>76.650000000000006</v>
      </c>
    </row>
    <row r="53" spans="1:7" x14ac:dyDescent="0.25">
      <c r="A53" s="34">
        <v>41893</v>
      </c>
      <c r="B53">
        <v>76.319999999999993</v>
      </c>
      <c r="C53">
        <v>76.45</v>
      </c>
      <c r="D53">
        <v>75.41</v>
      </c>
      <c r="E53">
        <v>75.62</v>
      </c>
      <c r="F53">
        <v>4673100</v>
      </c>
      <c r="G53">
        <v>75.62</v>
      </c>
    </row>
    <row r="54" spans="1:7" x14ac:dyDescent="0.25">
      <c r="A54" s="34">
        <v>41894</v>
      </c>
      <c r="B54">
        <v>75.680000000000007</v>
      </c>
      <c r="C54">
        <v>76.069999999999993</v>
      </c>
      <c r="D54">
        <v>74.930000000000007</v>
      </c>
      <c r="E54">
        <v>75.47</v>
      </c>
      <c r="F54">
        <v>4239500</v>
      </c>
      <c r="G54">
        <v>75.47</v>
      </c>
    </row>
    <row r="55" spans="1:7" x14ac:dyDescent="0.25">
      <c r="A55" s="34">
        <v>41897</v>
      </c>
      <c r="B55">
        <v>75.19</v>
      </c>
      <c r="C55">
        <v>75.42</v>
      </c>
      <c r="D55">
        <v>74.78</v>
      </c>
      <c r="E55">
        <v>75.239999999999995</v>
      </c>
      <c r="F55">
        <v>4046800</v>
      </c>
      <c r="G55">
        <v>75.239999999999995</v>
      </c>
    </row>
  </sheetData>
  <sortState ref="A3:G55">
    <sortCondition ref="A3:A55"/>
  </sortState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100.43</v>
      </c>
      <c r="C3">
        <v>101.36</v>
      </c>
      <c r="D3">
        <v>100.24</v>
      </c>
      <c r="E3">
        <v>101</v>
      </c>
      <c r="F3">
        <v>3787700</v>
      </c>
      <c r="G3">
        <v>100.14</v>
      </c>
    </row>
    <row r="4" spans="1:7" x14ac:dyDescent="0.25">
      <c r="A4" s="34">
        <v>41822</v>
      </c>
      <c r="B4">
        <v>101.02</v>
      </c>
      <c r="C4">
        <v>101.08</v>
      </c>
      <c r="D4">
        <v>100.35</v>
      </c>
      <c r="E4">
        <v>100.53</v>
      </c>
      <c r="F4">
        <v>3216700</v>
      </c>
      <c r="G4">
        <v>99.67</v>
      </c>
    </row>
    <row r="5" spans="1:7" x14ac:dyDescent="0.25">
      <c r="A5" s="34">
        <v>41823</v>
      </c>
      <c r="B5">
        <v>101.32</v>
      </c>
      <c r="C5">
        <v>101.32</v>
      </c>
      <c r="D5">
        <v>100.74</v>
      </c>
      <c r="E5">
        <v>100.98</v>
      </c>
      <c r="F5">
        <v>2295800</v>
      </c>
      <c r="G5">
        <v>100.12</v>
      </c>
    </row>
    <row r="6" spans="1:7" x14ac:dyDescent="0.25">
      <c r="A6" s="34">
        <v>41827</v>
      </c>
      <c r="B6">
        <v>100.75</v>
      </c>
      <c r="C6">
        <v>100.75</v>
      </c>
      <c r="D6">
        <v>99.82</v>
      </c>
      <c r="E6">
        <v>100.17</v>
      </c>
      <c r="F6">
        <v>3951700</v>
      </c>
      <c r="G6">
        <v>99.31</v>
      </c>
    </row>
    <row r="7" spans="1:7" x14ac:dyDescent="0.25">
      <c r="A7" s="34">
        <v>41828</v>
      </c>
      <c r="B7">
        <v>99.79</v>
      </c>
      <c r="C7">
        <v>100.57</v>
      </c>
      <c r="D7">
        <v>99.73</v>
      </c>
      <c r="E7">
        <v>100.09</v>
      </c>
      <c r="F7">
        <v>3115100</v>
      </c>
      <c r="G7">
        <v>99.23</v>
      </c>
    </row>
    <row r="8" spans="1:7" x14ac:dyDescent="0.25">
      <c r="A8" s="34">
        <v>41829</v>
      </c>
      <c r="B8">
        <v>100.3</v>
      </c>
      <c r="C8">
        <v>101.25</v>
      </c>
      <c r="D8">
        <v>100.26</v>
      </c>
      <c r="E8">
        <v>101.07</v>
      </c>
      <c r="F8">
        <v>5604900</v>
      </c>
      <c r="G8">
        <v>100.21</v>
      </c>
    </row>
    <row r="9" spans="1:7" x14ac:dyDescent="0.25">
      <c r="A9" s="34">
        <v>41830</v>
      </c>
      <c r="B9">
        <v>100.22</v>
      </c>
      <c r="C9">
        <v>101.05</v>
      </c>
      <c r="D9">
        <v>100.16</v>
      </c>
      <c r="E9">
        <v>100.58</v>
      </c>
      <c r="F9">
        <v>3274900</v>
      </c>
      <c r="G9">
        <v>99.72</v>
      </c>
    </row>
    <row r="10" spans="1:7" x14ac:dyDescent="0.25">
      <c r="A10" s="34">
        <v>41831</v>
      </c>
      <c r="B10">
        <v>100.66</v>
      </c>
      <c r="C10">
        <v>100.81</v>
      </c>
      <c r="D10">
        <v>100.03</v>
      </c>
      <c r="E10">
        <v>100.37</v>
      </c>
      <c r="F10">
        <v>2812500</v>
      </c>
      <c r="G10">
        <v>99.51</v>
      </c>
    </row>
    <row r="11" spans="1:7" x14ac:dyDescent="0.25">
      <c r="A11" s="34">
        <v>41834</v>
      </c>
      <c r="B11">
        <v>100.69</v>
      </c>
      <c r="C11">
        <v>100.73</v>
      </c>
      <c r="D11">
        <v>100.3</v>
      </c>
      <c r="E11">
        <v>100.47</v>
      </c>
      <c r="F11">
        <v>4159900</v>
      </c>
      <c r="G11">
        <v>99.61</v>
      </c>
    </row>
    <row r="12" spans="1:7" x14ac:dyDescent="0.25">
      <c r="A12" s="34">
        <v>41835</v>
      </c>
      <c r="B12">
        <v>100.32</v>
      </c>
      <c r="C12">
        <v>100.37</v>
      </c>
      <c r="D12">
        <v>99.86</v>
      </c>
      <c r="E12">
        <v>100.3</v>
      </c>
      <c r="F12">
        <v>3787000</v>
      </c>
      <c r="G12">
        <v>99.44</v>
      </c>
    </row>
    <row r="13" spans="1:7" x14ac:dyDescent="0.25">
      <c r="A13" s="34">
        <v>41836</v>
      </c>
      <c r="B13">
        <v>99.65</v>
      </c>
      <c r="C13">
        <v>99.8</v>
      </c>
      <c r="D13">
        <v>98.76</v>
      </c>
      <c r="E13">
        <v>99.27</v>
      </c>
      <c r="F13">
        <v>7128700</v>
      </c>
      <c r="G13">
        <v>98.42</v>
      </c>
    </row>
    <row r="14" spans="1:7" x14ac:dyDescent="0.25">
      <c r="A14" s="34">
        <v>41837</v>
      </c>
      <c r="B14">
        <v>98.96</v>
      </c>
      <c r="C14">
        <v>99.09</v>
      </c>
      <c r="D14">
        <v>98.35</v>
      </c>
      <c r="E14">
        <v>98.37</v>
      </c>
      <c r="F14">
        <v>4099100</v>
      </c>
      <c r="G14">
        <v>97.53</v>
      </c>
    </row>
    <row r="15" spans="1:7" x14ac:dyDescent="0.25">
      <c r="A15" s="34">
        <v>41838</v>
      </c>
      <c r="B15">
        <v>98.64</v>
      </c>
      <c r="C15">
        <v>99.09</v>
      </c>
      <c r="D15">
        <v>98.13</v>
      </c>
      <c r="E15">
        <v>98.99</v>
      </c>
      <c r="F15">
        <v>4044900</v>
      </c>
      <c r="G15">
        <v>98.14</v>
      </c>
    </row>
    <row r="16" spans="1:7" x14ac:dyDescent="0.25">
      <c r="A16" s="34">
        <v>41841</v>
      </c>
      <c r="B16">
        <v>98.52</v>
      </c>
      <c r="C16">
        <v>98.63</v>
      </c>
      <c r="D16">
        <v>97.55</v>
      </c>
      <c r="E16">
        <v>97.55</v>
      </c>
      <c r="F16">
        <v>6510600</v>
      </c>
      <c r="G16">
        <v>96.72</v>
      </c>
    </row>
    <row r="17" spans="1:7" x14ac:dyDescent="0.25">
      <c r="A17" s="34">
        <v>41842</v>
      </c>
      <c r="B17">
        <v>95.39</v>
      </c>
      <c r="C17">
        <v>96.85</v>
      </c>
      <c r="D17">
        <v>95.1</v>
      </c>
      <c r="E17">
        <v>96.27</v>
      </c>
      <c r="F17">
        <v>12398100</v>
      </c>
      <c r="G17">
        <v>95.45</v>
      </c>
    </row>
    <row r="18" spans="1:7" x14ac:dyDescent="0.25">
      <c r="A18" s="34">
        <v>41843</v>
      </c>
      <c r="B18">
        <v>95.51</v>
      </c>
      <c r="C18">
        <v>95.82</v>
      </c>
      <c r="D18">
        <v>94.82</v>
      </c>
      <c r="E18">
        <v>95.35</v>
      </c>
      <c r="F18">
        <v>9483200</v>
      </c>
      <c r="G18">
        <v>94.53</v>
      </c>
    </row>
    <row r="19" spans="1:7" x14ac:dyDescent="0.25">
      <c r="A19" s="34">
        <v>41844</v>
      </c>
      <c r="B19">
        <v>95.48</v>
      </c>
      <c r="C19">
        <v>95.62</v>
      </c>
      <c r="D19">
        <v>95.27</v>
      </c>
      <c r="E19">
        <v>95.35</v>
      </c>
      <c r="F19">
        <v>7781700</v>
      </c>
      <c r="G19">
        <v>94.53</v>
      </c>
    </row>
    <row r="20" spans="1:7" x14ac:dyDescent="0.25">
      <c r="A20" s="34">
        <v>41845</v>
      </c>
      <c r="B20">
        <v>95.36</v>
      </c>
      <c r="C20">
        <v>95.85</v>
      </c>
      <c r="D20">
        <v>95.32</v>
      </c>
      <c r="E20">
        <v>95.72</v>
      </c>
      <c r="F20">
        <v>4992500</v>
      </c>
      <c r="G20">
        <v>94.9</v>
      </c>
    </row>
    <row r="21" spans="1:7" x14ac:dyDescent="0.25">
      <c r="A21" s="34">
        <v>41848</v>
      </c>
      <c r="B21">
        <v>95.5</v>
      </c>
      <c r="C21">
        <v>95.97</v>
      </c>
      <c r="D21">
        <v>95.39</v>
      </c>
      <c r="E21">
        <v>95.78</v>
      </c>
      <c r="F21">
        <v>4863100</v>
      </c>
      <c r="G21">
        <v>94.96</v>
      </c>
    </row>
    <row r="22" spans="1:7" x14ac:dyDescent="0.25">
      <c r="A22" s="34">
        <v>41849</v>
      </c>
      <c r="B22">
        <v>95.89</v>
      </c>
      <c r="C22">
        <v>96.42</v>
      </c>
      <c r="D22">
        <v>95.71</v>
      </c>
      <c r="E22">
        <v>95.82</v>
      </c>
      <c r="F22">
        <v>6712700</v>
      </c>
      <c r="G22">
        <v>95</v>
      </c>
    </row>
    <row r="23" spans="1:7" x14ac:dyDescent="0.25">
      <c r="A23" s="34">
        <v>41850</v>
      </c>
      <c r="B23">
        <v>96.19</v>
      </c>
      <c r="C23">
        <v>96.34</v>
      </c>
      <c r="D23">
        <v>95.57</v>
      </c>
      <c r="E23">
        <v>95.95</v>
      </c>
      <c r="F23">
        <v>6049800</v>
      </c>
      <c r="G23">
        <v>95.13</v>
      </c>
    </row>
    <row r="24" spans="1:7" x14ac:dyDescent="0.25">
      <c r="A24" s="34">
        <v>41851</v>
      </c>
      <c r="B24">
        <v>95.22</v>
      </c>
      <c r="C24">
        <v>95.36</v>
      </c>
      <c r="D24">
        <v>94.56</v>
      </c>
      <c r="E24">
        <v>94.56</v>
      </c>
      <c r="F24">
        <v>6826000</v>
      </c>
      <c r="G24">
        <v>93.75</v>
      </c>
    </row>
    <row r="25" spans="1:7" x14ac:dyDescent="0.25">
      <c r="A25" s="34">
        <v>41852</v>
      </c>
      <c r="B25">
        <v>94.3</v>
      </c>
      <c r="C25">
        <v>94.73</v>
      </c>
      <c r="D25">
        <v>94.2</v>
      </c>
      <c r="E25">
        <v>94.3</v>
      </c>
      <c r="F25">
        <v>4576400</v>
      </c>
      <c r="G25">
        <v>93.49</v>
      </c>
    </row>
    <row r="26" spans="1:7" x14ac:dyDescent="0.25">
      <c r="A26" s="34">
        <v>41855</v>
      </c>
      <c r="B26">
        <v>94.3</v>
      </c>
      <c r="C26">
        <v>94.35</v>
      </c>
      <c r="D26">
        <v>93.52</v>
      </c>
      <c r="E26">
        <v>94.31</v>
      </c>
      <c r="F26">
        <v>7652700</v>
      </c>
      <c r="G26">
        <v>93.5</v>
      </c>
    </row>
    <row r="27" spans="1:7" x14ac:dyDescent="0.25">
      <c r="A27" s="34">
        <v>41856</v>
      </c>
      <c r="B27">
        <v>94</v>
      </c>
      <c r="C27">
        <v>94.3</v>
      </c>
      <c r="D27">
        <v>93.35</v>
      </c>
      <c r="E27">
        <v>93.43</v>
      </c>
      <c r="F27">
        <v>5494800</v>
      </c>
      <c r="G27">
        <v>92.63</v>
      </c>
    </row>
    <row r="28" spans="1:7" x14ac:dyDescent="0.25">
      <c r="A28" s="34">
        <v>41857</v>
      </c>
      <c r="B28">
        <v>93.39</v>
      </c>
      <c r="C28">
        <v>93.95</v>
      </c>
      <c r="D28">
        <v>93.36</v>
      </c>
      <c r="E28">
        <v>93.47</v>
      </c>
      <c r="F28">
        <v>3728000</v>
      </c>
      <c r="G28">
        <v>92.67</v>
      </c>
    </row>
    <row r="29" spans="1:7" x14ac:dyDescent="0.25">
      <c r="A29" s="34">
        <v>41858</v>
      </c>
      <c r="B29">
        <v>93.82</v>
      </c>
      <c r="C29">
        <v>94</v>
      </c>
      <c r="D29">
        <v>93.24</v>
      </c>
      <c r="E29">
        <v>93.31</v>
      </c>
      <c r="F29">
        <v>3261100</v>
      </c>
      <c r="G29">
        <v>92.51</v>
      </c>
    </row>
    <row r="30" spans="1:7" x14ac:dyDescent="0.25">
      <c r="A30" s="34">
        <v>41859</v>
      </c>
      <c r="B30">
        <v>93.07</v>
      </c>
      <c r="C30">
        <v>93.84</v>
      </c>
      <c r="D30">
        <v>92.92</v>
      </c>
      <c r="E30">
        <v>93.55</v>
      </c>
      <c r="F30">
        <v>6505900</v>
      </c>
      <c r="G30">
        <v>92.75</v>
      </c>
    </row>
    <row r="31" spans="1:7" x14ac:dyDescent="0.25">
      <c r="A31" s="34">
        <v>41862</v>
      </c>
      <c r="B31">
        <v>93.73</v>
      </c>
      <c r="C31">
        <v>93.92</v>
      </c>
      <c r="D31">
        <v>93.46</v>
      </c>
      <c r="E31">
        <v>93.53</v>
      </c>
      <c r="F31">
        <v>4288400</v>
      </c>
      <c r="G31">
        <v>92.73</v>
      </c>
    </row>
    <row r="32" spans="1:7" x14ac:dyDescent="0.25">
      <c r="A32" s="34">
        <v>41863</v>
      </c>
      <c r="B32">
        <v>93.43</v>
      </c>
      <c r="C32">
        <v>93.65</v>
      </c>
      <c r="D32">
        <v>93.15</v>
      </c>
      <c r="E32">
        <v>93.56</v>
      </c>
      <c r="F32">
        <v>3235900</v>
      </c>
      <c r="G32">
        <v>92.76</v>
      </c>
    </row>
    <row r="33" spans="1:7" x14ac:dyDescent="0.25">
      <c r="A33" s="34">
        <v>41864</v>
      </c>
      <c r="B33">
        <v>93.75</v>
      </c>
      <c r="C33">
        <v>94.32</v>
      </c>
      <c r="D33">
        <v>93.55</v>
      </c>
      <c r="E33">
        <v>93.96</v>
      </c>
      <c r="F33">
        <v>3599900</v>
      </c>
      <c r="G33">
        <v>93.16</v>
      </c>
    </row>
    <row r="34" spans="1:7" x14ac:dyDescent="0.25">
      <c r="A34" s="34">
        <v>41865</v>
      </c>
      <c r="B34">
        <v>93.65</v>
      </c>
      <c r="C34">
        <v>93.89</v>
      </c>
      <c r="D34">
        <v>93.26</v>
      </c>
      <c r="E34">
        <v>93.66</v>
      </c>
      <c r="F34">
        <v>5644500</v>
      </c>
      <c r="G34">
        <v>92.86</v>
      </c>
    </row>
    <row r="35" spans="1:7" x14ac:dyDescent="0.25">
      <c r="A35" s="34">
        <v>41866</v>
      </c>
      <c r="B35">
        <v>94.07</v>
      </c>
      <c r="C35">
        <v>94.47</v>
      </c>
      <c r="D35">
        <v>93.41</v>
      </c>
      <c r="E35">
        <v>93.79</v>
      </c>
      <c r="F35">
        <v>4281300</v>
      </c>
      <c r="G35">
        <v>92.99</v>
      </c>
    </row>
    <row r="36" spans="1:7" x14ac:dyDescent="0.25">
      <c r="A36" s="34">
        <v>41869</v>
      </c>
      <c r="B36">
        <v>94.15</v>
      </c>
      <c r="C36">
        <v>94.74</v>
      </c>
      <c r="D36">
        <v>93.93</v>
      </c>
      <c r="E36">
        <v>94.25</v>
      </c>
      <c r="F36">
        <v>4398800</v>
      </c>
      <c r="G36">
        <v>93.44</v>
      </c>
    </row>
    <row r="37" spans="1:7" x14ac:dyDescent="0.25">
      <c r="A37" s="34">
        <v>41870</v>
      </c>
      <c r="B37">
        <v>94.6</v>
      </c>
      <c r="C37">
        <v>94.75</v>
      </c>
      <c r="D37">
        <v>94.26</v>
      </c>
      <c r="E37">
        <v>94.45</v>
      </c>
      <c r="F37">
        <v>3331700</v>
      </c>
      <c r="G37">
        <v>93.64</v>
      </c>
    </row>
    <row r="38" spans="1:7" x14ac:dyDescent="0.25">
      <c r="A38" s="34">
        <v>41871</v>
      </c>
      <c r="B38">
        <v>94.45</v>
      </c>
      <c r="C38">
        <v>94.66</v>
      </c>
      <c r="D38">
        <v>94</v>
      </c>
      <c r="E38">
        <v>94.19</v>
      </c>
      <c r="F38">
        <v>4150400</v>
      </c>
      <c r="G38">
        <v>93.38</v>
      </c>
    </row>
    <row r="39" spans="1:7" x14ac:dyDescent="0.25">
      <c r="A39" s="34">
        <v>41872</v>
      </c>
      <c r="B39">
        <v>94.31</v>
      </c>
      <c r="C39">
        <v>94.76</v>
      </c>
      <c r="D39">
        <v>94.24</v>
      </c>
      <c r="E39">
        <v>94.53</v>
      </c>
      <c r="F39">
        <v>5981600</v>
      </c>
      <c r="G39">
        <v>93.72</v>
      </c>
    </row>
    <row r="40" spans="1:7" x14ac:dyDescent="0.25">
      <c r="A40" s="34">
        <v>41873</v>
      </c>
      <c r="B40">
        <v>94.53</v>
      </c>
      <c r="C40">
        <v>94.86</v>
      </c>
      <c r="D40">
        <v>94.27</v>
      </c>
      <c r="E40">
        <v>94.45</v>
      </c>
      <c r="F40">
        <v>3586900</v>
      </c>
      <c r="G40">
        <v>93.64</v>
      </c>
    </row>
    <row r="41" spans="1:7" x14ac:dyDescent="0.25">
      <c r="A41" s="34">
        <v>41876</v>
      </c>
      <c r="B41">
        <v>94.85</v>
      </c>
      <c r="C41">
        <v>95.37</v>
      </c>
      <c r="D41">
        <v>94.41</v>
      </c>
      <c r="E41">
        <v>94.44</v>
      </c>
      <c r="F41">
        <v>4614300</v>
      </c>
      <c r="G41">
        <v>93.63</v>
      </c>
    </row>
    <row r="42" spans="1:7" x14ac:dyDescent="0.25">
      <c r="A42" s="34">
        <v>41877</v>
      </c>
      <c r="B42">
        <v>94.39</v>
      </c>
      <c r="C42">
        <v>94.79</v>
      </c>
      <c r="D42">
        <v>94.05</v>
      </c>
      <c r="E42">
        <v>94.11</v>
      </c>
      <c r="F42">
        <v>6392400</v>
      </c>
      <c r="G42">
        <v>93.3</v>
      </c>
    </row>
    <row r="43" spans="1:7" x14ac:dyDescent="0.25">
      <c r="A43" s="34">
        <v>41878</v>
      </c>
      <c r="B43">
        <v>94.23</v>
      </c>
      <c r="C43">
        <v>94.68</v>
      </c>
      <c r="D43">
        <v>93.6</v>
      </c>
      <c r="E43">
        <v>94.65</v>
      </c>
      <c r="F43">
        <v>9027300</v>
      </c>
      <c r="G43">
        <v>93.84</v>
      </c>
    </row>
    <row r="44" spans="1:7" x14ac:dyDescent="0.25">
      <c r="A44" s="34">
        <v>41879</v>
      </c>
      <c r="B44">
        <v>93.65</v>
      </c>
      <c r="C44">
        <v>94.76</v>
      </c>
      <c r="D44">
        <v>93.51</v>
      </c>
      <c r="E44">
        <v>94.14</v>
      </c>
      <c r="F44">
        <v>5492400</v>
      </c>
      <c r="G44">
        <v>94.14</v>
      </c>
    </row>
    <row r="45" spans="1:7" x14ac:dyDescent="0.25">
      <c r="A45" s="34">
        <v>41880</v>
      </c>
      <c r="B45">
        <v>94.2</v>
      </c>
      <c r="C45">
        <v>94.2</v>
      </c>
      <c r="D45">
        <v>93.51</v>
      </c>
      <c r="E45">
        <v>93.72</v>
      </c>
      <c r="F45">
        <v>4635100</v>
      </c>
      <c r="G45">
        <v>93.72</v>
      </c>
    </row>
    <row r="46" spans="1:7" x14ac:dyDescent="0.25">
      <c r="A46" s="34">
        <v>41884</v>
      </c>
      <c r="B46">
        <v>93.24</v>
      </c>
      <c r="C46">
        <v>93.7</v>
      </c>
      <c r="D46">
        <v>92.69</v>
      </c>
      <c r="E46">
        <v>92.8</v>
      </c>
      <c r="F46">
        <v>6727100</v>
      </c>
      <c r="G46">
        <v>92.8</v>
      </c>
    </row>
    <row r="47" spans="1:7" x14ac:dyDescent="0.25">
      <c r="A47" s="34">
        <v>41885</v>
      </c>
      <c r="B47">
        <v>93.27</v>
      </c>
      <c r="C47">
        <v>93.49</v>
      </c>
      <c r="D47">
        <v>93.04</v>
      </c>
      <c r="E47">
        <v>93.14</v>
      </c>
      <c r="F47">
        <v>4855300</v>
      </c>
      <c r="G47">
        <v>93.14</v>
      </c>
    </row>
    <row r="48" spans="1:7" x14ac:dyDescent="0.25">
      <c r="A48" s="34">
        <v>41886</v>
      </c>
      <c r="B48">
        <v>93.02</v>
      </c>
      <c r="C48">
        <v>93.23</v>
      </c>
      <c r="D48">
        <v>92.8</v>
      </c>
      <c r="E48">
        <v>93.01</v>
      </c>
      <c r="F48">
        <v>4849800</v>
      </c>
      <c r="G48">
        <v>93.01</v>
      </c>
    </row>
    <row r="49" spans="1:7" x14ac:dyDescent="0.25">
      <c r="A49" s="34">
        <v>41887</v>
      </c>
      <c r="B49">
        <v>93.1</v>
      </c>
      <c r="C49">
        <v>93.12</v>
      </c>
      <c r="D49">
        <v>92.8</v>
      </c>
      <c r="E49">
        <v>93.07</v>
      </c>
      <c r="F49">
        <v>4004600</v>
      </c>
      <c r="G49">
        <v>93.07</v>
      </c>
    </row>
    <row r="50" spans="1:7" x14ac:dyDescent="0.25">
      <c r="A50" s="34">
        <v>41890</v>
      </c>
      <c r="B50">
        <v>92.8</v>
      </c>
      <c r="C50">
        <v>92.82</v>
      </c>
      <c r="D50">
        <v>92.2</v>
      </c>
      <c r="E50">
        <v>92.5</v>
      </c>
      <c r="F50">
        <v>5251900</v>
      </c>
      <c r="G50">
        <v>92.5</v>
      </c>
    </row>
    <row r="51" spans="1:7" x14ac:dyDescent="0.25">
      <c r="A51" s="34">
        <v>41891</v>
      </c>
      <c r="B51">
        <v>92.6</v>
      </c>
      <c r="C51">
        <v>92.7</v>
      </c>
      <c r="D51">
        <v>90.96</v>
      </c>
      <c r="E51">
        <v>91.09</v>
      </c>
      <c r="F51">
        <v>9795200</v>
      </c>
      <c r="G51">
        <v>91.09</v>
      </c>
    </row>
    <row r="52" spans="1:7" x14ac:dyDescent="0.25">
      <c r="A52" s="34">
        <v>41892</v>
      </c>
      <c r="B52">
        <v>90.84</v>
      </c>
      <c r="C52">
        <v>93.06</v>
      </c>
      <c r="D52">
        <v>90.53</v>
      </c>
      <c r="E52">
        <v>93</v>
      </c>
      <c r="F52">
        <v>12031400</v>
      </c>
      <c r="G52">
        <v>93</v>
      </c>
    </row>
    <row r="53" spans="1:7" x14ac:dyDescent="0.25">
      <c r="A53" s="34">
        <v>41893</v>
      </c>
      <c r="B53">
        <v>92.94</v>
      </c>
      <c r="C53">
        <v>93.29</v>
      </c>
      <c r="D53">
        <v>92.42</v>
      </c>
      <c r="E53">
        <v>92.96</v>
      </c>
      <c r="F53">
        <v>5960100</v>
      </c>
      <c r="G53">
        <v>92.96</v>
      </c>
    </row>
    <row r="54" spans="1:7" x14ac:dyDescent="0.25">
      <c r="A54" s="34">
        <v>41894</v>
      </c>
      <c r="B54">
        <v>92.94</v>
      </c>
      <c r="C54">
        <v>93.84</v>
      </c>
      <c r="D54">
        <v>92.82</v>
      </c>
      <c r="E54">
        <v>93.34</v>
      </c>
      <c r="F54">
        <v>8033100</v>
      </c>
      <c r="G54">
        <v>93.34</v>
      </c>
    </row>
    <row r="55" spans="1:7" x14ac:dyDescent="0.25">
      <c r="A55" s="34">
        <v>41897</v>
      </c>
      <c r="B55">
        <v>93.26</v>
      </c>
      <c r="C55">
        <v>93.91</v>
      </c>
      <c r="D55">
        <v>93.25</v>
      </c>
      <c r="E55">
        <v>93.47</v>
      </c>
      <c r="F55">
        <v>6255000</v>
      </c>
      <c r="G55">
        <v>93.47</v>
      </c>
    </row>
  </sheetData>
  <sortState ref="A3:G55">
    <sortCondition ref="A3:A55"/>
  </sortState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37.81</v>
      </c>
      <c r="C3">
        <v>38.07</v>
      </c>
      <c r="D3">
        <v>37.549999999999997</v>
      </c>
      <c r="E3">
        <v>37.869999999999997</v>
      </c>
      <c r="F3">
        <v>5801500</v>
      </c>
      <c r="G3">
        <v>37.71</v>
      </c>
    </row>
    <row r="4" spans="1:7" x14ac:dyDescent="0.25">
      <c r="A4" s="34">
        <v>41822</v>
      </c>
      <c r="B4">
        <v>37.89</v>
      </c>
      <c r="C4">
        <v>37.94</v>
      </c>
      <c r="D4">
        <v>37.590000000000003</v>
      </c>
      <c r="E4">
        <v>37.909999999999997</v>
      </c>
      <c r="F4">
        <v>4771400</v>
      </c>
      <c r="G4">
        <v>37.75</v>
      </c>
    </row>
    <row r="5" spans="1:7" x14ac:dyDescent="0.25">
      <c r="A5" s="34">
        <v>41823</v>
      </c>
      <c r="B5">
        <v>38.200000000000003</v>
      </c>
      <c r="C5">
        <v>38.29</v>
      </c>
      <c r="D5">
        <v>37.74</v>
      </c>
      <c r="E5">
        <v>37.97</v>
      </c>
      <c r="F5">
        <v>3084900</v>
      </c>
      <c r="G5">
        <v>37.81</v>
      </c>
    </row>
    <row r="6" spans="1:7" x14ac:dyDescent="0.25">
      <c r="A6" s="34">
        <v>41827</v>
      </c>
      <c r="B6">
        <v>37.97</v>
      </c>
      <c r="C6">
        <v>37.99</v>
      </c>
      <c r="D6">
        <v>37.770000000000003</v>
      </c>
      <c r="E6">
        <v>37.950000000000003</v>
      </c>
      <c r="F6">
        <v>3930700</v>
      </c>
      <c r="G6">
        <v>37.79</v>
      </c>
    </row>
    <row r="7" spans="1:7" x14ac:dyDescent="0.25">
      <c r="A7" s="34">
        <v>41828</v>
      </c>
      <c r="B7">
        <v>37.81</v>
      </c>
      <c r="C7">
        <v>38.39</v>
      </c>
      <c r="D7">
        <v>37.81</v>
      </c>
      <c r="E7">
        <v>38.08</v>
      </c>
      <c r="F7">
        <v>7012400</v>
      </c>
      <c r="G7">
        <v>37.92</v>
      </c>
    </row>
    <row r="8" spans="1:7" x14ac:dyDescent="0.25">
      <c r="A8" s="34">
        <v>41829</v>
      </c>
      <c r="B8">
        <v>38.15</v>
      </c>
      <c r="C8">
        <v>38.450000000000003</v>
      </c>
      <c r="D8">
        <v>37.979999999999997</v>
      </c>
      <c r="E8">
        <v>38.01</v>
      </c>
      <c r="F8">
        <v>7640700</v>
      </c>
      <c r="G8">
        <v>37.85</v>
      </c>
    </row>
    <row r="9" spans="1:7" x14ac:dyDescent="0.25">
      <c r="A9" s="34">
        <v>41830</v>
      </c>
      <c r="B9">
        <v>37.78</v>
      </c>
      <c r="C9">
        <v>38.049999999999997</v>
      </c>
      <c r="D9">
        <v>37.69</v>
      </c>
      <c r="E9">
        <v>37.99</v>
      </c>
      <c r="F9">
        <v>4420800</v>
      </c>
      <c r="G9">
        <v>37.83</v>
      </c>
    </row>
    <row r="10" spans="1:7" x14ac:dyDescent="0.25">
      <c r="A10" s="34">
        <v>41831</v>
      </c>
      <c r="B10">
        <v>37.76</v>
      </c>
      <c r="C10">
        <v>39.54</v>
      </c>
      <c r="D10">
        <v>37.76</v>
      </c>
      <c r="E10">
        <v>38.42</v>
      </c>
      <c r="F10">
        <v>13163000</v>
      </c>
      <c r="G10">
        <v>38.25</v>
      </c>
    </row>
    <row r="11" spans="1:7" x14ac:dyDescent="0.25">
      <c r="A11" s="34">
        <v>41834</v>
      </c>
      <c r="B11">
        <v>38.65</v>
      </c>
      <c r="C11">
        <v>38.75</v>
      </c>
      <c r="D11">
        <v>38.340000000000003</v>
      </c>
      <c r="E11">
        <v>38.56</v>
      </c>
      <c r="F11">
        <v>7135700</v>
      </c>
      <c r="G11">
        <v>38.39</v>
      </c>
    </row>
    <row r="12" spans="1:7" x14ac:dyDescent="0.25">
      <c r="A12" s="34">
        <v>41835</v>
      </c>
      <c r="B12">
        <v>38.44</v>
      </c>
      <c r="C12">
        <v>38.61</v>
      </c>
      <c r="D12">
        <v>38.08</v>
      </c>
      <c r="E12">
        <v>38.1</v>
      </c>
      <c r="F12">
        <v>7359900</v>
      </c>
      <c r="G12">
        <v>37.94</v>
      </c>
    </row>
    <row r="13" spans="1:7" x14ac:dyDescent="0.25">
      <c r="A13" s="34">
        <v>41836</v>
      </c>
      <c r="B13">
        <v>38.119999999999997</v>
      </c>
      <c r="C13">
        <v>38.31</v>
      </c>
      <c r="D13">
        <v>38</v>
      </c>
      <c r="E13">
        <v>38.14</v>
      </c>
      <c r="F13">
        <v>5971700</v>
      </c>
      <c r="G13">
        <v>37.979999999999997</v>
      </c>
    </row>
    <row r="14" spans="1:7" x14ac:dyDescent="0.25">
      <c r="A14" s="34">
        <v>41837</v>
      </c>
      <c r="B14">
        <v>37.9</v>
      </c>
      <c r="C14">
        <v>38.17</v>
      </c>
      <c r="D14">
        <v>37.840000000000003</v>
      </c>
      <c r="E14">
        <v>37.99</v>
      </c>
      <c r="F14">
        <v>6388100</v>
      </c>
      <c r="G14">
        <v>37.83</v>
      </c>
    </row>
    <row r="15" spans="1:7" x14ac:dyDescent="0.25">
      <c r="A15" s="34">
        <v>41838</v>
      </c>
      <c r="B15">
        <v>38.1</v>
      </c>
      <c r="C15">
        <v>38.5</v>
      </c>
      <c r="D15">
        <v>37.96</v>
      </c>
      <c r="E15">
        <v>38.479999999999997</v>
      </c>
      <c r="F15">
        <v>6069600</v>
      </c>
      <c r="G15">
        <v>38.31</v>
      </c>
    </row>
    <row r="16" spans="1:7" x14ac:dyDescent="0.25">
      <c r="A16" s="34">
        <v>41841</v>
      </c>
      <c r="B16">
        <v>38.020000000000003</v>
      </c>
      <c r="C16">
        <v>38.479999999999997</v>
      </c>
      <c r="D16">
        <v>38.020000000000003</v>
      </c>
      <c r="E16">
        <v>38.270000000000003</v>
      </c>
      <c r="F16">
        <v>5076300</v>
      </c>
      <c r="G16">
        <v>38.1</v>
      </c>
    </row>
    <row r="17" spans="1:7" x14ac:dyDescent="0.25">
      <c r="A17" s="34">
        <v>41842</v>
      </c>
      <c r="B17">
        <v>38.32</v>
      </c>
      <c r="C17">
        <v>38.630000000000003</v>
      </c>
      <c r="D17">
        <v>38.32</v>
      </c>
      <c r="E17">
        <v>38.51</v>
      </c>
      <c r="F17">
        <v>5438800</v>
      </c>
      <c r="G17">
        <v>38.340000000000003</v>
      </c>
    </row>
    <row r="18" spans="1:7" x14ac:dyDescent="0.25">
      <c r="A18" s="34">
        <v>41843</v>
      </c>
      <c r="B18">
        <v>38.54</v>
      </c>
      <c r="C18">
        <v>38.61</v>
      </c>
      <c r="D18">
        <v>38.270000000000003</v>
      </c>
      <c r="E18">
        <v>38.29</v>
      </c>
      <c r="F18">
        <v>4353100</v>
      </c>
      <c r="G18">
        <v>38.119999999999997</v>
      </c>
    </row>
    <row r="19" spans="1:7" x14ac:dyDescent="0.25">
      <c r="A19" s="34">
        <v>41844</v>
      </c>
      <c r="B19">
        <v>38.340000000000003</v>
      </c>
      <c r="C19">
        <v>38.47</v>
      </c>
      <c r="D19">
        <v>38.200000000000003</v>
      </c>
      <c r="E19">
        <v>38.31</v>
      </c>
      <c r="F19">
        <v>4430300</v>
      </c>
      <c r="G19">
        <v>38.14</v>
      </c>
    </row>
    <row r="20" spans="1:7" x14ac:dyDescent="0.25">
      <c r="A20" s="34">
        <v>41845</v>
      </c>
      <c r="B20">
        <v>38.29</v>
      </c>
      <c r="C20">
        <v>38.31</v>
      </c>
      <c r="D20">
        <v>38.04</v>
      </c>
      <c r="E20">
        <v>38.18</v>
      </c>
      <c r="F20">
        <v>4398400</v>
      </c>
      <c r="G20">
        <v>38.020000000000003</v>
      </c>
    </row>
    <row r="21" spans="1:7" x14ac:dyDescent="0.25">
      <c r="A21" s="34">
        <v>41848</v>
      </c>
      <c r="B21">
        <v>38.32</v>
      </c>
      <c r="C21">
        <v>38.33</v>
      </c>
      <c r="D21">
        <v>37.99</v>
      </c>
      <c r="E21">
        <v>38.22</v>
      </c>
      <c r="F21">
        <v>4912600</v>
      </c>
      <c r="G21">
        <v>38.049999999999997</v>
      </c>
    </row>
    <row r="22" spans="1:7" x14ac:dyDescent="0.25">
      <c r="A22" s="34">
        <v>41849</v>
      </c>
      <c r="B22">
        <v>38.299999999999997</v>
      </c>
      <c r="C22">
        <v>38.39</v>
      </c>
      <c r="D22">
        <v>37.979999999999997</v>
      </c>
      <c r="E22">
        <v>38.01</v>
      </c>
      <c r="F22">
        <v>4310200</v>
      </c>
      <c r="G22">
        <v>37.85</v>
      </c>
    </row>
    <row r="23" spans="1:7" x14ac:dyDescent="0.25">
      <c r="A23" s="34">
        <v>41850</v>
      </c>
      <c r="B23">
        <v>38.17</v>
      </c>
      <c r="C23">
        <v>38.18</v>
      </c>
      <c r="D23">
        <v>36.96</v>
      </c>
      <c r="E23">
        <v>36.97</v>
      </c>
      <c r="F23">
        <v>9331900</v>
      </c>
      <c r="G23">
        <v>36.81</v>
      </c>
    </row>
    <row r="24" spans="1:7" x14ac:dyDescent="0.25">
      <c r="A24" s="34">
        <v>41851</v>
      </c>
      <c r="B24">
        <v>36.619999999999997</v>
      </c>
      <c r="C24">
        <v>36.79</v>
      </c>
      <c r="D24">
        <v>35.979999999999997</v>
      </c>
      <c r="E24">
        <v>36.020000000000003</v>
      </c>
      <c r="F24">
        <v>8907300</v>
      </c>
      <c r="G24">
        <v>35.86</v>
      </c>
    </row>
    <row r="25" spans="1:7" x14ac:dyDescent="0.25">
      <c r="A25" s="34">
        <v>41852</v>
      </c>
      <c r="B25">
        <v>36.229999999999997</v>
      </c>
      <c r="C25">
        <v>36.43</v>
      </c>
      <c r="D25">
        <v>35.92</v>
      </c>
      <c r="E25">
        <v>36.33</v>
      </c>
      <c r="F25">
        <v>6496200</v>
      </c>
      <c r="G25">
        <v>36.17</v>
      </c>
    </row>
    <row r="26" spans="1:7" x14ac:dyDescent="0.25">
      <c r="A26" s="34">
        <v>41855</v>
      </c>
      <c r="B26">
        <v>36.22</v>
      </c>
      <c r="C26">
        <v>36.51</v>
      </c>
      <c r="D26">
        <v>36.130000000000003</v>
      </c>
      <c r="E26">
        <v>36.450000000000003</v>
      </c>
      <c r="F26">
        <v>7111900</v>
      </c>
      <c r="G26">
        <v>36.29</v>
      </c>
    </row>
    <row r="27" spans="1:7" x14ac:dyDescent="0.25">
      <c r="A27" s="34">
        <v>41856</v>
      </c>
      <c r="B27">
        <v>36.21</v>
      </c>
      <c r="C27">
        <v>36.43</v>
      </c>
      <c r="D27">
        <v>35.79</v>
      </c>
      <c r="E27">
        <v>35.96</v>
      </c>
      <c r="F27">
        <v>15630600</v>
      </c>
      <c r="G27">
        <v>35.799999999999997</v>
      </c>
    </row>
    <row r="28" spans="1:7" x14ac:dyDescent="0.25">
      <c r="A28" s="34">
        <v>41857</v>
      </c>
      <c r="B28">
        <v>35.29</v>
      </c>
      <c r="C28">
        <v>36.76</v>
      </c>
      <c r="D28">
        <v>35.119999999999997</v>
      </c>
      <c r="E28">
        <v>35.659999999999997</v>
      </c>
      <c r="F28">
        <v>15206400</v>
      </c>
      <c r="G28">
        <v>35.51</v>
      </c>
    </row>
    <row r="29" spans="1:7" x14ac:dyDescent="0.25">
      <c r="A29" s="34">
        <v>41858</v>
      </c>
      <c r="B29">
        <v>36.56</v>
      </c>
      <c r="C29">
        <v>36.56</v>
      </c>
      <c r="D29">
        <v>34.92</v>
      </c>
      <c r="E29">
        <v>35.07</v>
      </c>
      <c r="F29">
        <v>9249800</v>
      </c>
      <c r="G29">
        <v>34.92</v>
      </c>
    </row>
    <row r="30" spans="1:7" x14ac:dyDescent="0.25">
      <c r="A30" s="34">
        <v>41859</v>
      </c>
      <c r="B30">
        <v>35.14</v>
      </c>
      <c r="C30">
        <v>35.520000000000003</v>
      </c>
      <c r="D30">
        <v>35.1</v>
      </c>
      <c r="E30">
        <v>35.479999999999997</v>
      </c>
      <c r="F30">
        <v>5140400</v>
      </c>
      <c r="G30">
        <v>35.33</v>
      </c>
    </row>
    <row r="31" spans="1:7" x14ac:dyDescent="0.25">
      <c r="A31" s="34">
        <v>41862</v>
      </c>
      <c r="B31">
        <v>35.54</v>
      </c>
      <c r="C31">
        <v>35.9</v>
      </c>
      <c r="D31">
        <v>35.479999999999997</v>
      </c>
      <c r="E31">
        <v>35.76</v>
      </c>
      <c r="F31">
        <v>6642200</v>
      </c>
      <c r="G31">
        <v>35.61</v>
      </c>
    </row>
    <row r="32" spans="1:7" x14ac:dyDescent="0.25">
      <c r="A32" s="34">
        <v>41863</v>
      </c>
      <c r="B32">
        <v>35.65</v>
      </c>
      <c r="C32">
        <v>35.79</v>
      </c>
      <c r="D32">
        <v>35.57</v>
      </c>
      <c r="E32">
        <v>35.67</v>
      </c>
      <c r="F32">
        <v>5447100</v>
      </c>
      <c r="G32">
        <v>35.520000000000003</v>
      </c>
    </row>
    <row r="33" spans="1:7" x14ac:dyDescent="0.25">
      <c r="A33" s="34">
        <v>41864</v>
      </c>
      <c r="B33">
        <v>35.68</v>
      </c>
      <c r="C33">
        <v>35.92</v>
      </c>
      <c r="D33">
        <v>35.68</v>
      </c>
      <c r="E33">
        <v>35.799999999999997</v>
      </c>
      <c r="F33">
        <v>4901700</v>
      </c>
      <c r="G33">
        <v>35.65</v>
      </c>
    </row>
    <row r="34" spans="1:7" x14ac:dyDescent="0.25">
      <c r="A34" s="34">
        <v>41865</v>
      </c>
      <c r="B34">
        <v>35.79</v>
      </c>
      <c r="C34">
        <v>35.9</v>
      </c>
      <c r="D34">
        <v>35.64</v>
      </c>
      <c r="E34">
        <v>35.700000000000003</v>
      </c>
      <c r="F34">
        <v>4682800</v>
      </c>
      <c r="G34">
        <v>35.549999999999997</v>
      </c>
    </row>
    <row r="35" spans="1:7" x14ac:dyDescent="0.25">
      <c r="A35" s="34">
        <v>41866</v>
      </c>
      <c r="B35">
        <v>36</v>
      </c>
      <c r="C35">
        <v>36</v>
      </c>
      <c r="D35">
        <v>35.590000000000003</v>
      </c>
      <c r="E35">
        <v>35.78</v>
      </c>
      <c r="F35">
        <v>7733900</v>
      </c>
      <c r="G35">
        <v>35.630000000000003</v>
      </c>
    </row>
    <row r="36" spans="1:7" x14ac:dyDescent="0.25">
      <c r="A36" s="34">
        <v>41869</v>
      </c>
      <c r="B36">
        <v>36.08</v>
      </c>
      <c r="C36">
        <v>36.08</v>
      </c>
      <c r="D36">
        <v>35.86</v>
      </c>
      <c r="E36">
        <v>36.04</v>
      </c>
      <c r="F36">
        <v>6205400</v>
      </c>
      <c r="G36">
        <v>35.880000000000003</v>
      </c>
    </row>
    <row r="37" spans="1:7" x14ac:dyDescent="0.25">
      <c r="A37" s="34">
        <v>41870</v>
      </c>
      <c r="B37">
        <v>36.020000000000003</v>
      </c>
      <c r="C37">
        <v>36.35</v>
      </c>
      <c r="D37">
        <v>35.81</v>
      </c>
      <c r="E37">
        <v>36.17</v>
      </c>
      <c r="F37">
        <v>5423100</v>
      </c>
      <c r="G37">
        <v>36.01</v>
      </c>
    </row>
    <row r="38" spans="1:7" x14ac:dyDescent="0.25">
      <c r="A38" s="34">
        <v>41871</v>
      </c>
      <c r="B38">
        <v>36.25</v>
      </c>
      <c r="C38">
        <v>36.29</v>
      </c>
      <c r="D38">
        <v>36.06</v>
      </c>
      <c r="E38">
        <v>36.200000000000003</v>
      </c>
      <c r="F38">
        <v>3863100</v>
      </c>
      <c r="G38">
        <v>36.04</v>
      </c>
    </row>
    <row r="39" spans="1:7" x14ac:dyDescent="0.25">
      <c r="A39" s="34">
        <v>41872</v>
      </c>
      <c r="B39">
        <v>36.24</v>
      </c>
      <c r="C39">
        <v>36.35</v>
      </c>
      <c r="D39">
        <v>36.130000000000003</v>
      </c>
      <c r="E39">
        <v>36.159999999999997</v>
      </c>
      <c r="F39">
        <v>3025200</v>
      </c>
      <c r="G39">
        <v>36</v>
      </c>
    </row>
    <row r="40" spans="1:7" x14ac:dyDescent="0.25">
      <c r="A40" s="34">
        <v>41873</v>
      </c>
      <c r="B40">
        <v>36.06</v>
      </c>
      <c r="C40">
        <v>36.19</v>
      </c>
      <c r="D40">
        <v>35.81</v>
      </c>
      <c r="E40">
        <v>35.85</v>
      </c>
      <c r="F40">
        <v>4137100</v>
      </c>
      <c r="G40">
        <v>35.700000000000003</v>
      </c>
    </row>
    <row r="41" spans="1:7" x14ac:dyDescent="0.25">
      <c r="A41" s="34">
        <v>41876</v>
      </c>
      <c r="B41">
        <v>36.159999999999997</v>
      </c>
      <c r="C41">
        <v>36.22</v>
      </c>
      <c r="D41">
        <v>36</v>
      </c>
      <c r="E41">
        <v>36.15</v>
      </c>
      <c r="F41">
        <v>3616200</v>
      </c>
      <c r="G41">
        <v>35.99</v>
      </c>
    </row>
    <row r="42" spans="1:7" x14ac:dyDescent="0.25">
      <c r="A42" s="34">
        <v>41877</v>
      </c>
      <c r="B42">
        <v>36.14</v>
      </c>
      <c r="C42">
        <v>36.26</v>
      </c>
      <c r="D42">
        <v>35.93</v>
      </c>
      <c r="E42">
        <v>36.07</v>
      </c>
      <c r="F42">
        <v>2845100</v>
      </c>
      <c r="G42">
        <v>35.909999999999997</v>
      </c>
    </row>
    <row r="43" spans="1:7" x14ac:dyDescent="0.25">
      <c r="A43" s="34">
        <v>41878</v>
      </c>
      <c r="B43">
        <v>36.1</v>
      </c>
      <c r="C43">
        <v>36.24</v>
      </c>
      <c r="D43">
        <v>36</v>
      </c>
      <c r="E43">
        <v>36.24</v>
      </c>
      <c r="F43">
        <v>3703000</v>
      </c>
      <c r="G43">
        <v>36.08</v>
      </c>
    </row>
    <row r="44" spans="1:7" x14ac:dyDescent="0.25">
      <c r="A44" s="34">
        <v>41879</v>
      </c>
      <c r="B44">
        <v>36.18</v>
      </c>
      <c r="C44">
        <v>36.44</v>
      </c>
      <c r="D44">
        <v>36.06</v>
      </c>
      <c r="E44">
        <v>36.29</v>
      </c>
      <c r="F44">
        <v>3642000</v>
      </c>
      <c r="G44">
        <v>36.130000000000003</v>
      </c>
    </row>
    <row r="45" spans="1:7" x14ac:dyDescent="0.25">
      <c r="A45" s="34">
        <v>41880</v>
      </c>
      <c r="B45">
        <v>36.32</v>
      </c>
      <c r="C45">
        <v>36.35</v>
      </c>
      <c r="D45">
        <v>36.07</v>
      </c>
      <c r="E45">
        <v>36.19</v>
      </c>
      <c r="F45">
        <v>5086900</v>
      </c>
      <c r="G45">
        <v>36.03</v>
      </c>
    </row>
    <row r="46" spans="1:7" x14ac:dyDescent="0.25">
      <c r="A46" s="34">
        <v>41884</v>
      </c>
      <c r="B46">
        <v>36.29</v>
      </c>
      <c r="C46">
        <v>36.35</v>
      </c>
      <c r="D46">
        <v>35.549999999999997</v>
      </c>
      <c r="E46">
        <v>35.74</v>
      </c>
      <c r="F46">
        <v>7838100</v>
      </c>
      <c r="G46">
        <v>35.590000000000003</v>
      </c>
    </row>
    <row r="47" spans="1:7" x14ac:dyDescent="0.25">
      <c r="A47" s="34">
        <v>41885</v>
      </c>
      <c r="B47">
        <v>35.96</v>
      </c>
      <c r="C47">
        <v>35.99</v>
      </c>
      <c r="D47">
        <v>35.729999999999997</v>
      </c>
      <c r="E47">
        <v>35.82</v>
      </c>
      <c r="F47">
        <v>5485400</v>
      </c>
      <c r="G47">
        <v>35.67</v>
      </c>
    </row>
    <row r="48" spans="1:7" x14ac:dyDescent="0.25">
      <c r="A48" s="34">
        <v>41886</v>
      </c>
      <c r="B48">
        <v>35.869999999999997</v>
      </c>
      <c r="C48">
        <v>36.020000000000003</v>
      </c>
      <c r="D48">
        <v>35.4</v>
      </c>
      <c r="E48">
        <v>35.5</v>
      </c>
      <c r="F48">
        <v>6551700</v>
      </c>
      <c r="G48">
        <v>35.35</v>
      </c>
    </row>
    <row r="49" spans="1:7" x14ac:dyDescent="0.25">
      <c r="A49" s="34">
        <v>41887</v>
      </c>
      <c r="B49">
        <v>35.700000000000003</v>
      </c>
      <c r="C49">
        <v>35.74</v>
      </c>
      <c r="D49">
        <v>35.22</v>
      </c>
      <c r="E49">
        <v>35.69</v>
      </c>
      <c r="F49">
        <v>7349800</v>
      </c>
      <c r="G49">
        <v>35.54</v>
      </c>
    </row>
    <row r="50" spans="1:7" x14ac:dyDescent="0.25">
      <c r="A50" s="34">
        <v>41890</v>
      </c>
      <c r="B50">
        <v>35.5</v>
      </c>
      <c r="C50">
        <v>35.69</v>
      </c>
      <c r="D50">
        <v>35.270000000000003</v>
      </c>
      <c r="E50">
        <v>35.32</v>
      </c>
      <c r="F50">
        <v>5391500</v>
      </c>
      <c r="G50">
        <v>35.17</v>
      </c>
    </row>
    <row r="51" spans="1:7" x14ac:dyDescent="0.25">
      <c r="A51" s="34">
        <v>41891</v>
      </c>
      <c r="B51">
        <v>35.22</v>
      </c>
      <c r="C51">
        <v>35.700000000000003</v>
      </c>
      <c r="D51">
        <v>35.15</v>
      </c>
      <c r="E51">
        <v>35.53</v>
      </c>
      <c r="F51">
        <v>6641900</v>
      </c>
      <c r="G51">
        <v>35.380000000000003</v>
      </c>
    </row>
    <row r="52" spans="1:7" x14ac:dyDescent="0.25">
      <c r="A52" s="34">
        <v>41892</v>
      </c>
      <c r="B52">
        <v>35.67</v>
      </c>
      <c r="C52">
        <v>35.68</v>
      </c>
      <c r="D52">
        <v>35.36</v>
      </c>
      <c r="E52">
        <v>35.6</v>
      </c>
      <c r="F52">
        <v>3785800</v>
      </c>
      <c r="G52">
        <v>35.450000000000003</v>
      </c>
    </row>
    <row r="53" spans="1:7" x14ac:dyDescent="0.25">
      <c r="A53" s="34">
        <v>41893</v>
      </c>
      <c r="B53">
        <v>35.200000000000003</v>
      </c>
      <c r="C53">
        <v>35.76</v>
      </c>
      <c r="D53">
        <v>35.17</v>
      </c>
      <c r="E53">
        <v>35.75</v>
      </c>
      <c r="F53">
        <v>4768900</v>
      </c>
      <c r="G53">
        <v>35.6</v>
      </c>
    </row>
    <row r="54" spans="1:7" x14ac:dyDescent="0.25">
      <c r="A54" s="34">
        <v>41894</v>
      </c>
      <c r="B54">
        <v>35.590000000000003</v>
      </c>
      <c r="C54">
        <v>35.68</v>
      </c>
      <c r="D54">
        <v>35.25</v>
      </c>
      <c r="E54">
        <v>35.32</v>
      </c>
      <c r="F54">
        <v>5546900</v>
      </c>
      <c r="G54">
        <v>35.17</v>
      </c>
    </row>
    <row r="55" spans="1:7" x14ac:dyDescent="0.25">
      <c r="A55" s="34">
        <v>41897</v>
      </c>
      <c r="B55">
        <v>35.29</v>
      </c>
      <c r="C55">
        <v>35.53</v>
      </c>
      <c r="D55">
        <v>35.21</v>
      </c>
      <c r="E55">
        <v>35.43</v>
      </c>
      <c r="F55">
        <v>4355000</v>
      </c>
      <c r="G55">
        <v>35.28</v>
      </c>
    </row>
  </sheetData>
  <sortState ref="A3:G55">
    <sortCondition ref="A3:A55"/>
  </sortState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63.29</v>
      </c>
      <c r="C3">
        <v>64.069999999999993</v>
      </c>
      <c r="D3">
        <v>63.2</v>
      </c>
      <c r="E3">
        <v>63.91</v>
      </c>
      <c r="F3">
        <v>7730100</v>
      </c>
      <c r="G3">
        <v>63.91</v>
      </c>
    </row>
    <row r="4" spans="1:7" x14ac:dyDescent="0.25">
      <c r="A4" s="34">
        <v>41822</v>
      </c>
      <c r="B4">
        <v>63.91</v>
      </c>
      <c r="C4">
        <v>64.209999999999994</v>
      </c>
      <c r="D4">
        <v>63.66</v>
      </c>
      <c r="E4">
        <v>63.91</v>
      </c>
      <c r="F4">
        <v>7148200</v>
      </c>
      <c r="G4">
        <v>63.91</v>
      </c>
    </row>
    <row r="5" spans="1:7" x14ac:dyDescent="0.25">
      <c r="A5" s="34">
        <v>41823</v>
      </c>
      <c r="B5">
        <v>64.180000000000007</v>
      </c>
      <c r="C5">
        <v>64.56</v>
      </c>
      <c r="D5">
        <v>63.81</v>
      </c>
      <c r="E5">
        <v>64.55</v>
      </c>
      <c r="F5">
        <v>4349900</v>
      </c>
      <c r="G5">
        <v>64.55</v>
      </c>
    </row>
    <row r="6" spans="1:7" x14ac:dyDescent="0.25">
      <c r="A6" s="34">
        <v>41827</v>
      </c>
      <c r="B6">
        <v>63.91</v>
      </c>
      <c r="C6">
        <v>64.22</v>
      </c>
      <c r="D6">
        <v>63.27</v>
      </c>
      <c r="E6">
        <v>63.61</v>
      </c>
      <c r="F6">
        <v>7616000</v>
      </c>
      <c r="G6">
        <v>63.61</v>
      </c>
    </row>
    <row r="7" spans="1:7" x14ac:dyDescent="0.25">
      <c r="A7" s="34">
        <v>41828</v>
      </c>
      <c r="B7">
        <v>64.08</v>
      </c>
      <c r="C7">
        <v>64.22</v>
      </c>
      <c r="D7">
        <v>63.51</v>
      </c>
      <c r="E7">
        <v>63.62</v>
      </c>
      <c r="F7">
        <v>7627800</v>
      </c>
      <c r="G7">
        <v>63.62</v>
      </c>
    </row>
    <row r="8" spans="1:7" x14ac:dyDescent="0.25">
      <c r="A8" s="34">
        <v>41829</v>
      </c>
      <c r="B8">
        <v>64.06</v>
      </c>
      <c r="C8">
        <v>64.3</v>
      </c>
      <c r="D8">
        <v>63.5</v>
      </c>
      <c r="E8">
        <v>63.6</v>
      </c>
      <c r="F8">
        <v>7576000</v>
      </c>
      <c r="G8">
        <v>63.6</v>
      </c>
    </row>
    <row r="9" spans="1:7" x14ac:dyDescent="0.25">
      <c r="A9" s="34">
        <v>41830</v>
      </c>
      <c r="B9">
        <v>63.13</v>
      </c>
      <c r="C9">
        <v>63.57</v>
      </c>
      <c r="D9">
        <v>62.65</v>
      </c>
      <c r="E9">
        <v>63.47</v>
      </c>
      <c r="F9">
        <v>5161600</v>
      </c>
      <c r="G9">
        <v>63.47</v>
      </c>
    </row>
    <row r="10" spans="1:7" x14ac:dyDescent="0.25">
      <c r="A10" s="34">
        <v>41831</v>
      </c>
      <c r="B10">
        <v>63.44</v>
      </c>
      <c r="C10">
        <v>63.85</v>
      </c>
      <c r="D10">
        <v>62.88</v>
      </c>
      <c r="E10">
        <v>63.79</v>
      </c>
      <c r="F10">
        <v>7533700</v>
      </c>
      <c r="G10">
        <v>63.79</v>
      </c>
    </row>
    <row r="11" spans="1:7" x14ac:dyDescent="0.25">
      <c r="A11" s="34">
        <v>41834</v>
      </c>
      <c r="B11">
        <v>64</v>
      </c>
      <c r="C11">
        <v>64.09</v>
      </c>
      <c r="D11">
        <v>63.42</v>
      </c>
      <c r="E11">
        <v>64.040000000000006</v>
      </c>
      <c r="F11">
        <v>8873200</v>
      </c>
      <c r="G11">
        <v>64.040000000000006</v>
      </c>
    </row>
    <row r="12" spans="1:7" x14ac:dyDescent="0.25">
      <c r="A12" s="34">
        <v>41835</v>
      </c>
      <c r="B12">
        <v>63.87</v>
      </c>
      <c r="C12">
        <v>64.349999999999994</v>
      </c>
      <c r="D12">
        <v>63.54</v>
      </c>
      <c r="E12">
        <v>63.56</v>
      </c>
      <c r="F12">
        <v>9138900</v>
      </c>
      <c r="G12">
        <v>63.56</v>
      </c>
    </row>
    <row r="13" spans="1:7" x14ac:dyDescent="0.25">
      <c r="A13" s="34">
        <v>41836</v>
      </c>
      <c r="B13">
        <v>63.5</v>
      </c>
      <c r="C13">
        <v>63.8</v>
      </c>
      <c r="D13">
        <v>61.97</v>
      </c>
      <c r="E13">
        <v>62.93</v>
      </c>
      <c r="F13">
        <v>15113600</v>
      </c>
      <c r="G13">
        <v>62.93</v>
      </c>
    </row>
    <row r="14" spans="1:7" x14ac:dyDescent="0.25">
      <c r="A14" s="34">
        <v>41837</v>
      </c>
      <c r="B14">
        <v>62.71</v>
      </c>
      <c r="C14">
        <v>62.76</v>
      </c>
      <c r="D14">
        <v>61.47</v>
      </c>
      <c r="E14">
        <v>61.52</v>
      </c>
      <c r="F14">
        <v>10053000</v>
      </c>
      <c r="G14">
        <v>61.52</v>
      </c>
    </row>
    <row r="15" spans="1:7" x14ac:dyDescent="0.25">
      <c r="A15" s="34">
        <v>41838</v>
      </c>
      <c r="B15">
        <v>61.92</v>
      </c>
      <c r="C15">
        <v>62.62</v>
      </c>
      <c r="D15">
        <v>61.74</v>
      </c>
      <c r="E15">
        <v>62.36</v>
      </c>
      <c r="F15">
        <v>7457300</v>
      </c>
      <c r="G15">
        <v>62.36</v>
      </c>
    </row>
    <row r="16" spans="1:7" x14ac:dyDescent="0.25">
      <c r="A16" s="34">
        <v>41841</v>
      </c>
      <c r="B16">
        <v>62.21</v>
      </c>
      <c r="C16">
        <v>62.54</v>
      </c>
      <c r="D16">
        <v>61.73</v>
      </c>
      <c r="E16">
        <v>62.41</v>
      </c>
      <c r="F16">
        <v>5563500</v>
      </c>
      <c r="G16">
        <v>62.41</v>
      </c>
    </row>
    <row r="17" spans="1:7" x14ac:dyDescent="0.25">
      <c r="A17" s="34">
        <v>41842</v>
      </c>
      <c r="B17">
        <v>62.6</v>
      </c>
      <c r="C17">
        <v>63.11</v>
      </c>
      <c r="D17">
        <v>62.48</v>
      </c>
      <c r="E17">
        <v>62.71</v>
      </c>
      <c r="F17">
        <v>8613600</v>
      </c>
      <c r="G17">
        <v>62.71</v>
      </c>
    </row>
    <row r="18" spans="1:7" x14ac:dyDescent="0.25">
      <c r="A18" s="34">
        <v>41843</v>
      </c>
      <c r="B18">
        <v>62.75</v>
      </c>
      <c r="C18">
        <v>63.57</v>
      </c>
      <c r="D18">
        <v>62.52</v>
      </c>
      <c r="E18">
        <v>63.37</v>
      </c>
      <c r="F18">
        <v>8823000</v>
      </c>
      <c r="G18">
        <v>63.37</v>
      </c>
    </row>
    <row r="19" spans="1:7" x14ac:dyDescent="0.25">
      <c r="A19" s="34">
        <v>41844</v>
      </c>
      <c r="B19">
        <v>63.62</v>
      </c>
      <c r="C19">
        <v>63.97</v>
      </c>
      <c r="D19">
        <v>63.21</v>
      </c>
      <c r="E19">
        <v>63.28</v>
      </c>
      <c r="F19">
        <v>9069200</v>
      </c>
      <c r="G19">
        <v>63.28</v>
      </c>
    </row>
    <row r="20" spans="1:7" x14ac:dyDescent="0.25">
      <c r="A20" s="34">
        <v>41845</v>
      </c>
      <c r="B20">
        <v>63.26</v>
      </c>
      <c r="C20">
        <v>63.46</v>
      </c>
      <c r="D20">
        <v>62.61</v>
      </c>
      <c r="E20">
        <v>62.9</v>
      </c>
      <c r="F20">
        <v>5208300</v>
      </c>
      <c r="G20">
        <v>62.9</v>
      </c>
    </row>
    <row r="21" spans="1:7" x14ac:dyDescent="0.25">
      <c r="A21" s="34">
        <v>41848</v>
      </c>
      <c r="B21">
        <v>62.77</v>
      </c>
      <c r="C21">
        <v>63.03</v>
      </c>
      <c r="D21">
        <v>62.38</v>
      </c>
      <c r="E21">
        <v>62.76</v>
      </c>
      <c r="F21">
        <v>5988700</v>
      </c>
      <c r="G21">
        <v>62.76</v>
      </c>
    </row>
    <row r="22" spans="1:7" x14ac:dyDescent="0.25">
      <c r="A22" s="34">
        <v>41849</v>
      </c>
      <c r="B22">
        <v>62.89</v>
      </c>
      <c r="C22">
        <v>62.98</v>
      </c>
      <c r="D22">
        <v>62.2</v>
      </c>
      <c r="E22">
        <v>62.65</v>
      </c>
      <c r="F22">
        <v>6968000</v>
      </c>
      <c r="G22">
        <v>62.65</v>
      </c>
    </row>
    <row r="23" spans="1:7" x14ac:dyDescent="0.25">
      <c r="A23" s="34">
        <v>41850</v>
      </c>
      <c r="B23">
        <v>62.84</v>
      </c>
      <c r="C23">
        <v>62.96</v>
      </c>
      <c r="D23">
        <v>62.24</v>
      </c>
      <c r="E23">
        <v>62.58</v>
      </c>
      <c r="F23">
        <v>6593100</v>
      </c>
      <c r="G23">
        <v>62.58</v>
      </c>
    </row>
    <row r="24" spans="1:7" x14ac:dyDescent="0.25">
      <c r="A24" s="34">
        <v>41851</v>
      </c>
      <c r="B24">
        <v>62.29</v>
      </c>
      <c r="C24">
        <v>62.35</v>
      </c>
      <c r="D24">
        <v>61.57</v>
      </c>
      <c r="E24">
        <v>61.74</v>
      </c>
      <c r="F24">
        <v>6767900</v>
      </c>
      <c r="G24">
        <v>61.74</v>
      </c>
    </row>
    <row r="25" spans="1:7" x14ac:dyDescent="0.25">
      <c r="A25" s="34">
        <v>41852</v>
      </c>
      <c r="B25">
        <v>61.34</v>
      </c>
      <c r="C25">
        <v>61.94</v>
      </c>
      <c r="D25">
        <v>61.05</v>
      </c>
      <c r="E25">
        <v>61.48</v>
      </c>
      <c r="F25">
        <v>6122500</v>
      </c>
      <c r="G25">
        <v>61.48</v>
      </c>
    </row>
    <row r="26" spans="1:7" x14ac:dyDescent="0.25">
      <c r="A26" s="34">
        <v>41855</v>
      </c>
      <c r="B26">
        <v>61.66</v>
      </c>
      <c r="C26">
        <v>62.59</v>
      </c>
      <c r="D26">
        <v>61.2</v>
      </c>
      <c r="E26">
        <v>62.47</v>
      </c>
      <c r="F26">
        <v>5990800</v>
      </c>
      <c r="G26">
        <v>62.47</v>
      </c>
    </row>
    <row r="27" spans="1:7" x14ac:dyDescent="0.25">
      <c r="A27" s="34">
        <v>41856</v>
      </c>
      <c r="B27">
        <v>62.31</v>
      </c>
      <c r="C27">
        <v>62.91</v>
      </c>
      <c r="D27">
        <v>61.63</v>
      </c>
      <c r="E27">
        <v>61.99</v>
      </c>
      <c r="F27">
        <v>10402300</v>
      </c>
      <c r="G27">
        <v>61.99</v>
      </c>
    </row>
    <row r="28" spans="1:7" x14ac:dyDescent="0.25">
      <c r="A28" s="34">
        <v>41857</v>
      </c>
      <c r="B28">
        <v>61.1</v>
      </c>
      <c r="C28">
        <v>61.81</v>
      </c>
      <c r="D28">
        <v>60.71</v>
      </c>
      <c r="E28">
        <v>61.3</v>
      </c>
      <c r="F28">
        <v>19503800</v>
      </c>
      <c r="G28">
        <v>61.3</v>
      </c>
    </row>
    <row r="29" spans="1:7" x14ac:dyDescent="0.25">
      <c r="A29" s="34">
        <v>41858</v>
      </c>
      <c r="B29">
        <v>61.46</v>
      </c>
      <c r="C29">
        <v>61.65</v>
      </c>
      <c r="D29">
        <v>60.68</v>
      </c>
      <c r="E29">
        <v>61</v>
      </c>
      <c r="F29">
        <v>12885400</v>
      </c>
      <c r="G29">
        <v>61</v>
      </c>
    </row>
    <row r="30" spans="1:7" x14ac:dyDescent="0.25">
      <c r="A30" s="34">
        <v>41859</v>
      </c>
      <c r="B30">
        <v>61.04</v>
      </c>
      <c r="C30">
        <v>62.27</v>
      </c>
      <c r="D30">
        <v>60.76</v>
      </c>
      <c r="E30">
        <v>62.15</v>
      </c>
      <c r="F30">
        <v>10209500</v>
      </c>
      <c r="G30">
        <v>62.15</v>
      </c>
    </row>
    <row r="31" spans="1:7" x14ac:dyDescent="0.25">
      <c r="A31" s="34">
        <v>41862</v>
      </c>
      <c r="B31">
        <v>62.34</v>
      </c>
      <c r="C31">
        <v>62.61</v>
      </c>
      <c r="D31">
        <v>62.01</v>
      </c>
      <c r="E31">
        <v>62.07</v>
      </c>
      <c r="F31">
        <v>5580900</v>
      </c>
      <c r="G31">
        <v>62.07</v>
      </c>
    </row>
    <row r="32" spans="1:7" x14ac:dyDescent="0.25">
      <c r="A32" s="34">
        <v>41863</v>
      </c>
      <c r="B32">
        <v>62</v>
      </c>
      <c r="C32">
        <v>62.35</v>
      </c>
      <c r="D32">
        <v>61.85</v>
      </c>
      <c r="E32">
        <v>62.21</v>
      </c>
      <c r="F32">
        <v>4420500</v>
      </c>
      <c r="G32">
        <v>62.21</v>
      </c>
    </row>
    <row r="33" spans="1:7" x14ac:dyDescent="0.25">
      <c r="A33" s="34">
        <v>41864</v>
      </c>
      <c r="B33">
        <v>62.54</v>
      </c>
      <c r="C33">
        <v>63.48</v>
      </c>
      <c r="D33">
        <v>62.41</v>
      </c>
      <c r="E33">
        <v>63.47</v>
      </c>
      <c r="F33">
        <v>6665700</v>
      </c>
      <c r="G33">
        <v>63.47</v>
      </c>
    </row>
    <row r="34" spans="1:7" x14ac:dyDescent="0.25">
      <c r="A34" s="34">
        <v>41865</v>
      </c>
      <c r="B34">
        <v>63.61</v>
      </c>
      <c r="C34">
        <v>64.040000000000006</v>
      </c>
      <c r="D34">
        <v>63.47</v>
      </c>
      <c r="E34">
        <v>63.73</v>
      </c>
      <c r="F34">
        <v>5346900</v>
      </c>
      <c r="G34">
        <v>63.73</v>
      </c>
    </row>
    <row r="35" spans="1:7" x14ac:dyDescent="0.25">
      <c r="A35" s="34">
        <v>41866</v>
      </c>
      <c r="B35">
        <v>63.52</v>
      </c>
      <c r="C35">
        <v>63.82</v>
      </c>
      <c r="D35">
        <v>62.78</v>
      </c>
      <c r="E35">
        <v>63.25</v>
      </c>
      <c r="F35">
        <v>8477100</v>
      </c>
      <c r="G35">
        <v>63.25</v>
      </c>
    </row>
    <row r="36" spans="1:7" x14ac:dyDescent="0.25">
      <c r="A36" s="34">
        <v>41869</v>
      </c>
      <c r="B36">
        <v>63.67</v>
      </c>
      <c r="C36">
        <v>63.78</v>
      </c>
      <c r="D36">
        <v>63.22</v>
      </c>
      <c r="E36">
        <v>63.47</v>
      </c>
      <c r="F36">
        <v>6170700</v>
      </c>
      <c r="G36">
        <v>63.47</v>
      </c>
    </row>
    <row r="37" spans="1:7" x14ac:dyDescent="0.25">
      <c r="A37" s="34">
        <v>41870</v>
      </c>
      <c r="B37">
        <v>63.94</v>
      </c>
      <c r="C37">
        <v>64.069999999999993</v>
      </c>
      <c r="D37">
        <v>63.28</v>
      </c>
      <c r="E37">
        <v>64.010000000000005</v>
      </c>
      <c r="F37">
        <v>8802400</v>
      </c>
      <c r="G37">
        <v>64.010000000000005</v>
      </c>
    </row>
    <row r="38" spans="1:7" x14ac:dyDescent="0.25">
      <c r="A38" s="34">
        <v>41871</v>
      </c>
      <c r="B38">
        <v>63.72</v>
      </c>
      <c r="C38">
        <v>64.349999999999994</v>
      </c>
      <c r="D38">
        <v>63.47</v>
      </c>
      <c r="E38">
        <v>64.150000000000006</v>
      </c>
      <c r="F38">
        <v>5996400</v>
      </c>
      <c r="G38">
        <v>64.150000000000006</v>
      </c>
    </row>
    <row r="39" spans="1:7" x14ac:dyDescent="0.25">
      <c r="A39" s="34">
        <v>41872</v>
      </c>
      <c r="B39">
        <v>64.48</v>
      </c>
      <c r="C39">
        <v>64.62</v>
      </c>
      <c r="D39">
        <v>64.08</v>
      </c>
      <c r="E39">
        <v>64.099999999999994</v>
      </c>
      <c r="F39">
        <v>3949400</v>
      </c>
      <c r="G39">
        <v>64.099999999999994</v>
      </c>
    </row>
    <row r="40" spans="1:7" x14ac:dyDescent="0.25">
      <c r="A40" s="34">
        <v>41873</v>
      </c>
      <c r="B40">
        <v>64.02</v>
      </c>
      <c r="C40">
        <v>64.400000000000006</v>
      </c>
      <c r="D40">
        <v>63.52</v>
      </c>
      <c r="E40">
        <v>63.59</v>
      </c>
      <c r="F40">
        <v>5146200</v>
      </c>
      <c r="G40">
        <v>63.59</v>
      </c>
    </row>
    <row r="41" spans="1:7" x14ac:dyDescent="0.25">
      <c r="A41" s="34">
        <v>41876</v>
      </c>
      <c r="B41">
        <v>63.93</v>
      </c>
      <c r="C41">
        <v>64.08</v>
      </c>
      <c r="D41">
        <v>63.54</v>
      </c>
      <c r="E41">
        <v>63.63</v>
      </c>
      <c r="F41">
        <v>4470900</v>
      </c>
      <c r="G41">
        <v>63.63</v>
      </c>
    </row>
    <row r="42" spans="1:7" x14ac:dyDescent="0.25">
      <c r="A42" s="34">
        <v>41877</v>
      </c>
      <c r="B42">
        <v>63.78</v>
      </c>
      <c r="C42">
        <v>63.93</v>
      </c>
      <c r="D42">
        <v>63.49</v>
      </c>
      <c r="E42">
        <v>63.52</v>
      </c>
      <c r="F42">
        <v>5071400</v>
      </c>
      <c r="G42">
        <v>63.52</v>
      </c>
    </row>
    <row r="43" spans="1:7" x14ac:dyDescent="0.25">
      <c r="A43" s="34">
        <v>41878</v>
      </c>
      <c r="B43">
        <v>63.58</v>
      </c>
      <c r="C43">
        <v>63.71</v>
      </c>
      <c r="D43">
        <v>63.22</v>
      </c>
      <c r="E43">
        <v>63.36</v>
      </c>
      <c r="F43">
        <v>3051000</v>
      </c>
      <c r="G43">
        <v>63.36</v>
      </c>
    </row>
    <row r="44" spans="1:7" x14ac:dyDescent="0.25">
      <c r="A44" s="34">
        <v>41879</v>
      </c>
      <c r="B44">
        <v>63.33</v>
      </c>
      <c r="C44">
        <v>63.48</v>
      </c>
      <c r="D44">
        <v>63.06</v>
      </c>
      <c r="E44">
        <v>63.12</v>
      </c>
      <c r="F44">
        <v>3883100</v>
      </c>
      <c r="G44">
        <v>63.12</v>
      </c>
    </row>
    <row r="45" spans="1:7" x14ac:dyDescent="0.25">
      <c r="A45" s="34">
        <v>41880</v>
      </c>
      <c r="B45">
        <v>63.42</v>
      </c>
      <c r="C45">
        <v>63.86</v>
      </c>
      <c r="D45">
        <v>63.06</v>
      </c>
      <c r="E45">
        <v>63.85</v>
      </c>
      <c r="F45">
        <v>4724000</v>
      </c>
      <c r="G45">
        <v>63.85</v>
      </c>
    </row>
    <row r="46" spans="1:7" x14ac:dyDescent="0.25">
      <c r="A46" s="34">
        <v>41884</v>
      </c>
      <c r="B46">
        <v>63.87</v>
      </c>
      <c r="C46">
        <v>63.98</v>
      </c>
      <c r="D46">
        <v>63.55</v>
      </c>
      <c r="E46">
        <v>63.91</v>
      </c>
      <c r="F46">
        <v>5037800</v>
      </c>
      <c r="G46">
        <v>63.91</v>
      </c>
    </row>
    <row r="47" spans="1:7" x14ac:dyDescent="0.25">
      <c r="A47" s="34">
        <v>41885</v>
      </c>
      <c r="B47">
        <v>64</v>
      </c>
      <c r="C47">
        <v>64.59</v>
      </c>
      <c r="D47">
        <v>63.95</v>
      </c>
      <c r="E47">
        <v>64.31</v>
      </c>
      <c r="F47">
        <v>5606200</v>
      </c>
      <c r="G47">
        <v>64.31</v>
      </c>
    </row>
    <row r="48" spans="1:7" x14ac:dyDescent="0.25">
      <c r="A48" s="34">
        <v>41886</v>
      </c>
      <c r="B48">
        <v>64.239999999999995</v>
      </c>
      <c r="C48">
        <v>64.540000000000006</v>
      </c>
      <c r="D48">
        <v>63.64</v>
      </c>
      <c r="E48">
        <v>64.010000000000005</v>
      </c>
      <c r="F48">
        <v>9243800</v>
      </c>
      <c r="G48">
        <v>64.010000000000005</v>
      </c>
    </row>
    <row r="49" spans="1:7" x14ac:dyDescent="0.25">
      <c r="A49" s="34">
        <v>41887</v>
      </c>
      <c r="B49">
        <v>64.11</v>
      </c>
      <c r="C49">
        <v>64.349999999999994</v>
      </c>
      <c r="D49">
        <v>63.68</v>
      </c>
      <c r="E49">
        <v>64.31</v>
      </c>
      <c r="F49">
        <v>6000200</v>
      </c>
      <c r="G49">
        <v>64.31</v>
      </c>
    </row>
    <row r="50" spans="1:7" x14ac:dyDescent="0.25">
      <c r="A50" s="34">
        <v>41890</v>
      </c>
      <c r="B50">
        <v>64.400000000000006</v>
      </c>
      <c r="C50">
        <v>64.989999999999995</v>
      </c>
      <c r="D50">
        <v>64.319999999999993</v>
      </c>
      <c r="E50">
        <v>64.77</v>
      </c>
      <c r="F50">
        <v>5627600</v>
      </c>
      <c r="G50">
        <v>64.77</v>
      </c>
    </row>
    <row r="51" spans="1:7" x14ac:dyDescent="0.25">
      <c r="A51" s="34">
        <v>41891</v>
      </c>
      <c r="B51">
        <v>64.81</v>
      </c>
      <c r="C51">
        <v>65.91</v>
      </c>
      <c r="D51">
        <v>64.66</v>
      </c>
      <c r="E51">
        <v>65.540000000000006</v>
      </c>
      <c r="F51">
        <v>10812700</v>
      </c>
      <c r="G51">
        <v>65.540000000000006</v>
      </c>
    </row>
    <row r="52" spans="1:7" x14ac:dyDescent="0.25">
      <c r="A52" s="34">
        <v>41892</v>
      </c>
      <c r="B52">
        <v>65.77</v>
      </c>
      <c r="C52">
        <v>66.209999999999994</v>
      </c>
      <c r="D52">
        <v>65.540000000000006</v>
      </c>
      <c r="E52">
        <v>65.97</v>
      </c>
      <c r="F52">
        <v>7495700</v>
      </c>
      <c r="G52">
        <v>65.97</v>
      </c>
    </row>
    <row r="53" spans="1:7" x14ac:dyDescent="0.25">
      <c r="A53" s="34">
        <v>41893</v>
      </c>
      <c r="B53">
        <v>65.599999999999994</v>
      </c>
      <c r="C53">
        <v>65.849999999999994</v>
      </c>
      <c r="D53">
        <v>65.239999999999995</v>
      </c>
      <c r="E53">
        <v>65.739999999999995</v>
      </c>
      <c r="F53">
        <v>5843500</v>
      </c>
      <c r="G53">
        <v>65.739999999999995</v>
      </c>
    </row>
    <row r="54" spans="1:7" x14ac:dyDescent="0.25">
      <c r="A54" s="34">
        <v>41894</v>
      </c>
      <c r="B54">
        <v>65.41</v>
      </c>
      <c r="C54">
        <v>65.790000000000006</v>
      </c>
      <c r="D54">
        <v>64.930000000000007</v>
      </c>
      <c r="E54">
        <v>65.19</v>
      </c>
      <c r="F54">
        <v>5008300</v>
      </c>
      <c r="G54">
        <v>65.19</v>
      </c>
    </row>
    <row r="55" spans="1:7" x14ac:dyDescent="0.25">
      <c r="A55" s="34">
        <v>41897</v>
      </c>
      <c r="B55">
        <v>65.25</v>
      </c>
      <c r="C55">
        <v>65.41</v>
      </c>
      <c r="D55">
        <v>64.75</v>
      </c>
      <c r="E55">
        <v>64.95</v>
      </c>
      <c r="F55">
        <v>3721700</v>
      </c>
      <c r="G55">
        <v>64.95</v>
      </c>
    </row>
  </sheetData>
  <sortState ref="A3:G55">
    <sortCondition ref="A3:A55"/>
  </sortState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55.59</v>
      </c>
      <c r="C3">
        <v>56.63</v>
      </c>
      <c r="D3">
        <v>55.59</v>
      </c>
      <c r="E3">
        <v>56.18</v>
      </c>
      <c r="F3">
        <v>4145300</v>
      </c>
      <c r="G3">
        <v>55.8</v>
      </c>
    </row>
    <row r="4" spans="1:7" x14ac:dyDescent="0.25">
      <c r="A4" s="34">
        <v>41822</v>
      </c>
      <c r="B4">
        <v>56.15</v>
      </c>
      <c r="C4">
        <v>56.87</v>
      </c>
      <c r="D4">
        <v>55.99</v>
      </c>
      <c r="E4">
        <v>56.1</v>
      </c>
      <c r="F4">
        <v>3806200</v>
      </c>
      <c r="G4">
        <v>55.72</v>
      </c>
    </row>
    <row r="5" spans="1:7" x14ac:dyDescent="0.25">
      <c r="A5" s="34">
        <v>41823</v>
      </c>
      <c r="B5">
        <v>56.7</v>
      </c>
      <c r="C5">
        <v>57.57</v>
      </c>
      <c r="D5">
        <v>56.7</v>
      </c>
      <c r="E5">
        <v>57.22</v>
      </c>
      <c r="F5">
        <v>4582900</v>
      </c>
      <c r="G5">
        <v>56.83</v>
      </c>
    </row>
    <row r="6" spans="1:7" x14ac:dyDescent="0.25">
      <c r="A6" s="34">
        <v>41827</v>
      </c>
      <c r="B6">
        <v>56.99</v>
      </c>
      <c r="C6">
        <v>57.04</v>
      </c>
      <c r="D6">
        <v>56.31</v>
      </c>
      <c r="E6">
        <v>56.62</v>
      </c>
      <c r="F6">
        <v>3194200</v>
      </c>
      <c r="G6">
        <v>56.24</v>
      </c>
    </row>
    <row r="7" spans="1:7" x14ac:dyDescent="0.25">
      <c r="A7" s="34">
        <v>41828</v>
      </c>
      <c r="B7">
        <v>56.61</v>
      </c>
      <c r="C7">
        <v>56.61</v>
      </c>
      <c r="D7">
        <v>55.81</v>
      </c>
      <c r="E7">
        <v>55.99</v>
      </c>
      <c r="F7">
        <v>4592900</v>
      </c>
      <c r="G7">
        <v>55.61</v>
      </c>
    </row>
    <row r="8" spans="1:7" x14ac:dyDescent="0.25">
      <c r="A8" s="34">
        <v>41829</v>
      </c>
      <c r="B8">
        <v>56.37</v>
      </c>
      <c r="C8">
        <v>56.76</v>
      </c>
      <c r="D8">
        <v>56.16</v>
      </c>
      <c r="E8">
        <v>56.35</v>
      </c>
      <c r="F8">
        <v>3960200</v>
      </c>
      <c r="G8">
        <v>55.97</v>
      </c>
    </row>
    <row r="9" spans="1:7" x14ac:dyDescent="0.25">
      <c r="A9" s="34">
        <v>41830</v>
      </c>
      <c r="B9">
        <v>55.03</v>
      </c>
      <c r="C9">
        <v>55.71</v>
      </c>
      <c r="D9">
        <v>54.67</v>
      </c>
      <c r="E9">
        <v>55.45</v>
      </c>
      <c r="F9">
        <v>5032100</v>
      </c>
      <c r="G9">
        <v>55.07</v>
      </c>
    </row>
    <row r="10" spans="1:7" x14ac:dyDescent="0.25">
      <c r="A10" s="34">
        <v>41831</v>
      </c>
      <c r="B10">
        <v>55.28</v>
      </c>
      <c r="C10">
        <v>55.93</v>
      </c>
      <c r="D10">
        <v>55.11</v>
      </c>
      <c r="E10">
        <v>55.74</v>
      </c>
      <c r="F10">
        <v>4249400</v>
      </c>
      <c r="G10">
        <v>55.36</v>
      </c>
    </row>
    <row r="11" spans="1:7" x14ac:dyDescent="0.25">
      <c r="A11" s="34">
        <v>41834</v>
      </c>
      <c r="B11">
        <v>56.47</v>
      </c>
      <c r="C11">
        <v>56.74</v>
      </c>
      <c r="D11">
        <v>55.92</v>
      </c>
      <c r="E11">
        <v>56.14</v>
      </c>
      <c r="F11">
        <v>9225100</v>
      </c>
      <c r="G11">
        <v>55.76</v>
      </c>
    </row>
    <row r="12" spans="1:7" x14ac:dyDescent="0.25">
      <c r="A12" s="34">
        <v>41835</v>
      </c>
      <c r="B12">
        <v>56.37</v>
      </c>
      <c r="C12">
        <v>56.66</v>
      </c>
      <c r="D12">
        <v>55.67</v>
      </c>
      <c r="E12">
        <v>56.14</v>
      </c>
      <c r="F12">
        <v>4265800</v>
      </c>
      <c r="G12">
        <v>55.76</v>
      </c>
    </row>
    <row r="13" spans="1:7" x14ac:dyDescent="0.25">
      <c r="A13" s="34">
        <v>41836</v>
      </c>
      <c r="B13">
        <v>56.62</v>
      </c>
      <c r="C13">
        <v>56.7</v>
      </c>
      <c r="D13">
        <v>55.74</v>
      </c>
      <c r="E13">
        <v>55.96</v>
      </c>
      <c r="F13">
        <v>3421000</v>
      </c>
      <c r="G13">
        <v>55.58</v>
      </c>
    </row>
    <row r="14" spans="1:7" x14ac:dyDescent="0.25">
      <c r="A14" s="34">
        <v>41837</v>
      </c>
      <c r="B14">
        <v>55.56</v>
      </c>
      <c r="C14">
        <v>56.27</v>
      </c>
      <c r="D14">
        <v>54.81</v>
      </c>
      <c r="E14">
        <v>55.02</v>
      </c>
      <c r="F14">
        <v>6459700</v>
      </c>
      <c r="G14">
        <v>54.65</v>
      </c>
    </row>
    <row r="15" spans="1:7" x14ac:dyDescent="0.25">
      <c r="A15" s="34">
        <v>41838</v>
      </c>
      <c r="B15">
        <v>55.41</v>
      </c>
      <c r="C15">
        <v>55.93</v>
      </c>
      <c r="D15">
        <v>54.96</v>
      </c>
      <c r="E15">
        <v>55.83</v>
      </c>
      <c r="F15">
        <v>4066000</v>
      </c>
      <c r="G15">
        <v>55.45</v>
      </c>
    </row>
    <row r="16" spans="1:7" x14ac:dyDescent="0.25">
      <c r="A16" s="34">
        <v>41841</v>
      </c>
      <c r="B16">
        <v>55.61</v>
      </c>
      <c r="C16">
        <v>55.81</v>
      </c>
      <c r="D16">
        <v>55.15</v>
      </c>
      <c r="E16">
        <v>55.51</v>
      </c>
      <c r="F16">
        <v>3112700</v>
      </c>
      <c r="G16">
        <v>55.13</v>
      </c>
    </row>
    <row r="17" spans="1:7" x14ac:dyDescent="0.25">
      <c r="A17" s="34">
        <v>41842</v>
      </c>
      <c r="B17">
        <v>55.74</v>
      </c>
      <c r="C17">
        <v>55.85</v>
      </c>
      <c r="D17">
        <v>54.51</v>
      </c>
      <c r="E17">
        <v>55.5</v>
      </c>
      <c r="F17">
        <v>6461400</v>
      </c>
      <c r="G17">
        <v>55.12</v>
      </c>
    </row>
    <row r="18" spans="1:7" x14ac:dyDescent="0.25">
      <c r="A18" s="34">
        <v>41843</v>
      </c>
      <c r="B18">
        <v>55.61</v>
      </c>
      <c r="C18">
        <v>55.68</v>
      </c>
      <c r="D18">
        <v>54.93</v>
      </c>
      <c r="E18">
        <v>55.28</v>
      </c>
      <c r="F18">
        <v>3572900</v>
      </c>
      <c r="G18">
        <v>54.91</v>
      </c>
    </row>
    <row r="19" spans="1:7" x14ac:dyDescent="0.25">
      <c r="A19" s="34">
        <v>41844</v>
      </c>
      <c r="B19">
        <v>55.43</v>
      </c>
      <c r="C19">
        <v>55.47</v>
      </c>
      <c r="D19">
        <v>54.91</v>
      </c>
      <c r="E19">
        <v>55.15</v>
      </c>
      <c r="F19">
        <v>5948000</v>
      </c>
      <c r="G19">
        <v>54.78</v>
      </c>
    </row>
    <row r="20" spans="1:7" x14ac:dyDescent="0.25">
      <c r="A20" s="34">
        <v>41845</v>
      </c>
      <c r="B20">
        <v>55.14</v>
      </c>
      <c r="C20">
        <v>55.39</v>
      </c>
      <c r="D20">
        <v>54.44</v>
      </c>
      <c r="E20">
        <v>54.75</v>
      </c>
      <c r="F20">
        <v>4913500</v>
      </c>
      <c r="G20">
        <v>54.38</v>
      </c>
    </row>
    <row r="21" spans="1:7" x14ac:dyDescent="0.25">
      <c r="A21" s="34">
        <v>41848</v>
      </c>
      <c r="B21">
        <v>54.68</v>
      </c>
      <c r="C21">
        <v>54.92</v>
      </c>
      <c r="D21">
        <v>53.91</v>
      </c>
      <c r="E21">
        <v>54.81</v>
      </c>
      <c r="F21">
        <v>5220200</v>
      </c>
      <c r="G21">
        <v>54.44</v>
      </c>
    </row>
    <row r="22" spans="1:7" x14ac:dyDescent="0.25">
      <c r="A22" s="34">
        <v>41849</v>
      </c>
      <c r="B22">
        <v>54.74</v>
      </c>
      <c r="C22">
        <v>54.94</v>
      </c>
      <c r="D22">
        <v>54.03</v>
      </c>
      <c r="E22">
        <v>54.09</v>
      </c>
      <c r="F22">
        <v>5290100</v>
      </c>
      <c r="G22">
        <v>53.72</v>
      </c>
    </row>
    <row r="23" spans="1:7" x14ac:dyDescent="0.25">
      <c r="A23" s="34">
        <v>41850</v>
      </c>
      <c r="B23">
        <v>54.23</v>
      </c>
      <c r="C23">
        <v>54.85</v>
      </c>
      <c r="D23">
        <v>54.06</v>
      </c>
      <c r="E23">
        <v>54.44</v>
      </c>
      <c r="F23">
        <v>7299800</v>
      </c>
      <c r="G23">
        <v>54.07</v>
      </c>
    </row>
    <row r="24" spans="1:7" x14ac:dyDescent="0.25">
      <c r="A24" s="34">
        <v>41851</v>
      </c>
      <c r="B24">
        <v>53.78</v>
      </c>
      <c r="C24">
        <v>54.02</v>
      </c>
      <c r="D24">
        <v>52.4</v>
      </c>
      <c r="E24">
        <v>52.6</v>
      </c>
      <c r="F24">
        <v>10021800</v>
      </c>
      <c r="G24">
        <v>52.24</v>
      </c>
    </row>
    <row r="25" spans="1:7" x14ac:dyDescent="0.25">
      <c r="A25" s="34">
        <v>41852</v>
      </c>
      <c r="B25">
        <v>52.3</v>
      </c>
      <c r="C25">
        <v>52.7</v>
      </c>
      <c r="D25">
        <v>51.8</v>
      </c>
      <c r="E25">
        <v>52.13</v>
      </c>
      <c r="F25">
        <v>6769700</v>
      </c>
      <c r="G25">
        <v>51.78</v>
      </c>
    </row>
    <row r="26" spans="1:7" x14ac:dyDescent="0.25">
      <c r="A26" s="34">
        <v>41855</v>
      </c>
      <c r="B26">
        <v>52.32</v>
      </c>
      <c r="C26">
        <v>52.53</v>
      </c>
      <c r="D26">
        <v>51.79</v>
      </c>
      <c r="E26">
        <v>52.38</v>
      </c>
      <c r="F26">
        <v>6177800</v>
      </c>
      <c r="G26">
        <v>52.03</v>
      </c>
    </row>
    <row r="27" spans="1:7" x14ac:dyDescent="0.25">
      <c r="A27" s="34">
        <v>41856</v>
      </c>
      <c r="B27">
        <v>52.04</v>
      </c>
      <c r="C27">
        <v>52.2</v>
      </c>
      <c r="D27">
        <v>51.47</v>
      </c>
      <c r="E27">
        <v>51.67</v>
      </c>
      <c r="F27">
        <v>8240700</v>
      </c>
      <c r="G27">
        <v>51.32</v>
      </c>
    </row>
    <row r="28" spans="1:7" x14ac:dyDescent="0.25">
      <c r="A28" s="34">
        <v>41857</v>
      </c>
      <c r="B28">
        <v>51.05</v>
      </c>
      <c r="C28">
        <v>51.57</v>
      </c>
      <c r="D28">
        <v>50.95</v>
      </c>
      <c r="E28">
        <v>51.33</v>
      </c>
      <c r="F28">
        <v>6342600</v>
      </c>
      <c r="G28">
        <v>51.33</v>
      </c>
    </row>
    <row r="29" spans="1:7" x14ac:dyDescent="0.25">
      <c r="A29" s="34">
        <v>41858</v>
      </c>
      <c r="B29">
        <v>51.7</v>
      </c>
      <c r="C29">
        <v>52.06</v>
      </c>
      <c r="D29">
        <v>50.91</v>
      </c>
      <c r="E29">
        <v>51.08</v>
      </c>
      <c r="F29">
        <v>6278600</v>
      </c>
      <c r="G29">
        <v>51.08</v>
      </c>
    </row>
    <row r="30" spans="1:7" x14ac:dyDescent="0.25">
      <c r="A30" s="34">
        <v>41859</v>
      </c>
      <c r="B30">
        <v>51.12</v>
      </c>
      <c r="C30">
        <v>51.73</v>
      </c>
      <c r="D30">
        <v>50.81</v>
      </c>
      <c r="E30">
        <v>51.7</v>
      </c>
      <c r="F30">
        <v>5160500</v>
      </c>
      <c r="G30">
        <v>51.7</v>
      </c>
    </row>
    <row r="31" spans="1:7" x14ac:dyDescent="0.25">
      <c r="A31" s="34">
        <v>41862</v>
      </c>
      <c r="B31">
        <v>51.94</v>
      </c>
      <c r="C31">
        <v>51.99</v>
      </c>
      <c r="D31">
        <v>51.5</v>
      </c>
      <c r="E31">
        <v>51.75</v>
      </c>
      <c r="F31">
        <v>7767900</v>
      </c>
      <c r="G31">
        <v>51.75</v>
      </c>
    </row>
    <row r="32" spans="1:7" x14ac:dyDescent="0.25">
      <c r="A32" s="34">
        <v>41863</v>
      </c>
      <c r="B32">
        <v>51.37</v>
      </c>
      <c r="C32">
        <v>52.27</v>
      </c>
      <c r="D32">
        <v>51.37</v>
      </c>
      <c r="E32">
        <v>52.16</v>
      </c>
      <c r="F32">
        <v>4519500</v>
      </c>
      <c r="G32">
        <v>52.16</v>
      </c>
    </row>
    <row r="33" spans="1:7" x14ac:dyDescent="0.25">
      <c r="A33" s="34">
        <v>41864</v>
      </c>
      <c r="B33">
        <v>52.54</v>
      </c>
      <c r="C33">
        <v>52.7</v>
      </c>
      <c r="D33">
        <v>52.16</v>
      </c>
      <c r="E33">
        <v>52.44</v>
      </c>
      <c r="F33">
        <v>4815600</v>
      </c>
      <c r="G33">
        <v>52.44</v>
      </c>
    </row>
    <row r="34" spans="1:7" x14ac:dyDescent="0.25">
      <c r="A34" s="34">
        <v>41865</v>
      </c>
      <c r="B34">
        <v>52.49</v>
      </c>
      <c r="C34">
        <v>52.96</v>
      </c>
      <c r="D34">
        <v>52.47</v>
      </c>
      <c r="E34">
        <v>52.93</v>
      </c>
      <c r="F34">
        <v>3835400</v>
      </c>
      <c r="G34">
        <v>52.93</v>
      </c>
    </row>
    <row r="35" spans="1:7" x14ac:dyDescent="0.25">
      <c r="A35" s="34">
        <v>41866</v>
      </c>
      <c r="B35">
        <v>53.05</v>
      </c>
      <c r="C35">
        <v>53.23</v>
      </c>
      <c r="D35">
        <v>51.93</v>
      </c>
      <c r="E35">
        <v>52.48</v>
      </c>
      <c r="F35">
        <v>3899400</v>
      </c>
      <c r="G35">
        <v>52.48</v>
      </c>
    </row>
    <row r="36" spans="1:7" x14ac:dyDescent="0.25">
      <c r="A36" s="34">
        <v>41869</v>
      </c>
      <c r="B36">
        <v>52.9</v>
      </c>
      <c r="C36">
        <v>53.57</v>
      </c>
      <c r="D36">
        <v>52.78</v>
      </c>
      <c r="E36">
        <v>53.49</v>
      </c>
      <c r="F36">
        <v>4972400</v>
      </c>
      <c r="G36">
        <v>53.49</v>
      </c>
    </row>
    <row r="37" spans="1:7" x14ac:dyDescent="0.25">
      <c r="A37" s="34">
        <v>41870</v>
      </c>
      <c r="B37">
        <v>53.61</v>
      </c>
      <c r="C37">
        <v>53.93</v>
      </c>
      <c r="D37">
        <v>53.27</v>
      </c>
      <c r="E37">
        <v>53.63</v>
      </c>
      <c r="F37">
        <v>5438600</v>
      </c>
      <c r="G37">
        <v>53.63</v>
      </c>
    </row>
    <row r="38" spans="1:7" x14ac:dyDescent="0.25">
      <c r="A38" s="34">
        <v>41871</v>
      </c>
      <c r="B38">
        <v>53.5</v>
      </c>
      <c r="C38">
        <v>53.88</v>
      </c>
      <c r="D38">
        <v>53.36</v>
      </c>
      <c r="E38">
        <v>53.7</v>
      </c>
      <c r="F38">
        <v>3268900</v>
      </c>
      <c r="G38">
        <v>53.7</v>
      </c>
    </row>
    <row r="39" spans="1:7" x14ac:dyDescent="0.25">
      <c r="A39" s="34">
        <v>41872</v>
      </c>
      <c r="B39">
        <v>53.68</v>
      </c>
      <c r="C39">
        <v>54.17</v>
      </c>
      <c r="D39">
        <v>53.21</v>
      </c>
      <c r="E39">
        <v>53.94</v>
      </c>
      <c r="F39">
        <v>5889000</v>
      </c>
      <c r="G39">
        <v>53.94</v>
      </c>
    </row>
    <row r="40" spans="1:7" x14ac:dyDescent="0.25">
      <c r="A40" s="34">
        <v>41873</v>
      </c>
      <c r="B40">
        <v>53.74</v>
      </c>
      <c r="C40">
        <v>54.18</v>
      </c>
      <c r="D40">
        <v>53.5</v>
      </c>
      <c r="E40">
        <v>53.59</v>
      </c>
      <c r="F40">
        <v>4056800</v>
      </c>
      <c r="G40">
        <v>53.59</v>
      </c>
    </row>
    <row r="41" spans="1:7" x14ac:dyDescent="0.25">
      <c r="A41" s="34">
        <v>41876</v>
      </c>
      <c r="B41">
        <v>53.91</v>
      </c>
      <c r="C41">
        <v>54.4</v>
      </c>
      <c r="D41">
        <v>53.76</v>
      </c>
      <c r="E41">
        <v>54.24</v>
      </c>
      <c r="F41">
        <v>3650100</v>
      </c>
      <c r="G41">
        <v>54.24</v>
      </c>
    </row>
    <row r="42" spans="1:7" x14ac:dyDescent="0.25">
      <c r="A42" s="34">
        <v>41877</v>
      </c>
      <c r="B42">
        <v>54.26</v>
      </c>
      <c r="C42">
        <v>54.57</v>
      </c>
      <c r="D42">
        <v>54.17</v>
      </c>
      <c r="E42">
        <v>54.54</v>
      </c>
      <c r="F42">
        <v>3317100</v>
      </c>
      <c r="G42">
        <v>54.54</v>
      </c>
    </row>
    <row r="43" spans="1:7" x14ac:dyDescent="0.25">
      <c r="A43" s="34">
        <v>41878</v>
      </c>
      <c r="B43">
        <v>54.6</v>
      </c>
      <c r="C43">
        <v>54.99</v>
      </c>
      <c r="D43">
        <v>54.5</v>
      </c>
      <c r="E43">
        <v>54.73</v>
      </c>
      <c r="F43">
        <v>5340000</v>
      </c>
      <c r="G43">
        <v>54.73</v>
      </c>
    </row>
    <row r="44" spans="1:7" x14ac:dyDescent="0.25">
      <c r="A44" s="34">
        <v>41879</v>
      </c>
      <c r="B44">
        <v>54.29</v>
      </c>
      <c r="C44">
        <v>54.54</v>
      </c>
      <c r="D44">
        <v>53.69</v>
      </c>
      <c r="E44">
        <v>54.39</v>
      </c>
      <c r="F44">
        <v>4260500</v>
      </c>
      <c r="G44">
        <v>54.39</v>
      </c>
    </row>
    <row r="45" spans="1:7" x14ac:dyDescent="0.25">
      <c r="A45" s="34">
        <v>41880</v>
      </c>
      <c r="B45">
        <v>54.5</v>
      </c>
      <c r="C45">
        <v>54.82</v>
      </c>
      <c r="D45">
        <v>54.31</v>
      </c>
      <c r="E45">
        <v>54.74</v>
      </c>
      <c r="F45">
        <v>4068500</v>
      </c>
      <c r="G45">
        <v>54.74</v>
      </c>
    </row>
    <row r="46" spans="1:7" x14ac:dyDescent="0.25">
      <c r="A46" s="34">
        <v>41884</v>
      </c>
      <c r="B46">
        <v>54.88</v>
      </c>
      <c r="C46">
        <v>55.62</v>
      </c>
      <c r="D46">
        <v>54.86</v>
      </c>
      <c r="E46">
        <v>55.34</v>
      </c>
      <c r="F46">
        <v>6352600</v>
      </c>
      <c r="G46">
        <v>55.34</v>
      </c>
    </row>
    <row r="47" spans="1:7" x14ac:dyDescent="0.25">
      <c r="A47" s="34">
        <v>41885</v>
      </c>
      <c r="B47">
        <v>55.64</v>
      </c>
      <c r="C47">
        <v>55.77</v>
      </c>
      <c r="D47">
        <v>55.11</v>
      </c>
      <c r="E47">
        <v>55.18</v>
      </c>
      <c r="F47">
        <v>4239400</v>
      </c>
      <c r="G47">
        <v>55.18</v>
      </c>
    </row>
    <row r="48" spans="1:7" x14ac:dyDescent="0.25">
      <c r="A48" s="34">
        <v>41886</v>
      </c>
      <c r="B48">
        <v>55.29</v>
      </c>
      <c r="C48">
        <v>55.8</v>
      </c>
      <c r="D48">
        <v>55.29</v>
      </c>
      <c r="E48">
        <v>55.42</v>
      </c>
      <c r="F48">
        <v>6359200</v>
      </c>
      <c r="G48">
        <v>55.42</v>
      </c>
    </row>
    <row r="49" spans="1:7" x14ac:dyDescent="0.25">
      <c r="A49" s="34">
        <v>41887</v>
      </c>
      <c r="B49">
        <v>55.15</v>
      </c>
      <c r="C49">
        <v>55.37</v>
      </c>
      <c r="D49">
        <v>54.75</v>
      </c>
      <c r="E49">
        <v>55.26</v>
      </c>
      <c r="F49">
        <v>5211500</v>
      </c>
      <c r="G49">
        <v>55.26</v>
      </c>
    </row>
    <row r="50" spans="1:7" x14ac:dyDescent="0.25">
      <c r="A50" s="34">
        <v>41890</v>
      </c>
      <c r="B50">
        <v>55.2</v>
      </c>
      <c r="C50">
        <v>55.53</v>
      </c>
      <c r="D50">
        <v>54.62</v>
      </c>
      <c r="E50">
        <v>54.84</v>
      </c>
      <c r="F50">
        <v>3889500</v>
      </c>
      <c r="G50">
        <v>54.84</v>
      </c>
    </row>
    <row r="51" spans="1:7" x14ac:dyDescent="0.25">
      <c r="A51" s="34">
        <v>41891</v>
      </c>
      <c r="B51">
        <v>54.81</v>
      </c>
      <c r="C51">
        <v>54.84</v>
      </c>
      <c r="D51">
        <v>54.17</v>
      </c>
      <c r="E51">
        <v>54.29</v>
      </c>
      <c r="F51">
        <v>4757100</v>
      </c>
      <c r="G51">
        <v>54.29</v>
      </c>
    </row>
    <row r="52" spans="1:7" x14ac:dyDescent="0.25">
      <c r="A52" s="34">
        <v>41892</v>
      </c>
      <c r="B52">
        <v>54.51</v>
      </c>
      <c r="C52">
        <v>55.11</v>
      </c>
      <c r="D52">
        <v>54.46</v>
      </c>
      <c r="E52">
        <v>54.7</v>
      </c>
      <c r="F52">
        <v>3207000</v>
      </c>
      <c r="G52">
        <v>54.7</v>
      </c>
    </row>
    <row r="53" spans="1:7" x14ac:dyDescent="0.25">
      <c r="A53" s="34">
        <v>41893</v>
      </c>
      <c r="B53">
        <v>54.24</v>
      </c>
      <c r="C53">
        <v>54.91</v>
      </c>
      <c r="D53">
        <v>54.24</v>
      </c>
      <c r="E53">
        <v>54.71</v>
      </c>
      <c r="F53">
        <v>3585900</v>
      </c>
      <c r="G53">
        <v>54.71</v>
      </c>
    </row>
    <row r="54" spans="1:7" x14ac:dyDescent="0.25">
      <c r="A54" s="34">
        <v>41894</v>
      </c>
      <c r="B54">
        <v>54.88</v>
      </c>
      <c r="C54">
        <v>55.57</v>
      </c>
      <c r="D54">
        <v>54.79</v>
      </c>
      <c r="E54">
        <v>55.47</v>
      </c>
      <c r="F54">
        <v>6311400</v>
      </c>
      <c r="G54">
        <v>55.47</v>
      </c>
    </row>
    <row r="55" spans="1:7" x14ac:dyDescent="0.25">
      <c r="A55" s="34">
        <v>41897</v>
      </c>
      <c r="B55">
        <v>55.45</v>
      </c>
      <c r="C55">
        <v>55.45</v>
      </c>
      <c r="D55">
        <v>54.78</v>
      </c>
      <c r="E55">
        <v>55.06</v>
      </c>
      <c r="F55">
        <v>3959500</v>
      </c>
      <c r="G55">
        <v>55.06</v>
      </c>
    </row>
  </sheetData>
  <sortState ref="A3:G55">
    <sortCondition ref="A3:A55"/>
  </sortState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143.41</v>
      </c>
      <c r="C3">
        <v>144.82</v>
      </c>
      <c r="D3">
        <v>143.38</v>
      </c>
      <c r="E3">
        <v>144.56</v>
      </c>
      <c r="F3">
        <v>1767600</v>
      </c>
      <c r="G3">
        <v>143.69999999999999</v>
      </c>
    </row>
    <row r="4" spans="1:7" x14ac:dyDescent="0.25">
      <c r="A4" s="34">
        <v>41822</v>
      </c>
      <c r="B4">
        <v>144.22999999999999</v>
      </c>
      <c r="C4">
        <v>145.30000000000001</v>
      </c>
      <c r="D4">
        <v>143.56</v>
      </c>
      <c r="E4">
        <v>145.22999999999999</v>
      </c>
      <c r="F4">
        <v>1621300</v>
      </c>
      <c r="G4">
        <v>144.37</v>
      </c>
    </row>
    <row r="5" spans="1:7" x14ac:dyDescent="0.25">
      <c r="A5" s="34">
        <v>41823</v>
      </c>
      <c r="B5">
        <v>145.25</v>
      </c>
      <c r="C5">
        <v>145.72999999999999</v>
      </c>
      <c r="D5">
        <v>145</v>
      </c>
      <c r="E5">
        <v>145.41</v>
      </c>
      <c r="F5">
        <v>1142200</v>
      </c>
      <c r="G5">
        <v>144.55000000000001</v>
      </c>
    </row>
    <row r="6" spans="1:7" x14ac:dyDescent="0.25">
      <c r="A6" s="34">
        <v>41827</v>
      </c>
      <c r="B6">
        <v>145.47999999999999</v>
      </c>
      <c r="C6">
        <v>145.58000000000001</v>
      </c>
      <c r="D6">
        <v>144.5</v>
      </c>
      <c r="E6">
        <v>144.91</v>
      </c>
      <c r="F6">
        <v>1257900</v>
      </c>
      <c r="G6">
        <v>144.05000000000001</v>
      </c>
    </row>
    <row r="7" spans="1:7" x14ac:dyDescent="0.25">
      <c r="A7" s="34">
        <v>41828</v>
      </c>
      <c r="B7">
        <v>145.22</v>
      </c>
      <c r="C7">
        <v>145.4</v>
      </c>
      <c r="D7">
        <v>144.47999999999999</v>
      </c>
      <c r="E7">
        <v>144.56</v>
      </c>
      <c r="F7">
        <v>1596700</v>
      </c>
      <c r="G7">
        <v>143.69999999999999</v>
      </c>
    </row>
    <row r="8" spans="1:7" x14ac:dyDescent="0.25">
      <c r="A8" s="34">
        <v>41829</v>
      </c>
      <c r="B8">
        <v>144.78</v>
      </c>
      <c r="C8">
        <v>145.04</v>
      </c>
      <c r="D8">
        <v>144.03</v>
      </c>
      <c r="E8">
        <v>144.68</v>
      </c>
      <c r="F8">
        <v>1521800</v>
      </c>
      <c r="G8">
        <v>143.82</v>
      </c>
    </row>
    <row r="9" spans="1:7" x14ac:dyDescent="0.25">
      <c r="A9" s="34">
        <v>41830</v>
      </c>
      <c r="B9">
        <v>143.5</v>
      </c>
      <c r="C9">
        <v>144.19999999999999</v>
      </c>
      <c r="D9">
        <v>143.24</v>
      </c>
      <c r="E9">
        <v>143.88999999999999</v>
      </c>
      <c r="F9">
        <v>2070100</v>
      </c>
      <c r="G9">
        <v>143.04</v>
      </c>
    </row>
    <row r="10" spans="1:7" x14ac:dyDescent="0.25">
      <c r="A10" s="34">
        <v>41831</v>
      </c>
      <c r="B10">
        <v>144.13999999999999</v>
      </c>
      <c r="C10">
        <v>144.49</v>
      </c>
      <c r="D10">
        <v>143.54</v>
      </c>
      <c r="E10">
        <v>144.31</v>
      </c>
      <c r="F10">
        <v>1907900</v>
      </c>
      <c r="G10">
        <v>143.44999999999999</v>
      </c>
    </row>
    <row r="11" spans="1:7" x14ac:dyDescent="0.25">
      <c r="A11" s="34">
        <v>41834</v>
      </c>
      <c r="B11">
        <v>144.99</v>
      </c>
      <c r="C11">
        <v>145.71</v>
      </c>
      <c r="D11">
        <v>144.75</v>
      </c>
      <c r="E11">
        <v>145</v>
      </c>
      <c r="F11">
        <v>2114600</v>
      </c>
      <c r="G11">
        <v>144.13999999999999</v>
      </c>
    </row>
    <row r="12" spans="1:7" x14ac:dyDescent="0.25">
      <c r="A12" s="34">
        <v>41835</v>
      </c>
      <c r="B12">
        <v>145</v>
      </c>
      <c r="C12">
        <v>145.47999999999999</v>
      </c>
      <c r="D12">
        <v>144.36000000000001</v>
      </c>
      <c r="E12">
        <v>145.06</v>
      </c>
      <c r="F12">
        <v>1955700</v>
      </c>
      <c r="G12">
        <v>144.19999999999999</v>
      </c>
    </row>
    <row r="13" spans="1:7" x14ac:dyDescent="0.25">
      <c r="A13" s="34">
        <v>41836</v>
      </c>
      <c r="B13">
        <v>145.28</v>
      </c>
      <c r="C13">
        <v>146.25</v>
      </c>
      <c r="D13">
        <v>145.03</v>
      </c>
      <c r="E13">
        <v>146.16999999999999</v>
      </c>
      <c r="F13">
        <v>1969200</v>
      </c>
      <c r="G13">
        <v>145.30000000000001</v>
      </c>
    </row>
    <row r="14" spans="1:7" x14ac:dyDescent="0.25">
      <c r="A14" s="34">
        <v>41837</v>
      </c>
      <c r="B14">
        <v>145.33000000000001</v>
      </c>
      <c r="C14">
        <v>145.66999999999999</v>
      </c>
      <c r="D14">
        <v>143.44999999999999</v>
      </c>
      <c r="E14">
        <v>143.54</v>
      </c>
      <c r="F14">
        <v>2776500</v>
      </c>
      <c r="G14">
        <v>142.69</v>
      </c>
    </row>
    <row r="15" spans="1:7" x14ac:dyDescent="0.25">
      <c r="A15" s="34">
        <v>41838</v>
      </c>
      <c r="B15">
        <v>143.83000000000001</v>
      </c>
      <c r="C15">
        <v>145.06</v>
      </c>
      <c r="D15">
        <v>143.54</v>
      </c>
      <c r="E15">
        <v>144.83000000000001</v>
      </c>
      <c r="F15">
        <v>2133000</v>
      </c>
      <c r="G15">
        <v>143.97</v>
      </c>
    </row>
    <row r="16" spans="1:7" x14ac:dyDescent="0.25">
      <c r="A16" s="34">
        <v>41841</v>
      </c>
      <c r="B16">
        <v>144.66</v>
      </c>
      <c r="C16">
        <v>144.87</v>
      </c>
      <c r="D16">
        <v>143.65</v>
      </c>
      <c r="E16">
        <v>144.30000000000001</v>
      </c>
      <c r="F16">
        <v>1520900</v>
      </c>
      <c r="G16">
        <v>143.44</v>
      </c>
    </row>
    <row r="17" spans="1:7" x14ac:dyDescent="0.25">
      <c r="A17" s="34">
        <v>41842</v>
      </c>
      <c r="B17">
        <v>144.88999999999999</v>
      </c>
      <c r="C17">
        <v>145.66999999999999</v>
      </c>
      <c r="D17">
        <v>144.88999999999999</v>
      </c>
      <c r="E17">
        <v>145.12</v>
      </c>
      <c r="F17">
        <v>1608200</v>
      </c>
      <c r="G17">
        <v>144.26</v>
      </c>
    </row>
    <row r="18" spans="1:7" x14ac:dyDescent="0.25">
      <c r="A18" s="34">
        <v>41843</v>
      </c>
      <c r="B18">
        <v>145.34</v>
      </c>
      <c r="C18">
        <v>145.44999999999999</v>
      </c>
      <c r="D18">
        <v>144.53</v>
      </c>
      <c r="E18">
        <v>144.68</v>
      </c>
      <c r="F18">
        <v>1849400</v>
      </c>
      <c r="G18">
        <v>143.82</v>
      </c>
    </row>
    <row r="19" spans="1:7" x14ac:dyDescent="0.25">
      <c r="A19" s="34">
        <v>41844</v>
      </c>
      <c r="B19">
        <v>145.51</v>
      </c>
      <c r="C19">
        <v>146.43</v>
      </c>
      <c r="D19">
        <v>144.47</v>
      </c>
      <c r="E19">
        <v>145.13</v>
      </c>
      <c r="F19">
        <v>2580000</v>
      </c>
      <c r="G19">
        <v>144.27000000000001</v>
      </c>
    </row>
    <row r="20" spans="1:7" x14ac:dyDescent="0.25">
      <c r="A20" s="34">
        <v>41845</v>
      </c>
      <c r="B20">
        <v>145.66</v>
      </c>
      <c r="C20">
        <v>145.94</v>
      </c>
      <c r="D20">
        <v>144.59</v>
      </c>
      <c r="E20">
        <v>145.12</v>
      </c>
      <c r="F20">
        <v>1601800</v>
      </c>
      <c r="G20">
        <v>144.26</v>
      </c>
    </row>
    <row r="21" spans="1:7" x14ac:dyDescent="0.25">
      <c r="A21" s="34">
        <v>41848</v>
      </c>
      <c r="B21">
        <v>144.91999999999999</v>
      </c>
      <c r="C21">
        <v>145.63</v>
      </c>
      <c r="D21">
        <v>143.78</v>
      </c>
      <c r="E21">
        <v>145.53</v>
      </c>
      <c r="F21">
        <v>2002200</v>
      </c>
      <c r="G21">
        <v>144.66999999999999</v>
      </c>
    </row>
    <row r="22" spans="1:7" x14ac:dyDescent="0.25">
      <c r="A22" s="34">
        <v>41849</v>
      </c>
      <c r="B22">
        <v>145.22</v>
      </c>
      <c r="C22">
        <v>146.27000000000001</v>
      </c>
      <c r="D22">
        <v>143.99</v>
      </c>
      <c r="E22">
        <v>144.02000000000001</v>
      </c>
      <c r="F22">
        <v>2286600</v>
      </c>
      <c r="G22">
        <v>143.16999999999999</v>
      </c>
    </row>
    <row r="23" spans="1:7" x14ac:dyDescent="0.25">
      <c r="A23" s="34">
        <v>41850</v>
      </c>
      <c r="B23">
        <v>144.26</v>
      </c>
      <c r="C23">
        <v>144.78</v>
      </c>
      <c r="D23">
        <v>143.52000000000001</v>
      </c>
      <c r="E23">
        <v>143.74</v>
      </c>
      <c r="F23">
        <v>2458400</v>
      </c>
      <c r="G23">
        <v>142.88999999999999</v>
      </c>
    </row>
    <row r="24" spans="1:7" x14ac:dyDescent="0.25">
      <c r="A24" s="34">
        <v>41851</v>
      </c>
      <c r="B24">
        <v>143.33000000000001</v>
      </c>
      <c r="C24">
        <v>143.55000000000001</v>
      </c>
      <c r="D24">
        <v>140.6</v>
      </c>
      <c r="E24">
        <v>140.88999999999999</v>
      </c>
      <c r="F24">
        <v>3571100</v>
      </c>
      <c r="G24">
        <v>140.05000000000001</v>
      </c>
    </row>
    <row r="25" spans="1:7" x14ac:dyDescent="0.25">
      <c r="A25" s="34">
        <v>41852</v>
      </c>
      <c r="B25">
        <v>140.15</v>
      </c>
      <c r="C25">
        <v>141.04</v>
      </c>
      <c r="D25">
        <v>139.08000000000001</v>
      </c>
      <c r="E25">
        <v>140.11000000000001</v>
      </c>
      <c r="F25">
        <v>2505800</v>
      </c>
      <c r="G25">
        <v>139.28</v>
      </c>
    </row>
    <row r="26" spans="1:7" x14ac:dyDescent="0.25">
      <c r="A26" s="34">
        <v>41855</v>
      </c>
      <c r="B26">
        <v>140.15</v>
      </c>
      <c r="C26">
        <v>140.97999999999999</v>
      </c>
      <c r="D26">
        <v>139.21</v>
      </c>
      <c r="E26">
        <v>140.75</v>
      </c>
      <c r="F26">
        <v>2494500</v>
      </c>
      <c r="G26">
        <v>139.91999999999999</v>
      </c>
    </row>
    <row r="27" spans="1:7" x14ac:dyDescent="0.25">
      <c r="A27" s="34">
        <v>41856</v>
      </c>
      <c r="B27">
        <v>140.62</v>
      </c>
      <c r="C27">
        <v>141.12</v>
      </c>
      <c r="D27">
        <v>139.34</v>
      </c>
      <c r="E27">
        <v>139.78</v>
      </c>
      <c r="F27">
        <v>2168500</v>
      </c>
      <c r="G27">
        <v>138.94999999999999</v>
      </c>
    </row>
    <row r="28" spans="1:7" x14ac:dyDescent="0.25">
      <c r="A28" s="34">
        <v>41857</v>
      </c>
      <c r="B28">
        <v>139.13999999999999</v>
      </c>
      <c r="C28">
        <v>139.94</v>
      </c>
      <c r="D28">
        <v>138.43</v>
      </c>
      <c r="E28">
        <v>139.55000000000001</v>
      </c>
      <c r="F28">
        <v>2679000</v>
      </c>
      <c r="G28">
        <v>138.72</v>
      </c>
    </row>
    <row r="29" spans="1:7" x14ac:dyDescent="0.25">
      <c r="A29" s="34">
        <v>41858</v>
      </c>
      <c r="B29">
        <v>140.05000000000001</v>
      </c>
      <c r="C29">
        <v>140.37</v>
      </c>
      <c r="D29">
        <v>138.96</v>
      </c>
      <c r="E29">
        <v>139.13</v>
      </c>
      <c r="F29">
        <v>1892500</v>
      </c>
      <c r="G29">
        <v>138.31</v>
      </c>
    </row>
    <row r="30" spans="1:7" x14ac:dyDescent="0.25">
      <c r="A30" s="34">
        <v>41859</v>
      </c>
      <c r="B30">
        <v>139.30000000000001</v>
      </c>
      <c r="C30">
        <v>140.88999999999999</v>
      </c>
      <c r="D30">
        <v>138.88999999999999</v>
      </c>
      <c r="E30">
        <v>140.85</v>
      </c>
      <c r="F30">
        <v>2702600</v>
      </c>
      <c r="G30">
        <v>140.02000000000001</v>
      </c>
    </row>
    <row r="31" spans="1:7" x14ac:dyDescent="0.25">
      <c r="A31" s="34">
        <v>41862</v>
      </c>
      <c r="B31">
        <v>140.93</v>
      </c>
      <c r="C31">
        <v>141.5</v>
      </c>
      <c r="D31">
        <v>140.54</v>
      </c>
      <c r="E31">
        <v>140.58000000000001</v>
      </c>
      <c r="F31">
        <v>1919100</v>
      </c>
      <c r="G31">
        <v>139.75</v>
      </c>
    </row>
    <row r="32" spans="1:7" x14ac:dyDescent="0.25">
      <c r="A32" s="34">
        <v>41863</v>
      </c>
      <c r="B32">
        <v>140.62</v>
      </c>
      <c r="C32">
        <v>141.21</v>
      </c>
      <c r="D32">
        <v>140.43</v>
      </c>
      <c r="E32">
        <v>140.88</v>
      </c>
      <c r="F32">
        <v>2176100</v>
      </c>
      <c r="G32">
        <v>140.04</v>
      </c>
    </row>
    <row r="33" spans="1:7" x14ac:dyDescent="0.25">
      <c r="A33" s="34">
        <v>41864</v>
      </c>
      <c r="B33">
        <v>141.35</v>
      </c>
      <c r="C33">
        <v>141.83000000000001</v>
      </c>
      <c r="D33">
        <v>140.91999999999999</v>
      </c>
      <c r="E33">
        <v>141.80000000000001</v>
      </c>
      <c r="F33">
        <v>3104300</v>
      </c>
      <c r="G33">
        <v>140.96</v>
      </c>
    </row>
    <row r="34" spans="1:7" x14ac:dyDescent="0.25">
      <c r="A34" s="34">
        <v>41865</v>
      </c>
      <c r="B34">
        <v>142</v>
      </c>
      <c r="C34">
        <v>142.38999999999999</v>
      </c>
      <c r="D34">
        <v>141.85</v>
      </c>
      <c r="E34">
        <v>142.34</v>
      </c>
      <c r="F34">
        <v>1586900</v>
      </c>
      <c r="G34">
        <v>141.5</v>
      </c>
    </row>
    <row r="35" spans="1:7" x14ac:dyDescent="0.25">
      <c r="A35" s="34">
        <v>41866</v>
      </c>
      <c r="B35">
        <v>142.81</v>
      </c>
      <c r="C35">
        <v>142.97999999999999</v>
      </c>
      <c r="D35">
        <v>141.02000000000001</v>
      </c>
      <c r="E35">
        <v>141.91999999999999</v>
      </c>
      <c r="F35">
        <v>1960900</v>
      </c>
      <c r="G35">
        <v>141.08000000000001</v>
      </c>
    </row>
    <row r="36" spans="1:7" x14ac:dyDescent="0.25">
      <c r="A36" s="34">
        <v>41869</v>
      </c>
      <c r="B36">
        <v>142.75</v>
      </c>
      <c r="C36">
        <v>144.19</v>
      </c>
      <c r="D36">
        <v>142.59</v>
      </c>
      <c r="E36">
        <v>144.12</v>
      </c>
      <c r="F36">
        <v>1852900</v>
      </c>
      <c r="G36">
        <v>143.27000000000001</v>
      </c>
    </row>
    <row r="37" spans="1:7" x14ac:dyDescent="0.25">
      <c r="A37" s="34">
        <v>41870</v>
      </c>
      <c r="B37">
        <v>144.47</v>
      </c>
      <c r="C37">
        <v>145.01</v>
      </c>
      <c r="D37">
        <v>143.81</v>
      </c>
      <c r="E37">
        <v>144.25</v>
      </c>
      <c r="F37">
        <v>1592500</v>
      </c>
      <c r="G37">
        <v>143.4</v>
      </c>
    </row>
    <row r="38" spans="1:7" x14ac:dyDescent="0.25">
      <c r="A38" s="34">
        <v>41871</v>
      </c>
      <c r="B38">
        <v>143.86000000000001</v>
      </c>
      <c r="C38">
        <v>144.82</v>
      </c>
      <c r="D38">
        <v>143.5</v>
      </c>
      <c r="E38">
        <v>144.6</v>
      </c>
      <c r="F38">
        <v>2298800</v>
      </c>
      <c r="G38">
        <v>144.6</v>
      </c>
    </row>
    <row r="39" spans="1:7" x14ac:dyDescent="0.25">
      <c r="A39" s="34">
        <v>41872</v>
      </c>
      <c r="B39">
        <v>144.78</v>
      </c>
      <c r="C39">
        <v>144.99</v>
      </c>
      <c r="D39">
        <v>144.35</v>
      </c>
      <c r="E39">
        <v>144.5</v>
      </c>
      <c r="F39">
        <v>1475800</v>
      </c>
      <c r="G39">
        <v>144.5</v>
      </c>
    </row>
    <row r="40" spans="1:7" x14ac:dyDescent="0.25">
      <c r="A40" s="34">
        <v>41873</v>
      </c>
      <c r="B40">
        <v>144.5</v>
      </c>
      <c r="C40">
        <v>144.83000000000001</v>
      </c>
      <c r="D40">
        <v>144.02000000000001</v>
      </c>
      <c r="E40">
        <v>144.13</v>
      </c>
      <c r="F40">
        <v>1547500</v>
      </c>
      <c r="G40">
        <v>144.13</v>
      </c>
    </row>
    <row r="41" spans="1:7" x14ac:dyDescent="0.25">
      <c r="A41" s="34">
        <v>41876</v>
      </c>
      <c r="B41">
        <v>144.66</v>
      </c>
      <c r="C41">
        <v>144.99</v>
      </c>
      <c r="D41">
        <v>144.41999999999999</v>
      </c>
      <c r="E41">
        <v>144.69999999999999</v>
      </c>
      <c r="F41">
        <v>1012900</v>
      </c>
      <c r="G41">
        <v>144.69999999999999</v>
      </c>
    </row>
    <row r="42" spans="1:7" x14ac:dyDescent="0.25">
      <c r="A42" s="34">
        <v>41877</v>
      </c>
      <c r="B42">
        <v>145</v>
      </c>
      <c r="C42">
        <v>145.38999999999999</v>
      </c>
      <c r="D42">
        <v>144.57</v>
      </c>
      <c r="E42">
        <v>144.6</v>
      </c>
      <c r="F42">
        <v>1808100</v>
      </c>
      <c r="G42">
        <v>144.6</v>
      </c>
    </row>
    <row r="43" spans="1:7" x14ac:dyDescent="0.25">
      <c r="A43" s="34">
        <v>41878</v>
      </c>
      <c r="B43">
        <v>144.43</v>
      </c>
      <c r="C43">
        <v>144.86000000000001</v>
      </c>
      <c r="D43">
        <v>143.63</v>
      </c>
      <c r="E43">
        <v>143.94</v>
      </c>
      <c r="F43">
        <v>1402200</v>
      </c>
      <c r="G43">
        <v>143.94</v>
      </c>
    </row>
    <row r="44" spans="1:7" x14ac:dyDescent="0.25">
      <c r="A44" s="34">
        <v>41879</v>
      </c>
      <c r="B44">
        <v>143.32</v>
      </c>
      <c r="C44">
        <v>144.12</v>
      </c>
      <c r="D44">
        <v>143.02000000000001</v>
      </c>
      <c r="E44">
        <v>143.97999999999999</v>
      </c>
      <c r="F44">
        <v>1314100</v>
      </c>
      <c r="G44">
        <v>143.97999999999999</v>
      </c>
    </row>
    <row r="45" spans="1:7" x14ac:dyDescent="0.25">
      <c r="A45" s="34">
        <v>41880</v>
      </c>
      <c r="B45">
        <v>144.06</v>
      </c>
      <c r="C45">
        <v>144.38999999999999</v>
      </c>
      <c r="D45">
        <v>143.18</v>
      </c>
      <c r="E45">
        <v>144</v>
      </c>
      <c r="F45">
        <v>1537800</v>
      </c>
      <c r="G45">
        <v>144</v>
      </c>
    </row>
    <row r="46" spans="1:7" x14ac:dyDescent="0.25">
      <c r="A46" s="34">
        <v>41884</v>
      </c>
      <c r="B46">
        <v>143.30000000000001</v>
      </c>
      <c r="C46">
        <v>144.61000000000001</v>
      </c>
      <c r="D46">
        <v>143.30000000000001</v>
      </c>
      <c r="E46">
        <v>144.22</v>
      </c>
      <c r="F46">
        <v>1578800</v>
      </c>
      <c r="G46">
        <v>144.22</v>
      </c>
    </row>
    <row r="47" spans="1:7" x14ac:dyDescent="0.25">
      <c r="A47" s="34">
        <v>41885</v>
      </c>
      <c r="B47">
        <v>144.47</v>
      </c>
      <c r="C47">
        <v>144.72</v>
      </c>
      <c r="D47">
        <v>143.55000000000001</v>
      </c>
      <c r="E47">
        <v>143.82</v>
      </c>
      <c r="F47">
        <v>1533600</v>
      </c>
      <c r="G47">
        <v>143.82</v>
      </c>
    </row>
    <row r="48" spans="1:7" x14ac:dyDescent="0.25">
      <c r="A48" s="34">
        <v>41886</v>
      </c>
      <c r="B48">
        <v>144.21</v>
      </c>
      <c r="C48">
        <v>144.65</v>
      </c>
      <c r="D48">
        <v>143.35</v>
      </c>
      <c r="E48">
        <v>143.61000000000001</v>
      </c>
      <c r="F48">
        <v>1549800</v>
      </c>
      <c r="G48">
        <v>143.61000000000001</v>
      </c>
    </row>
    <row r="49" spans="1:7" x14ac:dyDescent="0.25">
      <c r="A49" s="34">
        <v>41887</v>
      </c>
      <c r="B49">
        <v>143.63999999999999</v>
      </c>
      <c r="C49">
        <v>144.32</v>
      </c>
      <c r="D49">
        <v>143.15</v>
      </c>
      <c r="E49">
        <v>144.19999999999999</v>
      </c>
      <c r="F49">
        <v>1989100</v>
      </c>
      <c r="G49">
        <v>144.19999999999999</v>
      </c>
    </row>
    <row r="50" spans="1:7" x14ac:dyDescent="0.25">
      <c r="A50" s="34">
        <v>41890</v>
      </c>
      <c r="B50">
        <v>144.41</v>
      </c>
      <c r="C50">
        <v>145.44999999999999</v>
      </c>
      <c r="D50">
        <v>144.11000000000001</v>
      </c>
      <c r="E50">
        <v>144.88999999999999</v>
      </c>
      <c r="F50">
        <v>2446100</v>
      </c>
      <c r="G50">
        <v>144.88999999999999</v>
      </c>
    </row>
    <row r="51" spans="1:7" x14ac:dyDescent="0.25">
      <c r="A51" s="34">
        <v>41891</v>
      </c>
      <c r="B51">
        <v>144.69999999999999</v>
      </c>
      <c r="C51">
        <v>145.26</v>
      </c>
      <c r="D51">
        <v>144.25</v>
      </c>
      <c r="E51">
        <v>144.46</v>
      </c>
      <c r="F51">
        <v>1745400</v>
      </c>
      <c r="G51">
        <v>144.46</v>
      </c>
    </row>
    <row r="52" spans="1:7" x14ac:dyDescent="0.25">
      <c r="A52" s="34">
        <v>41892</v>
      </c>
      <c r="B52">
        <v>144.63</v>
      </c>
      <c r="C52">
        <v>144.99</v>
      </c>
      <c r="D52">
        <v>144</v>
      </c>
      <c r="E52">
        <v>144.63999999999999</v>
      </c>
      <c r="F52">
        <v>1558800</v>
      </c>
      <c r="G52">
        <v>144.63999999999999</v>
      </c>
    </row>
    <row r="53" spans="1:7" x14ac:dyDescent="0.25">
      <c r="A53" s="34">
        <v>41893</v>
      </c>
      <c r="B53">
        <v>143.99</v>
      </c>
      <c r="C53">
        <v>144.38</v>
      </c>
      <c r="D53">
        <v>143.6</v>
      </c>
      <c r="E53">
        <v>144.35</v>
      </c>
      <c r="F53">
        <v>1465400</v>
      </c>
      <c r="G53">
        <v>144.35</v>
      </c>
    </row>
    <row r="54" spans="1:7" x14ac:dyDescent="0.25">
      <c r="A54" s="34">
        <v>41894</v>
      </c>
      <c r="B54">
        <v>144.44999999999999</v>
      </c>
      <c r="C54">
        <v>144.44999999999999</v>
      </c>
      <c r="D54">
        <v>143.5</v>
      </c>
      <c r="E54">
        <v>143.94</v>
      </c>
      <c r="F54">
        <v>2135400</v>
      </c>
      <c r="G54">
        <v>143.94</v>
      </c>
    </row>
    <row r="55" spans="1:7" x14ac:dyDescent="0.25">
      <c r="A55" s="34">
        <v>41897</v>
      </c>
      <c r="B55">
        <v>144.16999999999999</v>
      </c>
      <c r="C55">
        <v>144.69</v>
      </c>
      <c r="D55">
        <v>143.66</v>
      </c>
      <c r="E55">
        <v>144.47999999999999</v>
      </c>
      <c r="F55">
        <v>1868000</v>
      </c>
      <c r="G55">
        <v>144.47999999999999</v>
      </c>
    </row>
  </sheetData>
  <sortState ref="A3:G55">
    <sortCondition ref="A3:A55"/>
  </sortState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41.87</v>
      </c>
      <c r="C3">
        <v>42</v>
      </c>
      <c r="D3">
        <v>41.52</v>
      </c>
      <c r="E3">
        <v>41.83</v>
      </c>
      <c r="F3">
        <v>5197700</v>
      </c>
      <c r="G3">
        <v>41.33</v>
      </c>
    </row>
    <row r="4" spans="1:7" x14ac:dyDescent="0.25">
      <c r="A4" s="34">
        <v>41822</v>
      </c>
      <c r="B4">
        <v>41.85</v>
      </c>
      <c r="C4">
        <v>41.97</v>
      </c>
      <c r="D4">
        <v>41.72</v>
      </c>
      <c r="E4">
        <v>41.87</v>
      </c>
      <c r="F4">
        <v>3579200</v>
      </c>
      <c r="G4">
        <v>41.37</v>
      </c>
    </row>
    <row r="5" spans="1:7" x14ac:dyDescent="0.25">
      <c r="A5" s="34">
        <v>41823</v>
      </c>
      <c r="B5">
        <v>42.02</v>
      </c>
      <c r="C5">
        <v>42.58</v>
      </c>
      <c r="D5">
        <v>41.99</v>
      </c>
      <c r="E5">
        <v>42.39</v>
      </c>
      <c r="F5">
        <v>5819600</v>
      </c>
      <c r="G5">
        <v>41.89</v>
      </c>
    </row>
    <row r="6" spans="1:7" x14ac:dyDescent="0.25">
      <c r="A6" s="34">
        <v>41827</v>
      </c>
      <c r="B6">
        <v>42.25</v>
      </c>
      <c r="C6">
        <v>42.78</v>
      </c>
      <c r="D6">
        <v>42.25</v>
      </c>
      <c r="E6">
        <v>42.62</v>
      </c>
      <c r="F6">
        <v>5212400</v>
      </c>
      <c r="G6">
        <v>42.11</v>
      </c>
    </row>
    <row r="7" spans="1:7" x14ac:dyDescent="0.25">
      <c r="A7" s="34">
        <v>41828</v>
      </c>
      <c r="B7">
        <v>42.65</v>
      </c>
      <c r="C7">
        <v>42.81</v>
      </c>
      <c r="D7">
        <v>42.51</v>
      </c>
      <c r="E7">
        <v>42.71</v>
      </c>
      <c r="F7">
        <v>5145000</v>
      </c>
      <c r="G7">
        <v>42.2</v>
      </c>
    </row>
    <row r="8" spans="1:7" x14ac:dyDescent="0.25">
      <c r="A8" s="34">
        <v>41829</v>
      </c>
      <c r="B8">
        <v>42.85</v>
      </c>
      <c r="C8">
        <v>43.05</v>
      </c>
      <c r="D8">
        <v>42.72</v>
      </c>
      <c r="E8">
        <v>42.8</v>
      </c>
      <c r="F8">
        <v>5904300</v>
      </c>
      <c r="G8">
        <v>42.29</v>
      </c>
    </row>
    <row r="9" spans="1:7" x14ac:dyDescent="0.25">
      <c r="A9" s="34">
        <v>41830</v>
      </c>
      <c r="B9">
        <v>42.61</v>
      </c>
      <c r="C9">
        <v>42.95</v>
      </c>
      <c r="D9">
        <v>42.61</v>
      </c>
      <c r="E9">
        <v>42.95</v>
      </c>
      <c r="F9">
        <v>7554700</v>
      </c>
      <c r="G9">
        <v>42.44</v>
      </c>
    </row>
    <row r="10" spans="1:7" x14ac:dyDescent="0.25">
      <c r="A10" s="34">
        <v>41831</v>
      </c>
      <c r="B10">
        <v>43.53</v>
      </c>
      <c r="C10">
        <v>43.6</v>
      </c>
      <c r="D10">
        <v>43.02</v>
      </c>
      <c r="E10">
        <v>43.43</v>
      </c>
      <c r="F10">
        <v>9915900</v>
      </c>
      <c r="G10">
        <v>42.92</v>
      </c>
    </row>
    <row r="11" spans="1:7" x14ac:dyDescent="0.25">
      <c r="A11" s="34">
        <v>41834</v>
      </c>
      <c r="B11">
        <v>43.61</v>
      </c>
      <c r="C11">
        <v>43.7</v>
      </c>
      <c r="D11">
        <v>43.26</v>
      </c>
      <c r="E11">
        <v>43.35</v>
      </c>
      <c r="F11">
        <v>8341300</v>
      </c>
      <c r="G11">
        <v>42.84</v>
      </c>
    </row>
    <row r="12" spans="1:7" x14ac:dyDescent="0.25">
      <c r="A12" s="34">
        <v>41835</v>
      </c>
      <c r="B12">
        <v>43</v>
      </c>
      <c r="C12">
        <v>43.08</v>
      </c>
      <c r="D12">
        <v>41.75</v>
      </c>
      <c r="E12">
        <v>41.76</v>
      </c>
      <c r="F12">
        <v>18024000</v>
      </c>
      <c r="G12">
        <v>41.26</v>
      </c>
    </row>
    <row r="13" spans="1:7" x14ac:dyDescent="0.25">
      <c r="A13" s="34">
        <v>41836</v>
      </c>
      <c r="B13">
        <v>42.08</v>
      </c>
      <c r="C13">
        <v>42.36</v>
      </c>
      <c r="D13">
        <v>41.7</v>
      </c>
      <c r="E13">
        <v>41.82</v>
      </c>
      <c r="F13">
        <v>7945200</v>
      </c>
      <c r="G13">
        <v>41.32</v>
      </c>
    </row>
    <row r="14" spans="1:7" x14ac:dyDescent="0.25">
      <c r="A14" s="34">
        <v>41837</v>
      </c>
      <c r="B14">
        <v>41.71</v>
      </c>
      <c r="C14">
        <v>41.98</v>
      </c>
      <c r="D14">
        <v>41.55</v>
      </c>
      <c r="E14">
        <v>41.58</v>
      </c>
      <c r="F14">
        <v>6506800</v>
      </c>
      <c r="G14">
        <v>41.09</v>
      </c>
    </row>
    <row r="15" spans="1:7" x14ac:dyDescent="0.25">
      <c r="A15" s="34">
        <v>41838</v>
      </c>
      <c r="B15">
        <v>41.79</v>
      </c>
      <c r="C15">
        <v>42.26</v>
      </c>
      <c r="D15">
        <v>41.6</v>
      </c>
      <c r="E15">
        <v>42.17</v>
      </c>
      <c r="F15">
        <v>6800500</v>
      </c>
      <c r="G15">
        <v>41.67</v>
      </c>
    </row>
    <row r="16" spans="1:7" x14ac:dyDescent="0.25">
      <c r="A16" s="34">
        <v>41841</v>
      </c>
      <c r="B16">
        <v>41.54</v>
      </c>
      <c r="C16">
        <v>42.05</v>
      </c>
      <c r="D16">
        <v>41.45</v>
      </c>
      <c r="E16">
        <v>42.01</v>
      </c>
      <c r="F16">
        <v>8636800</v>
      </c>
      <c r="G16">
        <v>41.51</v>
      </c>
    </row>
    <row r="17" spans="1:7" x14ac:dyDescent="0.25">
      <c r="A17" s="34">
        <v>41842</v>
      </c>
      <c r="B17">
        <v>41.78</v>
      </c>
      <c r="C17">
        <v>42.25</v>
      </c>
      <c r="D17">
        <v>41.15</v>
      </c>
      <c r="E17">
        <v>41.93</v>
      </c>
      <c r="F17">
        <v>8835500</v>
      </c>
      <c r="G17">
        <v>41.43</v>
      </c>
    </row>
    <row r="18" spans="1:7" x14ac:dyDescent="0.25">
      <c r="A18" s="34">
        <v>41843</v>
      </c>
      <c r="B18">
        <v>41.99</v>
      </c>
      <c r="C18">
        <v>42</v>
      </c>
      <c r="D18">
        <v>41.65</v>
      </c>
      <c r="E18">
        <v>41.72</v>
      </c>
      <c r="F18">
        <v>6523500</v>
      </c>
      <c r="G18">
        <v>41.23</v>
      </c>
    </row>
    <row r="19" spans="1:7" x14ac:dyDescent="0.25">
      <c r="A19" s="34">
        <v>41844</v>
      </c>
      <c r="B19">
        <v>41.87</v>
      </c>
      <c r="C19">
        <v>42.15</v>
      </c>
      <c r="D19">
        <v>41.79</v>
      </c>
      <c r="E19">
        <v>42.04</v>
      </c>
      <c r="F19">
        <v>6824500</v>
      </c>
      <c r="G19">
        <v>41.54</v>
      </c>
    </row>
    <row r="20" spans="1:7" x14ac:dyDescent="0.25">
      <c r="A20" s="34">
        <v>41845</v>
      </c>
      <c r="B20">
        <v>41.88</v>
      </c>
      <c r="C20">
        <v>42.02</v>
      </c>
      <c r="D20">
        <v>41.52</v>
      </c>
      <c r="E20">
        <v>41.74</v>
      </c>
      <c r="F20">
        <v>4829600</v>
      </c>
      <c r="G20">
        <v>41.25</v>
      </c>
    </row>
    <row r="21" spans="1:7" x14ac:dyDescent="0.25">
      <c r="A21" s="34">
        <v>41848</v>
      </c>
      <c r="B21">
        <v>41.73</v>
      </c>
      <c r="C21">
        <v>41.86</v>
      </c>
      <c r="D21">
        <v>41.37</v>
      </c>
      <c r="E21">
        <v>41.65</v>
      </c>
      <c r="F21">
        <v>4501800</v>
      </c>
      <c r="G21">
        <v>41.16</v>
      </c>
    </row>
    <row r="22" spans="1:7" x14ac:dyDescent="0.25">
      <c r="A22" s="34">
        <v>41849</v>
      </c>
      <c r="B22">
        <v>41.59</v>
      </c>
      <c r="C22">
        <v>41.82</v>
      </c>
      <c r="D22">
        <v>41.47</v>
      </c>
      <c r="E22">
        <v>41.54</v>
      </c>
      <c r="F22">
        <v>8603900</v>
      </c>
      <c r="G22">
        <v>41.05</v>
      </c>
    </row>
    <row r="23" spans="1:7" x14ac:dyDescent="0.25">
      <c r="A23" s="34">
        <v>41850</v>
      </c>
      <c r="B23">
        <v>41.83</v>
      </c>
      <c r="C23">
        <v>41.89</v>
      </c>
      <c r="D23">
        <v>41.06</v>
      </c>
      <c r="E23">
        <v>41.12</v>
      </c>
      <c r="F23">
        <v>7223700</v>
      </c>
      <c r="G23">
        <v>40.630000000000003</v>
      </c>
    </row>
    <row r="24" spans="1:7" x14ac:dyDescent="0.25">
      <c r="A24" s="34">
        <v>41851</v>
      </c>
      <c r="B24">
        <v>40.93</v>
      </c>
      <c r="C24">
        <v>41.04</v>
      </c>
      <c r="D24">
        <v>40.590000000000003</v>
      </c>
      <c r="E24">
        <v>40.6</v>
      </c>
      <c r="F24">
        <v>7194000</v>
      </c>
      <c r="G24">
        <v>40.119999999999997</v>
      </c>
    </row>
    <row r="25" spans="1:7" x14ac:dyDescent="0.25">
      <c r="A25" s="34">
        <v>41852</v>
      </c>
      <c r="B25">
        <v>40.369999999999997</v>
      </c>
      <c r="C25">
        <v>40.799999999999997</v>
      </c>
      <c r="D25">
        <v>40.26</v>
      </c>
      <c r="E25">
        <v>40.5</v>
      </c>
      <c r="F25">
        <v>6192600</v>
      </c>
      <c r="G25">
        <v>40.020000000000003</v>
      </c>
    </row>
    <row r="26" spans="1:7" x14ac:dyDescent="0.25">
      <c r="A26" s="34">
        <v>41855</v>
      </c>
      <c r="B26">
        <v>40.47</v>
      </c>
      <c r="C26">
        <v>40.83</v>
      </c>
      <c r="D26">
        <v>40.4</v>
      </c>
      <c r="E26">
        <v>40.729999999999997</v>
      </c>
      <c r="F26">
        <v>6302200</v>
      </c>
      <c r="G26">
        <v>40.25</v>
      </c>
    </row>
    <row r="27" spans="1:7" x14ac:dyDescent="0.25">
      <c r="A27" s="34">
        <v>41856</v>
      </c>
      <c r="B27">
        <v>40.72</v>
      </c>
      <c r="C27">
        <v>40.96</v>
      </c>
      <c r="D27">
        <v>40.409999999999997</v>
      </c>
      <c r="E27">
        <v>40.57</v>
      </c>
      <c r="F27">
        <v>4395800</v>
      </c>
      <c r="G27">
        <v>40.090000000000003</v>
      </c>
    </row>
    <row r="28" spans="1:7" x14ac:dyDescent="0.25">
      <c r="A28" s="34">
        <v>41857</v>
      </c>
      <c r="B28">
        <v>40.47</v>
      </c>
      <c r="C28">
        <v>41.55</v>
      </c>
      <c r="D28">
        <v>40.47</v>
      </c>
      <c r="E28">
        <v>41.43</v>
      </c>
      <c r="F28">
        <v>7964000</v>
      </c>
      <c r="G28">
        <v>40.94</v>
      </c>
    </row>
    <row r="29" spans="1:7" x14ac:dyDescent="0.25">
      <c r="A29" s="34">
        <v>41858</v>
      </c>
      <c r="B29">
        <v>41.44</v>
      </c>
      <c r="C29">
        <v>41.52</v>
      </c>
      <c r="D29">
        <v>40.909999999999997</v>
      </c>
      <c r="E29">
        <v>41.15</v>
      </c>
      <c r="F29">
        <v>7828400</v>
      </c>
      <c r="G29">
        <v>40.659999999999997</v>
      </c>
    </row>
    <row r="30" spans="1:7" x14ac:dyDescent="0.25">
      <c r="A30" s="34">
        <v>41859</v>
      </c>
      <c r="B30">
        <v>41.2</v>
      </c>
      <c r="C30">
        <v>41.66</v>
      </c>
      <c r="D30">
        <v>41.13</v>
      </c>
      <c r="E30">
        <v>41.63</v>
      </c>
      <c r="F30">
        <v>4407600</v>
      </c>
      <c r="G30">
        <v>41.14</v>
      </c>
    </row>
    <row r="31" spans="1:7" x14ac:dyDescent="0.25">
      <c r="A31" s="34">
        <v>41862</v>
      </c>
      <c r="B31">
        <v>41.82</v>
      </c>
      <c r="C31">
        <v>42.31</v>
      </c>
      <c r="D31">
        <v>41.64</v>
      </c>
      <c r="E31">
        <v>42.01</v>
      </c>
      <c r="F31">
        <v>6134700</v>
      </c>
      <c r="G31">
        <v>41.51</v>
      </c>
    </row>
    <row r="32" spans="1:7" x14ac:dyDescent="0.25">
      <c r="A32" s="34">
        <v>41863</v>
      </c>
      <c r="B32">
        <v>41.9</v>
      </c>
      <c r="C32">
        <v>42.01</v>
      </c>
      <c r="D32">
        <v>41.72</v>
      </c>
      <c r="E32">
        <v>41.96</v>
      </c>
      <c r="F32">
        <v>3843500</v>
      </c>
      <c r="G32">
        <v>41.46</v>
      </c>
    </row>
    <row r="33" spans="1:7" x14ac:dyDescent="0.25">
      <c r="A33" s="34">
        <v>41864</v>
      </c>
      <c r="B33">
        <v>42.08</v>
      </c>
      <c r="C33">
        <v>42.28</v>
      </c>
      <c r="D33">
        <v>41.89</v>
      </c>
      <c r="E33">
        <v>42.07</v>
      </c>
      <c r="F33">
        <v>3724800</v>
      </c>
      <c r="G33">
        <v>41.57</v>
      </c>
    </row>
    <row r="34" spans="1:7" x14ac:dyDescent="0.25">
      <c r="A34" s="34">
        <v>41865</v>
      </c>
      <c r="B34">
        <v>42.11</v>
      </c>
      <c r="C34">
        <v>42.26</v>
      </c>
      <c r="D34">
        <v>42.01</v>
      </c>
      <c r="E34">
        <v>42.26</v>
      </c>
      <c r="F34">
        <v>2976900</v>
      </c>
      <c r="G34">
        <v>41.76</v>
      </c>
    </row>
    <row r="35" spans="1:7" x14ac:dyDescent="0.25">
      <c r="A35" s="34">
        <v>41866</v>
      </c>
      <c r="B35">
        <v>42.39</v>
      </c>
      <c r="C35">
        <v>42.47</v>
      </c>
      <c r="D35">
        <v>41.93</v>
      </c>
      <c r="E35">
        <v>42.2</v>
      </c>
      <c r="F35">
        <v>4737300</v>
      </c>
      <c r="G35">
        <v>41.7</v>
      </c>
    </row>
    <row r="36" spans="1:7" x14ac:dyDescent="0.25">
      <c r="A36" s="34">
        <v>41869</v>
      </c>
      <c r="B36">
        <v>42.3</v>
      </c>
      <c r="C36">
        <v>42.59</v>
      </c>
      <c r="D36">
        <v>42.3</v>
      </c>
      <c r="E36">
        <v>42.5</v>
      </c>
      <c r="F36">
        <v>3987100</v>
      </c>
      <c r="G36">
        <v>42</v>
      </c>
    </row>
    <row r="37" spans="1:7" x14ac:dyDescent="0.25">
      <c r="A37" s="34">
        <v>41870</v>
      </c>
      <c r="B37">
        <v>42.6</v>
      </c>
      <c r="C37">
        <v>42.71</v>
      </c>
      <c r="D37">
        <v>42.3</v>
      </c>
      <c r="E37">
        <v>42.7</v>
      </c>
      <c r="F37">
        <v>4320700</v>
      </c>
      <c r="G37">
        <v>42.19</v>
      </c>
    </row>
    <row r="38" spans="1:7" x14ac:dyDescent="0.25">
      <c r="A38" s="34">
        <v>41871</v>
      </c>
      <c r="B38">
        <v>42.71</v>
      </c>
      <c r="C38">
        <v>42.72</v>
      </c>
      <c r="D38">
        <v>42.32</v>
      </c>
      <c r="E38">
        <v>42.46</v>
      </c>
      <c r="F38">
        <v>4538600</v>
      </c>
      <c r="G38">
        <v>41.96</v>
      </c>
    </row>
    <row r="39" spans="1:7" x14ac:dyDescent="0.25">
      <c r="A39" s="34">
        <v>41872</v>
      </c>
      <c r="B39">
        <v>42.47</v>
      </c>
      <c r="C39">
        <v>42.68</v>
      </c>
      <c r="D39">
        <v>42.34</v>
      </c>
      <c r="E39">
        <v>42.58</v>
      </c>
      <c r="F39">
        <v>4830000</v>
      </c>
      <c r="G39">
        <v>42.08</v>
      </c>
    </row>
    <row r="40" spans="1:7" x14ac:dyDescent="0.25">
      <c r="A40" s="34">
        <v>41873</v>
      </c>
      <c r="B40">
        <v>42.59</v>
      </c>
      <c r="C40">
        <v>42.7</v>
      </c>
      <c r="D40">
        <v>42.43</v>
      </c>
      <c r="E40">
        <v>42.59</v>
      </c>
      <c r="F40">
        <v>3796900</v>
      </c>
      <c r="G40">
        <v>42.09</v>
      </c>
    </row>
    <row r="41" spans="1:7" x14ac:dyDescent="0.25">
      <c r="A41" s="34">
        <v>41876</v>
      </c>
      <c r="B41">
        <v>42.74</v>
      </c>
      <c r="C41">
        <v>42.93</v>
      </c>
      <c r="D41">
        <v>42.66</v>
      </c>
      <c r="E41">
        <v>42.77</v>
      </c>
      <c r="F41">
        <v>3278700</v>
      </c>
      <c r="G41">
        <v>42.26</v>
      </c>
    </row>
    <row r="42" spans="1:7" x14ac:dyDescent="0.25">
      <c r="A42" s="34">
        <v>41877</v>
      </c>
      <c r="B42">
        <v>42.91</v>
      </c>
      <c r="C42">
        <v>42.98</v>
      </c>
      <c r="D42">
        <v>42.71</v>
      </c>
      <c r="E42">
        <v>42.86</v>
      </c>
      <c r="F42">
        <v>4468100</v>
      </c>
      <c r="G42">
        <v>42.35</v>
      </c>
    </row>
    <row r="43" spans="1:7" x14ac:dyDescent="0.25">
      <c r="A43" s="34">
        <v>41878</v>
      </c>
      <c r="B43">
        <v>42.8</v>
      </c>
      <c r="C43">
        <v>42.86</v>
      </c>
      <c r="D43">
        <v>42.58</v>
      </c>
      <c r="E43">
        <v>42.82</v>
      </c>
      <c r="F43">
        <v>3489300</v>
      </c>
      <c r="G43">
        <v>42.31</v>
      </c>
    </row>
    <row r="44" spans="1:7" x14ac:dyDescent="0.25">
      <c r="A44" s="34">
        <v>41879</v>
      </c>
      <c r="B44">
        <v>42.7</v>
      </c>
      <c r="C44">
        <v>43</v>
      </c>
      <c r="D44">
        <v>42.64</v>
      </c>
      <c r="E44">
        <v>42.91</v>
      </c>
      <c r="F44">
        <v>3195500</v>
      </c>
      <c r="G44">
        <v>42.4</v>
      </c>
    </row>
    <row r="45" spans="1:7" x14ac:dyDescent="0.25">
      <c r="A45" s="34">
        <v>41880</v>
      </c>
      <c r="B45">
        <v>43</v>
      </c>
      <c r="C45">
        <v>43.12</v>
      </c>
      <c r="D45">
        <v>42.93</v>
      </c>
      <c r="E45">
        <v>43.08</v>
      </c>
      <c r="F45">
        <v>3645300</v>
      </c>
      <c r="G45">
        <v>42.57</v>
      </c>
    </row>
    <row r="46" spans="1:7" x14ac:dyDescent="0.25">
      <c r="A46" s="34">
        <v>41884</v>
      </c>
      <c r="B46">
        <v>43.16</v>
      </c>
      <c r="C46">
        <v>43.68</v>
      </c>
      <c r="D46">
        <v>43.05</v>
      </c>
      <c r="E46">
        <v>43.19</v>
      </c>
      <c r="F46">
        <v>4573300</v>
      </c>
      <c r="G46">
        <v>42.68</v>
      </c>
    </row>
    <row r="47" spans="1:7" x14ac:dyDescent="0.25">
      <c r="A47" s="34">
        <v>41885</v>
      </c>
      <c r="B47">
        <v>43.39</v>
      </c>
      <c r="C47">
        <v>43.46</v>
      </c>
      <c r="D47">
        <v>43.11</v>
      </c>
      <c r="E47">
        <v>43.22</v>
      </c>
      <c r="F47">
        <v>3497000</v>
      </c>
      <c r="G47">
        <v>42.71</v>
      </c>
    </row>
    <row r="48" spans="1:7" x14ac:dyDescent="0.25">
      <c r="A48" s="34">
        <v>41886</v>
      </c>
      <c r="B48">
        <v>43.22</v>
      </c>
      <c r="C48">
        <v>43.48</v>
      </c>
      <c r="D48">
        <v>43.05</v>
      </c>
      <c r="E48">
        <v>43.14</v>
      </c>
      <c r="F48">
        <v>4583100</v>
      </c>
      <c r="G48">
        <v>42.63</v>
      </c>
    </row>
    <row r="49" spans="1:7" x14ac:dyDescent="0.25">
      <c r="A49" s="34">
        <v>41887</v>
      </c>
      <c r="B49">
        <v>43.13</v>
      </c>
      <c r="C49">
        <v>43.41</v>
      </c>
      <c r="D49">
        <v>43.08</v>
      </c>
      <c r="E49">
        <v>43.39</v>
      </c>
      <c r="F49">
        <v>4949600</v>
      </c>
      <c r="G49">
        <v>42.88</v>
      </c>
    </row>
    <row r="50" spans="1:7" x14ac:dyDescent="0.25">
      <c r="A50" s="34">
        <v>41890</v>
      </c>
      <c r="B50">
        <v>43.38</v>
      </c>
      <c r="C50">
        <v>43.6</v>
      </c>
      <c r="D50">
        <v>43.36</v>
      </c>
      <c r="E50">
        <v>43.49</v>
      </c>
      <c r="F50">
        <v>6454800</v>
      </c>
      <c r="G50">
        <v>42.97</v>
      </c>
    </row>
    <row r="51" spans="1:7" x14ac:dyDescent="0.25">
      <c r="A51" s="34">
        <v>41891</v>
      </c>
      <c r="B51">
        <v>43.61</v>
      </c>
      <c r="C51">
        <v>43.66</v>
      </c>
      <c r="D51">
        <v>43.46</v>
      </c>
      <c r="E51">
        <v>43.65</v>
      </c>
      <c r="F51">
        <v>8571300</v>
      </c>
      <c r="G51">
        <v>43.13</v>
      </c>
    </row>
    <row r="52" spans="1:7" x14ac:dyDescent="0.25">
      <c r="A52" s="34">
        <v>41892</v>
      </c>
      <c r="B52">
        <v>43.7</v>
      </c>
      <c r="C52">
        <v>44.05</v>
      </c>
      <c r="D52">
        <v>43.49</v>
      </c>
      <c r="E52">
        <v>43.86</v>
      </c>
      <c r="F52">
        <v>8282400</v>
      </c>
      <c r="G52">
        <v>43.34</v>
      </c>
    </row>
    <row r="53" spans="1:7" x14ac:dyDescent="0.25">
      <c r="A53" s="34">
        <v>41893</v>
      </c>
      <c r="B53">
        <v>43.33</v>
      </c>
      <c r="C53">
        <v>43.47</v>
      </c>
      <c r="D53">
        <v>42.92</v>
      </c>
      <c r="E53">
        <v>43.19</v>
      </c>
      <c r="F53">
        <v>6328700</v>
      </c>
      <c r="G53">
        <v>43.19</v>
      </c>
    </row>
    <row r="54" spans="1:7" x14ac:dyDescent="0.25">
      <c r="A54" s="34">
        <v>41894</v>
      </c>
      <c r="B54">
        <v>43.19</v>
      </c>
      <c r="C54">
        <v>43.3</v>
      </c>
      <c r="D54">
        <v>42.96</v>
      </c>
      <c r="E54">
        <v>43.16</v>
      </c>
      <c r="F54">
        <v>7327700</v>
      </c>
      <c r="G54">
        <v>43.16</v>
      </c>
    </row>
    <row r="55" spans="1:7" x14ac:dyDescent="0.25">
      <c r="A55" s="34">
        <v>41897</v>
      </c>
      <c r="B55">
        <v>43.6</v>
      </c>
      <c r="C55">
        <v>44.5</v>
      </c>
      <c r="D55">
        <v>43.37</v>
      </c>
      <c r="E55">
        <v>44.27</v>
      </c>
      <c r="F55">
        <v>11428100</v>
      </c>
      <c r="G55">
        <v>44.27</v>
      </c>
    </row>
  </sheetData>
  <sortState ref="A3:G55">
    <sortCondition ref="A3:A55"/>
  </sortState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124.5</v>
      </c>
      <c r="C3">
        <v>125.07</v>
      </c>
      <c r="D3">
        <v>124</v>
      </c>
      <c r="E3">
        <v>124.3</v>
      </c>
      <c r="F3">
        <v>3946500</v>
      </c>
      <c r="G3">
        <v>124.3</v>
      </c>
    </row>
    <row r="4" spans="1:7" x14ac:dyDescent="0.25">
      <c r="A4" s="34">
        <v>41822</v>
      </c>
      <c r="B4">
        <v>124.68</v>
      </c>
      <c r="C4">
        <v>127.48</v>
      </c>
      <c r="D4">
        <v>124.68</v>
      </c>
      <c r="E4">
        <v>126.53</v>
      </c>
      <c r="F4">
        <v>8821500</v>
      </c>
      <c r="G4">
        <v>126.53</v>
      </c>
    </row>
    <row r="5" spans="1:7" x14ac:dyDescent="0.25">
      <c r="A5" s="34">
        <v>41823</v>
      </c>
      <c r="B5">
        <v>126.55</v>
      </c>
      <c r="C5">
        <v>126.85</v>
      </c>
      <c r="D5">
        <v>125.82</v>
      </c>
      <c r="E5">
        <v>126.52</v>
      </c>
      <c r="F5">
        <v>1410800</v>
      </c>
      <c r="G5">
        <v>126.52</v>
      </c>
    </row>
    <row r="6" spans="1:7" x14ac:dyDescent="0.25">
      <c r="A6" s="34">
        <v>41827</v>
      </c>
      <c r="B6">
        <v>126.03</v>
      </c>
      <c r="C6">
        <v>126.63</v>
      </c>
      <c r="D6">
        <v>125.1</v>
      </c>
      <c r="E6">
        <v>125.25</v>
      </c>
      <c r="F6">
        <v>3145600</v>
      </c>
      <c r="G6">
        <v>125.25</v>
      </c>
    </row>
    <row r="7" spans="1:7" x14ac:dyDescent="0.25">
      <c r="A7" s="34">
        <v>41828</v>
      </c>
      <c r="B7">
        <v>125</v>
      </c>
      <c r="C7">
        <v>125.28</v>
      </c>
      <c r="D7">
        <v>124.13</v>
      </c>
      <c r="E7">
        <v>124.56</v>
      </c>
      <c r="F7">
        <v>2579900</v>
      </c>
      <c r="G7">
        <v>124.56</v>
      </c>
    </row>
    <row r="8" spans="1:7" x14ac:dyDescent="0.25">
      <c r="A8" s="34">
        <v>41829</v>
      </c>
      <c r="B8">
        <v>124.61</v>
      </c>
      <c r="C8">
        <v>124.95</v>
      </c>
      <c r="D8">
        <v>123.23</v>
      </c>
      <c r="E8">
        <v>123.47</v>
      </c>
      <c r="F8">
        <v>3158200</v>
      </c>
      <c r="G8">
        <v>123.47</v>
      </c>
    </row>
    <row r="9" spans="1:7" x14ac:dyDescent="0.25">
      <c r="A9" s="34">
        <v>41830</v>
      </c>
      <c r="B9">
        <v>122.6</v>
      </c>
      <c r="C9">
        <v>123.05</v>
      </c>
      <c r="D9">
        <v>121.96</v>
      </c>
      <c r="E9">
        <v>122.56</v>
      </c>
      <c r="F9">
        <v>3931600</v>
      </c>
      <c r="G9">
        <v>122.56</v>
      </c>
    </row>
    <row r="10" spans="1:7" x14ac:dyDescent="0.25">
      <c r="A10" s="34">
        <v>41831</v>
      </c>
      <c r="B10">
        <v>122.43</v>
      </c>
      <c r="C10">
        <v>122.56</v>
      </c>
      <c r="D10">
        <v>120.6</v>
      </c>
      <c r="E10">
        <v>120.9</v>
      </c>
      <c r="F10">
        <v>3390700</v>
      </c>
      <c r="G10">
        <v>120.9</v>
      </c>
    </row>
    <row r="11" spans="1:7" x14ac:dyDescent="0.25">
      <c r="A11" s="34">
        <v>41834</v>
      </c>
      <c r="B11">
        <v>121.17</v>
      </c>
      <c r="C11">
        <v>121.54</v>
      </c>
      <c r="D11">
        <v>119.81</v>
      </c>
      <c r="E11">
        <v>120</v>
      </c>
      <c r="F11">
        <v>3887200</v>
      </c>
      <c r="G11">
        <v>120</v>
      </c>
    </row>
    <row r="12" spans="1:7" x14ac:dyDescent="0.25">
      <c r="A12" s="34">
        <v>41835</v>
      </c>
      <c r="B12">
        <v>120.35</v>
      </c>
      <c r="C12">
        <v>121.17</v>
      </c>
      <c r="D12">
        <v>119.7</v>
      </c>
      <c r="E12">
        <v>119.98</v>
      </c>
      <c r="F12">
        <v>5930700</v>
      </c>
      <c r="G12">
        <v>119.98</v>
      </c>
    </row>
    <row r="13" spans="1:7" x14ac:dyDescent="0.25">
      <c r="A13" s="34">
        <v>41836</v>
      </c>
      <c r="B13">
        <v>121.02</v>
      </c>
      <c r="C13">
        <v>121.29</v>
      </c>
      <c r="D13">
        <v>119.89</v>
      </c>
      <c r="E13">
        <v>120.18</v>
      </c>
      <c r="F13">
        <v>4350700</v>
      </c>
      <c r="G13">
        <v>120.18</v>
      </c>
    </row>
    <row r="14" spans="1:7" x14ac:dyDescent="0.25">
      <c r="A14" s="34">
        <v>41837</v>
      </c>
      <c r="B14">
        <v>119.76</v>
      </c>
      <c r="C14">
        <v>120.61</v>
      </c>
      <c r="D14">
        <v>119.36</v>
      </c>
      <c r="E14">
        <v>119.59</v>
      </c>
      <c r="F14">
        <v>3561000</v>
      </c>
      <c r="G14">
        <v>119.59</v>
      </c>
    </row>
    <row r="15" spans="1:7" x14ac:dyDescent="0.25">
      <c r="A15" s="34">
        <v>41838</v>
      </c>
      <c r="B15">
        <v>120</v>
      </c>
      <c r="C15">
        <v>120.6</v>
      </c>
      <c r="D15">
        <v>119.77</v>
      </c>
      <c r="E15">
        <v>119.98</v>
      </c>
      <c r="F15">
        <v>3112500</v>
      </c>
      <c r="G15">
        <v>119.98</v>
      </c>
    </row>
    <row r="16" spans="1:7" x14ac:dyDescent="0.25">
      <c r="A16" s="34">
        <v>41841</v>
      </c>
      <c r="B16">
        <v>119.39</v>
      </c>
      <c r="C16">
        <v>119.83</v>
      </c>
      <c r="D16">
        <v>118.83</v>
      </c>
      <c r="E16">
        <v>118.96</v>
      </c>
      <c r="F16">
        <v>2863800</v>
      </c>
      <c r="G16">
        <v>118.96</v>
      </c>
    </row>
    <row r="17" spans="1:7" x14ac:dyDescent="0.25">
      <c r="A17" s="34">
        <v>41842</v>
      </c>
      <c r="B17">
        <v>119.24</v>
      </c>
      <c r="C17">
        <v>120.01</v>
      </c>
      <c r="D17">
        <v>118.67</v>
      </c>
      <c r="E17">
        <v>118.77</v>
      </c>
      <c r="F17">
        <v>3554300</v>
      </c>
      <c r="G17">
        <v>118.77</v>
      </c>
    </row>
    <row r="18" spans="1:7" x14ac:dyDescent="0.25">
      <c r="A18" s="34">
        <v>41843</v>
      </c>
      <c r="B18">
        <v>118.34</v>
      </c>
      <c r="C18">
        <v>118.79</v>
      </c>
      <c r="D18">
        <v>116.16</v>
      </c>
      <c r="E18">
        <v>116.27</v>
      </c>
      <c r="F18">
        <v>7301200</v>
      </c>
      <c r="G18">
        <v>116.27</v>
      </c>
    </row>
    <row r="19" spans="1:7" x14ac:dyDescent="0.25">
      <c r="A19" s="34">
        <v>41844</v>
      </c>
      <c r="B19">
        <v>116.39</v>
      </c>
      <c r="C19">
        <v>116.5</v>
      </c>
      <c r="D19">
        <v>115.7</v>
      </c>
      <c r="E19">
        <v>116.19</v>
      </c>
      <c r="F19">
        <v>5658700</v>
      </c>
      <c r="G19">
        <v>116.19</v>
      </c>
    </row>
    <row r="20" spans="1:7" x14ac:dyDescent="0.25">
      <c r="A20" s="34">
        <v>41845</v>
      </c>
      <c r="B20">
        <v>116.05</v>
      </c>
      <c r="C20">
        <v>116.87</v>
      </c>
      <c r="D20">
        <v>115.64</v>
      </c>
      <c r="E20">
        <v>115.79</v>
      </c>
      <c r="F20">
        <v>3905700</v>
      </c>
      <c r="G20">
        <v>115.79</v>
      </c>
    </row>
    <row r="21" spans="1:7" x14ac:dyDescent="0.25">
      <c r="A21" s="34">
        <v>41848</v>
      </c>
      <c r="B21">
        <v>115.79</v>
      </c>
      <c r="C21">
        <v>116.21</v>
      </c>
      <c r="D21">
        <v>114.71</v>
      </c>
      <c r="E21">
        <v>114.97</v>
      </c>
      <c r="F21">
        <v>4170800</v>
      </c>
      <c r="G21">
        <v>114.97</v>
      </c>
    </row>
    <row r="22" spans="1:7" x14ac:dyDescent="0.25">
      <c r="A22" s="34">
        <v>41849</v>
      </c>
      <c r="B22">
        <v>115</v>
      </c>
      <c r="C22">
        <v>115.59</v>
      </c>
      <c r="D22">
        <v>113.93</v>
      </c>
      <c r="E22">
        <v>114.41</v>
      </c>
      <c r="F22">
        <v>3613600</v>
      </c>
      <c r="G22">
        <v>114.41</v>
      </c>
    </row>
    <row r="23" spans="1:7" x14ac:dyDescent="0.25">
      <c r="A23" s="34">
        <v>41850</v>
      </c>
      <c r="B23">
        <v>114.94</v>
      </c>
      <c r="C23">
        <v>115.59</v>
      </c>
      <c r="D23">
        <v>114.3</v>
      </c>
      <c r="E23">
        <v>114.39</v>
      </c>
      <c r="F23">
        <v>4331000</v>
      </c>
      <c r="G23">
        <v>114.39</v>
      </c>
    </row>
    <row r="24" spans="1:7" x14ac:dyDescent="0.25">
      <c r="A24" s="34">
        <v>41851</v>
      </c>
      <c r="B24">
        <v>113.79</v>
      </c>
      <c r="C24">
        <v>114.58</v>
      </c>
      <c r="D24">
        <v>113.09</v>
      </c>
      <c r="E24">
        <v>113.09</v>
      </c>
      <c r="F24">
        <v>3704800</v>
      </c>
      <c r="G24">
        <v>113.09</v>
      </c>
    </row>
    <row r="25" spans="1:7" x14ac:dyDescent="0.25">
      <c r="A25" s="34">
        <v>41852</v>
      </c>
      <c r="B25">
        <v>112.17</v>
      </c>
      <c r="C25">
        <v>113.98</v>
      </c>
      <c r="D25">
        <v>112.13</v>
      </c>
      <c r="E25">
        <v>113.59</v>
      </c>
      <c r="F25">
        <v>4206600</v>
      </c>
      <c r="G25">
        <v>113.59</v>
      </c>
    </row>
    <row r="26" spans="1:7" x14ac:dyDescent="0.25">
      <c r="A26" s="34">
        <v>41855</v>
      </c>
      <c r="B26">
        <v>113.77</v>
      </c>
      <c r="C26">
        <v>115.15</v>
      </c>
      <c r="D26">
        <v>112.87</v>
      </c>
      <c r="E26">
        <v>114.91</v>
      </c>
      <c r="F26">
        <v>4540000</v>
      </c>
      <c r="G26">
        <v>114.91</v>
      </c>
    </row>
    <row r="27" spans="1:7" x14ac:dyDescent="0.25">
      <c r="A27" s="34">
        <v>41856</v>
      </c>
      <c r="B27">
        <v>114.22</v>
      </c>
      <c r="C27">
        <v>115.39</v>
      </c>
      <c r="D27">
        <v>114.09</v>
      </c>
      <c r="E27">
        <v>115</v>
      </c>
      <c r="F27">
        <v>5163800</v>
      </c>
      <c r="G27">
        <v>115</v>
      </c>
    </row>
    <row r="28" spans="1:7" x14ac:dyDescent="0.25">
      <c r="A28" s="34">
        <v>41857</v>
      </c>
      <c r="B28">
        <v>114.71</v>
      </c>
      <c r="C28">
        <v>116.17</v>
      </c>
      <c r="D28">
        <v>114.71</v>
      </c>
      <c r="E28">
        <v>116.05</v>
      </c>
      <c r="F28">
        <v>4304000</v>
      </c>
      <c r="G28">
        <v>116.05</v>
      </c>
    </row>
    <row r="29" spans="1:7" x14ac:dyDescent="0.25">
      <c r="A29" s="34">
        <v>41858</v>
      </c>
      <c r="B29">
        <v>116.37</v>
      </c>
      <c r="C29">
        <v>116.71</v>
      </c>
      <c r="D29">
        <v>114.93</v>
      </c>
      <c r="E29">
        <v>115.15</v>
      </c>
      <c r="F29">
        <v>3455700</v>
      </c>
      <c r="G29">
        <v>115.15</v>
      </c>
    </row>
    <row r="30" spans="1:7" x14ac:dyDescent="0.25">
      <c r="A30" s="34">
        <v>41859</v>
      </c>
      <c r="B30">
        <v>115.34</v>
      </c>
      <c r="C30">
        <v>115.83</v>
      </c>
      <c r="D30">
        <v>114.6</v>
      </c>
      <c r="E30">
        <v>115.47</v>
      </c>
      <c r="F30">
        <v>2998900</v>
      </c>
      <c r="G30">
        <v>115.47</v>
      </c>
    </row>
    <row r="31" spans="1:7" x14ac:dyDescent="0.25">
      <c r="A31" s="34">
        <v>41862</v>
      </c>
      <c r="B31">
        <v>115.45</v>
      </c>
      <c r="C31">
        <v>116.42</v>
      </c>
      <c r="D31">
        <v>115.16</v>
      </c>
      <c r="E31">
        <v>115.42</v>
      </c>
      <c r="F31">
        <v>3208000</v>
      </c>
      <c r="G31">
        <v>115.42</v>
      </c>
    </row>
    <row r="32" spans="1:7" x14ac:dyDescent="0.25">
      <c r="A32" s="34">
        <v>41863</v>
      </c>
      <c r="B32">
        <v>115.35</v>
      </c>
      <c r="C32">
        <v>115.96</v>
      </c>
      <c r="D32">
        <v>114.69</v>
      </c>
      <c r="E32">
        <v>115.71</v>
      </c>
      <c r="F32">
        <v>2663100</v>
      </c>
      <c r="G32">
        <v>115.71</v>
      </c>
    </row>
    <row r="33" spans="1:7" x14ac:dyDescent="0.25">
      <c r="A33" s="34">
        <v>41864</v>
      </c>
      <c r="B33">
        <v>115.74</v>
      </c>
      <c r="C33">
        <v>117</v>
      </c>
      <c r="D33">
        <v>115.31</v>
      </c>
      <c r="E33">
        <v>116.87</v>
      </c>
      <c r="F33">
        <v>2541200</v>
      </c>
      <c r="G33">
        <v>116.87</v>
      </c>
    </row>
    <row r="34" spans="1:7" x14ac:dyDescent="0.25">
      <c r="A34" s="34">
        <v>41865</v>
      </c>
      <c r="B34">
        <v>116.81</v>
      </c>
      <c r="C34">
        <v>117.44</v>
      </c>
      <c r="D34">
        <v>116.77</v>
      </c>
      <c r="E34">
        <v>117.06</v>
      </c>
      <c r="F34">
        <v>3038000</v>
      </c>
      <c r="G34">
        <v>117.06</v>
      </c>
    </row>
    <row r="35" spans="1:7" x14ac:dyDescent="0.25">
      <c r="A35" s="34">
        <v>41866</v>
      </c>
      <c r="B35">
        <v>117.34</v>
      </c>
      <c r="C35">
        <v>119.17</v>
      </c>
      <c r="D35">
        <v>117.05</v>
      </c>
      <c r="E35">
        <v>118.99</v>
      </c>
      <c r="F35">
        <v>4948200</v>
      </c>
      <c r="G35">
        <v>118.99</v>
      </c>
    </row>
    <row r="36" spans="1:7" x14ac:dyDescent="0.25">
      <c r="A36" s="34">
        <v>41869</v>
      </c>
      <c r="B36">
        <v>120.03</v>
      </c>
      <c r="C36">
        <v>120.1</v>
      </c>
      <c r="D36">
        <v>119.24</v>
      </c>
      <c r="E36">
        <v>119.43</v>
      </c>
      <c r="F36">
        <v>4502300</v>
      </c>
      <c r="G36">
        <v>119.43</v>
      </c>
    </row>
    <row r="37" spans="1:7" x14ac:dyDescent="0.25">
      <c r="A37" s="34">
        <v>41870</v>
      </c>
      <c r="B37">
        <v>119.42</v>
      </c>
      <c r="C37">
        <v>120.14</v>
      </c>
      <c r="D37">
        <v>119.24</v>
      </c>
      <c r="E37">
        <v>119.83</v>
      </c>
      <c r="F37">
        <v>2370900</v>
      </c>
      <c r="G37">
        <v>119.83</v>
      </c>
    </row>
    <row r="38" spans="1:7" x14ac:dyDescent="0.25">
      <c r="A38" s="34">
        <v>41871</v>
      </c>
      <c r="B38">
        <v>119.91</v>
      </c>
      <c r="C38">
        <v>121</v>
      </c>
      <c r="D38">
        <v>119.65</v>
      </c>
      <c r="E38">
        <v>120.92</v>
      </c>
      <c r="F38">
        <v>3678800</v>
      </c>
      <c r="G38">
        <v>120.92</v>
      </c>
    </row>
    <row r="39" spans="1:7" x14ac:dyDescent="0.25">
      <c r="A39" s="34">
        <v>41872</v>
      </c>
      <c r="B39">
        <v>121.23</v>
      </c>
      <c r="C39">
        <v>121.23</v>
      </c>
      <c r="D39">
        <v>117.52</v>
      </c>
      <c r="E39">
        <v>117.65</v>
      </c>
      <c r="F39">
        <v>6808900</v>
      </c>
      <c r="G39">
        <v>117.65</v>
      </c>
    </row>
    <row r="40" spans="1:7" x14ac:dyDescent="0.25">
      <c r="A40" s="34">
        <v>41873</v>
      </c>
      <c r="B40">
        <v>117.86</v>
      </c>
      <c r="C40">
        <v>118.13</v>
      </c>
      <c r="D40">
        <v>116.52</v>
      </c>
      <c r="E40">
        <v>116.62</v>
      </c>
      <c r="F40">
        <v>3464900</v>
      </c>
      <c r="G40">
        <v>116.62</v>
      </c>
    </row>
    <row r="41" spans="1:7" x14ac:dyDescent="0.25">
      <c r="A41" s="34">
        <v>41876</v>
      </c>
      <c r="B41">
        <v>117.12</v>
      </c>
      <c r="C41">
        <v>117.61</v>
      </c>
      <c r="D41">
        <v>116.45</v>
      </c>
      <c r="E41">
        <v>117.51</v>
      </c>
      <c r="F41">
        <v>2840000</v>
      </c>
      <c r="G41">
        <v>117.51</v>
      </c>
    </row>
    <row r="42" spans="1:7" x14ac:dyDescent="0.25">
      <c r="A42" s="34">
        <v>41877</v>
      </c>
      <c r="B42">
        <v>117.85</v>
      </c>
      <c r="C42">
        <v>117.91</v>
      </c>
      <c r="D42">
        <v>117</v>
      </c>
      <c r="E42">
        <v>117.12</v>
      </c>
      <c r="F42">
        <v>2835700</v>
      </c>
      <c r="G42">
        <v>117.12</v>
      </c>
    </row>
    <row r="43" spans="1:7" x14ac:dyDescent="0.25">
      <c r="A43" s="34">
        <v>41878</v>
      </c>
      <c r="B43">
        <v>117.17</v>
      </c>
      <c r="C43">
        <v>117.61</v>
      </c>
      <c r="D43">
        <v>115.6</v>
      </c>
      <c r="E43">
        <v>115.97</v>
      </c>
      <c r="F43">
        <v>4576400</v>
      </c>
      <c r="G43">
        <v>115.97</v>
      </c>
    </row>
    <row r="44" spans="1:7" x14ac:dyDescent="0.25">
      <c r="A44" s="34">
        <v>41879</v>
      </c>
      <c r="B44">
        <v>115.72</v>
      </c>
      <c r="C44">
        <v>115.93</v>
      </c>
      <c r="D44">
        <v>114.92</v>
      </c>
      <c r="E44">
        <v>115.76</v>
      </c>
      <c r="F44">
        <v>3624300</v>
      </c>
      <c r="G44">
        <v>115.76</v>
      </c>
    </row>
    <row r="45" spans="1:7" x14ac:dyDescent="0.25">
      <c r="A45" s="34">
        <v>41880</v>
      </c>
      <c r="B45">
        <v>116.03</v>
      </c>
      <c r="C45">
        <v>116.54</v>
      </c>
      <c r="D45">
        <v>115.45</v>
      </c>
      <c r="E45">
        <v>115.65</v>
      </c>
      <c r="F45">
        <v>3068700</v>
      </c>
      <c r="G45">
        <v>115.65</v>
      </c>
    </row>
    <row r="46" spans="1:7" x14ac:dyDescent="0.25">
      <c r="A46" s="34">
        <v>41884</v>
      </c>
      <c r="B46">
        <v>115.9</v>
      </c>
      <c r="C46">
        <v>115.92</v>
      </c>
      <c r="D46">
        <v>114.6</v>
      </c>
      <c r="E46">
        <v>114.94</v>
      </c>
      <c r="F46">
        <v>3291900</v>
      </c>
      <c r="G46">
        <v>114.94</v>
      </c>
    </row>
    <row r="47" spans="1:7" x14ac:dyDescent="0.25">
      <c r="A47" s="34">
        <v>41885</v>
      </c>
      <c r="B47">
        <v>115.44</v>
      </c>
      <c r="C47">
        <v>115.93</v>
      </c>
      <c r="D47">
        <v>115.18</v>
      </c>
      <c r="E47">
        <v>115.3</v>
      </c>
      <c r="F47">
        <v>2227500</v>
      </c>
      <c r="G47">
        <v>115.3</v>
      </c>
    </row>
    <row r="48" spans="1:7" x14ac:dyDescent="0.25">
      <c r="A48" s="34">
        <v>41886</v>
      </c>
      <c r="B48">
        <v>114.93</v>
      </c>
      <c r="C48">
        <v>115.35</v>
      </c>
      <c r="D48">
        <v>113.25</v>
      </c>
      <c r="E48">
        <v>113.63</v>
      </c>
      <c r="F48">
        <v>4015600</v>
      </c>
      <c r="G48">
        <v>113.63</v>
      </c>
    </row>
    <row r="49" spans="1:7" x14ac:dyDescent="0.25">
      <c r="A49" s="34">
        <v>41887</v>
      </c>
      <c r="B49">
        <v>113.57</v>
      </c>
      <c r="C49">
        <v>114.43</v>
      </c>
      <c r="D49">
        <v>113.04</v>
      </c>
      <c r="E49">
        <v>114.26</v>
      </c>
      <c r="F49">
        <v>2794900</v>
      </c>
      <c r="G49">
        <v>114.26</v>
      </c>
    </row>
    <row r="50" spans="1:7" x14ac:dyDescent="0.25">
      <c r="A50" s="34">
        <v>41890</v>
      </c>
      <c r="B50">
        <v>114.26</v>
      </c>
      <c r="C50">
        <v>114.81</v>
      </c>
      <c r="D50">
        <v>114.01</v>
      </c>
      <c r="E50">
        <v>114.67</v>
      </c>
      <c r="F50">
        <v>2602200</v>
      </c>
      <c r="G50">
        <v>114.67</v>
      </c>
    </row>
    <row r="51" spans="1:7" x14ac:dyDescent="0.25">
      <c r="A51" s="34">
        <v>41891</v>
      </c>
      <c r="B51">
        <v>114.12</v>
      </c>
      <c r="C51">
        <v>114.9</v>
      </c>
      <c r="D51">
        <v>114.05</v>
      </c>
      <c r="E51">
        <v>114.44</v>
      </c>
      <c r="F51">
        <v>1898100</v>
      </c>
      <c r="G51">
        <v>114.44</v>
      </c>
    </row>
    <row r="52" spans="1:7" x14ac:dyDescent="0.25">
      <c r="A52" s="34">
        <v>41892</v>
      </c>
      <c r="B52">
        <v>113.74</v>
      </c>
      <c r="C52">
        <v>113.85</v>
      </c>
      <c r="D52">
        <v>111.03</v>
      </c>
      <c r="E52">
        <v>113.01</v>
      </c>
      <c r="F52">
        <v>8916200</v>
      </c>
      <c r="G52">
        <v>113.01</v>
      </c>
    </row>
    <row r="53" spans="1:7" x14ac:dyDescent="0.25">
      <c r="A53" s="34">
        <v>41893</v>
      </c>
      <c r="B53">
        <v>112.82</v>
      </c>
      <c r="C53">
        <v>114.24</v>
      </c>
      <c r="D53">
        <v>112.8</v>
      </c>
      <c r="E53">
        <v>113.62</v>
      </c>
      <c r="F53">
        <v>3354000</v>
      </c>
      <c r="G53">
        <v>113.62</v>
      </c>
    </row>
    <row r="54" spans="1:7" x14ac:dyDescent="0.25">
      <c r="A54" s="34">
        <v>41894</v>
      </c>
      <c r="B54">
        <v>113.42</v>
      </c>
      <c r="C54">
        <v>113.8</v>
      </c>
      <c r="D54">
        <v>112.63</v>
      </c>
      <c r="E54">
        <v>113.05</v>
      </c>
      <c r="F54">
        <v>2648200</v>
      </c>
      <c r="G54">
        <v>113.05</v>
      </c>
    </row>
    <row r="55" spans="1:7" x14ac:dyDescent="0.25">
      <c r="A55" s="34">
        <v>41897</v>
      </c>
      <c r="B55">
        <v>113.13</v>
      </c>
      <c r="C55">
        <v>113.73</v>
      </c>
      <c r="D55">
        <v>112.57</v>
      </c>
      <c r="E55">
        <v>113.14</v>
      </c>
      <c r="F55">
        <v>2895300</v>
      </c>
      <c r="G55">
        <v>113.14</v>
      </c>
    </row>
  </sheetData>
  <sortState ref="A3:G55">
    <sortCondition ref="A3:A55"/>
  </sortState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57.7</v>
      </c>
      <c r="C3">
        <v>58.64</v>
      </c>
      <c r="D3">
        <v>57.48</v>
      </c>
      <c r="E3">
        <v>58.51</v>
      </c>
      <c r="F3">
        <v>8838000</v>
      </c>
      <c r="G3">
        <v>58.09</v>
      </c>
    </row>
    <row r="4" spans="1:7" x14ac:dyDescent="0.25">
      <c r="A4" s="34">
        <v>41822</v>
      </c>
      <c r="B4">
        <v>58.47</v>
      </c>
      <c r="C4">
        <v>59.1</v>
      </c>
      <c r="D4">
        <v>58.37</v>
      </c>
      <c r="E4">
        <v>59.05</v>
      </c>
      <c r="F4">
        <v>6941000</v>
      </c>
      <c r="G4">
        <v>58.62</v>
      </c>
    </row>
    <row r="5" spans="1:7" x14ac:dyDescent="0.25">
      <c r="A5" s="34">
        <v>41823</v>
      </c>
      <c r="B5">
        <v>59.39</v>
      </c>
      <c r="C5">
        <v>59.45</v>
      </c>
      <c r="D5">
        <v>59.07</v>
      </c>
      <c r="E5">
        <v>59.2</v>
      </c>
      <c r="F5">
        <v>5220100</v>
      </c>
      <c r="G5">
        <v>58.77</v>
      </c>
    </row>
    <row r="6" spans="1:7" x14ac:dyDescent="0.25">
      <c r="A6" s="34">
        <v>41827</v>
      </c>
      <c r="B6">
        <v>58.91</v>
      </c>
      <c r="C6">
        <v>59.65</v>
      </c>
      <c r="D6">
        <v>58.49</v>
      </c>
      <c r="E6">
        <v>58.52</v>
      </c>
      <c r="F6">
        <v>9276200</v>
      </c>
      <c r="G6">
        <v>58.1</v>
      </c>
    </row>
    <row r="7" spans="1:7" x14ac:dyDescent="0.25">
      <c r="A7" s="34">
        <v>41828</v>
      </c>
      <c r="B7">
        <v>58.66</v>
      </c>
      <c r="C7">
        <v>58.67</v>
      </c>
      <c r="D7">
        <v>57.91</v>
      </c>
      <c r="E7">
        <v>58.17</v>
      </c>
      <c r="F7">
        <v>8270100</v>
      </c>
      <c r="G7">
        <v>57.75</v>
      </c>
    </row>
    <row r="8" spans="1:7" x14ac:dyDescent="0.25">
      <c r="A8" s="34">
        <v>41829</v>
      </c>
      <c r="B8">
        <v>58.45</v>
      </c>
      <c r="C8">
        <v>58.72</v>
      </c>
      <c r="D8">
        <v>58.18</v>
      </c>
      <c r="E8">
        <v>58.55</v>
      </c>
      <c r="F8">
        <v>6938700</v>
      </c>
      <c r="G8">
        <v>58.13</v>
      </c>
    </row>
    <row r="9" spans="1:7" x14ac:dyDescent="0.25">
      <c r="A9" s="34">
        <v>41830</v>
      </c>
      <c r="B9">
        <v>58.28</v>
      </c>
      <c r="C9">
        <v>58.77</v>
      </c>
      <c r="D9">
        <v>57.73</v>
      </c>
      <c r="E9">
        <v>58.58</v>
      </c>
      <c r="F9">
        <v>5583700</v>
      </c>
      <c r="G9">
        <v>58.16</v>
      </c>
    </row>
    <row r="10" spans="1:7" x14ac:dyDescent="0.25">
      <c r="A10" s="34">
        <v>41831</v>
      </c>
      <c r="B10">
        <v>58.65</v>
      </c>
      <c r="C10">
        <v>58.74</v>
      </c>
      <c r="D10">
        <v>58.16</v>
      </c>
      <c r="E10">
        <v>58.44</v>
      </c>
      <c r="F10">
        <v>6106800</v>
      </c>
      <c r="G10">
        <v>58.02</v>
      </c>
    </row>
    <row r="11" spans="1:7" x14ac:dyDescent="0.25">
      <c r="A11" s="34">
        <v>41834</v>
      </c>
      <c r="B11">
        <v>58.62</v>
      </c>
      <c r="C11">
        <v>58.67</v>
      </c>
      <c r="D11">
        <v>58.06</v>
      </c>
      <c r="E11">
        <v>58.18</v>
      </c>
      <c r="F11">
        <v>8379100</v>
      </c>
      <c r="G11">
        <v>57.76</v>
      </c>
    </row>
    <row r="12" spans="1:7" x14ac:dyDescent="0.25">
      <c r="A12" s="34">
        <v>41835</v>
      </c>
      <c r="B12">
        <v>58.13</v>
      </c>
      <c r="C12">
        <v>58.4</v>
      </c>
      <c r="D12">
        <v>57.49</v>
      </c>
      <c r="E12">
        <v>57.91</v>
      </c>
      <c r="F12">
        <v>10158100</v>
      </c>
      <c r="G12">
        <v>57.49</v>
      </c>
    </row>
    <row r="13" spans="1:7" x14ac:dyDescent="0.25">
      <c r="A13" s="34">
        <v>41836</v>
      </c>
      <c r="B13">
        <v>57.94</v>
      </c>
      <c r="C13">
        <v>58.21</v>
      </c>
      <c r="D13">
        <v>57.73</v>
      </c>
      <c r="E13">
        <v>58.15</v>
      </c>
      <c r="F13">
        <v>6805000</v>
      </c>
      <c r="G13">
        <v>57.73</v>
      </c>
    </row>
    <row r="14" spans="1:7" x14ac:dyDescent="0.25">
      <c r="A14" s="34">
        <v>41837</v>
      </c>
      <c r="B14">
        <v>57.87</v>
      </c>
      <c r="C14">
        <v>58.24</v>
      </c>
      <c r="D14">
        <v>57.57</v>
      </c>
      <c r="E14">
        <v>57.6</v>
      </c>
      <c r="F14">
        <v>6649700</v>
      </c>
      <c r="G14">
        <v>57.18</v>
      </c>
    </row>
    <row r="15" spans="1:7" x14ac:dyDescent="0.25">
      <c r="A15" s="34">
        <v>41838</v>
      </c>
      <c r="B15">
        <v>57.92</v>
      </c>
      <c r="C15">
        <v>58.43</v>
      </c>
      <c r="D15">
        <v>57.62</v>
      </c>
      <c r="E15">
        <v>58.34</v>
      </c>
      <c r="F15">
        <v>7432700</v>
      </c>
      <c r="G15">
        <v>57.92</v>
      </c>
    </row>
    <row r="16" spans="1:7" x14ac:dyDescent="0.25">
      <c r="A16" s="34">
        <v>41841</v>
      </c>
      <c r="B16">
        <v>57.89</v>
      </c>
      <c r="C16">
        <v>58.19</v>
      </c>
      <c r="D16">
        <v>57.71</v>
      </c>
      <c r="E16">
        <v>58</v>
      </c>
      <c r="F16">
        <v>7095700</v>
      </c>
      <c r="G16">
        <v>57.58</v>
      </c>
    </row>
    <row r="17" spans="1:7" x14ac:dyDescent="0.25">
      <c r="A17" s="34">
        <v>41842</v>
      </c>
      <c r="B17">
        <v>58.13</v>
      </c>
      <c r="C17">
        <v>58.88</v>
      </c>
      <c r="D17">
        <v>58.13</v>
      </c>
      <c r="E17">
        <v>58.43</v>
      </c>
      <c r="F17">
        <v>6509200</v>
      </c>
      <c r="G17">
        <v>58.01</v>
      </c>
    </row>
    <row r="18" spans="1:7" x14ac:dyDescent="0.25">
      <c r="A18" s="34">
        <v>41843</v>
      </c>
      <c r="B18">
        <v>58.3</v>
      </c>
      <c r="C18">
        <v>58.5</v>
      </c>
      <c r="D18">
        <v>58.05</v>
      </c>
      <c r="E18">
        <v>58.11</v>
      </c>
      <c r="F18">
        <v>6292400</v>
      </c>
      <c r="G18">
        <v>57.69</v>
      </c>
    </row>
    <row r="19" spans="1:7" x14ac:dyDescent="0.25">
      <c r="A19" s="34">
        <v>41844</v>
      </c>
      <c r="B19">
        <v>58.32</v>
      </c>
      <c r="C19">
        <v>58.5</v>
      </c>
      <c r="D19">
        <v>57.92</v>
      </c>
      <c r="E19">
        <v>58.21</v>
      </c>
      <c r="F19">
        <v>10064200</v>
      </c>
      <c r="G19">
        <v>57.79</v>
      </c>
    </row>
    <row r="20" spans="1:7" x14ac:dyDescent="0.25">
      <c r="A20" s="34">
        <v>41845</v>
      </c>
      <c r="B20">
        <v>58.13</v>
      </c>
      <c r="C20">
        <v>58.36</v>
      </c>
      <c r="D20">
        <v>57.92</v>
      </c>
      <c r="E20">
        <v>58.15</v>
      </c>
      <c r="F20">
        <v>5525100</v>
      </c>
      <c r="G20">
        <v>57.73</v>
      </c>
    </row>
    <row r="21" spans="1:7" x14ac:dyDescent="0.25">
      <c r="A21" s="34">
        <v>41848</v>
      </c>
      <c r="B21">
        <v>58.17</v>
      </c>
      <c r="C21">
        <v>58.34</v>
      </c>
      <c r="D21">
        <v>57.85</v>
      </c>
      <c r="E21">
        <v>57.97</v>
      </c>
      <c r="F21">
        <v>8600700</v>
      </c>
      <c r="G21">
        <v>57.55</v>
      </c>
    </row>
    <row r="22" spans="1:7" x14ac:dyDescent="0.25">
      <c r="A22" s="34">
        <v>41849</v>
      </c>
      <c r="B22">
        <v>58.82</v>
      </c>
      <c r="C22">
        <v>59.28</v>
      </c>
      <c r="D22">
        <v>58.14</v>
      </c>
      <c r="E22">
        <v>58.58</v>
      </c>
      <c r="F22">
        <v>10328000</v>
      </c>
      <c r="G22">
        <v>58.16</v>
      </c>
    </row>
    <row r="23" spans="1:7" x14ac:dyDescent="0.25">
      <c r="A23" s="34">
        <v>41850</v>
      </c>
      <c r="B23">
        <v>58.58</v>
      </c>
      <c r="C23">
        <v>58.85</v>
      </c>
      <c r="D23">
        <v>57.61</v>
      </c>
      <c r="E23">
        <v>58.08</v>
      </c>
      <c r="F23">
        <v>8051800</v>
      </c>
      <c r="G23">
        <v>57.66</v>
      </c>
    </row>
    <row r="24" spans="1:7" x14ac:dyDescent="0.25">
      <c r="A24" s="34">
        <v>41851</v>
      </c>
      <c r="B24">
        <v>57.76</v>
      </c>
      <c r="C24">
        <v>58.07</v>
      </c>
      <c r="D24">
        <v>56.72</v>
      </c>
      <c r="E24">
        <v>56.74</v>
      </c>
      <c r="F24">
        <v>10119000</v>
      </c>
      <c r="G24">
        <v>56.33</v>
      </c>
    </row>
    <row r="25" spans="1:7" x14ac:dyDescent="0.25">
      <c r="A25" s="34">
        <v>41852</v>
      </c>
      <c r="B25">
        <v>56.58</v>
      </c>
      <c r="C25">
        <v>57.12</v>
      </c>
      <c r="D25">
        <v>56.28</v>
      </c>
      <c r="E25">
        <v>56.8</v>
      </c>
      <c r="F25">
        <v>10141000</v>
      </c>
      <c r="G25">
        <v>56.39</v>
      </c>
    </row>
    <row r="26" spans="1:7" x14ac:dyDescent="0.25">
      <c r="A26" s="34">
        <v>41855</v>
      </c>
      <c r="B26">
        <v>56.95</v>
      </c>
      <c r="C26">
        <v>57.27</v>
      </c>
      <c r="D26">
        <v>56.36</v>
      </c>
      <c r="E26">
        <v>57.06</v>
      </c>
      <c r="F26">
        <v>8649500</v>
      </c>
      <c r="G26">
        <v>56.65</v>
      </c>
    </row>
    <row r="27" spans="1:7" x14ac:dyDescent="0.25">
      <c r="A27" s="34">
        <v>41856</v>
      </c>
      <c r="B27">
        <v>56.72</v>
      </c>
      <c r="C27">
        <v>56.97</v>
      </c>
      <c r="D27">
        <v>55.82</v>
      </c>
      <c r="E27">
        <v>56.03</v>
      </c>
      <c r="F27">
        <v>9031200</v>
      </c>
      <c r="G27">
        <v>55.62</v>
      </c>
    </row>
    <row r="28" spans="1:7" x14ac:dyDescent="0.25">
      <c r="A28" s="34">
        <v>41857</v>
      </c>
      <c r="B28">
        <v>55.88</v>
      </c>
      <c r="C28">
        <v>56.14</v>
      </c>
      <c r="D28">
        <v>55.72</v>
      </c>
      <c r="E28">
        <v>55.93</v>
      </c>
      <c r="F28">
        <v>12275800</v>
      </c>
      <c r="G28">
        <v>55.52</v>
      </c>
    </row>
    <row r="29" spans="1:7" x14ac:dyDescent="0.25">
      <c r="A29" s="34">
        <v>41858</v>
      </c>
      <c r="B29">
        <v>56.21</v>
      </c>
      <c r="C29">
        <v>56.56</v>
      </c>
      <c r="D29">
        <v>55.57</v>
      </c>
      <c r="E29">
        <v>55.64</v>
      </c>
      <c r="F29">
        <v>7215500</v>
      </c>
      <c r="G29">
        <v>55.24</v>
      </c>
    </row>
    <row r="30" spans="1:7" x14ac:dyDescent="0.25">
      <c r="A30" s="34">
        <v>41859</v>
      </c>
      <c r="B30">
        <v>55.87</v>
      </c>
      <c r="C30">
        <v>56.61</v>
      </c>
      <c r="D30">
        <v>55.58</v>
      </c>
      <c r="E30">
        <v>56.55</v>
      </c>
      <c r="F30">
        <v>7081500</v>
      </c>
      <c r="G30">
        <v>56.14</v>
      </c>
    </row>
    <row r="31" spans="1:7" x14ac:dyDescent="0.25">
      <c r="A31" s="34">
        <v>41862</v>
      </c>
      <c r="B31">
        <v>56.7</v>
      </c>
      <c r="C31">
        <v>57.05</v>
      </c>
      <c r="D31">
        <v>56.46</v>
      </c>
      <c r="E31">
        <v>56.66</v>
      </c>
      <c r="F31">
        <v>5499100</v>
      </c>
      <c r="G31">
        <v>56.25</v>
      </c>
    </row>
    <row r="32" spans="1:7" x14ac:dyDescent="0.25">
      <c r="A32" s="34">
        <v>41863</v>
      </c>
      <c r="B32">
        <v>56.55</v>
      </c>
      <c r="C32">
        <v>57.14</v>
      </c>
      <c r="D32">
        <v>56.52</v>
      </c>
      <c r="E32">
        <v>57.03</v>
      </c>
      <c r="F32">
        <v>7090200</v>
      </c>
      <c r="G32">
        <v>56.62</v>
      </c>
    </row>
    <row r="33" spans="1:7" x14ac:dyDescent="0.25">
      <c r="A33" s="34">
        <v>41864</v>
      </c>
      <c r="B33">
        <v>57.39</v>
      </c>
      <c r="C33">
        <v>57.89</v>
      </c>
      <c r="D33">
        <v>57.16</v>
      </c>
      <c r="E33">
        <v>57.85</v>
      </c>
      <c r="F33">
        <v>10670400</v>
      </c>
      <c r="G33">
        <v>57.43</v>
      </c>
    </row>
    <row r="34" spans="1:7" x14ac:dyDescent="0.25">
      <c r="A34" s="34">
        <v>41865</v>
      </c>
      <c r="B34">
        <v>58.05</v>
      </c>
      <c r="C34">
        <v>58.79</v>
      </c>
      <c r="D34">
        <v>58</v>
      </c>
      <c r="E34">
        <v>58.78</v>
      </c>
      <c r="F34">
        <v>7932300</v>
      </c>
      <c r="G34">
        <v>58.35</v>
      </c>
    </row>
    <row r="35" spans="1:7" x14ac:dyDescent="0.25">
      <c r="A35" s="34">
        <v>41866</v>
      </c>
      <c r="B35">
        <v>58.8</v>
      </c>
      <c r="C35">
        <v>59</v>
      </c>
      <c r="D35">
        <v>58.03</v>
      </c>
      <c r="E35">
        <v>58.61</v>
      </c>
      <c r="F35">
        <v>9046800</v>
      </c>
      <c r="G35">
        <v>58.19</v>
      </c>
    </row>
    <row r="36" spans="1:7" x14ac:dyDescent="0.25">
      <c r="A36" s="34">
        <v>41869</v>
      </c>
      <c r="B36">
        <v>58.8</v>
      </c>
      <c r="C36">
        <v>58.87</v>
      </c>
      <c r="D36">
        <v>58.35</v>
      </c>
      <c r="E36">
        <v>58.42</v>
      </c>
      <c r="F36">
        <v>9443900</v>
      </c>
      <c r="G36">
        <v>58</v>
      </c>
    </row>
    <row r="37" spans="1:7" x14ac:dyDescent="0.25">
      <c r="A37" s="34">
        <v>41870</v>
      </c>
      <c r="B37">
        <v>58.85</v>
      </c>
      <c r="C37">
        <v>58.95</v>
      </c>
      <c r="D37">
        <v>58.34</v>
      </c>
      <c r="E37">
        <v>58.91</v>
      </c>
      <c r="F37">
        <v>7435000</v>
      </c>
      <c r="G37">
        <v>58.48</v>
      </c>
    </row>
    <row r="38" spans="1:7" x14ac:dyDescent="0.25">
      <c r="A38" s="34">
        <v>41871</v>
      </c>
      <c r="B38">
        <v>58.68</v>
      </c>
      <c r="C38">
        <v>59.57</v>
      </c>
      <c r="D38">
        <v>58.53</v>
      </c>
      <c r="E38">
        <v>59.48</v>
      </c>
      <c r="F38">
        <v>7038400</v>
      </c>
      <c r="G38">
        <v>59.05</v>
      </c>
    </row>
    <row r="39" spans="1:7" x14ac:dyDescent="0.25">
      <c r="A39" s="34">
        <v>41872</v>
      </c>
      <c r="B39">
        <v>59.4</v>
      </c>
      <c r="C39">
        <v>59.66</v>
      </c>
      <c r="D39">
        <v>58.79</v>
      </c>
      <c r="E39">
        <v>58.85</v>
      </c>
      <c r="F39">
        <v>7646800</v>
      </c>
      <c r="G39">
        <v>58.42</v>
      </c>
    </row>
    <row r="40" spans="1:7" x14ac:dyDescent="0.25">
      <c r="A40" s="34">
        <v>41873</v>
      </c>
      <c r="B40">
        <v>59.04</v>
      </c>
      <c r="C40">
        <v>59.36</v>
      </c>
      <c r="D40">
        <v>58.9</v>
      </c>
      <c r="E40">
        <v>59.17</v>
      </c>
      <c r="F40">
        <v>5187600</v>
      </c>
      <c r="G40">
        <v>58.74</v>
      </c>
    </row>
    <row r="41" spans="1:7" x14ac:dyDescent="0.25">
      <c r="A41" s="34">
        <v>41876</v>
      </c>
      <c r="B41">
        <v>59.34</v>
      </c>
      <c r="C41">
        <v>59.87</v>
      </c>
      <c r="D41">
        <v>59.26</v>
      </c>
      <c r="E41">
        <v>59.73</v>
      </c>
      <c r="F41">
        <v>5170800</v>
      </c>
      <c r="G41">
        <v>59.3</v>
      </c>
    </row>
    <row r="42" spans="1:7" x14ac:dyDescent="0.25">
      <c r="A42" s="34">
        <v>41877</v>
      </c>
      <c r="B42">
        <v>59.67</v>
      </c>
      <c r="C42">
        <v>60.4</v>
      </c>
      <c r="D42">
        <v>59.66</v>
      </c>
      <c r="E42">
        <v>60.2</v>
      </c>
      <c r="F42">
        <v>9220600</v>
      </c>
      <c r="G42">
        <v>59.76</v>
      </c>
    </row>
    <row r="43" spans="1:7" x14ac:dyDescent="0.25">
      <c r="A43" s="34">
        <v>41878</v>
      </c>
      <c r="B43">
        <v>60.4</v>
      </c>
      <c r="C43">
        <v>60.58</v>
      </c>
      <c r="D43">
        <v>60.11</v>
      </c>
      <c r="E43">
        <v>60.28</v>
      </c>
      <c r="F43">
        <v>6546700</v>
      </c>
      <c r="G43">
        <v>59.84</v>
      </c>
    </row>
    <row r="44" spans="1:7" x14ac:dyDescent="0.25">
      <c r="A44" s="34">
        <v>41879</v>
      </c>
      <c r="B44">
        <v>59.89</v>
      </c>
      <c r="C44">
        <v>60.23</v>
      </c>
      <c r="D44">
        <v>59.84</v>
      </c>
      <c r="E44">
        <v>60</v>
      </c>
      <c r="F44">
        <v>5241000</v>
      </c>
      <c r="G44">
        <v>59.57</v>
      </c>
    </row>
    <row r="45" spans="1:7" x14ac:dyDescent="0.25">
      <c r="A45" s="34">
        <v>41880</v>
      </c>
      <c r="B45">
        <v>60.42</v>
      </c>
      <c r="C45">
        <v>60.42</v>
      </c>
      <c r="D45">
        <v>59.83</v>
      </c>
      <c r="E45">
        <v>60.11</v>
      </c>
      <c r="F45">
        <v>5715800</v>
      </c>
      <c r="G45">
        <v>59.67</v>
      </c>
    </row>
    <row r="46" spans="1:7" x14ac:dyDescent="0.25">
      <c r="A46" s="34">
        <v>41884</v>
      </c>
      <c r="B46">
        <v>59.73</v>
      </c>
      <c r="C46">
        <v>60.1</v>
      </c>
      <c r="D46">
        <v>59.67</v>
      </c>
      <c r="E46">
        <v>59.79</v>
      </c>
      <c r="F46">
        <v>6054500</v>
      </c>
      <c r="G46">
        <v>59.36</v>
      </c>
    </row>
    <row r="47" spans="1:7" x14ac:dyDescent="0.25">
      <c r="A47" s="34">
        <v>41885</v>
      </c>
      <c r="B47">
        <v>60.12</v>
      </c>
      <c r="C47">
        <v>60.86</v>
      </c>
      <c r="D47">
        <v>60.06</v>
      </c>
      <c r="E47">
        <v>60.48</v>
      </c>
      <c r="F47">
        <v>9096200</v>
      </c>
      <c r="G47">
        <v>60.04</v>
      </c>
    </row>
    <row r="48" spans="1:7" x14ac:dyDescent="0.25">
      <c r="A48" s="34">
        <v>41886</v>
      </c>
      <c r="B48">
        <v>60.57</v>
      </c>
      <c r="C48">
        <v>61</v>
      </c>
      <c r="D48">
        <v>59.92</v>
      </c>
      <c r="E48">
        <v>60.08</v>
      </c>
      <c r="F48">
        <v>10809000</v>
      </c>
      <c r="G48">
        <v>59.64</v>
      </c>
    </row>
    <row r="49" spans="1:7" x14ac:dyDescent="0.25">
      <c r="A49" s="34">
        <v>41887</v>
      </c>
      <c r="B49">
        <v>60.42</v>
      </c>
      <c r="C49">
        <v>61.18</v>
      </c>
      <c r="D49">
        <v>60.15</v>
      </c>
      <c r="E49">
        <v>61.18</v>
      </c>
      <c r="F49">
        <v>10744200</v>
      </c>
      <c r="G49">
        <v>60.74</v>
      </c>
    </row>
    <row r="50" spans="1:7" x14ac:dyDescent="0.25">
      <c r="A50" s="34">
        <v>41890</v>
      </c>
      <c r="B50">
        <v>61.22</v>
      </c>
      <c r="C50">
        <v>61.33</v>
      </c>
      <c r="D50">
        <v>60.83</v>
      </c>
      <c r="E50">
        <v>61.05</v>
      </c>
      <c r="F50">
        <v>8420400</v>
      </c>
      <c r="G50">
        <v>60.61</v>
      </c>
    </row>
    <row r="51" spans="1:7" x14ac:dyDescent="0.25">
      <c r="A51" s="34">
        <v>41891</v>
      </c>
      <c r="B51">
        <v>60.84</v>
      </c>
      <c r="C51">
        <v>61.03</v>
      </c>
      <c r="D51">
        <v>60.47</v>
      </c>
      <c r="E51">
        <v>60.56</v>
      </c>
      <c r="F51">
        <v>7443700</v>
      </c>
      <c r="G51">
        <v>60.12</v>
      </c>
    </row>
    <row r="52" spans="1:7" x14ac:dyDescent="0.25">
      <c r="A52" s="34">
        <v>41892</v>
      </c>
      <c r="B52">
        <v>60.67</v>
      </c>
      <c r="C52">
        <v>60.87</v>
      </c>
      <c r="D52">
        <v>60.35</v>
      </c>
      <c r="E52">
        <v>60.76</v>
      </c>
      <c r="F52">
        <v>9212800</v>
      </c>
      <c r="G52">
        <v>60.32</v>
      </c>
    </row>
    <row r="53" spans="1:7" x14ac:dyDescent="0.25">
      <c r="A53" s="34">
        <v>41893</v>
      </c>
      <c r="B53">
        <v>60.21</v>
      </c>
      <c r="C53">
        <v>60.44</v>
      </c>
      <c r="D53">
        <v>59.81</v>
      </c>
      <c r="E53">
        <v>60.1</v>
      </c>
      <c r="F53">
        <v>7785200</v>
      </c>
      <c r="G53">
        <v>60.1</v>
      </c>
    </row>
    <row r="54" spans="1:7" x14ac:dyDescent="0.25">
      <c r="A54" s="34">
        <v>41894</v>
      </c>
      <c r="B54">
        <v>59.88</v>
      </c>
      <c r="C54">
        <v>60.13</v>
      </c>
      <c r="D54">
        <v>59.26</v>
      </c>
      <c r="E54">
        <v>59.55</v>
      </c>
      <c r="F54">
        <v>7021800</v>
      </c>
      <c r="G54">
        <v>59.55</v>
      </c>
    </row>
    <row r="55" spans="1:7" x14ac:dyDescent="0.25">
      <c r="A55" s="34">
        <v>41897</v>
      </c>
      <c r="B55">
        <v>59.65</v>
      </c>
      <c r="C55">
        <v>59.99</v>
      </c>
      <c r="D55">
        <v>59.5</v>
      </c>
      <c r="E55">
        <v>59.52</v>
      </c>
      <c r="F55">
        <v>7738900</v>
      </c>
      <c r="G55">
        <v>59.52</v>
      </c>
    </row>
  </sheetData>
  <sortState ref="A3:G55">
    <sortCondition ref="A3:A55"/>
  </sortState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32.409999999999997</v>
      </c>
      <c r="C3">
        <v>32.590000000000003</v>
      </c>
      <c r="D3">
        <v>32.22</v>
      </c>
      <c r="E3">
        <v>32.32</v>
      </c>
      <c r="F3">
        <v>7787600</v>
      </c>
      <c r="G3">
        <v>32.22</v>
      </c>
    </row>
    <row r="4" spans="1:7" x14ac:dyDescent="0.25">
      <c r="A4" s="34">
        <v>41822</v>
      </c>
      <c r="B4">
        <v>32.32</v>
      </c>
      <c r="C4">
        <v>32.68</v>
      </c>
      <c r="D4">
        <v>32.299999999999997</v>
      </c>
      <c r="E4">
        <v>32.49</v>
      </c>
      <c r="F4">
        <v>6190600</v>
      </c>
      <c r="G4">
        <v>32.39</v>
      </c>
    </row>
    <row r="5" spans="1:7" x14ac:dyDescent="0.25">
      <c r="A5" s="34">
        <v>41823</v>
      </c>
      <c r="B5">
        <v>32.729999999999997</v>
      </c>
      <c r="C5">
        <v>33.07</v>
      </c>
      <c r="D5">
        <v>32.619999999999997</v>
      </c>
      <c r="E5">
        <v>32.619999999999997</v>
      </c>
      <c r="F5">
        <v>5994200</v>
      </c>
      <c r="G5">
        <v>32.520000000000003</v>
      </c>
    </row>
    <row r="6" spans="1:7" x14ac:dyDescent="0.25">
      <c r="A6" s="34">
        <v>41827</v>
      </c>
      <c r="B6">
        <v>32.51</v>
      </c>
      <c r="C6">
        <v>32.56</v>
      </c>
      <c r="D6">
        <v>32.1</v>
      </c>
      <c r="E6">
        <v>32.39</v>
      </c>
      <c r="F6">
        <v>5635300</v>
      </c>
      <c r="G6">
        <v>32.29</v>
      </c>
    </row>
    <row r="7" spans="1:7" x14ac:dyDescent="0.25">
      <c r="A7" s="34">
        <v>41828</v>
      </c>
      <c r="B7">
        <v>32.19</v>
      </c>
      <c r="C7">
        <v>32.24</v>
      </c>
      <c r="D7">
        <v>31.47</v>
      </c>
      <c r="E7">
        <v>31.75</v>
      </c>
      <c r="F7">
        <v>9205600</v>
      </c>
      <c r="G7">
        <v>31.65</v>
      </c>
    </row>
    <row r="8" spans="1:7" x14ac:dyDescent="0.25">
      <c r="A8" s="34">
        <v>41829</v>
      </c>
      <c r="B8">
        <v>31.93</v>
      </c>
      <c r="C8">
        <v>32.049999999999997</v>
      </c>
      <c r="D8">
        <v>31.62</v>
      </c>
      <c r="E8">
        <v>32.01</v>
      </c>
      <c r="F8">
        <v>6292100</v>
      </c>
      <c r="G8">
        <v>31.91</v>
      </c>
    </row>
    <row r="9" spans="1:7" x14ac:dyDescent="0.25">
      <c r="A9" s="34">
        <v>41830</v>
      </c>
      <c r="B9">
        <v>31.25</v>
      </c>
      <c r="C9">
        <v>31.74</v>
      </c>
      <c r="D9">
        <v>31.2</v>
      </c>
      <c r="E9">
        <v>31.68</v>
      </c>
      <c r="F9">
        <v>7784900</v>
      </c>
      <c r="G9">
        <v>31.58</v>
      </c>
    </row>
    <row r="10" spans="1:7" x14ac:dyDescent="0.25">
      <c r="A10" s="34">
        <v>41831</v>
      </c>
      <c r="B10">
        <v>31.59</v>
      </c>
      <c r="C10">
        <v>31.69</v>
      </c>
      <c r="D10">
        <v>31.33</v>
      </c>
      <c r="E10">
        <v>31.41</v>
      </c>
      <c r="F10">
        <v>10112200</v>
      </c>
      <c r="G10">
        <v>31.32</v>
      </c>
    </row>
    <row r="11" spans="1:7" x14ac:dyDescent="0.25">
      <c r="A11" s="34">
        <v>41834</v>
      </c>
      <c r="B11">
        <v>32.11</v>
      </c>
      <c r="C11">
        <v>32.159999999999997</v>
      </c>
      <c r="D11">
        <v>31.74</v>
      </c>
      <c r="E11">
        <v>31.81</v>
      </c>
      <c r="F11">
        <v>11323100</v>
      </c>
      <c r="G11">
        <v>31.71</v>
      </c>
    </row>
    <row r="12" spans="1:7" x14ac:dyDescent="0.25">
      <c r="A12" s="34">
        <v>41835</v>
      </c>
      <c r="B12">
        <v>32.19</v>
      </c>
      <c r="C12">
        <v>32.270000000000003</v>
      </c>
      <c r="D12">
        <v>31.73</v>
      </c>
      <c r="E12">
        <v>32</v>
      </c>
      <c r="F12">
        <v>13796400</v>
      </c>
      <c r="G12">
        <v>31.9</v>
      </c>
    </row>
    <row r="13" spans="1:7" x14ac:dyDescent="0.25">
      <c r="A13" s="34">
        <v>41836</v>
      </c>
      <c r="B13">
        <v>32.270000000000003</v>
      </c>
      <c r="C13">
        <v>32.61</v>
      </c>
      <c r="D13">
        <v>32.14</v>
      </c>
      <c r="E13">
        <v>32.5</v>
      </c>
      <c r="F13">
        <v>16389300</v>
      </c>
      <c r="G13">
        <v>32.4</v>
      </c>
    </row>
    <row r="14" spans="1:7" x14ac:dyDescent="0.25">
      <c r="A14" s="34">
        <v>41837</v>
      </c>
      <c r="B14">
        <v>33.04</v>
      </c>
      <c r="C14">
        <v>33.159999999999997</v>
      </c>
      <c r="D14">
        <v>32.119999999999997</v>
      </c>
      <c r="E14">
        <v>32.299999999999997</v>
      </c>
      <c r="F14">
        <v>18525600</v>
      </c>
      <c r="G14">
        <v>32.200000000000003</v>
      </c>
    </row>
    <row r="15" spans="1:7" x14ac:dyDescent="0.25">
      <c r="A15" s="34">
        <v>41838</v>
      </c>
      <c r="B15">
        <v>32.450000000000003</v>
      </c>
      <c r="C15">
        <v>32.78</v>
      </c>
      <c r="D15">
        <v>32.229999999999997</v>
      </c>
      <c r="E15">
        <v>32.64</v>
      </c>
      <c r="F15">
        <v>9239500</v>
      </c>
      <c r="G15">
        <v>32.54</v>
      </c>
    </row>
    <row r="16" spans="1:7" x14ac:dyDescent="0.25">
      <c r="A16" s="34">
        <v>41841</v>
      </c>
      <c r="B16">
        <v>32.549999999999997</v>
      </c>
      <c r="C16">
        <v>32.700000000000003</v>
      </c>
      <c r="D16">
        <v>32.369999999999997</v>
      </c>
      <c r="E16">
        <v>32.549999999999997</v>
      </c>
      <c r="F16">
        <v>7125400</v>
      </c>
      <c r="G16">
        <v>32.450000000000003</v>
      </c>
    </row>
    <row r="17" spans="1:7" x14ac:dyDescent="0.25">
      <c r="A17" s="34">
        <v>41842</v>
      </c>
      <c r="B17">
        <v>32.61</v>
      </c>
      <c r="C17">
        <v>33.119999999999997</v>
      </c>
      <c r="D17">
        <v>32.61</v>
      </c>
      <c r="E17">
        <v>32.909999999999997</v>
      </c>
      <c r="F17">
        <v>8845100</v>
      </c>
      <c r="G17">
        <v>32.81</v>
      </c>
    </row>
    <row r="18" spans="1:7" x14ac:dyDescent="0.25">
      <c r="A18" s="34">
        <v>41843</v>
      </c>
      <c r="B18">
        <v>32.950000000000003</v>
      </c>
      <c r="C18">
        <v>33.450000000000003</v>
      </c>
      <c r="D18">
        <v>32.81</v>
      </c>
      <c r="E18">
        <v>33.35</v>
      </c>
      <c r="F18">
        <v>9363200</v>
      </c>
      <c r="G18">
        <v>33.25</v>
      </c>
    </row>
    <row r="19" spans="1:7" x14ac:dyDescent="0.25">
      <c r="A19" s="34">
        <v>41844</v>
      </c>
      <c r="B19">
        <v>33.43</v>
      </c>
      <c r="C19">
        <v>33.6</v>
      </c>
      <c r="D19">
        <v>33.24</v>
      </c>
      <c r="E19">
        <v>33.4</v>
      </c>
      <c r="F19">
        <v>6575500</v>
      </c>
      <c r="G19">
        <v>33.299999999999997</v>
      </c>
    </row>
    <row r="20" spans="1:7" x14ac:dyDescent="0.25">
      <c r="A20" s="34">
        <v>41845</v>
      </c>
      <c r="B20">
        <v>33.340000000000003</v>
      </c>
      <c r="C20">
        <v>33.450000000000003</v>
      </c>
      <c r="D20">
        <v>33.19</v>
      </c>
      <c r="E20">
        <v>33.24</v>
      </c>
      <c r="F20">
        <v>6292600</v>
      </c>
      <c r="G20">
        <v>33.14</v>
      </c>
    </row>
    <row r="21" spans="1:7" x14ac:dyDescent="0.25">
      <c r="A21" s="34">
        <v>41848</v>
      </c>
      <c r="B21">
        <v>33.200000000000003</v>
      </c>
      <c r="C21">
        <v>33.380000000000003</v>
      </c>
      <c r="D21">
        <v>32.869999999999997</v>
      </c>
      <c r="E21">
        <v>33.07</v>
      </c>
      <c r="F21">
        <v>7114900</v>
      </c>
      <c r="G21">
        <v>32.97</v>
      </c>
    </row>
    <row r="22" spans="1:7" x14ac:dyDescent="0.25">
      <c r="A22" s="34">
        <v>41849</v>
      </c>
      <c r="B22">
        <v>33.08</v>
      </c>
      <c r="C22">
        <v>33.1</v>
      </c>
      <c r="D22">
        <v>32.65</v>
      </c>
      <c r="E22">
        <v>32.65</v>
      </c>
      <c r="F22">
        <v>5716600</v>
      </c>
      <c r="G22">
        <v>32.65</v>
      </c>
    </row>
    <row r="23" spans="1:7" x14ac:dyDescent="0.25">
      <c r="A23" s="34">
        <v>41850</v>
      </c>
      <c r="B23">
        <v>32.770000000000003</v>
      </c>
      <c r="C23">
        <v>33.49</v>
      </c>
      <c r="D23">
        <v>32.75</v>
      </c>
      <c r="E23">
        <v>33.340000000000003</v>
      </c>
      <c r="F23">
        <v>9992400</v>
      </c>
      <c r="G23">
        <v>33.340000000000003</v>
      </c>
    </row>
    <row r="24" spans="1:7" x14ac:dyDescent="0.25">
      <c r="A24" s="34">
        <v>41851</v>
      </c>
      <c r="B24">
        <v>33.03</v>
      </c>
      <c r="C24">
        <v>33.14</v>
      </c>
      <c r="D24">
        <v>32.33</v>
      </c>
      <c r="E24">
        <v>32.340000000000003</v>
      </c>
      <c r="F24">
        <v>9131500</v>
      </c>
      <c r="G24">
        <v>32.340000000000003</v>
      </c>
    </row>
    <row r="25" spans="1:7" x14ac:dyDescent="0.25">
      <c r="A25" s="34">
        <v>41852</v>
      </c>
      <c r="B25">
        <v>32.18</v>
      </c>
      <c r="C25">
        <v>32.33</v>
      </c>
      <c r="D25">
        <v>31.44</v>
      </c>
      <c r="E25">
        <v>31.6</v>
      </c>
      <c r="F25">
        <v>11539300</v>
      </c>
      <c r="G25">
        <v>31.6</v>
      </c>
    </row>
    <row r="26" spans="1:7" x14ac:dyDescent="0.25">
      <c r="A26" s="34">
        <v>41855</v>
      </c>
      <c r="B26">
        <v>31.77</v>
      </c>
      <c r="C26">
        <v>31.95</v>
      </c>
      <c r="D26">
        <v>31.54</v>
      </c>
      <c r="E26">
        <v>31.83</v>
      </c>
      <c r="F26">
        <v>6846800</v>
      </c>
      <c r="G26">
        <v>31.83</v>
      </c>
    </row>
    <row r="27" spans="1:7" x14ac:dyDescent="0.25">
      <c r="A27" s="34">
        <v>41856</v>
      </c>
      <c r="B27">
        <v>31.7</v>
      </c>
      <c r="C27">
        <v>31.95</v>
      </c>
      <c r="D27">
        <v>31.29</v>
      </c>
      <c r="E27">
        <v>31.41</v>
      </c>
      <c r="F27">
        <v>9478400</v>
      </c>
      <c r="G27">
        <v>31.41</v>
      </c>
    </row>
    <row r="28" spans="1:7" x14ac:dyDescent="0.25">
      <c r="A28" s="34">
        <v>41857</v>
      </c>
      <c r="B28">
        <v>31.23</v>
      </c>
      <c r="C28">
        <v>31.92</v>
      </c>
      <c r="D28">
        <v>31.19</v>
      </c>
      <c r="E28">
        <v>31.56</v>
      </c>
      <c r="F28">
        <v>9049600</v>
      </c>
      <c r="G28">
        <v>31.56</v>
      </c>
    </row>
    <row r="29" spans="1:7" x14ac:dyDescent="0.25">
      <c r="A29" s="34">
        <v>41858</v>
      </c>
      <c r="B29">
        <v>31.74</v>
      </c>
      <c r="C29">
        <v>31.84</v>
      </c>
      <c r="D29">
        <v>31.22</v>
      </c>
      <c r="E29">
        <v>31.36</v>
      </c>
      <c r="F29">
        <v>6553100</v>
      </c>
      <c r="G29">
        <v>31.36</v>
      </c>
    </row>
    <row r="30" spans="1:7" x14ac:dyDescent="0.25">
      <c r="A30" s="34">
        <v>41859</v>
      </c>
      <c r="B30">
        <v>31.36</v>
      </c>
      <c r="C30">
        <v>32.03</v>
      </c>
      <c r="D30">
        <v>31.12</v>
      </c>
      <c r="E30">
        <v>31.95</v>
      </c>
      <c r="F30">
        <v>8512700</v>
      </c>
      <c r="G30">
        <v>31.95</v>
      </c>
    </row>
    <row r="31" spans="1:7" x14ac:dyDescent="0.25">
      <c r="A31" s="34">
        <v>41862</v>
      </c>
      <c r="B31">
        <v>31.99</v>
      </c>
      <c r="C31">
        <v>32.299999999999997</v>
      </c>
      <c r="D31">
        <v>31.77</v>
      </c>
      <c r="E31">
        <v>32.08</v>
      </c>
      <c r="F31">
        <v>6540300</v>
      </c>
      <c r="G31">
        <v>32.08</v>
      </c>
    </row>
    <row r="32" spans="1:7" x14ac:dyDescent="0.25">
      <c r="A32" s="34">
        <v>41863</v>
      </c>
      <c r="B32">
        <v>32.020000000000003</v>
      </c>
      <c r="C32">
        <v>32.340000000000003</v>
      </c>
      <c r="D32">
        <v>31.88</v>
      </c>
      <c r="E32">
        <v>32.01</v>
      </c>
      <c r="F32">
        <v>4522600</v>
      </c>
      <c r="G32">
        <v>32.01</v>
      </c>
    </row>
    <row r="33" spans="1:7" x14ac:dyDescent="0.25">
      <c r="A33" s="34">
        <v>41864</v>
      </c>
      <c r="B33">
        <v>32.15</v>
      </c>
      <c r="C33">
        <v>32.26</v>
      </c>
      <c r="D33">
        <v>32.01</v>
      </c>
      <c r="E33">
        <v>32.020000000000003</v>
      </c>
      <c r="F33">
        <v>4802300</v>
      </c>
      <c r="G33">
        <v>32.020000000000003</v>
      </c>
    </row>
    <row r="34" spans="1:7" x14ac:dyDescent="0.25">
      <c r="A34" s="34">
        <v>41865</v>
      </c>
      <c r="B34">
        <v>32.07</v>
      </c>
      <c r="C34">
        <v>32.26</v>
      </c>
      <c r="D34">
        <v>32.07</v>
      </c>
      <c r="E34">
        <v>32.17</v>
      </c>
      <c r="F34">
        <v>3974100</v>
      </c>
      <c r="G34">
        <v>32.17</v>
      </c>
    </row>
    <row r="35" spans="1:7" x14ac:dyDescent="0.25">
      <c r="A35" s="34">
        <v>41866</v>
      </c>
      <c r="B35">
        <v>32.28</v>
      </c>
      <c r="C35">
        <v>32.71</v>
      </c>
      <c r="D35">
        <v>31.98</v>
      </c>
      <c r="E35">
        <v>32.22</v>
      </c>
      <c r="F35">
        <v>9329600</v>
      </c>
      <c r="G35">
        <v>32.22</v>
      </c>
    </row>
    <row r="36" spans="1:7" x14ac:dyDescent="0.25">
      <c r="A36" s="34">
        <v>41869</v>
      </c>
      <c r="B36">
        <v>32.47</v>
      </c>
      <c r="C36">
        <v>32.74</v>
      </c>
      <c r="D36">
        <v>32.39</v>
      </c>
      <c r="E36">
        <v>32.61</v>
      </c>
      <c r="F36">
        <v>4801200</v>
      </c>
      <c r="G36">
        <v>32.61</v>
      </c>
    </row>
    <row r="37" spans="1:7" x14ac:dyDescent="0.25">
      <c r="A37" s="34">
        <v>41870</v>
      </c>
      <c r="B37">
        <v>32.69</v>
      </c>
      <c r="C37">
        <v>32.840000000000003</v>
      </c>
      <c r="D37">
        <v>32.53</v>
      </c>
      <c r="E37">
        <v>32.53</v>
      </c>
      <c r="F37">
        <v>4188000</v>
      </c>
      <c r="G37">
        <v>32.53</v>
      </c>
    </row>
    <row r="38" spans="1:7" x14ac:dyDescent="0.25">
      <c r="A38" s="34">
        <v>41871</v>
      </c>
      <c r="B38">
        <v>32.4</v>
      </c>
      <c r="C38">
        <v>32.65</v>
      </c>
      <c r="D38">
        <v>32.380000000000003</v>
      </c>
      <c r="E38">
        <v>32.54</v>
      </c>
      <c r="F38">
        <v>4210500</v>
      </c>
      <c r="G38">
        <v>32.54</v>
      </c>
    </row>
    <row r="39" spans="1:7" x14ac:dyDescent="0.25">
      <c r="A39" s="34">
        <v>41872</v>
      </c>
      <c r="B39">
        <v>32.659999999999997</v>
      </c>
      <c r="C39">
        <v>33.049999999999997</v>
      </c>
      <c r="D39">
        <v>32.5</v>
      </c>
      <c r="E39">
        <v>33.03</v>
      </c>
      <c r="F39">
        <v>7277900</v>
      </c>
      <c r="G39">
        <v>33.03</v>
      </c>
    </row>
    <row r="40" spans="1:7" x14ac:dyDescent="0.25">
      <c r="A40" s="34">
        <v>41873</v>
      </c>
      <c r="B40">
        <v>32.99</v>
      </c>
      <c r="C40">
        <v>33.56</v>
      </c>
      <c r="D40">
        <v>32.92</v>
      </c>
      <c r="E40">
        <v>33.47</v>
      </c>
      <c r="F40">
        <v>8979300</v>
      </c>
      <c r="G40">
        <v>33.47</v>
      </c>
    </row>
    <row r="41" spans="1:7" x14ac:dyDescent="0.25">
      <c r="A41" s="34">
        <v>41876</v>
      </c>
      <c r="B41">
        <v>33.68</v>
      </c>
      <c r="C41">
        <v>34.57</v>
      </c>
      <c r="D41">
        <v>33.68</v>
      </c>
      <c r="E41">
        <v>34.200000000000003</v>
      </c>
      <c r="F41">
        <v>13899500</v>
      </c>
      <c r="G41">
        <v>34.200000000000003</v>
      </c>
    </row>
    <row r="42" spans="1:7" x14ac:dyDescent="0.25">
      <c r="A42" s="34">
        <v>41877</v>
      </c>
      <c r="B42">
        <v>34.17</v>
      </c>
      <c r="C42">
        <v>34.549999999999997</v>
      </c>
      <c r="D42">
        <v>34.17</v>
      </c>
      <c r="E42">
        <v>34.4</v>
      </c>
      <c r="F42">
        <v>8441400</v>
      </c>
      <c r="G42">
        <v>34.4</v>
      </c>
    </row>
    <row r="43" spans="1:7" x14ac:dyDescent="0.25">
      <c r="A43" s="34">
        <v>41878</v>
      </c>
      <c r="B43">
        <v>34.49</v>
      </c>
      <c r="C43">
        <v>34.5</v>
      </c>
      <c r="D43">
        <v>34.049999999999997</v>
      </c>
      <c r="E43">
        <v>34.130000000000003</v>
      </c>
      <c r="F43">
        <v>5668100</v>
      </c>
      <c r="G43">
        <v>34.130000000000003</v>
      </c>
    </row>
    <row r="44" spans="1:7" x14ac:dyDescent="0.25">
      <c r="A44" s="34">
        <v>41879</v>
      </c>
      <c r="B44">
        <v>34</v>
      </c>
      <c r="C44">
        <v>34.119999999999997</v>
      </c>
      <c r="D44">
        <v>33.72</v>
      </c>
      <c r="E44">
        <v>34.06</v>
      </c>
      <c r="F44">
        <v>4443800</v>
      </c>
      <c r="G44">
        <v>34.06</v>
      </c>
    </row>
    <row r="45" spans="1:7" x14ac:dyDescent="0.25">
      <c r="A45" s="34">
        <v>41880</v>
      </c>
      <c r="B45">
        <v>34.15</v>
      </c>
      <c r="C45">
        <v>34.51</v>
      </c>
      <c r="D45">
        <v>34.08</v>
      </c>
      <c r="E45">
        <v>34.31</v>
      </c>
      <c r="F45">
        <v>4926800</v>
      </c>
      <c r="G45">
        <v>34.31</v>
      </c>
    </row>
    <row r="46" spans="1:7" x14ac:dyDescent="0.25">
      <c r="A46" s="34">
        <v>41884</v>
      </c>
      <c r="B46">
        <v>34.42</v>
      </c>
      <c r="C46">
        <v>34.65</v>
      </c>
      <c r="D46">
        <v>34.18</v>
      </c>
      <c r="E46">
        <v>34.549999999999997</v>
      </c>
      <c r="F46">
        <v>5029100</v>
      </c>
      <c r="G46">
        <v>34.549999999999997</v>
      </c>
    </row>
    <row r="47" spans="1:7" x14ac:dyDescent="0.25">
      <c r="A47" s="34">
        <v>41885</v>
      </c>
      <c r="B47">
        <v>34.74</v>
      </c>
      <c r="C47">
        <v>34.99</v>
      </c>
      <c r="D47">
        <v>34.479999999999997</v>
      </c>
      <c r="E47">
        <v>34.56</v>
      </c>
      <c r="F47">
        <v>7101700</v>
      </c>
      <c r="G47">
        <v>34.56</v>
      </c>
    </row>
    <row r="48" spans="1:7" x14ac:dyDescent="0.25">
      <c r="A48" s="34">
        <v>41886</v>
      </c>
      <c r="B48">
        <v>34.520000000000003</v>
      </c>
      <c r="C48">
        <v>34.909999999999997</v>
      </c>
      <c r="D48">
        <v>34.520000000000003</v>
      </c>
      <c r="E48">
        <v>34.700000000000003</v>
      </c>
      <c r="F48">
        <v>7150000</v>
      </c>
      <c r="G48">
        <v>34.700000000000003</v>
      </c>
    </row>
    <row r="49" spans="1:7" x14ac:dyDescent="0.25">
      <c r="A49" s="34">
        <v>41887</v>
      </c>
      <c r="B49">
        <v>34.42</v>
      </c>
      <c r="C49">
        <v>34.64</v>
      </c>
      <c r="D49">
        <v>33.94</v>
      </c>
      <c r="E49">
        <v>34.630000000000003</v>
      </c>
      <c r="F49">
        <v>9940500</v>
      </c>
      <c r="G49">
        <v>34.630000000000003</v>
      </c>
    </row>
    <row r="50" spans="1:7" x14ac:dyDescent="0.25">
      <c r="A50" s="34">
        <v>41890</v>
      </c>
      <c r="B50">
        <v>34.590000000000003</v>
      </c>
      <c r="C50">
        <v>35.090000000000003</v>
      </c>
      <c r="D50">
        <v>34.590000000000003</v>
      </c>
      <c r="E50">
        <v>34.86</v>
      </c>
      <c r="F50">
        <v>8055200</v>
      </c>
      <c r="G50">
        <v>34.86</v>
      </c>
    </row>
    <row r="51" spans="1:7" x14ac:dyDescent="0.25">
      <c r="A51" s="34">
        <v>41891</v>
      </c>
      <c r="B51">
        <v>34.44</v>
      </c>
      <c r="C51">
        <v>34.44</v>
      </c>
      <c r="D51">
        <v>33.82</v>
      </c>
      <c r="E51">
        <v>33.909999999999997</v>
      </c>
      <c r="F51">
        <v>11394500</v>
      </c>
      <c r="G51">
        <v>33.909999999999997</v>
      </c>
    </row>
    <row r="52" spans="1:7" x14ac:dyDescent="0.25">
      <c r="A52" s="34">
        <v>41892</v>
      </c>
      <c r="B52">
        <v>34.04</v>
      </c>
      <c r="C52">
        <v>34.4</v>
      </c>
      <c r="D52">
        <v>34.04</v>
      </c>
      <c r="E52">
        <v>34.33</v>
      </c>
      <c r="F52">
        <v>6384100</v>
      </c>
      <c r="G52">
        <v>34.33</v>
      </c>
    </row>
    <row r="53" spans="1:7" x14ac:dyDescent="0.25">
      <c r="A53" s="34">
        <v>41893</v>
      </c>
      <c r="B53">
        <v>34.119999999999997</v>
      </c>
      <c r="C53">
        <v>34.75</v>
      </c>
      <c r="D53">
        <v>34.1</v>
      </c>
      <c r="E53">
        <v>34.729999999999997</v>
      </c>
      <c r="F53">
        <v>6794200</v>
      </c>
      <c r="G53">
        <v>34.729999999999997</v>
      </c>
    </row>
    <row r="54" spans="1:7" x14ac:dyDescent="0.25">
      <c r="A54" s="34">
        <v>41894</v>
      </c>
      <c r="B54">
        <v>34.729999999999997</v>
      </c>
      <c r="C54">
        <v>35.08</v>
      </c>
      <c r="D54">
        <v>34.700000000000003</v>
      </c>
      <c r="E54">
        <v>35.01</v>
      </c>
      <c r="F54">
        <v>10199400</v>
      </c>
      <c r="G54">
        <v>35.01</v>
      </c>
    </row>
    <row r="55" spans="1:7" x14ac:dyDescent="0.25">
      <c r="A55" s="34">
        <v>41897</v>
      </c>
      <c r="B55">
        <v>34.97</v>
      </c>
      <c r="C55">
        <v>35.229999999999997</v>
      </c>
      <c r="D55">
        <v>34.76</v>
      </c>
      <c r="E55">
        <v>35.21</v>
      </c>
      <c r="F55">
        <v>9563400</v>
      </c>
      <c r="G55">
        <v>35.21</v>
      </c>
    </row>
  </sheetData>
  <sortState ref="A3:G55">
    <sortCondition ref="A3:A55"/>
  </sortState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41.86</v>
      </c>
      <c r="C3">
        <v>42.15</v>
      </c>
      <c r="D3">
        <v>41.69</v>
      </c>
      <c r="E3">
        <v>41.87</v>
      </c>
      <c r="F3">
        <v>26917000</v>
      </c>
      <c r="G3">
        <v>41.61</v>
      </c>
    </row>
    <row r="4" spans="1:7" x14ac:dyDescent="0.25">
      <c r="A4" s="34">
        <v>41822</v>
      </c>
      <c r="B4">
        <v>41.73</v>
      </c>
      <c r="C4">
        <v>41.9</v>
      </c>
      <c r="D4">
        <v>41.53</v>
      </c>
      <c r="E4">
        <v>41.9</v>
      </c>
      <c r="F4">
        <v>20208100</v>
      </c>
      <c r="G4">
        <v>41.64</v>
      </c>
    </row>
    <row r="5" spans="1:7" x14ac:dyDescent="0.25">
      <c r="A5" s="34">
        <v>41823</v>
      </c>
      <c r="B5">
        <v>41.91</v>
      </c>
      <c r="C5">
        <v>41.99</v>
      </c>
      <c r="D5">
        <v>41.56</v>
      </c>
      <c r="E5">
        <v>41.8</v>
      </c>
      <c r="F5">
        <v>15969300</v>
      </c>
      <c r="G5">
        <v>41.54</v>
      </c>
    </row>
    <row r="6" spans="1:7" x14ac:dyDescent="0.25">
      <c r="A6" s="34">
        <v>41827</v>
      </c>
      <c r="B6">
        <v>41.75</v>
      </c>
      <c r="C6">
        <v>42.12</v>
      </c>
      <c r="D6">
        <v>41.71</v>
      </c>
      <c r="E6">
        <v>41.99</v>
      </c>
      <c r="F6">
        <v>21952400</v>
      </c>
      <c r="G6">
        <v>41.73</v>
      </c>
    </row>
    <row r="7" spans="1:7" x14ac:dyDescent="0.25">
      <c r="A7" s="34">
        <v>41828</v>
      </c>
      <c r="B7">
        <v>41.87</v>
      </c>
      <c r="C7">
        <v>42</v>
      </c>
      <c r="D7">
        <v>41.61</v>
      </c>
      <c r="E7">
        <v>41.78</v>
      </c>
      <c r="F7">
        <v>31218200</v>
      </c>
      <c r="G7">
        <v>41.52</v>
      </c>
    </row>
    <row r="8" spans="1:7" x14ac:dyDescent="0.25">
      <c r="A8" s="34">
        <v>41829</v>
      </c>
      <c r="B8">
        <v>41.98</v>
      </c>
      <c r="C8">
        <v>41.99</v>
      </c>
      <c r="D8">
        <v>41.53</v>
      </c>
      <c r="E8">
        <v>41.67</v>
      </c>
      <c r="F8">
        <v>18445900</v>
      </c>
      <c r="G8">
        <v>41.41</v>
      </c>
    </row>
    <row r="9" spans="1:7" x14ac:dyDescent="0.25">
      <c r="A9" s="34">
        <v>41830</v>
      </c>
      <c r="B9">
        <v>41.37</v>
      </c>
      <c r="C9">
        <v>42</v>
      </c>
      <c r="D9">
        <v>41.05</v>
      </c>
      <c r="E9">
        <v>41.69</v>
      </c>
      <c r="F9">
        <v>21854700</v>
      </c>
      <c r="G9">
        <v>41.43</v>
      </c>
    </row>
    <row r="10" spans="1:7" x14ac:dyDescent="0.25">
      <c r="A10" s="34">
        <v>41831</v>
      </c>
      <c r="B10">
        <v>41.7</v>
      </c>
      <c r="C10">
        <v>42.09</v>
      </c>
      <c r="D10">
        <v>41.48</v>
      </c>
      <c r="E10">
        <v>42.09</v>
      </c>
      <c r="F10">
        <v>24083000</v>
      </c>
      <c r="G10">
        <v>41.83</v>
      </c>
    </row>
    <row r="11" spans="1:7" x14ac:dyDescent="0.25">
      <c r="A11" s="34">
        <v>41834</v>
      </c>
      <c r="B11">
        <v>42.22</v>
      </c>
      <c r="C11">
        <v>42.45</v>
      </c>
      <c r="D11">
        <v>42.04</v>
      </c>
      <c r="E11">
        <v>42.14</v>
      </c>
      <c r="F11">
        <v>21881100</v>
      </c>
      <c r="G11">
        <v>41.88</v>
      </c>
    </row>
    <row r="12" spans="1:7" x14ac:dyDescent="0.25">
      <c r="A12" s="34">
        <v>41835</v>
      </c>
      <c r="B12">
        <v>42.33</v>
      </c>
      <c r="C12">
        <v>42.47</v>
      </c>
      <c r="D12">
        <v>42.03</v>
      </c>
      <c r="E12">
        <v>42.45</v>
      </c>
      <c r="F12">
        <v>28748700</v>
      </c>
      <c r="G12">
        <v>42.19</v>
      </c>
    </row>
    <row r="13" spans="1:7" x14ac:dyDescent="0.25">
      <c r="A13" s="34">
        <v>41836</v>
      </c>
      <c r="B13">
        <v>42.51</v>
      </c>
      <c r="C13">
        <v>44.31</v>
      </c>
      <c r="D13">
        <v>42.48</v>
      </c>
      <c r="E13">
        <v>44.08</v>
      </c>
      <c r="F13">
        <v>63318000</v>
      </c>
      <c r="G13">
        <v>43.81</v>
      </c>
    </row>
    <row r="14" spans="1:7" x14ac:dyDescent="0.25">
      <c r="A14" s="34">
        <v>41837</v>
      </c>
      <c r="B14">
        <v>45.45</v>
      </c>
      <c r="C14">
        <v>45.71</v>
      </c>
      <c r="D14">
        <v>44.25</v>
      </c>
      <c r="E14">
        <v>44.53</v>
      </c>
      <c r="F14">
        <v>82180300</v>
      </c>
      <c r="G14">
        <v>44.25</v>
      </c>
    </row>
    <row r="15" spans="1:7" x14ac:dyDescent="0.25">
      <c r="A15" s="34">
        <v>41838</v>
      </c>
      <c r="B15">
        <v>44.65</v>
      </c>
      <c r="C15">
        <v>44.84</v>
      </c>
      <c r="D15">
        <v>44.25</v>
      </c>
      <c r="E15">
        <v>44.69</v>
      </c>
      <c r="F15">
        <v>43407500</v>
      </c>
      <c r="G15">
        <v>44.41</v>
      </c>
    </row>
    <row r="16" spans="1:7" x14ac:dyDescent="0.25">
      <c r="A16" s="34">
        <v>41841</v>
      </c>
      <c r="B16">
        <v>44.56</v>
      </c>
      <c r="C16">
        <v>45.16</v>
      </c>
      <c r="D16">
        <v>44.22</v>
      </c>
      <c r="E16">
        <v>44.84</v>
      </c>
      <c r="F16">
        <v>37604400</v>
      </c>
      <c r="G16">
        <v>44.56</v>
      </c>
    </row>
    <row r="17" spans="1:7" x14ac:dyDescent="0.25">
      <c r="A17" s="34">
        <v>41842</v>
      </c>
      <c r="B17">
        <v>45</v>
      </c>
      <c r="C17">
        <v>45.15</v>
      </c>
      <c r="D17">
        <v>44.59</v>
      </c>
      <c r="E17">
        <v>44.83</v>
      </c>
      <c r="F17">
        <v>43095800</v>
      </c>
      <c r="G17">
        <v>44.55</v>
      </c>
    </row>
    <row r="18" spans="1:7" x14ac:dyDescent="0.25">
      <c r="A18" s="34">
        <v>41843</v>
      </c>
      <c r="B18">
        <v>45.45</v>
      </c>
      <c r="C18">
        <v>45.45</v>
      </c>
      <c r="D18">
        <v>44.62</v>
      </c>
      <c r="E18">
        <v>44.87</v>
      </c>
      <c r="F18">
        <v>52362900</v>
      </c>
      <c r="G18">
        <v>44.59</v>
      </c>
    </row>
    <row r="19" spans="1:7" x14ac:dyDescent="0.25">
      <c r="A19" s="34">
        <v>41844</v>
      </c>
      <c r="B19">
        <v>44.93</v>
      </c>
      <c r="C19">
        <v>45</v>
      </c>
      <c r="D19">
        <v>44.32</v>
      </c>
      <c r="E19">
        <v>44.4</v>
      </c>
      <c r="F19">
        <v>30725300</v>
      </c>
      <c r="G19">
        <v>44.12</v>
      </c>
    </row>
    <row r="20" spans="1:7" x14ac:dyDescent="0.25">
      <c r="A20" s="34">
        <v>41845</v>
      </c>
      <c r="B20">
        <v>44.3</v>
      </c>
      <c r="C20">
        <v>44.66</v>
      </c>
      <c r="D20">
        <v>44.3</v>
      </c>
      <c r="E20">
        <v>44.5</v>
      </c>
      <c r="F20">
        <v>26737700</v>
      </c>
      <c r="G20">
        <v>44.22</v>
      </c>
    </row>
    <row r="21" spans="1:7" x14ac:dyDescent="0.25">
      <c r="A21" s="34">
        <v>41848</v>
      </c>
      <c r="B21">
        <v>44.36</v>
      </c>
      <c r="C21">
        <v>44.51</v>
      </c>
      <c r="D21">
        <v>43.93</v>
      </c>
      <c r="E21">
        <v>43.97</v>
      </c>
      <c r="F21">
        <v>29684200</v>
      </c>
      <c r="G21">
        <v>43.7</v>
      </c>
    </row>
    <row r="22" spans="1:7" x14ac:dyDescent="0.25">
      <c r="A22" s="34">
        <v>41849</v>
      </c>
      <c r="B22">
        <v>43.91</v>
      </c>
      <c r="C22">
        <v>44.09</v>
      </c>
      <c r="D22">
        <v>43.64</v>
      </c>
      <c r="E22">
        <v>43.89</v>
      </c>
      <c r="F22">
        <v>27763100</v>
      </c>
      <c r="G22">
        <v>43.62</v>
      </c>
    </row>
    <row r="23" spans="1:7" x14ac:dyDescent="0.25">
      <c r="A23" s="34">
        <v>41850</v>
      </c>
      <c r="B23">
        <v>44.07</v>
      </c>
      <c r="C23">
        <v>44.1</v>
      </c>
      <c r="D23">
        <v>43.29</v>
      </c>
      <c r="E23">
        <v>43.58</v>
      </c>
      <c r="F23">
        <v>31921400</v>
      </c>
      <c r="G23">
        <v>43.31</v>
      </c>
    </row>
    <row r="24" spans="1:7" x14ac:dyDescent="0.25">
      <c r="A24" s="34">
        <v>41851</v>
      </c>
      <c r="B24">
        <v>43.38</v>
      </c>
      <c r="C24">
        <v>43.69</v>
      </c>
      <c r="D24">
        <v>43.08</v>
      </c>
      <c r="E24">
        <v>43.16</v>
      </c>
      <c r="F24">
        <v>31537500</v>
      </c>
      <c r="G24">
        <v>42.89</v>
      </c>
    </row>
    <row r="25" spans="1:7" x14ac:dyDescent="0.25">
      <c r="A25" s="34">
        <v>41852</v>
      </c>
      <c r="B25">
        <v>43.21</v>
      </c>
      <c r="C25">
        <v>43.25</v>
      </c>
      <c r="D25">
        <v>42.6</v>
      </c>
      <c r="E25">
        <v>42.86</v>
      </c>
      <c r="F25">
        <v>31170300</v>
      </c>
      <c r="G25">
        <v>42.59</v>
      </c>
    </row>
    <row r="26" spans="1:7" x14ac:dyDescent="0.25">
      <c r="A26" s="34">
        <v>41855</v>
      </c>
      <c r="B26">
        <v>42.97</v>
      </c>
      <c r="C26">
        <v>43.47</v>
      </c>
      <c r="D26">
        <v>42.81</v>
      </c>
      <c r="E26">
        <v>43.37</v>
      </c>
      <c r="F26">
        <v>34277400</v>
      </c>
      <c r="G26">
        <v>43.1</v>
      </c>
    </row>
    <row r="27" spans="1:7" x14ac:dyDescent="0.25">
      <c r="A27" s="34">
        <v>41856</v>
      </c>
      <c r="B27">
        <v>43.31</v>
      </c>
      <c r="C27">
        <v>43.46</v>
      </c>
      <c r="D27">
        <v>42.83</v>
      </c>
      <c r="E27">
        <v>43.08</v>
      </c>
      <c r="F27">
        <v>26266400</v>
      </c>
      <c r="G27">
        <v>42.81</v>
      </c>
    </row>
    <row r="28" spans="1:7" x14ac:dyDescent="0.25">
      <c r="A28" s="34">
        <v>41857</v>
      </c>
      <c r="B28">
        <v>42.74</v>
      </c>
      <c r="C28">
        <v>43.17</v>
      </c>
      <c r="D28">
        <v>42.21</v>
      </c>
      <c r="E28">
        <v>42.74</v>
      </c>
      <c r="F28">
        <v>24634000</v>
      </c>
      <c r="G28">
        <v>42.47</v>
      </c>
    </row>
    <row r="29" spans="1:7" x14ac:dyDescent="0.25">
      <c r="A29" s="34">
        <v>41858</v>
      </c>
      <c r="B29">
        <v>42.84</v>
      </c>
      <c r="C29">
        <v>43.45</v>
      </c>
      <c r="D29">
        <v>42.65</v>
      </c>
      <c r="E29">
        <v>43.23</v>
      </c>
      <c r="F29">
        <v>30314900</v>
      </c>
      <c r="G29">
        <v>42.96</v>
      </c>
    </row>
    <row r="30" spans="1:7" x14ac:dyDescent="0.25">
      <c r="A30" s="34">
        <v>41859</v>
      </c>
      <c r="B30">
        <v>43.23</v>
      </c>
      <c r="C30">
        <v>43.32</v>
      </c>
      <c r="D30">
        <v>42.91</v>
      </c>
      <c r="E30">
        <v>43.2</v>
      </c>
      <c r="F30">
        <v>28942700</v>
      </c>
      <c r="G30">
        <v>42.93</v>
      </c>
    </row>
    <row r="31" spans="1:7" x14ac:dyDescent="0.25">
      <c r="A31" s="34">
        <v>41862</v>
      </c>
      <c r="B31">
        <v>43.26</v>
      </c>
      <c r="C31">
        <v>43.45</v>
      </c>
      <c r="D31">
        <v>43.02</v>
      </c>
      <c r="E31">
        <v>43.2</v>
      </c>
      <c r="F31">
        <v>20351600</v>
      </c>
      <c r="G31">
        <v>42.93</v>
      </c>
    </row>
    <row r="32" spans="1:7" x14ac:dyDescent="0.25">
      <c r="A32" s="34">
        <v>41863</v>
      </c>
      <c r="B32">
        <v>43.04</v>
      </c>
      <c r="C32">
        <v>43.59</v>
      </c>
      <c r="D32">
        <v>43</v>
      </c>
      <c r="E32">
        <v>43.52</v>
      </c>
      <c r="F32">
        <v>21431100</v>
      </c>
      <c r="G32">
        <v>43.25</v>
      </c>
    </row>
    <row r="33" spans="1:7" x14ac:dyDescent="0.25">
      <c r="A33" s="34">
        <v>41864</v>
      </c>
      <c r="B33">
        <v>43.68</v>
      </c>
      <c r="C33">
        <v>44.18</v>
      </c>
      <c r="D33">
        <v>43.52</v>
      </c>
      <c r="E33">
        <v>44.08</v>
      </c>
      <c r="F33">
        <v>22889500</v>
      </c>
      <c r="G33">
        <v>43.81</v>
      </c>
    </row>
    <row r="34" spans="1:7" x14ac:dyDescent="0.25">
      <c r="A34" s="34">
        <v>41865</v>
      </c>
      <c r="B34">
        <v>44.08</v>
      </c>
      <c r="C34">
        <v>44.42</v>
      </c>
      <c r="D34">
        <v>44.01</v>
      </c>
      <c r="E34">
        <v>44.27</v>
      </c>
      <c r="F34">
        <v>19313200</v>
      </c>
      <c r="G34">
        <v>44</v>
      </c>
    </row>
    <row r="35" spans="1:7" x14ac:dyDescent="0.25">
      <c r="A35" s="34">
        <v>41866</v>
      </c>
      <c r="B35">
        <v>44.58</v>
      </c>
      <c r="C35">
        <v>44.9</v>
      </c>
      <c r="D35">
        <v>44.4</v>
      </c>
      <c r="E35">
        <v>44.79</v>
      </c>
      <c r="F35">
        <v>41611300</v>
      </c>
      <c r="G35">
        <v>44.51</v>
      </c>
    </row>
    <row r="36" spans="1:7" x14ac:dyDescent="0.25">
      <c r="A36" s="34">
        <v>41869</v>
      </c>
      <c r="B36">
        <v>44.94</v>
      </c>
      <c r="C36">
        <v>45.11</v>
      </c>
      <c r="D36">
        <v>44.68</v>
      </c>
      <c r="E36">
        <v>45.11</v>
      </c>
      <c r="F36">
        <v>26891100</v>
      </c>
      <c r="G36">
        <v>44.83</v>
      </c>
    </row>
    <row r="37" spans="1:7" x14ac:dyDescent="0.25">
      <c r="A37" s="34">
        <v>41870</v>
      </c>
      <c r="B37">
        <v>44.97</v>
      </c>
      <c r="C37">
        <v>45.34</v>
      </c>
      <c r="D37">
        <v>44.83</v>
      </c>
      <c r="E37">
        <v>45.33</v>
      </c>
      <c r="F37">
        <v>28139500</v>
      </c>
      <c r="G37">
        <v>45.33</v>
      </c>
    </row>
    <row r="38" spans="1:7" x14ac:dyDescent="0.25">
      <c r="A38" s="34">
        <v>41871</v>
      </c>
      <c r="B38">
        <v>45.34</v>
      </c>
      <c r="C38">
        <v>45.4</v>
      </c>
      <c r="D38">
        <v>44.9</v>
      </c>
      <c r="E38">
        <v>44.95</v>
      </c>
      <c r="F38">
        <v>24770500</v>
      </c>
      <c r="G38">
        <v>44.95</v>
      </c>
    </row>
    <row r="39" spans="1:7" x14ac:dyDescent="0.25">
      <c r="A39" s="34">
        <v>41872</v>
      </c>
      <c r="B39">
        <v>44.84</v>
      </c>
      <c r="C39">
        <v>45.25</v>
      </c>
      <c r="D39">
        <v>44.83</v>
      </c>
      <c r="E39">
        <v>45.22</v>
      </c>
      <c r="F39">
        <v>22272000</v>
      </c>
      <c r="G39">
        <v>45.22</v>
      </c>
    </row>
    <row r="40" spans="1:7" x14ac:dyDescent="0.25">
      <c r="A40" s="34">
        <v>41873</v>
      </c>
      <c r="B40">
        <v>45.35</v>
      </c>
      <c r="C40">
        <v>45.47</v>
      </c>
      <c r="D40">
        <v>45.07</v>
      </c>
      <c r="E40">
        <v>45.15</v>
      </c>
      <c r="F40">
        <v>18294500</v>
      </c>
      <c r="G40">
        <v>45.15</v>
      </c>
    </row>
    <row r="41" spans="1:7" x14ac:dyDescent="0.25">
      <c r="A41" s="34">
        <v>41876</v>
      </c>
      <c r="B41">
        <v>45.4</v>
      </c>
      <c r="C41">
        <v>45.44</v>
      </c>
      <c r="D41">
        <v>45.04</v>
      </c>
      <c r="E41">
        <v>45.17</v>
      </c>
      <c r="F41">
        <v>16898100</v>
      </c>
      <c r="G41">
        <v>45.17</v>
      </c>
    </row>
    <row r="42" spans="1:7" x14ac:dyDescent="0.25">
      <c r="A42" s="34">
        <v>41877</v>
      </c>
      <c r="B42">
        <v>45.31</v>
      </c>
      <c r="C42">
        <v>45.4</v>
      </c>
      <c r="D42">
        <v>44.94</v>
      </c>
      <c r="E42">
        <v>45.01</v>
      </c>
      <c r="F42">
        <v>14873100</v>
      </c>
      <c r="G42">
        <v>45.01</v>
      </c>
    </row>
    <row r="43" spans="1:7" x14ac:dyDescent="0.25">
      <c r="A43" s="34">
        <v>41878</v>
      </c>
      <c r="B43">
        <v>44.9</v>
      </c>
      <c r="C43">
        <v>45</v>
      </c>
      <c r="D43">
        <v>44.76</v>
      </c>
      <c r="E43">
        <v>44.87</v>
      </c>
      <c r="F43">
        <v>20823000</v>
      </c>
      <c r="G43">
        <v>44.87</v>
      </c>
    </row>
    <row r="44" spans="1:7" x14ac:dyDescent="0.25">
      <c r="A44" s="34">
        <v>41879</v>
      </c>
      <c r="B44">
        <v>44.75</v>
      </c>
      <c r="C44">
        <v>44.98</v>
      </c>
      <c r="D44">
        <v>44.61</v>
      </c>
      <c r="E44">
        <v>44.88</v>
      </c>
      <c r="F44">
        <v>17657600</v>
      </c>
      <c r="G44">
        <v>44.88</v>
      </c>
    </row>
    <row r="45" spans="1:7" x14ac:dyDescent="0.25">
      <c r="A45" s="34">
        <v>41880</v>
      </c>
      <c r="B45">
        <v>45.09</v>
      </c>
      <c r="C45">
        <v>45.44</v>
      </c>
      <c r="D45">
        <v>44.86</v>
      </c>
      <c r="E45">
        <v>45.43</v>
      </c>
      <c r="F45">
        <v>21607600</v>
      </c>
      <c r="G45">
        <v>45.43</v>
      </c>
    </row>
    <row r="46" spans="1:7" x14ac:dyDescent="0.25">
      <c r="A46" s="34">
        <v>41884</v>
      </c>
      <c r="B46">
        <v>45.43</v>
      </c>
      <c r="C46">
        <v>45.46</v>
      </c>
      <c r="D46">
        <v>44.85</v>
      </c>
      <c r="E46">
        <v>45.09</v>
      </c>
      <c r="F46">
        <v>22956800</v>
      </c>
      <c r="G46">
        <v>45.09</v>
      </c>
    </row>
    <row r="47" spans="1:7" x14ac:dyDescent="0.25">
      <c r="A47" s="34">
        <v>41885</v>
      </c>
      <c r="B47">
        <v>44.53</v>
      </c>
      <c r="C47">
        <v>45.11</v>
      </c>
      <c r="D47">
        <v>44.53</v>
      </c>
      <c r="E47">
        <v>44.96</v>
      </c>
      <c r="F47">
        <v>33684500</v>
      </c>
      <c r="G47">
        <v>44.96</v>
      </c>
    </row>
    <row r="48" spans="1:7" x14ac:dyDescent="0.25">
      <c r="A48" s="34">
        <v>41886</v>
      </c>
      <c r="B48">
        <v>44.74</v>
      </c>
      <c r="C48">
        <v>45.27</v>
      </c>
      <c r="D48">
        <v>44.72</v>
      </c>
      <c r="E48">
        <v>45.26</v>
      </c>
      <c r="F48">
        <v>26475500</v>
      </c>
      <c r="G48">
        <v>45.26</v>
      </c>
    </row>
    <row r="49" spans="1:7" x14ac:dyDescent="0.25">
      <c r="A49" s="34">
        <v>41887</v>
      </c>
      <c r="B49">
        <v>45.11</v>
      </c>
      <c r="C49">
        <v>45.93</v>
      </c>
      <c r="D49">
        <v>45.11</v>
      </c>
      <c r="E49">
        <v>45.91</v>
      </c>
      <c r="F49">
        <v>36882700</v>
      </c>
      <c r="G49">
        <v>45.91</v>
      </c>
    </row>
    <row r="50" spans="1:7" x14ac:dyDescent="0.25">
      <c r="A50" s="34">
        <v>41890</v>
      </c>
      <c r="B50">
        <v>46.02</v>
      </c>
      <c r="C50">
        <v>46.8</v>
      </c>
      <c r="D50">
        <v>45.99</v>
      </c>
      <c r="E50">
        <v>46.47</v>
      </c>
      <c r="F50">
        <v>45719000</v>
      </c>
      <c r="G50">
        <v>46.47</v>
      </c>
    </row>
    <row r="51" spans="1:7" x14ac:dyDescent="0.25">
      <c r="A51" s="34">
        <v>41891</v>
      </c>
      <c r="B51">
        <v>46.47</v>
      </c>
      <c r="C51">
        <v>46.97</v>
      </c>
      <c r="D51">
        <v>46.42</v>
      </c>
      <c r="E51">
        <v>46.76</v>
      </c>
      <c r="F51">
        <v>40255500</v>
      </c>
      <c r="G51">
        <v>46.76</v>
      </c>
    </row>
    <row r="52" spans="1:7" x14ac:dyDescent="0.25">
      <c r="A52" s="34">
        <v>41892</v>
      </c>
      <c r="B52">
        <v>46.82</v>
      </c>
      <c r="C52">
        <v>46.94</v>
      </c>
      <c r="D52">
        <v>46.28</v>
      </c>
      <c r="E52">
        <v>46.84</v>
      </c>
      <c r="F52">
        <v>27302400</v>
      </c>
      <c r="G52">
        <v>46.84</v>
      </c>
    </row>
    <row r="53" spans="1:7" x14ac:dyDescent="0.25">
      <c r="A53" s="34">
        <v>41893</v>
      </c>
      <c r="B53">
        <v>46.74</v>
      </c>
      <c r="C53">
        <v>47</v>
      </c>
      <c r="D53">
        <v>46.47</v>
      </c>
      <c r="E53">
        <v>47</v>
      </c>
      <c r="F53">
        <v>29216400</v>
      </c>
      <c r="G53">
        <v>47</v>
      </c>
    </row>
    <row r="54" spans="1:7" x14ac:dyDescent="0.25">
      <c r="A54" s="34">
        <v>41894</v>
      </c>
      <c r="B54">
        <v>46.91</v>
      </c>
      <c r="C54">
        <v>47.02</v>
      </c>
      <c r="D54">
        <v>46.6</v>
      </c>
      <c r="E54">
        <v>46.7</v>
      </c>
      <c r="F54">
        <v>38244700</v>
      </c>
      <c r="G54">
        <v>46.7</v>
      </c>
    </row>
    <row r="55" spans="1:7" x14ac:dyDescent="0.25">
      <c r="A55" s="34">
        <v>41897</v>
      </c>
      <c r="B55">
        <v>46.54</v>
      </c>
      <c r="C55">
        <v>46.71</v>
      </c>
      <c r="D55">
        <v>46.1</v>
      </c>
      <c r="E55">
        <v>46.24</v>
      </c>
      <c r="F55">
        <v>37630700</v>
      </c>
      <c r="G55">
        <v>46.24</v>
      </c>
    </row>
  </sheetData>
  <sortState ref="A3:G55">
    <sortCondition ref="A3:A55"/>
  </sortState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77.73</v>
      </c>
      <c r="C3">
        <v>78.540000000000006</v>
      </c>
      <c r="D3">
        <v>77.73</v>
      </c>
      <c r="E3">
        <v>78</v>
      </c>
      <c r="F3">
        <v>3564600</v>
      </c>
      <c r="G3">
        <v>77.77</v>
      </c>
    </row>
    <row r="4" spans="1:7" x14ac:dyDescent="0.25">
      <c r="A4" s="34">
        <v>41822</v>
      </c>
      <c r="B4">
        <v>78.06</v>
      </c>
      <c r="C4">
        <v>78.41</v>
      </c>
      <c r="D4">
        <v>77.69</v>
      </c>
      <c r="E4">
        <v>77.790000000000006</v>
      </c>
      <c r="F4">
        <v>2788600</v>
      </c>
      <c r="G4">
        <v>77.56</v>
      </c>
    </row>
    <row r="5" spans="1:7" x14ac:dyDescent="0.25">
      <c r="A5" s="34">
        <v>41823</v>
      </c>
      <c r="B5">
        <v>77.53</v>
      </c>
      <c r="C5">
        <v>78.62</v>
      </c>
      <c r="D5">
        <v>77</v>
      </c>
      <c r="E5">
        <v>78.45</v>
      </c>
      <c r="F5">
        <v>2284300</v>
      </c>
      <c r="G5">
        <v>78.209999999999994</v>
      </c>
    </row>
    <row r="6" spans="1:7" x14ac:dyDescent="0.25">
      <c r="A6" s="34">
        <v>41827</v>
      </c>
      <c r="B6">
        <v>78</v>
      </c>
      <c r="C6">
        <v>78.83</v>
      </c>
      <c r="D6">
        <v>77.94</v>
      </c>
      <c r="E6">
        <v>78.650000000000006</v>
      </c>
      <c r="F6">
        <v>2732400</v>
      </c>
      <c r="G6">
        <v>78.41</v>
      </c>
    </row>
    <row r="7" spans="1:7" x14ac:dyDescent="0.25">
      <c r="A7" s="34">
        <v>41828</v>
      </c>
      <c r="B7">
        <v>78.31</v>
      </c>
      <c r="C7">
        <v>78.41</v>
      </c>
      <c r="D7">
        <v>77.069999999999993</v>
      </c>
      <c r="E7">
        <v>77.67</v>
      </c>
      <c r="F7">
        <v>4022200</v>
      </c>
      <c r="G7">
        <v>77.44</v>
      </c>
    </row>
    <row r="8" spans="1:7" x14ac:dyDescent="0.25">
      <c r="A8" s="34">
        <v>41829</v>
      </c>
      <c r="B8">
        <v>77.78</v>
      </c>
      <c r="C8">
        <v>78.77</v>
      </c>
      <c r="D8">
        <v>77.69</v>
      </c>
      <c r="E8">
        <v>78.69</v>
      </c>
      <c r="F8">
        <v>3514400</v>
      </c>
      <c r="G8">
        <v>78.45</v>
      </c>
    </row>
    <row r="9" spans="1:7" x14ac:dyDescent="0.25">
      <c r="A9" s="34">
        <v>41830</v>
      </c>
      <c r="B9">
        <v>77.27</v>
      </c>
      <c r="C9">
        <v>77.81</v>
      </c>
      <c r="D9">
        <v>76.790000000000006</v>
      </c>
      <c r="E9">
        <v>77.5</v>
      </c>
      <c r="F9">
        <v>3178500</v>
      </c>
      <c r="G9">
        <v>77.27</v>
      </c>
    </row>
    <row r="10" spans="1:7" x14ac:dyDescent="0.25">
      <c r="A10" s="34">
        <v>41831</v>
      </c>
      <c r="B10">
        <v>77.28</v>
      </c>
      <c r="C10">
        <v>77.59</v>
      </c>
      <c r="D10">
        <v>76.760000000000005</v>
      </c>
      <c r="E10">
        <v>77.290000000000006</v>
      </c>
      <c r="F10">
        <v>2879000</v>
      </c>
      <c r="G10">
        <v>77.06</v>
      </c>
    </row>
    <row r="11" spans="1:7" x14ac:dyDescent="0.25">
      <c r="A11" s="34">
        <v>41834</v>
      </c>
      <c r="B11">
        <v>77.95</v>
      </c>
      <c r="C11">
        <v>78.19</v>
      </c>
      <c r="D11">
        <v>77.59</v>
      </c>
      <c r="E11">
        <v>77.95</v>
      </c>
      <c r="F11">
        <v>2751700</v>
      </c>
      <c r="G11">
        <v>77.72</v>
      </c>
    </row>
    <row r="12" spans="1:7" x14ac:dyDescent="0.25">
      <c r="A12" s="34">
        <v>41835</v>
      </c>
      <c r="B12">
        <v>77.52</v>
      </c>
      <c r="C12">
        <v>78.209999999999994</v>
      </c>
      <c r="D12">
        <v>77.48</v>
      </c>
      <c r="E12">
        <v>78.03</v>
      </c>
      <c r="F12">
        <v>3253000</v>
      </c>
      <c r="G12">
        <v>77.8</v>
      </c>
    </row>
    <row r="13" spans="1:7" x14ac:dyDescent="0.25">
      <c r="A13" s="34">
        <v>41836</v>
      </c>
      <c r="B13">
        <v>77.849999999999994</v>
      </c>
      <c r="C13">
        <v>78.23</v>
      </c>
      <c r="D13">
        <v>76.77</v>
      </c>
      <c r="E13">
        <v>76.92</v>
      </c>
      <c r="F13">
        <v>3724800</v>
      </c>
      <c r="G13">
        <v>76.69</v>
      </c>
    </row>
    <row r="14" spans="1:7" x14ac:dyDescent="0.25">
      <c r="A14" s="34">
        <v>41837</v>
      </c>
      <c r="B14">
        <v>76.430000000000007</v>
      </c>
      <c r="C14">
        <v>76.97</v>
      </c>
      <c r="D14">
        <v>76.3</v>
      </c>
      <c r="E14">
        <v>76.53</v>
      </c>
      <c r="F14">
        <v>3730800</v>
      </c>
      <c r="G14">
        <v>76.3</v>
      </c>
    </row>
    <row r="15" spans="1:7" x14ac:dyDescent="0.25">
      <c r="A15" s="34">
        <v>41838</v>
      </c>
      <c r="B15">
        <v>76.849999999999994</v>
      </c>
      <c r="C15">
        <v>77.709999999999994</v>
      </c>
      <c r="D15">
        <v>76.67</v>
      </c>
      <c r="E15">
        <v>77.52</v>
      </c>
      <c r="F15">
        <v>3032600</v>
      </c>
      <c r="G15">
        <v>77.290000000000006</v>
      </c>
    </row>
    <row r="16" spans="1:7" x14ac:dyDescent="0.25">
      <c r="A16" s="34">
        <v>41841</v>
      </c>
      <c r="B16">
        <v>76.83</v>
      </c>
      <c r="C16">
        <v>77.3</v>
      </c>
      <c r="D16">
        <v>76.7</v>
      </c>
      <c r="E16">
        <v>76.819999999999993</v>
      </c>
      <c r="F16">
        <v>2104700</v>
      </c>
      <c r="G16">
        <v>76.59</v>
      </c>
    </row>
    <row r="17" spans="1:7" x14ac:dyDescent="0.25">
      <c r="A17" s="34">
        <v>41842</v>
      </c>
      <c r="B17">
        <v>77.11</v>
      </c>
      <c r="C17">
        <v>77.64</v>
      </c>
      <c r="D17">
        <v>77</v>
      </c>
      <c r="E17">
        <v>77.040000000000006</v>
      </c>
      <c r="F17">
        <v>2518000</v>
      </c>
      <c r="G17">
        <v>76.81</v>
      </c>
    </row>
    <row r="18" spans="1:7" x14ac:dyDescent="0.25">
      <c r="A18" s="34">
        <v>41843</v>
      </c>
      <c r="B18">
        <v>77.260000000000005</v>
      </c>
      <c r="C18">
        <v>77.45</v>
      </c>
      <c r="D18">
        <v>76.83</v>
      </c>
      <c r="E18">
        <v>77.37</v>
      </c>
      <c r="F18">
        <v>2046100</v>
      </c>
      <c r="G18">
        <v>77.14</v>
      </c>
    </row>
    <row r="19" spans="1:7" x14ac:dyDescent="0.25">
      <c r="A19" s="34">
        <v>41844</v>
      </c>
      <c r="B19">
        <v>77.94</v>
      </c>
      <c r="C19">
        <v>78.77</v>
      </c>
      <c r="D19">
        <v>77.86</v>
      </c>
      <c r="E19">
        <v>78.599999999999994</v>
      </c>
      <c r="F19">
        <v>4015100</v>
      </c>
      <c r="G19">
        <v>78.36</v>
      </c>
    </row>
    <row r="20" spans="1:7" x14ac:dyDescent="0.25">
      <c r="A20" s="34">
        <v>41845</v>
      </c>
      <c r="B20">
        <v>78.34</v>
      </c>
      <c r="C20">
        <v>78.78</v>
      </c>
      <c r="D20">
        <v>77.61</v>
      </c>
      <c r="E20">
        <v>77.72</v>
      </c>
      <c r="F20">
        <v>2270200</v>
      </c>
      <c r="G20">
        <v>77.489999999999995</v>
      </c>
    </row>
    <row r="21" spans="1:7" x14ac:dyDescent="0.25">
      <c r="A21" s="34">
        <v>41848</v>
      </c>
      <c r="B21">
        <v>77.930000000000007</v>
      </c>
      <c r="C21">
        <v>78.599999999999994</v>
      </c>
      <c r="D21">
        <v>77.52</v>
      </c>
      <c r="E21">
        <v>78.400000000000006</v>
      </c>
      <c r="F21">
        <v>2032600</v>
      </c>
      <c r="G21">
        <v>78.16</v>
      </c>
    </row>
    <row r="22" spans="1:7" x14ac:dyDescent="0.25">
      <c r="A22" s="34">
        <v>41849</v>
      </c>
      <c r="B22">
        <v>78.42</v>
      </c>
      <c r="C22">
        <v>78.86</v>
      </c>
      <c r="D22">
        <v>78.099999999999994</v>
      </c>
      <c r="E22">
        <v>78.099999999999994</v>
      </c>
      <c r="F22">
        <v>2334800</v>
      </c>
      <c r="G22">
        <v>77.86</v>
      </c>
    </row>
    <row r="23" spans="1:7" x14ac:dyDescent="0.25">
      <c r="A23" s="34">
        <v>41850</v>
      </c>
      <c r="B23">
        <v>78.39</v>
      </c>
      <c r="C23">
        <v>79.94</v>
      </c>
      <c r="D23">
        <v>78.28</v>
      </c>
      <c r="E23">
        <v>79.61</v>
      </c>
      <c r="F23">
        <v>4524100</v>
      </c>
      <c r="G23">
        <v>79.37</v>
      </c>
    </row>
    <row r="24" spans="1:7" x14ac:dyDescent="0.25">
      <c r="A24" s="34">
        <v>41851</v>
      </c>
      <c r="B24">
        <v>78.66</v>
      </c>
      <c r="C24">
        <v>79.02</v>
      </c>
      <c r="D24">
        <v>76.98</v>
      </c>
      <c r="E24">
        <v>77.13</v>
      </c>
      <c r="F24">
        <v>3898400</v>
      </c>
      <c r="G24">
        <v>76.900000000000006</v>
      </c>
    </row>
    <row r="25" spans="1:7" x14ac:dyDescent="0.25">
      <c r="A25" s="34">
        <v>41852</v>
      </c>
      <c r="B25">
        <v>76.540000000000006</v>
      </c>
      <c r="C25">
        <v>77.25</v>
      </c>
      <c r="D25">
        <v>76.39</v>
      </c>
      <c r="E25">
        <v>76.78</v>
      </c>
      <c r="F25">
        <v>2912900</v>
      </c>
      <c r="G25">
        <v>76.55</v>
      </c>
    </row>
    <row r="26" spans="1:7" x14ac:dyDescent="0.25">
      <c r="A26" s="34">
        <v>41855</v>
      </c>
      <c r="B26">
        <v>76.88</v>
      </c>
      <c r="C26">
        <v>77.41</v>
      </c>
      <c r="D26">
        <v>76.290000000000006</v>
      </c>
      <c r="E26">
        <v>77.16</v>
      </c>
      <c r="F26">
        <v>2419700</v>
      </c>
      <c r="G26">
        <v>76.930000000000007</v>
      </c>
    </row>
    <row r="27" spans="1:7" x14ac:dyDescent="0.25">
      <c r="A27" s="34">
        <v>41856</v>
      </c>
      <c r="B27">
        <v>76.760000000000005</v>
      </c>
      <c r="C27">
        <v>77.64</v>
      </c>
      <c r="D27">
        <v>76.53</v>
      </c>
      <c r="E27">
        <v>76.92</v>
      </c>
      <c r="F27">
        <v>2433100</v>
      </c>
      <c r="G27">
        <v>76.69</v>
      </c>
    </row>
    <row r="28" spans="1:7" x14ac:dyDescent="0.25">
      <c r="A28" s="34">
        <v>41857</v>
      </c>
      <c r="B28">
        <v>76.510000000000005</v>
      </c>
      <c r="C28">
        <v>77.239999999999995</v>
      </c>
      <c r="D28">
        <v>76.45</v>
      </c>
      <c r="E28">
        <v>77.14</v>
      </c>
      <c r="F28">
        <v>2537200</v>
      </c>
      <c r="G28">
        <v>76.91</v>
      </c>
    </row>
    <row r="29" spans="1:7" x14ac:dyDescent="0.25">
      <c r="A29" s="34">
        <v>41858</v>
      </c>
      <c r="B29">
        <v>77.7</v>
      </c>
      <c r="C29">
        <v>77.73</v>
      </c>
      <c r="D29">
        <v>75.98</v>
      </c>
      <c r="E29">
        <v>76.349999999999994</v>
      </c>
      <c r="F29">
        <v>3368700</v>
      </c>
      <c r="G29">
        <v>76.12</v>
      </c>
    </row>
    <row r="30" spans="1:7" x14ac:dyDescent="0.25">
      <c r="A30" s="34">
        <v>41859</v>
      </c>
      <c r="B30">
        <v>76.31</v>
      </c>
      <c r="C30">
        <v>77.099999999999994</v>
      </c>
      <c r="D30">
        <v>75.900000000000006</v>
      </c>
      <c r="E30">
        <v>77.06</v>
      </c>
      <c r="F30">
        <v>3357400</v>
      </c>
      <c r="G30">
        <v>76.83</v>
      </c>
    </row>
    <row r="31" spans="1:7" x14ac:dyDescent="0.25">
      <c r="A31" s="34">
        <v>41862</v>
      </c>
      <c r="B31">
        <v>77.48</v>
      </c>
      <c r="C31">
        <v>77.5</v>
      </c>
      <c r="D31">
        <v>76.98</v>
      </c>
      <c r="E31">
        <v>77.06</v>
      </c>
      <c r="F31">
        <v>3914300</v>
      </c>
      <c r="G31">
        <v>76.83</v>
      </c>
    </row>
    <row r="32" spans="1:7" x14ac:dyDescent="0.25">
      <c r="A32" s="34">
        <v>41863</v>
      </c>
      <c r="B32">
        <v>77</v>
      </c>
      <c r="C32">
        <v>77.44</v>
      </c>
      <c r="D32">
        <v>76.489999999999995</v>
      </c>
      <c r="E32">
        <v>76.73</v>
      </c>
      <c r="F32">
        <v>4571000</v>
      </c>
      <c r="G32">
        <v>76.5</v>
      </c>
    </row>
    <row r="33" spans="1:7" x14ac:dyDescent="0.25">
      <c r="A33" s="34">
        <v>41864</v>
      </c>
      <c r="B33">
        <v>77.08</v>
      </c>
      <c r="C33">
        <v>77.790000000000006</v>
      </c>
      <c r="D33">
        <v>76.540000000000006</v>
      </c>
      <c r="E33">
        <v>77.25</v>
      </c>
      <c r="F33">
        <v>3200200</v>
      </c>
      <c r="G33">
        <v>77.02</v>
      </c>
    </row>
    <row r="34" spans="1:7" x14ac:dyDescent="0.25">
      <c r="A34" s="34">
        <v>41865</v>
      </c>
      <c r="B34">
        <v>77.52</v>
      </c>
      <c r="C34">
        <v>77.81</v>
      </c>
      <c r="D34">
        <v>76.959999999999994</v>
      </c>
      <c r="E34">
        <v>77.3</v>
      </c>
      <c r="F34">
        <v>1967500</v>
      </c>
      <c r="G34">
        <v>77.069999999999993</v>
      </c>
    </row>
    <row r="35" spans="1:7" x14ac:dyDescent="0.25">
      <c r="A35" s="34">
        <v>41866</v>
      </c>
      <c r="B35">
        <v>77.72</v>
      </c>
      <c r="C35">
        <v>78</v>
      </c>
      <c r="D35">
        <v>76.489999999999995</v>
      </c>
      <c r="E35">
        <v>77.13</v>
      </c>
      <c r="F35">
        <v>2245000</v>
      </c>
      <c r="G35">
        <v>76.900000000000006</v>
      </c>
    </row>
    <row r="36" spans="1:7" x14ac:dyDescent="0.25">
      <c r="A36" s="34">
        <v>41869</v>
      </c>
      <c r="B36">
        <v>77.73</v>
      </c>
      <c r="C36">
        <v>78.69</v>
      </c>
      <c r="D36">
        <v>77.569999999999993</v>
      </c>
      <c r="E36">
        <v>78.55</v>
      </c>
      <c r="F36">
        <v>2848700</v>
      </c>
      <c r="G36">
        <v>78.31</v>
      </c>
    </row>
    <row r="37" spans="1:7" x14ac:dyDescent="0.25">
      <c r="A37" s="34">
        <v>41870</v>
      </c>
      <c r="B37">
        <v>78.709999999999994</v>
      </c>
      <c r="C37">
        <v>79.09</v>
      </c>
      <c r="D37">
        <v>78.349999999999994</v>
      </c>
      <c r="E37">
        <v>78.510000000000005</v>
      </c>
      <c r="F37">
        <v>2212000</v>
      </c>
      <c r="G37">
        <v>78.27</v>
      </c>
    </row>
    <row r="38" spans="1:7" x14ac:dyDescent="0.25">
      <c r="A38" s="34">
        <v>41871</v>
      </c>
      <c r="B38">
        <v>78.19</v>
      </c>
      <c r="C38">
        <v>79.08</v>
      </c>
      <c r="D38">
        <v>78.19</v>
      </c>
      <c r="E38">
        <v>78.91</v>
      </c>
      <c r="F38">
        <v>1982900</v>
      </c>
      <c r="G38">
        <v>78.67</v>
      </c>
    </row>
    <row r="39" spans="1:7" x14ac:dyDescent="0.25">
      <c r="A39" s="34">
        <v>41872</v>
      </c>
      <c r="B39">
        <v>79.040000000000006</v>
      </c>
      <c r="C39">
        <v>79.400000000000006</v>
      </c>
      <c r="D39">
        <v>78.650000000000006</v>
      </c>
      <c r="E39">
        <v>78.94</v>
      </c>
      <c r="F39">
        <v>2000900</v>
      </c>
      <c r="G39">
        <v>78.7</v>
      </c>
    </row>
    <row r="40" spans="1:7" x14ac:dyDescent="0.25">
      <c r="A40" s="34">
        <v>41873</v>
      </c>
      <c r="B40">
        <v>79.25</v>
      </c>
      <c r="C40">
        <v>79.73</v>
      </c>
      <c r="D40">
        <v>78.92</v>
      </c>
      <c r="E40">
        <v>79.290000000000006</v>
      </c>
      <c r="F40">
        <v>2903700</v>
      </c>
      <c r="G40">
        <v>79.05</v>
      </c>
    </row>
    <row r="41" spans="1:7" x14ac:dyDescent="0.25">
      <c r="A41" s="34">
        <v>41876</v>
      </c>
      <c r="B41">
        <v>79.599999999999994</v>
      </c>
      <c r="C41">
        <v>80.3</v>
      </c>
      <c r="D41">
        <v>79.5</v>
      </c>
      <c r="E41">
        <v>80.010000000000005</v>
      </c>
      <c r="F41">
        <v>2537200</v>
      </c>
      <c r="G41">
        <v>79.77</v>
      </c>
    </row>
    <row r="42" spans="1:7" x14ac:dyDescent="0.25">
      <c r="A42" s="34">
        <v>41877</v>
      </c>
      <c r="B42">
        <v>80.03</v>
      </c>
      <c r="C42">
        <v>80.099999999999994</v>
      </c>
      <c r="D42">
        <v>79.42</v>
      </c>
      <c r="E42">
        <v>79.48</v>
      </c>
      <c r="F42">
        <v>2608200</v>
      </c>
      <c r="G42">
        <v>79.239999999999995</v>
      </c>
    </row>
    <row r="43" spans="1:7" x14ac:dyDescent="0.25">
      <c r="A43" s="34">
        <v>41878</v>
      </c>
      <c r="B43">
        <v>79.989999999999995</v>
      </c>
      <c r="C43">
        <v>79.989999999999995</v>
      </c>
      <c r="D43">
        <v>79.42</v>
      </c>
      <c r="E43">
        <v>79.72</v>
      </c>
      <c r="F43">
        <v>1839700</v>
      </c>
      <c r="G43">
        <v>79.48</v>
      </c>
    </row>
    <row r="44" spans="1:7" x14ac:dyDescent="0.25">
      <c r="A44" s="34">
        <v>41879</v>
      </c>
      <c r="B44">
        <v>79.02</v>
      </c>
      <c r="C44">
        <v>79.22</v>
      </c>
      <c r="D44">
        <v>78.66</v>
      </c>
      <c r="E44">
        <v>78.819999999999993</v>
      </c>
      <c r="F44">
        <v>2584600</v>
      </c>
      <c r="G44">
        <v>78.819999999999993</v>
      </c>
    </row>
    <row r="45" spans="1:7" x14ac:dyDescent="0.25">
      <c r="A45" s="34">
        <v>41880</v>
      </c>
      <c r="B45">
        <v>78.849999999999994</v>
      </c>
      <c r="C45">
        <v>78.94</v>
      </c>
      <c r="D45">
        <v>78.27</v>
      </c>
      <c r="E45">
        <v>78.55</v>
      </c>
      <c r="F45">
        <v>3211500</v>
      </c>
      <c r="G45">
        <v>78.55</v>
      </c>
    </row>
    <row r="46" spans="1:7" x14ac:dyDescent="0.25">
      <c r="A46" s="34">
        <v>41884</v>
      </c>
      <c r="B46">
        <v>78.349999999999994</v>
      </c>
      <c r="C46">
        <v>79.52</v>
      </c>
      <c r="D46">
        <v>78.349999999999994</v>
      </c>
      <c r="E46">
        <v>79.28</v>
      </c>
      <c r="F46">
        <v>4082100</v>
      </c>
      <c r="G46">
        <v>79.28</v>
      </c>
    </row>
    <row r="47" spans="1:7" x14ac:dyDescent="0.25">
      <c r="A47" s="34">
        <v>41885</v>
      </c>
      <c r="B47">
        <v>79.790000000000006</v>
      </c>
      <c r="C47">
        <v>79.88</v>
      </c>
      <c r="D47">
        <v>78.540000000000006</v>
      </c>
      <c r="E47">
        <v>78.819999999999993</v>
      </c>
      <c r="F47">
        <v>2204800</v>
      </c>
      <c r="G47">
        <v>78.819999999999993</v>
      </c>
    </row>
    <row r="48" spans="1:7" x14ac:dyDescent="0.25">
      <c r="A48" s="34">
        <v>41886</v>
      </c>
      <c r="B48">
        <v>79.2</v>
      </c>
      <c r="C48">
        <v>80.22</v>
      </c>
      <c r="D48">
        <v>79.180000000000007</v>
      </c>
      <c r="E48">
        <v>79.92</v>
      </c>
      <c r="F48">
        <v>3011400</v>
      </c>
      <c r="G48">
        <v>79.92</v>
      </c>
    </row>
    <row r="49" spans="1:7" x14ac:dyDescent="0.25">
      <c r="A49" s="34">
        <v>41887</v>
      </c>
      <c r="B49">
        <v>79.540000000000006</v>
      </c>
      <c r="C49">
        <v>82.11</v>
      </c>
      <c r="D49">
        <v>79.349999999999994</v>
      </c>
      <c r="E49">
        <v>82.04</v>
      </c>
      <c r="F49">
        <v>6190300</v>
      </c>
      <c r="G49">
        <v>82.04</v>
      </c>
    </row>
    <row r="50" spans="1:7" x14ac:dyDescent="0.25">
      <c r="A50" s="34">
        <v>41890</v>
      </c>
      <c r="B50">
        <v>81.92</v>
      </c>
      <c r="C50">
        <v>82.79</v>
      </c>
      <c r="D50">
        <v>81.09</v>
      </c>
      <c r="E50">
        <v>82.4</v>
      </c>
      <c r="F50">
        <v>5864100</v>
      </c>
      <c r="G50">
        <v>82.4</v>
      </c>
    </row>
    <row r="51" spans="1:7" x14ac:dyDescent="0.25">
      <c r="A51" s="34">
        <v>41891</v>
      </c>
      <c r="B51">
        <v>82.27</v>
      </c>
      <c r="C51">
        <v>82.54</v>
      </c>
      <c r="D51">
        <v>81.510000000000005</v>
      </c>
      <c r="E51">
        <v>81.84</v>
      </c>
      <c r="F51">
        <v>4059500</v>
      </c>
      <c r="G51">
        <v>81.84</v>
      </c>
    </row>
    <row r="52" spans="1:7" x14ac:dyDescent="0.25">
      <c r="A52" s="34">
        <v>41892</v>
      </c>
      <c r="B52">
        <v>81.73</v>
      </c>
      <c r="C52">
        <v>82.61</v>
      </c>
      <c r="D52">
        <v>81.5</v>
      </c>
      <c r="E52">
        <v>82.47</v>
      </c>
      <c r="F52">
        <v>3371200</v>
      </c>
      <c r="G52">
        <v>82.47</v>
      </c>
    </row>
    <row r="53" spans="1:7" x14ac:dyDescent="0.25">
      <c r="A53" s="34">
        <v>41893</v>
      </c>
      <c r="B53">
        <v>82.16</v>
      </c>
      <c r="C53">
        <v>82.59</v>
      </c>
      <c r="D53">
        <v>81.540000000000006</v>
      </c>
      <c r="E53">
        <v>81.819999999999993</v>
      </c>
      <c r="F53">
        <v>3730200</v>
      </c>
      <c r="G53">
        <v>81.819999999999993</v>
      </c>
    </row>
    <row r="54" spans="1:7" x14ac:dyDescent="0.25">
      <c r="A54" s="34">
        <v>41894</v>
      </c>
      <c r="B54">
        <v>81.97</v>
      </c>
      <c r="C54">
        <v>82</v>
      </c>
      <c r="D54">
        <v>81.41</v>
      </c>
      <c r="E54">
        <v>81.84</v>
      </c>
      <c r="F54">
        <v>2963100</v>
      </c>
      <c r="G54">
        <v>81.84</v>
      </c>
    </row>
    <row r="55" spans="1:7" x14ac:dyDescent="0.25">
      <c r="A55" s="34">
        <v>41897</v>
      </c>
      <c r="B55">
        <v>82.1</v>
      </c>
      <c r="C55">
        <v>82.18</v>
      </c>
      <c r="D55">
        <v>81.010000000000005</v>
      </c>
      <c r="E55">
        <v>81.61</v>
      </c>
      <c r="F55">
        <v>3364500</v>
      </c>
      <c r="G55">
        <v>81.61</v>
      </c>
    </row>
  </sheetData>
  <sortState ref="A3:G55">
    <sortCondition ref="A3:A55"/>
  </sortState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82.66</v>
      </c>
      <c r="C3">
        <v>82.77</v>
      </c>
      <c r="D3">
        <v>81.8</v>
      </c>
      <c r="E3">
        <v>82.41</v>
      </c>
      <c r="F3">
        <v>2738200</v>
      </c>
      <c r="G3">
        <v>81.95</v>
      </c>
    </row>
    <row r="4" spans="1:7" x14ac:dyDescent="0.25">
      <c r="A4" s="34">
        <v>41822</v>
      </c>
      <c r="B4">
        <v>82.39</v>
      </c>
      <c r="C4">
        <v>82.87</v>
      </c>
      <c r="D4">
        <v>82.16</v>
      </c>
      <c r="E4">
        <v>82.61</v>
      </c>
      <c r="F4">
        <v>2360300</v>
      </c>
      <c r="G4">
        <v>82.15</v>
      </c>
    </row>
    <row r="5" spans="1:7" x14ac:dyDescent="0.25">
      <c r="A5" s="34">
        <v>41823</v>
      </c>
      <c r="B5">
        <v>82.48</v>
      </c>
      <c r="C5">
        <v>83.04</v>
      </c>
      <c r="D5">
        <v>82.18</v>
      </c>
      <c r="E5">
        <v>83.02</v>
      </c>
      <c r="F5">
        <v>1430800</v>
      </c>
      <c r="G5">
        <v>82.55</v>
      </c>
    </row>
    <row r="6" spans="1:7" x14ac:dyDescent="0.25">
      <c r="A6" s="34">
        <v>41827</v>
      </c>
      <c r="B6">
        <v>82.81</v>
      </c>
      <c r="C6">
        <v>83.23</v>
      </c>
      <c r="D6">
        <v>82.61</v>
      </c>
      <c r="E6">
        <v>83.14</v>
      </c>
      <c r="F6">
        <v>2342800</v>
      </c>
      <c r="G6">
        <v>82.67</v>
      </c>
    </row>
    <row r="7" spans="1:7" x14ac:dyDescent="0.25">
      <c r="A7" s="34">
        <v>41828</v>
      </c>
      <c r="B7">
        <v>82.56</v>
      </c>
      <c r="C7">
        <v>83.32</v>
      </c>
      <c r="D7">
        <v>82.5</v>
      </c>
      <c r="E7">
        <v>83.14</v>
      </c>
      <c r="F7">
        <v>2889000</v>
      </c>
      <c r="G7">
        <v>82.67</v>
      </c>
    </row>
    <row r="8" spans="1:7" x14ac:dyDescent="0.25">
      <c r="A8" s="34">
        <v>41829</v>
      </c>
      <c r="B8">
        <v>83.14</v>
      </c>
      <c r="C8">
        <v>84.67</v>
      </c>
      <c r="D8">
        <v>83.08</v>
      </c>
      <c r="E8">
        <v>84.5</v>
      </c>
      <c r="F8">
        <v>3297800</v>
      </c>
      <c r="G8">
        <v>84.02</v>
      </c>
    </row>
    <row r="9" spans="1:7" x14ac:dyDescent="0.25">
      <c r="A9" s="34">
        <v>41830</v>
      </c>
      <c r="B9">
        <v>83.56</v>
      </c>
      <c r="C9">
        <v>83.77</v>
      </c>
      <c r="D9">
        <v>82.76</v>
      </c>
      <c r="E9">
        <v>83.36</v>
      </c>
      <c r="F9">
        <v>3699100</v>
      </c>
      <c r="G9">
        <v>82.89</v>
      </c>
    </row>
    <row r="10" spans="1:7" x14ac:dyDescent="0.25">
      <c r="A10" s="34">
        <v>41831</v>
      </c>
      <c r="B10">
        <v>83.28</v>
      </c>
      <c r="C10">
        <v>83.3</v>
      </c>
      <c r="D10">
        <v>82.09</v>
      </c>
      <c r="E10">
        <v>82.75</v>
      </c>
      <c r="F10">
        <v>2824400</v>
      </c>
      <c r="G10">
        <v>82.28</v>
      </c>
    </row>
    <row r="11" spans="1:7" x14ac:dyDescent="0.25">
      <c r="A11" s="34">
        <v>41834</v>
      </c>
      <c r="B11">
        <v>83.12</v>
      </c>
      <c r="C11">
        <v>83.76</v>
      </c>
      <c r="D11">
        <v>83.07</v>
      </c>
      <c r="E11">
        <v>83.75</v>
      </c>
      <c r="F11">
        <v>1919200</v>
      </c>
      <c r="G11">
        <v>83.28</v>
      </c>
    </row>
    <row r="12" spans="1:7" x14ac:dyDescent="0.25">
      <c r="A12" s="34">
        <v>41835</v>
      </c>
      <c r="B12">
        <v>83.44</v>
      </c>
      <c r="C12">
        <v>84.1</v>
      </c>
      <c r="D12">
        <v>82.9</v>
      </c>
      <c r="E12">
        <v>83.88</v>
      </c>
      <c r="F12">
        <v>3391900</v>
      </c>
      <c r="G12">
        <v>83.41</v>
      </c>
    </row>
    <row r="13" spans="1:7" x14ac:dyDescent="0.25">
      <c r="A13" s="34">
        <v>41836</v>
      </c>
      <c r="B13">
        <v>84.25</v>
      </c>
      <c r="C13">
        <v>85.47</v>
      </c>
      <c r="D13">
        <v>84.14</v>
      </c>
      <c r="E13">
        <v>85.36</v>
      </c>
      <c r="F13">
        <v>3563900</v>
      </c>
      <c r="G13">
        <v>84.88</v>
      </c>
    </row>
    <row r="14" spans="1:7" x14ac:dyDescent="0.25">
      <c r="A14" s="34">
        <v>41837</v>
      </c>
      <c r="B14">
        <v>85.2</v>
      </c>
      <c r="C14">
        <v>85.75</v>
      </c>
      <c r="D14">
        <v>84.4</v>
      </c>
      <c r="E14">
        <v>84.6</v>
      </c>
      <c r="F14">
        <v>2714400</v>
      </c>
      <c r="G14">
        <v>84.12</v>
      </c>
    </row>
    <row r="15" spans="1:7" x14ac:dyDescent="0.25">
      <c r="A15" s="34">
        <v>41838</v>
      </c>
      <c r="B15">
        <v>84.59</v>
      </c>
      <c r="C15">
        <v>85.45</v>
      </c>
      <c r="D15">
        <v>84.36</v>
      </c>
      <c r="E15">
        <v>85.45</v>
      </c>
      <c r="F15">
        <v>3178500</v>
      </c>
      <c r="G15">
        <v>84.97</v>
      </c>
    </row>
    <row r="16" spans="1:7" x14ac:dyDescent="0.25">
      <c r="A16" s="34">
        <v>41841</v>
      </c>
      <c r="B16">
        <v>85.16</v>
      </c>
      <c r="C16">
        <v>85.76</v>
      </c>
      <c r="D16">
        <v>85.11</v>
      </c>
      <c r="E16">
        <v>85.58</v>
      </c>
      <c r="F16">
        <v>2507900</v>
      </c>
      <c r="G16">
        <v>85.1</v>
      </c>
    </row>
    <row r="17" spans="1:7" x14ac:dyDescent="0.25">
      <c r="A17" s="34">
        <v>41842</v>
      </c>
      <c r="B17">
        <v>85.85</v>
      </c>
      <c r="C17">
        <v>86.34</v>
      </c>
      <c r="D17">
        <v>85.8</v>
      </c>
      <c r="E17">
        <v>86.03</v>
      </c>
      <c r="F17">
        <v>2536000</v>
      </c>
      <c r="G17">
        <v>85.55</v>
      </c>
    </row>
    <row r="18" spans="1:7" x14ac:dyDescent="0.25">
      <c r="A18" s="34">
        <v>41843</v>
      </c>
      <c r="B18">
        <v>86.12</v>
      </c>
      <c r="C18">
        <v>86.3</v>
      </c>
      <c r="D18">
        <v>85.06</v>
      </c>
      <c r="E18">
        <v>86.18</v>
      </c>
      <c r="F18">
        <v>3123900</v>
      </c>
      <c r="G18">
        <v>85.7</v>
      </c>
    </row>
    <row r="19" spans="1:7" x14ac:dyDescent="0.25">
      <c r="A19" s="34">
        <v>41844</v>
      </c>
      <c r="B19">
        <v>86.13</v>
      </c>
      <c r="C19">
        <v>86.41</v>
      </c>
      <c r="D19">
        <v>85.07</v>
      </c>
      <c r="E19">
        <v>85.45</v>
      </c>
      <c r="F19">
        <v>3306900</v>
      </c>
      <c r="G19">
        <v>84.97</v>
      </c>
    </row>
    <row r="20" spans="1:7" x14ac:dyDescent="0.25">
      <c r="A20" s="34">
        <v>41845</v>
      </c>
      <c r="B20">
        <v>85</v>
      </c>
      <c r="C20">
        <v>85.39</v>
      </c>
      <c r="D20">
        <v>84.78</v>
      </c>
      <c r="E20">
        <v>85.17</v>
      </c>
      <c r="F20">
        <v>2611400</v>
      </c>
      <c r="G20">
        <v>84.69</v>
      </c>
    </row>
    <row r="21" spans="1:7" x14ac:dyDescent="0.25">
      <c r="A21" s="34">
        <v>41848</v>
      </c>
      <c r="B21">
        <v>85.17</v>
      </c>
      <c r="C21">
        <v>85.2</v>
      </c>
      <c r="D21">
        <v>83.79</v>
      </c>
      <c r="E21">
        <v>84.7</v>
      </c>
      <c r="F21">
        <v>4034800</v>
      </c>
      <c r="G21">
        <v>84.22</v>
      </c>
    </row>
    <row r="22" spans="1:7" x14ac:dyDescent="0.25">
      <c r="A22" s="34">
        <v>41849</v>
      </c>
      <c r="B22">
        <v>85.74</v>
      </c>
      <c r="C22">
        <v>85.79</v>
      </c>
      <c r="D22">
        <v>82.92</v>
      </c>
      <c r="E22">
        <v>83.41</v>
      </c>
      <c r="F22">
        <v>4670700</v>
      </c>
      <c r="G22">
        <v>82.94</v>
      </c>
    </row>
    <row r="23" spans="1:7" x14ac:dyDescent="0.25">
      <c r="A23" s="34">
        <v>41850</v>
      </c>
      <c r="B23">
        <v>83</v>
      </c>
      <c r="C23">
        <v>83.45</v>
      </c>
      <c r="D23">
        <v>81.73</v>
      </c>
      <c r="E23">
        <v>81.73</v>
      </c>
      <c r="F23">
        <v>5051000</v>
      </c>
      <c r="G23">
        <v>81.27</v>
      </c>
    </row>
    <row r="24" spans="1:7" x14ac:dyDescent="0.25">
      <c r="A24" s="34">
        <v>41851</v>
      </c>
      <c r="B24">
        <v>81.3</v>
      </c>
      <c r="C24">
        <v>81.93</v>
      </c>
      <c r="D24">
        <v>80.900000000000006</v>
      </c>
      <c r="E24">
        <v>81.040000000000006</v>
      </c>
      <c r="F24">
        <v>4249200</v>
      </c>
      <c r="G24">
        <v>80.58</v>
      </c>
    </row>
    <row r="25" spans="1:7" x14ac:dyDescent="0.25">
      <c r="A25" s="34">
        <v>41852</v>
      </c>
      <c r="B25">
        <v>80.53</v>
      </c>
      <c r="C25">
        <v>81.599999999999994</v>
      </c>
      <c r="D25">
        <v>80.3</v>
      </c>
      <c r="E25">
        <v>81.09</v>
      </c>
      <c r="F25">
        <v>3567000</v>
      </c>
      <c r="G25">
        <v>80.63</v>
      </c>
    </row>
    <row r="26" spans="1:7" x14ac:dyDescent="0.25">
      <c r="A26" s="34">
        <v>41855</v>
      </c>
      <c r="B26">
        <v>81.09</v>
      </c>
      <c r="C26">
        <v>82.99</v>
      </c>
      <c r="D26">
        <v>80.52</v>
      </c>
      <c r="E26">
        <v>82.87</v>
      </c>
      <c r="F26">
        <v>3384100</v>
      </c>
      <c r="G26">
        <v>82.4</v>
      </c>
    </row>
    <row r="27" spans="1:7" x14ac:dyDescent="0.25">
      <c r="A27" s="34">
        <v>41856</v>
      </c>
      <c r="B27">
        <v>82.56</v>
      </c>
      <c r="C27">
        <v>82.56</v>
      </c>
      <c r="D27">
        <v>80.760000000000005</v>
      </c>
      <c r="E27">
        <v>81.56</v>
      </c>
      <c r="F27">
        <v>3580300</v>
      </c>
      <c r="G27">
        <v>81.099999999999994</v>
      </c>
    </row>
    <row r="28" spans="1:7" x14ac:dyDescent="0.25">
      <c r="A28" s="34">
        <v>41857</v>
      </c>
      <c r="B28">
        <v>81.17</v>
      </c>
      <c r="C28">
        <v>82.71</v>
      </c>
      <c r="D28">
        <v>81.14</v>
      </c>
      <c r="E28">
        <v>82.01</v>
      </c>
      <c r="F28">
        <v>2724900</v>
      </c>
      <c r="G28">
        <v>81.55</v>
      </c>
    </row>
    <row r="29" spans="1:7" x14ac:dyDescent="0.25">
      <c r="A29" s="34">
        <v>41858</v>
      </c>
      <c r="B29">
        <v>82.18</v>
      </c>
      <c r="C29">
        <v>82.72</v>
      </c>
      <c r="D29">
        <v>81.31</v>
      </c>
      <c r="E29">
        <v>81.64</v>
      </c>
      <c r="F29">
        <v>2496000</v>
      </c>
      <c r="G29">
        <v>81.180000000000007</v>
      </c>
    </row>
    <row r="30" spans="1:7" x14ac:dyDescent="0.25">
      <c r="A30" s="34">
        <v>41859</v>
      </c>
      <c r="B30">
        <v>81.760000000000005</v>
      </c>
      <c r="C30">
        <v>82.38</v>
      </c>
      <c r="D30">
        <v>81.41</v>
      </c>
      <c r="E30">
        <v>82.31</v>
      </c>
      <c r="F30">
        <v>4121000</v>
      </c>
      <c r="G30">
        <v>81.849999999999994</v>
      </c>
    </row>
    <row r="31" spans="1:7" x14ac:dyDescent="0.25">
      <c r="A31" s="34">
        <v>41862</v>
      </c>
      <c r="B31">
        <v>82.5</v>
      </c>
      <c r="C31">
        <v>82.89</v>
      </c>
      <c r="D31">
        <v>81.87</v>
      </c>
      <c r="E31">
        <v>81.97</v>
      </c>
      <c r="F31">
        <v>2452000</v>
      </c>
      <c r="G31">
        <v>81.510000000000005</v>
      </c>
    </row>
    <row r="32" spans="1:7" x14ac:dyDescent="0.25">
      <c r="A32" s="34">
        <v>41863</v>
      </c>
      <c r="B32">
        <v>81.739999999999995</v>
      </c>
      <c r="C32">
        <v>82.45</v>
      </c>
      <c r="D32">
        <v>81.569999999999993</v>
      </c>
      <c r="E32">
        <v>81.89</v>
      </c>
      <c r="F32">
        <v>2081900</v>
      </c>
      <c r="G32">
        <v>81.430000000000007</v>
      </c>
    </row>
    <row r="33" spans="1:7" x14ac:dyDescent="0.25">
      <c r="A33" s="34">
        <v>41864</v>
      </c>
      <c r="B33">
        <v>82.35</v>
      </c>
      <c r="C33">
        <v>82.83</v>
      </c>
      <c r="D33">
        <v>82.1</v>
      </c>
      <c r="E33">
        <v>82.22</v>
      </c>
      <c r="F33">
        <v>1637200</v>
      </c>
      <c r="G33">
        <v>81.760000000000005</v>
      </c>
    </row>
    <row r="34" spans="1:7" x14ac:dyDescent="0.25">
      <c r="A34" s="34">
        <v>41865</v>
      </c>
      <c r="B34">
        <v>82.29</v>
      </c>
      <c r="C34">
        <v>82.7</v>
      </c>
      <c r="D34">
        <v>80.55</v>
      </c>
      <c r="E34">
        <v>80.77</v>
      </c>
      <c r="F34">
        <v>2745300</v>
      </c>
      <c r="G34">
        <v>80.319999999999993</v>
      </c>
    </row>
    <row r="35" spans="1:7" x14ac:dyDescent="0.25">
      <c r="A35" s="34">
        <v>41866</v>
      </c>
      <c r="B35">
        <v>81.14</v>
      </c>
      <c r="C35">
        <v>82.2</v>
      </c>
      <c r="D35">
        <v>81.14</v>
      </c>
      <c r="E35">
        <v>82.11</v>
      </c>
      <c r="F35">
        <v>2780500</v>
      </c>
      <c r="G35">
        <v>81.650000000000006</v>
      </c>
    </row>
    <row r="36" spans="1:7" x14ac:dyDescent="0.25">
      <c r="A36" s="34">
        <v>41869</v>
      </c>
      <c r="B36">
        <v>82.7</v>
      </c>
      <c r="C36">
        <v>82.86</v>
      </c>
      <c r="D36">
        <v>82.01</v>
      </c>
      <c r="E36">
        <v>82.49</v>
      </c>
      <c r="F36">
        <v>2124500</v>
      </c>
      <c r="G36">
        <v>82.03</v>
      </c>
    </row>
    <row r="37" spans="1:7" x14ac:dyDescent="0.25">
      <c r="A37" s="34">
        <v>41870</v>
      </c>
      <c r="B37">
        <v>82.53</v>
      </c>
      <c r="C37">
        <v>84.14</v>
      </c>
      <c r="D37">
        <v>82.45</v>
      </c>
      <c r="E37">
        <v>83.62</v>
      </c>
      <c r="F37">
        <v>3039000</v>
      </c>
      <c r="G37">
        <v>83.15</v>
      </c>
    </row>
    <row r="38" spans="1:7" x14ac:dyDescent="0.25">
      <c r="A38" s="34">
        <v>41871</v>
      </c>
      <c r="B38">
        <v>83.1</v>
      </c>
      <c r="C38">
        <v>83.87</v>
      </c>
      <c r="D38">
        <v>82.48</v>
      </c>
      <c r="E38">
        <v>83.84</v>
      </c>
      <c r="F38">
        <v>2279600</v>
      </c>
      <c r="G38">
        <v>83.37</v>
      </c>
    </row>
    <row r="39" spans="1:7" x14ac:dyDescent="0.25">
      <c r="A39" s="34">
        <v>41872</v>
      </c>
      <c r="B39">
        <v>84</v>
      </c>
      <c r="C39">
        <v>84.64</v>
      </c>
      <c r="D39">
        <v>83.3</v>
      </c>
      <c r="E39">
        <v>84.41</v>
      </c>
      <c r="F39">
        <v>2543600</v>
      </c>
      <c r="G39">
        <v>83.94</v>
      </c>
    </row>
    <row r="40" spans="1:7" x14ac:dyDescent="0.25">
      <c r="A40" s="34">
        <v>41873</v>
      </c>
      <c r="B40">
        <v>84.18</v>
      </c>
      <c r="C40">
        <v>84.32</v>
      </c>
      <c r="D40">
        <v>83.52</v>
      </c>
      <c r="E40">
        <v>84</v>
      </c>
      <c r="F40">
        <v>2246800</v>
      </c>
      <c r="G40">
        <v>83.53</v>
      </c>
    </row>
    <row r="41" spans="1:7" x14ac:dyDescent="0.25">
      <c r="A41" s="34">
        <v>41876</v>
      </c>
      <c r="B41">
        <v>84.2</v>
      </c>
      <c r="C41">
        <v>84.79</v>
      </c>
      <c r="D41">
        <v>83.76</v>
      </c>
      <c r="E41">
        <v>84.67</v>
      </c>
      <c r="F41">
        <v>2097300</v>
      </c>
      <c r="G41">
        <v>84.19</v>
      </c>
    </row>
    <row r="42" spans="1:7" x14ac:dyDescent="0.25">
      <c r="A42" s="34">
        <v>41877</v>
      </c>
      <c r="B42">
        <v>84.82</v>
      </c>
      <c r="C42">
        <v>85.96</v>
      </c>
      <c r="D42">
        <v>84.78</v>
      </c>
      <c r="E42">
        <v>84.91</v>
      </c>
      <c r="F42">
        <v>2193000</v>
      </c>
      <c r="G42">
        <v>84.43</v>
      </c>
    </row>
    <row r="43" spans="1:7" x14ac:dyDescent="0.25">
      <c r="A43" s="34">
        <v>41878</v>
      </c>
      <c r="B43">
        <v>85.14</v>
      </c>
      <c r="C43">
        <v>85.75</v>
      </c>
      <c r="D43">
        <v>84.3</v>
      </c>
      <c r="E43">
        <v>85.62</v>
      </c>
      <c r="F43">
        <v>1736700</v>
      </c>
      <c r="G43">
        <v>85.14</v>
      </c>
    </row>
    <row r="44" spans="1:7" x14ac:dyDescent="0.25">
      <c r="A44" s="34">
        <v>41879</v>
      </c>
      <c r="B44">
        <v>85.17</v>
      </c>
      <c r="C44">
        <v>85.73</v>
      </c>
      <c r="D44">
        <v>84.69</v>
      </c>
      <c r="E44">
        <v>85.42</v>
      </c>
      <c r="F44">
        <v>1847800</v>
      </c>
      <c r="G44">
        <v>84.94</v>
      </c>
    </row>
    <row r="45" spans="1:7" x14ac:dyDescent="0.25">
      <c r="A45" s="34">
        <v>41880</v>
      </c>
      <c r="B45">
        <v>85.55</v>
      </c>
      <c r="C45">
        <v>86.46</v>
      </c>
      <c r="D45">
        <v>85.21</v>
      </c>
      <c r="E45">
        <v>86.43</v>
      </c>
      <c r="F45">
        <v>2116900</v>
      </c>
      <c r="G45">
        <v>85.94</v>
      </c>
    </row>
    <row r="46" spans="1:7" x14ac:dyDescent="0.25">
      <c r="A46" s="34">
        <v>41884</v>
      </c>
      <c r="B46">
        <v>86.5</v>
      </c>
      <c r="C46">
        <v>86.55</v>
      </c>
      <c r="D46">
        <v>84.2</v>
      </c>
      <c r="E46">
        <v>84.63</v>
      </c>
      <c r="F46">
        <v>3297100</v>
      </c>
      <c r="G46">
        <v>84.15</v>
      </c>
    </row>
    <row r="47" spans="1:7" x14ac:dyDescent="0.25">
      <c r="A47" s="34">
        <v>41885</v>
      </c>
      <c r="B47">
        <v>85.34</v>
      </c>
      <c r="C47">
        <v>85.71</v>
      </c>
      <c r="D47">
        <v>85.07</v>
      </c>
      <c r="E47">
        <v>85.13</v>
      </c>
      <c r="F47">
        <v>2095900</v>
      </c>
      <c r="G47">
        <v>84.65</v>
      </c>
    </row>
    <row r="48" spans="1:7" x14ac:dyDescent="0.25">
      <c r="A48" s="34">
        <v>41886</v>
      </c>
      <c r="B48">
        <v>85.16</v>
      </c>
      <c r="C48">
        <v>85.25</v>
      </c>
      <c r="D48">
        <v>83.19</v>
      </c>
      <c r="E48">
        <v>83.63</v>
      </c>
      <c r="F48">
        <v>3715400</v>
      </c>
      <c r="G48">
        <v>83.16</v>
      </c>
    </row>
    <row r="49" spans="1:7" x14ac:dyDescent="0.25">
      <c r="A49" s="34">
        <v>41887</v>
      </c>
      <c r="B49">
        <v>83.63</v>
      </c>
      <c r="C49">
        <v>83.89</v>
      </c>
      <c r="D49">
        <v>82.25</v>
      </c>
      <c r="E49">
        <v>83.55</v>
      </c>
      <c r="F49">
        <v>2911900</v>
      </c>
      <c r="G49">
        <v>83.08</v>
      </c>
    </row>
    <row r="50" spans="1:7" x14ac:dyDescent="0.25">
      <c r="A50" s="34">
        <v>41890</v>
      </c>
      <c r="B50">
        <v>83.2</v>
      </c>
      <c r="C50">
        <v>83.2</v>
      </c>
      <c r="D50">
        <v>81.8</v>
      </c>
      <c r="E50">
        <v>82.63</v>
      </c>
      <c r="F50">
        <v>2562800</v>
      </c>
      <c r="G50">
        <v>82.17</v>
      </c>
    </row>
    <row r="51" spans="1:7" x14ac:dyDescent="0.25">
      <c r="A51" s="34">
        <v>41891</v>
      </c>
      <c r="B51">
        <v>82.5</v>
      </c>
      <c r="C51">
        <v>82.69</v>
      </c>
      <c r="D51">
        <v>81.209999999999994</v>
      </c>
      <c r="E51">
        <v>81.75</v>
      </c>
      <c r="F51">
        <v>3812200</v>
      </c>
      <c r="G51">
        <v>81.290000000000006</v>
      </c>
    </row>
    <row r="52" spans="1:7" x14ac:dyDescent="0.25">
      <c r="A52" s="34">
        <v>41892</v>
      </c>
      <c r="B52">
        <v>81.27</v>
      </c>
      <c r="C52">
        <v>81.510000000000005</v>
      </c>
      <c r="D52">
        <v>80.14</v>
      </c>
      <c r="E52">
        <v>81.489999999999995</v>
      </c>
      <c r="F52">
        <v>4836700</v>
      </c>
      <c r="G52">
        <v>81.489999999999995</v>
      </c>
    </row>
    <row r="53" spans="1:7" x14ac:dyDescent="0.25">
      <c r="A53" s="34">
        <v>41893</v>
      </c>
      <c r="B53">
        <v>80.959999999999994</v>
      </c>
      <c r="C53">
        <v>82.53</v>
      </c>
      <c r="D53">
        <v>80.8</v>
      </c>
      <c r="E53">
        <v>82.49</v>
      </c>
      <c r="F53">
        <v>3131200</v>
      </c>
      <c r="G53">
        <v>82.49</v>
      </c>
    </row>
    <row r="54" spans="1:7" x14ac:dyDescent="0.25">
      <c r="A54" s="34">
        <v>41894</v>
      </c>
      <c r="B54">
        <v>82.15</v>
      </c>
      <c r="C54">
        <v>82.17</v>
      </c>
      <c r="D54">
        <v>80.31</v>
      </c>
      <c r="E54">
        <v>80.64</v>
      </c>
      <c r="F54">
        <v>3220100</v>
      </c>
      <c r="G54">
        <v>80.64</v>
      </c>
    </row>
    <row r="55" spans="1:7" x14ac:dyDescent="0.25">
      <c r="A55" s="34">
        <v>41897</v>
      </c>
      <c r="B55">
        <v>80.78</v>
      </c>
      <c r="C55">
        <v>81.53</v>
      </c>
      <c r="D55">
        <v>80.3</v>
      </c>
      <c r="E55">
        <v>81.3</v>
      </c>
      <c r="F55">
        <v>2816000</v>
      </c>
      <c r="G55">
        <v>81.3</v>
      </c>
    </row>
  </sheetData>
  <sortState ref="A3:G55">
    <sortCondition ref="A3:A55"/>
  </sortState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103.21</v>
      </c>
      <c r="C3">
        <v>103.75</v>
      </c>
      <c r="D3">
        <v>102.47</v>
      </c>
      <c r="E3">
        <v>102.55</v>
      </c>
      <c r="F3">
        <v>1829600</v>
      </c>
      <c r="G3">
        <v>101.99</v>
      </c>
    </row>
    <row r="4" spans="1:7" x14ac:dyDescent="0.25">
      <c r="A4" s="34">
        <v>41822</v>
      </c>
      <c r="B4">
        <v>103.08</v>
      </c>
      <c r="C4">
        <v>103.63</v>
      </c>
      <c r="D4">
        <v>102.31</v>
      </c>
      <c r="E4">
        <v>103.56</v>
      </c>
      <c r="F4">
        <v>1664300</v>
      </c>
      <c r="G4">
        <v>102.99</v>
      </c>
    </row>
    <row r="5" spans="1:7" x14ac:dyDescent="0.25">
      <c r="A5" s="34">
        <v>41823</v>
      </c>
      <c r="B5">
        <v>103.82</v>
      </c>
      <c r="C5">
        <v>104.29</v>
      </c>
      <c r="D5">
        <v>103.48</v>
      </c>
      <c r="E5">
        <v>103.84</v>
      </c>
      <c r="F5">
        <v>782500</v>
      </c>
      <c r="G5">
        <v>103.27</v>
      </c>
    </row>
    <row r="6" spans="1:7" x14ac:dyDescent="0.25">
      <c r="A6" s="34">
        <v>41827</v>
      </c>
      <c r="B6">
        <v>103.58</v>
      </c>
      <c r="C6">
        <v>103.84</v>
      </c>
      <c r="D6">
        <v>103.01</v>
      </c>
      <c r="E6">
        <v>103.23</v>
      </c>
      <c r="F6">
        <v>1190400</v>
      </c>
      <c r="G6">
        <v>102.66</v>
      </c>
    </row>
    <row r="7" spans="1:7" x14ac:dyDescent="0.25">
      <c r="A7" s="34">
        <v>41828</v>
      </c>
      <c r="B7">
        <v>103.18</v>
      </c>
      <c r="C7">
        <v>103.49</v>
      </c>
      <c r="D7">
        <v>102.26</v>
      </c>
      <c r="E7">
        <v>102.69</v>
      </c>
      <c r="F7">
        <v>1393800</v>
      </c>
      <c r="G7">
        <v>102.12</v>
      </c>
    </row>
    <row r="8" spans="1:7" x14ac:dyDescent="0.25">
      <c r="A8" s="34">
        <v>41829</v>
      </c>
      <c r="B8">
        <v>103.28</v>
      </c>
      <c r="C8">
        <v>103.83</v>
      </c>
      <c r="D8">
        <v>102.83</v>
      </c>
      <c r="E8">
        <v>103.4</v>
      </c>
      <c r="F8">
        <v>963000</v>
      </c>
      <c r="G8">
        <v>102.83</v>
      </c>
    </row>
    <row r="9" spans="1:7" x14ac:dyDescent="0.25">
      <c r="A9" s="34">
        <v>41830</v>
      </c>
      <c r="B9">
        <v>102.25</v>
      </c>
      <c r="C9">
        <v>102.72</v>
      </c>
      <c r="D9">
        <v>101.83</v>
      </c>
      <c r="E9">
        <v>102.41</v>
      </c>
      <c r="F9">
        <v>1365400</v>
      </c>
      <c r="G9">
        <v>101.85</v>
      </c>
    </row>
    <row r="10" spans="1:7" x14ac:dyDescent="0.25">
      <c r="A10" s="34">
        <v>41831</v>
      </c>
      <c r="B10">
        <v>102.45</v>
      </c>
      <c r="C10">
        <v>104.06</v>
      </c>
      <c r="D10">
        <v>102.3</v>
      </c>
      <c r="E10">
        <v>103.95</v>
      </c>
      <c r="F10">
        <v>1356000</v>
      </c>
      <c r="G10">
        <v>103.38</v>
      </c>
    </row>
    <row r="11" spans="1:7" x14ac:dyDescent="0.25">
      <c r="A11" s="34">
        <v>41834</v>
      </c>
      <c r="B11">
        <v>104.22</v>
      </c>
      <c r="C11">
        <v>105.05</v>
      </c>
      <c r="D11">
        <v>104.22</v>
      </c>
      <c r="E11">
        <v>104.43</v>
      </c>
      <c r="F11">
        <v>1032200</v>
      </c>
      <c r="G11">
        <v>103.85</v>
      </c>
    </row>
    <row r="12" spans="1:7" x14ac:dyDescent="0.25">
      <c r="A12" s="34">
        <v>41835</v>
      </c>
      <c r="B12">
        <v>104.07</v>
      </c>
      <c r="C12">
        <v>105.11</v>
      </c>
      <c r="D12">
        <v>104.07</v>
      </c>
      <c r="E12">
        <v>104.35</v>
      </c>
      <c r="F12">
        <v>2011100</v>
      </c>
      <c r="G12">
        <v>103.78</v>
      </c>
    </row>
    <row r="13" spans="1:7" x14ac:dyDescent="0.25">
      <c r="A13" s="34">
        <v>41836</v>
      </c>
      <c r="B13">
        <v>104.49</v>
      </c>
      <c r="C13">
        <v>105.37</v>
      </c>
      <c r="D13">
        <v>103.97</v>
      </c>
      <c r="E13">
        <v>105.3</v>
      </c>
      <c r="F13">
        <v>1122900</v>
      </c>
      <c r="G13">
        <v>104.72</v>
      </c>
    </row>
    <row r="14" spans="1:7" x14ac:dyDescent="0.25">
      <c r="A14" s="34">
        <v>41837</v>
      </c>
      <c r="B14">
        <v>104.51</v>
      </c>
      <c r="C14">
        <v>105.47</v>
      </c>
      <c r="D14">
        <v>104.33</v>
      </c>
      <c r="E14">
        <v>104.38</v>
      </c>
      <c r="F14">
        <v>1479500</v>
      </c>
      <c r="G14">
        <v>103.8</v>
      </c>
    </row>
    <row r="15" spans="1:7" x14ac:dyDescent="0.25">
      <c r="A15" s="34">
        <v>41838</v>
      </c>
      <c r="B15">
        <v>104.66</v>
      </c>
      <c r="C15">
        <v>106.22</v>
      </c>
      <c r="D15">
        <v>104.63</v>
      </c>
      <c r="E15">
        <v>106.18</v>
      </c>
      <c r="F15">
        <v>1152900</v>
      </c>
      <c r="G15">
        <v>105.6</v>
      </c>
    </row>
    <row r="16" spans="1:7" x14ac:dyDescent="0.25">
      <c r="A16" s="34">
        <v>41841</v>
      </c>
      <c r="B16">
        <v>105.72</v>
      </c>
      <c r="C16">
        <v>106.37</v>
      </c>
      <c r="D16">
        <v>105.52</v>
      </c>
      <c r="E16">
        <v>106.22</v>
      </c>
      <c r="F16">
        <v>1148500</v>
      </c>
      <c r="G16">
        <v>105.63</v>
      </c>
    </row>
    <row r="17" spans="1:7" x14ac:dyDescent="0.25">
      <c r="A17" s="34">
        <v>41842</v>
      </c>
      <c r="B17">
        <v>106.97</v>
      </c>
      <c r="C17">
        <v>107.81</v>
      </c>
      <c r="D17">
        <v>106.4</v>
      </c>
      <c r="E17">
        <v>107.61</v>
      </c>
      <c r="F17">
        <v>1696100</v>
      </c>
      <c r="G17">
        <v>107.02</v>
      </c>
    </row>
    <row r="18" spans="1:7" x14ac:dyDescent="0.25">
      <c r="A18" s="34">
        <v>41843</v>
      </c>
      <c r="B18">
        <v>108.42</v>
      </c>
      <c r="C18">
        <v>108.84</v>
      </c>
      <c r="D18">
        <v>106.05</v>
      </c>
      <c r="E18">
        <v>106.84</v>
      </c>
      <c r="F18">
        <v>1922400</v>
      </c>
      <c r="G18">
        <v>106.25</v>
      </c>
    </row>
    <row r="19" spans="1:7" x14ac:dyDescent="0.25">
      <c r="A19" s="34">
        <v>41844</v>
      </c>
      <c r="B19">
        <v>107.19</v>
      </c>
      <c r="C19">
        <v>108.3</v>
      </c>
      <c r="D19">
        <v>106.88</v>
      </c>
      <c r="E19">
        <v>107.78</v>
      </c>
      <c r="F19">
        <v>1673300</v>
      </c>
      <c r="G19">
        <v>107.19</v>
      </c>
    </row>
    <row r="20" spans="1:7" x14ac:dyDescent="0.25">
      <c r="A20" s="34">
        <v>41845</v>
      </c>
      <c r="B20">
        <v>107.63</v>
      </c>
      <c r="C20">
        <v>107.89</v>
      </c>
      <c r="D20">
        <v>107.12</v>
      </c>
      <c r="E20">
        <v>107.5</v>
      </c>
      <c r="F20">
        <v>989100</v>
      </c>
      <c r="G20">
        <v>106.91</v>
      </c>
    </row>
    <row r="21" spans="1:7" x14ac:dyDescent="0.25">
      <c r="A21" s="34">
        <v>41848</v>
      </c>
      <c r="B21">
        <v>107.03</v>
      </c>
      <c r="C21">
        <v>107.4</v>
      </c>
      <c r="D21">
        <v>105.02</v>
      </c>
      <c r="E21">
        <v>105.33</v>
      </c>
      <c r="F21">
        <v>1650800</v>
      </c>
      <c r="G21">
        <v>104.75</v>
      </c>
    </row>
    <row r="22" spans="1:7" x14ac:dyDescent="0.25">
      <c r="A22" s="34">
        <v>41849</v>
      </c>
      <c r="B22">
        <v>105.25</v>
      </c>
      <c r="C22">
        <v>105.4</v>
      </c>
      <c r="D22">
        <v>103.44</v>
      </c>
      <c r="E22">
        <v>103.46</v>
      </c>
      <c r="F22">
        <v>1879800</v>
      </c>
      <c r="G22">
        <v>102.89</v>
      </c>
    </row>
    <row r="23" spans="1:7" x14ac:dyDescent="0.25">
      <c r="A23" s="34">
        <v>41850</v>
      </c>
      <c r="B23">
        <v>103.52</v>
      </c>
      <c r="C23">
        <v>104.05</v>
      </c>
      <c r="D23">
        <v>103.18</v>
      </c>
      <c r="E23">
        <v>103.65</v>
      </c>
      <c r="F23">
        <v>1663400</v>
      </c>
      <c r="G23">
        <v>103.65</v>
      </c>
    </row>
    <row r="24" spans="1:7" x14ac:dyDescent="0.25">
      <c r="A24" s="34">
        <v>41851</v>
      </c>
      <c r="B24">
        <v>103.46</v>
      </c>
      <c r="C24">
        <v>103.46</v>
      </c>
      <c r="D24">
        <v>101.55</v>
      </c>
      <c r="E24">
        <v>101.66</v>
      </c>
      <c r="F24">
        <v>1341700</v>
      </c>
      <c r="G24">
        <v>101.66</v>
      </c>
    </row>
    <row r="25" spans="1:7" x14ac:dyDescent="0.25">
      <c r="A25" s="34">
        <v>41852</v>
      </c>
      <c r="B25">
        <v>101.54</v>
      </c>
      <c r="C25">
        <v>102.02</v>
      </c>
      <c r="D25">
        <v>100.15</v>
      </c>
      <c r="E25">
        <v>101.2</v>
      </c>
      <c r="F25">
        <v>1581100</v>
      </c>
      <c r="G25">
        <v>101.2</v>
      </c>
    </row>
    <row r="26" spans="1:7" x14ac:dyDescent="0.25">
      <c r="A26" s="34">
        <v>41855</v>
      </c>
      <c r="B26">
        <v>101.21</v>
      </c>
      <c r="C26">
        <v>101.42</v>
      </c>
      <c r="D26">
        <v>99.86</v>
      </c>
      <c r="E26">
        <v>101.37</v>
      </c>
      <c r="F26">
        <v>2143200</v>
      </c>
      <c r="G26">
        <v>101.37</v>
      </c>
    </row>
    <row r="27" spans="1:7" x14ac:dyDescent="0.25">
      <c r="A27" s="34">
        <v>41856</v>
      </c>
      <c r="B27">
        <v>100.63</v>
      </c>
      <c r="C27">
        <v>101.92</v>
      </c>
      <c r="D27">
        <v>100.46</v>
      </c>
      <c r="E27">
        <v>100.69</v>
      </c>
      <c r="F27">
        <v>1741700</v>
      </c>
      <c r="G27">
        <v>100.69</v>
      </c>
    </row>
    <row r="28" spans="1:7" x14ac:dyDescent="0.25">
      <c r="A28" s="34">
        <v>41857</v>
      </c>
      <c r="B28">
        <v>99.98</v>
      </c>
      <c r="C28">
        <v>100.85</v>
      </c>
      <c r="D28">
        <v>99.63</v>
      </c>
      <c r="E28">
        <v>100.09</v>
      </c>
      <c r="F28">
        <v>1662800</v>
      </c>
      <c r="G28">
        <v>100.09</v>
      </c>
    </row>
    <row r="29" spans="1:7" x14ac:dyDescent="0.25">
      <c r="A29" s="34">
        <v>41858</v>
      </c>
      <c r="B29">
        <v>100.08</v>
      </c>
      <c r="C29">
        <v>101.1</v>
      </c>
      <c r="D29">
        <v>99.76</v>
      </c>
      <c r="E29">
        <v>100</v>
      </c>
      <c r="F29">
        <v>1764300</v>
      </c>
      <c r="G29">
        <v>100</v>
      </c>
    </row>
    <row r="30" spans="1:7" x14ac:dyDescent="0.25">
      <c r="A30" s="34">
        <v>41859</v>
      </c>
      <c r="B30">
        <v>100.09</v>
      </c>
      <c r="C30">
        <v>101.44</v>
      </c>
      <c r="D30">
        <v>99.82</v>
      </c>
      <c r="E30">
        <v>101.37</v>
      </c>
      <c r="F30">
        <v>1720800</v>
      </c>
      <c r="G30">
        <v>101.37</v>
      </c>
    </row>
    <row r="31" spans="1:7" x14ac:dyDescent="0.25">
      <c r="A31" s="34">
        <v>41862</v>
      </c>
      <c r="B31">
        <v>101.51</v>
      </c>
      <c r="C31">
        <v>103.42</v>
      </c>
      <c r="D31">
        <v>101.4</v>
      </c>
      <c r="E31">
        <v>102.84</v>
      </c>
      <c r="F31">
        <v>1467900</v>
      </c>
      <c r="G31">
        <v>102.84</v>
      </c>
    </row>
    <row r="32" spans="1:7" x14ac:dyDescent="0.25">
      <c r="A32" s="34">
        <v>41863</v>
      </c>
      <c r="B32">
        <v>102.28</v>
      </c>
      <c r="C32">
        <v>103.04</v>
      </c>
      <c r="D32">
        <v>102.01</v>
      </c>
      <c r="E32">
        <v>102.45</v>
      </c>
      <c r="F32">
        <v>1053500</v>
      </c>
      <c r="G32">
        <v>102.45</v>
      </c>
    </row>
    <row r="33" spans="1:7" x14ac:dyDescent="0.25">
      <c r="A33" s="34">
        <v>41864</v>
      </c>
      <c r="B33">
        <v>102.49</v>
      </c>
      <c r="C33">
        <v>103.37</v>
      </c>
      <c r="D33">
        <v>102.49</v>
      </c>
      <c r="E33">
        <v>103.23</v>
      </c>
      <c r="F33">
        <v>903000</v>
      </c>
      <c r="G33">
        <v>103.23</v>
      </c>
    </row>
    <row r="34" spans="1:7" x14ac:dyDescent="0.25">
      <c r="A34" s="34">
        <v>41865</v>
      </c>
      <c r="B34">
        <v>103.29</v>
      </c>
      <c r="C34">
        <v>104.08</v>
      </c>
      <c r="D34">
        <v>103.2</v>
      </c>
      <c r="E34">
        <v>103.97</v>
      </c>
      <c r="F34">
        <v>914200</v>
      </c>
      <c r="G34">
        <v>103.97</v>
      </c>
    </row>
    <row r="35" spans="1:7" x14ac:dyDescent="0.25">
      <c r="A35" s="34">
        <v>41866</v>
      </c>
      <c r="B35">
        <v>104.45</v>
      </c>
      <c r="C35">
        <v>104.68</v>
      </c>
      <c r="D35">
        <v>103.53</v>
      </c>
      <c r="E35">
        <v>104.49</v>
      </c>
      <c r="F35">
        <v>1178200</v>
      </c>
      <c r="G35">
        <v>104.49</v>
      </c>
    </row>
    <row r="36" spans="1:7" x14ac:dyDescent="0.25">
      <c r="A36" s="34">
        <v>41869</v>
      </c>
      <c r="B36">
        <v>105.45</v>
      </c>
      <c r="C36">
        <v>106.14</v>
      </c>
      <c r="D36">
        <v>105.01</v>
      </c>
      <c r="E36">
        <v>106.03</v>
      </c>
      <c r="F36">
        <v>1358100</v>
      </c>
      <c r="G36">
        <v>106.03</v>
      </c>
    </row>
    <row r="37" spans="1:7" x14ac:dyDescent="0.25">
      <c r="A37" s="34">
        <v>41870</v>
      </c>
      <c r="B37">
        <v>106.17</v>
      </c>
      <c r="C37">
        <v>106.59</v>
      </c>
      <c r="D37">
        <v>105.8</v>
      </c>
      <c r="E37">
        <v>106.08</v>
      </c>
      <c r="F37">
        <v>1103000</v>
      </c>
      <c r="G37">
        <v>106.08</v>
      </c>
    </row>
    <row r="38" spans="1:7" x14ac:dyDescent="0.25">
      <c r="A38" s="34">
        <v>41871</v>
      </c>
      <c r="B38">
        <v>106.11</v>
      </c>
      <c r="C38">
        <v>106.92</v>
      </c>
      <c r="D38">
        <v>105.98</v>
      </c>
      <c r="E38">
        <v>106.36</v>
      </c>
      <c r="F38">
        <v>2115600</v>
      </c>
      <c r="G38">
        <v>106.36</v>
      </c>
    </row>
    <row r="39" spans="1:7" x14ac:dyDescent="0.25">
      <c r="A39" s="34">
        <v>41872</v>
      </c>
      <c r="B39">
        <v>106.57</v>
      </c>
      <c r="C39">
        <v>106.62</v>
      </c>
      <c r="D39">
        <v>104.22</v>
      </c>
      <c r="E39">
        <v>105.18</v>
      </c>
      <c r="F39">
        <v>2992200</v>
      </c>
      <c r="G39">
        <v>105.18</v>
      </c>
    </row>
    <row r="40" spans="1:7" x14ac:dyDescent="0.25">
      <c r="A40" s="34">
        <v>41873</v>
      </c>
      <c r="B40">
        <v>105.11</v>
      </c>
      <c r="C40">
        <v>105.88</v>
      </c>
      <c r="D40">
        <v>105.04</v>
      </c>
      <c r="E40">
        <v>105.48</v>
      </c>
      <c r="F40">
        <v>1155400</v>
      </c>
      <c r="G40">
        <v>105.48</v>
      </c>
    </row>
    <row r="41" spans="1:7" x14ac:dyDescent="0.25">
      <c r="A41" s="34">
        <v>41876</v>
      </c>
      <c r="B41">
        <v>105.95</v>
      </c>
      <c r="C41">
        <v>106.08</v>
      </c>
      <c r="D41">
        <v>105.38</v>
      </c>
      <c r="E41">
        <v>105.55</v>
      </c>
      <c r="F41">
        <v>590200</v>
      </c>
      <c r="G41">
        <v>105.55</v>
      </c>
    </row>
    <row r="42" spans="1:7" x14ac:dyDescent="0.25">
      <c r="A42" s="34">
        <v>41877</v>
      </c>
      <c r="B42">
        <v>105.88</v>
      </c>
      <c r="C42">
        <v>106.06</v>
      </c>
      <c r="D42">
        <v>105.51</v>
      </c>
      <c r="E42">
        <v>105.53</v>
      </c>
      <c r="F42">
        <v>916600</v>
      </c>
      <c r="G42">
        <v>105.53</v>
      </c>
    </row>
    <row r="43" spans="1:7" x14ac:dyDescent="0.25">
      <c r="A43" s="34">
        <v>41878</v>
      </c>
      <c r="B43">
        <v>106.14</v>
      </c>
      <c r="C43">
        <v>106.93</v>
      </c>
      <c r="D43">
        <v>106</v>
      </c>
      <c r="E43">
        <v>106.82</v>
      </c>
      <c r="F43">
        <v>1238600</v>
      </c>
      <c r="G43">
        <v>106.82</v>
      </c>
    </row>
    <row r="44" spans="1:7" x14ac:dyDescent="0.25">
      <c r="A44" s="34">
        <v>41879</v>
      </c>
      <c r="B44">
        <v>106.33</v>
      </c>
      <c r="C44">
        <v>106.77</v>
      </c>
      <c r="D44">
        <v>106.11</v>
      </c>
      <c r="E44">
        <v>106.58</v>
      </c>
      <c r="F44">
        <v>815900</v>
      </c>
      <c r="G44">
        <v>106.58</v>
      </c>
    </row>
    <row r="45" spans="1:7" x14ac:dyDescent="0.25">
      <c r="A45" s="34">
        <v>41880</v>
      </c>
      <c r="B45">
        <v>106.8</v>
      </c>
      <c r="C45">
        <v>107</v>
      </c>
      <c r="D45">
        <v>106.29</v>
      </c>
      <c r="E45">
        <v>107</v>
      </c>
      <c r="F45">
        <v>699300</v>
      </c>
      <c r="G45">
        <v>107</v>
      </c>
    </row>
    <row r="46" spans="1:7" x14ac:dyDescent="0.25">
      <c r="A46" s="34">
        <v>41884</v>
      </c>
      <c r="B46">
        <v>107</v>
      </c>
      <c r="C46">
        <v>107.87</v>
      </c>
      <c r="D46">
        <v>106.64</v>
      </c>
      <c r="E46">
        <v>107.01</v>
      </c>
      <c r="F46">
        <v>1317100</v>
      </c>
      <c r="G46">
        <v>107.01</v>
      </c>
    </row>
    <row r="47" spans="1:7" x14ac:dyDescent="0.25">
      <c r="A47" s="34">
        <v>41885</v>
      </c>
      <c r="B47">
        <v>107.34</v>
      </c>
      <c r="C47">
        <v>108.49</v>
      </c>
      <c r="D47">
        <v>107.34</v>
      </c>
      <c r="E47">
        <v>107.96</v>
      </c>
      <c r="F47">
        <v>1267700</v>
      </c>
      <c r="G47">
        <v>107.96</v>
      </c>
    </row>
    <row r="48" spans="1:7" x14ac:dyDescent="0.25">
      <c r="A48" s="34">
        <v>41886</v>
      </c>
      <c r="B48">
        <v>106.6</v>
      </c>
      <c r="C48">
        <v>109.22</v>
      </c>
      <c r="D48">
        <v>106.6</v>
      </c>
      <c r="E48">
        <v>108.56</v>
      </c>
      <c r="F48">
        <v>1731700</v>
      </c>
      <c r="G48">
        <v>108.56</v>
      </c>
    </row>
    <row r="49" spans="1:7" x14ac:dyDescent="0.25">
      <c r="A49" s="34">
        <v>41887</v>
      </c>
      <c r="B49">
        <v>108.67</v>
      </c>
      <c r="C49">
        <v>109.61</v>
      </c>
      <c r="D49">
        <v>108.3</v>
      </c>
      <c r="E49">
        <v>109.55</v>
      </c>
      <c r="F49">
        <v>1808300</v>
      </c>
      <c r="G49">
        <v>109.55</v>
      </c>
    </row>
    <row r="50" spans="1:7" x14ac:dyDescent="0.25">
      <c r="A50" s="34">
        <v>41890</v>
      </c>
      <c r="B50">
        <v>109.41</v>
      </c>
      <c r="C50">
        <v>109.7</v>
      </c>
      <c r="D50">
        <v>108.17</v>
      </c>
      <c r="E50">
        <v>108.64</v>
      </c>
      <c r="F50">
        <v>1365000</v>
      </c>
      <c r="G50">
        <v>108.64</v>
      </c>
    </row>
    <row r="51" spans="1:7" x14ac:dyDescent="0.25">
      <c r="A51" s="34">
        <v>41891</v>
      </c>
      <c r="B51">
        <v>108.64</v>
      </c>
      <c r="C51">
        <v>109.2</v>
      </c>
      <c r="D51">
        <v>108.12</v>
      </c>
      <c r="E51">
        <v>108.78</v>
      </c>
      <c r="F51">
        <v>1240100</v>
      </c>
      <c r="G51">
        <v>108.78</v>
      </c>
    </row>
    <row r="52" spans="1:7" x14ac:dyDescent="0.25">
      <c r="A52" s="34">
        <v>41892</v>
      </c>
      <c r="B52">
        <v>108.87</v>
      </c>
      <c r="C52">
        <v>109.13</v>
      </c>
      <c r="D52">
        <v>107.75</v>
      </c>
      <c r="E52">
        <v>107.99</v>
      </c>
      <c r="F52">
        <v>1485400</v>
      </c>
      <c r="G52">
        <v>107.99</v>
      </c>
    </row>
    <row r="53" spans="1:7" x14ac:dyDescent="0.25">
      <c r="A53" s="34">
        <v>41893</v>
      </c>
      <c r="B53">
        <v>107.7</v>
      </c>
      <c r="C53">
        <v>108.65</v>
      </c>
      <c r="D53">
        <v>107.54</v>
      </c>
      <c r="E53">
        <v>108.64</v>
      </c>
      <c r="F53">
        <v>888600</v>
      </c>
      <c r="G53">
        <v>108.64</v>
      </c>
    </row>
    <row r="54" spans="1:7" x14ac:dyDescent="0.25">
      <c r="A54" s="34">
        <v>41894</v>
      </c>
      <c r="B54">
        <v>108.74</v>
      </c>
      <c r="C54">
        <v>108.92</v>
      </c>
      <c r="D54">
        <v>107.56</v>
      </c>
      <c r="E54">
        <v>107.89</v>
      </c>
      <c r="F54">
        <v>867300</v>
      </c>
      <c r="G54">
        <v>107.89</v>
      </c>
    </row>
    <row r="55" spans="1:7" x14ac:dyDescent="0.25">
      <c r="A55" s="34">
        <v>41897</v>
      </c>
      <c r="B55">
        <v>108.07</v>
      </c>
      <c r="C55">
        <v>108.39</v>
      </c>
      <c r="D55">
        <v>107.32</v>
      </c>
      <c r="E55">
        <v>108.17</v>
      </c>
      <c r="F55">
        <v>889200</v>
      </c>
      <c r="G55">
        <v>108.17</v>
      </c>
    </row>
  </sheetData>
  <sortState ref="A3:G55">
    <sortCondition ref="A3:A55"/>
  </sortState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40.409999999999997</v>
      </c>
      <c r="C3">
        <v>40.909999999999997</v>
      </c>
      <c r="D3">
        <v>40.409999999999997</v>
      </c>
      <c r="E3">
        <v>40.770000000000003</v>
      </c>
      <c r="F3">
        <v>13147000</v>
      </c>
      <c r="G3">
        <v>40.65</v>
      </c>
    </row>
    <row r="4" spans="1:7" x14ac:dyDescent="0.25">
      <c r="A4" s="34">
        <v>41822</v>
      </c>
      <c r="B4">
        <v>40.93</v>
      </c>
      <c r="C4">
        <v>41.2</v>
      </c>
      <c r="D4">
        <v>40.770000000000003</v>
      </c>
      <c r="E4">
        <v>40.950000000000003</v>
      </c>
      <c r="F4">
        <v>13400200</v>
      </c>
      <c r="G4">
        <v>40.83</v>
      </c>
    </row>
    <row r="5" spans="1:7" x14ac:dyDescent="0.25">
      <c r="A5" s="34">
        <v>41823</v>
      </c>
      <c r="B5">
        <v>40.98</v>
      </c>
      <c r="C5">
        <v>41.36</v>
      </c>
      <c r="D5">
        <v>40.97</v>
      </c>
      <c r="E5">
        <v>41.34</v>
      </c>
      <c r="F5">
        <v>7863600</v>
      </c>
      <c r="G5">
        <v>41.22</v>
      </c>
    </row>
    <row r="6" spans="1:7" x14ac:dyDescent="0.25">
      <c r="A6" s="34">
        <v>41827</v>
      </c>
      <c r="B6">
        <v>41.01</v>
      </c>
      <c r="C6">
        <v>41.11</v>
      </c>
      <c r="D6">
        <v>40.75</v>
      </c>
      <c r="E6">
        <v>40.89</v>
      </c>
      <c r="F6">
        <v>11959400</v>
      </c>
      <c r="G6">
        <v>40.89</v>
      </c>
    </row>
    <row r="7" spans="1:7" x14ac:dyDescent="0.25">
      <c r="A7" s="34">
        <v>41828</v>
      </c>
      <c r="B7">
        <v>40.69</v>
      </c>
      <c r="C7">
        <v>40.85</v>
      </c>
      <c r="D7">
        <v>40.380000000000003</v>
      </c>
      <c r="E7">
        <v>40.56</v>
      </c>
      <c r="F7">
        <v>12350600</v>
      </c>
      <c r="G7">
        <v>40.56</v>
      </c>
    </row>
    <row r="8" spans="1:7" x14ac:dyDescent="0.25">
      <c r="A8" s="34">
        <v>41829</v>
      </c>
      <c r="B8">
        <v>40.61</v>
      </c>
      <c r="C8">
        <v>40.72</v>
      </c>
      <c r="D8">
        <v>39.99</v>
      </c>
      <c r="E8">
        <v>40.26</v>
      </c>
      <c r="F8">
        <v>14711600</v>
      </c>
      <c r="G8">
        <v>40.26</v>
      </c>
    </row>
    <row r="9" spans="1:7" x14ac:dyDescent="0.25">
      <c r="A9" s="34">
        <v>41830</v>
      </c>
      <c r="B9">
        <v>39.89</v>
      </c>
      <c r="C9">
        <v>40.520000000000003</v>
      </c>
      <c r="D9">
        <v>39.89</v>
      </c>
      <c r="E9">
        <v>40.32</v>
      </c>
      <c r="F9">
        <v>9566900</v>
      </c>
      <c r="G9">
        <v>40.32</v>
      </c>
    </row>
    <row r="10" spans="1:7" x14ac:dyDescent="0.25">
      <c r="A10" s="34">
        <v>41831</v>
      </c>
      <c r="B10">
        <v>40.49</v>
      </c>
      <c r="C10">
        <v>40.49</v>
      </c>
      <c r="D10">
        <v>39.979999999999997</v>
      </c>
      <c r="E10">
        <v>40.130000000000003</v>
      </c>
      <c r="F10">
        <v>11942300</v>
      </c>
      <c r="G10">
        <v>40.130000000000003</v>
      </c>
    </row>
    <row r="11" spans="1:7" x14ac:dyDescent="0.25">
      <c r="A11" s="34">
        <v>41834</v>
      </c>
      <c r="B11">
        <v>40.43</v>
      </c>
      <c r="C11">
        <v>40.68</v>
      </c>
      <c r="D11">
        <v>40.26</v>
      </c>
      <c r="E11">
        <v>40.49</v>
      </c>
      <c r="F11">
        <v>13586800</v>
      </c>
      <c r="G11">
        <v>40.49</v>
      </c>
    </row>
    <row r="12" spans="1:7" x14ac:dyDescent="0.25">
      <c r="A12" s="34">
        <v>41835</v>
      </c>
      <c r="B12">
        <v>40.380000000000003</v>
      </c>
      <c r="C12">
        <v>40.81</v>
      </c>
      <c r="D12">
        <v>40.36</v>
      </c>
      <c r="E12">
        <v>40.54</v>
      </c>
      <c r="F12">
        <v>11813800</v>
      </c>
      <c r="G12">
        <v>40.54</v>
      </c>
    </row>
    <row r="13" spans="1:7" x14ac:dyDescent="0.25">
      <c r="A13" s="34">
        <v>41836</v>
      </c>
      <c r="B13">
        <v>40.81</v>
      </c>
      <c r="C13">
        <v>40.880000000000003</v>
      </c>
      <c r="D13">
        <v>40.130000000000003</v>
      </c>
      <c r="E13">
        <v>40.26</v>
      </c>
      <c r="F13">
        <v>14722600</v>
      </c>
      <c r="G13">
        <v>40.26</v>
      </c>
    </row>
    <row r="14" spans="1:7" x14ac:dyDescent="0.25">
      <c r="A14" s="34">
        <v>41837</v>
      </c>
      <c r="B14">
        <v>40.21</v>
      </c>
      <c r="C14">
        <v>40.71</v>
      </c>
      <c r="D14">
        <v>39.86</v>
      </c>
      <c r="E14">
        <v>39.909999999999997</v>
      </c>
      <c r="F14">
        <v>24447800</v>
      </c>
      <c r="G14">
        <v>39.909999999999997</v>
      </c>
    </row>
    <row r="15" spans="1:7" x14ac:dyDescent="0.25">
      <c r="A15" s="34">
        <v>41838</v>
      </c>
      <c r="B15">
        <v>39.979999999999997</v>
      </c>
      <c r="C15">
        <v>40.159999999999997</v>
      </c>
      <c r="D15">
        <v>39.89</v>
      </c>
      <c r="E15">
        <v>40</v>
      </c>
      <c r="F15">
        <v>19123500</v>
      </c>
      <c r="G15">
        <v>40</v>
      </c>
    </row>
    <row r="16" spans="1:7" x14ac:dyDescent="0.25">
      <c r="A16" s="34">
        <v>41841</v>
      </c>
      <c r="B16">
        <v>40.03</v>
      </c>
      <c r="C16">
        <v>40.24</v>
      </c>
      <c r="D16">
        <v>39.92</v>
      </c>
      <c r="E16">
        <v>40.01</v>
      </c>
      <c r="F16">
        <v>15864700</v>
      </c>
      <c r="G16">
        <v>40.01</v>
      </c>
    </row>
    <row r="17" spans="1:7" x14ac:dyDescent="0.25">
      <c r="A17" s="34">
        <v>41842</v>
      </c>
      <c r="B17">
        <v>40.14</v>
      </c>
      <c r="C17">
        <v>40.700000000000003</v>
      </c>
      <c r="D17">
        <v>39.96</v>
      </c>
      <c r="E17">
        <v>40.43</v>
      </c>
      <c r="F17">
        <v>13728100</v>
      </c>
      <c r="G17">
        <v>40.43</v>
      </c>
    </row>
    <row r="18" spans="1:7" x14ac:dyDescent="0.25">
      <c r="A18" s="34">
        <v>41843</v>
      </c>
      <c r="B18">
        <v>40.43</v>
      </c>
      <c r="C18">
        <v>40.65</v>
      </c>
      <c r="D18">
        <v>40.24</v>
      </c>
      <c r="E18">
        <v>40.31</v>
      </c>
      <c r="F18">
        <v>9191700</v>
      </c>
      <c r="G18">
        <v>40.31</v>
      </c>
    </row>
    <row r="19" spans="1:7" x14ac:dyDescent="0.25">
      <c r="A19" s="34">
        <v>41844</v>
      </c>
      <c r="B19">
        <v>40.35</v>
      </c>
      <c r="C19">
        <v>40.67</v>
      </c>
      <c r="D19">
        <v>40.35</v>
      </c>
      <c r="E19">
        <v>40.47</v>
      </c>
      <c r="F19">
        <v>10068300</v>
      </c>
      <c r="G19">
        <v>40.47</v>
      </c>
    </row>
    <row r="20" spans="1:7" x14ac:dyDescent="0.25">
      <c r="A20" s="34">
        <v>41845</v>
      </c>
      <c r="B20">
        <v>40.270000000000003</v>
      </c>
      <c r="C20">
        <v>40.64</v>
      </c>
      <c r="D20">
        <v>40.270000000000003</v>
      </c>
      <c r="E20">
        <v>40.33</v>
      </c>
      <c r="F20">
        <v>7483800</v>
      </c>
      <c r="G20">
        <v>40.33</v>
      </c>
    </row>
    <row r="21" spans="1:7" x14ac:dyDescent="0.25">
      <c r="A21" s="34">
        <v>41848</v>
      </c>
      <c r="B21">
        <v>40.31</v>
      </c>
      <c r="C21">
        <v>40.82</v>
      </c>
      <c r="D21">
        <v>40.229999999999997</v>
      </c>
      <c r="E21">
        <v>40.549999999999997</v>
      </c>
      <c r="F21">
        <v>9658200</v>
      </c>
      <c r="G21">
        <v>40.549999999999997</v>
      </c>
    </row>
    <row r="22" spans="1:7" x14ac:dyDescent="0.25">
      <c r="A22" s="34">
        <v>41849</v>
      </c>
      <c r="B22">
        <v>40.71</v>
      </c>
      <c r="C22">
        <v>40.92</v>
      </c>
      <c r="D22">
        <v>40.5</v>
      </c>
      <c r="E22">
        <v>40.630000000000003</v>
      </c>
      <c r="F22">
        <v>9450400</v>
      </c>
      <c r="G22">
        <v>40.630000000000003</v>
      </c>
    </row>
    <row r="23" spans="1:7" x14ac:dyDescent="0.25">
      <c r="A23" s="34">
        <v>41850</v>
      </c>
      <c r="B23">
        <v>40.71</v>
      </c>
      <c r="C23">
        <v>41.03</v>
      </c>
      <c r="D23">
        <v>40.58</v>
      </c>
      <c r="E23">
        <v>40.96</v>
      </c>
      <c r="F23">
        <v>11406300</v>
      </c>
      <c r="G23">
        <v>40.96</v>
      </c>
    </row>
    <row r="24" spans="1:7" x14ac:dyDescent="0.25">
      <c r="A24" s="34">
        <v>41851</v>
      </c>
      <c r="B24">
        <v>40.65</v>
      </c>
      <c r="C24">
        <v>40.94</v>
      </c>
      <c r="D24">
        <v>40.35</v>
      </c>
      <c r="E24">
        <v>40.39</v>
      </c>
      <c r="F24">
        <v>13689500</v>
      </c>
      <c r="G24">
        <v>40.39</v>
      </c>
    </row>
    <row r="25" spans="1:7" x14ac:dyDescent="0.25">
      <c r="A25" s="34">
        <v>41852</v>
      </c>
      <c r="B25">
        <v>40.19</v>
      </c>
      <c r="C25">
        <v>40.53</v>
      </c>
      <c r="D25">
        <v>39.57</v>
      </c>
      <c r="E25">
        <v>39.61</v>
      </c>
      <c r="F25">
        <v>15074700</v>
      </c>
      <c r="G25">
        <v>39.61</v>
      </c>
    </row>
    <row r="26" spans="1:7" x14ac:dyDescent="0.25">
      <c r="A26" s="34">
        <v>41855</v>
      </c>
      <c r="B26">
        <v>39.630000000000003</v>
      </c>
      <c r="C26">
        <v>40.22</v>
      </c>
      <c r="D26">
        <v>39.53</v>
      </c>
      <c r="E26">
        <v>40.1</v>
      </c>
      <c r="F26">
        <v>12356200</v>
      </c>
      <c r="G26">
        <v>40.1</v>
      </c>
    </row>
    <row r="27" spans="1:7" x14ac:dyDescent="0.25">
      <c r="A27" s="34">
        <v>41856</v>
      </c>
      <c r="B27">
        <v>40.01</v>
      </c>
      <c r="C27">
        <v>40.380000000000003</v>
      </c>
      <c r="D27">
        <v>39.81</v>
      </c>
      <c r="E27">
        <v>39.96</v>
      </c>
      <c r="F27">
        <v>8806600</v>
      </c>
      <c r="G27">
        <v>39.96</v>
      </c>
    </row>
    <row r="28" spans="1:7" x14ac:dyDescent="0.25">
      <c r="A28" s="34">
        <v>41857</v>
      </c>
      <c r="B28">
        <v>39.85</v>
      </c>
      <c r="C28">
        <v>40.35</v>
      </c>
      <c r="D28">
        <v>39.78</v>
      </c>
      <c r="E28">
        <v>40.159999999999997</v>
      </c>
      <c r="F28">
        <v>8184800</v>
      </c>
      <c r="G28">
        <v>40.159999999999997</v>
      </c>
    </row>
    <row r="29" spans="1:7" x14ac:dyDescent="0.25">
      <c r="A29" s="34">
        <v>41858</v>
      </c>
      <c r="B29">
        <v>40.299999999999997</v>
      </c>
      <c r="C29">
        <v>40.43</v>
      </c>
      <c r="D29">
        <v>39.590000000000003</v>
      </c>
      <c r="E29">
        <v>39.67</v>
      </c>
      <c r="F29">
        <v>9180500</v>
      </c>
      <c r="G29">
        <v>39.67</v>
      </c>
    </row>
    <row r="30" spans="1:7" x14ac:dyDescent="0.25">
      <c r="A30" s="34">
        <v>41859</v>
      </c>
      <c r="B30">
        <v>39.729999999999997</v>
      </c>
      <c r="C30">
        <v>39.97</v>
      </c>
      <c r="D30">
        <v>39.56</v>
      </c>
      <c r="E30">
        <v>39.94</v>
      </c>
      <c r="F30">
        <v>8862000</v>
      </c>
      <c r="G30">
        <v>39.94</v>
      </c>
    </row>
    <row r="31" spans="1:7" x14ac:dyDescent="0.25">
      <c r="A31" s="34">
        <v>41862</v>
      </c>
      <c r="B31">
        <v>39.99</v>
      </c>
      <c r="C31">
        <v>40.14</v>
      </c>
      <c r="D31">
        <v>39.81</v>
      </c>
      <c r="E31">
        <v>39.92</v>
      </c>
      <c r="F31">
        <v>10292800</v>
      </c>
      <c r="G31">
        <v>39.92</v>
      </c>
    </row>
    <row r="32" spans="1:7" x14ac:dyDescent="0.25">
      <c r="A32" s="34">
        <v>41863</v>
      </c>
      <c r="B32">
        <v>39.74</v>
      </c>
      <c r="C32">
        <v>40.04</v>
      </c>
      <c r="D32">
        <v>39.729999999999997</v>
      </c>
      <c r="E32">
        <v>39.9</v>
      </c>
      <c r="F32">
        <v>6704300</v>
      </c>
      <c r="G32">
        <v>39.9</v>
      </c>
    </row>
    <row r="33" spans="1:7" x14ac:dyDescent="0.25">
      <c r="A33" s="34">
        <v>41864</v>
      </c>
      <c r="B33">
        <v>40.119999999999997</v>
      </c>
      <c r="C33">
        <v>40.299999999999997</v>
      </c>
      <c r="D33">
        <v>40.020000000000003</v>
      </c>
      <c r="E33">
        <v>40.24</v>
      </c>
      <c r="F33">
        <v>10629700</v>
      </c>
      <c r="G33">
        <v>40.24</v>
      </c>
    </row>
    <row r="34" spans="1:7" x14ac:dyDescent="0.25">
      <c r="A34" s="34">
        <v>41865</v>
      </c>
      <c r="B34">
        <v>40.29</v>
      </c>
      <c r="C34">
        <v>40.4</v>
      </c>
      <c r="D34">
        <v>39.979999999999997</v>
      </c>
      <c r="E34">
        <v>40.22</v>
      </c>
      <c r="F34">
        <v>9707000</v>
      </c>
      <c r="G34">
        <v>40.22</v>
      </c>
    </row>
    <row r="35" spans="1:7" x14ac:dyDescent="0.25">
      <c r="A35" s="34">
        <v>41866</v>
      </c>
      <c r="B35">
        <v>40.24</v>
      </c>
      <c r="C35">
        <v>40.590000000000003</v>
      </c>
      <c r="D35">
        <v>39.979999999999997</v>
      </c>
      <c r="E35">
        <v>40.28</v>
      </c>
      <c r="F35">
        <v>13418800</v>
      </c>
      <c r="G35">
        <v>40.28</v>
      </c>
    </row>
    <row r="36" spans="1:7" x14ac:dyDescent="0.25">
      <c r="A36" s="34">
        <v>41869</v>
      </c>
      <c r="B36">
        <v>40.450000000000003</v>
      </c>
      <c r="C36">
        <v>40.770000000000003</v>
      </c>
      <c r="D36">
        <v>40.4</v>
      </c>
      <c r="E36">
        <v>40.64</v>
      </c>
      <c r="F36">
        <v>7633600</v>
      </c>
      <c r="G36">
        <v>40.64</v>
      </c>
    </row>
    <row r="37" spans="1:7" x14ac:dyDescent="0.25">
      <c r="A37" s="34">
        <v>41870</v>
      </c>
      <c r="B37">
        <v>40.72</v>
      </c>
      <c r="C37">
        <v>41.58</v>
      </c>
      <c r="D37">
        <v>40.64</v>
      </c>
      <c r="E37">
        <v>41.41</v>
      </c>
      <c r="F37">
        <v>14368500</v>
      </c>
      <c r="G37">
        <v>41.41</v>
      </c>
    </row>
    <row r="38" spans="1:7" x14ac:dyDescent="0.25">
      <c r="A38" s="34">
        <v>41871</v>
      </c>
      <c r="B38">
        <v>41.58</v>
      </c>
      <c r="C38">
        <v>41.58</v>
      </c>
      <c r="D38">
        <v>41.09</v>
      </c>
      <c r="E38">
        <v>41.25</v>
      </c>
      <c r="F38">
        <v>9627100</v>
      </c>
      <c r="G38">
        <v>41.25</v>
      </c>
    </row>
    <row r="39" spans="1:7" x14ac:dyDescent="0.25">
      <c r="A39" s="34">
        <v>41872</v>
      </c>
      <c r="B39">
        <v>41.16</v>
      </c>
      <c r="C39">
        <v>41.81</v>
      </c>
      <c r="D39">
        <v>41.16</v>
      </c>
      <c r="E39">
        <v>41.58</v>
      </c>
      <c r="F39">
        <v>9569200</v>
      </c>
      <c r="G39">
        <v>41.58</v>
      </c>
    </row>
    <row r="40" spans="1:7" x14ac:dyDescent="0.25">
      <c r="A40" s="34">
        <v>41873</v>
      </c>
      <c r="B40">
        <v>41.34</v>
      </c>
      <c r="C40">
        <v>41.8</v>
      </c>
      <c r="D40">
        <v>41.27</v>
      </c>
      <c r="E40">
        <v>41.63</v>
      </c>
      <c r="F40">
        <v>9260700</v>
      </c>
      <c r="G40">
        <v>41.63</v>
      </c>
    </row>
    <row r="41" spans="1:7" x14ac:dyDescent="0.25">
      <c r="A41" s="34">
        <v>41876</v>
      </c>
      <c r="B41">
        <v>41.74</v>
      </c>
      <c r="C41">
        <v>42.04</v>
      </c>
      <c r="D41">
        <v>41.64</v>
      </c>
      <c r="E41">
        <v>41.74</v>
      </c>
      <c r="F41">
        <v>8856700</v>
      </c>
      <c r="G41">
        <v>41.74</v>
      </c>
    </row>
    <row r="42" spans="1:7" x14ac:dyDescent="0.25">
      <c r="A42" s="34">
        <v>41877</v>
      </c>
      <c r="B42">
        <v>41.85</v>
      </c>
      <c r="C42">
        <v>42</v>
      </c>
      <c r="D42">
        <v>41.78</v>
      </c>
      <c r="E42">
        <v>41.84</v>
      </c>
      <c r="F42">
        <v>7292600</v>
      </c>
      <c r="G42">
        <v>41.84</v>
      </c>
    </row>
    <row r="43" spans="1:7" x14ac:dyDescent="0.25">
      <c r="A43" s="34">
        <v>41878</v>
      </c>
      <c r="B43">
        <v>41.75</v>
      </c>
      <c r="C43">
        <v>41.8</v>
      </c>
      <c r="D43">
        <v>41.42</v>
      </c>
      <c r="E43">
        <v>41.64</v>
      </c>
      <c r="F43">
        <v>8440000</v>
      </c>
      <c r="G43">
        <v>41.64</v>
      </c>
    </row>
    <row r="44" spans="1:7" x14ac:dyDescent="0.25">
      <c r="A44" s="34">
        <v>41879</v>
      </c>
      <c r="B44">
        <v>41.67</v>
      </c>
      <c r="C44">
        <v>41.67</v>
      </c>
      <c r="D44">
        <v>41.21</v>
      </c>
      <c r="E44">
        <v>41.27</v>
      </c>
      <c r="F44">
        <v>8726900</v>
      </c>
      <c r="G44">
        <v>41.27</v>
      </c>
    </row>
    <row r="45" spans="1:7" x14ac:dyDescent="0.25">
      <c r="A45" s="34">
        <v>41880</v>
      </c>
      <c r="B45">
        <v>41.24</v>
      </c>
      <c r="C45">
        <v>41.73</v>
      </c>
      <c r="D45">
        <v>41.24</v>
      </c>
      <c r="E45">
        <v>41.53</v>
      </c>
      <c r="F45">
        <v>8970900</v>
      </c>
      <c r="G45">
        <v>41.53</v>
      </c>
    </row>
    <row r="46" spans="1:7" x14ac:dyDescent="0.25">
      <c r="A46" s="34">
        <v>41884</v>
      </c>
      <c r="B46">
        <v>41.6</v>
      </c>
      <c r="C46">
        <v>41.68</v>
      </c>
      <c r="D46">
        <v>41.46</v>
      </c>
      <c r="E46">
        <v>41.66</v>
      </c>
      <c r="F46">
        <v>8538600</v>
      </c>
      <c r="G46">
        <v>41.66</v>
      </c>
    </row>
    <row r="47" spans="1:7" x14ac:dyDescent="0.25">
      <c r="A47" s="34">
        <v>41885</v>
      </c>
      <c r="B47">
        <v>41.8</v>
      </c>
      <c r="C47">
        <v>41.95</v>
      </c>
      <c r="D47">
        <v>41.62</v>
      </c>
      <c r="E47">
        <v>41.9</v>
      </c>
      <c r="F47">
        <v>10041600</v>
      </c>
      <c r="G47">
        <v>41.9</v>
      </c>
    </row>
    <row r="48" spans="1:7" x14ac:dyDescent="0.25">
      <c r="A48" s="34">
        <v>41886</v>
      </c>
      <c r="B48">
        <v>41.89</v>
      </c>
      <c r="C48">
        <v>42.09</v>
      </c>
      <c r="D48">
        <v>41.37</v>
      </c>
      <c r="E48">
        <v>41.55</v>
      </c>
      <c r="F48">
        <v>12236800</v>
      </c>
      <c r="G48">
        <v>41.55</v>
      </c>
    </row>
    <row r="49" spans="1:7" x14ac:dyDescent="0.25">
      <c r="A49" s="34">
        <v>41887</v>
      </c>
      <c r="B49">
        <v>41.61</v>
      </c>
      <c r="C49">
        <v>41.76</v>
      </c>
      <c r="D49">
        <v>41.26</v>
      </c>
      <c r="E49">
        <v>41.27</v>
      </c>
      <c r="F49">
        <v>15155600</v>
      </c>
      <c r="G49">
        <v>41.27</v>
      </c>
    </row>
    <row r="50" spans="1:7" x14ac:dyDescent="0.25">
      <c r="A50" s="34">
        <v>41890</v>
      </c>
      <c r="B50">
        <v>41.01</v>
      </c>
      <c r="C50">
        <v>41.18</v>
      </c>
      <c r="D50">
        <v>40.270000000000003</v>
      </c>
      <c r="E50">
        <v>40.64</v>
      </c>
      <c r="F50">
        <v>19641200</v>
      </c>
      <c r="G50">
        <v>40.64</v>
      </c>
    </row>
    <row r="51" spans="1:7" x14ac:dyDescent="0.25">
      <c r="A51" s="34">
        <v>41891</v>
      </c>
      <c r="B51">
        <v>40.51</v>
      </c>
      <c r="C51">
        <v>40.909999999999997</v>
      </c>
      <c r="D51">
        <v>40.43</v>
      </c>
      <c r="E51">
        <v>40.71</v>
      </c>
      <c r="F51">
        <v>14019000</v>
      </c>
      <c r="G51">
        <v>40.71</v>
      </c>
    </row>
    <row r="52" spans="1:7" x14ac:dyDescent="0.25">
      <c r="A52" s="34">
        <v>41892</v>
      </c>
      <c r="B52">
        <v>40.700000000000003</v>
      </c>
      <c r="C52">
        <v>40.81</v>
      </c>
      <c r="D52">
        <v>40.57</v>
      </c>
      <c r="E52">
        <v>40.71</v>
      </c>
      <c r="F52">
        <v>9134500</v>
      </c>
      <c r="G52">
        <v>40.71</v>
      </c>
    </row>
    <row r="53" spans="1:7" x14ac:dyDescent="0.25">
      <c r="A53" s="34">
        <v>41893</v>
      </c>
      <c r="B53">
        <v>40.25</v>
      </c>
      <c r="C53">
        <v>40.69</v>
      </c>
      <c r="D53">
        <v>40.200000000000003</v>
      </c>
      <c r="E53">
        <v>40.68</v>
      </c>
      <c r="F53">
        <v>12389100</v>
      </c>
      <c r="G53">
        <v>40.68</v>
      </c>
    </row>
    <row r="54" spans="1:7" x14ac:dyDescent="0.25">
      <c r="A54" s="34">
        <v>41894</v>
      </c>
      <c r="B54">
        <v>40.74</v>
      </c>
      <c r="C54">
        <v>40.74</v>
      </c>
      <c r="D54">
        <v>40.4</v>
      </c>
      <c r="E54">
        <v>40.5</v>
      </c>
      <c r="F54">
        <v>11912300</v>
      </c>
      <c r="G54">
        <v>40.5</v>
      </c>
    </row>
    <row r="55" spans="1:7" x14ac:dyDescent="0.25">
      <c r="A55" s="34">
        <v>41897</v>
      </c>
      <c r="B55">
        <v>40.5</v>
      </c>
      <c r="C55">
        <v>40.770000000000003</v>
      </c>
      <c r="D55">
        <v>40.21</v>
      </c>
      <c r="E55">
        <v>40.659999999999997</v>
      </c>
      <c r="F55">
        <v>14018100</v>
      </c>
      <c r="G55">
        <v>40.659999999999997</v>
      </c>
    </row>
  </sheetData>
  <sortState ref="A3:G55">
    <sortCondition ref="A3:A55"/>
  </sortState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103.77</v>
      </c>
      <c r="C3">
        <v>104.04</v>
      </c>
      <c r="D3">
        <v>102.72</v>
      </c>
      <c r="E3">
        <v>102.8</v>
      </c>
      <c r="F3">
        <v>3314300</v>
      </c>
      <c r="G3">
        <v>102.07</v>
      </c>
    </row>
    <row r="4" spans="1:7" x14ac:dyDescent="0.25">
      <c r="A4" s="34">
        <v>41822</v>
      </c>
      <c r="B4">
        <v>102.74</v>
      </c>
      <c r="C4">
        <v>102.93</v>
      </c>
      <c r="D4">
        <v>101.28</v>
      </c>
      <c r="E4">
        <v>102.24</v>
      </c>
      <c r="F4">
        <v>5346300</v>
      </c>
      <c r="G4">
        <v>101.51</v>
      </c>
    </row>
    <row r="5" spans="1:7" x14ac:dyDescent="0.25">
      <c r="A5" s="34">
        <v>41823</v>
      </c>
      <c r="B5">
        <v>102.33</v>
      </c>
      <c r="C5">
        <v>102.75</v>
      </c>
      <c r="D5">
        <v>101.77</v>
      </c>
      <c r="E5">
        <v>102.17</v>
      </c>
      <c r="F5">
        <v>2414700</v>
      </c>
      <c r="G5">
        <v>101.44</v>
      </c>
    </row>
    <row r="6" spans="1:7" x14ac:dyDescent="0.25">
      <c r="A6" s="34">
        <v>41827</v>
      </c>
      <c r="B6">
        <v>102.27</v>
      </c>
      <c r="C6">
        <v>102.32</v>
      </c>
      <c r="D6">
        <v>101.29</v>
      </c>
      <c r="E6">
        <v>101.59</v>
      </c>
      <c r="F6">
        <v>2880500</v>
      </c>
      <c r="G6">
        <v>100.87</v>
      </c>
    </row>
    <row r="7" spans="1:7" x14ac:dyDescent="0.25">
      <c r="A7" s="34">
        <v>41828</v>
      </c>
      <c r="B7">
        <v>101.48</v>
      </c>
      <c r="C7">
        <v>102.39</v>
      </c>
      <c r="D7">
        <v>101.32</v>
      </c>
      <c r="E7">
        <v>101.88</v>
      </c>
      <c r="F7">
        <v>2549000</v>
      </c>
      <c r="G7">
        <v>101.16</v>
      </c>
    </row>
    <row r="8" spans="1:7" x14ac:dyDescent="0.25">
      <c r="A8" s="34">
        <v>41829</v>
      </c>
      <c r="B8">
        <v>102.07</v>
      </c>
      <c r="C8">
        <v>102.29</v>
      </c>
      <c r="D8">
        <v>101.45</v>
      </c>
      <c r="E8">
        <v>101.95</v>
      </c>
      <c r="F8">
        <v>2257800</v>
      </c>
      <c r="G8">
        <v>101.23</v>
      </c>
    </row>
    <row r="9" spans="1:7" x14ac:dyDescent="0.25">
      <c r="A9" s="34">
        <v>41830</v>
      </c>
      <c r="B9">
        <v>101.11</v>
      </c>
      <c r="C9">
        <v>101.55</v>
      </c>
      <c r="D9">
        <v>99.89</v>
      </c>
      <c r="E9">
        <v>100.41</v>
      </c>
      <c r="F9">
        <v>4825000</v>
      </c>
      <c r="G9">
        <v>99.7</v>
      </c>
    </row>
    <row r="10" spans="1:7" x14ac:dyDescent="0.25">
      <c r="A10" s="34">
        <v>41831</v>
      </c>
      <c r="B10">
        <v>100.55</v>
      </c>
      <c r="C10">
        <v>100.72</v>
      </c>
      <c r="D10">
        <v>99.73</v>
      </c>
      <c r="E10">
        <v>100.48</v>
      </c>
      <c r="F10">
        <v>3116100</v>
      </c>
      <c r="G10">
        <v>99.77</v>
      </c>
    </row>
    <row r="11" spans="1:7" x14ac:dyDescent="0.25">
      <c r="A11" s="34">
        <v>41834</v>
      </c>
      <c r="B11">
        <v>100.95</v>
      </c>
      <c r="C11">
        <v>101.39</v>
      </c>
      <c r="D11">
        <v>100.76</v>
      </c>
      <c r="E11">
        <v>101.22</v>
      </c>
      <c r="F11">
        <v>2611800</v>
      </c>
      <c r="G11">
        <v>100.5</v>
      </c>
    </row>
    <row r="12" spans="1:7" x14ac:dyDescent="0.25">
      <c r="A12" s="34">
        <v>41835</v>
      </c>
      <c r="B12">
        <v>101.3</v>
      </c>
      <c r="C12">
        <v>101.53</v>
      </c>
      <c r="D12">
        <v>99.27</v>
      </c>
      <c r="E12">
        <v>99.52</v>
      </c>
      <c r="F12">
        <v>3802300</v>
      </c>
      <c r="G12">
        <v>98.81</v>
      </c>
    </row>
    <row r="13" spans="1:7" x14ac:dyDescent="0.25">
      <c r="A13" s="34">
        <v>41836</v>
      </c>
      <c r="B13">
        <v>99.83</v>
      </c>
      <c r="C13">
        <v>101.91</v>
      </c>
      <c r="D13">
        <v>99.83</v>
      </c>
      <c r="E13">
        <v>101.73</v>
      </c>
      <c r="F13">
        <v>3101400</v>
      </c>
      <c r="G13">
        <v>101.01</v>
      </c>
    </row>
    <row r="14" spans="1:7" x14ac:dyDescent="0.25">
      <c r="A14" s="34">
        <v>41837</v>
      </c>
      <c r="B14">
        <v>101.88</v>
      </c>
      <c r="C14">
        <v>102.17</v>
      </c>
      <c r="D14">
        <v>99.83</v>
      </c>
      <c r="E14">
        <v>99.95</v>
      </c>
      <c r="F14">
        <v>2781900</v>
      </c>
      <c r="G14">
        <v>99.24</v>
      </c>
    </row>
    <row r="15" spans="1:7" x14ac:dyDescent="0.25">
      <c r="A15" s="34">
        <v>41838</v>
      </c>
      <c r="B15">
        <v>100.03</v>
      </c>
      <c r="C15">
        <v>101.01</v>
      </c>
      <c r="D15">
        <v>99.5</v>
      </c>
      <c r="E15">
        <v>100.93</v>
      </c>
      <c r="F15">
        <v>3388600</v>
      </c>
      <c r="G15">
        <v>100.21</v>
      </c>
    </row>
    <row r="16" spans="1:7" x14ac:dyDescent="0.25">
      <c r="A16" s="34">
        <v>41841</v>
      </c>
      <c r="B16">
        <v>101.16</v>
      </c>
      <c r="C16">
        <v>101.16</v>
      </c>
      <c r="D16">
        <v>100.03</v>
      </c>
      <c r="E16">
        <v>100.58</v>
      </c>
      <c r="F16">
        <v>2606300</v>
      </c>
      <c r="G16">
        <v>99.87</v>
      </c>
    </row>
    <row r="17" spans="1:7" x14ac:dyDescent="0.25">
      <c r="A17" s="34">
        <v>41842</v>
      </c>
      <c r="B17">
        <v>100.96</v>
      </c>
      <c r="C17">
        <v>102.01</v>
      </c>
      <c r="D17">
        <v>100.74</v>
      </c>
      <c r="E17">
        <v>101.27</v>
      </c>
      <c r="F17">
        <v>2569600</v>
      </c>
      <c r="G17">
        <v>100.55</v>
      </c>
    </row>
    <row r="18" spans="1:7" x14ac:dyDescent="0.25">
      <c r="A18" s="34">
        <v>41843</v>
      </c>
      <c r="B18">
        <v>101.25</v>
      </c>
      <c r="C18">
        <v>101.73</v>
      </c>
      <c r="D18">
        <v>100.73</v>
      </c>
      <c r="E18">
        <v>101.6</v>
      </c>
      <c r="F18">
        <v>1693400</v>
      </c>
      <c r="G18">
        <v>100.88</v>
      </c>
    </row>
    <row r="19" spans="1:7" x14ac:dyDescent="0.25">
      <c r="A19" s="34">
        <v>41844</v>
      </c>
      <c r="B19">
        <v>101.53</v>
      </c>
      <c r="C19">
        <v>101.59</v>
      </c>
      <c r="D19">
        <v>100.35</v>
      </c>
      <c r="E19">
        <v>100.88</v>
      </c>
      <c r="F19">
        <v>2352600</v>
      </c>
      <c r="G19">
        <v>100.16</v>
      </c>
    </row>
    <row r="20" spans="1:7" x14ac:dyDescent="0.25">
      <c r="A20" s="34">
        <v>41845</v>
      </c>
      <c r="B20">
        <v>100.38</v>
      </c>
      <c r="C20">
        <v>100.93</v>
      </c>
      <c r="D20">
        <v>100</v>
      </c>
      <c r="E20">
        <v>100.09</v>
      </c>
      <c r="F20">
        <v>2590000</v>
      </c>
      <c r="G20">
        <v>99.38</v>
      </c>
    </row>
    <row r="21" spans="1:7" x14ac:dyDescent="0.25">
      <c r="A21" s="34">
        <v>41848</v>
      </c>
      <c r="B21">
        <v>100.2</v>
      </c>
      <c r="C21">
        <v>100.6</v>
      </c>
      <c r="D21">
        <v>99.5</v>
      </c>
      <c r="E21">
        <v>99.82</v>
      </c>
      <c r="F21">
        <v>2341300</v>
      </c>
      <c r="G21">
        <v>99.11</v>
      </c>
    </row>
    <row r="22" spans="1:7" x14ac:dyDescent="0.25">
      <c r="A22" s="34">
        <v>41849</v>
      </c>
      <c r="B22">
        <v>99.55</v>
      </c>
      <c r="C22">
        <v>99.94</v>
      </c>
      <c r="D22">
        <v>99.26</v>
      </c>
      <c r="E22">
        <v>99.33</v>
      </c>
      <c r="F22">
        <v>2256400</v>
      </c>
      <c r="G22">
        <v>98.62</v>
      </c>
    </row>
    <row r="23" spans="1:7" x14ac:dyDescent="0.25">
      <c r="A23" s="34">
        <v>41850</v>
      </c>
      <c r="B23">
        <v>99.76</v>
      </c>
      <c r="C23">
        <v>100.31</v>
      </c>
      <c r="D23">
        <v>98.08</v>
      </c>
      <c r="E23">
        <v>98.11</v>
      </c>
      <c r="F23">
        <v>4248500</v>
      </c>
      <c r="G23">
        <v>97.41</v>
      </c>
    </row>
    <row r="24" spans="1:7" x14ac:dyDescent="0.25">
      <c r="A24" s="34">
        <v>41851</v>
      </c>
      <c r="B24">
        <v>98.83</v>
      </c>
      <c r="C24">
        <v>99.09</v>
      </c>
      <c r="D24">
        <v>97.48</v>
      </c>
      <c r="E24">
        <v>97.71</v>
      </c>
      <c r="F24">
        <v>5444300</v>
      </c>
      <c r="G24">
        <v>97.02</v>
      </c>
    </row>
    <row r="25" spans="1:7" x14ac:dyDescent="0.25">
      <c r="A25" s="34">
        <v>41852</v>
      </c>
      <c r="B25">
        <v>97.64</v>
      </c>
      <c r="C25">
        <v>98.93</v>
      </c>
      <c r="D25">
        <v>96.82</v>
      </c>
      <c r="E25">
        <v>97.89</v>
      </c>
      <c r="F25">
        <v>5187600</v>
      </c>
      <c r="G25">
        <v>97.19</v>
      </c>
    </row>
    <row r="26" spans="1:7" x14ac:dyDescent="0.25">
      <c r="A26" s="34">
        <v>41855</v>
      </c>
      <c r="B26">
        <v>98.76</v>
      </c>
      <c r="C26">
        <v>101.23</v>
      </c>
      <c r="D26">
        <v>98.62</v>
      </c>
      <c r="E26">
        <v>100.75</v>
      </c>
      <c r="F26">
        <v>5124000</v>
      </c>
      <c r="G26">
        <v>100.03</v>
      </c>
    </row>
    <row r="27" spans="1:7" x14ac:dyDescent="0.25">
      <c r="A27" s="34">
        <v>41856</v>
      </c>
      <c r="B27">
        <v>100.24</v>
      </c>
      <c r="C27">
        <v>100.26</v>
      </c>
      <c r="D27">
        <v>98.41</v>
      </c>
      <c r="E27">
        <v>99.11</v>
      </c>
      <c r="F27">
        <v>4715100</v>
      </c>
      <c r="G27">
        <v>98.41</v>
      </c>
    </row>
    <row r="28" spans="1:7" x14ac:dyDescent="0.25">
      <c r="A28" s="34">
        <v>41857</v>
      </c>
      <c r="B28">
        <v>98.92</v>
      </c>
      <c r="C28">
        <v>100.55</v>
      </c>
      <c r="D28">
        <v>98.72</v>
      </c>
      <c r="E28">
        <v>99.41</v>
      </c>
      <c r="F28">
        <v>2907800</v>
      </c>
      <c r="G28">
        <v>98.7</v>
      </c>
    </row>
    <row r="29" spans="1:7" x14ac:dyDescent="0.25">
      <c r="A29" s="34">
        <v>41858</v>
      </c>
      <c r="B29">
        <v>99.55</v>
      </c>
      <c r="C29">
        <v>99.75</v>
      </c>
      <c r="D29">
        <v>97.77</v>
      </c>
      <c r="E29">
        <v>98.29</v>
      </c>
      <c r="F29">
        <v>3263000</v>
      </c>
      <c r="G29">
        <v>97.59</v>
      </c>
    </row>
    <row r="30" spans="1:7" x14ac:dyDescent="0.25">
      <c r="A30" s="34">
        <v>41859</v>
      </c>
      <c r="B30">
        <v>98.65</v>
      </c>
      <c r="C30">
        <v>99.85</v>
      </c>
      <c r="D30">
        <v>98.36</v>
      </c>
      <c r="E30">
        <v>99.8</v>
      </c>
      <c r="F30">
        <v>3005800</v>
      </c>
      <c r="G30">
        <v>99.09</v>
      </c>
    </row>
    <row r="31" spans="1:7" x14ac:dyDescent="0.25">
      <c r="A31" s="34">
        <v>41862</v>
      </c>
      <c r="B31">
        <v>100.2</v>
      </c>
      <c r="C31">
        <v>101.05</v>
      </c>
      <c r="D31">
        <v>99.52</v>
      </c>
      <c r="E31">
        <v>99.77</v>
      </c>
      <c r="F31">
        <v>2471600</v>
      </c>
      <c r="G31">
        <v>99.06</v>
      </c>
    </row>
    <row r="32" spans="1:7" x14ac:dyDescent="0.25">
      <c r="A32" s="34">
        <v>41863</v>
      </c>
      <c r="B32">
        <v>99.4</v>
      </c>
      <c r="C32">
        <v>100.38</v>
      </c>
      <c r="D32">
        <v>99.05</v>
      </c>
      <c r="E32">
        <v>99.81</v>
      </c>
      <c r="F32">
        <v>2980800</v>
      </c>
      <c r="G32">
        <v>99.1</v>
      </c>
    </row>
    <row r="33" spans="1:7" x14ac:dyDescent="0.25">
      <c r="A33" s="34">
        <v>41864</v>
      </c>
      <c r="B33">
        <v>99.99</v>
      </c>
      <c r="C33">
        <v>100.96</v>
      </c>
      <c r="D33">
        <v>99.19</v>
      </c>
      <c r="E33">
        <v>99.99</v>
      </c>
      <c r="F33">
        <v>2457900</v>
      </c>
      <c r="G33">
        <v>99.28</v>
      </c>
    </row>
    <row r="34" spans="1:7" x14ac:dyDescent="0.25">
      <c r="A34" s="34">
        <v>41865</v>
      </c>
      <c r="B34">
        <v>100.29</v>
      </c>
      <c r="C34">
        <v>100.82</v>
      </c>
      <c r="D34">
        <v>99.74</v>
      </c>
      <c r="E34">
        <v>99.97</v>
      </c>
      <c r="F34">
        <v>3461800</v>
      </c>
      <c r="G34">
        <v>99.26</v>
      </c>
    </row>
    <row r="35" spans="1:7" x14ac:dyDescent="0.25">
      <c r="A35" s="34">
        <v>41866</v>
      </c>
      <c r="B35">
        <v>100.03</v>
      </c>
      <c r="C35">
        <v>100.61</v>
      </c>
      <c r="D35">
        <v>99.33</v>
      </c>
      <c r="E35">
        <v>100.46</v>
      </c>
      <c r="F35">
        <v>4278100</v>
      </c>
      <c r="G35">
        <v>99.75</v>
      </c>
    </row>
    <row r="36" spans="1:7" x14ac:dyDescent="0.25">
      <c r="A36" s="34">
        <v>41869</v>
      </c>
      <c r="B36">
        <v>100.78</v>
      </c>
      <c r="C36">
        <v>100.91</v>
      </c>
      <c r="D36">
        <v>99.49</v>
      </c>
      <c r="E36">
        <v>100.6</v>
      </c>
      <c r="F36">
        <v>2969700</v>
      </c>
      <c r="G36">
        <v>99.89</v>
      </c>
    </row>
    <row r="37" spans="1:7" x14ac:dyDescent="0.25">
      <c r="A37" s="34">
        <v>41870</v>
      </c>
      <c r="B37">
        <v>101.08</v>
      </c>
      <c r="C37">
        <v>102.11</v>
      </c>
      <c r="D37">
        <v>100.65</v>
      </c>
      <c r="E37">
        <v>101.8</v>
      </c>
      <c r="F37">
        <v>3161900</v>
      </c>
      <c r="G37">
        <v>101.08</v>
      </c>
    </row>
    <row r="38" spans="1:7" x14ac:dyDescent="0.25">
      <c r="A38" s="34">
        <v>41871</v>
      </c>
      <c r="B38">
        <v>101.36</v>
      </c>
      <c r="C38">
        <v>101.9</v>
      </c>
      <c r="D38">
        <v>100.92</v>
      </c>
      <c r="E38">
        <v>101.74</v>
      </c>
      <c r="F38">
        <v>1919100</v>
      </c>
      <c r="G38">
        <v>101.02</v>
      </c>
    </row>
    <row r="39" spans="1:7" x14ac:dyDescent="0.25">
      <c r="A39" s="34">
        <v>41872</v>
      </c>
      <c r="B39">
        <v>101.76</v>
      </c>
      <c r="C39">
        <v>102.5</v>
      </c>
      <c r="D39">
        <v>101.54</v>
      </c>
      <c r="E39">
        <v>102.27</v>
      </c>
      <c r="F39">
        <v>2665800</v>
      </c>
      <c r="G39">
        <v>101.54</v>
      </c>
    </row>
    <row r="40" spans="1:7" x14ac:dyDescent="0.25">
      <c r="A40" s="34">
        <v>41873</v>
      </c>
      <c r="B40">
        <v>102.24</v>
      </c>
      <c r="C40">
        <v>102.82</v>
      </c>
      <c r="D40">
        <v>101.95</v>
      </c>
      <c r="E40">
        <v>102.44</v>
      </c>
      <c r="F40">
        <v>3061200</v>
      </c>
      <c r="G40">
        <v>101.71</v>
      </c>
    </row>
    <row r="41" spans="1:7" x14ac:dyDescent="0.25">
      <c r="A41" s="34">
        <v>41876</v>
      </c>
      <c r="B41">
        <v>102.89</v>
      </c>
      <c r="C41">
        <v>103.55</v>
      </c>
      <c r="D41">
        <v>102.67</v>
      </c>
      <c r="E41">
        <v>103.28</v>
      </c>
      <c r="F41">
        <v>3188400</v>
      </c>
      <c r="G41">
        <v>102.55</v>
      </c>
    </row>
    <row r="42" spans="1:7" x14ac:dyDescent="0.25">
      <c r="A42" s="34">
        <v>41877</v>
      </c>
      <c r="B42">
        <v>103.57</v>
      </c>
      <c r="C42">
        <v>103.7</v>
      </c>
      <c r="D42">
        <v>103.1</v>
      </c>
      <c r="E42">
        <v>103.15</v>
      </c>
      <c r="F42">
        <v>2287300</v>
      </c>
      <c r="G42">
        <v>102.42</v>
      </c>
    </row>
    <row r="43" spans="1:7" x14ac:dyDescent="0.25">
      <c r="A43" s="34">
        <v>41878</v>
      </c>
      <c r="B43">
        <v>103.41</v>
      </c>
      <c r="C43">
        <v>103.68</v>
      </c>
      <c r="D43">
        <v>102.95</v>
      </c>
      <c r="E43">
        <v>103.38</v>
      </c>
      <c r="F43">
        <v>2233600</v>
      </c>
      <c r="G43">
        <v>102.65</v>
      </c>
    </row>
    <row r="44" spans="1:7" x14ac:dyDescent="0.25">
      <c r="A44" s="34">
        <v>41879</v>
      </c>
      <c r="B44">
        <v>103.24</v>
      </c>
      <c r="C44">
        <v>104.48</v>
      </c>
      <c r="D44">
        <v>103.09</v>
      </c>
      <c r="E44">
        <v>104.01</v>
      </c>
      <c r="F44">
        <v>2809600</v>
      </c>
      <c r="G44">
        <v>103.27</v>
      </c>
    </row>
    <row r="45" spans="1:7" x14ac:dyDescent="0.25">
      <c r="A45" s="34">
        <v>41880</v>
      </c>
      <c r="B45">
        <v>103.02</v>
      </c>
      <c r="C45">
        <v>104.07</v>
      </c>
      <c r="D45">
        <v>103.02</v>
      </c>
      <c r="E45">
        <v>103.73</v>
      </c>
      <c r="F45">
        <v>2485800</v>
      </c>
      <c r="G45">
        <v>102.99</v>
      </c>
    </row>
    <row r="46" spans="1:7" x14ac:dyDescent="0.25">
      <c r="A46" s="34">
        <v>41884</v>
      </c>
      <c r="B46">
        <v>103.43</v>
      </c>
      <c r="C46">
        <v>103.69</v>
      </c>
      <c r="D46">
        <v>102.08</v>
      </c>
      <c r="E46">
        <v>102.36</v>
      </c>
      <c r="F46">
        <v>2713600</v>
      </c>
      <c r="G46">
        <v>101.63</v>
      </c>
    </row>
    <row r="47" spans="1:7" x14ac:dyDescent="0.25">
      <c r="A47" s="34">
        <v>41885</v>
      </c>
      <c r="B47">
        <v>103.17</v>
      </c>
      <c r="C47">
        <v>103.57</v>
      </c>
      <c r="D47">
        <v>102.39</v>
      </c>
      <c r="E47">
        <v>102.45</v>
      </c>
      <c r="F47">
        <v>2978900</v>
      </c>
      <c r="G47">
        <v>101.72</v>
      </c>
    </row>
    <row r="48" spans="1:7" x14ac:dyDescent="0.25">
      <c r="A48" s="34">
        <v>41886</v>
      </c>
      <c r="B48">
        <v>102.65</v>
      </c>
      <c r="C48">
        <v>103.47</v>
      </c>
      <c r="D48">
        <v>101.91</v>
      </c>
      <c r="E48">
        <v>102.37</v>
      </c>
      <c r="F48">
        <v>3786600</v>
      </c>
      <c r="G48">
        <v>101.64</v>
      </c>
    </row>
    <row r="49" spans="1:7" x14ac:dyDescent="0.25">
      <c r="A49" s="34">
        <v>41887</v>
      </c>
      <c r="B49">
        <v>102.34</v>
      </c>
      <c r="C49">
        <v>102.58</v>
      </c>
      <c r="D49">
        <v>100.77</v>
      </c>
      <c r="E49">
        <v>101.31</v>
      </c>
      <c r="F49">
        <v>4764000</v>
      </c>
      <c r="G49">
        <v>100.59</v>
      </c>
    </row>
    <row r="50" spans="1:7" x14ac:dyDescent="0.25">
      <c r="A50" s="34">
        <v>41890</v>
      </c>
      <c r="B50">
        <v>100.25</v>
      </c>
      <c r="C50">
        <v>100.32</v>
      </c>
      <c r="D50">
        <v>98.11</v>
      </c>
      <c r="E50">
        <v>98.55</v>
      </c>
      <c r="F50">
        <v>4971000</v>
      </c>
      <c r="G50">
        <v>98.55</v>
      </c>
    </row>
    <row r="51" spans="1:7" x14ac:dyDescent="0.25">
      <c r="A51" s="34">
        <v>41891</v>
      </c>
      <c r="B51">
        <v>98.52</v>
      </c>
      <c r="C51">
        <v>99.27</v>
      </c>
      <c r="D51">
        <v>97.79</v>
      </c>
      <c r="E51">
        <v>98.35</v>
      </c>
      <c r="F51">
        <v>4155600</v>
      </c>
      <c r="G51">
        <v>98.35</v>
      </c>
    </row>
    <row r="52" spans="1:7" x14ac:dyDescent="0.25">
      <c r="A52" s="34">
        <v>41892</v>
      </c>
      <c r="B52">
        <v>98.46</v>
      </c>
      <c r="C52">
        <v>98.6</v>
      </c>
      <c r="D52">
        <v>97.59</v>
      </c>
      <c r="E52">
        <v>98.54</v>
      </c>
      <c r="F52">
        <v>3545700</v>
      </c>
      <c r="G52">
        <v>98.54</v>
      </c>
    </row>
    <row r="53" spans="1:7" x14ac:dyDescent="0.25">
      <c r="A53" s="34">
        <v>41893</v>
      </c>
      <c r="B53">
        <v>97.86</v>
      </c>
      <c r="C53">
        <v>98.43</v>
      </c>
      <c r="D53">
        <v>97.34</v>
      </c>
      <c r="E53">
        <v>98.35</v>
      </c>
      <c r="F53">
        <v>3145000</v>
      </c>
      <c r="G53">
        <v>98.35</v>
      </c>
    </row>
    <row r="54" spans="1:7" x14ac:dyDescent="0.25">
      <c r="A54" s="34">
        <v>41894</v>
      </c>
      <c r="B54">
        <v>98</v>
      </c>
      <c r="C54">
        <v>98.13</v>
      </c>
      <c r="D54">
        <v>97.05</v>
      </c>
      <c r="E54">
        <v>97.4</v>
      </c>
      <c r="F54">
        <v>2903700</v>
      </c>
      <c r="G54">
        <v>97.4</v>
      </c>
    </row>
    <row r="55" spans="1:7" x14ac:dyDescent="0.25">
      <c r="A55" s="34">
        <v>41897</v>
      </c>
      <c r="B55">
        <v>97.1</v>
      </c>
      <c r="C55">
        <v>98.55</v>
      </c>
      <c r="D55">
        <v>96.34</v>
      </c>
      <c r="E55">
        <v>98.29</v>
      </c>
      <c r="F55">
        <v>4380000</v>
      </c>
      <c r="G55">
        <v>98.29</v>
      </c>
    </row>
  </sheetData>
  <sortState ref="A3:G55">
    <sortCondition ref="A3:A55"/>
  </sortState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89.12</v>
      </c>
      <c r="C3">
        <v>89.28</v>
      </c>
      <c r="D3">
        <v>88.83</v>
      </c>
      <c r="E3">
        <v>89.13</v>
      </c>
      <c r="F3">
        <v>3541000</v>
      </c>
      <c r="G3">
        <v>88.5</v>
      </c>
    </row>
    <row r="4" spans="1:7" x14ac:dyDescent="0.25">
      <c r="A4" s="34">
        <v>41822</v>
      </c>
      <c r="B4">
        <v>89.29</v>
      </c>
      <c r="C4">
        <v>89.69</v>
      </c>
      <c r="D4">
        <v>89.01</v>
      </c>
      <c r="E4">
        <v>89.67</v>
      </c>
      <c r="F4">
        <v>2829600</v>
      </c>
      <c r="G4">
        <v>89.03</v>
      </c>
    </row>
    <row r="5" spans="1:7" x14ac:dyDescent="0.25">
      <c r="A5" s="34">
        <v>41823</v>
      </c>
      <c r="B5">
        <v>89.9</v>
      </c>
      <c r="C5">
        <v>90.14</v>
      </c>
      <c r="D5">
        <v>89.53</v>
      </c>
      <c r="E5">
        <v>90.02</v>
      </c>
      <c r="F5">
        <v>2216800</v>
      </c>
      <c r="G5">
        <v>89.38</v>
      </c>
    </row>
    <row r="6" spans="1:7" x14ac:dyDescent="0.25">
      <c r="A6" s="34">
        <v>41827</v>
      </c>
      <c r="B6">
        <v>89.61</v>
      </c>
      <c r="C6">
        <v>89.94</v>
      </c>
      <c r="D6">
        <v>89.48</v>
      </c>
      <c r="E6">
        <v>89.86</v>
      </c>
      <c r="F6">
        <v>2534500</v>
      </c>
      <c r="G6">
        <v>89.22</v>
      </c>
    </row>
    <row r="7" spans="1:7" x14ac:dyDescent="0.25">
      <c r="A7" s="34">
        <v>41828</v>
      </c>
      <c r="B7">
        <v>90.06</v>
      </c>
      <c r="C7">
        <v>90.08</v>
      </c>
      <c r="D7">
        <v>89.48</v>
      </c>
      <c r="E7">
        <v>89.73</v>
      </c>
      <c r="F7">
        <v>3128700</v>
      </c>
      <c r="G7">
        <v>89.09</v>
      </c>
    </row>
    <row r="8" spans="1:7" x14ac:dyDescent="0.25">
      <c r="A8" s="34">
        <v>41829</v>
      </c>
      <c r="B8">
        <v>89.9</v>
      </c>
      <c r="C8">
        <v>90.1</v>
      </c>
      <c r="D8">
        <v>89.62</v>
      </c>
      <c r="E8">
        <v>89.77</v>
      </c>
      <c r="F8">
        <v>2603300</v>
      </c>
      <c r="G8">
        <v>89.13</v>
      </c>
    </row>
    <row r="9" spans="1:7" x14ac:dyDescent="0.25">
      <c r="A9" s="34">
        <v>41830</v>
      </c>
      <c r="B9">
        <v>89.23</v>
      </c>
      <c r="C9">
        <v>90.22</v>
      </c>
      <c r="D9">
        <v>89.15</v>
      </c>
      <c r="E9">
        <v>90.1</v>
      </c>
      <c r="F9">
        <v>3145600</v>
      </c>
      <c r="G9">
        <v>89.46</v>
      </c>
    </row>
    <row r="10" spans="1:7" x14ac:dyDescent="0.25">
      <c r="A10" s="34">
        <v>41831</v>
      </c>
      <c r="B10">
        <v>89.93</v>
      </c>
      <c r="C10">
        <v>90.21</v>
      </c>
      <c r="D10">
        <v>89.45</v>
      </c>
      <c r="E10">
        <v>89.85</v>
      </c>
      <c r="F10">
        <v>3655300</v>
      </c>
      <c r="G10">
        <v>89.21</v>
      </c>
    </row>
    <row r="11" spans="1:7" x14ac:dyDescent="0.25">
      <c r="A11" s="34">
        <v>41834</v>
      </c>
      <c r="B11">
        <v>90.2</v>
      </c>
      <c r="C11">
        <v>91.39</v>
      </c>
      <c r="D11">
        <v>90.07</v>
      </c>
      <c r="E11">
        <v>91.08</v>
      </c>
      <c r="F11">
        <v>4496100</v>
      </c>
      <c r="G11">
        <v>90.43</v>
      </c>
    </row>
    <row r="12" spans="1:7" x14ac:dyDescent="0.25">
      <c r="A12" s="34">
        <v>41835</v>
      </c>
      <c r="B12">
        <v>90.31</v>
      </c>
      <c r="C12">
        <v>90.95</v>
      </c>
      <c r="D12">
        <v>90.18</v>
      </c>
      <c r="E12">
        <v>90.34</v>
      </c>
      <c r="F12">
        <v>3959100</v>
      </c>
      <c r="G12">
        <v>89.7</v>
      </c>
    </row>
    <row r="13" spans="1:7" x14ac:dyDescent="0.25">
      <c r="A13" s="34">
        <v>41836</v>
      </c>
      <c r="B13">
        <v>90.63</v>
      </c>
      <c r="C13">
        <v>90.88</v>
      </c>
      <c r="D13">
        <v>90.06</v>
      </c>
      <c r="E13">
        <v>90.5</v>
      </c>
      <c r="F13">
        <v>5121600</v>
      </c>
      <c r="G13">
        <v>89.86</v>
      </c>
    </row>
    <row r="14" spans="1:7" x14ac:dyDescent="0.25">
      <c r="A14" s="34">
        <v>41837</v>
      </c>
      <c r="B14">
        <v>90.15</v>
      </c>
      <c r="C14">
        <v>90.67</v>
      </c>
      <c r="D14">
        <v>89.97</v>
      </c>
      <c r="E14">
        <v>89.99</v>
      </c>
      <c r="F14">
        <v>2823800</v>
      </c>
      <c r="G14">
        <v>89.35</v>
      </c>
    </row>
    <row r="15" spans="1:7" x14ac:dyDescent="0.25">
      <c r="A15" s="34">
        <v>41838</v>
      </c>
      <c r="B15">
        <v>90.13</v>
      </c>
      <c r="C15">
        <v>90.28</v>
      </c>
      <c r="D15">
        <v>89.69</v>
      </c>
      <c r="E15">
        <v>90.09</v>
      </c>
      <c r="F15">
        <v>5273200</v>
      </c>
      <c r="G15">
        <v>89.45</v>
      </c>
    </row>
    <row r="16" spans="1:7" x14ac:dyDescent="0.25">
      <c r="A16" s="34">
        <v>41841</v>
      </c>
      <c r="B16">
        <v>89.62</v>
      </c>
      <c r="C16">
        <v>90.14</v>
      </c>
      <c r="D16">
        <v>89.38</v>
      </c>
      <c r="E16">
        <v>89.91</v>
      </c>
      <c r="F16">
        <v>3024100</v>
      </c>
      <c r="G16">
        <v>89.27</v>
      </c>
    </row>
    <row r="17" spans="1:7" x14ac:dyDescent="0.25">
      <c r="A17" s="34">
        <v>41842</v>
      </c>
      <c r="B17">
        <v>89.61</v>
      </c>
      <c r="C17">
        <v>89.64</v>
      </c>
      <c r="D17">
        <v>89.01</v>
      </c>
      <c r="E17">
        <v>89.17</v>
      </c>
      <c r="F17">
        <v>5304400</v>
      </c>
      <c r="G17">
        <v>88.54</v>
      </c>
    </row>
    <row r="18" spans="1:7" x14ac:dyDescent="0.25">
      <c r="A18" s="34">
        <v>41843</v>
      </c>
      <c r="B18">
        <v>91.26</v>
      </c>
      <c r="C18">
        <v>93.09</v>
      </c>
      <c r="D18">
        <v>90.76</v>
      </c>
      <c r="E18">
        <v>90.82</v>
      </c>
      <c r="F18">
        <v>10953700</v>
      </c>
      <c r="G18">
        <v>90.18</v>
      </c>
    </row>
    <row r="19" spans="1:7" x14ac:dyDescent="0.25">
      <c r="A19" s="34">
        <v>41844</v>
      </c>
      <c r="B19">
        <v>91.62</v>
      </c>
      <c r="C19">
        <v>92.34</v>
      </c>
      <c r="D19">
        <v>91.36</v>
      </c>
      <c r="E19">
        <v>91.91</v>
      </c>
      <c r="F19">
        <v>5614700</v>
      </c>
      <c r="G19">
        <v>91.26</v>
      </c>
    </row>
    <row r="20" spans="1:7" x14ac:dyDescent="0.25">
      <c r="A20" s="34">
        <v>41845</v>
      </c>
      <c r="B20">
        <v>91.98</v>
      </c>
      <c r="C20">
        <v>92.15</v>
      </c>
      <c r="D20">
        <v>91.29</v>
      </c>
      <c r="E20">
        <v>91.55</v>
      </c>
      <c r="F20">
        <v>2925000</v>
      </c>
      <c r="G20">
        <v>90.9</v>
      </c>
    </row>
    <row r="21" spans="1:7" x14ac:dyDescent="0.25">
      <c r="A21" s="34">
        <v>41848</v>
      </c>
      <c r="B21">
        <v>91.55</v>
      </c>
      <c r="C21">
        <v>91.8</v>
      </c>
      <c r="D21">
        <v>90.64</v>
      </c>
      <c r="E21">
        <v>90.97</v>
      </c>
      <c r="F21">
        <v>4653900</v>
      </c>
      <c r="G21">
        <v>90.33</v>
      </c>
    </row>
    <row r="22" spans="1:7" x14ac:dyDescent="0.25">
      <c r="A22" s="34">
        <v>41849</v>
      </c>
      <c r="B22">
        <v>90.91</v>
      </c>
      <c r="C22">
        <v>90.97</v>
      </c>
      <c r="D22">
        <v>90.14</v>
      </c>
      <c r="E22">
        <v>90.14</v>
      </c>
      <c r="F22">
        <v>4268600</v>
      </c>
      <c r="G22">
        <v>89.5</v>
      </c>
    </row>
    <row r="23" spans="1:7" x14ac:dyDescent="0.25">
      <c r="A23" s="34">
        <v>41850</v>
      </c>
      <c r="B23">
        <v>90.49</v>
      </c>
      <c r="C23">
        <v>90.55</v>
      </c>
      <c r="D23">
        <v>88.72</v>
      </c>
      <c r="E23">
        <v>88.91</v>
      </c>
      <c r="F23">
        <v>4250200</v>
      </c>
      <c r="G23">
        <v>88.28</v>
      </c>
    </row>
    <row r="24" spans="1:7" x14ac:dyDescent="0.25">
      <c r="A24" s="34">
        <v>41851</v>
      </c>
      <c r="B24">
        <v>88.24</v>
      </c>
      <c r="C24">
        <v>88.91</v>
      </c>
      <c r="D24">
        <v>88.07</v>
      </c>
      <c r="E24">
        <v>88.1</v>
      </c>
      <c r="F24">
        <v>4825900</v>
      </c>
      <c r="G24">
        <v>87.48</v>
      </c>
    </row>
    <row r="25" spans="1:7" x14ac:dyDescent="0.25">
      <c r="A25" s="34">
        <v>41852</v>
      </c>
      <c r="B25">
        <v>87.71</v>
      </c>
      <c r="C25">
        <v>88.93</v>
      </c>
      <c r="D25">
        <v>87.46</v>
      </c>
      <c r="E25">
        <v>88.11</v>
      </c>
      <c r="F25">
        <v>3987700</v>
      </c>
      <c r="G25">
        <v>87.49</v>
      </c>
    </row>
    <row r="26" spans="1:7" x14ac:dyDescent="0.25">
      <c r="A26" s="34">
        <v>41855</v>
      </c>
      <c r="B26">
        <v>88.33</v>
      </c>
      <c r="C26">
        <v>89.72</v>
      </c>
      <c r="D26">
        <v>88.13</v>
      </c>
      <c r="E26">
        <v>89.69</v>
      </c>
      <c r="F26">
        <v>6488900</v>
      </c>
      <c r="G26">
        <v>89.05</v>
      </c>
    </row>
    <row r="27" spans="1:7" x14ac:dyDescent="0.25">
      <c r="A27" s="34">
        <v>41856</v>
      </c>
      <c r="B27">
        <v>89.38</v>
      </c>
      <c r="C27">
        <v>89.68</v>
      </c>
      <c r="D27">
        <v>88.89</v>
      </c>
      <c r="E27">
        <v>89.2</v>
      </c>
      <c r="F27">
        <v>7678800</v>
      </c>
      <c r="G27">
        <v>88.57</v>
      </c>
    </row>
    <row r="28" spans="1:7" x14ac:dyDescent="0.25">
      <c r="A28" s="34">
        <v>41857</v>
      </c>
      <c r="B28">
        <v>88.43</v>
      </c>
      <c r="C28">
        <v>90.76</v>
      </c>
      <c r="D28">
        <v>88.43</v>
      </c>
      <c r="E28">
        <v>90.51</v>
      </c>
      <c r="F28">
        <v>6589900</v>
      </c>
      <c r="G28">
        <v>89.87</v>
      </c>
    </row>
    <row r="29" spans="1:7" x14ac:dyDescent="0.25">
      <c r="A29" s="34">
        <v>41858</v>
      </c>
      <c r="B29">
        <v>90.79</v>
      </c>
      <c r="C29">
        <v>90.85</v>
      </c>
      <c r="D29">
        <v>89.54</v>
      </c>
      <c r="E29">
        <v>89.9</v>
      </c>
      <c r="F29">
        <v>4625600</v>
      </c>
      <c r="G29">
        <v>89.26</v>
      </c>
    </row>
    <row r="30" spans="1:7" x14ac:dyDescent="0.25">
      <c r="A30" s="34">
        <v>41859</v>
      </c>
      <c r="B30">
        <v>89.9</v>
      </c>
      <c r="C30">
        <v>90.35</v>
      </c>
      <c r="D30">
        <v>89.51</v>
      </c>
      <c r="E30">
        <v>90.29</v>
      </c>
      <c r="F30">
        <v>4739900</v>
      </c>
      <c r="G30">
        <v>89.65</v>
      </c>
    </row>
    <row r="31" spans="1:7" x14ac:dyDescent="0.25">
      <c r="A31" s="34">
        <v>41862</v>
      </c>
      <c r="B31">
        <v>91.1</v>
      </c>
      <c r="C31">
        <v>91.86</v>
      </c>
      <c r="D31">
        <v>90.7</v>
      </c>
      <c r="E31">
        <v>91.79</v>
      </c>
      <c r="F31">
        <v>5231100</v>
      </c>
      <c r="G31">
        <v>91.14</v>
      </c>
    </row>
    <row r="32" spans="1:7" x14ac:dyDescent="0.25">
      <c r="A32" s="34">
        <v>41863</v>
      </c>
      <c r="B32">
        <v>91.46</v>
      </c>
      <c r="C32">
        <v>91.89</v>
      </c>
      <c r="D32">
        <v>91.02</v>
      </c>
      <c r="E32">
        <v>91.21</v>
      </c>
      <c r="F32">
        <v>2776000</v>
      </c>
      <c r="G32">
        <v>90.56</v>
      </c>
    </row>
    <row r="33" spans="1:7" x14ac:dyDescent="0.25">
      <c r="A33" s="34">
        <v>41864</v>
      </c>
      <c r="B33">
        <v>91.56</v>
      </c>
      <c r="C33">
        <v>91.87</v>
      </c>
      <c r="D33">
        <v>91.08</v>
      </c>
      <c r="E33">
        <v>91.74</v>
      </c>
      <c r="F33">
        <v>3690300</v>
      </c>
      <c r="G33">
        <v>91.09</v>
      </c>
    </row>
    <row r="34" spans="1:7" x14ac:dyDescent="0.25">
      <c r="A34" s="34">
        <v>41865</v>
      </c>
      <c r="B34">
        <v>91.82</v>
      </c>
      <c r="C34">
        <v>92.08</v>
      </c>
      <c r="D34">
        <v>91.46</v>
      </c>
      <c r="E34">
        <v>91.79</v>
      </c>
      <c r="F34">
        <v>3624900</v>
      </c>
      <c r="G34">
        <v>91.14</v>
      </c>
    </row>
    <row r="35" spans="1:7" x14ac:dyDescent="0.25">
      <c r="A35" s="34">
        <v>41866</v>
      </c>
      <c r="B35">
        <v>92.1</v>
      </c>
      <c r="C35">
        <v>92.75</v>
      </c>
      <c r="D35">
        <v>91.29</v>
      </c>
      <c r="E35">
        <v>91.85</v>
      </c>
      <c r="F35">
        <v>3844600</v>
      </c>
      <c r="G35">
        <v>91.2</v>
      </c>
    </row>
    <row r="36" spans="1:7" x14ac:dyDescent="0.25">
      <c r="A36" s="34">
        <v>41869</v>
      </c>
      <c r="B36">
        <v>92.2</v>
      </c>
      <c r="C36">
        <v>92.52</v>
      </c>
      <c r="D36">
        <v>92</v>
      </c>
      <c r="E36">
        <v>92.15</v>
      </c>
      <c r="F36">
        <v>2974700</v>
      </c>
      <c r="G36">
        <v>91.5</v>
      </c>
    </row>
    <row r="37" spans="1:7" x14ac:dyDescent="0.25">
      <c r="A37" s="34">
        <v>41870</v>
      </c>
      <c r="B37">
        <v>92.22</v>
      </c>
      <c r="C37">
        <v>92.36</v>
      </c>
      <c r="D37">
        <v>91.78</v>
      </c>
      <c r="E37">
        <v>91.86</v>
      </c>
      <c r="F37">
        <v>3086300</v>
      </c>
      <c r="G37">
        <v>91.21</v>
      </c>
    </row>
    <row r="38" spans="1:7" x14ac:dyDescent="0.25">
      <c r="A38" s="34">
        <v>41871</v>
      </c>
      <c r="B38">
        <v>91.82</v>
      </c>
      <c r="C38">
        <v>92.44</v>
      </c>
      <c r="D38">
        <v>91.52</v>
      </c>
      <c r="E38">
        <v>92.23</v>
      </c>
      <c r="F38">
        <v>5709300</v>
      </c>
      <c r="G38">
        <v>91.58</v>
      </c>
    </row>
    <row r="39" spans="1:7" x14ac:dyDescent="0.25">
      <c r="A39" s="34">
        <v>41872</v>
      </c>
      <c r="B39">
        <v>92.57</v>
      </c>
      <c r="C39">
        <v>93.19</v>
      </c>
      <c r="D39">
        <v>92.01</v>
      </c>
      <c r="E39">
        <v>92.05</v>
      </c>
      <c r="F39">
        <v>4060300</v>
      </c>
      <c r="G39">
        <v>91.4</v>
      </c>
    </row>
    <row r="40" spans="1:7" x14ac:dyDescent="0.25">
      <c r="A40" s="34">
        <v>41873</v>
      </c>
      <c r="B40">
        <v>92.27</v>
      </c>
      <c r="C40">
        <v>92.59</v>
      </c>
      <c r="D40">
        <v>91.6</v>
      </c>
      <c r="E40">
        <v>91.6</v>
      </c>
      <c r="F40">
        <v>3865500</v>
      </c>
      <c r="G40">
        <v>90.95</v>
      </c>
    </row>
    <row r="41" spans="1:7" x14ac:dyDescent="0.25">
      <c r="A41" s="34">
        <v>41876</v>
      </c>
      <c r="B41">
        <v>92.58</v>
      </c>
      <c r="C41">
        <v>93.45</v>
      </c>
      <c r="D41">
        <v>92.58</v>
      </c>
      <c r="E41">
        <v>93.19</v>
      </c>
      <c r="F41">
        <v>5031800</v>
      </c>
      <c r="G41">
        <v>92.53</v>
      </c>
    </row>
    <row r="42" spans="1:7" x14ac:dyDescent="0.25">
      <c r="A42" s="34">
        <v>41877</v>
      </c>
      <c r="B42">
        <v>93.21</v>
      </c>
      <c r="C42">
        <v>93.51</v>
      </c>
      <c r="D42">
        <v>92.56</v>
      </c>
      <c r="E42">
        <v>92.6</v>
      </c>
      <c r="F42">
        <v>3143400</v>
      </c>
      <c r="G42">
        <v>91.94</v>
      </c>
    </row>
    <row r="43" spans="1:7" x14ac:dyDescent="0.25">
      <c r="A43" s="34">
        <v>41878</v>
      </c>
      <c r="B43">
        <v>92.72</v>
      </c>
      <c r="C43">
        <v>92.72</v>
      </c>
      <c r="D43">
        <v>92.06</v>
      </c>
      <c r="E43">
        <v>92.23</v>
      </c>
      <c r="F43">
        <v>2955100</v>
      </c>
      <c r="G43">
        <v>91.58</v>
      </c>
    </row>
    <row r="44" spans="1:7" x14ac:dyDescent="0.25">
      <c r="A44" s="34">
        <v>41879</v>
      </c>
      <c r="B44">
        <v>92.09</v>
      </c>
      <c r="C44">
        <v>92.7</v>
      </c>
      <c r="D44">
        <v>91.81</v>
      </c>
      <c r="E44">
        <v>92.58</v>
      </c>
      <c r="F44">
        <v>3234300</v>
      </c>
      <c r="G44">
        <v>91.92</v>
      </c>
    </row>
    <row r="45" spans="1:7" x14ac:dyDescent="0.25">
      <c r="A45" s="34">
        <v>41880</v>
      </c>
      <c r="B45">
        <v>92.73</v>
      </c>
      <c r="C45">
        <v>92.91</v>
      </c>
      <c r="D45">
        <v>92.01</v>
      </c>
      <c r="E45">
        <v>92.49</v>
      </c>
      <c r="F45">
        <v>3657700</v>
      </c>
      <c r="G45">
        <v>91.83</v>
      </c>
    </row>
    <row r="46" spans="1:7" x14ac:dyDescent="0.25">
      <c r="A46" s="34">
        <v>41884</v>
      </c>
      <c r="B46">
        <v>92.62</v>
      </c>
      <c r="C46">
        <v>93.14</v>
      </c>
      <c r="D46">
        <v>92.38</v>
      </c>
      <c r="E46">
        <v>92.48</v>
      </c>
      <c r="F46">
        <v>5130300</v>
      </c>
      <c r="G46">
        <v>91.83</v>
      </c>
    </row>
    <row r="47" spans="1:7" x14ac:dyDescent="0.25">
      <c r="A47" s="34">
        <v>41885</v>
      </c>
      <c r="B47">
        <v>92.4</v>
      </c>
      <c r="C47">
        <v>92.76</v>
      </c>
      <c r="D47">
        <v>91.81</v>
      </c>
      <c r="E47">
        <v>92.75</v>
      </c>
      <c r="F47">
        <v>4929600</v>
      </c>
      <c r="G47">
        <v>92.75</v>
      </c>
    </row>
    <row r="48" spans="1:7" x14ac:dyDescent="0.25">
      <c r="A48" s="34">
        <v>41886</v>
      </c>
      <c r="B48">
        <v>92.95</v>
      </c>
      <c r="C48">
        <v>93.15</v>
      </c>
      <c r="D48">
        <v>91.77</v>
      </c>
      <c r="E48">
        <v>91.85</v>
      </c>
      <c r="F48">
        <v>4466800</v>
      </c>
      <c r="G48">
        <v>91.85</v>
      </c>
    </row>
    <row r="49" spans="1:7" x14ac:dyDescent="0.25">
      <c r="A49" s="34">
        <v>41887</v>
      </c>
      <c r="B49">
        <v>91.85</v>
      </c>
      <c r="C49">
        <v>91.85</v>
      </c>
      <c r="D49">
        <v>91.39</v>
      </c>
      <c r="E49">
        <v>91.75</v>
      </c>
      <c r="F49">
        <v>3148000</v>
      </c>
      <c r="G49">
        <v>91.75</v>
      </c>
    </row>
    <row r="50" spans="1:7" x14ac:dyDescent="0.25">
      <c r="A50" s="34">
        <v>41890</v>
      </c>
      <c r="B50">
        <v>91.48</v>
      </c>
      <c r="C50">
        <v>92.25</v>
      </c>
      <c r="D50">
        <v>91.39</v>
      </c>
      <c r="E50">
        <v>91.86</v>
      </c>
      <c r="F50">
        <v>3534300</v>
      </c>
      <c r="G50">
        <v>91.86</v>
      </c>
    </row>
    <row r="51" spans="1:7" x14ac:dyDescent="0.25">
      <c r="A51" s="34">
        <v>41891</v>
      </c>
      <c r="B51">
        <v>91.5</v>
      </c>
      <c r="C51">
        <v>91.79</v>
      </c>
      <c r="D51">
        <v>91.3</v>
      </c>
      <c r="E51">
        <v>91.42</v>
      </c>
      <c r="F51">
        <v>3259200</v>
      </c>
      <c r="G51">
        <v>91.42</v>
      </c>
    </row>
    <row r="52" spans="1:7" x14ac:dyDescent="0.25">
      <c r="A52" s="34">
        <v>41892</v>
      </c>
      <c r="B52">
        <v>91.67</v>
      </c>
      <c r="C52">
        <v>91.92</v>
      </c>
      <c r="D52">
        <v>91.53</v>
      </c>
      <c r="E52">
        <v>91.79</v>
      </c>
      <c r="F52">
        <v>3720500</v>
      </c>
      <c r="G52">
        <v>91.79</v>
      </c>
    </row>
    <row r="53" spans="1:7" x14ac:dyDescent="0.25">
      <c r="A53" s="34">
        <v>41893</v>
      </c>
      <c r="B53">
        <v>91.69</v>
      </c>
      <c r="C53">
        <v>91.95</v>
      </c>
      <c r="D53">
        <v>91.48</v>
      </c>
      <c r="E53">
        <v>91.65</v>
      </c>
      <c r="F53">
        <v>3670600</v>
      </c>
      <c r="G53">
        <v>91.65</v>
      </c>
    </row>
    <row r="54" spans="1:7" x14ac:dyDescent="0.25">
      <c r="A54" s="34">
        <v>41894</v>
      </c>
      <c r="B54">
        <v>91.6</v>
      </c>
      <c r="C54">
        <v>91.8</v>
      </c>
      <c r="D54">
        <v>90.58</v>
      </c>
      <c r="E54">
        <v>90.87</v>
      </c>
      <c r="F54">
        <v>3587700</v>
      </c>
      <c r="G54">
        <v>90.87</v>
      </c>
    </row>
    <row r="55" spans="1:7" x14ac:dyDescent="0.25">
      <c r="A55" s="34">
        <v>41897</v>
      </c>
      <c r="B55">
        <v>91.07</v>
      </c>
      <c r="C55">
        <v>91.31</v>
      </c>
      <c r="D55">
        <v>90.78</v>
      </c>
      <c r="E55">
        <v>91.2</v>
      </c>
      <c r="F55">
        <v>3770700</v>
      </c>
      <c r="G55">
        <v>91.2</v>
      </c>
    </row>
  </sheetData>
  <sortState ref="A3:G55">
    <sortCondition ref="A3:A55"/>
  </sortState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29.61</v>
      </c>
      <c r="C3">
        <v>30.22</v>
      </c>
      <c r="D3">
        <v>29.59</v>
      </c>
      <c r="E3">
        <v>30.08</v>
      </c>
      <c r="F3">
        <v>25600200</v>
      </c>
      <c r="G3">
        <v>29.82</v>
      </c>
    </row>
    <row r="4" spans="1:7" x14ac:dyDescent="0.25">
      <c r="A4" s="34">
        <v>41822</v>
      </c>
      <c r="B4">
        <v>30.06</v>
      </c>
      <c r="C4">
        <v>30.42</v>
      </c>
      <c r="D4">
        <v>30</v>
      </c>
      <c r="E4">
        <v>30.37</v>
      </c>
      <c r="F4">
        <v>18501700</v>
      </c>
      <c r="G4">
        <v>30.1</v>
      </c>
    </row>
    <row r="5" spans="1:7" x14ac:dyDescent="0.25">
      <c r="A5" s="34">
        <v>41823</v>
      </c>
      <c r="B5">
        <v>30.61</v>
      </c>
      <c r="C5">
        <v>30.64</v>
      </c>
      <c r="D5">
        <v>30.29</v>
      </c>
      <c r="E5">
        <v>30.53</v>
      </c>
      <c r="F5">
        <v>14852900</v>
      </c>
      <c r="G5">
        <v>30.26</v>
      </c>
    </row>
    <row r="6" spans="1:7" x14ac:dyDescent="0.25">
      <c r="A6" s="34">
        <v>41827</v>
      </c>
      <c r="B6">
        <v>30.49</v>
      </c>
      <c r="C6">
        <v>30.63</v>
      </c>
      <c r="D6">
        <v>30.38</v>
      </c>
      <c r="E6">
        <v>30.49</v>
      </c>
      <c r="F6">
        <v>17593400</v>
      </c>
      <c r="G6">
        <v>30.22</v>
      </c>
    </row>
    <row r="7" spans="1:7" x14ac:dyDescent="0.25">
      <c r="A7" s="34">
        <v>41828</v>
      </c>
      <c r="B7">
        <v>30.48</v>
      </c>
      <c r="C7">
        <v>30.49</v>
      </c>
      <c r="D7">
        <v>30.02</v>
      </c>
      <c r="E7">
        <v>30.15</v>
      </c>
      <c r="F7">
        <v>22440400</v>
      </c>
      <c r="G7">
        <v>29.89</v>
      </c>
    </row>
    <row r="8" spans="1:7" x14ac:dyDescent="0.25">
      <c r="A8" s="34">
        <v>41829</v>
      </c>
      <c r="B8">
        <v>30.12</v>
      </c>
      <c r="C8">
        <v>30.2</v>
      </c>
      <c r="D8">
        <v>29.9</v>
      </c>
      <c r="E8">
        <v>30.05</v>
      </c>
      <c r="F8">
        <v>20679300</v>
      </c>
      <c r="G8">
        <v>29.79</v>
      </c>
    </row>
    <row r="9" spans="1:7" x14ac:dyDescent="0.25">
      <c r="A9" s="34">
        <v>41830</v>
      </c>
      <c r="B9">
        <v>29.76</v>
      </c>
      <c r="C9">
        <v>30.04</v>
      </c>
      <c r="D9">
        <v>29.58</v>
      </c>
      <c r="E9">
        <v>30</v>
      </c>
      <c r="F9">
        <v>20114200</v>
      </c>
      <c r="G9">
        <v>29.74</v>
      </c>
    </row>
    <row r="10" spans="1:7" x14ac:dyDescent="0.25">
      <c r="A10" s="34">
        <v>41831</v>
      </c>
      <c r="B10">
        <v>30.04</v>
      </c>
      <c r="C10">
        <v>30.12</v>
      </c>
      <c r="D10">
        <v>29.8</v>
      </c>
      <c r="E10">
        <v>30.07</v>
      </c>
      <c r="F10">
        <v>18359500</v>
      </c>
      <c r="G10">
        <v>29.81</v>
      </c>
    </row>
    <row r="11" spans="1:7" x14ac:dyDescent="0.25">
      <c r="A11" s="34">
        <v>41834</v>
      </c>
      <c r="B11">
        <v>30.19</v>
      </c>
      <c r="C11">
        <v>30.33</v>
      </c>
      <c r="D11">
        <v>30.1</v>
      </c>
      <c r="E11">
        <v>30.24</v>
      </c>
      <c r="F11">
        <v>20483700</v>
      </c>
      <c r="G11">
        <v>29.98</v>
      </c>
    </row>
    <row r="12" spans="1:7" x14ac:dyDescent="0.25">
      <c r="A12" s="34">
        <v>41835</v>
      </c>
      <c r="B12">
        <v>30.2</v>
      </c>
      <c r="C12">
        <v>30.62</v>
      </c>
      <c r="D12">
        <v>30.2</v>
      </c>
      <c r="E12">
        <v>30.41</v>
      </c>
      <c r="F12">
        <v>30361000</v>
      </c>
      <c r="G12">
        <v>30.14</v>
      </c>
    </row>
    <row r="13" spans="1:7" x14ac:dyDescent="0.25">
      <c r="A13" s="34">
        <v>41836</v>
      </c>
      <c r="B13">
        <v>30.51</v>
      </c>
      <c r="C13">
        <v>30.97</v>
      </c>
      <c r="D13">
        <v>30.37</v>
      </c>
      <c r="E13">
        <v>30.96</v>
      </c>
      <c r="F13">
        <v>35413300</v>
      </c>
      <c r="G13">
        <v>30.69</v>
      </c>
    </row>
    <row r="14" spans="1:7" x14ac:dyDescent="0.25">
      <c r="A14" s="34">
        <v>41837</v>
      </c>
      <c r="B14">
        <v>30.8</v>
      </c>
      <c r="C14">
        <v>31.31</v>
      </c>
      <c r="D14">
        <v>30.52</v>
      </c>
      <c r="E14">
        <v>30.55</v>
      </c>
      <c r="F14">
        <v>32682200</v>
      </c>
      <c r="G14">
        <v>30.28</v>
      </c>
    </row>
    <row r="15" spans="1:7" x14ac:dyDescent="0.25">
      <c r="A15" s="34">
        <v>41838</v>
      </c>
      <c r="B15">
        <v>30.53</v>
      </c>
      <c r="C15">
        <v>30.75</v>
      </c>
      <c r="D15">
        <v>30.34</v>
      </c>
      <c r="E15">
        <v>30.73</v>
      </c>
      <c r="F15">
        <v>24403200</v>
      </c>
      <c r="G15">
        <v>30.46</v>
      </c>
    </row>
    <row r="16" spans="1:7" x14ac:dyDescent="0.25">
      <c r="A16" s="34">
        <v>41841</v>
      </c>
      <c r="B16">
        <v>30.43</v>
      </c>
      <c r="C16">
        <v>30.64</v>
      </c>
      <c r="D16">
        <v>30.3</v>
      </c>
      <c r="E16">
        <v>30.35</v>
      </c>
      <c r="F16">
        <v>22763400</v>
      </c>
      <c r="G16">
        <v>30.08</v>
      </c>
    </row>
    <row r="17" spans="1:7" x14ac:dyDescent="0.25">
      <c r="A17" s="34">
        <v>41842</v>
      </c>
      <c r="B17">
        <v>30.55</v>
      </c>
      <c r="C17">
        <v>30.71</v>
      </c>
      <c r="D17">
        <v>30.4</v>
      </c>
      <c r="E17">
        <v>30.49</v>
      </c>
      <c r="F17">
        <v>18742300</v>
      </c>
      <c r="G17">
        <v>30.22</v>
      </c>
    </row>
    <row r="18" spans="1:7" x14ac:dyDescent="0.25">
      <c r="A18" s="34">
        <v>41843</v>
      </c>
      <c r="B18">
        <v>30.69</v>
      </c>
      <c r="C18">
        <v>30.69</v>
      </c>
      <c r="D18">
        <v>30.32</v>
      </c>
      <c r="E18">
        <v>30.39</v>
      </c>
      <c r="F18">
        <v>21115400</v>
      </c>
      <c r="G18">
        <v>30.12</v>
      </c>
    </row>
    <row r="19" spans="1:7" x14ac:dyDescent="0.25">
      <c r="A19" s="34">
        <v>41844</v>
      </c>
      <c r="B19">
        <v>30.37</v>
      </c>
      <c r="C19">
        <v>30.57</v>
      </c>
      <c r="D19">
        <v>30.32</v>
      </c>
      <c r="E19">
        <v>30.34</v>
      </c>
      <c r="F19">
        <v>14839000</v>
      </c>
      <c r="G19">
        <v>30.07</v>
      </c>
    </row>
    <row r="20" spans="1:7" x14ac:dyDescent="0.25">
      <c r="A20" s="34">
        <v>41845</v>
      </c>
      <c r="B20">
        <v>30.32</v>
      </c>
      <c r="C20">
        <v>30.35</v>
      </c>
      <c r="D20">
        <v>30.08</v>
      </c>
      <c r="E20">
        <v>30.19</v>
      </c>
      <c r="F20">
        <v>14501500</v>
      </c>
      <c r="G20">
        <v>29.93</v>
      </c>
    </row>
    <row r="21" spans="1:7" x14ac:dyDescent="0.25">
      <c r="A21" s="34">
        <v>41848</v>
      </c>
      <c r="B21">
        <v>29.79</v>
      </c>
      <c r="C21">
        <v>30.17</v>
      </c>
      <c r="D21">
        <v>29.78</v>
      </c>
      <c r="E21">
        <v>30.1</v>
      </c>
      <c r="F21">
        <v>27288700</v>
      </c>
      <c r="G21">
        <v>29.84</v>
      </c>
    </row>
    <row r="22" spans="1:7" x14ac:dyDescent="0.25">
      <c r="A22" s="34">
        <v>41849</v>
      </c>
      <c r="B22">
        <v>30.33</v>
      </c>
      <c r="C22">
        <v>30.49</v>
      </c>
      <c r="D22">
        <v>29.69</v>
      </c>
      <c r="E22">
        <v>29.73</v>
      </c>
      <c r="F22">
        <v>37913600</v>
      </c>
      <c r="G22">
        <v>29.47</v>
      </c>
    </row>
    <row r="23" spans="1:7" x14ac:dyDescent="0.25">
      <c r="A23" s="34">
        <v>41850</v>
      </c>
      <c r="B23">
        <v>29.51</v>
      </c>
      <c r="C23">
        <v>29.54</v>
      </c>
      <c r="D23">
        <v>29.03</v>
      </c>
      <c r="E23">
        <v>29.26</v>
      </c>
      <c r="F23">
        <v>33990600</v>
      </c>
      <c r="G23">
        <v>29.26</v>
      </c>
    </row>
    <row r="24" spans="1:7" x14ac:dyDescent="0.25">
      <c r="A24" s="34">
        <v>41851</v>
      </c>
      <c r="B24">
        <v>29.26</v>
      </c>
      <c r="C24">
        <v>29.32</v>
      </c>
      <c r="D24">
        <v>28.7</v>
      </c>
      <c r="E24">
        <v>28.7</v>
      </c>
      <c r="F24">
        <v>38348200</v>
      </c>
      <c r="G24">
        <v>28.7</v>
      </c>
    </row>
    <row r="25" spans="1:7" x14ac:dyDescent="0.25">
      <c r="A25" s="34">
        <v>41852</v>
      </c>
      <c r="B25">
        <v>28.7</v>
      </c>
      <c r="C25">
        <v>29.1</v>
      </c>
      <c r="D25">
        <v>28.69</v>
      </c>
      <c r="E25">
        <v>28.86</v>
      </c>
      <c r="F25">
        <v>31341600</v>
      </c>
      <c r="G25">
        <v>28.86</v>
      </c>
    </row>
    <row r="26" spans="1:7" x14ac:dyDescent="0.25">
      <c r="A26" s="34">
        <v>41855</v>
      </c>
      <c r="B26">
        <v>28.95</v>
      </c>
      <c r="C26">
        <v>28.96</v>
      </c>
      <c r="D26">
        <v>28.6</v>
      </c>
      <c r="E26">
        <v>28.75</v>
      </c>
      <c r="F26">
        <v>23721900</v>
      </c>
      <c r="G26">
        <v>28.75</v>
      </c>
    </row>
    <row r="27" spans="1:7" x14ac:dyDescent="0.25">
      <c r="A27" s="34">
        <v>41856</v>
      </c>
      <c r="B27">
        <v>28.58</v>
      </c>
      <c r="C27">
        <v>28.71</v>
      </c>
      <c r="D27">
        <v>28.29</v>
      </c>
      <c r="E27">
        <v>28.41</v>
      </c>
      <c r="F27">
        <v>27686500</v>
      </c>
      <c r="G27">
        <v>28.41</v>
      </c>
    </row>
    <row r="28" spans="1:7" x14ac:dyDescent="0.25">
      <c r="A28" s="34">
        <v>41857</v>
      </c>
      <c r="B28">
        <v>28.3</v>
      </c>
      <c r="C28">
        <v>28.39</v>
      </c>
      <c r="D28">
        <v>28.09</v>
      </c>
      <c r="E28">
        <v>28.28</v>
      </c>
      <c r="F28">
        <v>23369400</v>
      </c>
      <c r="G28">
        <v>28.28</v>
      </c>
    </row>
    <row r="29" spans="1:7" x14ac:dyDescent="0.25">
      <c r="A29" s="34">
        <v>41858</v>
      </c>
      <c r="B29">
        <v>28.44</v>
      </c>
      <c r="C29">
        <v>28.44</v>
      </c>
      <c r="D29">
        <v>27.92</v>
      </c>
      <c r="E29">
        <v>28.04</v>
      </c>
      <c r="F29">
        <v>30501300</v>
      </c>
      <c r="G29">
        <v>28.04</v>
      </c>
    </row>
    <row r="30" spans="1:7" x14ac:dyDescent="0.25">
      <c r="A30" s="34">
        <v>41859</v>
      </c>
      <c r="B30">
        <v>28.08</v>
      </c>
      <c r="C30">
        <v>28.4</v>
      </c>
      <c r="D30">
        <v>27.87</v>
      </c>
      <c r="E30">
        <v>28.34</v>
      </c>
      <c r="F30">
        <v>30089700</v>
      </c>
      <c r="G30">
        <v>28.34</v>
      </c>
    </row>
    <row r="31" spans="1:7" x14ac:dyDescent="0.25">
      <c r="A31" s="34">
        <v>41862</v>
      </c>
      <c r="B31">
        <v>28.53</v>
      </c>
      <c r="C31">
        <v>28.59</v>
      </c>
      <c r="D31">
        <v>28.19</v>
      </c>
      <c r="E31">
        <v>28.25</v>
      </c>
      <c r="F31">
        <v>21382600</v>
      </c>
      <c r="G31">
        <v>28.25</v>
      </c>
    </row>
    <row r="32" spans="1:7" x14ac:dyDescent="0.25">
      <c r="A32" s="34">
        <v>41863</v>
      </c>
      <c r="B32">
        <v>28.26</v>
      </c>
      <c r="C32">
        <v>28.36</v>
      </c>
      <c r="D32">
        <v>28.03</v>
      </c>
      <c r="E32">
        <v>28.08</v>
      </c>
      <c r="F32">
        <v>20432900</v>
      </c>
      <c r="G32">
        <v>28.08</v>
      </c>
    </row>
    <row r="33" spans="1:7" x14ac:dyDescent="0.25">
      <c r="A33" s="34">
        <v>41864</v>
      </c>
      <c r="B33">
        <v>28.25</v>
      </c>
      <c r="C33">
        <v>28.44</v>
      </c>
      <c r="D33">
        <v>28.18</v>
      </c>
      <c r="E33">
        <v>28.21</v>
      </c>
      <c r="F33">
        <v>17429500</v>
      </c>
      <c r="G33">
        <v>28.21</v>
      </c>
    </row>
    <row r="34" spans="1:7" x14ac:dyDescent="0.25">
      <c r="A34" s="34">
        <v>41865</v>
      </c>
      <c r="B34">
        <v>28.26</v>
      </c>
      <c r="C34">
        <v>28.79</v>
      </c>
      <c r="D34">
        <v>28.17</v>
      </c>
      <c r="E34">
        <v>28.73</v>
      </c>
      <c r="F34">
        <v>19993800</v>
      </c>
      <c r="G34">
        <v>28.73</v>
      </c>
    </row>
    <row r="35" spans="1:7" x14ac:dyDescent="0.25">
      <c r="A35" s="34">
        <v>41866</v>
      </c>
      <c r="B35">
        <v>28.86</v>
      </c>
      <c r="C35">
        <v>28.9</v>
      </c>
      <c r="D35">
        <v>28.41</v>
      </c>
      <c r="E35">
        <v>28.64</v>
      </c>
      <c r="F35">
        <v>21722700</v>
      </c>
      <c r="G35">
        <v>28.64</v>
      </c>
    </row>
    <row r="36" spans="1:7" x14ac:dyDescent="0.25">
      <c r="A36" s="34">
        <v>41869</v>
      </c>
      <c r="B36">
        <v>28.75</v>
      </c>
      <c r="C36">
        <v>28.94</v>
      </c>
      <c r="D36">
        <v>28.69</v>
      </c>
      <c r="E36">
        <v>28.84</v>
      </c>
      <c r="F36">
        <v>22935000</v>
      </c>
      <c r="G36">
        <v>28.84</v>
      </c>
    </row>
    <row r="37" spans="1:7" x14ac:dyDescent="0.25">
      <c r="A37" s="34">
        <v>41870</v>
      </c>
      <c r="B37">
        <v>28.97</v>
      </c>
      <c r="C37">
        <v>29.03</v>
      </c>
      <c r="D37">
        <v>28.69</v>
      </c>
      <c r="E37">
        <v>28.94</v>
      </c>
      <c r="F37">
        <v>18823300</v>
      </c>
      <c r="G37">
        <v>28.94</v>
      </c>
    </row>
    <row r="38" spans="1:7" x14ac:dyDescent="0.25">
      <c r="A38" s="34">
        <v>41871</v>
      </c>
      <c r="B38">
        <v>28.83</v>
      </c>
      <c r="C38">
        <v>28.98</v>
      </c>
      <c r="D38">
        <v>28.74</v>
      </c>
      <c r="E38">
        <v>28.89</v>
      </c>
      <c r="F38">
        <v>14997800</v>
      </c>
      <c r="G38">
        <v>28.89</v>
      </c>
    </row>
    <row r="39" spans="1:7" x14ac:dyDescent="0.25">
      <c r="A39" s="34">
        <v>41872</v>
      </c>
      <c r="B39">
        <v>28.92</v>
      </c>
      <c r="C39">
        <v>28.99</v>
      </c>
      <c r="D39">
        <v>28.74</v>
      </c>
      <c r="E39">
        <v>28.82</v>
      </c>
      <c r="F39">
        <v>24297500</v>
      </c>
      <c r="G39">
        <v>28.82</v>
      </c>
    </row>
    <row r="40" spans="1:7" x14ac:dyDescent="0.25">
      <c r="A40" s="34">
        <v>41873</v>
      </c>
      <c r="B40">
        <v>28.86</v>
      </c>
      <c r="C40">
        <v>28.98</v>
      </c>
      <c r="D40">
        <v>28.82</v>
      </c>
      <c r="E40">
        <v>28.92</v>
      </c>
      <c r="F40">
        <v>16280400</v>
      </c>
      <c r="G40">
        <v>28.92</v>
      </c>
    </row>
    <row r="41" spans="1:7" x14ac:dyDescent="0.25">
      <c r="A41" s="34">
        <v>41876</v>
      </c>
      <c r="B41">
        <v>28.93</v>
      </c>
      <c r="C41">
        <v>29.09</v>
      </c>
      <c r="D41">
        <v>28.91</v>
      </c>
      <c r="E41">
        <v>28.91</v>
      </c>
      <c r="F41">
        <v>16867700</v>
      </c>
      <c r="G41">
        <v>28.91</v>
      </c>
    </row>
    <row r="42" spans="1:7" x14ac:dyDescent="0.25">
      <c r="A42" s="34">
        <v>41877</v>
      </c>
      <c r="B42">
        <v>29.03</v>
      </c>
      <c r="C42">
        <v>29.31</v>
      </c>
      <c r="D42">
        <v>28.96</v>
      </c>
      <c r="E42">
        <v>29.21</v>
      </c>
      <c r="F42">
        <v>17148500</v>
      </c>
      <c r="G42">
        <v>29.21</v>
      </c>
    </row>
    <row r="43" spans="1:7" x14ac:dyDescent="0.25">
      <c r="A43" s="34">
        <v>41878</v>
      </c>
      <c r="B43">
        <v>29.47</v>
      </c>
      <c r="C43">
        <v>29.57</v>
      </c>
      <c r="D43">
        <v>29.37</v>
      </c>
      <c r="E43">
        <v>29.49</v>
      </c>
      <c r="F43">
        <v>21941700</v>
      </c>
      <c r="G43">
        <v>29.49</v>
      </c>
    </row>
    <row r="44" spans="1:7" x14ac:dyDescent="0.25">
      <c r="A44" s="34">
        <v>41879</v>
      </c>
      <c r="B44">
        <v>29.43</v>
      </c>
      <c r="C44">
        <v>29.67</v>
      </c>
      <c r="D44">
        <v>29.36</v>
      </c>
      <c r="E44">
        <v>29.38</v>
      </c>
      <c r="F44">
        <v>20582200</v>
      </c>
      <c r="G44">
        <v>29.38</v>
      </c>
    </row>
    <row r="45" spans="1:7" x14ac:dyDescent="0.25">
      <c r="A45" s="34">
        <v>41880</v>
      </c>
      <c r="B45">
        <v>29.46</v>
      </c>
      <c r="C45">
        <v>29.49</v>
      </c>
      <c r="D45">
        <v>29.29</v>
      </c>
      <c r="E45">
        <v>29.39</v>
      </c>
      <c r="F45">
        <v>16772000</v>
      </c>
      <c r="G45">
        <v>29.39</v>
      </c>
    </row>
    <row r="46" spans="1:7" x14ac:dyDescent="0.25">
      <c r="A46" s="34">
        <v>41884</v>
      </c>
      <c r="B46">
        <v>29.21</v>
      </c>
      <c r="C46">
        <v>29.41</v>
      </c>
      <c r="D46">
        <v>29.16</v>
      </c>
      <c r="E46">
        <v>29.26</v>
      </c>
      <c r="F46">
        <v>20696300</v>
      </c>
      <c r="G46">
        <v>29.26</v>
      </c>
    </row>
    <row r="47" spans="1:7" x14ac:dyDescent="0.25">
      <c r="A47" s="34">
        <v>41885</v>
      </c>
      <c r="B47">
        <v>29.45</v>
      </c>
      <c r="C47">
        <v>29.53</v>
      </c>
      <c r="D47">
        <v>29.23</v>
      </c>
      <c r="E47">
        <v>29.4</v>
      </c>
      <c r="F47">
        <v>21118100</v>
      </c>
      <c r="G47">
        <v>29.4</v>
      </c>
    </row>
    <row r="48" spans="1:7" x14ac:dyDescent="0.25">
      <c r="A48" s="34">
        <v>41886</v>
      </c>
      <c r="B48">
        <v>29.53</v>
      </c>
      <c r="C48">
        <v>29.55</v>
      </c>
      <c r="D48">
        <v>29.3</v>
      </c>
      <c r="E48">
        <v>29.37</v>
      </c>
      <c r="F48">
        <v>22343200</v>
      </c>
      <c r="G48">
        <v>29.37</v>
      </c>
    </row>
    <row r="49" spans="1:7" x14ac:dyDescent="0.25">
      <c r="A49" s="34">
        <v>41887</v>
      </c>
      <c r="B49">
        <v>29.3</v>
      </c>
      <c r="C49">
        <v>29.66</v>
      </c>
      <c r="D49">
        <v>29.21</v>
      </c>
      <c r="E49">
        <v>29.65</v>
      </c>
      <c r="F49">
        <v>17543800</v>
      </c>
      <c r="G49">
        <v>29.65</v>
      </c>
    </row>
    <row r="50" spans="1:7" x14ac:dyDescent="0.25">
      <c r="A50" s="34">
        <v>41890</v>
      </c>
      <c r="B50">
        <v>29.58</v>
      </c>
      <c r="C50">
        <v>29.65</v>
      </c>
      <c r="D50">
        <v>29.3</v>
      </c>
      <c r="E50">
        <v>29.4</v>
      </c>
      <c r="F50">
        <v>14522200</v>
      </c>
      <c r="G50">
        <v>29.4</v>
      </c>
    </row>
    <row r="51" spans="1:7" x14ac:dyDescent="0.25">
      <c r="A51" s="34">
        <v>41891</v>
      </c>
      <c r="B51">
        <v>29.42</v>
      </c>
      <c r="C51">
        <v>29.44</v>
      </c>
      <c r="D51">
        <v>29.01</v>
      </c>
      <c r="E51">
        <v>29.23</v>
      </c>
      <c r="F51">
        <v>21622700</v>
      </c>
      <c r="G51">
        <v>29.23</v>
      </c>
    </row>
    <row r="52" spans="1:7" x14ac:dyDescent="0.25">
      <c r="A52" s="34">
        <v>41892</v>
      </c>
      <c r="B52">
        <v>29.25</v>
      </c>
      <c r="C52">
        <v>29.53</v>
      </c>
      <c r="D52">
        <v>29.16</v>
      </c>
      <c r="E52">
        <v>29.44</v>
      </c>
      <c r="F52">
        <v>19421300</v>
      </c>
      <c r="G52">
        <v>29.44</v>
      </c>
    </row>
    <row r="53" spans="1:7" x14ac:dyDescent="0.25">
      <c r="A53" s="34">
        <v>41893</v>
      </c>
      <c r="B53">
        <v>29.39</v>
      </c>
      <c r="C53">
        <v>29.64</v>
      </c>
      <c r="D53">
        <v>29.28</v>
      </c>
      <c r="E53">
        <v>29.63</v>
      </c>
      <c r="F53">
        <v>18622900</v>
      </c>
      <c r="G53">
        <v>29.63</v>
      </c>
    </row>
    <row r="54" spans="1:7" x14ac:dyDescent="0.25">
      <c r="A54" s="34">
        <v>41894</v>
      </c>
      <c r="B54">
        <v>29.47</v>
      </c>
      <c r="C54">
        <v>29.6</v>
      </c>
      <c r="D54">
        <v>29.34</v>
      </c>
      <c r="E54">
        <v>29.43</v>
      </c>
      <c r="F54">
        <v>18204700</v>
      </c>
      <c r="G54">
        <v>29.43</v>
      </c>
    </row>
    <row r="55" spans="1:7" x14ac:dyDescent="0.25">
      <c r="A55" s="34">
        <v>41897</v>
      </c>
      <c r="B55">
        <v>29.44</v>
      </c>
      <c r="C55">
        <v>29.92</v>
      </c>
      <c r="D55">
        <v>29.38</v>
      </c>
      <c r="E55">
        <v>29.92</v>
      </c>
      <c r="F55">
        <v>24257900</v>
      </c>
      <c r="G55">
        <v>29.92</v>
      </c>
    </row>
  </sheetData>
  <sortState ref="A3:G55">
    <sortCondition ref="A3:A55"/>
  </sortState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78.87</v>
      </c>
      <c r="C3">
        <v>79.41</v>
      </c>
      <c r="D3">
        <v>78.510000000000005</v>
      </c>
      <c r="E3">
        <v>79.28</v>
      </c>
      <c r="F3">
        <v>8421200</v>
      </c>
      <c r="G3">
        <v>78.650000000000006</v>
      </c>
    </row>
    <row r="4" spans="1:7" x14ac:dyDescent="0.25">
      <c r="A4" s="34">
        <v>41822</v>
      </c>
      <c r="B4">
        <v>79.56</v>
      </c>
      <c r="C4">
        <v>79.86</v>
      </c>
      <c r="D4">
        <v>79.44</v>
      </c>
      <c r="E4">
        <v>79.56</v>
      </c>
      <c r="F4">
        <v>6276600</v>
      </c>
      <c r="G4">
        <v>78.930000000000007</v>
      </c>
    </row>
    <row r="5" spans="1:7" x14ac:dyDescent="0.25">
      <c r="A5" s="34">
        <v>41823</v>
      </c>
      <c r="B5">
        <v>79.930000000000007</v>
      </c>
      <c r="C5">
        <v>80.14</v>
      </c>
      <c r="D5">
        <v>79.64</v>
      </c>
      <c r="E5">
        <v>79.98</v>
      </c>
      <c r="F5">
        <v>5501100</v>
      </c>
      <c r="G5">
        <v>79.349999999999994</v>
      </c>
    </row>
    <row r="6" spans="1:7" x14ac:dyDescent="0.25">
      <c r="A6" s="34">
        <v>41827</v>
      </c>
      <c r="B6">
        <v>79.75</v>
      </c>
      <c r="C6">
        <v>80.2</v>
      </c>
      <c r="D6">
        <v>79.66</v>
      </c>
      <c r="E6">
        <v>80.19</v>
      </c>
      <c r="F6">
        <v>6673600</v>
      </c>
      <c r="G6">
        <v>79.55</v>
      </c>
    </row>
    <row r="7" spans="1:7" x14ac:dyDescent="0.25">
      <c r="A7" s="34">
        <v>41828</v>
      </c>
      <c r="B7">
        <v>80.03</v>
      </c>
      <c r="C7">
        <v>80.849999999999994</v>
      </c>
      <c r="D7">
        <v>79.91</v>
      </c>
      <c r="E7">
        <v>80.56</v>
      </c>
      <c r="F7">
        <v>9150200</v>
      </c>
      <c r="G7">
        <v>79.92</v>
      </c>
    </row>
    <row r="8" spans="1:7" x14ac:dyDescent="0.25">
      <c r="A8" s="34">
        <v>41829</v>
      </c>
      <c r="B8">
        <v>80.66</v>
      </c>
      <c r="C8">
        <v>81.8</v>
      </c>
      <c r="D8">
        <v>80.5</v>
      </c>
      <c r="E8">
        <v>81.67</v>
      </c>
      <c r="F8">
        <v>12113100</v>
      </c>
      <c r="G8">
        <v>81.02</v>
      </c>
    </row>
    <row r="9" spans="1:7" x14ac:dyDescent="0.25">
      <c r="A9" s="34">
        <v>41830</v>
      </c>
      <c r="B9">
        <v>81.27</v>
      </c>
      <c r="C9">
        <v>81.91</v>
      </c>
      <c r="D9">
        <v>81.19</v>
      </c>
      <c r="E9">
        <v>81.61</v>
      </c>
      <c r="F9">
        <v>8786500</v>
      </c>
      <c r="G9">
        <v>80.959999999999994</v>
      </c>
    </row>
    <row r="10" spans="1:7" x14ac:dyDescent="0.25">
      <c r="A10" s="34">
        <v>41831</v>
      </c>
      <c r="B10">
        <v>81.06</v>
      </c>
      <c r="C10">
        <v>81.569999999999993</v>
      </c>
      <c r="D10">
        <v>81</v>
      </c>
      <c r="E10">
        <v>81.16</v>
      </c>
      <c r="F10">
        <v>7519300</v>
      </c>
      <c r="G10">
        <v>80.52</v>
      </c>
    </row>
    <row r="11" spans="1:7" x14ac:dyDescent="0.25">
      <c r="A11" s="34">
        <v>41834</v>
      </c>
      <c r="B11">
        <v>81.36</v>
      </c>
      <c r="C11">
        <v>81.739999999999995</v>
      </c>
      <c r="D11">
        <v>81.3</v>
      </c>
      <c r="E11">
        <v>81.319999999999993</v>
      </c>
      <c r="F11">
        <v>6802000</v>
      </c>
      <c r="G11">
        <v>80.680000000000007</v>
      </c>
    </row>
    <row r="12" spans="1:7" x14ac:dyDescent="0.25">
      <c r="A12" s="34">
        <v>41835</v>
      </c>
      <c r="B12">
        <v>81.510000000000005</v>
      </c>
      <c r="C12">
        <v>81.52</v>
      </c>
      <c r="D12">
        <v>81.09</v>
      </c>
      <c r="E12">
        <v>81.260000000000005</v>
      </c>
      <c r="F12">
        <v>9637600</v>
      </c>
      <c r="G12">
        <v>80.62</v>
      </c>
    </row>
    <row r="13" spans="1:7" x14ac:dyDescent="0.25">
      <c r="A13" s="34">
        <v>41836</v>
      </c>
      <c r="B13">
        <v>80.900000000000006</v>
      </c>
      <c r="C13">
        <v>81.2</v>
      </c>
      <c r="D13">
        <v>80.75</v>
      </c>
      <c r="E13">
        <v>80.94</v>
      </c>
      <c r="F13">
        <v>8940500</v>
      </c>
      <c r="G13">
        <v>80.94</v>
      </c>
    </row>
    <row r="14" spans="1:7" x14ac:dyDescent="0.25">
      <c r="A14" s="34">
        <v>41837</v>
      </c>
      <c r="B14">
        <v>80.989999999999995</v>
      </c>
      <c r="C14">
        <v>81.22</v>
      </c>
      <c r="D14">
        <v>80.39</v>
      </c>
      <c r="E14">
        <v>80.400000000000006</v>
      </c>
      <c r="F14">
        <v>5844700</v>
      </c>
      <c r="G14">
        <v>80.400000000000006</v>
      </c>
    </row>
    <row r="15" spans="1:7" x14ac:dyDescent="0.25">
      <c r="A15" s="34">
        <v>41838</v>
      </c>
      <c r="B15">
        <v>80.55</v>
      </c>
      <c r="C15">
        <v>80.75</v>
      </c>
      <c r="D15">
        <v>80.16</v>
      </c>
      <c r="E15">
        <v>80.55</v>
      </c>
      <c r="F15">
        <v>6502400</v>
      </c>
      <c r="G15">
        <v>80.55</v>
      </c>
    </row>
    <row r="16" spans="1:7" x14ac:dyDescent="0.25">
      <c r="A16" s="34">
        <v>41841</v>
      </c>
      <c r="B16">
        <v>80.33</v>
      </c>
      <c r="C16">
        <v>80.400000000000006</v>
      </c>
      <c r="D16">
        <v>79.95</v>
      </c>
      <c r="E16">
        <v>80.28</v>
      </c>
      <c r="F16">
        <v>4434300</v>
      </c>
      <c r="G16">
        <v>80.28</v>
      </c>
    </row>
    <row r="17" spans="1:7" x14ac:dyDescent="0.25">
      <c r="A17" s="34">
        <v>41842</v>
      </c>
      <c r="B17">
        <v>80.290000000000006</v>
      </c>
      <c r="C17">
        <v>80.58</v>
      </c>
      <c r="D17">
        <v>79.77</v>
      </c>
      <c r="E17">
        <v>80.099999999999994</v>
      </c>
      <c r="F17">
        <v>6073200</v>
      </c>
      <c r="G17">
        <v>80.099999999999994</v>
      </c>
    </row>
    <row r="18" spans="1:7" x14ac:dyDescent="0.25">
      <c r="A18" s="34">
        <v>41843</v>
      </c>
      <c r="B18">
        <v>80.33</v>
      </c>
      <c r="C18">
        <v>80.5</v>
      </c>
      <c r="D18">
        <v>79.819999999999993</v>
      </c>
      <c r="E18">
        <v>79.989999999999995</v>
      </c>
      <c r="F18">
        <v>5891200</v>
      </c>
      <c r="G18">
        <v>79.989999999999995</v>
      </c>
    </row>
    <row r="19" spans="1:7" x14ac:dyDescent="0.25">
      <c r="A19" s="34">
        <v>41844</v>
      </c>
      <c r="B19">
        <v>80.12</v>
      </c>
      <c r="C19">
        <v>80.319999999999993</v>
      </c>
      <c r="D19">
        <v>79.849999999999994</v>
      </c>
      <c r="E19">
        <v>80.260000000000005</v>
      </c>
      <c r="F19">
        <v>6273100</v>
      </c>
      <c r="G19">
        <v>80.260000000000005</v>
      </c>
    </row>
    <row r="20" spans="1:7" x14ac:dyDescent="0.25">
      <c r="A20" s="34">
        <v>41845</v>
      </c>
      <c r="B20">
        <v>80.02</v>
      </c>
      <c r="C20">
        <v>80.16</v>
      </c>
      <c r="D20">
        <v>79.37</v>
      </c>
      <c r="E20">
        <v>79.56</v>
      </c>
      <c r="F20">
        <v>6293400</v>
      </c>
      <c r="G20">
        <v>79.56</v>
      </c>
    </row>
    <row r="21" spans="1:7" x14ac:dyDescent="0.25">
      <c r="A21" s="34">
        <v>41848</v>
      </c>
      <c r="B21">
        <v>79.41</v>
      </c>
      <c r="C21">
        <v>79.62</v>
      </c>
      <c r="D21">
        <v>78.849999999999994</v>
      </c>
      <c r="E21">
        <v>79.260000000000005</v>
      </c>
      <c r="F21">
        <v>6757300</v>
      </c>
      <c r="G21">
        <v>79.260000000000005</v>
      </c>
    </row>
    <row r="22" spans="1:7" x14ac:dyDescent="0.25">
      <c r="A22" s="34">
        <v>41849</v>
      </c>
      <c r="B22">
        <v>79.09</v>
      </c>
      <c r="C22">
        <v>79.5</v>
      </c>
      <c r="D22">
        <v>78.650000000000006</v>
      </c>
      <c r="E22">
        <v>78.650000000000006</v>
      </c>
      <c r="F22">
        <v>6419600</v>
      </c>
      <c r="G22">
        <v>78.650000000000006</v>
      </c>
    </row>
    <row r="23" spans="1:7" x14ac:dyDescent="0.25">
      <c r="A23" s="34">
        <v>41850</v>
      </c>
      <c r="B23">
        <v>78.7</v>
      </c>
      <c r="C23">
        <v>79.010000000000005</v>
      </c>
      <c r="D23">
        <v>78.14</v>
      </c>
      <c r="E23">
        <v>78.16</v>
      </c>
      <c r="F23">
        <v>8296500</v>
      </c>
      <c r="G23">
        <v>78.16</v>
      </c>
    </row>
    <row r="24" spans="1:7" x14ac:dyDescent="0.25">
      <c r="A24" s="34">
        <v>41851</v>
      </c>
      <c r="B24">
        <v>77.760000000000005</v>
      </c>
      <c r="C24">
        <v>78.010000000000005</v>
      </c>
      <c r="D24">
        <v>77.290000000000006</v>
      </c>
      <c r="E24">
        <v>77.319999999999993</v>
      </c>
      <c r="F24">
        <v>11235600</v>
      </c>
      <c r="G24">
        <v>77.319999999999993</v>
      </c>
    </row>
    <row r="25" spans="1:7" x14ac:dyDescent="0.25">
      <c r="A25" s="34">
        <v>41852</v>
      </c>
      <c r="B25">
        <v>79.25</v>
      </c>
      <c r="C25">
        <v>80.67</v>
      </c>
      <c r="D25">
        <v>78.83</v>
      </c>
      <c r="E25">
        <v>79.650000000000006</v>
      </c>
      <c r="F25">
        <v>18110700</v>
      </c>
      <c r="G25">
        <v>79.650000000000006</v>
      </c>
    </row>
    <row r="26" spans="1:7" x14ac:dyDescent="0.25">
      <c r="A26" s="34">
        <v>41855</v>
      </c>
      <c r="B26">
        <v>79.459999999999994</v>
      </c>
      <c r="C26">
        <v>79.459999999999994</v>
      </c>
      <c r="D26">
        <v>78.66</v>
      </c>
      <c r="E26">
        <v>79.22</v>
      </c>
      <c r="F26">
        <v>12061800</v>
      </c>
      <c r="G26">
        <v>79.22</v>
      </c>
    </row>
    <row r="27" spans="1:7" x14ac:dyDescent="0.25">
      <c r="A27" s="34">
        <v>41856</v>
      </c>
      <c r="B27">
        <v>78.989999999999995</v>
      </c>
      <c r="C27">
        <v>79.739999999999995</v>
      </c>
      <c r="D27">
        <v>78.98</v>
      </c>
      <c r="E27">
        <v>79.41</v>
      </c>
      <c r="F27">
        <v>7995900</v>
      </c>
      <c r="G27">
        <v>79.41</v>
      </c>
    </row>
    <row r="28" spans="1:7" x14ac:dyDescent="0.25">
      <c r="A28" s="34">
        <v>41857</v>
      </c>
      <c r="B28">
        <v>79.400000000000006</v>
      </c>
      <c r="C28">
        <v>81.3</v>
      </c>
      <c r="D28">
        <v>79.27</v>
      </c>
      <c r="E28">
        <v>81.09</v>
      </c>
      <c r="F28">
        <v>12808700</v>
      </c>
      <c r="G28">
        <v>81.09</v>
      </c>
    </row>
    <row r="29" spans="1:7" x14ac:dyDescent="0.25">
      <c r="A29" s="34">
        <v>41858</v>
      </c>
      <c r="B29">
        <v>81.02</v>
      </c>
      <c r="C29">
        <v>81.180000000000007</v>
      </c>
      <c r="D29">
        <v>80.010000000000005</v>
      </c>
      <c r="E29">
        <v>80.14</v>
      </c>
      <c r="F29">
        <v>7904000</v>
      </c>
      <c r="G29">
        <v>80.14</v>
      </c>
    </row>
    <row r="30" spans="1:7" x14ac:dyDescent="0.25">
      <c r="A30" s="34">
        <v>41859</v>
      </c>
      <c r="B30">
        <v>80.05</v>
      </c>
      <c r="C30">
        <v>81.03</v>
      </c>
      <c r="D30">
        <v>80.040000000000006</v>
      </c>
      <c r="E30">
        <v>80.95</v>
      </c>
      <c r="F30">
        <v>6202900</v>
      </c>
      <c r="G30">
        <v>80.95</v>
      </c>
    </row>
    <row r="31" spans="1:7" x14ac:dyDescent="0.25">
      <c r="A31" s="34">
        <v>41862</v>
      </c>
      <c r="B31">
        <v>81.23</v>
      </c>
      <c r="C31">
        <v>81.87</v>
      </c>
      <c r="D31">
        <v>81.03</v>
      </c>
      <c r="E31">
        <v>81.48</v>
      </c>
      <c r="F31">
        <v>8188000</v>
      </c>
      <c r="G31">
        <v>81.48</v>
      </c>
    </row>
    <row r="32" spans="1:7" x14ac:dyDescent="0.25">
      <c r="A32" s="34">
        <v>41863</v>
      </c>
      <c r="B32">
        <v>81.5</v>
      </c>
      <c r="C32">
        <v>81.86</v>
      </c>
      <c r="D32">
        <v>81.209999999999994</v>
      </c>
      <c r="E32">
        <v>81.42</v>
      </c>
      <c r="F32">
        <v>6591200</v>
      </c>
      <c r="G32">
        <v>81.42</v>
      </c>
    </row>
    <row r="33" spans="1:7" x14ac:dyDescent="0.25">
      <c r="A33" s="34">
        <v>41864</v>
      </c>
      <c r="B33">
        <v>81.64</v>
      </c>
      <c r="C33">
        <v>81.8</v>
      </c>
      <c r="D33">
        <v>81.11</v>
      </c>
      <c r="E33">
        <v>81.48</v>
      </c>
      <c r="F33">
        <v>5472200</v>
      </c>
      <c r="G33">
        <v>81.48</v>
      </c>
    </row>
    <row r="34" spans="1:7" x14ac:dyDescent="0.25">
      <c r="A34" s="34">
        <v>41865</v>
      </c>
      <c r="B34">
        <v>81.59</v>
      </c>
      <c r="C34">
        <v>82.04</v>
      </c>
      <c r="D34">
        <v>81.44</v>
      </c>
      <c r="E34">
        <v>81.95</v>
      </c>
      <c r="F34">
        <v>5930700</v>
      </c>
      <c r="G34">
        <v>81.95</v>
      </c>
    </row>
    <row r="35" spans="1:7" x14ac:dyDescent="0.25">
      <c r="A35" s="34">
        <v>41866</v>
      </c>
      <c r="B35">
        <v>82.23</v>
      </c>
      <c r="C35">
        <v>82.23</v>
      </c>
      <c r="D35">
        <v>81.180000000000007</v>
      </c>
      <c r="E35">
        <v>81.78</v>
      </c>
      <c r="F35">
        <v>7418400</v>
      </c>
      <c r="G35">
        <v>81.78</v>
      </c>
    </row>
    <row r="36" spans="1:7" x14ac:dyDescent="0.25">
      <c r="A36" s="34">
        <v>41869</v>
      </c>
      <c r="B36">
        <v>81.99</v>
      </c>
      <c r="C36">
        <v>82.85</v>
      </c>
      <c r="D36">
        <v>81.81</v>
      </c>
      <c r="E36">
        <v>82.44</v>
      </c>
      <c r="F36">
        <v>8437700</v>
      </c>
      <c r="G36">
        <v>82.44</v>
      </c>
    </row>
    <row r="37" spans="1:7" x14ac:dyDescent="0.25">
      <c r="A37" s="34">
        <v>41870</v>
      </c>
      <c r="B37">
        <v>82.35</v>
      </c>
      <c r="C37">
        <v>82.87</v>
      </c>
      <c r="D37">
        <v>82.12</v>
      </c>
      <c r="E37">
        <v>82.69</v>
      </c>
      <c r="F37">
        <v>6867700</v>
      </c>
      <c r="G37">
        <v>82.69</v>
      </c>
    </row>
    <row r="38" spans="1:7" x14ac:dyDescent="0.25">
      <c r="A38" s="34">
        <v>41871</v>
      </c>
      <c r="B38">
        <v>82.46</v>
      </c>
      <c r="C38">
        <v>82.94</v>
      </c>
      <c r="D38">
        <v>82.46</v>
      </c>
      <c r="E38">
        <v>82.81</v>
      </c>
      <c r="F38">
        <v>4581800</v>
      </c>
      <c r="G38">
        <v>82.81</v>
      </c>
    </row>
    <row r="39" spans="1:7" x14ac:dyDescent="0.25">
      <c r="A39" s="34">
        <v>41872</v>
      </c>
      <c r="B39">
        <v>82.8</v>
      </c>
      <c r="C39">
        <v>83.47</v>
      </c>
      <c r="D39">
        <v>82.69</v>
      </c>
      <c r="E39">
        <v>83.28</v>
      </c>
      <c r="F39">
        <v>7099800</v>
      </c>
      <c r="G39">
        <v>83.28</v>
      </c>
    </row>
    <row r="40" spans="1:7" x14ac:dyDescent="0.25">
      <c r="A40" s="34">
        <v>41873</v>
      </c>
      <c r="B40">
        <v>83.16</v>
      </c>
      <c r="C40">
        <v>83.66</v>
      </c>
      <c r="D40">
        <v>83.14</v>
      </c>
      <c r="E40">
        <v>83.39</v>
      </c>
      <c r="F40">
        <v>6978500</v>
      </c>
      <c r="G40">
        <v>83.39</v>
      </c>
    </row>
    <row r="41" spans="1:7" x14ac:dyDescent="0.25">
      <c r="A41" s="34">
        <v>41876</v>
      </c>
      <c r="B41">
        <v>83.74</v>
      </c>
      <c r="C41">
        <v>83.82</v>
      </c>
      <c r="D41">
        <v>83.31</v>
      </c>
      <c r="E41">
        <v>83.54</v>
      </c>
      <c r="F41">
        <v>5586800</v>
      </c>
      <c r="G41">
        <v>83.54</v>
      </c>
    </row>
    <row r="42" spans="1:7" x14ac:dyDescent="0.25">
      <c r="A42" s="34">
        <v>41877</v>
      </c>
      <c r="B42">
        <v>83.61</v>
      </c>
      <c r="C42">
        <v>83.83</v>
      </c>
      <c r="D42">
        <v>83.33</v>
      </c>
      <c r="E42">
        <v>83.38</v>
      </c>
      <c r="F42">
        <v>5169100</v>
      </c>
      <c r="G42">
        <v>83.38</v>
      </c>
    </row>
    <row r="43" spans="1:7" x14ac:dyDescent="0.25">
      <c r="A43" s="34">
        <v>41878</v>
      </c>
      <c r="B43">
        <v>83.43</v>
      </c>
      <c r="C43">
        <v>83.6</v>
      </c>
      <c r="D43">
        <v>83.16</v>
      </c>
      <c r="E43">
        <v>83.31</v>
      </c>
      <c r="F43">
        <v>4248300</v>
      </c>
      <c r="G43">
        <v>83.31</v>
      </c>
    </row>
    <row r="44" spans="1:7" x14ac:dyDescent="0.25">
      <c r="A44" s="34">
        <v>41879</v>
      </c>
      <c r="B44">
        <v>83.02</v>
      </c>
      <c r="C44">
        <v>83.22</v>
      </c>
      <c r="D44">
        <v>82.76</v>
      </c>
      <c r="E44">
        <v>83.03</v>
      </c>
      <c r="F44">
        <v>4278700</v>
      </c>
      <c r="G44">
        <v>83.03</v>
      </c>
    </row>
    <row r="45" spans="1:7" x14ac:dyDescent="0.25">
      <c r="A45" s="34">
        <v>41880</v>
      </c>
      <c r="B45">
        <v>83.09</v>
      </c>
      <c r="C45">
        <v>83.13</v>
      </c>
      <c r="D45">
        <v>82.6</v>
      </c>
      <c r="E45">
        <v>83.11</v>
      </c>
      <c r="F45">
        <v>4901300</v>
      </c>
      <c r="G45">
        <v>83.11</v>
      </c>
    </row>
    <row r="46" spans="1:7" x14ac:dyDescent="0.25">
      <c r="A46" s="34">
        <v>41884</v>
      </c>
      <c r="B46">
        <v>83.21</v>
      </c>
      <c r="C46">
        <v>83.49</v>
      </c>
      <c r="D46">
        <v>82.71</v>
      </c>
      <c r="E46">
        <v>82.98</v>
      </c>
      <c r="F46">
        <v>5528900</v>
      </c>
      <c r="G46">
        <v>82.98</v>
      </c>
    </row>
    <row r="47" spans="1:7" x14ac:dyDescent="0.25">
      <c r="A47" s="34">
        <v>41885</v>
      </c>
      <c r="B47">
        <v>83.26</v>
      </c>
      <c r="C47">
        <v>83.48</v>
      </c>
      <c r="D47">
        <v>82.77</v>
      </c>
      <c r="E47">
        <v>82.9</v>
      </c>
      <c r="F47">
        <v>5851800</v>
      </c>
      <c r="G47">
        <v>82.9</v>
      </c>
    </row>
    <row r="48" spans="1:7" x14ac:dyDescent="0.25">
      <c r="A48" s="34">
        <v>41886</v>
      </c>
      <c r="B48">
        <v>82.92</v>
      </c>
      <c r="C48">
        <v>83.75</v>
      </c>
      <c r="D48">
        <v>82.78</v>
      </c>
      <c r="E48">
        <v>83.7</v>
      </c>
      <c r="F48">
        <v>7444200</v>
      </c>
      <c r="G48">
        <v>83.7</v>
      </c>
    </row>
    <row r="49" spans="1:7" x14ac:dyDescent="0.25">
      <c r="A49" s="34">
        <v>41887</v>
      </c>
      <c r="B49">
        <v>83.44</v>
      </c>
      <c r="C49">
        <v>83.8</v>
      </c>
      <c r="D49">
        <v>83.07</v>
      </c>
      <c r="E49">
        <v>83.77</v>
      </c>
      <c r="F49">
        <v>5888900</v>
      </c>
      <c r="G49">
        <v>83.77</v>
      </c>
    </row>
    <row r="50" spans="1:7" x14ac:dyDescent="0.25">
      <c r="A50" s="34">
        <v>41890</v>
      </c>
      <c r="B50">
        <v>83.57</v>
      </c>
      <c r="C50">
        <v>83.6</v>
      </c>
      <c r="D50">
        <v>83.13</v>
      </c>
      <c r="E50">
        <v>83.32</v>
      </c>
      <c r="F50">
        <v>4899600</v>
      </c>
      <c r="G50">
        <v>83.32</v>
      </c>
    </row>
    <row r="51" spans="1:7" x14ac:dyDescent="0.25">
      <c r="A51" s="34">
        <v>41891</v>
      </c>
      <c r="B51">
        <v>83.05</v>
      </c>
      <c r="C51">
        <v>83.29</v>
      </c>
      <c r="D51">
        <v>82.83</v>
      </c>
      <c r="E51">
        <v>82.99</v>
      </c>
      <c r="F51">
        <v>5202900</v>
      </c>
      <c r="G51">
        <v>82.99</v>
      </c>
    </row>
    <row r="52" spans="1:7" x14ac:dyDescent="0.25">
      <c r="A52" s="34">
        <v>41892</v>
      </c>
      <c r="B52">
        <v>83.2</v>
      </c>
      <c r="C52">
        <v>83.96</v>
      </c>
      <c r="D52">
        <v>83.15</v>
      </c>
      <c r="E52">
        <v>83.64</v>
      </c>
      <c r="F52">
        <v>6715300</v>
      </c>
      <c r="G52">
        <v>83.64</v>
      </c>
    </row>
    <row r="53" spans="1:7" x14ac:dyDescent="0.25">
      <c r="A53" s="34">
        <v>41893</v>
      </c>
      <c r="B53">
        <v>83.61</v>
      </c>
      <c r="C53">
        <v>83.75</v>
      </c>
      <c r="D53">
        <v>83.37</v>
      </c>
      <c r="E53">
        <v>83.49</v>
      </c>
      <c r="F53">
        <v>6341600</v>
      </c>
      <c r="G53">
        <v>83.49</v>
      </c>
    </row>
    <row r="54" spans="1:7" x14ac:dyDescent="0.25">
      <c r="A54" s="34">
        <v>41894</v>
      </c>
      <c r="B54">
        <v>83.21</v>
      </c>
      <c r="C54">
        <v>83.38</v>
      </c>
      <c r="D54">
        <v>82.86</v>
      </c>
      <c r="E54">
        <v>83.26</v>
      </c>
      <c r="F54">
        <v>6358500</v>
      </c>
      <c r="G54">
        <v>83.26</v>
      </c>
    </row>
    <row r="55" spans="1:7" x14ac:dyDescent="0.25">
      <c r="A55" s="34">
        <v>41897</v>
      </c>
      <c r="B55">
        <v>83.18</v>
      </c>
      <c r="C55">
        <v>84.25</v>
      </c>
      <c r="D55">
        <v>83.14</v>
      </c>
      <c r="E55">
        <v>83.87</v>
      </c>
      <c r="F55">
        <v>7004700</v>
      </c>
      <c r="G55">
        <v>83.87</v>
      </c>
    </row>
  </sheetData>
  <sortState ref="A3:G55">
    <sortCondition ref="A3:A55"/>
  </sortState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84.35</v>
      </c>
      <c r="C3">
        <v>84.54</v>
      </c>
      <c r="D3">
        <v>83.87</v>
      </c>
      <c r="E3">
        <v>84.21</v>
      </c>
      <c r="F3">
        <v>6615400</v>
      </c>
      <c r="G3">
        <v>83.23</v>
      </c>
    </row>
    <row r="4" spans="1:7" x14ac:dyDescent="0.25">
      <c r="A4" s="34">
        <v>41822</v>
      </c>
      <c r="B4">
        <v>84.21</v>
      </c>
      <c r="C4">
        <v>85.1</v>
      </c>
      <c r="D4">
        <v>83.83</v>
      </c>
      <c r="E4">
        <v>84.86</v>
      </c>
      <c r="F4">
        <v>4335400</v>
      </c>
      <c r="G4">
        <v>83.87</v>
      </c>
    </row>
    <row r="5" spans="1:7" x14ac:dyDescent="0.25">
      <c r="A5" s="34">
        <v>41823</v>
      </c>
      <c r="B5">
        <v>84.76</v>
      </c>
      <c r="C5">
        <v>86.09</v>
      </c>
      <c r="D5">
        <v>84.73</v>
      </c>
      <c r="E5">
        <v>85.69</v>
      </c>
      <c r="F5">
        <v>3562500</v>
      </c>
      <c r="G5">
        <v>84.69</v>
      </c>
    </row>
    <row r="6" spans="1:7" x14ac:dyDescent="0.25">
      <c r="A6" s="34">
        <v>41827</v>
      </c>
      <c r="B6">
        <v>85.58</v>
      </c>
      <c r="C6">
        <v>86.45</v>
      </c>
      <c r="D6">
        <v>85.46</v>
      </c>
      <c r="E6">
        <v>86.08</v>
      </c>
      <c r="F6">
        <v>4229900</v>
      </c>
      <c r="G6">
        <v>85.08</v>
      </c>
    </row>
    <row r="7" spans="1:7" x14ac:dyDescent="0.25">
      <c r="A7" s="34">
        <v>41828</v>
      </c>
      <c r="B7">
        <v>86.13</v>
      </c>
      <c r="C7">
        <v>86.66</v>
      </c>
      <c r="D7">
        <v>85.94</v>
      </c>
      <c r="E7">
        <v>86.29</v>
      </c>
      <c r="F7">
        <v>3726100</v>
      </c>
      <c r="G7">
        <v>85.29</v>
      </c>
    </row>
    <row r="8" spans="1:7" x14ac:dyDescent="0.25">
      <c r="A8" s="34">
        <v>41829</v>
      </c>
      <c r="B8">
        <v>86.51</v>
      </c>
      <c r="C8">
        <v>86.85</v>
      </c>
      <c r="D8">
        <v>85.82</v>
      </c>
      <c r="E8">
        <v>86.03</v>
      </c>
      <c r="F8">
        <v>3188000</v>
      </c>
      <c r="G8">
        <v>85.03</v>
      </c>
    </row>
    <row r="9" spans="1:7" x14ac:dyDescent="0.25">
      <c r="A9" s="34">
        <v>41830</v>
      </c>
      <c r="B9">
        <v>85.61</v>
      </c>
      <c r="C9">
        <v>86.04</v>
      </c>
      <c r="D9">
        <v>84.88</v>
      </c>
      <c r="E9">
        <v>84.9</v>
      </c>
      <c r="F9">
        <v>5465500</v>
      </c>
      <c r="G9">
        <v>83.91</v>
      </c>
    </row>
    <row r="10" spans="1:7" x14ac:dyDescent="0.25">
      <c r="A10" s="34">
        <v>41831</v>
      </c>
      <c r="B10">
        <v>85.6</v>
      </c>
      <c r="C10">
        <v>86.08</v>
      </c>
      <c r="D10">
        <v>84.84</v>
      </c>
      <c r="E10">
        <v>85.41</v>
      </c>
      <c r="F10">
        <v>4861300</v>
      </c>
      <c r="G10">
        <v>84.42</v>
      </c>
    </row>
    <row r="11" spans="1:7" x14ac:dyDescent="0.25">
      <c r="A11" s="34">
        <v>41834</v>
      </c>
      <c r="B11">
        <v>85.92</v>
      </c>
      <c r="C11">
        <v>86.26</v>
      </c>
      <c r="D11">
        <v>85.75</v>
      </c>
      <c r="E11">
        <v>85.95</v>
      </c>
      <c r="F11">
        <v>3470200</v>
      </c>
      <c r="G11">
        <v>84.95</v>
      </c>
    </row>
    <row r="12" spans="1:7" x14ac:dyDescent="0.25">
      <c r="A12" s="34">
        <v>41835</v>
      </c>
      <c r="B12">
        <v>85.57</v>
      </c>
      <c r="C12">
        <v>85.61</v>
      </c>
      <c r="D12">
        <v>84.48</v>
      </c>
      <c r="E12">
        <v>84.59</v>
      </c>
      <c r="F12">
        <v>5770400</v>
      </c>
      <c r="G12">
        <v>83.61</v>
      </c>
    </row>
    <row r="13" spans="1:7" x14ac:dyDescent="0.25">
      <c r="A13" s="34">
        <v>41836</v>
      </c>
      <c r="B13">
        <v>84.99</v>
      </c>
      <c r="C13">
        <v>85.55</v>
      </c>
      <c r="D13">
        <v>84.49</v>
      </c>
      <c r="E13">
        <v>84.7</v>
      </c>
      <c r="F13">
        <v>6244300</v>
      </c>
      <c r="G13">
        <v>83.72</v>
      </c>
    </row>
    <row r="14" spans="1:7" x14ac:dyDescent="0.25">
      <c r="A14" s="34">
        <v>41837</v>
      </c>
      <c r="B14">
        <v>84.58</v>
      </c>
      <c r="C14">
        <v>86.65</v>
      </c>
      <c r="D14">
        <v>84.52</v>
      </c>
      <c r="E14">
        <v>84.55</v>
      </c>
      <c r="F14">
        <v>5932700</v>
      </c>
      <c r="G14">
        <v>83.57</v>
      </c>
    </row>
    <row r="15" spans="1:7" x14ac:dyDescent="0.25">
      <c r="A15" s="34">
        <v>41838</v>
      </c>
      <c r="B15">
        <v>85.01</v>
      </c>
      <c r="C15">
        <v>86.15</v>
      </c>
      <c r="D15">
        <v>84.9</v>
      </c>
      <c r="E15">
        <v>86.02</v>
      </c>
      <c r="F15">
        <v>4563900</v>
      </c>
      <c r="G15">
        <v>85.02</v>
      </c>
    </row>
    <row r="16" spans="1:7" x14ac:dyDescent="0.25">
      <c r="A16" s="34">
        <v>41841</v>
      </c>
      <c r="B16">
        <v>85.29</v>
      </c>
      <c r="C16">
        <v>85.78</v>
      </c>
      <c r="D16">
        <v>85.2</v>
      </c>
      <c r="E16">
        <v>85.57</v>
      </c>
      <c r="F16">
        <v>3273300</v>
      </c>
      <c r="G16">
        <v>84.58</v>
      </c>
    </row>
    <row r="17" spans="1:7" x14ac:dyDescent="0.25">
      <c r="A17" s="34">
        <v>41842</v>
      </c>
      <c r="B17">
        <v>85.66</v>
      </c>
      <c r="C17">
        <v>85.89</v>
      </c>
      <c r="D17">
        <v>85.26</v>
      </c>
      <c r="E17">
        <v>85.38</v>
      </c>
      <c r="F17">
        <v>2741900</v>
      </c>
      <c r="G17">
        <v>84.39</v>
      </c>
    </row>
    <row r="18" spans="1:7" x14ac:dyDescent="0.25">
      <c r="A18" s="34">
        <v>41843</v>
      </c>
      <c r="B18">
        <v>85.53</v>
      </c>
      <c r="C18">
        <v>85.73</v>
      </c>
      <c r="D18">
        <v>84.97</v>
      </c>
      <c r="E18">
        <v>85.08</v>
      </c>
      <c r="F18">
        <v>2750300</v>
      </c>
      <c r="G18">
        <v>84.09</v>
      </c>
    </row>
    <row r="19" spans="1:7" x14ac:dyDescent="0.25">
      <c r="A19" s="34">
        <v>41844</v>
      </c>
      <c r="B19">
        <v>85.29</v>
      </c>
      <c r="C19">
        <v>85.78</v>
      </c>
      <c r="D19">
        <v>85.25</v>
      </c>
      <c r="E19">
        <v>85.54</v>
      </c>
      <c r="F19">
        <v>3703000</v>
      </c>
      <c r="G19">
        <v>84.55</v>
      </c>
    </row>
    <row r="20" spans="1:7" x14ac:dyDescent="0.25">
      <c r="A20" s="34">
        <v>41845</v>
      </c>
      <c r="B20">
        <v>85.32</v>
      </c>
      <c r="C20">
        <v>85.53</v>
      </c>
      <c r="D20">
        <v>84.57</v>
      </c>
      <c r="E20">
        <v>84.85</v>
      </c>
      <c r="F20">
        <v>2715100</v>
      </c>
      <c r="G20">
        <v>83.86</v>
      </c>
    </row>
    <row r="21" spans="1:7" x14ac:dyDescent="0.25">
      <c r="A21" s="34">
        <v>41848</v>
      </c>
      <c r="B21">
        <v>84.98</v>
      </c>
      <c r="C21">
        <v>84.98</v>
      </c>
      <c r="D21">
        <v>84.1</v>
      </c>
      <c r="E21">
        <v>84.48</v>
      </c>
      <c r="F21">
        <v>3053900</v>
      </c>
      <c r="G21">
        <v>83.5</v>
      </c>
    </row>
    <row r="22" spans="1:7" x14ac:dyDescent="0.25">
      <c r="A22" s="34">
        <v>41849</v>
      </c>
      <c r="B22">
        <v>84.5</v>
      </c>
      <c r="C22">
        <v>85.38</v>
      </c>
      <c r="D22">
        <v>84.5</v>
      </c>
      <c r="E22">
        <v>84.65</v>
      </c>
      <c r="F22">
        <v>2677200</v>
      </c>
      <c r="G22">
        <v>83.67</v>
      </c>
    </row>
    <row r="23" spans="1:7" x14ac:dyDescent="0.25">
      <c r="A23" s="34">
        <v>41850</v>
      </c>
      <c r="B23">
        <v>84.72</v>
      </c>
      <c r="C23">
        <v>85.07</v>
      </c>
      <c r="D23">
        <v>83.14</v>
      </c>
      <c r="E23">
        <v>83.19</v>
      </c>
      <c r="F23">
        <v>4670900</v>
      </c>
      <c r="G23">
        <v>82.22</v>
      </c>
    </row>
    <row r="24" spans="1:7" x14ac:dyDescent="0.25">
      <c r="A24" s="34">
        <v>41851</v>
      </c>
      <c r="B24">
        <v>82.96</v>
      </c>
      <c r="C24">
        <v>82.99</v>
      </c>
      <c r="D24">
        <v>82</v>
      </c>
      <c r="E24">
        <v>82.01</v>
      </c>
      <c r="F24">
        <v>4633400</v>
      </c>
      <c r="G24">
        <v>81.06</v>
      </c>
    </row>
    <row r="25" spans="1:7" x14ac:dyDescent="0.25">
      <c r="A25" s="34">
        <v>41852</v>
      </c>
      <c r="B25">
        <v>82</v>
      </c>
      <c r="C25">
        <v>82.59</v>
      </c>
      <c r="D25">
        <v>81.72</v>
      </c>
      <c r="E25">
        <v>81.900000000000006</v>
      </c>
      <c r="F25">
        <v>3956500</v>
      </c>
      <c r="G25">
        <v>80.95</v>
      </c>
    </row>
    <row r="26" spans="1:7" x14ac:dyDescent="0.25">
      <c r="A26" s="34">
        <v>41855</v>
      </c>
      <c r="B26">
        <v>81.8</v>
      </c>
      <c r="C26">
        <v>82.33</v>
      </c>
      <c r="D26">
        <v>81.5</v>
      </c>
      <c r="E26">
        <v>82.13</v>
      </c>
      <c r="F26">
        <v>3293400</v>
      </c>
      <c r="G26">
        <v>81.180000000000007</v>
      </c>
    </row>
    <row r="27" spans="1:7" x14ac:dyDescent="0.25">
      <c r="A27" s="34">
        <v>41856</v>
      </c>
      <c r="B27">
        <v>81.849999999999994</v>
      </c>
      <c r="C27">
        <v>82.26</v>
      </c>
      <c r="D27">
        <v>81.19</v>
      </c>
      <c r="E27">
        <v>81.58</v>
      </c>
      <c r="F27">
        <v>3710200</v>
      </c>
      <c r="G27">
        <v>80.63</v>
      </c>
    </row>
    <row r="28" spans="1:7" x14ac:dyDescent="0.25">
      <c r="A28" s="34">
        <v>41857</v>
      </c>
      <c r="B28">
        <v>81.59</v>
      </c>
      <c r="C28">
        <v>83.95</v>
      </c>
      <c r="D28">
        <v>81.59</v>
      </c>
      <c r="E28">
        <v>83.48</v>
      </c>
      <c r="F28">
        <v>5053700</v>
      </c>
      <c r="G28">
        <v>82.51</v>
      </c>
    </row>
    <row r="29" spans="1:7" x14ac:dyDescent="0.25">
      <c r="A29" s="34">
        <v>41858</v>
      </c>
      <c r="B29">
        <v>83.55</v>
      </c>
      <c r="C29">
        <v>83.9</v>
      </c>
      <c r="D29">
        <v>82.38</v>
      </c>
      <c r="E29">
        <v>82.71</v>
      </c>
      <c r="F29">
        <v>4445100</v>
      </c>
      <c r="G29">
        <v>81.75</v>
      </c>
    </row>
    <row r="30" spans="1:7" x14ac:dyDescent="0.25">
      <c r="A30" s="34">
        <v>41859</v>
      </c>
      <c r="B30">
        <v>82.8</v>
      </c>
      <c r="C30">
        <v>83.95</v>
      </c>
      <c r="D30">
        <v>82.6</v>
      </c>
      <c r="E30">
        <v>83.84</v>
      </c>
      <c r="F30">
        <v>3809400</v>
      </c>
      <c r="G30">
        <v>82.87</v>
      </c>
    </row>
    <row r="31" spans="1:7" x14ac:dyDescent="0.25">
      <c r="A31" s="34">
        <v>41862</v>
      </c>
      <c r="B31">
        <v>83.97</v>
      </c>
      <c r="C31">
        <v>84.96</v>
      </c>
      <c r="D31">
        <v>83.75</v>
      </c>
      <c r="E31">
        <v>84.35</v>
      </c>
      <c r="F31">
        <v>3414500</v>
      </c>
      <c r="G31">
        <v>83.37</v>
      </c>
    </row>
    <row r="32" spans="1:7" x14ac:dyDescent="0.25">
      <c r="A32" s="34">
        <v>41863</v>
      </c>
      <c r="B32">
        <v>84.12</v>
      </c>
      <c r="C32">
        <v>84.26</v>
      </c>
      <c r="D32">
        <v>83.74</v>
      </c>
      <c r="E32">
        <v>84.18</v>
      </c>
      <c r="F32">
        <v>2196300</v>
      </c>
      <c r="G32">
        <v>83.2</v>
      </c>
    </row>
    <row r="33" spans="1:7" x14ac:dyDescent="0.25">
      <c r="A33" s="34">
        <v>41864</v>
      </c>
      <c r="B33">
        <v>84.44</v>
      </c>
      <c r="C33">
        <v>84.82</v>
      </c>
      <c r="D33">
        <v>84.23</v>
      </c>
      <c r="E33">
        <v>84.47</v>
      </c>
      <c r="F33">
        <v>2360600</v>
      </c>
      <c r="G33">
        <v>83.49</v>
      </c>
    </row>
    <row r="34" spans="1:7" x14ac:dyDescent="0.25">
      <c r="A34" s="34">
        <v>41865</v>
      </c>
      <c r="B34">
        <v>84.49</v>
      </c>
      <c r="C34">
        <v>84.99</v>
      </c>
      <c r="D34">
        <v>84.47</v>
      </c>
      <c r="E34">
        <v>84.93</v>
      </c>
      <c r="F34">
        <v>1795900</v>
      </c>
      <c r="G34">
        <v>83.94</v>
      </c>
    </row>
    <row r="35" spans="1:7" x14ac:dyDescent="0.25">
      <c r="A35" s="34">
        <v>41866</v>
      </c>
      <c r="B35">
        <v>85.1</v>
      </c>
      <c r="C35">
        <v>85.17</v>
      </c>
      <c r="D35">
        <v>83.82</v>
      </c>
      <c r="E35">
        <v>84.5</v>
      </c>
      <c r="F35">
        <v>4226900</v>
      </c>
      <c r="G35">
        <v>83.52</v>
      </c>
    </row>
    <row r="36" spans="1:7" x14ac:dyDescent="0.25">
      <c r="A36" s="34">
        <v>41869</v>
      </c>
      <c r="B36">
        <v>84.71</v>
      </c>
      <c r="C36">
        <v>85.1</v>
      </c>
      <c r="D36">
        <v>84.63</v>
      </c>
      <c r="E36">
        <v>84.99</v>
      </c>
      <c r="F36">
        <v>3080800</v>
      </c>
      <c r="G36">
        <v>84</v>
      </c>
    </row>
    <row r="37" spans="1:7" x14ac:dyDescent="0.25">
      <c r="A37" s="34">
        <v>41870</v>
      </c>
      <c r="B37">
        <v>85.1</v>
      </c>
      <c r="C37">
        <v>85.47</v>
      </c>
      <c r="D37">
        <v>84.63</v>
      </c>
      <c r="E37">
        <v>85.38</v>
      </c>
      <c r="F37">
        <v>2272800</v>
      </c>
      <c r="G37">
        <v>84.39</v>
      </c>
    </row>
    <row r="38" spans="1:7" x14ac:dyDescent="0.25">
      <c r="A38" s="34">
        <v>41871</v>
      </c>
      <c r="B38">
        <v>85.21</v>
      </c>
      <c r="C38">
        <v>85.37</v>
      </c>
      <c r="D38">
        <v>84.6</v>
      </c>
      <c r="E38">
        <v>85.09</v>
      </c>
      <c r="F38">
        <v>2441400</v>
      </c>
      <c r="G38">
        <v>84.1</v>
      </c>
    </row>
    <row r="39" spans="1:7" x14ac:dyDescent="0.25">
      <c r="A39" s="34">
        <v>41872</v>
      </c>
      <c r="B39">
        <v>85.23</v>
      </c>
      <c r="C39">
        <v>85.69</v>
      </c>
      <c r="D39">
        <v>85.12</v>
      </c>
      <c r="E39">
        <v>85.15</v>
      </c>
      <c r="F39">
        <v>2183800</v>
      </c>
      <c r="G39">
        <v>84.16</v>
      </c>
    </row>
    <row r="40" spans="1:7" x14ac:dyDescent="0.25">
      <c r="A40" s="34">
        <v>41873</v>
      </c>
      <c r="B40">
        <v>84.82</v>
      </c>
      <c r="C40">
        <v>85.23</v>
      </c>
      <c r="D40">
        <v>84.2</v>
      </c>
      <c r="E40">
        <v>84.34</v>
      </c>
      <c r="F40">
        <v>3774400</v>
      </c>
      <c r="G40">
        <v>83.36</v>
      </c>
    </row>
    <row r="41" spans="1:7" x14ac:dyDescent="0.25">
      <c r="A41" s="34">
        <v>41876</v>
      </c>
      <c r="B41">
        <v>84.93</v>
      </c>
      <c r="C41">
        <v>85.54</v>
      </c>
      <c r="D41">
        <v>84.93</v>
      </c>
      <c r="E41">
        <v>85.19</v>
      </c>
      <c r="F41">
        <v>2858700</v>
      </c>
      <c r="G41">
        <v>84.2</v>
      </c>
    </row>
    <row r="42" spans="1:7" x14ac:dyDescent="0.25">
      <c r="A42" s="34">
        <v>41877</v>
      </c>
      <c r="B42">
        <v>85.24</v>
      </c>
      <c r="C42">
        <v>85.46</v>
      </c>
      <c r="D42">
        <v>84.83</v>
      </c>
      <c r="E42">
        <v>85.26</v>
      </c>
      <c r="F42">
        <v>2466200</v>
      </c>
      <c r="G42">
        <v>84.27</v>
      </c>
    </row>
    <row r="43" spans="1:7" x14ac:dyDescent="0.25">
      <c r="A43" s="34">
        <v>41878</v>
      </c>
      <c r="B43">
        <v>85.13</v>
      </c>
      <c r="C43">
        <v>85.29</v>
      </c>
      <c r="D43">
        <v>84.83</v>
      </c>
      <c r="E43">
        <v>85.25</v>
      </c>
      <c r="F43">
        <v>2094300</v>
      </c>
      <c r="G43">
        <v>84.26</v>
      </c>
    </row>
    <row r="44" spans="1:7" x14ac:dyDescent="0.25">
      <c r="A44" s="34">
        <v>41879</v>
      </c>
      <c r="B44">
        <v>84.92</v>
      </c>
      <c r="C44">
        <v>85.38</v>
      </c>
      <c r="D44">
        <v>84.84</v>
      </c>
      <c r="E44">
        <v>85.26</v>
      </c>
      <c r="F44">
        <v>1797300</v>
      </c>
      <c r="G44">
        <v>84.27</v>
      </c>
    </row>
    <row r="45" spans="1:7" x14ac:dyDescent="0.25">
      <c r="A45" s="34">
        <v>41880</v>
      </c>
      <c r="B45">
        <v>85.28</v>
      </c>
      <c r="C45">
        <v>85.69</v>
      </c>
      <c r="D45">
        <v>85.04</v>
      </c>
      <c r="E45">
        <v>85.58</v>
      </c>
      <c r="F45">
        <v>2570600</v>
      </c>
      <c r="G45">
        <v>84.59</v>
      </c>
    </row>
    <row r="46" spans="1:7" x14ac:dyDescent="0.25">
      <c r="A46" s="34">
        <v>41884</v>
      </c>
      <c r="B46">
        <v>85.3</v>
      </c>
      <c r="C46">
        <v>85.9</v>
      </c>
      <c r="D46">
        <v>85.06</v>
      </c>
      <c r="E46">
        <v>85.49</v>
      </c>
      <c r="F46">
        <v>3344100</v>
      </c>
      <c r="G46">
        <v>84.5</v>
      </c>
    </row>
    <row r="47" spans="1:7" x14ac:dyDescent="0.25">
      <c r="A47" s="34">
        <v>41885</v>
      </c>
      <c r="B47">
        <v>85.85</v>
      </c>
      <c r="C47">
        <v>85.88</v>
      </c>
      <c r="D47">
        <v>85.2</v>
      </c>
      <c r="E47">
        <v>85.4</v>
      </c>
      <c r="F47">
        <v>2448900</v>
      </c>
      <c r="G47">
        <v>84.41</v>
      </c>
    </row>
    <row r="48" spans="1:7" x14ac:dyDescent="0.25">
      <c r="A48" s="34">
        <v>41886</v>
      </c>
      <c r="B48">
        <v>85.77</v>
      </c>
      <c r="C48">
        <v>85.79</v>
      </c>
      <c r="D48">
        <v>84.79</v>
      </c>
      <c r="E48">
        <v>84.99</v>
      </c>
      <c r="F48">
        <v>3143300</v>
      </c>
      <c r="G48">
        <v>84</v>
      </c>
    </row>
    <row r="49" spans="1:7" x14ac:dyDescent="0.25">
      <c r="A49" s="34">
        <v>41887</v>
      </c>
      <c r="B49">
        <v>85.06</v>
      </c>
      <c r="C49">
        <v>85.5</v>
      </c>
      <c r="D49">
        <v>84.81</v>
      </c>
      <c r="E49">
        <v>85.45</v>
      </c>
      <c r="F49">
        <v>2782300</v>
      </c>
      <c r="G49">
        <v>84.46</v>
      </c>
    </row>
    <row r="50" spans="1:7" x14ac:dyDescent="0.25">
      <c r="A50" s="34">
        <v>41890</v>
      </c>
      <c r="B50">
        <v>85.29</v>
      </c>
      <c r="C50">
        <v>85.36</v>
      </c>
      <c r="D50">
        <v>83.92</v>
      </c>
      <c r="E50">
        <v>84</v>
      </c>
      <c r="F50">
        <v>4851400</v>
      </c>
      <c r="G50">
        <v>83.02</v>
      </c>
    </row>
    <row r="51" spans="1:7" x14ac:dyDescent="0.25">
      <c r="A51" s="34">
        <v>41891</v>
      </c>
      <c r="B51">
        <v>84.1</v>
      </c>
      <c r="C51">
        <v>84.31</v>
      </c>
      <c r="D51">
        <v>83.63</v>
      </c>
      <c r="E51">
        <v>83.83</v>
      </c>
      <c r="F51">
        <v>3892300</v>
      </c>
      <c r="G51">
        <v>82.86</v>
      </c>
    </row>
    <row r="52" spans="1:7" x14ac:dyDescent="0.25">
      <c r="A52" s="34">
        <v>41892</v>
      </c>
      <c r="B52">
        <v>84.12</v>
      </c>
      <c r="C52">
        <v>84.41</v>
      </c>
      <c r="D52">
        <v>83.81</v>
      </c>
      <c r="E52">
        <v>84.19</v>
      </c>
      <c r="F52">
        <v>3433300</v>
      </c>
      <c r="G52">
        <v>83.21</v>
      </c>
    </row>
    <row r="53" spans="1:7" x14ac:dyDescent="0.25">
      <c r="A53" s="34">
        <v>41893</v>
      </c>
      <c r="B53">
        <v>84.15</v>
      </c>
      <c r="C53">
        <v>84.56</v>
      </c>
      <c r="D53">
        <v>83.95</v>
      </c>
      <c r="E53">
        <v>84.5</v>
      </c>
      <c r="F53">
        <v>4369800</v>
      </c>
      <c r="G53">
        <v>83.52</v>
      </c>
    </row>
    <row r="54" spans="1:7" x14ac:dyDescent="0.25">
      <c r="A54" s="34">
        <v>41894</v>
      </c>
      <c r="B54">
        <v>84.71</v>
      </c>
      <c r="C54">
        <v>84.75</v>
      </c>
      <c r="D54">
        <v>83.72</v>
      </c>
      <c r="E54">
        <v>84.02</v>
      </c>
      <c r="F54">
        <v>3585700</v>
      </c>
      <c r="G54">
        <v>83.04</v>
      </c>
    </row>
    <row r="55" spans="1:7" x14ac:dyDescent="0.25">
      <c r="A55" s="34">
        <v>41897</v>
      </c>
      <c r="B55">
        <v>84.29</v>
      </c>
      <c r="C55">
        <v>84.3</v>
      </c>
      <c r="D55">
        <v>83.88</v>
      </c>
      <c r="E55">
        <v>84.2</v>
      </c>
      <c r="F55">
        <v>3947100</v>
      </c>
      <c r="G55">
        <v>83.22</v>
      </c>
    </row>
  </sheetData>
  <sortState ref="A3:G55">
    <sortCondition ref="A3:A55"/>
  </sortState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79.349999999999994</v>
      </c>
      <c r="C3">
        <v>79.819999999999993</v>
      </c>
      <c r="D3">
        <v>78.930000000000007</v>
      </c>
      <c r="E3">
        <v>79.73</v>
      </c>
      <c r="F3">
        <v>5872300</v>
      </c>
      <c r="G3">
        <v>79.290000000000006</v>
      </c>
    </row>
    <row r="4" spans="1:7" x14ac:dyDescent="0.25">
      <c r="A4" s="34">
        <v>41822</v>
      </c>
      <c r="B4">
        <v>79.81</v>
      </c>
      <c r="C4">
        <v>80.430000000000007</v>
      </c>
      <c r="D4">
        <v>79.7</v>
      </c>
      <c r="E4">
        <v>80.17</v>
      </c>
      <c r="F4">
        <v>5440100</v>
      </c>
      <c r="G4">
        <v>79.73</v>
      </c>
    </row>
    <row r="5" spans="1:7" x14ac:dyDescent="0.25">
      <c r="A5" s="34">
        <v>41823</v>
      </c>
      <c r="B5">
        <v>80.5</v>
      </c>
      <c r="C5">
        <v>81.28</v>
      </c>
      <c r="D5">
        <v>80.09</v>
      </c>
      <c r="E5">
        <v>80.989999999999995</v>
      </c>
      <c r="F5">
        <v>5735700</v>
      </c>
      <c r="G5">
        <v>80.540000000000006</v>
      </c>
    </row>
    <row r="6" spans="1:7" x14ac:dyDescent="0.25">
      <c r="A6" s="34">
        <v>41827</v>
      </c>
      <c r="B6">
        <v>80.67</v>
      </c>
      <c r="C6">
        <v>80.95</v>
      </c>
      <c r="D6">
        <v>80.209999999999994</v>
      </c>
      <c r="E6">
        <v>80.819999999999993</v>
      </c>
      <c r="F6">
        <v>5873900</v>
      </c>
      <c r="G6">
        <v>80.38</v>
      </c>
    </row>
    <row r="7" spans="1:7" x14ac:dyDescent="0.25">
      <c r="A7" s="34">
        <v>41828</v>
      </c>
      <c r="B7">
        <v>80.63</v>
      </c>
      <c r="C7">
        <v>80.86</v>
      </c>
      <c r="D7">
        <v>80.42</v>
      </c>
      <c r="E7">
        <v>80.650000000000006</v>
      </c>
      <c r="F7">
        <v>7787900</v>
      </c>
      <c r="G7">
        <v>80.209999999999994</v>
      </c>
    </row>
    <row r="8" spans="1:7" x14ac:dyDescent="0.25">
      <c r="A8" s="34">
        <v>41829</v>
      </c>
      <c r="B8">
        <v>81.11</v>
      </c>
      <c r="C8">
        <v>81.11</v>
      </c>
      <c r="D8">
        <v>80.38</v>
      </c>
      <c r="E8">
        <v>80.77</v>
      </c>
      <c r="F8">
        <v>5071200</v>
      </c>
      <c r="G8">
        <v>80.33</v>
      </c>
    </row>
    <row r="9" spans="1:7" x14ac:dyDescent="0.25">
      <c r="A9" s="34">
        <v>41830</v>
      </c>
      <c r="B9">
        <v>79.930000000000007</v>
      </c>
      <c r="C9">
        <v>80.680000000000007</v>
      </c>
      <c r="D9">
        <v>79.8</v>
      </c>
      <c r="E9">
        <v>80.430000000000007</v>
      </c>
      <c r="F9">
        <v>5090200</v>
      </c>
      <c r="G9">
        <v>79.989999999999995</v>
      </c>
    </row>
    <row r="10" spans="1:7" x14ac:dyDescent="0.25">
      <c r="A10" s="34">
        <v>41831</v>
      </c>
      <c r="B10">
        <v>79.900000000000006</v>
      </c>
      <c r="C10">
        <v>80.2</v>
      </c>
      <c r="D10">
        <v>79.150000000000006</v>
      </c>
      <c r="E10">
        <v>79.599999999999994</v>
      </c>
      <c r="F10">
        <v>8623300</v>
      </c>
      <c r="G10">
        <v>79.16</v>
      </c>
    </row>
    <row r="11" spans="1:7" x14ac:dyDescent="0.25">
      <c r="A11" s="34">
        <v>41834</v>
      </c>
      <c r="B11">
        <v>79.44</v>
      </c>
      <c r="C11">
        <v>79.78</v>
      </c>
      <c r="D11">
        <v>79.38</v>
      </c>
      <c r="E11">
        <v>79.52</v>
      </c>
      <c r="F11">
        <v>7609800</v>
      </c>
      <c r="G11">
        <v>79.08</v>
      </c>
    </row>
    <row r="12" spans="1:7" x14ac:dyDescent="0.25">
      <c r="A12" s="34">
        <v>41835</v>
      </c>
      <c r="B12">
        <v>79.39</v>
      </c>
      <c r="C12">
        <v>79.91</v>
      </c>
      <c r="D12">
        <v>79.150000000000006</v>
      </c>
      <c r="E12">
        <v>79.44</v>
      </c>
      <c r="F12">
        <v>5984000</v>
      </c>
      <c r="G12">
        <v>79</v>
      </c>
    </row>
    <row r="13" spans="1:7" x14ac:dyDescent="0.25">
      <c r="A13" s="34">
        <v>41836</v>
      </c>
      <c r="B13">
        <v>79.72</v>
      </c>
      <c r="C13">
        <v>79.94</v>
      </c>
      <c r="D13">
        <v>79.58</v>
      </c>
      <c r="E13">
        <v>79.62</v>
      </c>
      <c r="F13">
        <v>6266900</v>
      </c>
      <c r="G13">
        <v>79.180000000000007</v>
      </c>
    </row>
    <row r="14" spans="1:7" x14ac:dyDescent="0.25">
      <c r="A14" s="34">
        <v>41837</v>
      </c>
      <c r="B14">
        <v>79.11</v>
      </c>
      <c r="C14">
        <v>79.209999999999994</v>
      </c>
      <c r="D14">
        <v>77.88</v>
      </c>
      <c r="E14">
        <v>78.11</v>
      </c>
      <c r="F14">
        <v>12569900</v>
      </c>
      <c r="G14">
        <v>77.680000000000007</v>
      </c>
    </row>
    <row r="15" spans="1:7" x14ac:dyDescent="0.25">
      <c r="A15" s="34">
        <v>41838</v>
      </c>
      <c r="B15">
        <v>78.55</v>
      </c>
      <c r="C15">
        <v>79.430000000000007</v>
      </c>
      <c r="D15">
        <v>78.25</v>
      </c>
      <c r="E15">
        <v>79.39</v>
      </c>
      <c r="F15">
        <v>8373000</v>
      </c>
      <c r="G15">
        <v>78.95</v>
      </c>
    </row>
    <row r="16" spans="1:7" x14ac:dyDescent="0.25">
      <c r="A16" s="34">
        <v>41841</v>
      </c>
      <c r="B16">
        <v>79.41</v>
      </c>
      <c r="C16">
        <v>79.97</v>
      </c>
      <c r="D16">
        <v>79.11</v>
      </c>
      <c r="E16">
        <v>79.67</v>
      </c>
      <c r="F16">
        <v>7654300</v>
      </c>
      <c r="G16">
        <v>79.23</v>
      </c>
    </row>
    <row r="17" spans="1:7" x14ac:dyDescent="0.25">
      <c r="A17" s="34">
        <v>41842</v>
      </c>
      <c r="B17">
        <v>80.09</v>
      </c>
      <c r="C17">
        <v>81.87</v>
      </c>
      <c r="D17">
        <v>79.989999999999995</v>
      </c>
      <c r="E17">
        <v>81.53</v>
      </c>
      <c r="F17">
        <v>10753200</v>
      </c>
      <c r="G17">
        <v>81.08</v>
      </c>
    </row>
    <row r="18" spans="1:7" x14ac:dyDescent="0.25">
      <c r="A18" s="34">
        <v>41843</v>
      </c>
      <c r="B18">
        <v>81.89</v>
      </c>
      <c r="C18">
        <v>81.97</v>
      </c>
      <c r="D18">
        <v>81.42</v>
      </c>
      <c r="E18">
        <v>81.599999999999994</v>
      </c>
      <c r="F18">
        <v>10326300</v>
      </c>
      <c r="G18">
        <v>81.150000000000006</v>
      </c>
    </row>
    <row r="19" spans="1:7" x14ac:dyDescent="0.25">
      <c r="A19" s="34">
        <v>41844</v>
      </c>
      <c r="B19">
        <v>77.599999999999994</v>
      </c>
      <c r="C19">
        <v>77.63</v>
      </c>
      <c r="D19">
        <v>75.66</v>
      </c>
      <c r="E19">
        <v>76.17</v>
      </c>
      <c r="F19">
        <v>37728500</v>
      </c>
      <c r="G19">
        <v>75.75</v>
      </c>
    </row>
    <row r="20" spans="1:7" x14ac:dyDescent="0.25">
      <c r="A20" s="34">
        <v>41845</v>
      </c>
      <c r="B20">
        <v>76</v>
      </c>
      <c r="C20">
        <v>76.58</v>
      </c>
      <c r="D20">
        <v>75.819999999999993</v>
      </c>
      <c r="E20">
        <v>76.099999999999994</v>
      </c>
      <c r="F20">
        <v>13574800</v>
      </c>
      <c r="G20">
        <v>75.680000000000007</v>
      </c>
    </row>
    <row r="21" spans="1:7" x14ac:dyDescent="0.25">
      <c r="A21" s="34">
        <v>41848</v>
      </c>
      <c r="B21">
        <v>76.099999999999994</v>
      </c>
      <c r="C21">
        <v>76.25</v>
      </c>
      <c r="D21">
        <v>75.53</v>
      </c>
      <c r="E21">
        <v>75.83</v>
      </c>
      <c r="F21">
        <v>10938900</v>
      </c>
      <c r="G21">
        <v>75.41</v>
      </c>
    </row>
    <row r="22" spans="1:7" x14ac:dyDescent="0.25">
      <c r="A22" s="34">
        <v>41849</v>
      </c>
      <c r="B22">
        <v>75.650000000000006</v>
      </c>
      <c r="C22">
        <v>75.95</v>
      </c>
      <c r="D22">
        <v>75.260000000000005</v>
      </c>
      <c r="E22">
        <v>75.31</v>
      </c>
      <c r="F22">
        <v>11324900</v>
      </c>
      <c r="G22">
        <v>74.900000000000006</v>
      </c>
    </row>
    <row r="23" spans="1:7" x14ac:dyDescent="0.25">
      <c r="A23" s="34">
        <v>41850</v>
      </c>
      <c r="B23">
        <v>75.680000000000007</v>
      </c>
      <c r="C23">
        <v>76.23</v>
      </c>
      <c r="D23">
        <v>75.150000000000006</v>
      </c>
      <c r="E23">
        <v>76.040000000000006</v>
      </c>
      <c r="F23">
        <v>10726100</v>
      </c>
      <c r="G23">
        <v>75.62</v>
      </c>
    </row>
    <row r="24" spans="1:7" x14ac:dyDescent="0.25">
      <c r="A24" s="34">
        <v>41851</v>
      </c>
      <c r="B24">
        <v>75.39</v>
      </c>
      <c r="C24">
        <v>75.599999999999994</v>
      </c>
      <c r="D24">
        <v>73.650000000000006</v>
      </c>
      <c r="E24">
        <v>73.72</v>
      </c>
      <c r="F24">
        <v>15257100</v>
      </c>
      <c r="G24">
        <v>73.31</v>
      </c>
    </row>
    <row r="25" spans="1:7" x14ac:dyDescent="0.25">
      <c r="A25" s="34">
        <v>41852</v>
      </c>
      <c r="B25">
        <v>73.67</v>
      </c>
      <c r="C25">
        <v>73.849999999999994</v>
      </c>
      <c r="D25">
        <v>71.819999999999993</v>
      </c>
      <c r="E25">
        <v>72.55</v>
      </c>
      <c r="F25">
        <v>15202500</v>
      </c>
      <c r="G25">
        <v>72.150000000000006</v>
      </c>
    </row>
    <row r="26" spans="1:7" x14ac:dyDescent="0.25">
      <c r="A26" s="34">
        <v>41855</v>
      </c>
      <c r="B26">
        <v>72.87</v>
      </c>
      <c r="C26">
        <v>73.47</v>
      </c>
      <c r="D26">
        <v>72.83</v>
      </c>
      <c r="E26">
        <v>73.260000000000005</v>
      </c>
      <c r="F26">
        <v>13114200</v>
      </c>
      <c r="G26">
        <v>72.86</v>
      </c>
    </row>
    <row r="27" spans="1:7" x14ac:dyDescent="0.25">
      <c r="A27" s="34">
        <v>41856</v>
      </c>
      <c r="B27">
        <v>73.2</v>
      </c>
      <c r="C27">
        <v>73.349999999999994</v>
      </c>
      <c r="D27">
        <v>72.56</v>
      </c>
      <c r="E27">
        <v>72.75</v>
      </c>
      <c r="F27">
        <v>10306400</v>
      </c>
      <c r="G27">
        <v>72.349999999999994</v>
      </c>
    </row>
    <row r="28" spans="1:7" x14ac:dyDescent="0.25">
      <c r="A28" s="34">
        <v>41857</v>
      </c>
      <c r="B28">
        <v>72.42</v>
      </c>
      <c r="C28">
        <v>73.150000000000006</v>
      </c>
      <c r="D28">
        <v>72.16</v>
      </c>
      <c r="E28">
        <v>72.89</v>
      </c>
      <c r="F28">
        <v>7324400</v>
      </c>
      <c r="G28">
        <v>72.489999999999995</v>
      </c>
    </row>
    <row r="29" spans="1:7" x14ac:dyDescent="0.25">
      <c r="A29" s="34">
        <v>41858</v>
      </c>
      <c r="B29">
        <v>73.28</v>
      </c>
      <c r="C29">
        <v>73.349999999999994</v>
      </c>
      <c r="D29">
        <v>72.34</v>
      </c>
      <c r="E29">
        <v>72.489999999999995</v>
      </c>
      <c r="F29">
        <v>9402400</v>
      </c>
      <c r="G29">
        <v>72.09</v>
      </c>
    </row>
    <row r="30" spans="1:7" x14ac:dyDescent="0.25">
      <c r="A30" s="34">
        <v>41859</v>
      </c>
      <c r="B30">
        <v>72.72</v>
      </c>
      <c r="C30">
        <v>73.959999999999994</v>
      </c>
      <c r="D30">
        <v>72.5</v>
      </c>
      <c r="E30">
        <v>73.88</v>
      </c>
      <c r="F30">
        <v>9140700</v>
      </c>
      <c r="G30">
        <v>73.47</v>
      </c>
    </row>
    <row r="31" spans="1:7" x14ac:dyDescent="0.25">
      <c r="A31" s="34">
        <v>41862</v>
      </c>
      <c r="B31">
        <v>74.2</v>
      </c>
      <c r="C31">
        <v>74.98</v>
      </c>
      <c r="D31">
        <v>73.92</v>
      </c>
      <c r="E31">
        <v>74.73</v>
      </c>
      <c r="F31">
        <v>8818500</v>
      </c>
      <c r="G31">
        <v>74.319999999999993</v>
      </c>
    </row>
    <row r="32" spans="1:7" x14ac:dyDescent="0.25">
      <c r="A32" s="34">
        <v>41863</v>
      </c>
      <c r="B32">
        <v>74.86</v>
      </c>
      <c r="C32">
        <v>74.930000000000007</v>
      </c>
      <c r="D32">
        <v>73.900000000000006</v>
      </c>
      <c r="E32">
        <v>74.14</v>
      </c>
      <c r="F32">
        <v>7790000</v>
      </c>
      <c r="G32">
        <v>73.73</v>
      </c>
    </row>
    <row r="33" spans="1:7" x14ac:dyDescent="0.25">
      <c r="A33" s="34">
        <v>41864</v>
      </c>
      <c r="B33">
        <v>74.58</v>
      </c>
      <c r="C33">
        <v>74.650000000000006</v>
      </c>
      <c r="D33">
        <v>74.040000000000006</v>
      </c>
      <c r="E33">
        <v>74.5</v>
      </c>
      <c r="F33">
        <v>7053600</v>
      </c>
      <c r="G33">
        <v>74.09</v>
      </c>
    </row>
    <row r="34" spans="1:7" x14ac:dyDescent="0.25">
      <c r="A34" s="34">
        <v>41865</v>
      </c>
      <c r="B34">
        <v>74.760000000000005</v>
      </c>
      <c r="C34">
        <v>74.989999999999995</v>
      </c>
      <c r="D34">
        <v>74.599999999999994</v>
      </c>
      <c r="E34">
        <v>74.760000000000005</v>
      </c>
      <c r="F34">
        <v>6482100</v>
      </c>
      <c r="G34">
        <v>74.349999999999994</v>
      </c>
    </row>
    <row r="35" spans="1:7" x14ac:dyDescent="0.25">
      <c r="A35" s="34">
        <v>41866</v>
      </c>
      <c r="B35">
        <v>75.13</v>
      </c>
      <c r="C35">
        <v>75.13</v>
      </c>
      <c r="D35">
        <v>73.989999999999995</v>
      </c>
      <c r="E35">
        <v>74.41</v>
      </c>
      <c r="F35">
        <v>9794400</v>
      </c>
      <c r="G35">
        <v>74</v>
      </c>
    </row>
    <row r="36" spans="1:7" x14ac:dyDescent="0.25">
      <c r="A36" s="34">
        <v>41869</v>
      </c>
      <c r="B36">
        <v>74.83</v>
      </c>
      <c r="C36">
        <v>75.099999999999994</v>
      </c>
      <c r="D36">
        <v>74.61</v>
      </c>
      <c r="E36">
        <v>75.03</v>
      </c>
      <c r="F36">
        <v>5180200</v>
      </c>
      <c r="G36">
        <v>74.62</v>
      </c>
    </row>
    <row r="37" spans="1:7" x14ac:dyDescent="0.25">
      <c r="A37" s="34">
        <v>41870</v>
      </c>
      <c r="B37">
        <v>75.05</v>
      </c>
      <c r="C37">
        <v>75.22</v>
      </c>
      <c r="D37">
        <v>74.91</v>
      </c>
      <c r="E37">
        <v>75.13</v>
      </c>
      <c r="F37">
        <v>7903300</v>
      </c>
      <c r="G37">
        <v>74.72</v>
      </c>
    </row>
    <row r="38" spans="1:7" x14ac:dyDescent="0.25">
      <c r="A38" s="34">
        <v>41871</v>
      </c>
      <c r="B38">
        <v>74.55</v>
      </c>
      <c r="C38">
        <v>76.64</v>
      </c>
      <c r="D38">
        <v>74.55</v>
      </c>
      <c r="E38">
        <v>76.44</v>
      </c>
      <c r="F38">
        <v>12123300</v>
      </c>
      <c r="G38">
        <v>76.02</v>
      </c>
    </row>
    <row r="39" spans="1:7" x14ac:dyDescent="0.25">
      <c r="A39" s="34">
        <v>41872</v>
      </c>
      <c r="B39">
        <v>76.61</v>
      </c>
      <c r="C39">
        <v>77.31</v>
      </c>
      <c r="D39">
        <v>76.45</v>
      </c>
      <c r="E39">
        <v>76.77</v>
      </c>
      <c r="F39">
        <v>8646500</v>
      </c>
      <c r="G39">
        <v>76.349999999999994</v>
      </c>
    </row>
    <row r="40" spans="1:7" x14ac:dyDescent="0.25">
      <c r="A40" s="34">
        <v>41873</v>
      </c>
      <c r="B40">
        <v>76.709999999999994</v>
      </c>
      <c r="C40">
        <v>77.22</v>
      </c>
      <c r="D40">
        <v>76.709999999999994</v>
      </c>
      <c r="E40">
        <v>76.819999999999993</v>
      </c>
      <c r="F40">
        <v>5082400</v>
      </c>
      <c r="G40">
        <v>76.400000000000006</v>
      </c>
    </row>
    <row r="41" spans="1:7" x14ac:dyDescent="0.25">
      <c r="A41" s="34">
        <v>41876</v>
      </c>
      <c r="B41">
        <v>77.17</v>
      </c>
      <c r="C41">
        <v>77.3</v>
      </c>
      <c r="D41">
        <v>76.34</v>
      </c>
      <c r="E41">
        <v>76.59</v>
      </c>
      <c r="F41">
        <v>4752000</v>
      </c>
      <c r="G41">
        <v>76.17</v>
      </c>
    </row>
    <row r="42" spans="1:7" x14ac:dyDescent="0.25">
      <c r="A42" s="34">
        <v>41877</v>
      </c>
      <c r="B42">
        <v>76.819999999999993</v>
      </c>
      <c r="C42">
        <v>77.099999999999994</v>
      </c>
      <c r="D42">
        <v>76.260000000000005</v>
      </c>
      <c r="E42">
        <v>77.010000000000005</v>
      </c>
      <c r="F42">
        <v>6754000</v>
      </c>
      <c r="G42">
        <v>76.59</v>
      </c>
    </row>
    <row r="43" spans="1:7" x14ac:dyDescent="0.25">
      <c r="A43" s="34">
        <v>41878</v>
      </c>
      <c r="B43">
        <v>77.150000000000006</v>
      </c>
      <c r="C43">
        <v>77.19</v>
      </c>
      <c r="D43">
        <v>76.489999999999995</v>
      </c>
      <c r="E43">
        <v>76.97</v>
      </c>
      <c r="F43">
        <v>7846200</v>
      </c>
      <c r="G43">
        <v>76.55</v>
      </c>
    </row>
    <row r="44" spans="1:7" x14ac:dyDescent="0.25">
      <c r="A44" s="34">
        <v>41879</v>
      </c>
      <c r="B44">
        <v>76.69</v>
      </c>
      <c r="C44">
        <v>76.900000000000006</v>
      </c>
      <c r="D44">
        <v>76.31</v>
      </c>
      <c r="E44">
        <v>76.34</v>
      </c>
      <c r="F44">
        <v>5243100</v>
      </c>
      <c r="G44">
        <v>75.92</v>
      </c>
    </row>
    <row r="45" spans="1:7" x14ac:dyDescent="0.25">
      <c r="A45" s="34">
        <v>41880</v>
      </c>
      <c r="B45">
        <v>76.599999999999994</v>
      </c>
      <c r="C45">
        <v>76.599999999999994</v>
      </c>
      <c r="D45">
        <v>75.760000000000005</v>
      </c>
      <c r="E45">
        <v>76.099999999999994</v>
      </c>
      <c r="F45">
        <v>6483700</v>
      </c>
      <c r="G45">
        <v>76.099999999999994</v>
      </c>
    </row>
    <row r="46" spans="1:7" x14ac:dyDescent="0.25">
      <c r="A46" s="34">
        <v>41884</v>
      </c>
      <c r="B46">
        <v>75.92</v>
      </c>
      <c r="C46">
        <v>76.08</v>
      </c>
      <c r="D46">
        <v>74.75</v>
      </c>
      <c r="E46">
        <v>75.06</v>
      </c>
      <c r="F46">
        <v>9821500</v>
      </c>
      <c r="G46">
        <v>75.06</v>
      </c>
    </row>
    <row r="47" spans="1:7" x14ac:dyDescent="0.25">
      <c r="A47" s="34">
        <v>41885</v>
      </c>
      <c r="B47">
        <v>75.47</v>
      </c>
      <c r="C47">
        <v>75.72</v>
      </c>
      <c r="D47">
        <v>74.819999999999993</v>
      </c>
      <c r="E47">
        <v>74.89</v>
      </c>
      <c r="F47">
        <v>9791200</v>
      </c>
      <c r="G47">
        <v>74.89</v>
      </c>
    </row>
    <row r="48" spans="1:7" x14ac:dyDescent="0.25">
      <c r="A48" s="34">
        <v>41886</v>
      </c>
      <c r="B48">
        <v>75.22</v>
      </c>
      <c r="C48">
        <v>75.55</v>
      </c>
      <c r="D48">
        <v>74.62</v>
      </c>
      <c r="E48">
        <v>75.11</v>
      </c>
      <c r="F48">
        <v>8412100</v>
      </c>
      <c r="G48">
        <v>75.11</v>
      </c>
    </row>
    <row r="49" spans="1:7" x14ac:dyDescent="0.25">
      <c r="A49" s="34">
        <v>41887</v>
      </c>
      <c r="B49">
        <v>75</v>
      </c>
      <c r="C49">
        <v>75.849999999999994</v>
      </c>
      <c r="D49">
        <v>74.89</v>
      </c>
      <c r="E49">
        <v>75.81</v>
      </c>
      <c r="F49">
        <v>8471600</v>
      </c>
      <c r="G49">
        <v>75.81</v>
      </c>
    </row>
    <row r="50" spans="1:7" x14ac:dyDescent="0.25">
      <c r="A50" s="34">
        <v>41890</v>
      </c>
      <c r="B50">
        <v>75.489999999999995</v>
      </c>
      <c r="C50">
        <v>76.239999999999995</v>
      </c>
      <c r="D50">
        <v>75.489999999999995</v>
      </c>
      <c r="E50">
        <v>75.900000000000006</v>
      </c>
      <c r="F50">
        <v>6281400</v>
      </c>
      <c r="G50">
        <v>75.900000000000006</v>
      </c>
    </row>
    <row r="51" spans="1:7" x14ac:dyDescent="0.25">
      <c r="A51" s="34">
        <v>41891</v>
      </c>
      <c r="B51">
        <v>75.900000000000006</v>
      </c>
      <c r="C51">
        <v>76.11</v>
      </c>
      <c r="D51">
        <v>75.510000000000005</v>
      </c>
      <c r="E51">
        <v>75.84</v>
      </c>
      <c r="F51">
        <v>6266100</v>
      </c>
      <c r="G51">
        <v>75.84</v>
      </c>
    </row>
    <row r="52" spans="1:7" x14ac:dyDescent="0.25">
      <c r="A52" s="34">
        <v>41892</v>
      </c>
      <c r="B52">
        <v>75.8</v>
      </c>
      <c r="C52">
        <v>76.25</v>
      </c>
      <c r="D52">
        <v>75.760000000000005</v>
      </c>
      <c r="E52">
        <v>75.930000000000007</v>
      </c>
      <c r="F52">
        <v>6523400</v>
      </c>
      <c r="G52">
        <v>75.930000000000007</v>
      </c>
    </row>
    <row r="53" spans="1:7" x14ac:dyDescent="0.25">
      <c r="A53" s="34">
        <v>41893</v>
      </c>
      <c r="B53">
        <v>75.58</v>
      </c>
      <c r="C53">
        <v>76.12</v>
      </c>
      <c r="D53">
        <v>75.2</v>
      </c>
      <c r="E53">
        <v>76.11</v>
      </c>
      <c r="F53">
        <v>6898700</v>
      </c>
      <c r="G53">
        <v>76.11</v>
      </c>
    </row>
    <row r="54" spans="1:7" x14ac:dyDescent="0.25">
      <c r="A54" s="34">
        <v>41894</v>
      </c>
      <c r="B54">
        <v>75.8</v>
      </c>
      <c r="C54">
        <v>75.86</v>
      </c>
      <c r="D54">
        <v>75.209999999999994</v>
      </c>
      <c r="E54">
        <v>75.33</v>
      </c>
      <c r="F54">
        <v>8309300</v>
      </c>
      <c r="G54">
        <v>75.33</v>
      </c>
    </row>
    <row r="55" spans="1:7" x14ac:dyDescent="0.25">
      <c r="A55" s="34">
        <v>41897</v>
      </c>
      <c r="B55">
        <v>75.5</v>
      </c>
      <c r="C55">
        <v>75.58</v>
      </c>
      <c r="D55">
        <v>74.989999999999995</v>
      </c>
      <c r="E55">
        <v>75.08</v>
      </c>
      <c r="F55">
        <v>6637300</v>
      </c>
      <c r="G55">
        <v>75.08</v>
      </c>
    </row>
  </sheetData>
  <sortState ref="A3:G55">
    <sortCondition ref="A3:A55"/>
  </sortState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91.67</v>
      </c>
      <c r="C3">
        <v>93.63</v>
      </c>
      <c r="D3">
        <v>90.37</v>
      </c>
      <c r="E3">
        <v>93.1</v>
      </c>
      <c r="F3">
        <v>2129800</v>
      </c>
      <c r="G3">
        <v>92.55</v>
      </c>
    </row>
    <row r="4" spans="1:7" x14ac:dyDescent="0.25">
      <c r="A4" s="34">
        <v>41822</v>
      </c>
      <c r="B4">
        <v>93.1</v>
      </c>
      <c r="C4">
        <v>93.56</v>
      </c>
      <c r="D4">
        <v>92.22</v>
      </c>
      <c r="E4">
        <v>92.47</v>
      </c>
      <c r="F4">
        <v>1136500</v>
      </c>
      <c r="G4">
        <v>91.92</v>
      </c>
    </row>
    <row r="5" spans="1:7" x14ac:dyDescent="0.25">
      <c r="A5" s="34">
        <v>41823</v>
      </c>
      <c r="B5">
        <v>93.39</v>
      </c>
      <c r="C5">
        <v>93.5</v>
      </c>
      <c r="D5">
        <v>92.48</v>
      </c>
      <c r="E5">
        <v>93.22</v>
      </c>
      <c r="F5">
        <v>808800</v>
      </c>
      <c r="G5">
        <v>92.66</v>
      </c>
    </row>
    <row r="6" spans="1:7" x14ac:dyDescent="0.25">
      <c r="A6" s="34">
        <v>41827</v>
      </c>
      <c r="B6">
        <v>93.29</v>
      </c>
      <c r="C6">
        <v>93.39</v>
      </c>
      <c r="D6">
        <v>92.1</v>
      </c>
      <c r="E6">
        <v>92.29</v>
      </c>
      <c r="F6">
        <v>1235900</v>
      </c>
      <c r="G6">
        <v>91.74</v>
      </c>
    </row>
    <row r="7" spans="1:7" x14ac:dyDescent="0.25">
      <c r="A7" s="34">
        <v>41828</v>
      </c>
      <c r="B7">
        <v>92.03</v>
      </c>
      <c r="C7">
        <v>92.22</v>
      </c>
      <c r="D7">
        <v>91.07</v>
      </c>
      <c r="E7">
        <v>91.2</v>
      </c>
      <c r="F7">
        <v>1417300</v>
      </c>
      <c r="G7">
        <v>90.66</v>
      </c>
    </row>
    <row r="8" spans="1:7" x14ac:dyDescent="0.25">
      <c r="A8" s="34">
        <v>41829</v>
      </c>
      <c r="B8">
        <v>91.74</v>
      </c>
      <c r="C8">
        <v>91.87</v>
      </c>
      <c r="D8">
        <v>91</v>
      </c>
      <c r="E8">
        <v>91.86</v>
      </c>
      <c r="F8">
        <v>1547700</v>
      </c>
      <c r="G8">
        <v>91.31</v>
      </c>
    </row>
    <row r="9" spans="1:7" x14ac:dyDescent="0.25">
      <c r="A9" s="34">
        <v>41830</v>
      </c>
      <c r="B9">
        <v>90.75</v>
      </c>
      <c r="C9">
        <v>92.68</v>
      </c>
      <c r="D9">
        <v>90.75</v>
      </c>
      <c r="E9">
        <v>92.1</v>
      </c>
      <c r="F9">
        <v>1523400</v>
      </c>
      <c r="G9">
        <v>91.55</v>
      </c>
    </row>
    <row r="10" spans="1:7" x14ac:dyDescent="0.25">
      <c r="A10" s="34">
        <v>41831</v>
      </c>
      <c r="B10">
        <v>92.13</v>
      </c>
      <c r="C10">
        <v>93.3</v>
      </c>
      <c r="D10">
        <v>91.91</v>
      </c>
      <c r="E10">
        <v>92.96</v>
      </c>
      <c r="F10">
        <v>1515500</v>
      </c>
      <c r="G10">
        <v>92.41</v>
      </c>
    </row>
    <row r="11" spans="1:7" x14ac:dyDescent="0.25">
      <c r="A11" s="34">
        <v>41834</v>
      </c>
      <c r="B11">
        <v>93.39</v>
      </c>
      <c r="C11">
        <v>94.13</v>
      </c>
      <c r="D11">
        <v>93.12</v>
      </c>
      <c r="E11">
        <v>93.96</v>
      </c>
      <c r="F11">
        <v>1763400</v>
      </c>
      <c r="G11">
        <v>93.4</v>
      </c>
    </row>
    <row r="12" spans="1:7" x14ac:dyDescent="0.25">
      <c r="A12" s="34">
        <v>41835</v>
      </c>
      <c r="B12">
        <v>94.06</v>
      </c>
      <c r="C12">
        <v>95.26</v>
      </c>
      <c r="D12">
        <v>93.97</v>
      </c>
      <c r="E12">
        <v>94.56</v>
      </c>
      <c r="F12">
        <v>1583200</v>
      </c>
      <c r="G12">
        <v>94</v>
      </c>
    </row>
    <row r="13" spans="1:7" x14ac:dyDescent="0.25">
      <c r="A13" s="34">
        <v>41836</v>
      </c>
      <c r="B13">
        <v>95.02</v>
      </c>
      <c r="C13">
        <v>95.12</v>
      </c>
      <c r="D13">
        <v>94.11</v>
      </c>
      <c r="E13">
        <v>94.63</v>
      </c>
      <c r="F13">
        <v>1202700</v>
      </c>
      <c r="G13">
        <v>94.07</v>
      </c>
    </row>
    <row r="14" spans="1:7" x14ac:dyDescent="0.25">
      <c r="A14" s="34">
        <v>41837</v>
      </c>
      <c r="B14">
        <v>94.18</v>
      </c>
      <c r="C14">
        <v>95.14</v>
      </c>
      <c r="D14">
        <v>93.64</v>
      </c>
      <c r="E14">
        <v>94.15</v>
      </c>
      <c r="F14">
        <v>1077100</v>
      </c>
      <c r="G14">
        <v>93.59</v>
      </c>
    </row>
    <row r="15" spans="1:7" x14ac:dyDescent="0.25">
      <c r="A15" s="34">
        <v>41838</v>
      </c>
      <c r="B15">
        <v>94.37</v>
      </c>
      <c r="C15">
        <v>94.96</v>
      </c>
      <c r="D15">
        <v>94</v>
      </c>
      <c r="E15">
        <v>94.85</v>
      </c>
      <c r="F15">
        <v>1168700</v>
      </c>
      <c r="G15">
        <v>94.28</v>
      </c>
    </row>
    <row r="16" spans="1:7" x14ac:dyDescent="0.25">
      <c r="A16" s="34">
        <v>41841</v>
      </c>
      <c r="B16">
        <v>94.86</v>
      </c>
      <c r="C16">
        <v>95.98</v>
      </c>
      <c r="D16">
        <v>94.85</v>
      </c>
      <c r="E16">
        <v>95.82</v>
      </c>
      <c r="F16">
        <v>1023300</v>
      </c>
      <c r="G16">
        <v>95.25</v>
      </c>
    </row>
    <row r="17" spans="1:7" x14ac:dyDescent="0.25">
      <c r="A17" s="34">
        <v>41842</v>
      </c>
      <c r="B17">
        <v>96</v>
      </c>
      <c r="C17">
        <v>97.01</v>
      </c>
      <c r="D17">
        <v>95.79</v>
      </c>
      <c r="E17">
        <v>96.86</v>
      </c>
      <c r="F17">
        <v>2307800</v>
      </c>
      <c r="G17">
        <v>96.28</v>
      </c>
    </row>
    <row r="18" spans="1:7" x14ac:dyDescent="0.25">
      <c r="A18" s="34">
        <v>41843</v>
      </c>
      <c r="B18">
        <v>96.4</v>
      </c>
      <c r="C18">
        <v>96.54</v>
      </c>
      <c r="D18">
        <v>95.34</v>
      </c>
      <c r="E18">
        <v>95.37</v>
      </c>
      <c r="F18">
        <v>1674700</v>
      </c>
      <c r="G18">
        <v>94.8</v>
      </c>
    </row>
    <row r="19" spans="1:7" x14ac:dyDescent="0.25">
      <c r="A19" s="34">
        <v>41844</v>
      </c>
      <c r="B19">
        <v>95</v>
      </c>
      <c r="C19">
        <v>95.39</v>
      </c>
      <c r="D19">
        <v>93.48</v>
      </c>
      <c r="E19">
        <v>93.55</v>
      </c>
      <c r="F19">
        <v>2278100</v>
      </c>
      <c r="G19">
        <v>92.99</v>
      </c>
    </row>
    <row r="20" spans="1:7" x14ac:dyDescent="0.25">
      <c r="A20" s="34">
        <v>41845</v>
      </c>
      <c r="B20">
        <v>93.27</v>
      </c>
      <c r="C20">
        <v>93.54</v>
      </c>
      <c r="D20">
        <v>91.97</v>
      </c>
      <c r="E20">
        <v>92.07</v>
      </c>
      <c r="F20">
        <v>1978600</v>
      </c>
      <c r="G20">
        <v>91.52</v>
      </c>
    </row>
    <row r="21" spans="1:7" x14ac:dyDescent="0.25">
      <c r="A21" s="34">
        <v>41848</v>
      </c>
      <c r="B21">
        <v>92.23</v>
      </c>
      <c r="C21">
        <v>93.53</v>
      </c>
      <c r="D21">
        <v>91.56</v>
      </c>
      <c r="E21">
        <v>93.28</v>
      </c>
      <c r="F21">
        <v>1806800</v>
      </c>
      <c r="G21">
        <v>92.72</v>
      </c>
    </row>
    <row r="22" spans="1:7" x14ac:dyDescent="0.25">
      <c r="A22" s="34">
        <v>41849</v>
      </c>
      <c r="B22">
        <v>93.06</v>
      </c>
      <c r="C22">
        <v>93.39</v>
      </c>
      <c r="D22">
        <v>92.49</v>
      </c>
      <c r="E22">
        <v>92.49</v>
      </c>
      <c r="F22">
        <v>1607300</v>
      </c>
      <c r="G22">
        <v>91.94</v>
      </c>
    </row>
    <row r="23" spans="1:7" x14ac:dyDescent="0.25">
      <c r="A23" s="34">
        <v>41850</v>
      </c>
      <c r="B23">
        <v>92.89</v>
      </c>
      <c r="C23">
        <v>93.42</v>
      </c>
      <c r="D23">
        <v>92.06</v>
      </c>
      <c r="E23">
        <v>92.62</v>
      </c>
      <c r="F23">
        <v>1285600</v>
      </c>
      <c r="G23">
        <v>92.07</v>
      </c>
    </row>
    <row r="24" spans="1:7" x14ac:dyDescent="0.25">
      <c r="A24" s="34">
        <v>41851</v>
      </c>
      <c r="B24">
        <v>92.02</v>
      </c>
      <c r="C24">
        <v>92.15</v>
      </c>
      <c r="D24">
        <v>90.76</v>
      </c>
      <c r="E24">
        <v>90.77</v>
      </c>
      <c r="F24">
        <v>1928000</v>
      </c>
      <c r="G24">
        <v>90.23</v>
      </c>
    </row>
    <row r="25" spans="1:7" x14ac:dyDescent="0.25">
      <c r="A25" s="34">
        <v>41852</v>
      </c>
      <c r="B25">
        <v>90.87</v>
      </c>
      <c r="C25">
        <v>92.24</v>
      </c>
      <c r="D25">
        <v>90.87</v>
      </c>
      <c r="E25">
        <v>91.79</v>
      </c>
      <c r="F25">
        <v>1671600</v>
      </c>
      <c r="G25">
        <v>91.24</v>
      </c>
    </row>
    <row r="26" spans="1:7" x14ac:dyDescent="0.25">
      <c r="A26" s="34">
        <v>41855</v>
      </c>
      <c r="B26">
        <v>91.79</v>
      </c>
      <c r="C26">
        <v>92</v>
      </c>
      <c r="D26">
        <v>90.94</v>
      </c>
      <c r="E26">
        <v>91.55</v>
      </c>
      <c r="F26">
        <v>1916800</v>
      </c>
      <c r="G26">
        <v>91</v>
      </c>
    </row>
    <row r="27" spans="1:7" x14ac:dyDescent="0.25">
      <c r="A27" s="34">
        <v>41856</v>
      </c>
      <c r="B27">
        <v>91.21</v>
      </c>
      <c r="C27">
        <v>92.79</v>
      </c>
      <c r="D27">
        <v>90.97</v>
      </c>
      <c r="E27">
        <v>91.57</v>
      </c>
      <c r="F27">
        <v>1473900</v>
      </c>
      <c r="G27">
        <v>91.02</v>
      </c>
    </row>
    <row r="28" spans="1:7" x14ac:dyDescent="0.25">
      <c r="A28" s="34">
        <v>41857</v>
      </c>
      <c r="B28">
        <v>90.49</v>
      </c>
      <c r="C28">
        <v>90.91</v>
      </c>
      <c r="D28">
        <v>89.26</v>
      </c>
      <c r="E28">
        <v>89.52</v>
      </c>
      <c r="F28">
        <v>2271900</v>
      </c>
      <c r="G28">
        <v>88.99</v>
      </c>
    </row>
    <row r="29" spans="1:7" x14ac:dyDescent="0.25">
      <c r="A29" s="34">
        <v>41858</v>
      </c>
      <c r="B29">
        <v>90.26</v>
      </c>
      <c r="C29">
        <v>90.4</v>
      </c>
      <c r="D29">
        <v>89.17</v>
      </c>
      <c r="E29">
        <v>89.43</v>
      </c>
      <c r="F29">
        <v>1537700</v>
      </c>
      <c r="G29">
        <v>88.9</v>
      </c>
    </row>
    <row r="30" spans="1:7" x14ac:dyDescent="0.25">
      <c r="A30" s="34">
        <v>41859</v>
      </c>
      <c r="B30">
        <v>89.73</v>
      </c>
      <c r="C30">
        <v>91.66</v>
      </c>
      <c r="D30">
        <v>89.61</v>
      </c>
      <c r="E30">
        <v>91.61</v>
      </c>
      <c r="F30">
        <v>1450100</v>
      </c>
      <c r="G30">
        <v>91.06</v>
      </c>
    </row>
    <row r="31" spans="1:7" x14ac:dyDescent="0.25">
      <c r="A31" s="34">
        <v>41862</v>
      </c>
      <c r="B31">
        <v>91.96</v>
      </c>
      <c r="C31">
        <v>92.16</v>
      </c>
      <c r="D31">
        <v>91.33</v>
      </c>
      <c r="E31">
        <v>91.41</v>
      </c>
      <c r="F31">
        <v>1210900</v>
      </c>
      <c r="G31">
        <v>90.87</v>
      </c>
    </row>
    <row r="32" spans="1:7" x14ac:dyDescent="0.25">
      <c r="A32" s="34">
        <v>41863</v>
      </c>
      <c r="B32">
        <v>91.58</v>
      </c>
      <c r="C32">
        <v>92.25</v>
      </c>
      <c r="D32">
        <v>91.18</v>
      </c>
      <c r="E32">
        <v>91.38</v>
      </c>
      <c r="F32">
        <v>1092800</v>
      </c>
      <c r="G32">
        <v>90.84</v>
      </c>
    </row>
    <row r="33" spans="1:7" x14ac:dyDescent="0.25">
      <c r="A33" s="34">
        <v>41864</v>
      </c>
      <c r="B33">
        <v>91.74</v>
      </c>
      <c r="C33">
        <v>93.79</v>
      </c>
      <c r="D33">
        <v>91.74</v>
      </c>
      <c r="E33">
        <v>93.64</v>
      </c>
      <c r="F33">
        <v>1392300</v>
      </c>
      <c r="G33">
        <v>93.08</v>
      </c>
    </row>
    <row r="34" spans="1:7" x14ac:dyDescent="0.25">
      <c r="A34" s="34">
        <v>41865</v>
      </c>
      <c r="B34">
        <v>93.53</v>
      </c>
      <c r="C34">
        <v>93.88</v>
      </c>
      <c r="D34">
        <v>93.25</v>
      </c>
      <c r="E34">
        <v>93.41</v>
      </c>
      <c r="F34">
        <v>1206700</v>
      </c>
      <c r="G34">
        <v>92.85</v>
      </c>
    </row>
    <row r="35" spans="1:7" x14ac:dyDescent="0.25">
      <c r="A35" s="34">
        <v>41866</v>
      </c>
      <c r="B35">
        <v>93.72</v>
      </c>
      <c r="C35">
        <v>93.98</v>
      </c>
      <c r="D35">
        <v>92.74</v>
      </c>
      <c r="E35">
        <v>93.45</v>
      </c>
      <c r="F35">
        <v>1144000</v>
      </c>
      <c r="G35">
        <v>92.89</v>
      </c>
    </row>
    <row r="36" spans="1:7" x14ac:dyDescent="0.25">
      <c r="A36" s="34">
        <v>41869</v>
      </c>
      <c r="B36">
        <v>93.9</v>
      </c>
      <c r="C36">
        <v>94.98</v>
      </c>
      <c r="D36">
        <v>93.9</v>
      </c>
      <c r="E36">
        <v>94.8</v>
      </c>
      <c r="F36">
        <v>1070200</v>
      </c>
      <c r="G36">
        <v>94.24</v>
      </c>
    </row>
    <row r="37" spans="1:7" x14ac:dyDescent="0.25">
      <c r="A37" s="34">
        <v>41870</v>
      </c>
      <c r="B37">
        <v>94.64</v>
      </c>
      <c r="C37">
        <v>95.22</v>
      </c>
      <c r="D37">
        <v>94.45</v>
      </c>
      <c r="E37">
        <v>95.06</v>
      </c>
      <c r="F37">
        <v>1495900</v>
      </c>
      <c r="G37">
        <v>94.49</v>
      </c>
    </row>
    <row r="38" spans="1:7" x14ac:dyDescent="0.25">
      <c r="A38" s="34">
        <v>41871</v>
      </c>
      <c r="B38">
        <v>95.2</v>
      </c>
      <c r="C38">
        <v>96.85</v>
      </c>
      <c r="D38">
        <v>94.92</v>
      </c>
      <c r="E38">
        <v>96.66</v>
      </c>
      <c r="F38">
        <v>1829600</v>
      </c>
      <c r="G38">
        <v>96.08</v>
      </c>
    </row>
    <row r="39" spans="1:7" x14ac:dyDescent="0.25">
      <c r="A39" s="34">
        <v>41872</v>
      </c>
      <c r="B39">
        <v>96.74</v>
      </c>
      <c r="C39">
        <v>97</v>
      </c>
      <c r="D39">
        <v>96.42</v>
      </c>
      <c r="E39">
        <v>96.58</v>
      </c>
      <c r="F39">
        <v>975800</v>
      </c>
      <c r="G39">
        <v>96</v>
      </c>
    </row>
    <row r="40" spans="1:7" x14ac:dyDescent="0.25">
      <c r="A40" s="34">
        <v>41873</v>
      </c>
      <c r="B40">
        <v>96.43</v>
      </c>
      <c r="C40">
        <v>97.24</v>
      </c>
      <c r="D40">
        <v>96.35</v>
      </c>
      <c r="E40">
        <v>96.58</v>
      </c>
      <c r="F40">
        <v>842400</v>
      </c>
      <c r="G40">
        <v>96</v>
      </c>
    </row>
    <row r="41" spans="1:7" x14ac:dyDescent="0.25">
      <c r="A41" s="34">
        <v>41876</v>
      </c>
      <c r="B41">
        <v>97</v>
      </c>
      <c r="C41">
        <v>97.21</v>
      </c>
      <c r="D41">
        <v>96.72</v>
      </c>
      <c r="E41">
        <v>97.07</v>
      </c>
      <c r="F41">
        <v>624300</v>
      </c>
      <c r="G41">
        <v>96.49</v>
      </c>
    </row>
    <row r="42" spans="1:7" x14ac:dyDescent="0.25">
      <c r="A42" s="34">
        <v>41877</v>
      </c>
      <c r="B42">
        <v>97.13</v>
      </c>
      <c r="C42">
        <v>97.22</v>
      </c>
      <c r="D42">
        <v>96.58</v>
      </c>
      <c r="E42">
        <v>96.61</v>
      </c>
      <c r="F42">
        <v>697100</v>
      </c>
      <c r="G42">
        <v>96.03</v>
      </c>
    </row>
    <row r="43" spans="1:7" x14ac:dyDescent="0.25">
      <c r="A43" s="34">
        <v>41878</v>
      </c>
      <c r="B43">
        <v>96.71</v>
      </c>
      <c r="C43">
        <v>97</v>
      </c>
      <c r="D43">
        <v>95.94</v>
      </c>
      <c r="E43">
        <v>96.16</v>
      </c>
      <c r="F43">
        <v>1067700</v>
      </c>
      <c r="G43">
        <v>95.59</v>
      </c>
    </row>
    <row r="44" spans="1:7" x14ac:dyDescent="0.25">
      <c r="A44" s="34">
        <v>41879</v>
      </c>
      <c r="B44">
        <v>95.75</v>
      </c>
      <c r="C44">
        <v>96.19</v>
      </c>
      <c r="D44">
        <v>95.5</v>
      </c>
      <c r="E44">
        <v>96.04</v>
      </c>
      <c r="F44">
        <v>1400600</v>
      </c>
      <c r="G44">
        <v>95.47</v>
      </c>
    </row>
    <row r="45" spans="1:7" x14ac:dyDescent="0.25">
      <c r="A45" s="34">
        <v>41880</v>
      </c>
      <c r="B45">
        <v>96.39</v>
      </c>
      <c r="C45">
        <v>96.83</v>
      </c>
      <c r="D45">
        <v>95.9</v>
      </c>
      <c r="E45">
        <v>96.34</v>
      </c>
      <c r="F45">
        <v>1643500</v>
      </c>
      <c r="G45">
        <v>95.77</v>
      </c>
    </row>
    <row r="46" spans="1:7" x14ac:dyDescent="0.25">
      <c r="A46" s="34">
        <v>41884</v>
      </c>
      <c r="B46">
        <v>96.71</v>
      </c>
      <c r="C46">
        <v>96.76</v>
      </c>
      <c r="D46">
        <v>95.91</v>
      </c>
      <c r="E46">
        <v>96.48</v>
      </c>
      <c r="F46">
        <v>2037700</v>
      </c>
      <c r="G46">
        <v>95.91</v>
      </c>
    </row>
    <row r="47" spans="1:7" x14ac:dyDescent="0.25">
      <c r="A47" s="34">
        <v>41885</v>
      </c>
      <c r="B47">
        <v>96.78</v>
      </c>
      <c r="C47">
        <v>96.95</v>
      </c>
      <c r="D47">
        <v>96.21</v>
      </c>
      <c r="E47">
        <v>96.64</v>
      </c>
      <c r="F47">
        <v>2269800</v>
      </c>
      <c r="G47">
        <v>96.06</v>
      </c>
    </row>
    <row r="48" spans="1:7" x14ac:dyDescent="0.25">
      <c r="A48" s="34">
        <v>41886</v>
      </c>
      <c r="B48">
        <v>96.75</v>
      </c>
      <c r="C48">
        <v>97.48</v>
      </c>
      <c r="D48">
        <v>96.64</v>
      </c>
      <c r="E48">
        <v>97.11</v>
      </c>
      <c r="F48">
        <v>2055400</v>
      </c>
      <c r="G48">
        <v>96.53</v>
      </c>
    </row>
    <row r="49" spans="1:7" x14ac:dyDescent="0.25">
      <c r="A49" s="34">
        <v>41887</v>
      </c>
      <c r="B49">
        <v>97.21</v>
      </c>
      <c r="C49">
        <v>97.9</v>
      </c>
      <c r="D49">
        <v>96.99</v>
      </c>
      <c r="E49">
        <v>97.76</v>
      </c>
      <c r="F49">
        <v>2411300</v>
      </c>
      <c r="G49">
        <v>97.18</v>
      </c>
    </row>
    <row r="50" spans="1:7" x14ac:dyDescent="0.25">
      <c r="A50" s="34">
        <v>41890</v>
      </c>
      <c r="B50">
        <v>97.85</v>
      </c>
      <c r="C50">
        <v>98.71</v>
      </c>
      <c r="D50">
        <v>97.8</v>
      </c>
      <c r="E50">
        <v>98.5</v>
      </c>
      <c r="F50">
        <v>1835100</v>
      </c>
      <c r="G50">
        <v>97.91</v>
      </c>
    </row>
    <row r="51" spans="1:7" x14ac:dyDescent="0.25">
      <c r="A51" s="34">
        <v>41891</v>
      </c>
      <c r="B51">
        <v>99.08</v>
      </c>
      <c r="C51">
        <v>99.89</v>
      </c>
      <c r="D51">
        <v>98.75</v>
      </c>
      <c r="E51">
        <v>99.34</v>
      </c>
      <c r="F51">
        <v>1898400</v>
      </c>
      <c r="G51">
        <v>98.75</v>
      </c>
    </row>
    <row r="52" spans="1:7" x14ac:dyDescent="0.25">
      <c r="A52" s="34">
        <v>41892</v>
      </c>
      <c r="B52">
        <v>99.43</v>
      </c>
      <c r="C52">
        <v>101.31</v>
      </c>
      <c r="D52">
        <v>99.23</v>
      </c>
      <c r="E52">
        <v>100.9</v>
      </c>
      <c r="F52">
        <v>3001400</v>
      </c>
      <c r="G52">
        <v>100.3</v>
      </c>
    </row>
    <row r="53" spans="1:7" x14ac:dyDescent="0.25">
      <c r="A53" s="34">
        <v>41893</v>
      </c>
      <c r="B53">
        <v>101.05</v>
      </c>
      <c r="C53">
        <v>101.2</v>
      </c>
      <c r="D53">
        <v>100.53</v>
      </c>
      <c r="E53">
        <v>100.93</v>
      </c>
      <c r="F53">
        <v>2458900</v>
      </c>
      <c r="G53">
        <v>100.33</v>
      </c>
    </row>
    <row r="54" spans="1:7" x14ac:dyDescent="0.25">
      <c r="A54" s="34">
        <v>41894</v>
      </c>
      <c r="B54">
        <v>100.65</v>
      </c>
      <c r="C54">
        <v>101.37</v>
      </c>
      <c r="D54">
        <v>100.32</v>
      </c>
      <c r="E54">
        <v>100.77</v>
      </c>
      <c r="F54">
        <v>1563200</v>
      </c>
      <c r="G54">
        <v>100.17</v>
      </c>
    </row>
    <row r="55" spans="1:7" x14ac:dyDescent="0.25">
      <c r="A55" s="34">
        <v>41897</v>
      </c>
      <c r="B55">
        <v>100.96</v>
      </c>
      <c r="C55">
        <v>101.68</v>
      </c>
      <c r="D55">
        <v>100.44</v>
      </c>
      <c r="E55">
        <v>101.51</v>
      </c>
      <c r="F55">
        <v>1935800</v>
      </c>
      <c r="G55">
        <v>100.91</v>
      </c>
    </row>
  </sheetData>
  <sortState ref="A3:G55">
    <sortCondition ref="A3:A55"/>
  </sortState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77.89</v>
      </c>
      <c r="C3">
        <v>78.2</v>
      </c>
      <c r="D3">
        <v>77.599999999999994</v>
      </c>
      <c r="E3">
        <v>78.08</v>
      </c>
      <c r="F3">
        <v>4030700</v>
      </c>
      <c r="G3">
        <v>77.819999999999993</v>
      </c>
    </row>
    <row r="4" spans="1:7" x14ac:dyDescent="0.25">
      <c r="A4" s="34">
        <v>41822</v>
      </c>
      <c r="B4">
        <v>78.38</v>
      </c>
      <c r="C4">
        <v>78.41</v>
      </c>
      <c r="D4">
        <v>77.91</v>
      </c>
      <c r="E4">
        <v>78.19</v>
      </c>
      <c r="F4">
        <v>2392600</v>
      </c>
      <c r="G4">
        <v>77.930000000000007</v>
      </c>
    </row>
    <row r="5" spans="1:7" x14ac:dyDescent="0.25">
      <c r="A5" s="34">
        <v>41823</v>
      </c>
      <c r="B5">
        <v>78.39</v>
      </c>
      <c r="C5">
        <v>79.400000000000006</v>
      </c>
      <c r="D5">
        <v>78.14</v>
      </c>
      <c r="E5">
        <v>79.06</v>
      </c>
      <c r="F5">
        <v>3331300</v>
      </c>
      <c r="G5">
        <v>78.790000000000006</v>
      </c>
    </row>
    <row r="6" spans="1:7" x14ac:dyDescent="0.25">
      <c r="A6" s="34">
        <v>41827</v>
      </c>
      <c r="B6">
        <v>78.78</v>
      </c>
      <c r="C6">
        <v>79.38</v>
      </c>
      <c r="D6">
        <v>78.61</v>
      </c>
      <c r="E6">
        <v>78.69</v>
      </c>
      <c r="F6">
        <v>3721800</v>
      </c>
      <c r="G6">
        <v>78.430000000000007</v>
      </c>
    </row>
    <row r="7" spans="1:7" x14ac:dyDescent="0.25">
      <c r="A7" s="34">
        <v>41828</v>
      </c>
      <c r="B7">
        <v>78.64</v>
      </c>
      <c r="C7">
        <v>78.900000000000006</v>
      </c>
      <c r="D7">
        <v>78.25</v>
      </c>
      <c r="E7">
        <v>78.56</v>
      </c>
      <c r="F7">
        <v>3901000</v>
      </c>
      <c r="G7">
        <v>78.3</v>
      </c>
    </row>
    <row r="8" spans="1:7" x14ac:dyDescent="0.25">
      <c r="A8" s="34">
        <v>41829</v>
      </c>
      <c r="B8">
        <v>78.540000000000006</v>
      </c>
      <c r="C8">
        <v>79.48</v>
      </c>
      <c r="D8">
        <v>78.36</v>
      </c>
      <c r="E8">
        <v>79.45</v>
      </c>
      <c r="F8">
        <v>3891300</v>
      </c>
      <c r="G8">
        <v>79.180000000000007</v>
      </c>
    </row>
    <row r="9" spans="1:7" x14ac:dyDescent="0.25">
      <c r="A9" s="34">
        <v>41830</v>
      </c>
      <c r="B9">
        <v>78.61</v>
      </c>
      <c r="C9">
        <v>79.05</v>
      </c>
      <c r="D9">
        <v>78.19</v>
      </c>
      <c r="E9">
        <v>78.849999999999994</v>
      </c>
      <c r="F9">
        <v>2360000</v>
      </c>
      <c r="G9">
        <v>78.59</v>
      </c>
    </row>
    <row r="10" spans="1:7" x14ac:dyDescent="0.25">
      <c r="A10" s="34">
        <v>41831</v>
      </c>
      <c r="B10">
        <v>78.959999999999994</v>
      </c>
      <c r="C10">
        <v>78.989999999999995</v>
      </c>
      <c r="D10">
        <v>78.14</v>
      </c>
      <c r="E10">
        <v>78.599999999999994</v>
      </c>
      <c r="F10">
        <v>2119700</v>
      </c>
      <c r="G10">
        <v>78.34</v>
      </c>
    </row>
    <row r="11" spans="1:7" x14ac:dyDescent="0.25">
      <c r="A11" s="34">
        <v>41834</v>
      </c>
      <c r="B11">
        <v>78.98</v>
      </c>
      <c r="C11">
        <v>78.98</v>
      </c>
      <c r="D11">
        <v>78.42</v>
      </c>
      <c r="E11">
        <v>78.56</v>
      </c>
      <c r="F11">
        <v>2281000</v>
      </c>
      <c r="G11">
        <v>78.3</v>
      </c>
    </row>
    <row r="12" spans="1:7" x14ac:dyDescent="0.25">
      <c r="A12" s="34">
        <v>41835</v>
      </c>
      <c r="B12">
        <v>78.650000000000006</v>
      </c>
      <c r="C12">
        <v>79.150000000000006</v>
      </c>
      <c r="D12">
        <v>78.459999999999994</v>
      </c>
      <c r="E12">
        <v>78.89</v>
      </c>
      <c r="F12">
        <v>4152800</v>
      </c>
      <c r="G12">
        <v>78.63</v>
      </c>
    </row>
    <row r="13" spans="1:7" x14ac:dyDescent="0.25">
      <c r="A13" s="34">
        <v>41836</v>
      </c>
      <c r="B13">
        <v>79.06</v>
      </c>
      <c r="C13">
        <v>79.06</v>
      </c>
      <c r="D13">
        <v>78.31</v>
      </c>
      <c r="E13">
        <v>78.73</v>
      </c>
      <c r="F13">
        <v>4367100</v>
      </c>
      <c r="G13">
        <v>78.47</v>
      </c>
    </row>
    <row r="14" spans="1:7" x14ac:dyDescent="0.25">
      <c r="A14" s="34">
        <v>41837</v>
      </c>
      <c r="B14">
        <v>78.12</v>
      </c>
      <c r="C14">
        <v>78.459999999999994</v>
      </c>
      <c r="D14">
        <v>77.12</v>
      </c>
      <c r="E14">
        <v>77.239999999999995</v>
      </c>
      <c r="F14">
        <v>4223200</v>
      </c>
      <c r="G14">
        <v>76.98</v>
      </c>
    </row>
    <row r="15" spans="1:7" x14ac:dyDescent="0.25">
      <c r="A15" s="34">
        <v>41838</v>
      </c>
      <c r="B15">
        <v>77.7</v>
      </c>
      <c r="C15">
        <v>78.150000000000006</v>
      </c>
      <c r="D15">
        <v>77.25</v>
      </c>
      <c r="E15">
        <v>77.94</v>
      </c>
      <c r="F15">
        <v>3372300</v>
      </c>
      <c r="G15">
        <v>77.680000000000007</v>
      </c>
    </row>
    <row r="16" spans="1:7" x14ac:dyDescent="0.25">
      <c r="A16" s="34">
        <v>41841</v>
      </c>
      <c r="B16">
        <v>77.86</v>
      </c>
      <c r="C16">
        <v>77.930000000000007</v>
      </c>
      <c r="D16">
        <v>77.17</v>
      </c>
      <c r="E16">
        <v>77.61</v>
      </c>
      <c r="F16">
        <v>2510500</v>
      </c>
      <c r="G16">
        <v>77.349999999999994</v>
      </c>
    </row>
    <row r="17" spans="1:7" x14ac:dyDescent="0.25">
      <c r="A17" s="34">
        <v>41842</v>
      </c>
      <c r="B17">
        <v>78.33</v>
      </c>
      <c r="C17">
        <v>79.03</v>
      </c>
      <c r="D17">
        <v>78.2</v>
      </c>
      <c r="E17">
        <v>78.739999999999995</v>
      </c>
      <c r="F17">
        <v>3228500</v>
      </c>
      <c r="G17">
        <v>78.48</v>
      </c>
    </row>
    <row r="18" spans="1:7" x14ac:dyDescent="0.25">
      <c r="A18" s="34">
        <v>41843</v>
      </c>
      <c r="B18">
        <v>78.510000000000005</v>
      </c>
      <c r="C18">
        <v>79.28</v>
      </c>
      <c r="D18">
        <v>78.400000000000006</v>
      </c>
      <c r="E18">
        <v>79.14</v>
      </c>
      <c r="F18">
        <v>3219900</v>
      </c>
      <c r="G18">
        <v>78.87</v>
      </c>
    </row>
    <row r="19" spans="1:7" x14ac:dyDescent="0.25">
      <c r="A19" s="34">
        <v>41844</v>
      </c>
      <c r="B19">
        <v>79.59</v>
      </c>
      <c r="C19">
        <v>80.64</v>
      </c>
      <c r="D19">
        <v>79.150000000000006</v>
      </c>
      <c r="E19">
        <v>80.45</v>
      </c>
      <c r="F19">
        <v>8064600</v>
      </c>
      <c r="G19">
        <v>80.180000000000007</v>
      </c>
    </row>
    <row r="20" spans="1:7" x14ac:dyDescent="0.25">
      <c r="A20" s="34">
        <v>41845</v>
      </c>
      <c r="B20">
        <v>78.400000000000006</v>
      </c>
      <c r="C20">
        <v>79.319999999999993</v>
      </c>
      <c r="D20">
        <v>77.900000000000006</v>
      </c>
      <c r="E20">
        <v>78.739999999999995</v>
      </c>
      <c r="F20">
        <v>9487300</v>
      </c>
      <c r="G20">
        <v>78.48</v>
      </c>
    </row>
    <row r="21" spans="1:7" x14ac:dyDescent="0.25">
      <c r="A21" s="34">
        <v>41848</v>
      </c>
      <c r="B21">
        <v>78.8</v>
      </c>
      <c r="C21">
        <v>79</v>
      </c>
      <c r="D21">
        <v>78.17</v>
      </c>
      <c r="E21">
        <v>78.36</v>
      </c>
      <c r="F21">
        <v>4006500</v>
      </c>
      <c r="G21">
        <v>78.099999999999994</v>
      </c>
    </row>
    <row r="22" spans="1:7" x14ac:dyDescent="0.25">
      <c r="A22" s="34">
        <v>41849</v>
      </c>
      <c r="B22">
        <v>78.489999999999995</v>
      </c>
      <c r="C22">
        <v>79.25</v>
      </c>
      <c r="D22">
        <v>78.41</v>
      </c>
      <c r="E22">
        <v>78.650000000000006</v>
      </c>
      <c r="F22">
        <v>3968000</v>
      </c>
      <c r="G22">
        <v>78.39</v>
      </c>
    </row>
    <row r="23" spans="1:7" x14ac:dyDescent="0.25">
      <c r="A23" s="34">
        <v>41850</v>
      </c>
      <c r="B23">
        <v>79</v>
      </c>
      <c r="C23">
        <v>79.180000000000007</v>
      </c>
      <c r="D23">
        <v>78.52</v>
      </c>
      <c r="E23">
        <v>78.900000000000006</v>
      </c>
      <c r="F23">
        <v>4455500</v>
      </c>
      <c r="G23">
        <v>78.64</v>
      </c>
    </row>
    <row r="24" spans="1:7" x14ac:dyDescent="0.25">
      <c r="A24" s="34">
        <v>41851</v>
      </c>
      <c r="B24">
        <v>78.52</v>
      </c>
      <c r="C24">
        <v>78.7</v>
      </c>
      <c r="D24">
        <v>77.52</v>
      </c>
      <c r="E24">
        <v>77.680000000000007</v>
      </c>
      <c r="F24">
        <v>4073000</v>
      </c>
      <c r="G24">
        <v>77.42</v>
      </c>
    </row>
    <row r="25" spans="1:7" x14ac:dyDescent="0.25">
      <c r="A25" s="34">
        <v>41852</v>
      </c>
      <c r="B25">
        <v>77.5</v>
      </c>
      <c r="C25">
        <v>77.89</v>
      </c>
      <c r="D25">
        <v>76.58</v>
      </c>
      <c r="E25">
        <v>76.98</v>
      </c>
      <c r="F25">
        <v>3898900</v>
      </c>
      <c r="G25">
        <v>76.72</v>
      </c>
    </row>
    <row r="26" spans="1:7" x14ac:dyDescent="0.25">
      <c r="A26" s="34">
        <v>41855</v>
      </c>
      <c r="B26">
        <v>77.260000000000005</v>
      </c>
      <c r="C26">
        <v>77.760000000000005</v>
      </c>
      <c r="D26">
        <v>77.03</v>
      </c>
      <c r="E26">
        <v>77.53</v>
      </c>
      <c r="F26">
        <v>3141300</v>
      </c>
      <c r="G26">
        <v>77.27</v>
      </c>
    </row>
    <row r="27" spans="1:7" x14ac:dyDescent="0.25">
      <c r="A27" s="34">
        <v>41856</v>
      </c>
      <c r="B27">
        <v>77.17</v>
      </c>
      <c r="C27">
        <v>77.459999999999994</v>
      </c>
      <c r="D27">
        <v>76.430000000000007</v>
      </c>
      <c r="E27">
        <v>76.790000000000006</v>
      </c>
      <c r="F27">
        <v>3347300</v>
      </c>
      <c r="G27">
        <v>76.790000000000006</v>
      </c>
    </row>
    <row r="28" spans="1:7" x14ac:dyDescent="0.25">
      <c r="A28" s="34">
        <v>41857</v>
      </c>
      <c r="B28">
        <v>76.5</v>
      </c>
      <c r="C28">
        <v>77.44</v>
      </c>
      <c r="D28">
        <v>76.27</v>
      </c>
      <c r="E28">
        <v>77.13</v>
      </c>
      <c r="F28">
        <v>2967600</v>
      </c>
      <c r="G28">
        <v>77.13</v>
      </c>
    </row>
    <row r="29" spans="1:7" x14ac:dyDescent="0.25">
      <c r="A29" s="34">
        <v>41858</v>
      </c>
      <c r="B29">
        <v>77.33</v>
      </c>
      <c r="C29">
        <v>77.44</v>
      </c>
      <c r="D29">
        <v>76.56</v>
      </c>
      <c r="E29">
        <v>76.709999999999994</v>
      </c>
      <c r="F29">
        <v>2714000</v>
      </c>
      <c r="G29">
        <v>76.709999999999994</v>
      </c>
    </row>
    <row r="30" spans="1:7" x14ac:dyDescent="0.25">
      <c r="A30" s="34">
        <v>41859</v>
      </c>
      <c r="B30">
        <v>76.63</v>
      </c>
      <c r="C30">
        <v>77.67</v>
      </c>
      <c r="D30">
        <v>76.510000000000005</v>
      </c>
      <c r="E30">
        <v>77.62</v>
      </c>
      <c r="F30">
        <v>2978600</v>
      </c>
      <c r="G30">
        <v>77.62</v>
      </c>
    </row>
    <row r="31" spans="1:7" x14ac:dyDescent="0.25">
      <c r="A31" s="34">
        <v>41862</v>
      </c>
      <c r="B31">
        <v>77.67</v>
      </c>
      <c r="C31">
        <v>78.25</v>
      </c>
      <c r="D31">
        <v>77.650000000000006</v>
      </c>
      <c r="E31">
        <v>77.87</v>
      </c>
      <c r="F31">
        <v>2256700</v>
      </c>
      <c r="G31">
        <v>77.87</v>
      </c>
    </row>
    <row r="32" spans="1:7" x14ac:dyDescent="0.25">
      <c r="A32" s="34">
        <v>41863</v>
      </c>
      <c r="B32">
        <v>77.87</v>
      </c>
      <c r="C32">
        <v>78.14</v>
      </c>
      <c r="D32">
        <v>77.52</v>
      </c>
      <c r="E32">
        <v>77.819999999999993</v>
      </c>
      <c r="F32">
        <v>2361800</v>
      </c>
      <c r="G32">
        <v>77.819999999999993</v>
      </c>
    </row>
    <row r="33" spans="1:7" x14ac:dyDescent="0.25">
      <c r="A33" s="34">
        <v>41864</v>
      </c>
      <c r="B33">
        <v>78.099999999999994</v>
      </c>
      <c r="C33">
        <v>78.099999999999994</v>
      </c>
      <c r="D33">
        <v>77.13</v>
      </c>
      <c r="E33">
        <v>77.239999999999995</v>
      </c>
      <c r="F33">
        <v>3467600</v>
      </c>
      <c r="G33">
        <v>77.239999999999995</v>
      </c>
    </row>
    <row r="34" spans="1:7" x14ac:dyDescent="0.25">
      <c r="A34" s="34">
        <v>41865</v>
      </c>
      <c r="B34">
        <v>77.48</v>
      </c>
      <c r="C34">
        <v>77.5</v>
      </c>
      <c r="D34">
        <v>76.16</v>
      </c>
      <c r="E34">
        <v>76.62</v>
      </c>
      <c r="F34">
        <v>5445000</v>
      </c>
      <c r="G34">
        <v>76.62</v>
      </c>
    </row>
    <row r="35" spans="1:7" x14ac:dyDescent="0.25">
      <c r="A35" s="34">
        <v>41866</v>
      </c>
      <c r="B35">
        <v>77.22</v>
      </c>
      <c r="C35">
        <v>77.28</v>
      </c>
      <c r="D35">
        <v>76.37</v>
      </c>
      <c r="E35">
        <v>76.91</v>
      </c>
      <c r="F35">
        <v>4045000</v>
      </c>
      <c r="G35">
        <v>76.91</v>
      </c>
    </row>
    <row r="36" spans="1:7" x14ac:dyDescent="0.25">
      <c r="A36" s="34">
        <v>41869</v>
      </c>
      <c r="B36">
        <v>77.19</v>
      </c>
      <c r="C36">
        <v>77.86</v>
      </c>
      <c r="D36">
        <v>77.180000000000007</v>
      </c>
      <c r="E36">
        <v>77.59</v>
      </c>
      <c r="F36">
        <v>3415400</v>
      </c>
      <c r="G36">
        <v>77.59</v>
      </c>
    </row>
    <row r="37" spans="1:7" x14ac:dyDescent="0.25">
      <c r="A37" s="34">
        <v>41870</v>
      </c>
      <c r="B37">
        <v>77.8</v>
      </c>
      <c r="C37">
        <v>78.2</v>
      </c>
      <c r="D37">
        <v>77.599999999999994</v>
      </c>
      <c r="E37">
        <v>78.12</v>
      </c>
      <c r="F37">
        <v>2453500</v>
      </c>
      <c r="G37">
        <v>78.12</v>
      </c>
    </row>
    <row r="38" spans="1:7" x14ac:dyDescent="0.25">
      <c r="A38" s="34">
        <v>41871</v>
      </c>
      <c r="B38">
        <v>78.010000000000005</v>
      </c>
      <c r="C38">
        <v>78.47</v>
      </c>
      <c r="D38">
        <v>77.739999999999995</v>
      </c>
      <c r="E38">
        <v>78.03</v>
      </c>
      <c r="F38">
        <v>2334400</v>
      </c>
      <c r="G38">
        <v>78.03</v>
      </c>
    </row>
    <row r="39" spans="1:7" x14ac:dyDescent="0.25">
      <c r="A39" s="34">
        <v>41872</v>
      </c>
      <c r="B39">
        <v>77.81</v>
      </c>
      <c r="C39">
        <v>78.17</v>
      </c>
      <c r="D39">
        <v>77.39</v>
      </c>
      <c r="E39">
        <v>77.47</v>
      </c>
      <c r="F39">
        <v>2394700</v>
      </c>
      <c r="G39">
        <v>77.47</v>
      </c>
    </row>
    <row r="40" spans="1:7" x14ac:dyDescent="0.25">
      <c r="A40" s="34">
        <v>41873</v>
      </c>
      <c r="B40">
        <v>77.239999999999995</v>
      </c>
      <c r="C40">
        <v>77.599999999999994</v>
      </c>
      <c r="D40">
        <v>77.05</v>
      </c>
      <c r="E40">
        <v>77.28</v>
      </c>
      <c r="F40">
        <v>2269400</v>
      </c>
      <c r="G40">
        <v>77.28</v>
      </c>
    </row>
    <row r="41" spans="1:7" x14ac:dyDescent="0.25">
      <c r="A41" s="34">
        <v>41876</v>
      </c>
      <c r="B41">
        <v>77.64</v>
      </c>
      <c r="C41">
        <v>78.22</v>
      </c>
      <c r="D41">
        <v>77.510000000000005</v>
      </c>
      <c r="E41">
        <v>77.97</v>
      </c>
      <c r="F41">
        <v>2837900</v>
      </c>
      <c r="G41">
        <v>77.97</v>
      </c>
    </row>
    <row r="42" spans="1:7" x14ac:dyDescent="0.25">
      <c r="A42" s="34">
        <v>41877</v>
      </c>
      <c r="B42">
        <v>78.010000000000005</v>
      </c>
      <c r="C42">
        <v>78.430000000000007</v>
      </c>
      <c r="D42">
        <v>77.760000000000005</v>
      </c>
      <c r="E42">
        <v>77.790000000000006</v>
      </c>
      <c r="F42">
        <v>2750800</v>
      </c>
      <c r="G42">
        <v>77.790000000000006</v>
      </c>
    </row>
    <row r="43" spans="1:7" x14ac:dyDescent="0.25">
      <c r="A43" s="34">
        <v>41878</v>
      </c>
      <c r="B43">
        <v>77.91</v>
      </c>
      <c r="C43">
        <v>78.27</v>
      </c>
      <c r="D43">
        <v>77.66</v>
      </c>
      <c r="E43">
        <v>77.92</v>
      </c>
      <c r="F43">
        <v>2451800</v>
      </c>
      <c r="G43">
        <v>77.92</v>
      </c>
    </row>
    <row r="44" spans="1:7" x14ac:dyDescent="0.25">
      <c r="A44" s="34">
        <v>41879</v>
      </c>
      <c r="B44">
        <v>77.790000000000006</v>
      </c>
      <c r="C44">
        <v>78.03</v>
      </c>
      <c r="D44">
        <v>77.510000000000005</v>
      </c>
      <c r="E44">
        <v>77.81</v>
      </c>
      <c r="F44">
        <v>1978400</v>
      </c>
      <c r="G44">
        <v>77.81</v>
      </c>
    </row>
    <row r="45" spans="1:7" x14ac:dyDescent="0.25">
      <c r="A45" s="34">
        <v>41880</v>
      </c>
      <c r="B45">
        <v>78.069999999999993</v>
      </c>
      <c r="C45">
        <v>78.099999999999994</v>
      </c>
      <c r="D45">
        <v>77.52</v>
      </c>
      <c r="E45">
        <v>77.81</v>
      </c>
      <c r="F45">
        <v>2328700</v>
      </c>
      <c r="G45">
        <v>77.81</v>
      </c>
    </row>
    <row r="46" spans="1:7" x14ac:dyDescent="0.25">
      <c r="A46" s="34">
        <v>41884</v>
      </c>
      <c r="B46">
        <v>77.7</v>
      </c>
      <c r="C46">
        <v>77.98</v>
      </c>
      <c r="D46">
        <v>77.16</v>
      </c>
      <c r="E46">
        <v>77.48</v>
      </c>
      <c r="F46">
        <v>3098100</v>
      </c>
      <c r="G46">
        <v>77.48</v>
      </c>
    </row>
    <row r="47" spans="1:7" x14ac:dyDescent="0.25">
      <c r="A47" s="34">
        <v>41885</v>
      </c>
      <c r="B47">
        <v>77.56</v>
      </c>
      <c r="C47">
        <v>77.930000000000007</v>
      </c>
      <c r="D47">
        <v>76.7</v>
      </c>
      <c r="E47">
        <v>76.790000000000006</v>
      </c>
      <c r="F47">
        <v>3388100</v>
      </c>
      <c r="G47">
        <v>76.790000000000006</v>
      </c>
    </row>
    <row r="48" spans="1:7" x14ac:dyDescent="0.25">
      <c r="A48" s="34">
        <v>41886</v>
      </c>
      <c r="B48">
        <v>76.8</v>
      </c>
      <c r="C48">
        <v>77.37</v>
      </c>
      <c r="D48">
        <v>76.760000000000005</v>
      </c>
      <c r="E48">
        <v>77.16</v>
      </c>
      <c r="F48">
        <v>2870500</v>
      </c>
      <c r="G48">
        <v>77.16</v>
      </c>
    </row>
    <row r="49" spans="1:7" x14ac:dyDescent="0.25">
      <c r="A49" s="34">
        <v>41887</v>
      </c>
      <c r="B49">
        <v>77.010000000000005</v>
      </c>
      <c r="C49">
        <v>77.97</v>
      </c>
      <c r="D49">
        <v>76.81</v>
      </c>
      <c r="E49">
        <v>77.95</v>
      </c>
      <c r="F49">
        <v>4002500</v>
      </c>
      <c r="G49">
        <v>77.95</v>
      </c>
    </row>
    <row r="50" spans="1:7" x14ac:dyDescent="0.25">
      <c r="A50" s="34">
        <v>41890</v>
      </c>
      <c r="B50">
        <v>77.760000000000005</v>
      </c>
      <c r="C50">
        <v>77.959999999999994</v>
      </c>
      <c r="D50">
        <v>77.33</v>
      </c>
      <c r="E50">
        <v>77.67</v>
      </c>
      <c r="F50">
        <v>2246400</v>
      </c>
      <c r="G50">
        <v>77.67</v>
      </c>
    </row>
    <row r="51" spans="1:7" x14ac:dyDescent="0.25">
      <c r="A51" s="34">
        <v>41891</v>
      </c>
      <c r="B51">
        <v>77.45</v>
      </c>
      <c r="C51">
        <v>77.75</v>
      </c>
      <c r="D51">
        <v>76.98</v>
      </c>
      <c r="E51">
        <v>77.12</v>
      </c>
      <c r="F51">
        <v>2544800</v>
      </c>
      <c r="G51">
        <v>77.12</v>
      </c>
    </row>
    <row r="52" spans="1:7" x14ac:dyDescent="0.25">
      <c r="A52" s="34">
        <v>41892</v>
      </c>
      <c r="B52">
        <v>77.010000000000005</v>
      </c>
      <c r="C52">
        <v>77.400000000000006</v>
      </c>
      <c r="D52">
        <v>76.75</v>
      </c>
      <c r="E52">
        <v>77.209999999999994</v>
      </c>
      <c r="F52">
        <v>2959300</v>
      </c>
      <c r="G52">
        <v>77.209999999999994</v>
      </c>
    </row>
    <row r="53" spans="1:7" x14ac:dyDescent="0.25">
      <c r="A53" s="34">
        <v>41893</v>
      </c>
      <c r="B53">
        <v>76.98</v>
      </c>
      <c r="C53">
        <v>77</v>
      </c>
      <c r="D53">
        <v>76.08</v>
      </c>
      <c r="E53">
        <v>76.12</v>
      </c>
      <c r="F53">
        <v>4676700</v>
      </c>
      <c r="G53">
        <v>76.12</v>
      </c>
    </row>
    <row r="54" spans="1:7" x14ac:dyDescent="0.25">
      <c r="A54" s="34">
        <v>41894</v>
      </c>
      <c r="B54">
        <v>75.83</v>
      </c>
      <c r="C54">
        <v>76.069999999999993</v>
      </c>
      <c r="D54">
        <v>74.94</v>
      </c>
      <c r="E54">
        <v>75.47</v>
      </c>
      <c r="F54">
        <v>7307400</v>
      </c>
      <c r="G54">
        <v>75.47</v>
      </c>
    </row>
    <row r="55" spans="1:7" x14ac:dyDescent="0.25">
      <c r="A55" s="34">
        <v>41897</v>
      </c>
      <c r="B55">
        <v>75.260000000000005</v>
      </c>
      <c r="C55">
        <v>75.34</v>
      </c>
      <c r="D55">
        <v>74.39</v>
      </c>
      <c r="E55">
        <v>74.92</v>
      </c>
      <c r="F55">
        <v>5412800</v>
      </c>
      <c r="G55">
        <v>74.92</v>
      </c>
    </row>
  </sheetData>
  <sortState ref="A3:G55">
    <sortCondition ref="A3:A55"/>
  </sortState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118.3</v>
      </c>
      <c r="C3">
        <v>118.76</v>
      </c>
      <c r="D3">
        <v>117.35</v>
      </c>
      <c r="E3">
        <v>117.85</v>
      </c>
      <c r="F3">
        <v>6644900</v>
      </c>
      <c r="G3">
        <v>117.42</v>
      </c>
    </row>
    <row r="4" spans="1:7" x14ac:dyDescent="0.25">
      <c r="A4" s="34">
        <v>41822</v>
      </c>
      <c r="B4">
        <v>117.98</v>
      </c>
      <c r="C4">
        <v>118.25</v>
      </c>
      <c r="D4">
        <v>117.19</v>
      </c>
      <c r="E4">
        <v>117.73</v>
      </c>
      <c r="F4">
        <v>4321100</v>
      </c>
      <c r="G4">
        <v>117.3</v>
      </c>
    </row>
    <row r="5" spans="1:7" x14ac:dyDescent="0.25">
      <c r="A5" s="34">
        <v>41823</v>
      </c>
      <c r="B5">
        <v>117.74</v>
      </c>
      <c r="C5">
        <v>117.94</v>
      </c>
      <c r="D5">
        <v>116.38</v>
      </c>
      <c r="E5">
        <v>117.5</v>
      </c>
      <c r="F5">
        <v>3574000</v>
      </c>
      <c r="G5">
        <v>117.07</v>
      </c>
    </row>
    <row r="6" spans="1:7" x14ac:dyDescent="0.25">
      <c r="A6" s="34">
        <v>41827</v>
      </c>
      <c r="B6">
        <v>117.34</v>
      </c>
      <c r="C6">
        <v>117.63</v>
      </c>
      <c r="D6">
        <v>116.71</v>
      </c>
      <c r="E6">
        <v>117.43</v>
      </c>
      <c r="F6">
        <v>4887400</v>
      </c>
      <c r="G6">
        <v>117</v>
      </c>
    </row>
    <row r="7" spans="1:7" x14ac:dyDescent="0.25">
      <c r="A7" s="34">
        <v>41828</v>
      </c>
      <c r="B7">
        <v>117.05</v>
      </c>
      <c r="C7">
        <v>117.35</v>
      </c>
      <c r="D7">
        <v>116.24</v>
      </c>
      <c r="E7">
        <v>116.75</v>
      </c>
      <c r="F7">
        <v>6460900</v>
      </c>
      <c r="G7">
        <v>116.33</v>
      </c>
    </row>
    <row r="8" spans="1:7" x14ac:dyDescent="0.25">
      <c r="A8" s="34">
        <v>41829</v>
      </c>
      <c r="B8">
        <v>117.27</v>
      </c>
      <c r="C8">
        <v>117.32</v>
      </c>
      <c r="D8">
        <v>116.14</v>
      </c>
      <c r="E8">
        <v>116.96</v>
      </c>
      <c r="F8">
        <v>6769500</v>
      </c>
      <c r="G8">
        <v>116.54</v>
      </c>
    </row>
    <row r="9" spans="1:7" x14ac:dyDescent="0.25">
      <c r="A9" s="34">
        <v>41830</v>
      </c>
      <c r="B9">
        <v>115.84</v>
      </c>
      <c r="C9">
        <v>116.38</v>
      </c>
      <c r="D9">
        <v>114.8</v>
      </c>
      <c r="E9">
        <v>115.4</v>
      </c>
      <c r="F9">
        <v>5112800</v>
      </c>
      <c r="G9">
        <v>114.98</v>
      </c>
    </row>
    <row r="10" spans="1:7" x14ac:dyDescent="0.25">
      <c r="A10" s="34">
        <v>41831</v>
      </c>
      <c r="B10">
        <v>115.31</v>
      </c>
      <c r="C10">
        <v>115.46</v>
      </c>
      <c r="D10">
        <v>114.13</v>
      </c>
      <c r="E10">
        <v>114.7</v>
      </c>
      <c r="F10">
        <v>4831900</v>
      </c>
      <c r="G10">
        <v>114.28</v>
      </c>
    </row>
    <row r="11" spans="1:7" x14ac:dyDescent="0.25">
      <c r="A11" s="34">
        <v>41834</v>
      </c>
      <c r="B11">
        <v>114.82</v>
      </c>
      <c r="C11">
        <v>116.06</v>
      </c>
      <c r="D11">
        <v>114.73</v>
      </c>
      <c r="E11">
        <v>115.94</v>
      </c>
      <c r="F11">
        <v>5160000</v>
      </c>
      <c r="G11">
        <v>115.52</v>
      </c>
    </row>
    <row r="12" spans="1:7" x14ac:dyDescent="0.25">
      <c r="A12" s="34">
        <v>41835</v>
      </c>
      <c r="B12">
        <v>114.45</v>
      </c>
      <c r="C12">
        <v>115.76</v>
      </c>
      <c r="D12">
        <v>113.55</v>
      </c>
      <c r="E12">
        <v>114.46</v>
      </c>
      <c r="F12">
        <v>6472400</v>
      </c>
      <c r="G12">
        <v>114.04</v>
      </c>
    </row>
    <row r="13" spans="1:7" x14ac:dyDescent="0.25">
      <c r="A13" s="34">
        <v>41836</v>
      </c>
      <c r="B13">
        <v>115</v>
      </c>
      <c r="C13">
        <v>115.9</v>
      </c>
      <c r="D13">
        <v>114.31</v>
      </c>
      <c r="E13">
        <v>115.88</v>
      </c>
      <c r="F13">
        <v>5303200</v>
      </c>
      <c r="G13">
        <v>115.46</v>
      </c>
    </row>
    <row r="14" spans="1:7" x14ac:dyDescent="0.25">
      <c r="A14" s="34">
        <v>41837</v>
      </c>
      <c r="B14">
        <v>115.65</v>
      </c>
      <c r="C14">
        <v>115.65</v>
      </c>
      <c r="D14">
        <v>114</v>
      </c>
      <c r="E14">
        <v>114.64</v>
      </c>
      <c r="F14">
        <v>5348000</v>
      </c>
      <c r="G14">
        <v>114.22</v>
      </c>
    </row>
    <row r="15" spans="1:7" x14ac:dyDescent="0.25">
      <c r="A15" s="34">
        <v>41838</v>
      </c>
      <c r="B15">
        <v>113.5</v>
      </c>
      <c r="C15">
        <v>113.65</v>
      </c>
      <c r="D15">
        <v>110.77</v>
      </c>
      <c r="E15">
        <v>112.36</v>
      </c>
      <c r="F15">
        <v>9057900</v>
      </c>
      <c r="G15">
        <v>111.95</v>
      </c>
    </row>
    <row r="16" spans="1:7" x14ac:dyDescent="0.25">
      <c r="A16" s="34">
        <v>41841</v>
      </c>
      <c r="B16">
        <v>112.38</v>
      </c>
      <c r="C16">
        <v>113.97</v>
      </c>
      <c r="D16">
        <v>112.36</v>
      </c>
      <c r="E16">
        <v>113.04</v>
      </c>
      <c r="F16">
        <v>4427800</v>
      </c>
      <c r="G16">
        <v>112.63</v>
      </c>
    </row>
    <row r="17" spans="1:7" x14ac:dyDescent="0.25">
      <c r="A17" s="34">
        <v>41842</v>
      </c>
      <c r="B17">
        <v>113.74</v>
      </c>
      <c r="C17">
        <v>114.15</v>
      </c>
      <c r="D17">
        <v>113.26</v>
      </c>
      <c r="E17">
        <v>113.41</v>
      </c>
      <c r="F17">
        <v>4174100</v>
      </c>
      <c r="G17">
        <v>113</v>
      </c>
    </row>
    <row r="18" spans="1:7" x14ac:dyDescent="0.25">
      <c r="A18" s="34">
        <v>41843</v>
      </c>
      <c r="B18">
        <v>113.59</v>
      </c>
      <c r="C18">
        <v>113.59</v>
      </c>
      <c r="D18">
        <v>111.93</v>
      </c>
      <c r="E18">
        <v>112.11</v>
      </c>
      <c r="F18">
        <v>4745400</v>
      </c>
      <c r="G18">
        <v>111.7</v>
      </c>
    </row>
    <row r="19" spans="1:7" x14ac:dyDescent="0.25">
      <c r="A19" s="34">
        <v>41844</v>
      </c>
      <c r="B19">
        <v>112.3</v>
      </c>
      <c r="C19">
        <v>113.29</v>
      </c>
      <c r="D19">
        <v>112.22</v>
      </c>
      <c r="E19">
        <v>113.1</v>
      </c>
      <c r="F19">
        <v>4750600</v>
      </c>
      <c r="G19">
        <v>112.69</v>
      </c>
    </row>
    <row r="20" spans="1:7" x14ac:dyDescent="0.25">
      <c r="A20" s="34">
        <v>41845</v>
      </c>
      <c r="B20">
        <v>112.75</v>
      </c>
      <c r="C20">
        <v>112.9</v>
      </c>
      <c r="D20">
        <v>111.67</v>
      </c>
      <c r="E20">
        <v>111.78</v>
      </c>
      <c r="F20">
        <v>5837300</v>
      </c>
      <c r="G20">
        <v>111.37</v>
      </c>
    </row>
    <row r="21" spans="1:7" x14ac:dyDescent="0.25">
      <c r="A21" s="34">
        <v>41848</v>
      </c>
      <c r="B21">
        <v>111.93</v>
      </c>
      <c r="C21">
        <v>112.27</v>
      </c>
      <c r="D21">
        <v>110.9</v>
      </c>
      <c r="E21">
        <v>111.89</v>
      </c>
      <c r="F21">
        <v>4811000</v>
      </c>
      <c r="G21">
        <v>111.48</v>
      </c>
    </row>
    <row r="22" spans="1:7" x14ac:dyDescent="0.25">
      <c r="A22" s="34">
        <v>41849</v>
      </c>
      <c r="B22">
        <v>112.2</v>
      </c>
      <c r="C22">
        <v>112.61</v>
      </c>
      <c r="D22">
        <v>111.12</v>
      </c>
      <c r="E22">
        <v>111.12</v>
      </c>
      <c r="F22">
        <v>3981800</v>
      </c>
      <c r="G22">
        <v>110.72</v>
      </c>
    </row>
    <row r="23" spans="1:7" x14ac:dyDescent="0.25">
      <c r="A23" s="34">
        <v>41850</v>
      </c>
      <c r="B23">
        <v>111.53</v>
      </c>
      <c r="C23">
        <v>111.97</v>
      </c>
      <c r="D23">
        <v>109.86</v>
      </c>
      <c r="E23">
        <v>110.27</v>
      </c>
      <c r="F23">
        <v>5750400</v>
      </c>
      <c r="G23">
        <v>109.87</v>
      </c>
    </row>
    <row r="24" spans="1:7" x14ac:dyDescent="0.25">
      <c r="A24" s="34">
        <v>41851</v>
      </c>
      <c r="B24">
        <v>109.58</v>
      </c>
      <c r="C24">
        <v>109.93</v>
      </c>
      <c r="D24">
        <v>107.94</v>
      </c>
      <c r="E24">
        <v>108.39</v>
      </c>
      <c r="F24">
        <v>7561900</v>
      </c>
      <c r="G24">
        <v>108</v>
      </c>
    </row>
    <row r="25" spans="1:7" x14ac:dyDescent="0.25">
      <c r="A25" s="34">
        <v>41852</v>
      </c>
      <c r="B25">
        <v>107.86</v>
      </c>
      <c r="C25">
        <v>109.09</v>
      </c>
      <c r="D25">
        <v>106.84</v>
      </c>
      <c r="E25">
        <v>107.95</v>
      </c>
      <c r="F25">
        <v>6045800</v>
      </c>
      <c r="G25">
        <v>107.56</v>
      </c>
    </row>
    <row r="26" spans="1:7" x14ac:dyDescent="0.25">
      <c r="A26" s="34">
        <v>41855</v>
      </c>
      <c r="B26">
        <v>108.04</v>
      </c>
      <c r="C26">
        <v>110.05</v>
      </c>
      <c r="D26">
        <v>107.52</v>
      </c>
      <c r="E26">
        <v>109.67</v>
      </c>
      <c r="F26">
        <v>5759800</v>
      </c>
      <c r="G26">
        <v>109.27</v>
      </c>
    </row>
    <row r="27" spans="1:7" x14ac:dyDescent="0.25">
      <c r="A27" s="34">
        <v>41856</v>
      </c>
      <c r="B27">
        <v>108.89</v>
      </c>
      <c r="C27">
        <v>108.97</v>
      </c>
      <c r="D27">
        <v>106.35</v>
      </c>
      <c r="E27">
        <v>107.08</v>
      </c>
      <c r="F27">
        <v>6946200</v>
      </c>
      <c r="G27">
        <v>106.69</v>
      </c>
    </row>
    <row r="28" spans="1:7" x14ac:dyDescent="0.25">
      <c r="A28" s="34">
        <v>41857</v>
      </c>
      <c r="B28">
        <v>106.44</v>
      </c>
      <c r="C28">
        <v>108.9</v>
      </c>
      <c r="D28">
        <v>106.3</v>
      </c>
      <c r="E28">
        <v>107.57</v>
      </c>
      <c r="F28">
        <v>5352900</v>
      </c>
      <c r="G28">
        <v>107.18</v>
      </c>
    </row>
    <row r="29" spans="1:7" x14ac:dyDescent="0.25">
      <c r="A29" s="34">
        <v>41858</v>
      </c>
      <c r="B29">
        <v>107.97</v>
      </c>
      <c r="C29">
        <v>108.62</v>
      </c>
      <c r="D29">
        <v>106.6</v>
      </c>
      <c r="E29">
        <v>107.01</v>
      </c>
      <c r="F29">
        <v>4653100</v>
      </c>
      <c r="G29">
        <v>106.62</v>
      </c>
    </row>
    <row r="30" spans="1:7" x14ac:dyDescent="0.25">
      <c r="A30" s="34">
        <v>41859</v>
      </c>
      <c r="B30">
        <v>107.25</v>
      </c>
      <c r="C30">
        <v>108.48</v>
      </c>
      <c r="D30">
        <v>107.2</v>
      </c>
      <c r="E30">
        <v>108.38</v>
      </c>
      <c r="F30">
        <v>4168900</v>
      </c>
      <c r="G30">
        <v>107.99</v>
      </c>
    </row>
    <row r="31" spans="1:7" x14ac:dyDescent="0.25">
      <c r="A31" s="34">
        <v>41862</v>
      </c>
      <c r="B31">
        <v>108.97</v>
      </c>
      <c r="C31">
        <v>110.35</v>
      </c>
      <c r="D31">
        <v>108.52</v>
      </c>
      <c r="E31">
        <v>109.21</v>
      </c>
      <c r="F31">
        <v>5354100</v>
      </c>
      <c r="G31">
        <v>108.81</v>
      </c>
    </row>
    <row r="32" spans="1:7" x14ac:dyDescent="0.25">
      <c r="A32" s="34">
        <v>41863</v>
      </c>
      <c r="B32">
        <v>108.95</v>
      </c>
      <c r="C32">
        <v>109.31</v>
      </c>
      <c r="D32">
        <v>107.52</v>
      </c>
      <c r="E32">
        <v>107.87</v>
      </c>
      <c r="F32">
        <v>4625000</v>
      </c>
      <c r="G32">
        <v>107.48</v>
      </c>
    </row>
    <row r="33" spans="1:7" x14ac:dyDescent="0.25">
      <c r="A33" s="34">
        <v>41864</v>
      </c>
      <c r="B33">
        <v>108.69</v>
      </c>
      <c r="C33">
        <v>109.24</v>
      </c>
      <c r="D33">
        <v>107.42</v>
      </c>
      <c r="E33">
        <v>107.62</v>
      </c>
      <c r="F33">
        <v>4294700</v>
      </c>
      <c r="G33">
        <v>107.23</v>
      </c>
    </row>
    <row r="34" spans="1:7" x14ac:dyDescent="0.25">
      <c r="A34" s="34">
        <v>41865</v>
      </c>
      <c r="B34">
        <v>107.96</v>
      </c>
      <c r="C34">
        <v>108.41</v>
      </c>
      <c r="D34">
        <v>105.55</v>
      </c>
      <c r="E34">
        <v>105.91</v>
      </c>
      <c r="F34">
        <v>5857600</v>
      </c>
      <c r="G34">
        <v>105.53</v>
      </c>
    </row>
    <row r="35" spans="1:7" x14ac:dyDescent="0.25">
      <c r="A35" s="34">
        <v>41866</v>
      </c>
      <c r="B35">
        <v>106.3</v>
      </c>
      <c r="C35">
        <v>106.88</v>
      </c>
      <c r="D35">
        <v>105.39</v>
      </c>
      <c r="E35">
        <v>106.53</v>
      </c>
      <c r="F35">
        <v>5322500</v>
      </c>
      <c r="G35">
        <v>106.14</v>
      </c>
    </row>
    <row r="36" spans="1:7" x14ac:dyDescent="0.25">
      <c r="A36" s="34">
        <v>41869</v>
      </c>
      <c r="B36">
        <v>109.26</v>
      </c>
      <c r="C36">
        <v>109.49</v>
      </c>
      <c r="D36">
        <v>107.54</v>
      </c>
      <c r="E36">
        <v>108.14</v>
      </c>
      <c r="F36">
        <v>7806500</v>
      </c>
      <c r="G36">
        <v>107.75</v>
      </c>
    </row>
    <row r="37" spans="1:7" x14ac:dyDescent="0.25">
      <c r="A37" s="34">
        <v>41870</v>
      </c>
      <c r="B37">
        <v>109.07</v>
      </c>
      <c r="C37">
        <v>109.65</v>
      </c>
      <c r="D37">
        <v>108.37</v>
      </c>
      <c r="E37">
        <v>109.42</v>
      </c>
      <c r="F37">
        <v>6228900</v>
      </c>
      <c r="G37">
        <v>109.02</v>
      </c>
    </row>
    <row r="38" spans="1:7" x14ac:dyDescent="0.25">
      <c r="A38" s="34">
        <v>41871</v>
      </c>
      <c r="B38">
        <v>109.86</v>
      </c>
      <c r="C38">
        <v>110.03</v>
      </c>
      <c r="D38">
        <v>108.71</v>
      </c>
      <c r="E38">
        <v>109.85</v>
      </c>
      <c r="F38">
        <v>4627300</v>
      </c>
      <c r="G38">
        <v>109.45</v>
      </c>
    </row>
    <row r="39" spans="1:7" x14ac:dyDescent="0.25">
      <c r="A39" s="34">
        <v>41872</v>
      </c>
      <c r="B39">
        <v>109.96</v>
      </c>
      <c r="C39">
        <v>109.99</v>
      </c>
      <c r="D39">
        <v>108.9</v>
      </c>
      <c r="E39">
        <v>109.44</v>
      </c>
      <c r="F39">
        <v>4642900</v>
      </c>
      <c r="G39">
        <v>109.04</v>
      </c>
    </row>
    <row r="40" spans="1:7" x14ac:dyDescent="0.25">
      <c r="A40" s="34">
        <v>41873</v>
      </c>
      <c r="B40">
        <v>109.06</v>
      </c>
      <c r="C40">
        <v>109.71</v>
      </c>
      <c r="D40">
        <v>108.06</v>
      </c>
      <c r="E40">
        <v>109.03</v>
      </c>
      <c r="F40">
        <v>4162600</v>
      </c>
      <c r="G40">
        <v>108.63</v>
      </c>
    </row>
    <row r="41" spans="1:7" x14ac:dyDescent="0.25">
      <c r="A41" s="34">
        <v>41876</v>
      </c>
      <c r="B41">
        <v>109.67</v>
      </c>
      <c r="C41">
        <v>110.5</v>
      </c>
      <c r="D41">
        <v>109.33</v>
      </c>
      <c r="E41">
        <v>110.22</v>
      </c>
      <c r="F41">
        <v>4497400</v>
      </c>
      <c r="G41">
        <v>109.82</v>
      </c>
    </row>
    <row r="42" spans="1:7" x14ac:dyDescent="0.25">
      <c r="A42" s="34">
        <v>41877</v>
      </c>
      <c r="B42">
        <v>110.75</v>
      </c>
      <c r="C42">
        <v>111.88</v>
      </c>
      <c r="D42">
        <v>110.68</v>
      </c>
      <c r="E42">
        <v>111.02</v>
      </c>
      <c r="F42">
        <v>4827000</v>
      </c>
      <c r="G42">
        <v>110.62</v>
      </c>
    </row>
    <row r="43" spans="1:7" x14ac:dyDescent="0.25">
      <c r="A43" s="34">
        <v>41878</v>
      </c>
      <c r="B43">
        <v>111.48</v>
      </c>
      <c r="C43">
        <v>112</v>
      </c>
      <c r="D43">
        <v>110.52</v>
      </c>
      <c r="E43">
        <v>111.04</v>
      </c>
      <c r="F43">
        <v>4339700</v>
      </c>
      <c r="G43">
        <v>110.64</v>
      </c>
    </row>
    <row r="44" spans="1:7" x14ac:dyDescent="0.25">
      <c r="A44" s="34">
        <v>41879</v>
      </c>
      <c r="B44">
        <v>110.84</v>
      </c>
      <c r="C44">
        <v>110.84</v>
      </c>
      <c r="D44">
        <v>110.01</v>
      </c>
      <c r="E44">
        <v>110.16</v>
      </c>
      <c r="F44">
        <v>3515800</v>
      </c>
      <c r="G44">
        <v>109.76</v>
      </c>
    </row>
    <row r="45" spans="1:7" x14ac:dyDescent="0.25">
      <c r="A45" s="34">
        <v>41880</v>
      </c>
      <c r="B45">
        <v>110.29</v>
      </c>
      <c r="C45">
        <v>110.38</v>
      </c>
      <c r="D45">
        <v>109.17</v>
      </c>
      <c r="E45">
        <v>109.64</v>
      </c>
      <c r="F45">
        <v>4594700</v>
      </c>
      <c r="G45">
        <v>109.64</v>
      </c>
    </row>
    <row r="46" spans="1:7" x14ac:dyDescent="0.25">
      <c r="A46" s="34">
        <v>41884</v>
      </c>
      <c r="B46">
        <v>109.63</v>
      </c>
      <c r="C46">
        <v>109.66</v>
      </c>
      <c r="D46">
        <v>107.52</v>
      </c>
      <c r="E46">
        <v>108.06</v>
      </c>
      <c r="F46">
        <v>6242700</v>
      </c>
      <c r="G46">
        <v>108.06</v>
      </c>
    </row>
    <row r="47" spans="1:7" x14ac:dyDescent="0.25">
      <c r="A47" s="34">
        <v>41885</v>
      </c>
      <c r="B47">
        <v>109.25</v>
      </c>
      <c r="C47">
        <v>109.93</v>
      </c>
      <c r="D47">
        <v>108.11</v>
      </c>
      <c r="E47">
        <v>108.17</v>
      </c>
      <c r="F47">
        <v>4598900</v>
      </c>
      <c r="G47">
        <v>108.17</v>
      </c>
    </row>
    <row r="48" spans="1:7" x14ac:dyDescent="0.25">
      <c r="A48" s="34">
        <v>41886</v>
      </c>
      <c r="B48">
        <v>108.24</v>
      </c>
      <c r="C48">
        <v>108.27</v>
      </c>
      <c r="D48">
        <v>105.09</v>
      </c>
      <c r="E48">
        <v>105.64</v>
      </c>
      <c r="F48">
        <v>7410500</v>
      </c>
      <c r="G48">
        <v>105.64</v>
      </c>
    </row>
    <row r="49" spans="1:7" x14ac:dyDescent="0.25">
      <c r="A49" s="34">
        <v>41887</v>
      </c>
      <c r="B49">
        <v>106.03</v>
      </c>
      <c r="C49">
        <v>106.79</v>
      </c>
      <c r="D49">
        <v>104.89</v>
      </c>
      <c r="E49">
        <v>106.76</v>
      </c>
      <c r="F49">
        <v>5971700</v>
      </c>
      <c r="G49">
        <v>106.76</v>
      </c>
    </row>
    <row r="50" spans="1:7" x14ac:dyDescent="0.25">
      <c r="A50" s="34">
        <v>41890</v>
      </c>
      <c r="B50">
        <v>105.92</v>
      </c>
      <c r="C50">
        <v>105.99</v>
      </c>
      <c r="D50">
        <v>103.77</v>
      </c>
      <c r="E50">
        <v>104.49</v>
      </c>
      <c r="F50">
        <v>7000000</v>
      </c>
      <c r="G50">
        <v>104.49</v>
      </c>
    </row>
    <row r="51" spans="1:7" x14ac:dyDescent="0.25">
      <c r="A51" s="34">
        <v>41891</v>
      </c>
      <c r="B51">
        <v>104.67</v>
      </c>
      <c r="C51">
        <v>105.42</v>
      </c>
      <c r="D51">
        <v>103.26</v>
      </c>
      <c r="E51">
        <v>103.97</v>
      </c>
      <c r="F51">
        <v>6221300</v>
      </c>
      <c r="G51">
        <v>103.97</v>
      </c>
    </row>
    <row r="52" spans="1:7" x14ac:dyDescent="0.25">
      <c r="A52" s="34">
        <v>41892</v>
      </c>
      <c r="B52">
        <v>104.07</v>
      </c>
      <c r="C52">
        <v>104.43</v>
      </c>
      <c r="D52">
        <v>102.75</v>
      </c>
      <c r="E52">
        <v>104.27</v>
      </c>
      <c r="F52">
        <v>5709500</v>
      </c>
      <c r="G52">
        <v>104.27</v>
      </c>
    </row>
    <row r="53" spans="1:7" x14ac:dyDescent="0.25">
      <c r="A53" s="34">
        <v>41893</v>
      </c>
      <c r="B53">
        <v>103.22</v>
      </c>
      <c r="C53">
        <v>104.9</v>
      </c>
      <c r="D53">
        <v>103</v>
      </c>
      <c r="E53">
        <v>104.45</v>
      </c>
      <c r="F53">
        <v>5823100</v>
      </c>
      <c r="G53">
        <v>104.45</v>
      </c>
    </row>
    <row r="54" spans="1:7" x14ac:dyDescent="0.25">
      <c r="A54" s="34">
        <v>41894</v>
      </c>
      <c r="B54">
        <v>103.73</v>
      </c>
      <c r="C54">
        <v>104.08</v>
      </c>
      <c r="D54">
        <v>102.09</v>
      </c>
      <c r="E54">
        <v>102.22</v>
      </c>
      <c r="F54">
        <v>7383100</v>
      </c>
      <c r="G54">
        <v>102.22</v>
      </c>
    </row>
    <row r="55" spans="1:7" x14ac:dyDescent="0.25">
      <c r="A55" s="34">
        <v>41897</v>
      </c>
      <c r="B55">
        <v>102.03</v>
      </c>
      <c r="C55">
        <v>103.6</v>
      </c>
      <c r="D55">
        <v>101.85</v>
      </c>
      <c r="E55">
        <v>103.05</v>
      </c>
      <c r="F55">
        <v>5737800</v>
      </c>
      <c r="G55">
        <v>103.05</v>
      </c>
    </row>
  </sheetData>
  <sortState ref="A3:G55">
    <sortCondition ref="A3:A55"/>
  </sortState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45.37</v>
      </c>
      <c r="C3">
        <v>45.37</v>
      </c>
      <c r="D3">
        <v>44.96</v>
      </c>
      <c r="E3">
        <v>45.08</v>
      </c>
      <c r="F3">
        <v>3594500</v>
      </c>
      <c r="G3">
        <v>44.55</v>
      </c>
    </row>
    <row r="4" spans="1:7" x14ac:dyDescent="0.25">
      <c r="A4" s="34">
        <v>41822</v>
      </c>
      <c r="B4">
        <v>45.04</v>
      </c>
      <c r="C4">
        <v>45.04</v>
      </c>
      <c r="D4">
        <v>44.12</v>
      </c>
      <c r="E4">
        <v>44.26</v>
      </c>
      <c r="F4">
        <v>6467300</v>
      </c>
      <c r="G4">
        <v>43.74</v>
      </c>
    </row>
    <row r="5" spans="1:7" x14ac:dyDescent="0.25">
      <c r="A5" s="34">
        <v>41823</v>
      </c>
      <c r="B5">
        <v>44.07</v>
      </c>
      <c r="C5">
        <v>44.07</v>
      </c>
      <c r="D5">
        <v>43.67</v>
      </c>
      <c r="E5">
        <v>44.01</v>
      </c>
      <c r="F5">
        <v>4023100</v>
      </c>
      <c r="G5">
        <v>43.49</v>
      </c>
    </row>
    <row r="6" spans="1:7" x14ac:dyDescent="0.25">
      <c r="A6" s="34">
        <v>41827</v>
      </c>
      <c r="B6">
        <v>43.92</v>
      </c>
      <c r="C6">
        <v>44.3</v>
      </c>
      <c r="D6">
        <v>43.92</v>
      </c>
      <c r="E6">
        <v>44.21</v>
      </c>
      <c r="F6">
        <v>4135500</v>
      </c>
      <c r="G6">
        <v>43.69</v>
      </c>
    </row>
    <row r="7" spans="1:7" x14ac:dyDescent="0.25">
      <c r="A7" s="34">
        <v>41828</v>
      </c>
      <c r="B7">
        <v>44.25</v>
      </c>
      <c r="C7">
        <v>44.79</v>
      </c>
      <c r="D7">
        <v>44.25</v>
      </c>
      <c r="E7">
        <v>44.54</v>
      </c>
      <c r="F7">
        <v>4718200</v>
      </c>
      <c r="G7">
        <v>44.01</v>
      </c>
    </row>
    <row r="8" spans="1:7" x14ac:dyDescent="0.25">
      <c r="A8" s="34">
        <v>41829</v>
      </c>
      <c r="B8">
        <v>44.68</v>
      </c>
      <c r="C8">
        <v>44.68</v>
      </c>
      <c r="D8">
        <v>44.18</v>
      </c>
      <c r="E8">
        <v>44.46</v>
      </c>
      <c r="F8">
        <v>3720300</v>
      </c>
      <c r="G8">
        <v>43.93</v>
      </c>
    </row>
    <row r="9" spans="1:7" x14ac:dyDescent="0.25">
      <c r="A9" s="34">
        <v>41830</v>
      </c>
      <c r="B9">
        <v>44.48</v>
      </c>
      <c r="C9">
        <v>44.91</v>
      </c>
      <c r="D9">
        <v>44.39</v>
      </c>
      <c r="E9">
        <v>44.64</v>
      </c>
      <c r="F9">
        <v>5181800</v>
      </c>
      <c r="G9">
        <v>44.11</v>
      </c>
    </row>
    <row r="10" spans="1:7" x14ac:dyDescent="0.25">
      <c r="A10" s="34">
        <v>41831</v>
      </c>
      <c r="B10">
        <v>44.63</v>
      </c>
      <c r="C10">
        <v>44.9</v>
      </c>
      <c r="D10">
        <v>44.38</v>
      </c>
      <c r="E10">
        <v>44.53</v>
      </c>
      <c r="F10">
        <v>4019100</v>
      </c>
      <c r="G10">
        <v>44</v>
      </c>
    </row>
    <row r="11" spans="1:7" x14ac:dyDescent="0.25">
      <c r="A11" s="34">
        <v>41834</v>
      </c>
      <c r="B11">
        <v>44.52</v>
      </c>
      <c r="C11">
        <v>44.66</v>
      </c>
      <c r="D11">
        <v>44.15</v>
      </c>
      <c r="E11">
        <v>44.18</v>
      </c>
      <c r="F11">
        <v>3831100</v>
      </c>
      <c r="G11">
        <v>43.66</v>
      </c>
    </row>
    <row r="12" spans="1:7" x14ac:dyDescent="0.25">
      <c r="A12" s="34">
        <v>41835</v>
      </c>
      <c r="B12">
        <v>44.18</v>
      </c>
      <c r="C12">
        <v>44.5</v>
      </c>
      <c r="D12">
        <v>44.15</v>
      </c>
      <c r="E12">
        <v>44.47</v>
      </c>
      <c r="F12">
        <v>3744700</v>
      </c>
      <c r="G12">
        <v>43.94</v>
      </c>
    </row>
    <row r="13" spans="1:7" x14ac:dyDescent="0.25">
      <c r="A13" s="34">
        <v>41836</v>
      </c>
      <c r="B13">
        <v>44.6</v>
      </c>
      <c r="C13">
        <v>44.78</v>
      </c>
      <c r="D13">
        <v>44.31</v>
      </c>
      <c r="E13">
        <v>44.77</v>
      </c>
      <c r="F13">
        <v>3802100</v>
      </c>
      <c r="G13">
        <v>44.24</v>
      </c>
    </row>
    <row r="14" spans="1:7" x14ac:dyDescent="0.25">
      <c r="A14" s="34">
        <v>41837</v>
      </c>
      <c r="B14">
        <v>44.6</v>
      </c>
      <c r="C14">
        <v>44.85</v>
      </c>
      <c r="D14">
        <v>44.51</v>
      </c>
      <c r="E14">
        <v>44.55</v>
      </c>
      <c r="F14">
        <v>4331300</v>
      </c>
      <c r="G14">
        <v>44.02</v>
      </c>
    </row>
    <row r="15" spans="1:7" x14ac:dyDescent="0.25">
      <c r="A15" s="34">
        <v>41838</v>
      </c>
      <c r="B15">
        <v>44.71</v>
      </c>
      <c r="C15">
        <v>44.95</v>
      </c>
      <c r="D15">
        <v>44.4</v>
      </c>
      <c r="E15">
        <v>44.89</v>
      </c>
      <c r="F15">
        <v>3263600</v>
      </c>
      <c r="G15">
        <v>44.36</v>
      </c>
    </row>
    <row r="16" spans="1:7" x14ac:dyDescent="0.25">
      <c r="A16" s="34">
        <v>41841</v>
      </c>
      <c r="B16">
        <v>44.89</v>
      </c>
      <c r="C16">
        <v>45.05</v>
      </c>
      <c r="D16">
        <v>44.68</v>
      </c>
      <c r="E16">
        <v>44.91</v>
      </c>
      <c r="F16">
        <v>2977000</v>
      </c>
      <c r="G16">
        <v>44.38</v>
      </c>
    </row>
    <row r="17" spans="1:7" x14ac:dyDescent="0.25">
      <c r="A17" s="34">
        <v>41842</v>
      </c>
      <c r="B17">
        <v>45.03</v>
      </c>
      <c r="C17">
        <v>45.12</v>
      </c>
      <c r="D17">
        <v>44.86</v>
      </c>
      <c r="E17">
        <v>44.91</v>
      </c>
      <c r="F17">
        <v>2808200</v>
      </c>
      <c r="G17">
        <v>44.38</v>
      </c>
    </row>
    <row r="18" spans="1:7" x14ac:dyDescent="0.25">
      <c r="A18" s="34">
        <v>41843</v>
      </c>
      <c r="B18">
        <v>45.09</v>
      </c>
      <c r="C18">
        <v>45.09</v>
      </c>
      <c r="D18">
        <v>44.79</v>
      </c>
      <c r="E18">
        <v>44.81</v>
      </c>
      <c r="F18">
        <v>3476000</v>
      </c>
      <c r="G18">
        <v>44.28</v>
      </c>
    </row>
    <row r="19" spans="1:7" x14ac:dyDescent="0.25">
      <c r="A19" s="34">
        <v>41844</v>
      </c>
      <c r="B19">
        <v>44.91</v>
      </c>
      <c r="C19">
        <v>44.91</v>
      </c>
      <c r="D19">
        <v>44.54</v>
      </c>
      <c r="E19">
        <v>44.78</v>
      </c>
      <c r="F19">
        <v>3955400</v>
      </c>
      <c r="G19">
        <v>44.25</v>
      </c>
    </row>
    <row r="20" spans="1:7" x14ac:dyDescent="0.25">
      <c r="A20" s="34">
        <v>41845</v>
      </c>
      <c r="B20">
        <v>44.87</v>
      </c>
      <c r="C20">
        <v>44.99</v>
      </c>
      <c r="D20">
        <v>44.6</v>
      </c>
      <c r="E20">
        <v>44.74</v>
      </c>
      <c r="F20">
        <v>7059000</v>
      </c>
      <c r="G20">
        <v>44.21</v>
      </c>
    </row>
    <row r="21" spans="1:7" x14ac:dyDescent="0.25">
      <c r="A21" s="34">
        <v>41848</v>
      </c>
      <c r="B21">
        <v>44.62</v>
      </c>
      <c r="C21">
        <v>45.43</v>
      </c>
      <c r="D21">
        <v>44.62</v>
      </c>
      <c r="E21">
        <v>45.36</v>
      </c>
      <c r="F21">
        <v>5568900</v>
      </c>
      <c r="G21">
        <v>44.82</v>
      </c>
    </row>
    <row r="22" spans="1:7" x14ac:dyDescent="0.25">
      <c r="A22" s="34">
        <v>41849</v>
      </c>
      <c r="B22">
        <v>45.47</v>
      </c>
      <c r="C22">
        <v>45.47</v>
      </c>
      <c r="D22">
        <v>44.67</v>
      </c>
      <c r="E22">
        <v>44.86</v>
      </c>
      <c r="F22">
        <v>5499600</v>
      </c>
      <c r="G22">
        <v>44.33</v>
      </c>
    </row>
    <row r="23" spans="1:7" x14ac:dyDescent="0.25">
      <c r="A23" s="34">
        <v>41850</v>
      </c>
      <c r="B23">
        <v>45</v>
      </c>
      <c r="C23">
        <v>45</v>
      </c>
      <c r="D23">
        <v>44.01</v>
      </c>
      <c r="E23">
        <v>44.38</v>
      </c>
      <c r="F23">
        <v>6945200</v>
      </c>
      <c r="G23">
        <v>43.86</v>
      </c>
    </row>
    <row r="24" spans="1:7" x14ac:dyDescent="0.25">
      <c r="A24" s="34">
        <v>41851</v>
      </c>
      <c r="B24">
        <v>43.89</v>
      </c>
      <c r="C24">
        <v>43.89</v>
      </c>
      <c r="D24">
        <v>43.22</v>
      </c>
      <c r="E24">
        <v>43.29</v>
      </c>
      <c r="F24">
        <v>5675300</v>
      </c>
      <c r="G24">
        <v>43.29</v>
      </c>
    </row>
    <row r="25" spans="1:7" x14ac:dyDescent="0.25">
      <c r="A25" s="34">
        <v>41852</v>
      </c>
      <c r="B25">
        <v>43.34</v>
      </c>
      <c r="C25">
        <v>43.83</v>
      </c>
      <c r="D25">
        <v>43.25</v>
      </c>
      <c r="E25">
        <v>43.32</v>
      </c>
      <c r="F25">
        <v>4193700</v>
      </c>
      <c r="G25">
        <v>43.32</v>
      </c>
    </row>
    <row r="26" spans="1:7" x14ac:dyDescent="0.25">
      <c r="A26" s="34">
        <v>41855</v>
      </c>
      <c r="B26">
        <v>43.38</v>
      </c>
      <c r="C26">
        <v>43.41</v>
      </c>
      <c r="D26">
        <v>42.35</v>
      </c>
      <c r="E26">
        <v>43.1</v>
      </c>
      <c r="F26">
        <v>6639300</v>
      </c>
      <c r="G26">
        <v>43.1</v>
      </c>
    </row>
    <row r="27" spans="1:7" x14ac:dyDescent="0.25">
      <c r="A27" s="34">
        <v>41856</v>
      </c>
      <c r="B27">
        <v>42.94</v>
      </c>
      <c r="C27">
        <v>43.2</v>
      </c>
      <c r="D27">
        <v>42.45</v>
      </c>
      <c r="E27">
        <v>42.6</v>
      </c>
      <c r="F27">
        <v>4339700</v>
      </c>
      <c r="G27">
        <v>42.6</v>
      </c>
    </row>
    <row r="28" spans="1:7" x14ac:dyDescent="0.25">
      <c r="A28" s="34">
        <v>41857</v>
      </c>
      <c r="B28">
        <v>42.43</v>
      </c>
      <c r="C28">
        <v>42.43</v>
      </c>
      <c r="D28">
        <v>41.87</v>
      </c>
      <c r="E28">
        <v>42.17</v>
      </c>
      <c r="F28">
        <v>10041500</v>
      </c>
      <c r="G28">
        <v>42.17</v>
      </c>
    </row>
    <row r="29" spans="1:7" x14ac:dyDescent="0.25">
      <c r="A29" s="34">
        <v>41858</v>
      </c>
      <c r="B29">
        <v>42.35</v>
      </c>
      <c r="C29">
        <v>42.87</v>
      </c>
      <c r="D29">
        <v>42.26</v>
      </c>
      <c r="E29">
        <v>42.62</v>
      </c>
      <c r="F29">
        <v>4409500</v>
      </c>
      <c r="G29">
        <v>42.62</v>
      </c>
    </row>
    <row r="30" spans="1:7" x14ac:dyDescent="0.25">
      <c r="A30" s="34">
        <v>41859</v>
      </c>
      <c r="B30">
        <v>42.71</v>
      </c>
      <c r="C30">
        <v>43.54</v>
      </c>
      <c r="D30">
        <v>42.7</v>
      </c>
      <c r="E30">
        <v>43.53</v>
      </c>
      <c r="F30">
        <v>4982400</v>
      </c>
      <c r="G30">
        <v>43.53</v>
      </c>
    </row>
    <row r="31" spans="1:7" x14ac:dyDescent="0.25">
      <c r="A31" s="34">
        <v>41862</v>
      </c>
      <c r="B31">
        <v>43.53</v>
      </c>
      <c r="C31">
        <v>43.6</v>
      </c>
      <c r="D31">
        <v>43.04</v>
      </c>
      <c r="E31">
        <v>43.06</v>
      </c>
      <c r="F31">
        <v>4739800</v>
      </c>
      <c r="G31">
        <v>43.06</v>
      </c>
    </row>
    <row r="32" spans="1:7" x14ac:dyDescent="0.25">
      <c r="A32" s="34">
        <v>41863</v>
      </c>
      <c r="B32">
        <v>43.05</v>
      </c>
      <c r="C32">
        <v>43.38</v>
      </c>
      <c r="D32">
        <v>43</v>
      </c>
      <c r="E32">
        <v>43.22</v>
      </c>
      <c r="F32">
        <v>3515000</v>
      </c>
      <c r="G32">
        <v>43.22</v>
      </c>
    </row>
    <row r="33" spans="1:7" x14ac:dyDescent="0.25">
      <c r="A33" s="34">
        <v>41864</v>
      </c>
      <c r="B33">
        <v>42.85</v>
      </c>
      <c r="C33">
        <v>43.28</v>
      </c>
      <c r="D33">
        <v>42.67</v>
      </c>
      <c r="E33">
        <v>43.07</v>
      </c>
      <c r="F33">
        <v>5265700</v>
      </c>
      <c r="G33">
        <v>43.07</v>
      </c>
    </row>
    <row r="34" spans="1:7" x14ac:dyDescent="0.25">
      <c r="A34" s="34">
        <v>41865</v>
      </c>
      <c r="B34">
        <v>43.15</v>
      </c>
      <c r="C34">
        <v>43.47</v>
      </c>
      <c r="D34">
        <v>43.11</v>
      </c>
      <c r="E34">
        <v>43.43</v>
      </c>
      <c r="F34">
        <v>3162300</v>
      </c>
      <c r="G34">
        <v>43.43</v>
      </c>
    </row>
    <row r="35" spans="1:7" x14ac:dyDescent="0.25">
      <c r="A35" s="34">
        <v>41866</v>
      </c>
      <c r="B35">
        <v>43.43</v>
      </c>
      <c r="C35">
        <v>43.82</v>
      </c>
      <c r="D35">
        <v>43.28</v>
      </c>
      <c r="E35">
        <v>43.42</v>
      </c>
      <c r="F35">
        <v>4392400</v>
      </c>
      <c r="G35">
        <v>43.42</v>
      </c>
    </row>
    <row r="36" spans="1:7" x14ac:dyDescent="0.25">
      <c r="A36" s="34">
        <v>41869</v>
      </c>
      <c r="B36">
        <v>43.53</v>
      </c>
      <c r="C36">
        <v>43.72</v>
      </c>
      <c r="D36">
        <v>43.28</v>
      </c>
      <c r="E36">
        <v>43.38</v>
      </c>
      <c r="F36">
        <v>2979800</v>
      </c>
      <c r="G36">
        <v>43.38</v>
      </c>
    </row>
    <row r="37" spans="1:7" x14ac:dyDescent="0.25">
      <c r="A37" s="34">
        <v>41870</v>
      </c>
      <c r="B37">
        <v>43.55</v>
      </c>
      <c r="C37">
        <v>43.81</v>
      </c>
      <c r="D37">
        <v>43.35</v>
      </c>
      <c r="E37">
        <v>43.8</v>
      </c>
      <c r="F37">
        <v>2720600</v>
      </c>
      <c r="G37">
        <v>43.8</v>
      </c>
    </row>
    <row r="38" spans="1:7" x14ac:dyDescent="0.25">
      <c r="A38" s="34">
        <v>41871</v>
      </c>
      <c r="B38">
        <v>43.57</v>
      </c>
      <c r="C38">
        <v>43.84</v>
      </c>
      <c r="D38">
        <v>43.55</v>
      </c>
      <c r="E38">
        <v>43.81</v>
      </c>
      <c r="F38">
        <v>2639700</v>
      </c>
      <c r="G38">
        <v>43.81</v>
      </c>
    </row>
    <row r="39" spans="1:7" x14ac:dyDescent="0.25">
      <c r="A39" s="34">
        <v>41872</v>
      </c>
      <c r="B39">
        <v>43.89</v>
      </c>
      <c r="C39">
        <v>44.14</v>
      </c>
      <c r="D39">
        <v>43.8</v>
      </c>
      <c r="E39">
        <v>43.89</v>
      </c>
      <c r="F39">
        <v>3109600</v>
      </c>
      <c r="G39">
        <v>43.89</v>
      </c>
    </row>
    <row r="40" spans="1:7" x14ac:dyDescent="0.25">
      <c r="A40" s="34">
        <v>41873</v>
      </c>
      <c r="B40">
        <v>43.82</v>
      </c>
      <c r="C40">
        <v>44.04</v>
      </c>
      <c r="D40">
        <v>43.5</v>
      </c>
      <c r="E40">
        <v>43.68</v>
      </c>
      <c r="F40">
        <v>2823900</v>
      </c>
      <c r="G40">
        <v>43.68</v>
      </c>
    </row>
    <row r="41" spans="1:7" x14ac:dyDescent="0.25">
      <c r="A41" s="34">
        <v>41876</v>
      </c>
      <c r="B41">
        <v>43.8</v>
      </c>
      <c r="C41">
        <v>44.02</v>
      </c>
      <c r="D41">
        <v>43.72</v>
      </c>
      <c r="E41">
        <v>43.9</v>
      </c>
      <c r="F41">
        <v>2091500</v>
      </c>
      <c r="G41">
        <v>43.9</v>
      </c>
    </row>
    <row r="42" spans="1:7" x14ac:dyDescent="0.25">
      <c r="A42" s="34">
        <v>41877</v>
      </c>
      <c r="B42">
        <v>43.99</v>
      </c>
      <c r="C42">
        <v>44.08</v>
      </c>
      <c r="D42">
        <v>43.5</v>
      </c>
      <c r="E42">
        <v>43.54</v>
      </c>
      <c r="F42">
        <v>2242600</v>
      </c>
      <c r="G42">
        <v>43.54</v>
      </c>
    </row>
    <row r="43" spans="1:7" x14ac:dyDescent="0.25">
      <c r="A43" s="34">
        <v>41878</v>
      </c>
      <c r="B43">
        <v>43.54</v>
      </c>
      <c r="C43">
        <v>43.84</v>
      </c>
      <c r="D43">
        <v>43.54</v>
      </c>
      <c r="E43">
        <v>43.83</v>
      </c>
      <c r="F43">
        <v>2384400</v>
      </c>
      <c r="G43">
        <v>43.83</v>
      </c>
    </row>
    <row r="44" spans="1:7" x14ac:dyDescent="0.25">
      <c r="A44" s="34">
        <v>41879</v>
      </c>
      <c r="B44">
        <v>43.69</v>
      </c>
      <c r="C44">
        <v>44.27</v>
      </c>
      <c r="D44">
        <v>43.69</v>
      </c>
      <c r="E44">
        <v>44.23</v>
      </c>
      <c r="F44">
        <v>2949900</v>
      </c>
      <c r="G44">
        <v>44.23</v>
      </c>
    </row>
    <row r="45" spans="1:7" x14ac:dyDescent="0.25">
      <c r="A45" s="34">
        <v>41880</v>
      </c>
      <c r="B45">
        <v>44.18</v>
      </c>
      <c r="C45">
        <v>44.4</v>
      </c>
      <c r="D45">
        <v>44.06</v>
      </c>
      <c r="E45">
        <v>44.4</v>
      </c>
      <c r="F45">
        <v>2615100</v>
      </c>
      <c r="G45">
        <v>44.4</v>
      </c>
    </row>
    <row r="46" spans="1:7" x14ac:dyDescent="0.25">
      <c r="A46" s="34">
        <v>41884</v>
      </c>
      <c r="B46">
        <v>44.32</v>
      </c>
      <c r="C46">
        <v>44.44</v>
      </c>
      <c r="D46">
        <v>43.61</v>
      </c>
      <c r="E46">
        <v>43.8</v>
      </c>
      <c r="F46">
        <v>3755100</v>
      </c>
      <c r="G46">
        <v>43.8</v>
      </c>
    </row>
    <row r="47" spans="1:7" x14ac:dyDescent="0.25">
      <c r="A47" s="34">
        <v>41885</v>
      </c>
      <c r="B47">
        <v>43.94</v>
      </c>
      <c r="C47">
        <v>44.26</v>
      </c>
      <c r="D47">
        <v>43.94</v>
      </c>
      <c r="E47">
        <v>44.18</v>
      </c>
      <c r="F47">
        <v>2807400</v>
      </c>
      <c r="G47">
        <v>44.18</v>
      </c>
    </row>
    <row r="48" spans="1:7" x14ac:dyDescent="0.25">
      <c r="A48" s="34">
        <v>41886</v>
      </c>
      <c r="B48">
        <v>44.07</v>
      </c>
      <c r="C48">
        <v>44.22</v>
      </c>
      <c r="D48">
        <v>43.78</v>
      </c>
      <c r="E48">
        <v>44.16</v>
      </c>
      <c r="F48">
        <v>3249800</v>
      </c>
      <c r="G48">
        <v>44.16</v>
      </c>
    </row>
    <row r="49" spans="1:7" x14ac:dyDescent="0.25">
      <c r="A49" s="34">
        <v>41887</v>
      </c>
      <c r="B49">
        <v>44.32</v>
      </c>
      <c r="C49">
        <v>44.79</v>
      </c>
      <c r="D49">
        <v>44.26</v>
      </c>
      <c r="E49">
        <v>44.79</v>
      </c>
      <c r="F49">
        <v>6021000</v>
      </c>
      <c r="G49">
        <v>44.79</v>
      </c>
    </row>
    <row r="50" spans="1:7" x14ac:dyDescent="0.25">
      <c r="A50" s="34">
        <v>41890</v>
      </c>
      <c r="B50">
        <v>44.71</v>
      </c>
      <c r="C50">
        <v>44.82</v>
      </c>
      <c r="D50">
        <v>44.35</v>
      </c>
      <c r="E50">
        <v>44.56</v>
      </c>
      <c r="F50">
        <v>3189100</v>
      </c>
      <c r="G50">
        <v>44.56</v>
      </c>
    </row>
    <row r="51" spans="1:7" x14ac:dyDescent="0.25">
      <c r="A51" s="34">
        <v>41891</v>
      </c>
      <c r="B51">
        <v>44.42</v>
      </c>
      <c r="C51">
        <v>44.5</v>
      </c>
      <c r="D51">
        <v>43.9</v>
      </c>
      <c r="E51">
        <v>43.97</v>
      </c>
      <c r="F51">
        <v>6825800</v>
      </c>
      <c r="G51">
        <v>43.97</v>
      </c>
    </row>
    <row r="52" spans="1:7" x14ac:dyDescent="0.25">
      <c r="A52" s="34">
        <v>41892</v>
      </c>
      <c r="B52">
        <v>43.9</v>
      </c>
      <c r="C52">
        <v>43.99</v>
      </c>
      <c r="D52">
        <v>43.6</v>
      </c>
      <c r="E52">
        <v>43.76</v>
      </c>
      <c r="F52">
        <v>2939700</v>
      </c>
      <c r="G52">
        <v>43.76</v>
      </c>
    </row>
    <row r="53" spans="1:7" x14ac:dyDescent="0.25">
      <c r="A53" s="34">
        <v>41893</v>
      </c>
      <c r="B53">
        <v>43.81</v>
      </c>
      <c r="C53">
        <v>44.1</v>
      </c>
      <c r="D53">
        <v>43.62</v>
      </c>
      <c r="E53">
        <v>44.06</v>
      </c>
      <c r="F53">
        <v>2844600</v>
      </c>
      <c r="G53">
        <v>44.06</v>
      </c>
    </row>
    <row r="54" spans="1:7" x14ac:dyDescent="0.25">
      <c r="A54" s="34">
        <v>41894</v>
      </c>
      <c r="B54">
        <v>43.85</v>
      </c>
      <c r="C54">
        <v>43.89</v>
      </c>
      <c r="D54">
        <v>43.25</v>
      </c>
      <c r="E54">
        <v>43.36</v>
      </c>
      <c r="F54">
        <v>4234500</v>
      </c>
      <c r="G54">
        <v>43.36</v>
      </c>
    </row>
    <row r="55" spans="1:7" x14ac:dyDescent="0.25">
      <c r="A55" s="34">
        <v>41897</v>
      </c>
      <c r="B55">
        <v>43.42</v>
      </c>
      <c r="C55">
        <v>43.68</v>
      </c>
      <c r="D55">
        <v>43.22</v>
      </c>
      <c r="E55">
        <v>43.37</v>
      </c>
      <c r="F55">
        <v>3919700</v>
      </c>
      <c r="G55">
        <v>43.37</v>
      </c>
    </row>
  </sheetData>
  <sortState ref="A3:G55">
    <sortCondition ref="A3:A55"/>
  </sortState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166.87</v>
      </c>
      <c r="C3">
        <v>167.51</v>
      </c>
      <c r="D3">
        <v>165.31</v>
      </c>
      <c r="E3">
        <v>166.88</v>
      </c>
      <c r="F3">
        <v>1093100</v>
      </c>
      <c r="G3">
        <v>165.58</v>
      </c>
    </row>
    <row r="4" spans="1:7" x14ac:dyDescent="0.25">
      <c r="A4" s="34">
        <v>41822</v>
      </c>
      <c r="B4">
        <v>166.7</v>
      </c>
      <c r="C4">
        <v>166.9</v>
      </c>
      <c r="D4">
        <v>165.45</v>
      </c>
      <c r="E4">
        <v>166.74</v>
      </c>
      <c r="F4">
        <v>900200</v>
      </c>
      <c r="G4">
        <v>165.44</v>
      </c>
    </row>
    <row r="5" spans="1:7" x14ac:dyDescent="0.25">
      <c r="A5" s="34">
        <v>41823</v>
      </c>
      <c r="B5">
        <v>166.68</v>
      </c>
      <c r="C5">
        <v>166.68</v>
      </c>
      <c r="D5">
        <v>164.94</v>
      </c>
      <c r="E5">
        <v>166.13</v>
      </c>
      <c r="F5">
        <v>831400</v>
      </c>
      <c r="G5">
        <v>164.84</v>
      </c>
    </row>
    <row r="6" spans="1:7" x14ac:dyDescent="0.25">
      <c r="A6" s="34">
        <v>41827</v>
      </c>
      <c r="B6">
        <v>166.13</v>
      </c>
      <c r="C6">
        <v>166.81</v>
      </c>
      <c r="D6">
        <v>165.8</v>
      </c>
      <c r="E6">
        <v>166.48</v>
      </c>
      <c r="F6">
        <v>1324700</v>
      </c>
      <c r="G6">
        <v>165.19</v>
      </c>
    </row>
    <row r="7" spans="1:7" x14ac:dyDescent="0.25">
      <c r="A7" s="34">
        <v>41828</v>
      </c>
      <c r="B7">
        <v>165.95</v>
      </c>
      <c r="C7">
        <v>167.69</v>
      </c>
      <c r="D7">
        <v>165.86</v>
      </c>
      <c r="E7">
        <v>166.71</v>
      </c>
      <c r="F7">
        <v>1183300</v>
      </c>
      <c r="G7">
        <v>165.41</v>
      </c>
    </row>
    <row r="8" spans="1:7" x14ac:dyDescent="0.25">
      <c r="A8" s="34">
        <v>41829</v>
      </c>
      <c r="B8">
        <v>165.96</v>
      </c>
      <c r="C8">
        <v>167.87</v>
      </c>
      <c r="D8">
        <v>165.07</v>
      </c>
      <c r="E8">
        <v>167.66</v>
      </c>
      <c r="F8">
        <v>1360000</v>
      </c>
      <c r="G8">
        <v>166.36</v>
      </c>
    </row>
    <row r="9" spans="1:7" x14ac:dyDescent="0.25">
      <c r="A9" s="34">
        <v>41830</v>
      </c>
      <c r="B9">
        <v>166.53</v>
      </c>
      <c r="C9">
        <v>169.13</v>
      </c>
      <c r="D9">
        <v>166.53</v>
      </c>
      <c r="E9">
        <v>168.22</v>
      </c>
      <c r="F9">
        <v>1026800</v>
      </c>
      <c r="G9">
        <v>166.91</v>
      </c>
    </row>
    <row r="10" spans="1:7" x14ac:dyDescent="0.25">
      <c r="A10" s="34">
        <v>41831</v>
      </c>
      <c r="B10">
        <v>167.97</v>
      </c>
      <c r="C10">
        <v>169.08</v>
      </c>
      <c r="D10">
        <v>167.55</v>
      </c>
      <c r="E10">
        <v>168.99</v>
      </c>
      <c r="F10">
        <v>837700</v>
      </c>
      <c r="G10">
        <v>167.68</v>
      </c>
    </row>
    <row r="11" spans="1:7" x14ac:dyDescent="0.25">
      <c r="A11" s="34">
        <v>41834</v>
      </c>
      <c r="B11">
        <v>169.1</v>
      </c>
      <c r="C11">
        <v>169.59</v>
      </c>
      <c r="D11">
        <v>168.4</v>
      </c>
      <c r="E11">
        <v>169.41</v>
      </c>
      <c r="F11">
        <v>982100</v>
      </c>
      <c r="G11">
        <v>168.09</v>
      </c>
    </row>
    <row r="12" spans="1:7" x14ac:dyDescent="0.25">
      <c r="A12" s="34">
        <v>41835</v>
      </c>
      <c r="B12">
        <v>169.45</v>
      </c>
      <c r="C12">
        <v>170.39</v>
      </c>
      <c r="D12">
        <v>168.84</v>
      </c>
      <c r="E12">
        <v>170.27</v>
      </c>
      <c r="F12">
        <v>1160400</v>
      </c>
      <c r="G12">
        <v>168.95</v>
      </c>
    </row>
    <row r="13" spans="1:7" x14ac:dyDescent="0.25">
      <c r="A13" s="34">
        <v>41836</v>
      </c>
      <c r="B13">
        <v>170.25</v>
      </c>
      <c r="C13">
        <v>170.98</v>
      </c>
      <c r="D13">
        <v>169.62</v>
      </c>
      <c r="E13">
        <v>170.86</v>
      </c>
      <c r="F13">
        <v>1264400</v>
      </c>
      <c r="G13">
        <v>169.53</v>
      </c>
    </row>
    <row r="14" spans="1:7" x14ac:dyDescent="0.25">
      <c r="A14" s="34">
        <v>41837</v>
      </c>
      <c r="B14">
        <v>170.19</v>
      </c>
      <c r="C14">
        <v>170.93</v>
      </c>
      <c r="D14">
        <v>169.44</v>
      </c>
      <c r="E14">
        <v>169.61</v>
      </c>
      <c r="F14">
        <v>683600</v>
      </c>
      <c r="G14">
        <v>168.29</v>
      </c>
    </row>
    <row r="15" spans="1:7" x14ac:dyDescent="0.25">
      <c r="A15" s="34">
        <v>41838</v>
      </c>
      <c r="B15">
        <v>170.29</v>
      </c>
      <c r="C15">
        <v>171.27</v>
      </c>
      <c r="D15">
        <v>169.68</v>
      </c>
      <c r="E15">
        <v>171.03</v>
      </c>
      <c r="F15">
        <v>866700</v>
      </c>
      <c r="G15">
        <v>169.7</v>
      </c>
    </row>
    <row r="16" spans="1:7" x14ac:dyDescent="0.25">
      <c r="A16" s="34">
        <v>41841</v>
      </c>
      <c r="B16">
        <v>170.8</v>
      </c>
      <c r="C16">
        <v>170.8</v>
      </c>
      <c r="D16">
        <v>169.62</v>
      </c>
      <c r="E16">
        <v>170.41</v>
      </c>
      <c r="F16">
        <v>913900</v>
      </c>
      <c r="G16">
        <v>169.08</v>
      </c>
    </row>
    <row r="17" spans="1:7" x14ac:dyDescent="0.25">
      <c r="A17" s="34">
        <v>41842</v>
      </c>
      <c r="B17">
        <v>170.03</v>
      </c>
      <c r="C17">
        <v>172.01</v>
      </c>
      <c r="D17">
        <v>170.03</v>
      </c>
      <c r="E17">
        <v>171.33</v>
      </c>
      <c r="F17">
        <v>1491100</v>
      </c>
      <c r="G17">
        <v>170</v>
      </c>
    </row>
    <row r="18" spans="1:7" x14ac:dyDescent="0.25">
      <c r="A18" s="34">
        <v>41843</v>
      </c>
      <c r="B18">
        <v>171.35</v>
      </c>
      <c r="C18">
        <v>172.72</v>
      </c>
      <c r="D18">
        <v>168.74</v>
      </c>
      <c r="E18">
        <v>170.42</v>
      </c>
      <c r="F18">
        <v>1873000</v>
      </c>
      <c r="G18">
        <v>169.09</v>
      </c>
    </row>
    <row r="19" spans="1:7" x14ac:dyDescent="0.25">
      <c r="A19" s="34">
        <v>41844</v>
      </c>
      <c r="B19">
        <v>170.88</v>
      </c>
      <c r="C19">
        <v>171.31</v>
      </c>
      <c r="D19">
        <v>169.28</v>
      </c>
      <c r="E19">
        <v>171.31</v>
      </c>
      <c r="F19">
        <v>1479500</v>
      </c>
      <c r="G19">
        <v>169.98</v>
      </c>
    </row>
    <row r="20" spans="1:7" x14ac:dyDescent="0.25">
      <c r="A20" s="34">
        <v>41845</v>
      </c>
      <c r="B20">
        <v>170.69</v>
      </c>
      <c r="C20">
        <v>171.11</v>
      </c>
      <c r="D20">
        <v>168.55</v>
      </c>
      <c r="E20">
        <v>168.97</v>
      </c>
      <c r="F20">
        <v>1140900</v>
      </c>
      <c r="G20">
        <v>167.66</v>
      </c>
    </row>
    <row r="21" spans="1:7" x14ac:dyDescent="0.25">
      <c r="A21" s="34">
        <v>41848</v>
      </c>
      <c r="B21">
        <v>169</v>
      </c>
      <c r="C21">
        <v>171</v>
      </c>
      <c r="D21">
        <v>168.81</v>
      </c>
      <c r="E21">
        <v>170.47</v>
      </c>
      <c r="F21">
        <v>820500</v>
      </c>
      <c r="G21">
        <v>169.14</v>
      </c>
    </row>
    <row r="22" spans="1:7" x14ac:dyDescent="0.25">
      <c r="A22" s="34">
        <v>41849</v>
      </c>
      <c r="B22">
        <v>170.21</v>
      </c>
      <c r="C22">
        <v>171.01</v>
      </c>
      <c r="D22">
        <v>169.63</v>
      </c>
      <c r="E22">
        <v>170.1</v>
      </c>
      <c r="F22">
        <v>979900</v>
      </c>
      <c r="G22">
        <v>168.78</v>
      </c>
    </row>
    <row r="23" spans="1:7" x14ac:dyDescent="0.25">
      <c r="A23" s="34">
        <v>41850</v>
      </c>
      <c r="B23">
        <v>170.09</v>
      </c>
      <c r="C23">
        <v>171.01</v>
      </c>
      <c r="D23">
        <v>169</v>
      </c>
      <c r="E23">
        <v>170.16</v>
      </c>
      <c r="F23">
        <v>1217400</v>
      </c>
      <c r="G23">
        <v>168.84</v>
      </c>
    </row>
    <row r="24" spans="1:7" x14ac:dyDescent="0.25">
      <c r="A24" s="34">
        <v>41851</v>
      </c>
      <c r="B24">
        <v>169.24</v>
      </c>
      <c r="C24">
        <v>169.96</v>
      </c>
      <c r="D24">
        <v>168.13</v>
      </c>
      <c r="E24">
        <v>168.19</v>
      </c>
      <c r="F24">
        <v>1293300</v>
      </c>
      <c r="G24">
        <v>166.88</v>
      </c>
    </row>
    <row r="25" spans="1:7" x14ac:dyDescent="0.25">
      <c r="A25" s="34">
        <v>41852</v>
      </c>
      <c r="B25">
        <v>166.13</v>
      </c>
      <c r="C25">
        <v>169.36</v>
      </c>
      <c r="D25">
        <v>165.82</v>
      </c>
      <c r="E25">
        <v>167.67</v>
      </c>
      <c r="F25">
        <v>1428500</v>
      </c>
      <c r="G25">
        <v>166.37</v>
      </c>
    </row>
    <row r="26" spans="1:7" x14ac:dyDescent="0.25">
      <c r="A26" s="34">
        <v>41855</v>
      </c>
      <c r="B26">
        <v>168.14</v>
      </c>
      <c r="C26">
        <v>168.93</v>
      </c>
      <c r="D26">
        <v>167.07</v>
      </c>
      <c r="E26">
        <v>168.38</v>
      </c>
      <c r="F26">
        <v>1228000</v>
      </c>
      <c r="G26">
        <v>167.07</v>
      </c>
    </row>
    <row r="27" spans="1:7" x14ac:dyDescent="0.25">
      <c r="A27" s="34">
        <v>41856</v>
      </c>
      <c r="B27">
        <v>168.2</v>
      </c>
      <c r="C27">
        <v>168.29</v>
      </c>
      <c r="D27">
        <v>165.98</v>
      </c>
      <c r="E27">
        <v>166.36</v>
      </c>
      <c r="F27">
        <v>1440500</v>
      </c>
      <c r="G27">
        <v>165.07</v>
      </c>
    </row>
    <row r="28" spans="1:7" x14ac:dyDescent="0.25">
      <c r="A28" s="34">
        <v>41857</v>
      </c>
      <c r="B28">
        <v>166.03</v>
      </c>
      <c r="C28">
        <v>166.77</v>
      </c>
      <c r="D28">
        <v>165.16</v>
      </c>
      <c r="E28">
        <v>165.3</v>
      </c>
      <c r="F28">
        <v>1569500</v>
      </c>
      <c r="G28">
        <v>164.01</v>
      </c>
    </row>
    <row r="29" spans="1:7" x14ac:dyDescent="0.25">
      <c r="A29" s="34">
        <v>41858</v>
      </c>
      <c r="B29">
        <v>165.58</v>
      </c>
      <c r="C29">
        <v>166.76</v>
      </c>
      <c r="D29">
        <v>165.02</v>
      </c>
      <c r="E29">
        <v>165.27</v>
      </c>
      <c r="F29">
        <v>1721300</v>
      </c>
      <c r="G29">
        <v>163.98</v>
      </c>
    </row>
    <row r="30" spans="1:7" x14ac:dyDescent="0.25">
      <c r="A30" s="34">
        <v>41859</v>
      </c>
      <c r="B30">
        <v>166.22</v>
      </c>
      <c r="C30">
        <v>166.74</v>
      </c>
      <c r="D30">
        <v>165.14</v>
      </c>
      <c r="E30">
        <v>166.28</v>
      </c>
      <c r="F30">
        <v>1628600</v>
      </c>
      <c r="G30">
        <v>164.99</v>
      </c>
    </row>
    <row r="31" spans="1:7" x14ac:dyDescent="0.25">
      <c r="A31" s="34">
        <v>41862</v>
      </c>
      <c r="B31">
        <v>166.63</v>
      </c>
      <c r="C31">
        <v>168.38</v>
      </c>
      <c r="D31">
        <v>166.3</v>
      </c>
      <c r="E31">
        <v>168.04</v>
      </c>
      <c r="F31">
        <v>1097900</v>
      </c>
      <c r="G31">
        <v>166.73</v>
      </c>
    </row>
    <row r="32" spans="1:7" x14ac:dyDescent="0.25">
      <c r="A32" s="34">
        <v>41863</v>
      </c>
      <c r="B32">
        <v>168.05</v>
      </c>
      <c r="C32">
        <v>168.26</v>
      </c>
      <c r="D32">
        <v>167.12</v>
      </c>
      <c r="E32">
        <v>167.13</v>
      </c>
      <c r="F32">
        <v>1250900</v>
      </c>
      <c r="G32">
        <v>165.83</v>
      </c>
    </row>
    <row r="33" spans="1:7" x14ac:dyDescent="0.25">
      <c r="A33" s="34">
        <v>41864</v>
      </c>
      <c r="B33">
        <v>166.45</v>
      </c>
      <c r="C33">
        <v>168.52</v>
      </c>
      <c r="D33">
        <v>166.45</v>
      </c>
      <c r="E33">
        <v>168.52</v>
      </c>
      <c r="F33">
        <v>1455900</v>
      </c>
      <c r="G33">
        <v>168.52</v>
      </c>
    </row>
    <row r="34" spans="1:7" x14ac:dyDescent="0.25">
      <c r="A34" s="34">
        <v>41865</v>
      </c>
      <c r="B34">
        <v>169.13</v>
      </c>
      <c r="C34">
        <v>169.28</v>
      </c>
      <c r="D34">
        <v>167.37</v>
      </c>
      <c r="E34">
        <v>168.25</v>
      </c>
      <c r="F34">
        <v>1189200</v>
      </c>
      <c r="G34">
        <v>168.25</v>
      </c>
    </row>
    <row r="35" spans="1:7" x14ac:dyDescent="0.25">
      <c r="A35" s="34">
        <v>41866</v>
      </c>
      <c r="B35">
        <v>169.09</v>
      </c>
      <c r="C35">
        <v>169.41</v>
      </c>
      <c r="D35">
        <v>167.77</v>
      </c>
      <c r="E35">
        <v>168.85</v>
      </c>
      <c r="F35">
        <v>2295400</v>
      </c>
      <c r="G35">
        <v>168.85</v>
      </c>
    </row>
    <row r="36" spans="1:7" x14ac:dyDescent="0.25">
      <c r="A36" s="34">
        <v>41869</v>
      </c>
      <c r="B36">
        <v>169.09</v>
      </c>
      <c r="C36">
        <v>170.42</v>
      </c>
      <c r="D36">
        <v>168.98</v>
      </c>
      <c r="E36">
        <v>170.24</v>
      </c>
      <c r="F36">
        <v>1020200</v>
      </c>
      <c r="G36">
        <v>170.24</v>
      </c>
    </row>
    <row r="37" spans="1:7" x14ac:dyDescent="0.25">
      <c r="A37" s="34">
        <v>41870</v>
      </c>
      <c r="B37">
        <v>170.2</v>
      </c>
      <c r="C37">
        <v>170.36</v>
      </c>
      <c r="D37">
        <v>169.31</v>
      </c>
      <c r="E37">
        <v>169.87</v>
      </c>
      <c r="F37">
        <v>998300</v>
      </c>
      <c r="G37">
        <v>169.87</v>
      </c>
    </row>
    <row r="38" spans="1:7" x14ac:dyDescent="0.25">
      <c r="A38" s="34">
        <v>41871</v>
      </c>
      <c r="B38">
        <v>169.8</v>
      </c>
      <c r="C38">
        <v>171</v>
      </c>
      <c r="D38">
        <v>168.77</v>
      </c>
      <c r="E38">
        <v>170.52</v>
      </c>
      <c r="F38">
        <v>794000</v>
      </c>
      <c r="G38">
        <v>170.52</v>
      </c>
    </row>
    <row r="39" spans="1:7" x14ac:dyDescent="0.25">
      <c r="A39" s="34">
        <v>41872</v>
      </c>
      <c r="B39">
        <v>170.96</v>
      </c>
      <c r="C39">
        <v>171.49</v>
      </c>
      <c r="D39">
        <v>170.29</v>
      </c>
      <c r="E39">
        <v>170.46</v>
      </c>
      <c r="F39">
        <v>865100</v>
      </c>
      <c r="G39">
        <v>170.46</v>
      </c>
    </row>
    <row r="40" spans="1:7" x14ac:dyDescent="0.25">
      <c r="A40" s="34">
        <v>41873</v>
      </c>
      <c r="B40">
        <v>170.19</v>
      </c>
      <c r="C40">
        <v>170.86</v>
      </c>
      <c r="D40">
        <v>169.27</v>
      </c>
      <c r="E40">
        <v>169.42</v>
      </c>
      <c r="F40">
        <v>1112400</v>
      </c>
      <c r="G40">
        <v>169.42</v>
      </c>
    </row>
    <row r="41" spans="1:7" x14ac:dyDescent="0.25">
      <c r="A41" s="34">
        <v>41876</v>
      </c>
      <c r="B41">
        <v>169.9</v>
      </c>
      <c r="C41">
        <v>170.27</v>
      </c>
      <c r="D41">
        <v>168.79</v>
      </c>
      <c r="E41">
        <v>169.21</v>
      </c>
      <c r="F41">
        <v>943900</v>
      </c>
      <c r="G41">
        <v>169.21</v>
      </c>
    </row>
    <row r="42" spans="1:7" x14ac:dyDescent="0.25">
      <c r="A42" s="34">
        <v>41877</v>
      </c>
      <c r="B42">
        <v>168.87</v>
      </c>
      <c r="C42">
        <v>170.28</v>
      </c>
      <c r="D42">
        <v>168.55</v>
      </c>
      <c r="E42">
        <v>169.25</v>
      </c>
      <c r="F42">
        <v>818700</v>
      </c>
      <c r="G42">
        <v>169.25</v>
      </c>
    </row>
    <row r="43" spans="1:7" x14ac:dyDescent="0.25">
      <c r="A43" s="34">
        <v>41878</v>
      </c>
      <c r="B43">
        <v>169.25</v>
      </c>
      <c r="C43">
        <v>169.76</v>
      </c>
      <c r="D43">
        <v>168.75</v>
      </c>
      <c r="E43">
        <v>169.51</v>
      </c>
      <c r="F43">
        <v>639500</v>
      </c>
      <c r="G43">
        <v>169.51</v>
      </c>
    </row>
    <row r="44" spans="1:7" x14ac:dyDescent="0.25">
      <c r="A44" s="34">
        <v>41879</v>
      </c>
      <c r="B44">
        <v>169.08</v>
      </c>
      <c r="C44">
        <v>169.67</v>
      </c>
      <c r="D44">
        <v>168.65</v>
      </c>
      <c r="E44">
        <v>168.98</v>
      </c>
      <c r="F44">
        <v>725700</v>
      </c>
      <c r="G44">
        <v>168.98</v>
      </c>
    </row>
    <row r="45" spans="1:7" x14ac:dyDescent="0.25">
      <c r="A45" s="34">
        <v>41880</v>
      </c>
      <c r="B45">
        <v>169.6</v>
      </c>
      <c r="C45">
        <v>170.43</v>
      </c>
      <c r="D45">
        <v>168.98</v>
      </c>
      <c r="E45">
        <v>170.03</v>
      </c>
      <c r="F45">
        <v>1641300</v>
      </c>
      <c r="G45">
        <v>170.03</v>
      </c>
    </row>
    <row r="46" spans="1:7" x14ac:dyDescent="0.25">
      <c r="A46" s="34">
        <v>41884</v>
      </c>
      <c r="B46">
        <v>170.62</v>
      </c>
      <c r="C46">
        <v>170.74</v>
      </c>
      <c r="D46">
        <v>169.63</v>
      </c>
      <c r="E46">
        <v>170.12</v>
      </c>
      <c r="F46">
        <v>940800</v>
      </c>
      <c r="G46">
        <v>170.12</v>
      </c>
    </row>
    <row r="47" spans="1:7" x14ac:dyDescent="0.25">
      <c r="A47" s="34">
        <v>41885</v>
      </c>
      <c r="B47">
        <v>170.53</v>
      </c>
      <c r="C47">
        <v>172.21</v>
      </c>
      <c r="D47">
        <v>169.68</v>
      </c>
      <c r="E47">
        <v>170.79</v>
      </c>
      <c r="F47">
        <v>829900</v>
      </c>
      <c r="G47">
        <v>170.79</v>
      </c>
    </row>
    <row r="48" spans="1:7" x14ac:dyDescent="0.25">
      <c r="A48" s="34">
        <v>41886</v>
      </c>
      <c r="B48">
        <v>170.76</v>
      </c>
      <c r="C48">
        <v>172.07</v>
      </c>
      <c r="D48">
        <v>169.86</v>
      </c>
      <c r="E48">
        <v>170.3</v>
      </c>
      <c r="F48">
        <v>1066000</v>
      </c>
      <c r="G48">
        <v>170.3</v>
      </c>
    </row>
    <row r="49" spans="1:7" x14ac:dyDescent="0.25">
      <c r="A49" s="34">
        <v>41887</v>
      </c>
      <c r="B49">
        <v>170.81</v>
      </c>
      <c r="C49">
        <v>173.31</v>
      </c>
      <c r="D49">
        <v>170.59</v>
      </c>
      <c r="E49">
        <v>173.18</v>
      </c>
      <c r="F49">
        <v>1410000</v>
      </c>
      <c r="G49">
        <v>173.18</v>
      </c>
    </row>
    <row r="50" spans="1:7" x14ac:dyDescent="0.25">
      <c r="A50" s="34">
        <v>41890</v>
      </c>
      <c r="B50">
        <v>172.86</v>
      </c>
      <c r="C50">
        <v>173.23</v>
      </c>
      <c r="D50">
        <v>172.12</v>
      </c>
      <c r="E50">
        <v>172.39</v>
      </c>
      <c r="F50">
        <v>877600</v>
      </c>
      <c r="G50">
        <v>172.39</v>
      </c>
    </row>
    <row r="51" spans="1:7" x14ac:dyDescent="0.25">
      <c r="A51" s="34">
        <v>41891</v>
      </c>
      <c r="B51">
        <v>172.05</v>
      </c>
      <c r="C51">
        <v>172.96</v>
      </c>
      <c r="D51">
        <v>171.62</v>
      </c>
      <c r="E51">
        <v>172.44</v>
      </c>
      <c r="F51">
        <v>1089500</v>
      </c>
      <c r="G51">
        <v>172.44</v>
      </c>
    </row>
    <row r="52" spans="1:7" x14ac:dyDescent="0.25">
      <c r="A52" s="34">
        <v>41892</v>
      </c>
      <c r="B52">
        <v>172.11</v>
      </c>
      <c r="C52">
        <v>172.77</v>
      </c>
      <c r="D52">
        <v>170.05</v>
      </c>
      <c r="E52">
        <v>170.43</v>
      </c>
      <c r="F52">
        <v>1368900</v>
      </c>
      <c r="G52">
        <v>170.43</v>
      </c>
    </row>
    <row r="53" spans="1:7" x14ac:dyDescent="0.25">
      <c r="A53" s="34">
        <v>41893</v>
      </c>
      <c r="B53">
        <v>170.3</v>
      </c>
      <c r="C53">
        <v>170.99</v>
      </c>
      <c r="D53">
        <v>169.33</v>
      </c>
      <c r="E53">
        <v>169.92</v>
      </c>
      <c r="F53">
        <v>1193500</v>
      </c>
      <c r="G53">
        <v>169.92</v>
      </c>
    </row>
    <row r="54" spans="1:7" x14ac:dyDescent="0.25">
      <c r="A54" s="34">
        <v>41894</v>
      </c>
      <c r="B54">
        <v>169.49</v>
      </c>
      <c r="C54">
        <v>169.54</v>
      </c>
      <c r="D54">
        <v>164.2</v>
      </c>
      <c r="E54">
        <v>165.5</v>
      </c>
      <c r="F54">
        <v>2819600</v>
      </c>
      <c r="G54">
        <v>165.5</v>
      </c>
    </row>
    <row r="55" spans="1:7" x14ac:dyDescent="0.25">
      <c r="A55" s="34">
        <v>41897</v>
      </c>
      <c r="B55">
        <v>165.52</v>
      </c>
      <c r="C55">
        <v>166.23</v>
      </c>
      <c r="D55">
        <v>164.44</v>
      </c>
      <c r="E55">
        <v>165.54</v>
      </c>
      <c r="F55">
        <v>1538200</v>
      </c>
      <c r="G55">
        <v>165.54</v>
      </c>
    </row>
  </sheetData>
  <sortState ref="A3:G55">
    <sortCondition ref="A3:A55"/>
  </sortState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35.229999999999997</v>
      </c>
      <c r="C3">
        <v>35.53</v>
      </c>
      <c r="D3">
        <v>35.15</v>
      </c>
      <c r="E3">
        <v>35.479999999999997</v>
      </c>
      <c r="F3">
        <v>21774600</v>
      </c>
      <c r="G3">
        <v>35.03</v>
      </c>
    </row>
    <row r="4" spans="1:7" x14ac:dyDescent="0.25">
      <c r="A4" s="34">
        <v>41822</v>
      </c>
      <c r="B4">
        <v>35.479999999999997</v>
      </c>
      <c r="C4">
        <v>35.67</v>
      </c>
      <c r="D4">
        <v>35.43</v>
      </c>
      <c r="E4">
        <v>35.67</v>
      </c>
      <c r="F4">
        <v>14225800</v>
      </c>
      <c r="G4">
        <v>35.21</v>
      </c>
    </row>
    <row r="5" spans="1:7" x14ac:dyDescent="0.25">
      <c r="A5" s="34">
        <v>41823</v>
      </c>
      <c r="B5">
        <v>35.85</v>
      </c>
      <c r="C5">
        <v>35.869999999999997</v>
      </c>
      <c r="D5">
        <v>35.69</v>
      </c>
      <c r="E5">
        <v>35.840000000000003</v>
      </c>
      <c r="F5">
        <v>11681200</v>
      </c>
      <c r="G5">
        <v>35.380000000000003</v>
      </c>
    </row>
    <row r="6" spans="1:7" x14ac:dyDescent="0.25">
      <c r="A6" s="34">
        <v>41827</v>
      </c>
      <c r="B6">
        <v>35.9</v>
      </c>
      <c r="C6">
        <v>36.1</v>
      </c>
      <c r="D6">
        <v>35.85</v>
      </c>
      <c r="E6">
        <v>36.020000000000003</v>
      </c>
      <c r="F6">
        <v>19577000</v>
      </c>
      <c r="G6">
        <v>35.56</v>
      </c>
    </row>
    <row r="7" spans="1:7" x14ac:dyDescent="0.25">
      <c r="A7" s="34">
        <v>41828</v>
      </c>
      <c r="B7">
        <v>35.54</v>
      </c>
      <c r="C7">
        <v>35.729999999999997</v>
      </c>
      <c r="D7">
        <v>35.409999999999997</v>
      </c>
      <c r="E7">
        <v>35.56</v>
      </c>
      <c r="F7">
        <v>20139500</v>
      </c>
      <c r="G7">
        <v>35.56</v>
      </c>
    </row>
    <row r="8" spans="1:7" x14ac:dyDescent="0.25">
      <c r="A8" s="34">
        <v>41829</v>
      </c>
      <c r="B8">
        <v>35.700000000000003</v>
      </c>
      <c r="C8">
        <v>35.72</v>
      </c>
      <c r="D8">
        <v>35.51</v>
      </c>
      <c r="E8">
        <v>35.65</v>
      </c>
      <c r="F8">
        <v>15910100</v>
      </c>
      <c r="G8">
        <v>35.65</v>
      </c>
    </row>
    <row r="9" spans="1:7" x14ac:dyDescent="0.25">
      <c r="A9" s="34">
        <v>41830</v>
      </c>
      <c r="B9">
        <v>35.380000000000003</v>
      </c>
      <c r="C9">
        <v>35.770000000000003</v>
      </c>
      <c r="D9">
        <v>35.380000000000003</v>
      </c>
      <c r="E9">
        <v>35.700000000000003</v>
      </c>
      <c r="F9">
        <v>14594000</v>
      </c>
      <c r="G9">
        <v>35.700000000000003</v>
      </c>
    </row>
    <row r="10" spans="1:7" x14ac:dyDescent="0.25">
      <c r="A10" s="34">
        <v>41831</v>
      </c>
      <c r="B10">
        <v>35.72</v>
      </c>
      <c r="C10">
        <v>35.83</v>
      </c>
      <c r="D10">
        <v>35.57</v>
      </c>
      <c r="E10">
        <v>35.76</v>
      </c>
      <c r="F10">
        <v>11559400</v>
      </c>
      <c r="G10">
        <v>35.76</v>
      </c>
    </row>
    <row r="11" spans="1:7" x14ac:dyDescent="0.25">
      <c r="A11" s="34">
        <v>41834</v>
      </c>
      <c r="B11">
        <v>35.86</v>
      </c>
      <c r="C11">
        <v>35.94</v>
      </c>
      <c r="D11">
        <v>35.71</v>
      </c>
      <c r="E11">
        <v>35.86</v>
      </c>
      <c r="F11">
        <v>12564400</v>
      </c>
      <c r="G11">
        <v>35.86</v>
      </c>
    </row>
    <row r="12" spans="1:7" x14ac:dyDescent="0.25">
      <c r="A12" s="34">
        <v>41835</v>
      </c>
      <c r="B12">
        <v>35.950000000000003</v>
      </c>
      <c r="C12">
        <v>36.35</v>
      </c>
      <c r="D12">
        <v>35.92</v>
      </c>
      <c r="E12">
        <v>36.24</v>
      </c>
      <c r="F12">
        <v>34987200</v>
      </c>
      <c r="G12">
        <v>36.24</v>
      </c>
    </row>
    <row r="13" spans="1:7" x14ac:dyDescent="0.25">
      <c r="A13" s="34">
        <v>41836</v>
      </c>
      <c r="B13">
        <v>36.450000000000003</v>
      </c>
      <c r="C13">
        <v>36.549999999999997</v>
      </c>
      <c r="D13">
        <v>36.33</v>
      </c>
      <c r="E13">
        <v>36.450000000000003</v>
      </c>
      <c r="F13">
        <v>20223000</v>
      </c>
      <c r="G13">
        <v>36.450000000000003</v>
      </c>
    </row>
    <row r="14" spans="1:7" x14ac:dyDescent="0.25">
      <c r="A14" s="34">
        <v>41837</v>
      </c>
      <c r="B14">
        <v>36.270000000000003</v>
      </c>
      <c r="C14">
        <v>36.47</v>
      </c>
      <c r="D14">
        <v>35.979999999999997</v>
      </c>
      <c r="E14">
        <v>36.03</v>
      </c>
      <c r="F14">
        <v>19128400</v>
      </c>
      <c r="G14">
        <v>36.03</v>
      </c>
    </row>
    <row r="15" spans="1:7" x14ac:dyDescent="0.25">
      <c r="A15" s="34">
        <v>41838</v>
      </c>
      <c r="B15">
        <v>36.18</v>
      </c>
      <c r="C15">
        <v>36.19</v>
      </c>
      <c r="D15">
        <v>36</v>
      </c>
      <c r="E15">
        <v>36.17</v>
      </c>
      <c r="F15">
        <v>16132500</v>
      </c>
      <c r="G15">
        <v>36.17</v>
      </c>
    </row>
    <row r="16" spans="1:7" x14ac:dyDescent="0.25">
      <c r="A16" s="34">
        <v>41841</v>
      </c>
      <c r="B16">
        <v>36.07</v>
      </c>
      <c r="C16">
        <v>36.159999999999997</v>
      </c>
      <c r="D16">
        <v>35.880000000000003</v>
      </c>
      <c r="E16">
        <v>35.96</v>
      </c>
      <c r="F16">
        <v>20917400</v>
      </c>
      <c r="G16">
        <v>35.96</v>
      </c>
    </row>
    <row r="17" spans="1:7" x14ac:dyDescent="0.25">
      <c r="A17" s="34">
        <v>41842</v>
      </c>
      <c r="B17">
        <v>36.03</v>
      </c>
      <c r="C17">
        <v>36.1</v>
      </c>
      <c r="D17">
        <v>35.770000000000003</v>
      </c>
      <c r="E17">
        <v>35.94</v>
      </c>
      <c r="F17">
        <v>18185700</v>
      </c>
      <c r="G17">
        <v>35.94</v>
      </c>
    </row>
    <row r="18" spans="1:7" x14ac:dyDescent="0.25">
      <c r="A18" s="34">
        <v>41843</v>
      </c>
      <c r="B18">
        <v>35.9</v>
      </c>
      <c r="C18">
        <v>35.96</v>
      </c>
      <c r="D18">
        <v>35.799999999999997</v>
      </c>
      <c r="E18">
        <v>35.880000000000003</v>
      </c>
      <c r="F18">
        <v>15146600</v>
      </c>
      <c r="G18">
        <v>35.880000000000003</v>
      </c>
    </row>
    <row r="19" spans="1:7" x14ac:dyDescent="0.25">
      <c r="A19" s="34">
        <v>41844</v>
      </c>
      <c r="B19">
        <v>35.43</v>
      </c>
      <c r="C19">
        <v>35.72</v>
      </c>
      <c r="D19">
        <v>35.03</v>
      </c>
      <c r="E19">
        <v>35.5</v>
      </c>
      <c r="F19">
        <v>44661700</v>
      </c>
      <c r="G19">
        <v>35.5</v>
      </c>
    </row>
    <row r="20" spans="1:7" x14ac:dyDescent="0.25">
      <c r="A20" s="34">
        <v>41845</v>
      </c>
      <c r="B20">
        <v>35.369999999999997</v>
      </c>
      <c r="C20">
        <v>35.700000000000003</v>
      </c>
      <c r="D20">
        <v>35.36</v>
      </c>
      <c r="E20">
        <v>35.54</v>
      </c>
      <c r="F20">
        <v>18663300</v>
      </c>
      <c r="G20">
        <v>35.54</v>
      </c>
    </row>
    <row r="21" spans="1:7" x14ac:dyDescent="0.25">
      <c r="A21" s="34">
        <v>41848</v>
      </c>
      <c r="B21">
        <v>35.549999999999997</v>
      </c>
      <c r="C21">
        <v>35.770000000000003</v>
      </c>
      <c r="D21">
        <v>35.5</v>
      </c>
      <c r="E21">
        <v>35.65</v>
      </c>
      <c r="F21">
        <v>20593000</v>
      </c>
      <c r="G21">
        <v>35.65</v>
      </c>
    </row>
    <row r="22" spans="1:7" x14ac:dyDescent="0.25">
      <c r="A22" s="34">
        <v>41849</v>
      </c>
      <c r="B22">
        <v>37.43</v>
      </c>
      <c r="C22">
        <v>37.479999999999997</v>
      </c>
      <c r="D22">
        <v>36.46</v>
      </c>
      <c r="E22">
        <v>36.590000000000003</v>
      </c>
      <c r="F22">
        <v>92432900</v>
      </c>
      <c r="G22">
        <v>36.590000000000003</v>
      </c>
    </row>
    <row r="23" spans="1:7" x14ac:dyDescent="0.25">
      <c r="A23" s="34">
        <v>41850</v>
      </c>
      <c r="B23">
        <v>36.450000000000003</v>
      </c>
      <c r="C23">
        <v>36.630000000000003</v>
      </c>
      <c r="D23">
        <v>36.07</v>
      </c>
      <c r="E23">
        <v>36.36</v>
      </c>
      <c r="F23">
        <v>20446300</v>
      </c>
      <c r="G23">
        <v>36.36</v>
      </c>
    </row>
    <row r="24" spans="1:7" x14ac:dyDescent="0.25">
      <c r="A24" s="34">
        <v>41851</v>
      </c>
      <c r="B24">
        <v>36.049999999999997</v>
      </c>
      <c r="C24">
        <v>36.21</v>
      </c>
      <c r="D24">
        <v>35.51</v>
      </c>
      <c r="E24">
        <v>35.590000000000003</v>
      </c>
      <c r="F24">
        <v>34603600</v>
      </c>
      <c r="G24">
        <v>35.590000000000003</v>
      </c>
    </row>
    <row r="25" spans="1:7" x14ac:dyDescent="0.25">
      <c r="A25" s="34">
        <v>41852</v>
      </c>
      <c r="B25">
        <v>35.78</v>
      </c>
      <c r="C25">
        <v>35.82</v>
      </c>
      <c r="D25">
        <v>35.28</v>
      </c>
      <c r="E25">
        <v>35.33</v>
      </c>
      <c r="F25">
        <v>23962400</v>
      </c>
      <c r="G25">
        <v>35.33</v>
      </c>
    </row>
    <row r="26" spans="1:7" x14ac:dyDescent="0.25">
      <c r="A26" s="34">
        <v>41855</v>
      </c>
      <c r="B26">
        <v>35.369999999999997</v>
      </c>
      <c r="C26">
        <v>35.53</v>
      </c>
      <c r="D26">
        <v>35.200000000000003</v>
      </c>
      <c r="E26">
        <v>35.46</v>
      </c>
      <c r="F26">
        <v>21300200</v>
      </c>
      <c r="G26">
        <v>35.46</v>
      </c>
    </row>
    <row r="27" spans="1:7" x14ac:dyDescent="0.25">
      <c r="A27" s="34">
        <v>41856</v>
      </c>
      <c r="B27">
        <v>35.36</v>
      </c>
      <c r="C27">
        <v>35.46</v>
      </c>
      <c r="D27">
        <v>35.01</v>
      </c>
      <c r="E27">
        <v>35.11</v>
      </c>
      <c r="F27">
        <v>19505100</v>
      </c>
      <c r="G27">
        <v>35.11</v>
      </c>
    </row>
    <row r="28" spans="1:7" x14ac:dyDescent="0.25">
      <c r="A28" s="34">
        <v>41857</v>
      </c>
      <c r="B28">
        <v>35</v>
      </c>
      <c r="C28">
        <v>35.020000000000003</v>
      </c>
      <c r="D28">
        <v>34.36</v>
      </c>
      <c r="E28">
        <v>34.619999999999997</v>
      </c>
      <c r="F28">
        <v>35923400</v>
      </c>
      <c r="G28">
        <v>34.619999999999997</v>
      </c>
    </row>
    <row r="29" spans="1:7" x14ac:dyDescent="0.25">
      <c r="A29" s="34">
        <v>41858</v>
      </c>
      <c r="B29">
        <v>34.75</v>
      </c>
      <c r="C29">
        <v>34.79</v>
      </c>
      <c r="D29">
        <v>34.17</v>
      </c>
      <c r="E29">
        <v>34.21</v>
      </c>
      <c r="F29">
        <v>20749200</v>
      </c>
      <c r="G29">
        <v>34.21</v>
      </c>
    </row>
    <row r="30" spans="1:7" x14ac:dyDescent="0.25">
      <c r="A30" s="34">
        <v>41859</v>
      </c>
      <c r="B30">
        <v>34.299999999999997</v>
      </c>
      <c r="C30">
        <v>34.5</v>
      </c>
      <c r="D30">
        <v>34.18</v>
      </c>
      <c r="E30">
        <v>34.47</v>
      </c>
      <c r="F30">
        <v>18755100</v>
      </c>
      <c r="G30">
        <v>34.47</v>
      </c>
    </row>
    <row r="31" spans="1:7" x14ac:dyDescent="0.25">
      <c r="A31" s="34">
        <v>41862</v>
      </c>
      <c r="B31">
        <v>34.69</v>
      </c>
      <c r="C31">
        <v>34.76</v>
      </c>
      <c r="D31">
        <v>34.409999999999997</v>
      </c>
      <c r="E31">
        <v>34.47</v>
      </c>
      <c r="F31">
        <v>14705400</v>
      </c>
      <c r="G31">
        <v>34.47</v>
      </c>
    </row>
    <row r="32" spans="1:7" x14ac:dyDescent="0.25">
      <c r="A32" s="34">
        <v>41863</v>
      </c>
      <c r="B32">
        <v>34.58</v>
      </c>
      <c r="C32">
        <v>34.700000000000003</v>
      </c>
      <c r="D32">
        <v>34.479999999999997</v>
      </c>
      <c r="E32">
        <v>34.64</v>
      </c>
      <c r="F32">
        <v>15322900</v>
      </c>
      <c r="G32">
        <v>34.64</v>
      </c>
    </row>
    <row r="33" spans="1:7" x14ac:dyDescent="0.25">
      <c r="A33" s="34">
        <v>41864</v>
      </c>
      <c r="B33">
        <v>34.75</v>
      </c>
      <c r="C33">
        <v>34.83</v>
      </c>
      <c r="D33">
        <v>34.5</v>
      </c>
      <c r="E33">
        <v>34.69</v>
      </c>
      <c r="F33">
        <v>15950600</v>
      </c>
      <c r="G33">
        <v>34.69</v>
      </c>
    </row>
    <row r="34" spans="1:7" x14ac:dyDescent="0.25">
      <c r="A34" s="34">
        <v>41865</v>
      </c>
      <c r="B34">
        <v>34.83</v>
      </c>
      <c r="C34">
        <v>34.93</v>
      </c>
      <c r="D34">
        <v>34.6</v>
      </c>
      <c r="E34">
        <v>34.909999999999997</v>
      </c>
      <c r="F34">
        <v>14587700</v>
      </c>
      <c r="G34">
        <v>34.909999999999997</v>
      </c>
    </row>
    <row r="35" spans="1:7" x14ac:dyDescent="0.25">
      <c r="A35" s="34">
        <v>41866</v>
      </c>
      <c r="B35">
        <v>34.93</v>
      </c>
      <c r="C35">
        <v>34.97</v>
      </c>
      <c r="D35">
        <v>34.46</v>
      </c>
      <c r="E35">
        <v>34.74</v>
      </c>
      <c r="F35">
        <v>26952100</v>
      </c>
      <c r="G35">
        <v>34.74</v>
      </c>
    </row>
    <row r="36" spans="1:7" x14ac:dyDescent="0.25">
      <c r="A36" s="34">
        <v>41869</v>
      </c>
      <c r="B36">
        <v>34.869999999999997</v>
      </c>
      <c r="C36">
        <v>34.9</v>
      </c>
      <c r="D36">
        <v>34.57</v>
      </c>
      <c r="E36">
        <v>34.65</v>
      </c>
      <c r="F36">
        <v>18465500</v>
      </c>
      <c r="G36">
        <v>34.65</v>
      </c>
    </row>
    <row r="37" spans="1:7" x14ac:dyDescent="0.25">
      <c r="A37" s="34">
        <v>41870</v>
      </c>
      <c r="B37">
        <v>34.69</v>
      </c>
      <c r="C37">
        <v>34.69</v>
      </c>
      <c r="D37">
        <v>34.33</v>
      </c>
      <c r="E37">
        <v>34.479999999999997</v>
      </c>
      <c r="F37">
        <v>20467600</v>
      </c>
      <c r="G37">
        <v>34.479999999999997</v>
      </c>
    </row>
    <row r="38" spans="1:7" x14ac:dyDescent="0.25">
      <c r="A38" s="34">
        <v>41871</v>
      </c>
      <c r="B38">
        <v>34.54</v>
      </c>
      <c r="C38">
        <v>34.56</v>
      </c>
      <c r="D38">
        <v>34.44</v>
      </c>
      <c r="E38">
        <v>34.53</v>
      </c>
      <c r="F38">
        <v>12549500</v>
      </c>
      <c r="G38">
        <v>34.53</v>
      </c>
    </row>
    <row r="39" spans="1:7" x14ac:dyDescent="0.25">
      <c r="A39" s="34">
        <v>41872</v>
      </c>
      <c r="B39">
        <v>34.53</v>
      </c>
      <c r="C39">
        <v>34.75</v>
      </c>
      <c r="D39">
        <v>34.51</v>
      </c>
      <c r="E39">
        <v>34.64</v>
      </c>
      <c r="F39">
        <v>15931900</v>
      </c>
      <c r="G39">
        <v>34.64</v>
      </c>
    </row>
    <row r="40" spans="1:7" x14ac:dyDescent="0.25">
      <c r="A40" s="34">
        <v>41873</v>
      </c>
      <c r="B40">
        <v>34.56</v>
      </c>
      <c r="C40">
        <v>34.630000000000003</v>
      </c>
      <c r="D40">
        <v>34.35</v>
      </c>
      <c r="E40">
        <v>34.5</v>
      </c>
      <c r="F40">
        <v>14285400</v>
      </c>
      <c r="G40">
        <v>34.5</v>
      </c>
    </row>
    <row r="41" spans="1:7" x14ac:dyDescent="0.25">
      <c r="A41" s="34">
        <v>41876</v>
      </c>
      <c r="B41">
        <v>34.520000000000003</v>
      </c>
      <c r="C41">
        <v>34.659999999999997</v>
      </c>
      <c r="D41">
        <v>34.450000000000003</v>
      </c>
      <c r="E41">
        <v>34.51</v>
      </c>
      <c r="F41">
        <v>17305800</v>
      </c>
      <c r="G41">
        <v>34.51</v>
      </c>
    </row>
    <row r="42" spans="1:7" x14ac:dyDescent="0.25">
      <c r="A42" s="34">
        <v>41877</v>
      </c>
      <c r="B42">
        <v>34.6</v>
      </c>
      <c r="C42">
        <v>34.65</v>
      </c>
      <c r="D42">
        <v>34.46</v>
      </c>
      <c r="E42">
        <v>34.5</v>
      </c>
      <c r="F42">
        <v>14765100</v>
      </c>
      <c r="G42">
        <v>34.5</v>
      </c>
    </row>
    <row r="43" spans="1:7" x14ac:dyDescent="0.25">
      <c r="A43" s="34">
        <v>41878</v>
      </c>
      <c r="B43">
        <v>34.590000000000003</v>
      </c>
      <c r="C43">
        <v>34.79</v>
      </c>
      <c r="D43">
        <v>34.54</v>
      </c>
      <c r="E43">
        <v>34.75</v>
      </c>
      <c r="F43">
        <v>14853400</v>
      </c>
      <c r="G43">
        <v>34.75</v>
      </c>
    </row>
    <row r="44" spans="1:7" x14ac:dyDescent="0.25">
      <c r="A44" s="34">
        <v>41879</v>
      </c>
      <c r="B44">
        <v>34.659999999999997</v>
      </c>
      <c r="C44">
        <v>34.75</v>
      </c>
      <c r="D44">
        <v>34.56</v>
      </c>
      <c r="E44">
        <v>34.74</v>
      </c>
      <c r="F44">
        <v>10512800</v>
      </c>
      <c r="G44">
        <v>34.74</v>
      </c>
    </row>
    <row r="45" spans="1:7" x14ac:dyDescent="0.25">
      <c r="A45" s="34">
        <v>41880</v>
      </c>
      <c r="B45">
        <v>34.729999999999997</v>
      </c>
      <c r="C45">
        <v>34.96</v>
      </c>
      <c r="D45">
        <v>34.619999999999997</v>
      </c>
      <c r="E45">
        <v>34.96</v>
      </c>
      <c r="F45">
        <v>12709000</v>
      </c>
      <c r="G45">
        <v>34.96</v>
      </c>
    </row>
    <row r="46" spans="1:7" x14ac:dyDescent="0.25">
      <c r="A46" s="34">
        <v>41884</v>
      </c>
      <c r="B46">
        <v>34.93</v>
      </c>
      <c r="C46">
        <v>35</v>
      </c>
      <c r="D46">
        <v>34.700000000000003</v>
      </c>
      <c r="E46">
        <v>34.840000000000003</v>
      </c>
      <c r="F46">
        <v>12674400</v>
      </c>
      <c r="G46">
        <v>34.840000000000003</v>
      </c>
    </row>
    <row r="47" spans="1:7" x14ac:dyDescent="0.25">
      <c r="A47" s="34">
        <v>41885</v>
      </c>
      <c r="B47">
        <v>34.950000000000003</v>
      </c>
      <c r="C47">
        <v>35</v>
      </c>
      <c r="D47">
        <v>34.82</v>
      </c>
      <c r="E47">
        <v>34.97</v>
      </c>
      <c r="F47">
        <v>13026600</v>
      </c>
      <c r="G47">
        <v>34.97</v>
      </c>
    </row>
    <row r="48" spans="1:7" x14ac:dyDescent="0.25">
      <c r="A48" s="34">
        <v>41886</v>
      </c>
      <c r="B48">
        <v>34.979999999999997</v>
      </c>
      <c r="C48">
        <v>35</v>
      </c>
      <c r="D48">
        <v>34.82</v>
      </c>
      <c r="E48">
        <v>34.94</v>
      </c>
      <c r="F48">
        <v>12469500</v>
      </c>
      <c r="G48">
        <v>34.94</v>
      </c>
    </row>
    <row r="49" spans="1:7" x14ac:dyDescent="0.25">
      <c r="A49" s="34">
        <v>41887</v>
      </c>
      <c r="B49">
        <v>34.950000000000003</v>
      </c>
      <c r="C49">
        <v>35.26</v>
      </c>
      <c r="D49">
        <v>34.880000000000003</v>
      </c>
      <c r="E49">
        <v>35.15</v>
      </c>
      <c r="F49">
        <v>17799000</v>
      </c>
      <c r="G49">
        <v>35.15</v>
      </c>
    </row>
    <row r="50" spans="1:7" x14ac:dyDescent="0.25">
      <c r="A50" s="34">
        <v>41890</v>
      </c>
      <c r="B50">
        <v>35.119999999999997</v>
      </c>
      <c r="C50">
        <v>35.119999999999997</v>
      </c>
      <c r="D50">
        <v>34.9</v>
      </c>
      <c r="E50">
        <v>35.01</v>
      </c>
      <c r="F50">
        <v>10786300</v>
      </c>
      <c r="G50">
        <v>35.01</v>
      </c>
    </row>
    <row r="51" spans="1:7" x14ac:dyDescent="0.25">
      <c r="A51" s="34">
        <v>41891</v>
      </c>
      <c r="B51">
        <v>35.04</v>
      </c>
      <c r="C51">
        <v>35.06</v>
      </c>
      <c r="D51">
        <v>34.549999999999997</v>
      </c>
      <c r="E51">
        <v>34.659999999999997</v>
      </c>
      <c r="F51">
        <v>18782300</v>
      </c>
      <c r="G51">
        <v>34.659999999999997</v>
      </c>
    </row>
    <row r="52" spans="1:7" x14ac:dyDescent="0.25">
      <c r="A52" s="34">
        <v>41892</v>
      </c>
      <c r="B52">
        <v>34.729999999999997</v>
      </c>
      <c r="C52">
        <v>34.78</v>
      </c>
      <c r="D52">
        <v>34.39</v>
      </c>
      <c r="E52">
        <v>34.700000000000003</v>
      </c>
      <c r="F52">
        <v>17719800</v>
      </c>
      <c r="G52">
        <v>34.700000000000003</v>
      </c>
    </row>
    <row r="53" spans="1:7" x14ac:dyDescent="0.25">
      <c r="A53" s="34">
        <v>41893</v>
      </c>
      <c r="B53">
        <v>34.61</v>
      </c>
      <c r="C53">
        <v>34.880000000000003</v>
      </c>
      <c r="D53">
        <v>34.5</v>
      </c>
      <c r="E53">
        <v>34.85</v>
      </c>
      <c r="F53">
        <v>16024800</v>
      </c>
      <c r="G53">
        <v>34.85</v>
      </c>
    </row>
    <row r="54" spans="1:7" x14ac:dyDescent="0.25">
      <c r="A54" s="34">
        <v>41894</v>
      </c>
      <c r="B54">
        <v>34.83</v>
      </c>
      <c r="C54">
        <v>34.909999999999997</v>
      </c>
      <c r="D54">
        <v>34.36</v>
      </c>
      <c r="E54">
        <v>34.5</v>
      </c>
      <c r="F54">
        <v>20210100</v>
      </c>
      <c r="G54">
        <v>34.5</v>
      </c>
    </row>
    <row r="55" spans="1:7" x14ac:dyDescent="0.25">
      <c r="A55" s="34">
        <v>41897</v>
      </c>
      <c r="B55">
        <v>34.61</v>
      </c>
      <c r="C55">
        <v>34.78</v>
      </c>
      <c r="D55">
        <v>34.42</v>
      </c>
      <c r="E55">
        <v>34.69</v>
      </c>
      <c r="F55">
        <v>14674800</v>
      </c>
      <c r="G55">
        <v>34.69</v>
      </c>
    </row>
  </sheetData>
  <sortState ref="A3:G55">
    <sortCondition ref="A3:A55"/>
  </sortState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58.39</v>
      </c>
      <c r="C3">
        <v>58.45</v>
      </c>
      <c r="D3">
        <v>57.95</v>
      </c>
      <c r="E3">
        <v>58.37</v>
      </c>
      <c r="F3">
        <v>3768500</v>
      </c>
      <c r="G3">
        <v>57.85</v>
      </c>
    </row>
    <row r="4" spans="1:7" x14ac:dyDescent="0.25">
      <c r="A4" s="34">
        <v>41822</v>
      </c>
      <c r="B4">
        <v>58.5</v>
      </c>
      <c r="C4">
        <v>59.1</v>
      </c>
      <c r="D4">
        <v>58.4</v>
      </c>
      <c r="E4">
        <v>58.77</v>
      </c>
      <c r="F4">
        <v>3061400</v>
      </c>
      <c r="G4">
        <v>58.24</v>
      </c>
    </row>
    <row r="5" spans="1:7" x14ac:dyDescent="0.25">
      <c r="A5" s="34">
        <v>41823</v>
      </c>
      <c r="B5">
        <v>59.12</v>
      </c>
      <c r="C5">
        <v>59.53</v>
      </c>
      <c r="D5">
        <v>58.94</v>
      </c>
      <c r="E5">
        <v>59.51</v>
      </c>
      <c r="F5">
        <v>3014400</v>
      </c>
      <c r="G5">
        <v>58.98</v>
      </c>
    </row>
    <row r="6" spans="1:7" x14ac:dyDescent="0.25">
      <c r="A6" s="34">
        <v>41827</v>
      </c>
      <c r="B6">
        <v>59.36</v>
      </c>
      <c r="C6">
        <v>60.05</v>
      </c>
      <c r="D6">
        <v>59.23</v>
      </c>
      <c r="E6">
        <v>59.99</v>
      </c>
      <c r="F6">
        <v>4917300</v>
      </c>
      <c r="G6">
        <v>59.45</v>
      </c>
    </row>
    <row r="7" spans="1:7" x14ac:dyDescent="0.25">
      <c r="A7" s="34">
        <v>41828</v>
      </c>
      <c r="B7">
        <v>59.75</v>
      </c>
      <c r="C7">
        <v>59.94</v>
      </c>
      <c r="D7">
        <v>59.38</v>
      </c>
      <c r="E7">
        <v>59.8</v>
      </c>
      <c r="F7">
        <v>4582200</v>
      </c>
      <c r="G7">
        <v>59.27</v>
      </c>
    </row>
    <row r="8" spans="1:7" x14ac:dyDescent="0.25">
      <c r="A8" s="34">
        <v>41829</v>
      </c>
      <c r="B8">
        <v>59.57</v>
      </c>
      <c r="C8">
        <v>60.19</v>
      </c>
      <c r="D8">
        <v>59.57</v>
      </c>
      <c r="E8">
        <v>60.05</v>
      </c>
      <c r="F8">
        <v>4276700</v>
      </c>
      <c r="G8">
        <v>59.51</v>
      </c>
    </row>
    <row r="9" spans="1:7" x14ac:dyDescent="0.25">
      <c r="A9" s="34">
        <v>41830</v>
      </c>
      <c r="B9">
        <v>59.46</v>
      </c>
      <c r="C9">
        <v>59.98</v>
      </c>
      <c r="D9">
        <v>59.46</v>
      </c>
      <c r="E9">
        <v>59.93</v>
      </c>
      <c r="F9">
        <v>3799900</v>
      </c>
      <c r="G9">
        <v>59.39</v>
      </c>
    </row>
    <row r="10" spans="1:7" x14ac:dyDescent="0.25">
      <c r="A10" s="34">
        <v>41831</v>
      </c>
      <c r="B10">
        <v>59.96</v>
      </c>
      <c r="C10">
        <v>60.05</v>
      </c>
      <c r="D10">
        <v>59.65</v>
      </c>
      <c r="E10">
        <v>60</v>
      </c>
      <c r="F10">
        <v>3109100</v>
      </c>
      <c r="G10">
        <v>59.46</v>
      </c>
    </row>
    <row r="11" spans="1:7" x14ac:dyDescent="0.25">
      <c r="A11" s="34">
        <v>41834</v>
      </c>
      <c r="B11">
        <v>60.14</v>
      </c>
      <c r="C11">
        <v>60.19</v>
      </c>
      <c r="D11">
        <v>59.95</v>
      </c>
      <c r="E11">
        <v>60.18</v>
      </c>
      <c r="F11">
        <v>3809200</v>
      </c>
      <c r="G11">
        <v>59.64</v>
      </c>
    </row>
    <row r="12" spans="1:7" x14ac:dyDescent="0.25">
      <c r="A12" s="34">
        <v>41835</v>
      </c>
      <c r="B12">
        <v>60.55</v>
      </c>
      <c r="C12">
        <v>60.72</v>
      </c>
      <c r="D12">
        <v>60.23</v>
      </c>
      <c r="E12">
        <v>60.71</v>
      </c>
      <c r="F12">
        <v>5722100</v>
      </c>
      <c r="G12">
        <v>60.17</v>
      </c>
    </row>
    <row r="13" spans="1:7" x14ac:dyDescent="0.25">
      <c r="A13" s="34">
        <v>41836</v>
      </c>
      <c r="B13">
        <v>60.74</v>
      </c>
      <c r="C13">
        <v>60.74</v>
      </c>
      <c r="D13">
        <v>59.82</v>
      </c>
      <c r="E13">
        <v>60.14</v>
      </c>
      <c r="F13">
        <v>6987700</v>
      </c>
      <c r="G13">
        <v>59.6</v>
      </c>
    </row>
    <row r="14" spans="1:7" x14ac:dyDescent="0.25">
      <c r="A14" s="34">
        <v>41837</v>
      </c>
      <c r="B14">
        <v>59.99</v>
      </c>
      <c r="C14">
        <v>60.2</v>
      </c>
      <c r="D14">
        <v>59.57</v>
      </c>
      <c r="E14">
        <v>59.72</v>
      </c>
      <c r="F14">
        <v>4559400</v>
      </c>
      <c r="G14">
        <v>59.19</v>
      </c>
    </row>
    <row r="15" spans="1:7" x14ac:dyDescent="0.25">
      <c r="A15" s="34">
        <v>41838</v>
      </c>
      <c r="B15">
        <v>59.82</v>
      </c>
      <c r="C15">
        <v>60.04</v>
      </c>
      <c r="D15">
        <v>59.5</v>
      </c>
      <c r="E15">
        <v>60.01</v>
      </c>
      <c r="F15">
        <v>4735900</v>
      </c>
      <c r="G15">
        <v>59.47</v>
      </c>
    </row>
    <row r="16" spans="1:7" x14ac:dyDescent="0.25">
      <c r="A16" s="34">
        <v>41841</v>
      </c>
      <c r="B16">
        <v>59.98</v>
      </c>
      <c r="C16">
        <v>60.02</v>
      </c>
      <c r="D16">
        <v>59.04</v>
      </c>
      <c r="E16">
        <v>59.3</v>
      </c>
      <c r="F16">
        <v>4122900</v>
      </c>
      <c r="G16">
        <v>58.77</v>
      </c>
    </row>
    <row r="17" spans="1:7" x14ac:dyDescent="0.25">
      <c r="A17" s="34">
        <v>41842</v>
      </c>
      <c r="B17">
        <v>59.42</v>
      </c>
      <c r="C17">
        <v>59.52</v>
      </c>
      <c r="D17">
        <v>59.14</v>
      </c>
      <c r="E17">
        <v>59.38</v>
      </c>
      <c r="F17">
        <v>3548400</v>
      </c>
      <c r="G17">
        <v>58.85</v>
      </c>
    </row>
    <row r="18" spans="1:7" x14ac:dyDescent="0.25">
      <c r="A18" s="34">
        <v>41843</v>
      </c>
      <c r="B18">
        <v>59.45</v>
      </c>
      <c r="C18">
        <v>60.84</v>
      </c>
      <c r="D18">
        <v>59.37</v>
      </c>
      <c r="E18">
        <v>60.73</v>
      </c>
      <c r="F18">
        <v>6167200</v>
      </c>
      <c r="G18">
        <v>60.19</v>
      </c>
    </row>
    <row r="19" spans="1:7" x14ac:dyDescent="0.25">
      <c r="A19" s="34">
        <v>41844</v>
      </c>
      <c r="B19">
        <v>60.74</v>
      </c>
      <c r="C19">
        <v>61.07</v>
      </c>
      <c r="D19">
        <v>60.42</v>
      </c>
      <c r="E19">
        <v>60.99</v>
      </c>
      <c r="F19">
        <v>3491900</v>
      </c>
      <c r="G19">
        <v>60.45</v>
      </c>
    </row>
    <row r="20" spans="1:7" x14ac:dyDescent="0.25">
      <c r="A20" s="34">
        <v>41845</v>
      </c>
      <c r="B20">
        <v>60.76</v>
      </c>
      <c r="C20">
        <v>60.89</v>
      </c>
      <c r="D20">
        <v>60.29</v>
      </c>
      <c r="E20">
        <v>60.39</v>
      </c>
      <c r="F20">
        <v>2629200</v>
      </c>
      <c r="G20">
        <v>59.85</v>
      </c>
    </row>
    <row r="21" spans="1:7" x14ac:dyDescent="0.25">
      <c r="A21" s="34">
        <v>41848</v>
      </c>
      <c r="B21">
        <v>60.4</v>
      </c>
      <c r="C21">
        <v>60.58</v>
      </c>
      <c r="D21">
        <v>59.99</v>
      </c>
      <c r="E21">
        <v>60.3</v>
      </c>
      <c r="F21">
        <v>4011200</v>
      </c>
      <c r="G21">
        <v>59.76</v>
      </c>
    </row>
    <row r="22" spans="1:7" x14ac:dyDescent="0.25">
      <c r="A22" s="34">
        <v>41849</v>
      </c>
      <c r="B22">
        <v>60.35</v>
      </c>
      <c r="C22">
        <v>61.32</v>
      </c>
      <c r="D22">
        <v>60.3</v>
      </c>
      <c r="E22">
        <v>61.1</v>
      </c>
      <c r="F22">
        <v>3807200</v>
      </c>
      <c r="G22">
        <v>60.55</v>
      </c>
    </row>
    <row r="23" spans="1:7" x14ac:dyDescent="0.25">
      <c r="A23" s="34">
        <v>41850</v>
      </c>
      <c r="B23">
        <v>61.31</v>
      </c>
      <c r="C23">
        <v>61.63</v>
      </c>
      <c r="D23">
        <v>61.14</v>
      </c>
      <c r="E23">
        <v>61.38</v>
      </c>
      <c r="F23">
        <v>3677000</v>
      </c>
      <c r="G23">
        <v>60.83</v>
      </c>
    </row>
    <row r="24" spans="1:7" x14ac:dyDescent="0.25">
      <c r="A24" s="34">
        <v>41851</v>
      </c>
      <c r="B24">
        <v>61</v>
      </c>
      <c r="C24">
        <v>61</v>
      </c>
      <c r="D24">
        <v>59.58</v>
      </c>
      <c r="E24">
        <v>59.59</v>
      </c>
      <c r="F24">
        <v>7067900</v>
      </c>
      <c r="G24">
        <v>59.06</v>
      </c>
    </row>
    <row r="25" spans="1:7" x14ac:dyDescent="0.25">
      <c r="A25" s="34">
        <v>41852</v>
      </c>
      <c r="B25">
        <v>59.32</v>
      </c>
      <c r="C25">
        <v>60</v>
      </c>
      <c r="D25">
        <v>59.2</v>
      </c>
      <c r="E25">
        <v>59.85</v>
      </c>
      <c r="F25">
        <v>4011800</v>
      </c>
      <c r="G25">
        <v>59.32</v>
      </c>
    </row>
    <row r="26" spans="1:7" x14ac:dyDescent="0.25">
      <c r="A26" s="34">
        <v>41855</v>
      </c>
      <c r="B26">
        <v>60.17</v>
      </c>
      <c r="C26">
        <v>61</v>
      </c>
      <c r="D26">
        <v>59.92</v>
      </c>
      <c r="E26">
        <v>60.7</v>
      </c>
      <c r="F26">
        <v>4232000</v>
      </c>
      <c r="G26">
        <v>60.16</v>
      </c>
    </row>
    <row r="27" spans="1:7" x14ac:dyDescent="0.25">
      <c r="A27" s="34">
        <v>41856</v>
      </c>
      <c r="B27">
        <v>58.45</v>
      </c>
      <c r="C27">
        <v>59.41</v>
      </c>
      <c r="D27">
        <v>57.81</v>
      </c>
      <c r="E27">
        <v>58.03</v>
      </c>
      <c r="F27">
        <v>14982100</v>
      </c>
      <c r="G27">
        <v>57.51</v>
      </c>
    </row>
    <row r="28" spans="1:7" x14ac:dyDescent="0.25">
      <c r="A28" s="34">
        <v>41857</v>
      </c>
      <c r="B28">
        <v>57.48</v>
      </c>
      <c r="C28">
        <v>58.24</v>
      </c>
      <c r="D28">
        <v>57.26</v>
      </c>
      <c r="E28">
        <v>57.97</v>
      </c>
      <c r="F28">
        <v>7262700</v>
      </c>
      <c r="G28">
        <v>57.45</v>
      </c>
    </row>
    <row r="29" spans="1:7" x14ac:dyDescent="0.25">
      <c r="A29" s="34">
        <v>41858</v>
      </c>
      <c r="B29">
        <v>58.26</v>
      </c>
      <c r="C29">
        <v>58.36</v>
      </c>
      <c r="D29">
        <v>57.27</v>
      </c>
      <c r="E29">
        <v>57.5</v>
      </c>
      <c r="F29">
        <v>4917200</v>
      </c>
      <c r="G29">
        <v>56.99</v>
      </c>
    </row>
    <row r="30" spans="1:7" x14ac:dyDescent="0.25">
      <c r="A30" s="34">
        <v>41859</v>
      </c>
      <c r="B30">
        <v>57.89</v>
      </c>
      <c r="C30">
        <v>58.59</v>
      </c>
      <c r="D30">
        <v>57.62</v>
      </c>
      <c r="E30">
        <v>58.54</v>
      </c>
      <c r="F30">
        <v>4710700</v>
      </c>
      <c r="G30">
        <v>58.02</v>
      </c>
    </row>
    <row r="31" spans="1:7" x14ac:dyDescent="0.25">
      <c r="A31" s="34">
        <v>41862</v>
      </c>
      <c r="B31">
        <v>58.6</v>
      </c>
      <c r="C31">
        <v>58.67</v>
      </c>
      <c r="D31">
        <v>58.15</v>
      </c>
      <c r="E31">
        <v>58.36</v>
      </c>
      <c r="F31">
        <v>2788100</v>
      </c>
      <c r="G31">
        <v>57.84</v>
      </c>
    </row>
    <row r="32" spans="1:7" x14ac:dyDescent="0.25">
      <c r="A32" s="34">
        <v>41863</v>
      </c>
      <c r="B32">
        <v>58.35</v>
      </c>
      <c r="C32">
        <v>58.54</v>
      </c>
      <c r="D32">
        <v>58.02</v>
      </c>
      <c r="E32">
        <v>58.46</v>
      </c>
      <c r="F32">
        <v>2946000</v>
      </c>
      <c r="G32">
        <v>57.94</v>
      </c>
    </row>
    <row r="33" spans="1:7" x14ac:dyDescent="0.25">
      <c r="A33" s="34">
        <v>41864</v>
      </c>
      <c r="B33">
        <v>58.43</v>
      </c>
      <c r="C33">
        <v>58.48</v>
      </c>
      <c r="D33">
        <v>57.75</v>
      </c>
      <c r="E33">
        <v>58.26</v>
      </c>
      <c r="F33">
        <v>3661300</v>
      </c>
      <c r="G33">
        <v>57.74</v>
      </c>
    </row>
    <row r="34" spans="1:7" x14ac:dyDescent="0.25">
      <c r="A34" s="34">
        <v>41865</v>
      </c>
      <c r="B34">
        <v>58.2</v>
      </c>
      <c r="C34">
        <v>58.77</v>
      </c>
      <c r="D34">
        <v>58.09</v>
      </c>
      <c r="E34">
        <v>58.74</v>
      </c>
      <c r="F34">
        <v>3144900</v>
      </c>
      <c r="G34">
        <v>58.22</v>
      </c>
    </row>
    <row r="35" spans="1:7" x14ac:dyDescent="0.25">
      <c r="A35" s="34">
        <v>41866</v>
      </c>
      <c r="B35">
        <v>58.74</v>
      </c>
      <c r="C35">
        <v>58.77</v>
      </c>
      <c r="D35">
        <v>57.84</v>
      </c>
      <c r="E35">
        <v>58.2</v>
      </c>
      <c r="F35">
        <v>4186700</v>
      </c>
      <c r="G35">
        <v>57.68</v>
      </c>
    </row>
    <row r="36" spans="1:7" x14ac:dyDescent="0.25">
      <c r="A36" s="34">
        <v>41869</v>
      </c>
      <c r="B36">
        <v>58.05</v>
      </c>
      <c r="C36">
        <v>58.69</v>
      </c>
      <c r="D36">
        <v>57.75</v>
      </c>
      <c r="E36">
        <v>58.55</v>
      </c>
      <c r="F36">
        <v>4016700</v>
      </c>
      <c r="G36">
        <v>58.55</v>
      </c>
    </row>
    <row r="37" spans="1:7" x14ac:dyDescent="0.25">
      <c r="A37" s="34">
        <v>41870</v>
      </c>
      <c r="B37">
        <v>58.84</v>
      </c>
      <c r="C37">
        <v>59.41</v>
      </c>
      <c r="D37">
        <v>58.6</v>
      </c>
      <c r="E37">
        <v>59.25</v>
      </c>
      <c r="F37">
        <v>4807300</v>
      </c>
      <c r="G37">
        <v>59.25</v>
      </c>
    </row>
    <row r="38" spans="1:7" x14ac:dyDescent="0.25">
      <c r="A38" s="34">
        <v>41871</v>
      </c>
      <c r="B38">
        <v>58.5</v>
      </c>
      <c r="C38">
        <v>60.79</v>
      </c>
      <c r="D38">
        <v>58.25</v>
      </c>
      <c r="E38">
        <v>60.33</v>
      </c>
      <c r="F38">
        <v>12823400</v>
      </c>
      <c r="G38">
        <v>60.33</v>
      </c>
    </row>
    <row r="39" spans="1:7" x14ac:dyDescent="0.25">
      <c r="A39" s="34">
        <v>41872</v>
      </c>
      <c r="B39">
        <v>60.4</v>
      </c>
      <c r="C39">
        <v>61.09</v>
      </c>
      <c r="D39">
        <v>59.82</v>
      </c>
      <c r="E39">
        <v>61.07</v>
      </c>
      <c r="F39">
        <v>6544300</v>
      </c>
      <c r="G39">
        <v>61.07</v>
      </c>
    </row>
    <row r="40" spans="1:7" x14ac:dyDescent="0.25">
      <c r="A40" s="34">
        <v>41873</v>
      </c>
      <c r="B40">
        <v>61.14</v>
      </c>
      <c r="C40">
        <v>61.46</v>
      </c>
      <c r="D40">
        <v>60.78</v>
      </c>
      <c r="E40">
        <v>61.05</v>
      </c>
      <c r="F40">
        <v>4566200</v>
      </c>
      <c r="G40">
        <v>61.05</v>
      </c>
    </row>
    <row r="41" spans="1:7" x14ac:dyDescent="0.25">
      <c r="A41" s="34">
        <v>41876</v>
      </c>
      <c r="B41">
        <v>61.3</v>
      </c>
      <c r="C41">
        <v>61.5</v>
      </c>
      <c r="D41">
        <v>60.72</v>
      </c>
      <c r="E41">
        <v>60.98</v>
      </c>
      <c r="F41">
        <v>4368200</v>
      </c>
      <c r="G41">
        <v>60.98</v>
      </c>
    </row>
    <row r="42" spans="1:7" x14ac:dyDescent="0.25">
      <c r="A42" s="34">
        <v>41877</v>
      </c>
      <c r="B42">
        <v>61.05</v>
      </c>
      <c r="C42">
        <v>61.2</v>
      </c>
      <c r="D42">
        <v>60.59</v>
      </c>
      <c r="E42">
        <v>60.7</v>
      </c>
      <c r="F42">
        <v>3224800</v>
      </c>
      <c r="G42">
        <v>60.7</v>
      </c>
    </row>
    <row r="43" spans="1:7" x14ac:dyDescent="0.25">
      <c r="A43" s="34">
        <v>41878</v>
      </c>
      <c r="B43">
        <v>60.73</v>
      </c>
      <c r="C43">
        <v>60.96</v>
      </c>
      <c r="D43">
        <v>60.64</v>
      </c>
      <c r="E43">
        <v>60.79</v>
      </c>
      <c r="F43">
        <v>2797700</v>
      </c>
      <c r="G43">
        <v>60.79</v>
      </c>
    </row>
    <row r="44" spans="1:7" x14ac:dyDescent="0.25">
      <c r="A44" s="34">
        <v>41879</v>
      </c>
      <c r="B44">
        <v>60.48</v>
      </c>
      <c r="C44">
        <v>60.59</v>
      </c>
      <c r="D44">
        <v>60.07</v>
      </c>
      <c r="E44">
        <v>60.35</v>
      </c>
      <c r="F44">
        <v>4206600</v>
      </c>
      <c r="G44">
        <v>60.35</v>
      </c>
    </row>
    <row r="45" spans="1:7" x14ac:dyDescent="0.25">
      <c r="A45" s="34">
        <v>41880</v>
      </c>
      <c r="B45">
        <v>60.72</v>
      </c>
      <c r="C45">
        <v>60.72</v>
      </c>
      <c r="D45">
        <v>60.05</v>
      </c>
      <c r="E45">
        <v>60.07</v>
      </c>
      <c r="F45">
        <v>4008100</v>
      </c>
      <c r="G45">
        <v>60.07</v>
      </c>
    </row>
    <row r="46" spans="1:7" x14ac:dyDescent="0.25">
      <c r="A46" s="34">
        <v>41884</v>
      </c>
      <c r="B46">
        <v>60.28</v>
      </c>
      <c r="C46">
        <v>60.5</v>
      </c>
      <c r="D46">
        <v>59.98</v>
      </c>
      <c r="E46">
        <v>60.19</v>
      </c>
      <c r="F46">
        <v>2602700</v>
      </c>
      <c r="G46">
        <v>60.19</v>
      </c>
    </row>
    <row r="47" spans="1:7" x14ac:dyDescent="0.25">
      <c r="A47" s="34">
        <v>41885</v>
      </c>
      <c r="B47">
        <v>60.53</v>
      </c>
      <c r="C47">
        <v>60.57</v>
      </c>
      <c r="D47">
        <v>59.98</v>
      </c>
      <c r="E47">
        <v>60.39</v>
      </c>
      <c r="F47">
        <v>3553500</v>
      </c>
      <c r="G47">
        <v>60.39</v>
      </c>
    </row>
    <row r="48" spans="1:7" x14ac:dyDescent="0.25">
      <c r="A48" s="34">
        <v>41886</v>
      </c>
      <c r="B48">
        <v>60.38</v>
      </c>
      <c r="C48">
        <v>61.21</v>
      </c>
      <c r="D48">
        <v>60.2</v>
      </c>
      <c r="E48">
        <v>61.03</v>
      </c>
      <c r="F48">
        <v>4363300</v>
      </c>
      <c r="G48">
        <v>61.03</v>
      </c>
    </row>
    <row r="49" spans="1:7" x14ac:dyDescent="0.25">
      <c r="A49" s="34">
        <v>41887</v>
      </c>
      <c r="B49">
        <v>61</v>
      </c>
      <c r="C49">
        <v>61.15</v>
      </c>
      <c r="D49">
        <v>60.5</v>
      </c>
      <c r="E49">
        <v>61.08</v>
      </c>
      <c r="F49">
        <v>3401800</v>
      </c>
      <c r="G49">
        <v>61.08</v>
      </c>
    </row>
    <row r="50" spans="1:7" x14ac:dyDescent="0.25">
      <c r="A50" s="34">
        <v>41890</v>
      </c>
      <c r="B50">
        <v>60.9</v>
      </c>
      <c r="C50">
        <v>61.2</v>
      </c>
      <c r="D50">
        <v>60.27</v>
      </c>
      <c r="E50">
        <v>60.56</v>
      </c>
      <c r="F50">
        <v>3191300</v>
      </c>
      <c r="G50">
        <v>60.56</v>
      </c>
    </row>
    <row r="51" spans="1:7" x14ac:dyDescent="0.25">
      <c r="A51" s="34">
        <v>41891</v>
      </c>
      <c r="B51">
        <v>60.47</v>
      </c>
      <c r="C51">
        <v>60.91</v>
      </c>
      <c r="D51">
        <v>60.18</v>
      </c>
      <c r="E51">
        <v>60.88</v>
      </c>
      <c r="F51">
        <v>4237200</v>
      </c>
      <c r="G51">
        <v>60.88</v>
      </c>
    </row>
    <row r="52" spans="1:7" x14ac:dyDescent="0.25">
      <c r="A52" s="34">
        <v>41892</v>
      </c>
      <c r="B52">
        <v>61.01</v>
      </c>
      <c r="C52">
        <v>62.34</v>
      </c>
      <c r="D52">
        <v>60.87</v>
      </c>
      <c r="E52">
        <v>61.95</v>
      </c>
      <c r="F52">
        <v>8664500</v>
      </c>
      <c r="G52">
        <v>61.95</v>
      </c>
    </row>
    <row r="53" spans="1:7" x14ac:dyDescent="0.25">
      <c r="A53" s="34">
        <v>41893</v>
      </c>
      <c r="B53">
        <v>61.83</v>
      </c>
      <c r="C53">
        <v>62.68</v>
      </c>
      <c r="D53">
        <v>61.61</v>
      </c>
      <c r="E53">
        <v>62.59</v>
      </c>
      <c r="F53">
        <v>5599800</v>
      </c>
      <c r="G53">
        <v>62.59</v>
      </c>
    </row>
    <row r="54" spans="1:7" x14ac:dyDescent="0.25">
      <c r="A54" s="34">
        <v>41894</v>
      </c>
      <c r="B54">
        <v>62.54</v>
      </c>
      <c r="C54">
        <v>62.65</v>
      </c>
      <c r="D54">
        <v>61.98</v>
      </c>
      <c r="E54">
        <v>62.53</v>
      </c>
      <c r="F54">
        <v>4427400</v>
      </c>
      <c r="G54">
        <v>62.53</v>
      </c>
    </row>
    <row r="55" spans="1:7" x14ac:dyDescent="0.25">
      <c r="A55" s="34">
        <v>41897</v>
      </c>
      <c r="B55">
        <v>62.43</v>
      </c>
      <c r="C55">
        <v>62.61</v>
      </c>
      <c r="D55">
        <v>62.07</v>
      </c>
      <c r="E55">
        <v>62.21</v>
      </c>
      <c r="F55">
        <v>3694100</v>
      </c>
      <c r="G55">
        <v>62.21</v>
      </c>
    </row>
  </sheetData>
  <sortState ref="A3:G55">
    <sortCondition ref="A3:A55"/>
  </sortState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68.88</v>
      </c>
      <c r="C3">
        <v>71.099999999999994</v>
      </c>
      <c r="D3">
        <v>68.8</v>
      </c>
      <c r="E3">
        <v>70.569999999999993</v>
      </c>
      <c r="F3">
        <v>7349600</v>
      </c>
      <c r="G3">
        <v>70.28</v>
      </c>
    </row>
    <row r="4" spans="1:7" x14ac:dyDescent="0.25">
      <c r="A4" s="34">
        <v>41822</v>
      </c>
      <c r="B4">
        <v>70.400000000000006</v>
      </c>
      <c r="C4">
        <v>71.19</v>
      </c>
      <c r="D4">
        <v>70.37</v>
      </c>
      <c r="E4">
        <v>70.930000000000007</v>
      </c>
      <c r="F4">
        <v>4537300</v>
      </c>
      <c r="G4">
        <v>70.64</v>
      </c>
    </row>
    <row r="5" spans="1:7" x14ac:dyDescent="0.25">
      <c r="A5" s="34">
        <v>41823</v>
      </c>
      <c r="B5">
        <v>71</v>
      </c>
      <c r="C5">
        <v>71.62</v>
      </c>
      <c r="D5">
        <v>70.709999999999994</v>
      </c>
      <c r="E5">
        <v>71.39</v>
      </c>
      <c r="F5">
        <v>2392600</v>
      </c>
      <c r="G5">
        <v>71.099999999999994</v>
      </c>
    </row>
    <row r="6" spans="1:7" x14ac:dyDescent="0.25">
      <c r="A6" s="34">
        <v>41827</v>
      </c>
      <c r="B6">
        <v>70.88</v>
      </c>
      <c r="C6">
        <v>71.39</v>
      </c>
      <c r="D6">
        <v>70.88</v>
      </c>
      <c r="E6">
        <v>71.17</v>
      </c>
      <c r="F6">
        <v>3193900</v>
      </c>
      <c r="G6">
        <v>70.88</v>
      </c>
    </row>
    <row r="7" spans="1:7" x14ac:dyDescent="0.25">
      <c r="A7" s="34">
        <v>41828</v>
      </c>
      <c r="B7">
        <v>71.03</v>
      </c>
      <c r="C7">
        <v>71.22</v>
      </c>
      <c r="D7">
        <v>70.45</v>
      </c>
      <c r="E7">
        <v>70.75</v>
      </c>
      <c r="F7">
        <v>3661300</v>
      </c>
      <c r="G7">
        <v>70.459999999999994</v>
      </c>
    </row>
    <row r="8" spans="1:7" x14ac:dyDescent="0.25">
      <c r="A8" s="34">
        <v>41829</v>
      </c>
      <c r="B8">
        <v>70.75</v>
      </c>
      <c r="C8">
        <v>73.069999999999993</v>
      </c>
      <c r="D8">
        <v>70.709999999999994</v>
      </c>
      <c r="E8">
        <v>72.41</v>
      </c>
      <c r="F8">
        <v>14333800</v>
      </c>
      <c r="G8">
        <v>72.11</v>
      </c>
    </row>
    <row r="9" spans="1:7" x14ac:dyDescent="0.25">
      <c r="A9" s="34">
        <v>41830</v>
      </c>
      <c r="B9">
        <v>71.83</v>
      </c>
      <c r="C9">
        <v>72.44</v>
      </c>
      <c r="D9">
        <v>71.37</v>
      </c>
      <c r="E9">
        <v>72.22</v>
      </c>
      <c r="F9">
        <v>4149400</v>
      </c>
      <c r="G9">
        <v>71.92</v>
      </c>
    </row>
    <row r="10" spans="1:7" x14ac:dyDescent="0.25">
      <c r="A10" s="34">
        <v>41831</v>
      </c>
      <c r="B10">
        <v>72.23</v>
      </c>
      <c r="C10">
        <v>72.33</v>
      </c>
      <c r="D10">
        <v>71.89</v>
      </c>
      <c r="E10">
        <v>72.290000000000006</v>
      </c>
      <c r="F10">
        <v>3560400</v>
      </c>
      <c r="G10">
        <v>71.989999999999995</v>
      </c>
    </row>
    <row r="11" spans="1:7" x14ac:dyDescent="0.25">
      <c r="A11" s="34">
        <v>41834</v>
      </c>
      <c r="B11">
        <v>72.44</v>
      </c>
      <c r="C11">
        <v>72.61</v>
      </c>
      <c r="D11">
        <v>71.540000000000006</v>
      </c>
      <c r="E11">
        <v>71.680000000000007</v>
      </c>
      <c r="F11">
        <v>4561500</v>
      </c>
      <c r="G11">
        <v>71.38</v>
      </c>
    </row>
    <row r="12" spans="1:7" x14ac:dyDescent="0.25">
      <c r="A12" s="34">
        <v>41835</v>
      </c>
      <c r="B12">
        <v>70.66</v>
      </c>
      <c r="C12">
        <v>71.459999999999994</v>
      </c>
      <c r="D12">
        <v>70.52</v>
      </c>
      <c r="E12">
        <v>71.010000000000005</v>
      </c>
      <c r="F12">
        <v>5725200</v>
      </c>
      <c r="G12">
        <v>70.72</v>
      </c>
    </row>
    <row r="13" spans="1:7" x14ac:dyDescent="0.25">
      <c r="A13" s="34">
        <v>41836</v>
      </c>
      <c r="B13">
        <v>82.25</v>
      </c>
      <c r="C13">
        <v>84.4</v>
      </c>
      <c r="D13">
        <v>81.42</v>
      </c>
      <c r="E13">
        <v>83.13</v>
      </c>
      <c r="F13">
        <v>69744100</v>
      </c>
      <c r="G13">
        <v>82.79</v>
      </c>
    </row>
    <row r="14" spans="1:7" x14ac:dyDescent="0.25">
      <c r="A14" s="34">
        <v>41837</v>
      </c>
      <c r="B14">
        <v>84</v>
      </c>
      <c r="C14">
        <v>87.14</v>
      </c>
      <c r="D14">
        <v>83.75</v>
      </c>
      <c r="E14">
        <v>86.12</v>
      </c>
      <c r="F14">
        <v>28063700</v>
      </c>
      <c r="G14">
        <v>85.76</v>
      </c>
    </row>
    <row r="15" spans="1:7" x14ac:dyDescent="0.25">
      <c r="A15" s="34">
        <v>41838</v>
      </c>
      <c r="B15">
        <v>86.99</v>
      </c>
      <c r="C15">
        <v>87.23</v>
      </c>
      <c r="D15">
        <v>85.41</v>
      </c>
      <c r="E15">
        <v>87.23</v>
      </c>
      <c r="F15">
        <v>17542400</v>
      </c>
      <c r="G15">
        <v>86.87</v>
      </c>
    </row>
    <row r="16" spans="1:7" x14ac:dyDescent="0.25">
      <c r="A16" s="34">
        <v>41841</v>
      </c>
      <c r="B16">
        <v>87.42</v>
      </c>
      <c r="C16">
        <v>88.13</v>
      </c>
      <c r="D16">
        <v>86.6</v>
      </c>
      <c r="E16">
        <v>87.36</v>
      </c>
      <c r="F16">
        <v>9167500</v>
      </c>
      <c r="G16">
        <v>87</v>
      </c>
    </row>
    <row r="17" spans="1:7" x14ac:dyDescent="0.25">
      <c r="A17" s="34">
        <v>41842</v>
      </c>
      <c r="B17">
        <v>86.85</v>
      </c>
      <c r="C17">
        <v>87.32</v>
      </c>
      <c r="D17">
        <v>85.83</v>
      </c>
      <c r="E17">
        <v>86.78</v>
      </c>
      <c r="F17">
        <v>8016600</v>
      </c>
      <c r="G17">
        <v>86.42</v>
      </c>
    </row>
    <row r="18" spans="1:7" x14ac:dyDescent="0.25">
      <c r="A18" s="34">
        <v>41843</v>
      </c>
      <c r="B18">
        <v>85.65</v>
      </c>
      <c r="C18">
        <v>86.22</v>
      </c>
      <c r="D18">
        <v>83.92</v>
      </c>
      <c r="E18">
        <v>84.26</v>
      </c>
      <c r="F18">
        <v>13570800</v>
      </c>
      <c r="G18">
        <v>83.91</v>
      </c>
    </row>
    <row r="19" spans="1:7" x14ac:dyDescent="0.25">
      <c r="A19" s="34">
        <v>41844</v>
      </c>
      <c r="B19">
        <v>84.51</v>
      </c>
      <c r="C19">
        <v>84.62</v>
      </c>
      <c r="D19">
        <v>83.22</v>
      </c>
      <c r="E19">
        <v>84.01</v>
      </c>
      <c r="F19">
        <v>9203600</v>
      </c>
      <c r="G19">
        <v>83.66</v>
      </c>
    </row>
    <row r="20" spans="1:7" x14ac:dyDescent="0.25">
      <c r="A20" s="34">
        <v>41845</v>
      </c>
      <c r="B20">
        <v>84.85</v>
      </c>
      <c r="C20">
        <v>85.29</v>
      </c>
      <c r="D20">
        <v>83.77</v>
      </c>
      <c r="E20">
        <v>84.99</v>
      </c>
      <c r="F20">
        <v>5751800</v>
      </c>
      <c r="G20">
        <v>84.64</v>
      </c>
    </row>
    <row r="21" spans="1:7" x14ac:dyDescent="0.25">
      <c r="A21" s="34">
        <v>41848</v>
      </c>
      <c r="B21">
        <v>84.53</v>
      </c>
      <c r="C21">
        <v>85.58</v>
      </c>
      <c r="D21">
        <v>84.52</v>
      </c>
      <c r="E21">
        <v>85.24</v>
      </c>
      <c r="F21">
        <v>4425100</v>
      </c>
      <c r="G21">
        <v>84.89</v>
      </c>
    </row>
    <row r="22" spans="1:7" x14ac:dyDescent="0.25">
      <c r="A22" s="34">
        <v>41849</v>
      </c>
      <c r="B22">
        <v>85.03</v>
      </c>
      <c r="C22">
        <v>85.39</v>
      </c>
      <c r="D22">
        <v>83.79</v>
      </c>
      <c r="E22">
        <v>83.85</v>
      </c>
      <c r="F22">
        <v>6399700</v>
      </c>
      <c r="G22">
        <v>83.5</v>
      </c>
    </row>
    <row r="23" spans="1:7" x14ac:dyDescent="0.25">
      <c r="A23" s="34">
        <v>41850</v>
      </c>
      <c r="B23">
        <v>84.07</v>
      </c>
      <c r="C23">
        <v>85.02</v>
      </c>
      <c r="D23">
        <v>83.94</v>
      </c>
      <c r="E23">
        <v>84.49</v>
      </c>
      <c r="F23">
        <v>8252300</v>
      </c>
      <c r="G23">
        <v>84.14</v>
      </c>
    </row>
    <row r="24" spans="1:7" x14ac:dyDescent="0.25">
      <c r="A24" s="34">
        <v>41851</v>
      </c>
      <c r="B24">
        <v>84.33</v>
      </c>
      <c r="C24">
        <v>84.75</v>
      </c>
      <c r="D24">
        <v>83.01</v>
      </c>
      <c r="E24">
        <v>83.02</v>
      </c>
      <c r="F24">
        <v>5023200</v>
      </c>
      <c r="G24">
        <v>82.68</v>
      </c>
    </row>
    <row r="25" spans="1:7" x14ac:dyDescent="0.25">
      <c r="A25" s="34">
        <v>41852</v>
      </c>
      <c r="B25">
        <v>83</v>
      </c>
      <c r="C25">
        <v>84.41</v>
      </c>
      <c r="D25">
        <v>82.51</v>
      </c>
      <c r="E25">
        <v>83.8</v>
      </c>
      <c r="F25">
        <v>5074900</v>
      </c>
      <c r="G25">
        <v>83.45</v>
      </c>
    </row>
    <row r="26" spans="1:7" x14ac:dyDescent="0.25">
      <c r="A26" s="34">
        <v>41855</v>
      </c>
      <c r="B26">
        <v>83.85</v>
      </c>
      <c r="C26">
        <v>87.27</v>
      </c>
      <c r="D26">
        <v>83.63</v>
      </c>
      <c r="E26">
        <v>85.53</v>
      </c>
      <c r="F26">
        <v>7922700</v>
      </c>
      <c r="G26">
        <v>85.18</v>
      </c>
    </row>
    <row r="27" spans="1:7" x14ac:dyDescent="0.25">
      <c r="A27" s="34">
        <v>41856</v>
      </c>
      <c r="B27">
        <v>85.28</v>
      </c>
      <c r="C27">
        <v>85.33</v>
      </c>
      <c r="D27">
        <v>84.42</v>
      </c>
      <c r="E27">
        <v>85.19</v>
      </c>
      <c r="F27">
        <v>12086700</v>
      </c>
      <c r="G27">
        <v>84.84</v>
      </c>
    </row>
    <row r="28" spans="1:7" x14ac:dyDescent="0.25">
      <c r="A28" s="34">
        <v>41857</v>
      </c>
      <c r="B28">
        <v>74.900000000000006</v>
      </c>
      <c r="C28">
        <v>76.55</v>
      </c>
      <c r="D28">
        <v>74.06</v>
      </c>
      <c r="E28">
        <v>74.239999999999995</v>
      </c>
      <c r="F28">
        <v>34562900</v>
      </c>
      <c r="G28">
        <v>73.930000000000007</v>
      </c>
    </row>
    <row r="29" spans="1:7" x14ac:dyDescent="0.25">
      <c r="A29" s="34">
        <v>41858</v>
      </c>
      <c r="B29">
        <v>73.7</v>
      </c>
      <c r="C29">
        <v>73.92</v>
      </c>
      <c r="D29">
        <v>71.58</v>
      </c>
      <c r="E29">
        <v>72.06</v>
      </c>
      <c r="F29">
        <v>19324000</v>
      </c>
      <c r="G29">
        <v>71.760000000000005</v>
      </c>
    </row>
    <row r="30" spans="1:7" x14ac:dyDescent="0.25">
      <c r="A30" s="34">
        <v>41859</v>
      </c>
      <c r="B30">
        <v>72.02</v>
      </c>
      <c r="C30">
        <v>73.319999999999993</v>
      </c>
      <c r="D30">
        <v>72.02</v>
      </c>
      <c r="E30">
        <v>73.23</v>
      </c>
      <c r="F30">
        <v>7885400</v>
      </c>
      <c r="G30">
        <v>72.930000000000007</v>
      </c>
    </row>
    <row r="31" spans="1:7" x14ac:dyDescent="0.25">
      <c r="A31" s="34">
        <v>41862</v>
      </c>
      <c r="B31">
        <v>73.58</v>
      </c>
      <c r="C31">
        <v>74.709999999999994</v>
      </c>
      <c r="D31">
        <v>73.45</v>
      </c>
      <c r="E31">
        <v>74.040000000000006</v>
      </c>
      <c r="F31">
        <v>7335000</v>
      </c>
      <c r="G31">
        <v>73.73</v>
      </c>
    </row>
    <row r="32" spans="1:7" x14ac:dyDescent="0.25">
      <c r="A32" s="34">
        <v>41863</v>
      </c>
      <c r="B32">
        <v>73.97</v>
      </c>
      <c r="C32">
        <v>74.150000000000006</v>
      </c>
      <c r="D32">
        <v>73.040000000000006</v>
      </c>
      <c r="E32">
        <v>73.040000000000006</v>
      </c>
      <c r="F32">
        <v>6401600</v>
      </c>
      <c r="G32">
        <v>72.739999999999995</v>
      </c>
    </row>
    <row r="33" spans="1:7" x14ac:dyDescent="0.25">
      <c r="A33" s="34">
        <v>41864</v>
      </c>
      <c r="B33">
        <v>73.37</v>
      </c>
      <c r="C33">
        <v>74.3</v>
      </c>
      <c r="D33">
        <v>73.290000000000006</v>
      </c>
      <c r="E33">
        <v>74.16</v>
      </c>
      <c r="F33">
        <v>4546400</v>
      </c>
      <c r="G33">
        <v>73.849999999999994</v>
      </c>
    </row>
    <row r="34" spans="1:7" x14ac:dyDescent="0.25">
      <c r="A34" s="34">
        <v>41865</v>
      </c>
      <c r="B34">
        <v>74.680000000000007</v>
      </c>
      <c r="C34">
        <v>76.739999999999995</v>
      </c>
      <c r="D34">
        <v>74.48</v>
      </c>
      <c r="E34">
        <v>76.52</v>
      </c>
      <c r="F34">
        <v>7127900</v>
      </c>
      <c r="G34">
        <v>76.2</v>
      </c>
    </row>
    <row r="35" spans="1:7" x14ac:dyDescent="0.25">
      <c r="A35" s="34">
        <v>41866</v>
      </c>
      <c r="B35">
        <v>76.64</v>
      </c>
      <c r="C35">
        <v>76.989999999999995</v>
      </c>
      <c r="D35">
        <v>75.95</v>
      </c>
      <c r="E35">
        <v>76.5</v>
      </c>
      <c r="F35">
        <v>7645100</v>
      </c>
      <c r="G35">
        <v>76.180000000000007</v>
      </c>
    </row>
    <row r="36" spans="1:7" x14ac:dyDescent="0.25">
      <c r="A36" s="34">
        <v>41869</v>
      </c>
      <c r="B36">
        <v>76.94</v>
      </c>
      <c r="C36">
        <v>77.25</v>
      </c>
      <c r="D36">
        <v>76.55</v>
      </c>
      <c r="E36">
        <v>76.86</v>
      </c>
      <c r="F36">
        <v>4290900</v>
      </c>
      <c r="G36">
        <v>76.540000000000006</v>
      </c>
    </row>
    <row r="37" spans="1:7" x14ac:dyDescent="0.25">
      <c r="A37" s="34">
        <v>41870</v>
      </c>
      <c r="B37">
        <v>77.16</v>
      </c>
      <c r="C37">
        <v>77.19</v>
      </c>
      <c r="D37">
        <v>76.73</v>
      </c>
      <c r="E37">
        <v>76.989999999999995</v>
      </c>
      <c r="F37">
        <v>4101600</v>
      </c>
      <c r="G37">
        <v>76.67</v>
      </c>
    </row>
    <row r="38" spans="1:7" x14ac:dyDescent="0.25">
      <c r="A38" s="34">
        <v>41871</v>
      </c>
      <c r="B38">
        <v>77.06</v>
      </c>
      <c r="C38">
        <v>77.47</v>
      </c>
      <c r="D38">
        <v>76.569999999999993</v>
      </c>
      <c r="E38">
        <v>77.02</v>
      </c>
      <c r="F38">
        <v>4567900</v>
      </c>
      <c r="G38">
        <v>76.7</v>
      </c>
    </row>
    <row r="39" spans="1:7" x14ac:dyDescent="0.25">
      <c r="A39" s="34">
        <v>41872</v>
      </c>
      <c r="B39">
        <v>77.099999999999994</v>
      </c>
      <c r="C39">
        <v>77.180000000000007</v>
      </c>
      <c r="D39">
        <v>76.59</v>
      </c>
      <c r="E39">
        <v>76.760000000000005</v>
      </c>
      <c r="F39">
        <v>3667900</v>
      </c>
      <c r="G39">
        <v>76.44</v>
      </c>
    </row>
    <row r="40" spans="1:7" x14ac:dyDescent="0.25">
      <c r="A40" s="34">
        <v>41873</v>
      </c>
      <c r="B40">
        <v>76.75</v>
      </c>
      <c r="C40">
        <v>77.62</v>
      </c>
      <c r="D40">
        <v>76.36</v>
      </c>
      <c r="E40">
        <v>77.23</v>
      </c>
      <c r="F40">
        <v>3121400</v>
      </c>
      <c r="G40">
        <v>76.91</v>
      </c>
    </row>
    <row r="41" spans="1:7" x14ac:dyDescent="0.25">
      <c r="A41" s="34">
        <v>41876</v>
      </c>
      <c r="B41">
        <v>77.540000000000006</v>
      </c>
      <c r="C41">
        <v>77.88</v>
      </c>
      <c r="D41">
        <v>76.94</v>
      </c>
      <c r="E41">
        <v>76.95</v>
      </c>
      <c r="F41">
        <v>3334400</v>
      </c>
      <c r="G41">
        <v>76.63</v>
      </c>
    </row>
    <row r="42" spans="1:7" x14ac:dyDescent="0.25">
      <c r="A42" s="34">
        <v>41877</v>
      </c>
      <c r="B42">
        <v>76.959999999999994</v>
      </c>
      <c r="C42">
        <v>77.36</v>
      </c>
      <c r="D42">
        <v>76.849999999999994</v>
      </c>
      <c r="E42">
        <v>76.98</v>
      </c>
      <c r="F42">
        <v>3051700</v>
      </c>
      <c r="G42">
        <v>76.66</v>
      </c>
    </row>
    <row r="43" spans="1:7" x14ac:dyDescent="0.25">
      <c r="A43" s="34">
        <v>41878</v>
      </c>
      <c r="B43">
        <v>76.88</v>
      </c>
      <c r="C43">
        <v>77.260000000000005</v>
      </c>
      <c r="D43">
        <v>76.73</v>
      </c>
      <c r="E43">
        <v>76.849999999999994</v>
      </c>
      <c r="F43">
        <v>3537700</v>
      </c>
      <c r="G43">
        <v>76.849999999999994</v>
      </c>
    </row>
    <row r="44" spans="1:7" x14ac:dyDescent="0.25">
      <c r="A44" s="34">
        <v>41879</v>
      </c>
      <c r="B44">
        <v>76.81</v>
      </c>
      <c r="C44">
        <v>77.2</v>
      </c>
      <c r="D44">
        <v>76.599999999999994</v>
      </c>
      <c r="E44">
        <v>76.95</v>
      </c>
      <c r="F44">
        <v>3049700</v>
      </c>
      <c r="G44">
        <v>76.95</v>
      </c>
    </row>
    <row r="45" spans="1:7" x14ac:dyDescent="0.25">
      <c r="A45" s="34">
        <v>41880</v>
      </c>
      <c r="B45">
        <v>77</v>
      </c>
      <c r="C45">
        <v>77.14</v>
      </c>
      <c r="D45">
        <v>76.78</v>
      </c>
      <c r="E45">
        <v>77.03</v>
      </c>
      <c r="F45">
        <v>2807500</v>
      </c>
      <c r="G45">
        <v>77.03</v>
      </c>
    </row>
    <row r="46" spans="1:7" x14ac:dyDescent="0.25">
      <c r="A46" s="34">
        <v>41884</v>
      </c>
      <c r="B46">
        <v>76.83</v>
      </c>
      <c r="C46">
        <v>77.55</v>
      </c>
      <c r="D46">
        <v>76.81</v>
      </c>
      <c r="E46">
        <v>77.319999999999993</v>
      </c>
      <c r="F46">
        <v>2925600</v>
      </c>
      <c r="G46">
        <v>77.319999999999993</v>
      </c>
    </row>
    <row r="47" spans="1:7" x14ac:dyDescent="0.25">
      <c r="A47" s="34">
        <v>41885</v>
      </c>
      <c r="B47">
        <v>77.69</v>
      </c>
      <c r="C47">
        <v>78.31</v>
      </c>
      <c r="D47">
        <v>77.319999999999993</v>
      </c>
      <c r="E47">
        <v>77.33</v>
      </c>
      <c r="F47">
        <v>3777100</v>
      </c>
      <c r="G47">
        <v>77.33</v>
      </c>
    </row>
    <row r="48" spans="1:7" x14ac:dyDescent="0.25">
      <c r="A48" s="34">
        <v>41886</v>
      </c>
      <c r="B48">
        <v>77.55</v>
      </c>
      <c r="C48">
        <v>77.790000000000006</v>
      </c>
      <c r="D48">
        <v>76.989999999999995</v>
      </c>
      <c r="E48">
        <v>77.23</v>
      </c>
      <c r="F48">
        <v>6681100</v>
      </c>
      <c r="G48">
        <v>77.23</v>
      </c>
    </row>
    <row r="49" spans="1:7" x14ac:dyDescent="0.25">
      <c r="A49" s="34">
        <v>41887</v>
      </c>
      <c r="B49">
        <v>77</v>
      </c>
      <c r="C49">
        <v>77.25</v>
      </c>
      <c r="D49">
        <v>76.239999999999995</v>
      </c>
      <c r="E49">
        <v>76.959999999999994</v>
      </c>
      <c r="F49">
        <v>6914900</v>
      </c>
      <c r="G49">
        <v>76.959999999999994</v>
      </c>
    </row>
    <row r="50" spans="1:7" x14ac:dyDescent="0.25">
      <c r="A50" s="34">
        <v>41890</v>
      </c>
      <c r="B50">
        <v>76.959999999999994</v>
      </c>
      <c r="C50">
        <v>77.47</v>
      </c>
      <c r="D50">
        <v>76.39</v>
      </c>
      <c r="E50">
        <v>77.2</v>
      </c>
      <c r="F50">
        <v>3999000</v>
      </c>
      <c r="G50">
        <v>77.2</v>
      </c>
    </row>
    <row r="51" spans="1:7" x14ac:dyDescent="0.25">
      <c r="A51" s="34">
        <v>41891</v>
      </c>
      <c r="B51">
        <v>77.25</v>
      </c>
      <c r="C51">
        <v>77.3</v>
      </c>
      <c r="D51">
        <v>76.260000000000005</v>
      </c>
      <c r="E51">
        <v>76.39</v>
      </c>
      <c r="F51">
        <v>3581800</v>
      </c>
      <c r="G51">
        <v>76.39</v>
      </c>
    </row>
    <row r="52" spans="1:7" x14ac:dyDescent="0.25">
      <c r="A52" s="34">
        <v>41892</v>
      </c>
      <c r="B52">
        <v>76.510000000000005</v>
      </c>
      <c r="C52">
        <v>76.62</v>
      </c>
      <c r="D52">
        <v>74.98</v>
      </c>
      <c r="E52">
        <v>75.930000000000007</v>
      </c>
      <c r="F52">
        <v>3522000</v>
      </c>
      <c r="G52">
        <v>75.930000000000007</v>
      </c>
    </row>
    <row r="53" spans="1:7" x14ac:dyDescent="0.25">
      <c r="A53" s="34">
        <v>41893</v>
      </c>
      <c r="B53">
        <v>75.400000000000006</v>
      </c>
      <c r="C53">
        <v>77.02</v>
      </c>
      <c r="D53">
        <v>75.319999999999993</v>
      </c>
      <c r="E53">
        <v>76.760000000000005</v>
      </c>
      <c r="F53">
        <v>4417600</v>
      </c>
      <c r="G53">
        <v>76.760000000000005</v>
      </c>
    </row>
    <row r="54" spans="1:7" x14ac:dyDescent="0.25">
      <c r="A54" s="34">
        <v>41894</v>
      </c>
      <c r="B54">
        <v>76.73</v>
      </c>
      <c r="C54">
        <v>77.09</v>
      </c>
      <c r="D54">
        <v>76.27</v>
      </c>
      <c r="E54">
        <v>76.81</v>
      </c>
      <c r="F54">
        <v>3873500</v>
      </c>
      <c r="G54">
        <v>76.81</v>
      </c>
    </row>
    <row r="55" spans="1:7" x14ac:dyDescent="0.25">
      <c r="A55" s="34">
        <v>41897</v>
      </c>
      <c r="B55">
        <v>76.63</v>
      </c>
      <c r="C55">
        <v>76.69</v>
      </c>
      <c r="D55">
        <v>75.97</v>
      </c>
      <c r="E55">
        <v>76.2</v>
      </c>
      <c r="F55">
        <v>3023200</v>
      </c>
      <c r="G55">
        <v>76.2</v>
      </c>
    </row>
  </sheetData>
  <sortState ref="A3:G55">
    <sortCondition ref="A3:A55"/>
  </sortState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48.03</v>
      </c>
      <c r="C3">
        <v>48.73</v>
      </c>
      <c r="D3">
        <v>47.93</v>
      </c>
      <c r="E3">
        <v>48.49</v>
      </c>
      <c r="F3">
        <v>4714500</v>
      </c>
      <c r="G3">
        <v>48.18</v>
      </c>
    </row>
    <row r="4" spans="1:7" x14ac:dyDescent="0.25">
      <c r="A4" s="34">
        <v>41822</v>
      </c>
      <c r="B4">
        <v>48.33</v>
      </c>
      <c r="C4">
        <v>48.67</v>
      </c>
      <c r="D4">
        <v>48.33</v>
      </c>
      <c r="E4">
        <v>48.51</v>
      </c>
      <c r="F4">
        <v>2825500</v>
      </c>
      <c r="G4">
        <v>48.2</v>
      </c>
    </row>
    <row r="5" spans="1:7" x14ac:dyDescent="0.25">
      <c r="A5" s="34">
        <v>41823</v>
      </c>
      <c r="B5">
        <v>48.58</v>
      </c>
      <c r="C5">
        <v>48.98</v>
      </c>
      <c r="D5">
        <v>48.5</v>
      </c>
      <c r="E5">
        <v>48.95</v>
      </c>
      <c r="F5">
        <v>1689500</v>
      </c>
      <c r="G5">
        <v>48.64</v>
      </c>
    </row>
    <row r="6" spans="1:7" x14ac:dyDescent="0.25">
      <c r="A6" s="34">
        <v>41827</v>
      </c>
      <c r="B6">
        <v>48.73</v>
      </c>
      <c r="C6">
        <v>49.09</v>
      </c>
      <c r="D6">
        <v>48.73</v>
      </c>
      <c r="E6">
        <v>48.92</v>
      </c>
      <c r="F6">
        <v>2912700</v>
      </c>
      <c r="G6">
        <v>48.61</v>
      </c>
    </row>
    <row r="7" spans="1:7" x14ac:dyDescent="0.25">
      <c r="A7" s="34">
        <v>41828</v>
      </c>
      <c r="B7">
        <v>48.52</v>
      </c>
      <c r="C7">
        <v>49.04</v>
      </c>
      <c r="D7">
        <v>48.52</v>
      </c>
      <c r="E7">
        <v>48.85</v>
      </c>
      <c r="F7">
        <v>4789800</v>
      </c>
      <c r="G7">
        <v>48.54</v>
      </c>
    </row>
    <row r="8" spans="1:7" x14ac:dyDescent="0.25">
      <c r="A8" s="34">
        <v>41829</v>
      </c>
      <c r="B8">
        <v>49.06</v>
      </c>
      <c r="C8">
        <v>49.41</v>
      </c>
      <c r="D8">
        <v>48.83</v>
      </c>
      <c r="E8">
        <v>49.28</v>
      </c>
      <c r="F8">
        <v>4378200</v>
      </c>
      <c r="G8">
        <v>48.97</v>
      </c>
    </row>
    <row r="9" spans="1:7" x14ac:dyDescent="0.25">
      <c r="A9" s="34">
        <v>41830</v>
      </c>
      <c r="B9">
        <v>48.76</v>
      </c>
      <c r="C9">
        <v>49.09</v>
      </c>
      <c r="D9">
        <v>48.28</v>
      </c>
      <c r="E9">
        <v>49</v>
      </c>
      <c r="F9">
        <v>4907400</v>
      </c>
      <c r="G9">
        <v>48.69</v>
      </c>
    </row>
    <row r="10" spans="1:7" x14ac:dyDescent="0.25">
      <c r="A10" s="34">
        <v>41831</v>
      </c>
      <c r="B10">
        <v>48.83</v>
      </c>
      <c r="C10">
        <v>49.29</v>
      </c>
      <c r="D10">
        <v>48.83</v>
      </c>
      <c r="E10">
        <v>49.29</v>
      </c>
      <c r="F10">
        <v>4231400</v>
      </c>
      <c r="G10">
        <v>48.98</v>
      </c>
    </row>
    <row r="11" spans="1:7" x14ac:dyDescent="0.25">
      <c r="A11" s="34">
        <v>41834</v>
      </c>
      <c r="B11">
        <v>49.44</v>
      </c>
      <c r="C11">
        <v>49.53</v>
      </c>
      <c r="D11">
        <v>48.86</v>
      </c>
      <c r="E11">
        <v>48.92</v>
      </c>
      <c r="F11">
        <v>5171500</v>
      </c>
      <c r="G11">
        <v>48.61</v>
      </c>
    </row>
    <row r="12" spans="1:7" x14ac:dyDescent="0.25">
      <c r="A12" s="34">
        <v>41835</v>
      </c>
      <c r="B12">
        <v>48.98</v>
      </c>
      <c r="C12">
        <v>49.12</v>
      </c>
      <c r="D12">
        <v>48.42</v>
      </c>
      <c r="E12">
        <v>48.66</v>
      </c>
      <c r="F12">
        <v>5461600</v>
      </c>
      <c r="G12">
        <v>48.35</v>
      </c>
    </row>
    <row r="13" spans="1:7" x14ac:dyDescent="0.25">
      <c r="A13" s="34">
        <v>41836</v>
      </c>
      <c r="B13">
        <v>49</v>
      </c>
      <c r="C13">
        <v>49.2</v>
      </c>
      <c r="D13">
        <v>48.81</v>
      </c>
      <c r="E13">
        <v>49.05</v>
      </c>
      <c r="F13">
        <v>4894500</v>
      </c>
      <c r="G13">
        <v>48.74</v>
      </c>
    </row>
    <row r="14" spans="1:7" x14ac:dyDescent="0.25">
      <c r="A14" s="34">
        <v>41837</v>
      </c>
      <c r="B14">
        <v>48.53</v>
      </c>
      <c r="C14">
        <v>48.93</v>
      </c>
      <c r="D14">
        <v>48.06</v>
      </c>
      <c r="E14">
        <v>48.15</v>
      </c>
      <c r="F14">
        <v>5321300</v>
      </c>
      <c r="G14">
        <v>47.84</v>
      </c>
    </row>
    <row r="15" spans="1:7" x14ac:dyDescent="0.25">
      <c r="A15" s="34">
        <v>41838</v>
      </c>
      <c r="B15">
        <v>48.42</v>
      </c>
      <c r="C15">
        <v>48.97</v>
      </c>
      <c r="D15">
        <v>48.17</v>
      </c>
      <c r="E15">
        <v>48.82</v>
      </c>
      <c r="F15">
        <v>5178800</v>
      </c>
      <c r="G15">
        <v>48.51</v>
      </c>
    </row>
    <row r="16" spans="1:7" x14ac:dyDescent="0.25">
      <c r="A16" s="34">
        <v>41841</v>
      </c>
      <c r="B16">
        <v>48.08</v>
      </c>
      <c r="C16">
        <v>49.34</v>
      </c>
      <c r="D16">
        <v>48.08</v>
      </c>
      <c r="E16">
        <v>49.17</v>
      </c>
      <c r="F16">
        <v>7681800</v>
      </c>
      <c r="G16">
        <v>48.86</v>
      </c>
    </row>
    <row r="17" spans="1:7" x14ac:dyDescent="0.25">
      <c r="A17" s="34">
        <v>41842</v>
      </c>
      <c r="B17">
        <v>49</v>
      </c>
      <c r="C17">
        <v>49.24</v>
      </c>
      <c r="D17">
        <v>48.44</v>
      </c>
      <c r="E17">
        <v>49.12</v>
      </c>
      <c r="F17">
        <v>8210500</v>
      </c>
      <c r="G17">
        <v>48.81</v>
      </c>
    </row>
    <row r="18" spans="1:7" x14ac:dyDescent="0.25">
      <c r="A18" s="34">
        <v>41843</v>
      </c>
      <c r="B18">
        <v>49.22</v>
      </c>
      <c r="C18">
        <v>49.24</v>
      </c>
      <c r="D18">
        <v>48.15</v>
      </c>
      <c r="E18">
        <v>48.2</v>
      </c>
      <c r="F18">
        <v>12255400</v>
      </c>
      <c r="G18">
        <v>47.89</v>
      </c>
    </row>
    <row r="19" spans="1:7" x14ac:dyDescent="0.25">
      <c r="A19" s="34">
        <v>41844</v>
      </c>
      <c r="B19">
        <v>48.5</v>
      </c>
      <c r="C19">
        <v>48.61</v>
      </c>
      <c r="D19">
        <v>47.78</v>
      </c>
      <c r="E19">
        <v>47.86</v>
      </c>
      <c r="F19">
        <v>9868300</v>
      </c>
      <c r="G19">
        <v>47.56</v>
      </c>
    </row>
    <row r="20" spans="1:7" x14ac:dyDescent="0.25">
      <c r="A20" s="34">
        <v>41845</v>
      </c>
      <c r="B20">
        <v>47.73</v>
      </c>
      <c r="C20">
        <v>47.73</v>
      </c>
      <c r="D20">
        <v>46.77</v>
      </c>
      <c r="E20">
        <v>46.82</v>
      </c>
      <c r="F20">
        <v>9472100</v>
      </c>
      <c r="G20">
        <v>46.52</v>
      </c>
    </row>
    <row r="21" spans="1:7" x14ac:dyDescent="0.25">
      <c r="A21" s="34">
        <v>41848</v>
      </c>
      <c r="B21">
        <v>46.85</v>
      </c>
      <c r="C21">
        <v>47.44</v>
      </c>
      <c r="D21">
        <v>46.38</v>
      </c>
      <c r="E21">
        <v>47.35</v>
      </c>
      <c r="F21">
        <v>11324800</v>
      </c>
      <c r="G21">
        <v>47.05</v>
      </c>
    </row>
    <row r="22" spans="1:7" x14ac:dyDescent="0.25">
      <c r="A22" s="34">
        <v>41849</v>
      </c>
      <c r="B22">
        <v>47.19</v>
      </c>
      <c r="C22">
        <v>47.48</v>
      </c>
      <c r="D22">
        <v>46.77</v>
      </c>
      <c r="E22">
        <v>46.77</v>
      </c>
      <c r="F22">
        <v>6139700</v>
      </c>
      <c r="G22">
        <v>46.77</v>
      </c>
    </row>
    <row r="23" spans="1:7" x14ac:dyDescent="0.25">
      <c r="A23" s="34">
        <v>41850</v>
      </c>
      <c r="B23">
        <v>47</v>
      </c>
      <c r="C23">
        <v>47.38</v>
      </c>
      <c r="D23">
        <v>46.76</v>
      </c>
      <c r="E23">
        <v>47.23</v>
      </c>
      <c r="F23">
        <v>5408200</v>
      </c>
      <c r="G23">
        <v>47.23</v>
      </c>
    </row>
    <row r="24" spans="1:7" x14ac:dyDescent="0.25">
      <c r="A24" s="34">
        <v>41851</v>
      </c>
      <c r="B24">
        <v>46.84</v>
      </c>
      <c r="C24">
        <v>46.94</v>
      </c>
      <c r="D24">
        <v>46.02</v>
      </c>
      <c r="E24">
        <v>46.25</v>
      </c>
      <c r="F24">
        <v>8564900</v>
      </c>
      <c r="G24">
        <v>46.25</v>
      </c>
    </row>
    <row r="25" spans="1:7" x14ac:dyDescent="0.25">
      <c r="A25" s="34">
        <v>41852</v>
      </c>
      <c r="B25">
        <v>46.27</v>
      </c>
      <c r="C25">
        <v>46.63</v>
      </c>
      <c r="D25">
        <v>46.12</v>
      </c>
      <c r="E25">
        <v>46.24</v>
      </c>
      <c r="F25">
        <v>7316800</v>
      </c>
      <c r="G25">
        <v>46.24</v>
      </c>
    </row>
    <row r="26" spans="1:7" x14ac:dyDescent="0.25">
      <c r="A26" s="34">
        <v>41855</v>
      </c>
      <c r="B26">
        <v>46.2</v>
      </c>
      <c r="C26">
        <v>46.51</v>
      </c>
      <c r="D26">
        <v>46.05</v>
      </c>
      <c r="E26">
        <v>46.39</v>
      </c>
      <c r="F26">
        <v>5327100</v>
      </c>
      <c r="G26">
        <v>46.39</v>
      </c>
    </row>
    <row r="27" spans="1:7" x14ac:dyDescent="0.25">
      <c r="A27" s="34">
        <v>41856</v>
      </c>
      <c r="B27">
        <v>46.46</v>
      </c>
      <c r="C27">
        <v>46.46</v>
      </c>
      <c r="D27">
        <v>45.92</v>
      </c>
      <c r="E27">
        <v>45.99</v>
      </c>
      <c r="F27">
        <v>7867500</v>
      </c>
      <c r="G27">
        <v>45.99</v>
      </c>
    </row>
    <row r="28" spans="1:7" x14ac:dyDescent="0.25">
      <c r="A28" s="34">
        <v>41857</v>
      </c>
      <c r="B28">
        <v>45.88</v>
      </c>
      <c r="C28">
        <v>46.44</v>
      </c>
      <c r="D28">
        <v>45.78</v>
      </c>
      <c r="E28">
        <v>46.17</v>
      </c>
      <c r="F28">
        <v>4940900</v>
      </c>
      <c r="G28">
        <v>46.17</v>
      </c>
    </row>
    <row r="29" spans="1:7" x14ac:dyDescent="0.25">
      <c r="A29" s="34">
        <v>41858</v>
      </c>
      <c r="B29">
        <v>46.45</v>
      </c>
      <c r="C29">
        <v>46.5</v>
      </c>
      <c r="D29">
        <v>45.6</v>
      </c>
      <c r="E29">
        <v>45.67</v>
      </c>
      <c r="F29">
        <v>6689400</v>
      </c>
      <c r="G29">
        <v>45.67</v>
      </c>
    </row>
    <row r="30" spans="1:7" x14ac:dyDescent="0.25">
      <c r="A30" s="34">
        <v>41859</v>
      </c>
      <c r="B30">
        <v>45.9</v>
      </c>
      <c r="C30">
        <v>46.39</v>
      </c>
      <c r="D30">
        <v>45.85</v>
      </c>
      <c r="E30">
        <v>46.33</v>
      </c>
      <c r="F30">
        <v>4992300</v>
      </c>
      <c r="G30">
        <v>46.33</v>
      </c>
    </row>
    <row r="31" spans="1:7" x14ac:dyDescent="0.25">
      <c r="A31" s="34">
        <v>41862</v>
      </c>
      <c r="B31">
        <v>46.2</v>
      </c>
      <c r="C31">
        <v>46.82</v>
      </c>
      <c r="D31">
        <v>46.2</v>
      </c>
      <c r="E31">
        <v>46.5</v>
      </c>
      <c r="F31">
        <v>3393300</v>
      </c>
      <c r="G31">
        <v>46.5</v>
      </c>
    </row>
    <row r="32" spans="1:7" x14ac:dyDescent="0.25">
      <c r="A32" s="34">
        <v>41863</v>
      </c>
      <c r="B32">
        <v>46.25</v>
      </c>
      <c r="C32">
        <v>46.74</v>
      </c>
      <c r="D32">
        <v>46.25</v>
      </c>
      <c r="E32">
        <v>46.67</v>
      </c>
      <c r="F32">
        <v>3788200</v>
      </c>
      <c r="G32">
        <v>46.67</v>
      </c>
    </row>
    <row r="33" spans="1:7" x14ac:dyDescent="0.25">
      <c r="A33" s="34">
        <v>41864</v>
      </c>
      <c r="B33">
        <v>47.2</v>
      </c>
      <c r="C33">
        <v>47.2</v>
      </c>
      <c r="D33">
        <v>46.83</v>
      </c>
      <c r="E33">
        <v>47.08</v>
      </c>
      <c r="F33">
        <v>5457800</v>
      </c>
      <c r="G33">
        <v>47.08</v>
      </c>
    </row>
    <row r="34" spans="1:7" x14ac:dyDescent="0.25">
      <c r="A34" s="34">
        <v>41865</v>
      </c>
      <c r="B34">
        <v>47.18</v>
      </c>
      <c r="C34">
        <v>47.33</v>
      </c>
      <c r="D34">
        <v>47.01</v>
      </c>
      <c r="E34">
        <v>47.26</v>
      </c>
      <c r="F34">
        <v>2550700</v>
      </c>
      <c r="G34">
        <v>47.26</v>
      </c>
    </row>
    <row r="35" spans="1:7" x14ac:dyDescent="0.25">
      <c r="A35" s="34">
        <v>41866</v>
      </c>
      <c r="B35">
        <v>47.67</v>
      </c>
      <c r="C35">
        <v>47.73</v>
      </c>
      <c r="D35">
        <v>46.99</v>
      </c>
      <c r="E35">
        <v>47.56</v>
      </c>
      <c r="F35">
        <v>5854100</v>
      </c>
      <c r="G35">
        <v>47.56</v>
      </c>
    </row>
    <row r="36" spans="1:7" x14ac:dyDescent="0.25">
      <c r="A36" s="34">
        <v>41869</v>
      </c>
      <c r="B36">
        <v>47.55</v>
      </c>
      <c r="C36">
        <v>47.74</v>
      </c>
      <c r="D36">
        <v>47.36</v>
      </c>
      <c r="E36">
        <v>47.56</v>
      </c>
      <c r="F36">
        <v>3806300</v>
      </c>
      <c r="G36">
        <v>47.56</v>
      </c>
    </row>
    <row r="37" spans="1:7" x14ac:dyDescent="0.25">
      <c r="A37" s="34">
        <v>41870</v>
      </c>
      <c r="B37">
        <v>47.61</v>
      </c>
      <c r="C37">
        <v>47.92</v>
      </c>
      <c r="D37">
        <v>47.45</v>
      </c>
      <c r="E37">
        <v>47.69</v>
      </c>
      <c r="F37">
        <v>3092200</v>
      </c>
      <c r="G37">
        <v>47.69</v>
      </c>
    </row>
    <row r="38" spans="1:7" x14ac:dyDescent="0.25">
      <c r="A38" s="34">
        <v>41871</v>
      </c>
      <c r="B38">
        <v>47.68</v>
      </c>
      <c r="C38">
        <v>47.99</v>
      </c>
      <c r="D38">
        <v>47.67</v>
      </c>
      <c r="E38">
        <v>47.88</v>
      </c>
      <c r="F38">
        <v>5266400</v>
      </c>
      <c r="G38">
        <v>47.88</v>
      </c>
    </row>
    <row r="39" spans="1:7" x14ac:dyDescent="0.25">
      <c r="A39" s="34">
        <v>41872</v>
      </c>
      <c r="B39">
        <v>47.94</v>
      </c>
      <c r="C39">
        <v>48.23</v>
      </c>
      <c r="D39">
        <v>47.8</v>
      </c>
      <c r="E39">
        <v>48.17</v>
      </c>
      <c r="F39">
        <v>3698600</v>
      </c>
      <c r="G39">
        <v>48.17</v>
      </c>
    </row>
    <row r="40" spans="1:7" x14ac:dyDescent="0.25">
      <c r="A40" s="34">
        <v>41873</v>
      </c>
      <c r="B40">
        <v>48.26</v>
      </c>
      <c r="C40">
        <v>48.35</v>
      </c>
      <c r="D40">
        <v>47.96</v>
      </c>
      <c r="E40">
        <v>48.02</v>
      </c>
      <c r="F40">
        <v>3196900</v>
      </c>
      <c r="G40">
        <v>48.02</v>
      </c>
    </row>
    <row r="41" spans="1:7" x14ac:dyDescent="0.25">
      <c r="A41" s="34">
        <v>41876</v>
      </c>
      <c r="B41">
        <v>48.37</v>
      </c>
      <c r="C41">
        <v>48.5</v>
      </c>
      <c r="D41">
        <v>47.26</v>
      </c>
      <c r="E41">
        <v>47.37</v>
      </c>
      <c r="F41">
        <v>4836400</v>
      </c>
      <c r="G41">
        <v>47.37</v>
      </c>
    </row>
    <row r="42" spans="1:7" x14ac:dyDescent="0.25">
      <c r="A42" s="34">
        <v>41877</v>
      </c>
      <c r="B42">
        <v>47.46</v>
      </c>
      <c r="C42">
        <v>47.65</v>
      </c>
      <c r="D42">
        <v>47.31</v>
      </c>
      <c r="E42">
        <v>47.49</v>
      </c>
      <c r="F42">
        <v>4560400</v>
      </c>
      <c r="G42">
        <v>47.49</v>
      </c>
    </row>
    <row r="43" spans="1:7" x14ac:dyDescent="0.25">
      <c r="A43" s="34">
        <v>41878</v>
      </c>
      <c r="B43">
        <v>47.62</v>
      </c>
      <c r="C43">
        <v>47.84</v>
      </c>
      <c r="D43">
        <v>47.23</v>
      </c>
      <c r="E43">
        <v>47.78</v>
      </c>
      <c r="F43">
        <v>4881200</v>
      </c>
      <c r="G43">
        <v>47.78</v>
      </c>
    </row>
    <row r="44" spans="1:7" x14ac:dyDescent="0.25">
      <c r="A44" s="34">
        <v>41879</v>
      </c>
      <c r="B44">
        <v>47.61</v>
      </c>
      <c r="C44">
        <v>48.16</v>
      </c>
      <c r="D44">
        <v>47.49</v>
      </c>
      <c r="E44">
        <v>48.02</v>
      </c>
      <c r="F44">
        <v>3427300</v>
      </c>
      <c r="G44">
        <v>48.02</v>
      </c>
    </row>
    <row r="45" spans="1:7" x14ac:dyDescent="0.25">
      <c r="A45" s="34">
        <v>41880</v>
      </c>
      <c r="B45">
        <v>48.31</v>
      </c>
      <c r="C45">
        <v>48.34</v>
      </c>
      <c r="D45">
        <v>47.89</v>
      </c>
      <c r="E45">
        <v>48.18</v>
      </c>
      <c r="F45">
        <v>3433000</v>
      </c>
      <c r="G45">
        <v>48.18</v>
      </c>
    </row>
    <row r="46" spans="1:7" x14ac:dyDescent="0.25">
      <c r="A46" s="34">
        <v>41884</v>
      </c>
      <c r="B46">
        <v>48.43</v>
      </c>
      <c r="C46">
        <v>48.43</v>
      </c>
      <c r="D46">
        <v>47.65</v>
      </c>
      <c r="E46">
        <v>47.91</v>
      </c>
      <c r="F46">
        <v>3321300</v>
      </c>
      <c r="G46">
        <v>47.91</v>
      </c>
    </row>
    <row r="47" spans="1:7" x14ac:dyDescent="0.25">
      <c r="A47" s="34">
        <v>41885</v>
      </c>
      <c r="B47">
        <v>48.31</v>
      </c>
      <c r="C47">
        <v>48.37</v>
      </c>
      <c r="D47">
        <v>47.91</v>
      </c>
      <c r="E47">
        <v>48.35</v>
      </c>
      <c r="F47">
        <v>3884300</v>
      </c>
      <c r="G47">
        <v>48.35</v>
      </c>
    </row>
    <row r="48" spans="1:7" x14ac:dyDescent="0.25">
      <c r="A48" s="34">
        <v>41886</v>
      </c>
      <c r="B48">
        <v>48.5</v>
      </c>
      <c r="C48">
        <v>48.56</v>
      </c>
      <c r="D48">
        <v>48.16</v>
      </c>
      <c r="E48">
        <v>48.25</v>
      </c>
      <c r="F48">
        <v>3480200</v>
      </c>
      <c r="G48">
        <v>48.25</v>
      </c>
    </row>
    <row r="49" spans="1:7" x14ac:dyDescent="0.25">
      <c r="A49" s="34">
        <v>41887</v>
      </c>
      <c r="B49">
        <v>48.31</v>
      </c>
      <c r="C49">
        <v>48.59</v>
      </c>
      <c r="D49">
        <v>48.21</v>
      </c>
      <c r="E49">
        <v>48.58</v>
      </c>
      <c r="F49">
        <v>3648600</v>
      </c>
      <c r="G49">
        <v>48.58</v>
      </c>
    </row>
    <row r="50" spans="1:7" x14ac:dyDescent="0.25">
      <c r="A50" s="34">
        <v>41890</v>
      </c>
      <c r="B50">
        <v>48.39</v>
      </c>
      <c r="C50">
        <v>48.77</v>
      </c>
      <c r="D50">
        <v>48.32</v>
      </c>
      <c r="E50">
        <v>48.49</v>
      </c>
      <c r="F50">
        <v>3975400</v>
      </c>
      <c r="G50">
        <v>48.49</v>
      </c>
    </row>
    <row r="51" spans="1:7" x14ac:dyDescent="0.25">
      <c r="A51" s="34">
        <v>41891</v>
      </c>
      <c r="B51">
        <v>48.39</v>
      </c>
      <c r="C51">
        <v>48.52</v>
      </c>
      <c r="D51">
        <v>48.2</v>
      </c>
      <c r="E51">
        <v>48.28</v>
      </c>
      <c r="F51">
        <v>3153700</v>
      </c>
      <c r="G51">
        <v>48.28</v>
      </c>
    </row>
    <row r="52" spans="1:7" x14ac:dyDescent="0.25">
      <c r="A52" s="34">
        <v>41892</v>
      </c>
      <c r="B52">
        <v>48.42</v>
      </c>
      <c r="C52">
        <v>48.42</v>
      </c>
      <c r="D52">
        <v>47.83</v>
      </c>
      <c r="E52">
        <v>47.99</v>
      </c>
      <c r="F52">
        <v>5503700</v>
      </c>
      <c r="G52">
        <v>47.99</v>
      </c>
    </row>
    <row r="53" spans="1:7" x14ac:dyDescent="0.25">
      <c r="A53" s="34">
        <v>41893</v>
      </c>
      <c r="B53">
        <v>47.8</v>
      </c>
      <c r="C53">
        <v>48.22</v>
      </c>
      <c r="D53">
        <v>47.7</v>
      </c>
      <c r="E53">
        <v>48.15</v>
      </c>
      <c r="F53">
        <v>3165900</v>
      </c>
      <c r="G53">
        <v>48.15</v>
      </c>
    </row>
    <row r="54" spans="1:7" x14ac:dyDescent="0.25">
      <c r="A54" s="34">
        <v>41894</v>
      </c>
      <c r="B54">
        <v>47.93</v>
      </c>
      <c r="C54">
        <v>48.18</v>
      </c>
      <c r="D54">
        <v>47.46</v>
      </c>
      <c r="E54">
        <v>47.83</v>
      </c>
      <c r="F54">
        <v>4838300</v>
      </c>
      <c r="G54">
        <v>47.83</v>
      </c>
    </row>
    <row r="55" spans="1:7" x14ac:dyDescent="0.25">
      <c r="A55" s="34">
        <v>41897</v>
      </c>
      <c r="B55">
        <v>47.11</v>
      </c>
      <c r="C55">
        <v>47.95</v>
      </c>
      <c r="D55">
        <v>47.11</v>
      </c>
      <c r="E55">
        <v>47.59</v>
      </c>
      <c r="F55">
        <v>3238700</v>
      </c>
      <c r="G55">
        <v>47.59</v>
      </c>
    </row>
  </sheetData>
  <sortState ref="A3:G55">
    <sortCondition ref="A3:A55"/>
  </sortState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81.739999999999995</v>
      </c>
      <c r="C3">
        <v>82.35</v>
      </c>
      <c r="D3">
        <v>81.650000000000006</v>
      </c>
      <c r="E3">
        <v>81.89</v>
      </c>
      <c r="F3">
        <v>5482400</v>
      </c>
      <c r="G3">
        <v>81.540000000000006</v>
      </c>
    </row>
    <row r="4" spans="1:7" x14ac:dyDescent="0.25">
      <c r="A4" s="34">
        <v>41822</v>
      </c>
      <c r="B4">
        <v>81.8</v>
      </c>
      <c r="C4">
        <v>82.52</v>
      </c>
      <c r="D4">
        <v>81.069999999999993</v>
      </c>
      <c r="E4">
        <v>82.49</v>
      </c>
      <c r="F4">
        <v>3693500</v>
      </c>
      <c r="G4">
        <v>82.14</v>
      </c>
    </row>
    <row r="5" spans="1:7" x14ac:dyDescent="0.25">
      <c r="A5" s="34">
        <v>41823</v>
      </c>
      <c r="B5">
        <v>82.59</v>
      </c>
      <c r="C5">
        <v>83.44</v>
      </c>
      <c r="D5">
        <v>82.32</v>
      </c>
      <c r="E5">
        <v>83.35</v>
      </c>
      <c r="F5">
        <v>2183400</v>
      </c>
      <c r="G5">
        <v>83</v>
      </c>
    </row>
    <row r="6" spans="1:7" x14ac:dyDescent="0.25">
      <c r="A6" s="34">
        <v>41827</v>
      </c>
      <c r="B6">
        <v>82.99</v>
      </c>
      <c r="C6">
        <v>83.1</v>
      </c>
      <c r="D6">
        <v>81.790000000000006</v>
      </c>
      <c r="E6">
        <v>82.22</v>
      </c>
      <c r="F6">
        <v>2558500</v>
      </c>
      <c r="G6">
        <v>81.87</v>
      </c>
    </row>
    <row r="7" spans="1:7" x14ac:dyDescent="0.25">
      <c r="A7" s="34">
        <v>41828</v>
      </c>
      <c r="B7">
        <v>82.02</v>
      </c>
      <c r="C7">
        <v>82.07</v>
      </c>
      <c r="D7">
        <v>81.38</v>
      </c>
      <c r="E7">
        <v>81.93</v>
      </c>
      <c r="F7">
        <v>2967300</v>
      </c>
      <c r="G7">
        <v>81.58</v>
      </c>
    </row>
    <row r="8" spans="1:7" x14ac:dyDescent="0.25">
      <c r="A8" s="34">
        <v>41829</v>
      </c>
      <c r="B8">
        <v>81.98</v>
      </c>
      <c r="C8">
        <v>82.75</v>
      </c>
      <c r="D8">
        <v>81.89</v>
      </c>
      <c r="E8">
        <v>82.74</v>
      </c>
      <c r="F8">
        <v>3079500</v>
      </c>
      <c r="G8">
        <v>82.39</v>
      </c>
    </row>
    <row r="9" spans="1:7" x14ac:dyDescent="0.25">
      <c r="A9" s="34">
        <v>41830</v>
      </c>
      <c r="B9">
        <v>81.28</v>
      </c>
      <c r="C9">
        <v>82.51</v>
      </c>
      <c r="D9">
        <v>81.05</v>
      </c>
      <c r="E9">
        <v>82.08</v>
      </c>
      <c r="F9">
        <v>3829400</v>
      </c>
      <c r="G9">
        <v>81.73</v>
      </c>
    </row>
    <row r="10" spans="1:7" x14ac:dyDescent="0.25">
      <c r="A10" s="34">
        <v>41831</v>
      </c>
      <c r="B10">
        <v>81.92</v>
      </c>
      <c r="C10">
        <v>83.13</v>
      </c>
      <c r="D10">
        <v>81.73</v>
      </c>
      <c r="E10">
        <v>82.87</v>
      </c>
      <c r="F10">
        <v>2758400</v>
      </c>
      <c r="G10">
        <v>82.52</v>
      </c>
    </row>
    <row r="11" spans="1:7" x14ac:dyDescent="0.25">
      <c r="A11" s="34">
        <v>41834</v>
      </c>
      <c r="B11">
        <v>83.33</v>
      </c>
      <c r="C11">
        <v>84.69</v>
      </c>
      <c r="D11">
        <v>83.21</v>
      </c>
      <c r="E11">
        <v>84.27</v>
      </c>
      <c r="F11">
        <v>3794500</v>
      </c>
      <c r="G11">
        <v>83.91</v>
      </c>
    </row>
    <row r="12" spans="1:7" x14ac:dyDescent="0.25">
      <c r="A12" s="34">
        <v>41835</v>
      </c>
      <c r="B12">
        <v>84.04</v>
      </c>
      <c r="C12">
        <v>84.74</v>
      </c>
      <c r="D12">
        <v>83.73</v>
      </c>
      <c r="E12">
        <v>83.9</v>
      </c>
      <c r="F12">
        <v>4356300</v>
      </c>
      <c r="G12">
        <v>83.54</v>
      </c>
    </row>
    <row r="13" spans="1:7" x14ac:dyDescent="0.25">
      <c r="A13" s="34">
        <v>41836</v>
      </c>
      <c r="B13">
        <v>84.07</v>
      </c>
      <c r="C13">
        <v>84.13</v>
      </c>
      <c r="D13">
        <v>83.22</v>
      </c>
      <c r="E13">
        <v>83.76</v>
      </c>
      <c r="F13">
        <v>3955200</v>
      </c>
      <c r="G13">
        <v>83.41</v>
      </c>
    </row>
    <row r="14" spans="1:7" x14ac:dyDescent="0.25">
      <c r="A14" s="34">
        <v>41837</v>
      </c>
      <c r="B14">
        <v>84.25</v>
      </c>
      <c r="C14">
        <v>87.24</v>
      </c>
      <c r="D14">
        <v>83.43</v>
      </c>
      <c r="E14">
        <v>85.11</v>
      </c>
      <c r="F14">
        <v>7117900</v>
      </c>
      <c r="G14">
        <v>84.75</v>
      </c>
    </row>
    <row r="15" spans="1:7" x14ac:dyDescent="0.25">
      <c r="A15" s="34">
        <v>41838</v>
      </c>
      <c r="B15">
        <v>85.47</v>
      </c>
      <c r="C15">
        <v>85.78</v>
      </c>
      <c r="D15">
        <v>84.43</v>
      </c>
      <c r="E15">
        <v>85.52</v>
      </c>
      <c r="F15">
        <v>3892100</v>
      </c>
      <c r="G15">
        <v>85.16</v>
      </c>
    </row>
    <row r="16" spans="1:7" x14ac:dyDescent="0.25">
      <c r="A16" s="34">
        <v>41841</v>
      </c>
      <c r="B16">
        <v>85.22</v>
      </c>
      <c r="C16">
        <v>85.29</v>
      </c>
      <c r="D16">
        <v>84.03</v>
      </c>
      <c r="E16">
        <v>85.06</v>
      </c>
      <c r="F16">
        <v>4025100</v>
      </c>
      <c r="G16">
        <v>84.7</v>
      </c>
    </row>
    <row r="17" spans="1:7" x14ac:dyDescent="0.25">
      <c r="A17" s="34">
        <v>41842</v>
      </c>
      <c r="B17">
        <v>85.52</v>
      </c>
      <c r="C17">
        <v>86.76</v>
      </c>
      <c r="D17">
        <v>85.47</v>
      </c>
      <c r="E17">
        <v>86.05</v>
      </c>
      <c r="F17">
        <v>4366900</v>
      </c>
      <c r="G17">
        <v>85.69</v>
      </c>
    </row>
    <row r="18" spans="1:7" x14ac:dyDescent="0.25">
      <c r="A18" s="34">
        <v>41843</v>
      </c>
      <c r="B18">
        <v>86.31</v>
      </c>
      <c r="C18">
        <v>86.55</v>
      </c>
      <c r="D18">
        <v>85.77</v>
      </c>
      <c r="E18">
        <v>85.94</v>
      </c>
      <c r="F18">
        <v>2596300</v>
      </c>
      <c r="G18">
        <v>85.58</v>
      </c>
    </row>
    <row r="19" spans="1:7" x14ac:dyDescent="0.25">
      <c r="A19" s="34">
        <v>41844</v>
      </c>
      <c r="B19">
        <v>85.45</v>
      </c>
      <c r="C19">
        <v>86.33</v>
      </c>
      <c r="D19">
        <v>85.29</v>
      </c>
      <c r="E19">
        <v>85.68</v>
      </c>
      <c r="F19">
        <v>4022400</v>
      </c>
      <c r="G19">
        <v>85.32</v>
      </c>
    </row>
    <row r="20" spans="1:7" x14ac:dyDescent="0.25">
      <c r="A20" s="34">
        <v>41845</v>
      </c>
      <c r="B20">
        <v>84.12</v>
      </c>
      <c r="C20">
        <v>85.01</v>
      </c>
      <c r="D20">
        <v>84</v>
      </c>
      <c r="E20">
        <v>84.68</v>
      </c>
      <c r="F20">
        <v>3362600</v>
      </c>
      <c r="G20">
        <v>84.32</v>
      </c>
    </row>
    <row r="21" spans="1:7" x14ac:dyDescent="0.25">
      <c r="A21" s="34">
        <v>41848</v>
      </c>
      <c r="B21">
        <v>85.03</v>
      </c>
      <c r="C21">
        <v>85.9</v>
      </c>
      <c r="D21">
        <v>84.6</v>
      </c>
      <c r="E21">
        <v>85.75</v>
      </c>
      <c r="F21">
        <v>2206900</v>
      </c>
      <c r="G21">
        <v>85.39</v>
      </c>
    </row>
    <row r="22" spans="1:7" x14ac:dyDescent="0.25">
      <c r="A22" s="34">
        <v>41849</v>
      </c>
      <c r="B22">
        <v>84.96</v>
      </c>
      <c r="C22">
        <v>85.56</v>
      </c>
      <c r="D22">
        <v>83.99</v>
      </c>
      <c r="E22">
        <v>84.27</v>
      </c>
      <c r="F22">
        <v>4897800</v>
      </c>
      <c r="G22">
        <v>83.91</v>
      </c>
    </row>
    <row r="23" spans="1:7" x14ac:dyDescent="0.25">
      <c r="A23" s="34">
        <v>41850</v>
      </c>
      <c r="B23">
        <v>84.76</v>
      </c>
      <c r="C23">
        <v>84.87</v>
      </c>
      <c r="D23">
        <v>81.72</v>
      </c>
      <c r="E23">
        <v>82.95</v>
      </c>
      <c r="F23">
        <v>7171800</v>
      </c>
      <c r="G23">
        <v>82.6</v>
      </c>
    </row>
    <row r="24" spans="1:7" x14ac:dyDescent="0.25">
      <c r="A24" s="34">
        <v>41851</v>
      </c>
      <c r="B24">
        <v>81.77</v>
      </c>
      <c r="C24">
        <v>82.18</v>
      </c>
      <c r="D24">
        <v>80.55</v>
      </c>
      <c r="E24">
        <v>81.05</v>
      </c>
      <c r="F24">
        <v>5345400</v>
      </c>
      <c r="G24">
        <v>80.709999999999994</v>
      </c>
    </row>
    <row r="25" spans="1:7" x14ac:dyDescent="0.25">
      <c r="A25" s="34">
        <v>41852</v>
      </c>
      <c r="B25">
        <v>81.14</v>
      </c>
      <c r="C25">
        <v>82.07</v>
      </c>
      <c r="D25">
        <v>80.56</v>
      </c>
      <c r="E25">
        <v>81.489999999999995</v>
      </c>
      <c r="F25">
        <v>4625100</v>
      </c>
      <c r="G25">
        <v>81.14</v>
      </c>
    </row>
    <row r="26" spans="1:7" x14ac:dyDescent="0.25">
      <c r="A26" s="34">
        <v>41855</v>
      </c>
      <c r="B26">
        <v>81.59</v>
      </c>
      <c r="C26">
        <v>82.53</v>
      </c>
      <c r="D26">
        <v>81.16</v>
      </c>
      <c r="E26">
        <v>82.27</v>
      </c>
      <c r="F26">
        <v>3197700</v>
      </c>
      <c r="G26">
        <v>81.92</v>
      </c>
    </row>
    <row r="27" spans="1:7" x14ac:dyDescent="0.25">
      <c r="A27" s="34">
        <v>41856</v>
      </c>
      <c r="B27">
        <v>81.83</v>
      </c>
      <c r="C27">
        <v>82.53</v>
      </c>
      <c r="D27">
        <v>80.569999999999993</v>
      </c>
      <c r="E27">
        <v>80.989999999999995</v>
      </c>
      <c r="F27">
        <v>4599500</v>
      </c>
      <c r="G27">
        <v>80.650000000000006</v>
      </c>
    </row>
    <row r="28" spans="1:7" x14ac:dyDescent="0.25">
      <c r="A28" s="34">
        <v>41857</v>
      </c>
      <c r="B28">
        <v>80.95</v>
      </c>
      <c r="C28">
        <v>82.12</v>
      </c>
      <c r="D28">
        <v>80.739999999999995</v>
      </c>
      <c r="E28">
        <v>81.5</v>
      </c>
      <c r="F28">
        <v>3311300</v>
      </c>
      <c r="G28">
        <v>81.150000000000006</v>
      </c>
    </row>
    <row r="29" spans="1:7" x14ac:dyDescent="0.25">
      <c r="A29" s="34">
        <v>41858</v>
      </c>
      <c r="B29">
        <v>81</v>
      </c>
      <c r="C29">
        <v>81.09</v>
      </c>
      <c r="D29">
        <v>79.16</v>
      </c>
      <c r="E29">
        <v>79.260000000000005</v>
      </c>
      <c r="F29">
        <v>5465400</v>
      </c>
      <c r="G29">
        <v>78.92</v>
      </c>
    </row>
    <row r="30" spans="1:7" x14ac:dyDescent="0.25">
      <c r="A30" s="34">
        <v>41859</v>
      </c>
      <c r="B30">
        <v>79.41</v>
      </c>
      <c r="C30">
        <v>80.19</v>
      </c>
      <c r="D30">
        <v>78.739999999999995</v>
      </c>
      <c r="E30">
        <v>80.12</v>
      </c>
      <c r="F30">
        <v>3713400</v>
      </c>
      <c r="G30">
        <v>79.78</v>
      </c>
    </row>
    <row r="31" spans="1:7" x14ac:dyDescent="0.25">
      <c r="A31" s="34">
        <v>41862</v>
      </c>
      <c r="B31">
        <v>80.39</v>
      </c>
      <c r="C31">
        <v>80.650000000000006</v>
      </c>
      <c r="D31">
        <v>79.760000000000005</v>
      </c>
      <c r="E31">
        <v>79.87</v>
      </c>
      <c r="F31">
        <v>3460000</v>
      </c>
      <c r="G31">
        <v>79.53</v>
      </c>
    </row>
    <row r="32" spans="1:7" x14ac:dyDescent="0.25">
      <c r="A32" s="34">
        <v>41863</v>
      </c>
      <c r="B32">
        <v>79.61</v>
      </c>
      <c r="C32">
        <v>80.39</v>
      </c>
      <c r="D32">
        <v>79.53</v>
      </c>
      <c r="E32">
        <v>80.22</v>
      </c>
      <c r="F32">
        <v>3206200</v>
      </c>
      <c r="G32">
        <v>79.88</v>
      </c>
    </row>
    <row r="33" spans="1:7" x14ac:dyDescent="0.25">
      <c r="A33" s="34">
        <v>41864</v>
      </c>
      <c r="B33">
        <v>80.62</v>
      </c>
      <c r="C33">
        <v>81.67</v>
      </c>
      <c r="D33">
        <v>80.39</v>
      </c>
      <c r="E33">
        <v>81.510000000000005</v>
      </c>
      <c r="F33">
        <v>3049900</v>
      </c>
      <c r="G33">
        <v>81.16</v>
      </c>
    </row>
    <row r="34" spans="1:7" x14ac:dyDescent="0.25">
      <c r="A34" s="34">
        <v>41865</v>
      </c>
      <c r="B34">
        <v>81.709999999999994</v>
      </c>
      <c r="C34">
        <v>82.07</v>
      </c>
      <c r="D34">
        <v>80.16</v>
      </c>
      <c r="E34">
        <v>81.819999999999993</v>
      </c>
      <c r="F34">
        <v>2241100</v>
      </c>
      <c r="G34">
        <v>81.47</v>
      </c>
    </row>
    <row r="35" spans="1:7" x14ac:dyDescent="0.25">
      <c r="A35" s="34">
        <v>41866</v>
      </c>
      <c r="B35">
        <v>82.21</v>
      </c>
      <c r="C35">
        <v>82.28</v>
      </c>
      <c r="D35">
        <v>80.81</v>
      </c>
      <c r="E35">
        <v>81.47</v>
      </c>
      <c r="F35">
        <v>2442700</v>
      </c>
      <c r="G35">
        <v>81.13</v>
      </c>
    </row>
    <row r="36" spans="1:7" x14ac:dyDescent="0.25">
      <c r="A36" s="34">
        <v>41869</v>
      </c>
      <c r="B36">
        <v>81.77</v>
      </c>
      <c r="C36">
        <v>82.48</v>
      </c>
      <c r="D36">
        <v>81.349999999999994</v>
      </c>
      <c r="E36">
        <v>82.34</v>
      </c>
      <c r="F36">
        <v>2795800</v>
      </c>
      <c r="G36">
        <v>81.99</v>
      </c>
    </row>
    <row r="37" spans="1:7" x14ac:dyDescent="0.25">
      <c r="A37" s="34">
        <v>41870</v>
      </c>
      <c r="B37">
        <v>82.49</v>
      </c>
      <c r="C37">
        <v>83.76</v>
      </c>
      <c r="D37">
        <v>82.05</v>
      </c>
      <c r="E37">
        <v>83.47</v>
      </c>
      <c r="F37">
        <v>3549300</v>
      </c>
      <c r="G37">
        <v>83.12</v>
      </c>
    </row>
    <row r="38" spans="1:7" x14ac:dyDescent="0.25">
      <c r="A38" s="34">
        <v>41871</v>
      </c>
      <c r="B38">
        <v>82.94</v>
      </c>
      <c r="C38">
        <v>83.75</v>
      </c>
      <c r="D38">
        <v>82.36</v>
      </c>
      <c r="E38">
        <v>83.43</v>
      </c>
      <c r="F38">
        <v>2579600</v>
      </c>
      <c r="G38">
        <v>83.08</v>
      </c>
    </row>
    <row r="39" spans="1:7" x14ac:dyDescent="0.25">
      <c r="A39" s="34">
        <v>41872</v>
      </c>
      <c r="B39">
        <v>83.61</v>
      </c>
      <c r="C39">
        <v>84.1</v>
      </c>
      <c r="D39">
        <v>83.59</v>
      </c>
      <c r="E39">
        <v>83.77</v>
      </c>
      <c r="F39">
        <v>2648500</v>
      </c>
      <c r="G39">
        <v>83.42</v>
      </c>
    </row>
    <row r="40" spans="1:7" x14ac:dyDescent="0.25">
      <c r="A40" s="34">
        <v>41873</v>
      </c>
      <c r="B40">
        <v>83.6</v>
      </c>
      <c r="C40">
        <v>84</v>
      </c>
      <c r="D40">
        <v>83.46</v>
      </c>
      <c r="E40">
        <v>83.78</v>
      </c>
      <c r="F40">
        <v>2089300</v>
      </c>
      <c r="G40">
        <v>83.43</v>
      </c>
    </row>
    <row r="41" spans="1:7" x14ac:dyDescent="0.25">
      <c r="A41" s="34">
        <v>41876</v>
      </c>
      <c r="B41">
        <v>84.39</v>
      </c>
      <c r="C41">
        <v>84.75</v>
      </c>
      <c r="D41">
        <v>83.95</v>
      </c>
      <c r="E41">
        <v>84.24</v>
      </c>
      <c r="F41">
        <v>1988100</v>
      </c>
      <c r="G41">
        <v>83.88</v>
      </c>
    </row>
    <row r="42" spans="1:7" x14ac:dyDescent="0.25">
      <c r="A42" s="34">
        <v>41877</v>
      </c>
      <c r="B42">
        <v>84.45</v>
      </c>
      <c r="C42">
        <v>85.34</v>
      </c>
      <c r="D42">
        <v>84.15</v>
      </c>
      <c r="E42">
        <v>85.12</v>
      </c>
      <c r="F42">
        <v>2267800</v>
      </c>
      <c r="G42">
        <v>84.76</v>
      </c>
    </row>
    <row r="43" spans="1:7" x14ac:dyDescent="0.25">
      <c r="A43" s="34">
        <v>41878</v>
      </c>
      <c r="B43">
        <v>85.18</v>
      </c>
      <c r="C43">
        <v>86.97</v>
      </c>
      <c r="D43">
        <v>84.96</v>
      </c>
      <c r="E43">
        <v>86.38</v>
      </c>
      <c r="F43">
        <v>5800700</v>
      </c>
      <c r="G43">
        <v>86.01</v>
      </c>
    </row>
    <row r="44" spans="1:7" x14ac:dyDescent="0.25">
      <c r="A44" s="34">
        <v>41879</v>
      </c>
      <c r="B44">
        <v>86</v>
      </c>
      <c r="C44">
        <v>87</v>
      </c>
      <c r="D44">
        <v>85.52</v>
      </c>
      <c r="E44">
        <v>86.34</v>
      </c>
      <c r="F44">
        <v>2749700</v>
      </c>
      <c r="G44">
        <v>85.97</v>
      </c>
    </row>
    <row r="45" spans="1:7" x14ac:dyDescent="0.25">
      <c r="A45" s="34">
        <v>41880</v>
      </c>
      <c r="B45">
        <v>86.75</v>
      </c>
      <c r="C45">
        <v>87.23</v>
      </c>
      <c r="D45">
        <v>86.35</v>
      </c>
      <c r="E45">
        <v>86.68</v>
      </c>
      <c r="F45">
        <v>3297500</v>
      </c>
      <c r="G45">
        <v>86.31</v>
      </c>
    </row>
    <row r="46" spans="1:7" x14ac:dyDescent="0.25">
      <c r="A46" s="34">
        <v>41884</v>
      </c>
      <c r="B46">
        <v>87.12</v>
      </c>
      <c r="C46">
        <v>87.22</v>
      </c>
      <c r="D46">
        <v>85.76</v>
      </c>
      <c r="E46">
        <v>86.39</v>
      </c>
      <c r="F46">
        <v>3726100</v>
      </c>
      <c r="G46">
        <v>86.02</v>
      </c>
    </row>
    <row r="47" spans="1:7" x14ac:dyDescent="0.25">
      <c r="A47" s="34">
        <v>41885</v>
      </c>
      <c r="B47">
        <v>86.78</v>
      </c>
      <c r="C47">
        <v>87.35</v>
      </c>
      <c r="D47">
        <v>86.42</v>
      </c>
      <c r="E47">
        <v>86.79</v>
      </c>
      <c r="F47">
        <v>2824400</v>
      </c>
      <c r="G47">
        <v>86.42</v>
      </c>
    </row>
    <row r="48" spans="1:7" x14ac:dyDescent="0.25">
      <c r="A48" s="34">
        <v>41886</v>
      </c>
      <c r="B48">
        <v>86.76</v>
      </c>
      <c r="C48">
        <v>88.45</v>
      </c>
      <c r="D48">
        <v>86.71</v>
      </c>
      <c r="E48">
        <v>87.06</v>
      </c>
      <c r="F48">
        <v>3650100</v>
      </c>
      <c r="G48">
        <v>86.69</v>
      </c>
    </row>
    <row r="49" spans="1:7" x14ac:dyDescent="0.25">
      <c r="A49" s="34">
        <v>41887</v>
      </c>
      <c r="B49">
        <v>86.95</v>
      </c>
      <c r="C49">
        <v>87.8</v>
      </c>
      <c r="D49">
        <v>86.74</v>
      </c>
      <c r="E49">
        <v>87.75</v>
      </c>
      <c r="F49">
        <v>3873500</v>
      </c>
      <c r="G49">
        <v>87.38</v>
      </c>
    </row>
    <row r="50" spans="1:7" x14ac:dyDescent="0.25">
      <c r="A50" s="34">
        <v>41890</v>
      </c>
      <c r="B50">
        <v>87.7</v>
      </c>
      <c r="C50">
        <v>88</v>
      </c>
      <c r="D50">
        <v>87.42</v>
      </c>
      <c r="E50">
        <v>87.91</v>
      </c>
      <c r="F50">
        <v>2298000</v>
      </c>
      <c r="G50">
        <v>87.54</v>
      </c>
    </row>
    <row r="51" spans="1:7" x14ac:dyDescent="0.25">
      <c r="A51" s="34">
        <v>41891</v>
      </c>
      <c r="B51">
        <v>88</v>
      </c>
      <c r="C51">
        <v>88.85</v>
      </c>
      <c r="D51">
        <v>87.49</v>
      </c>
      <c r="E51">
        <v>88.56</v>
      </c>
      <c r="F51">
        <v>4409400</v>
      </c>
      <c r="G51">
        <v>88.18</v>
      </c>
    </row>
    <row r="52" spans="1:7" x14ac:dyDescent="0.25">
      <c r="A52" s="34">
        <v>41892</v>
      </c>
      <c r="B52">
        <v>88.44</v>
      </c>
      <c r="C52">
        <v>88.5</v>
      </c>
      <c r="D52">
        <v>86.69</v>
      </c>
      <c r="E52">
        <v>87.25</v>
      </c>
      <c r="F52">
        <v>3355800</v>
      </c>
      <c r="G52">
        <v>87.25</v>
      </c>
    </row>
    <row r="53" spans="1:7" x14ac:dyDescent="0.25">
      <c r="A53" s="34">
        <v>41893</v>
      </c>
      <c r="B53">
        <v>86.76</v>
      </c>
      <c r="C53">
        <v>87.12</v>
      </c>
      <c r="D53">
        <v>86.2</v>
      </c>
      <c r="E53">
        <v>87.08</v>
      </c>
      <c r="F53">
        <v>3034500</v>
      </c>
      <c r="G53">
        <v>87.08</v>
      </c>
    </row>
    <row r="54" spans="1:7" x14ac:dyDescent="0.25">
      <c r="A54" s="34">
        <v>41894</v>
      </c>
      <c r="B54">
        <v>87.24</v>
      </c>
      <c r="C54">
        <v>87.24</v>
      </c>
      <c r="D54">
        <v>85.86</v>
      </c>
      <c r="E54">
        <v>86.18</v>
      </c>
      <c r="F54">
        <v>2582400</v>
      </c>
      <c r="G54">
        <v>86.18</v>
      </c>
    </row>
    <row r="55" spans="1:7" x14ac:dyDescent="0.25">
      <c r="A55" s="34">
        <v>41897</v>
      </c>
      <c r="B55">
        <v>86.3</v>
      </c>
      <c r="C55">
        <v>86.82</v>
      </c>
      <c r="D55">
        <v>85.83</v>
      </c>
      <c r="E55">
        <v>86.03</v>
      </c>
      <c r="F55">
        <v>2441800</v>
      </c>
      <c r="G55">
        <v>86.03</v>
      </c>
    </row>
  </sheetData>
  <sortState ref="A3:G55">
    <sortCondition ref="A3:A55"/>
  </sortState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99.96</v>
      </c>
      <c r="C3">
        <v>100.68</v>
      </c>
      <c r="D3">
        <v>99.77</v>
      </c>
      <c r="E3">
        <v>100.1</v>
      </c>
      <c r="F3">
        <v>3365400</v>
      </c>
      <c r="G3">
        <v>99.63</v>
      </c>
    </row>
    <row r="4" spans="1:7" x14ac:dyDescent="0.25">
      <c r="A4" s="34">
        <v>41822</v>
      </c>
      <c r="B4">
        <v>100.05</v>
      </c>
      <c r="C4">
        <v>100.78</v>
      </c>
      <c r="D4">
        <v>99.91</v>
      </c>
      <c r="E4">
        <v>100.07</v>
      </c>
      <c r="F4">
        <v>3471100</v>
      </c>
      <c r="G4">
        <v>99.6</v>
      </c>
    </row>
    <row r="5" spans="1:7" x14ac:dyDescent="0.25">
      <c r="A5" s="34">
        <v>41823</v>
      </c>
      <c r="B5">
        <v>100.19</v>
      </c>
      <c r="C5">
        <v>101.09</v>
      </c>
      <c r="D5">
        <v>100.18</v>
      </c>
      <c r="E5">
        <v>100.98</v>
      </c>
      <c r="F5">
        <v>2461400</v>
      </c>
      <c r="G5">
        <v>100.5</v>
      </c>
    </row>
    <row r="6" spans="1:7" x14ac:dyDescent="0.25">
      <c r="A6" s="34">
        <v>41827</v>
      </c>
      <c r="B6">
        <v>101.2</v>
      </c>
      <c r="C6">
        <v>101.2</v>
      </c>
      <c r="D6">
        <v>99.71</v>
      </c>
      <c r="E6">
        <v>100.26</v>
      </c>
      <c r="F6">
        <v>2914100</v>
      </c>
      <c r="G6">
        <v>99.79</v>
      </c>
    </row>
    <row r="7" spans="1:7" x14ac:dyDescent="0.25">
      <c r="A7" s="34">
        <v>41828</v>
      </c>
      <c r="B7">
        <v>100.02</v>
      </c>
      <c r="C7">
        <v>100.34</v>
      </c>
      <c r="D7">
        <v>99.53</v>
      </c>
      <c r="E7">
        <v>100.09</v>
      </c>
      <c r="F7">
        <v>2022200</v>
      </c>
      <c r="G7">
        <v>99.62</v>
      </c>
    </row>
    <row r="8" spans="1:7" x14ac:dyDescent="0.25">
      <c r="A8" s="34">
        <v>41829</v>
      </c>
      <c r="B8">
        <v>100.54</v>
      </c>
      <c r="C8">
        <v>101</v>
      </c>
      <c r="D8">
        <v>100.2</v>
      </c>
      <c r="E8">
        <v>100.61</v>
      </c>
      <c r="F8">
        <v>1782900</v>
      </c>
      <c r="G8">
        <v>100.13</v>
      </c>
    </row>
    <row r="9" spans="1:7" x14ac:dyDescent="0.25">
      <c r="A9" s="34">
        <v>41830</v>
      </c>
      <c r="B9">
        <v>99.6</v>
      </c>
      <c r="C9">
        <v>99.98</v>
      </c>
      <c r="D9">
        <v>99.27</v>
      </c>
      <c r="E9">
        <v>99.61</v>
      </c>
      <c r="F9">
        <v>2436400</v>
      </c>
      <c r="G9">
        <v>99.14</v>
      </c>
    </row>
    <row r="10" spans="1:7" x14ac:dyDescent="0.25">
      <c r="A10" s="34">
        <v>41831</v>
      </c>
      <c r="B10">
        <v>99.66</v>
      </c>
      <c r="C10">
        <v>100.43</v>
      </c>
      <c r="D10">
        <v>99.55</v>
      </c>
      <c r="E10">
        <v>100.27</v>
      </c>
      <c r="F10">
        <v>2086600</v>
      </c>
      <c r="G10">
        <v>99.8</v>
      </c>
    </row>
    <row r="11" spans="1:7" x14ac:dyDescent="0.25">
      <c r="A11" s="34">
        <v>41834</v>
      </c>
      <c r="B11">
        <v>100.74</v>
      </c>
      <c r="C11">
        <v>101.35</v>
      </c>
      <c r="D11">
        <v>100.73</v>
      </c>
      <c r="E11">
        <v>101.09</v>
      </c>
      <c r="F11">
        <v>2261500</v>
      </c>
      <c r="G11">
        <v>100.61</v>
      </c>
    </row>
    <row r="12" spans="1:7" x14ac:dyDescent="0.25">
      <c r="A12" s="34">
        <v>41835</v>
      </c>
      <c r="B12">
        <v>100.67</v>
      </c>
      <c r="C12">
        <v>101.64</v>
      </c>
      <c r="D12">
        <v>100.59</v>
      </c>
      <c r="E12">
        <v>101.37</v>
      </c>
      <c r="F12">
        <v>2659500</v>
      </c>
      <c r="G12">
        <v>100.89</v>
      </c>
    </row>
    <row r="13" spans="1:7" x14ac:dyDescent="0.25">
      <c r="A13" s="34">
        <v>41836</v>
      </c>
      <c r="B13">
        <v>101.88</v>
      </c>
      <c r="C13">
        <v>102</v>
      </c>
      <c r="D13">
        <v>101.25</v>
      </c>
      <c r="E13">
        <v>101.78</v>
      </c>
      <c r="F13">
        <v>2164800</v>
      </c>
      <c r="G13">
        <v>101.3</v>
      </c>
    </row>
    <row r="14" spans="1:7" x14ac:dyDescent="0.25">
      <c r="A14" s="34">
        <v>41837</v>
      </c>
      <c r="B14">
        <v>100.97</v>
      </c>
      <c r="C14">
        <v>101.73</v>
      </c>
      <c r="D14">
        <v>100.44</v>
      </c>
      <c r="E14">
        <v>100.45</v>
      </c>
      <c r="F14">
        <v>2218200</v>
      </c>
      <c r="G14">
        <v>99.97</v>
      </c>
    </row>
    <row r="15" spans="1:7" x14ac:dyDescent="0.25">
      <c r="A15" s="34">
        <v>41838</v>
      </c>
      <c r="B15">
        <v>100.7</v>
      </c>
      <c r="C15">
        <v>101.35</v>
      </c>
      <c r="D15">
        <v>100.37</v>
      </c>
      <c r="E15">
        <v>101.34</v>
      </c>
      <c r="F15">
        <v>3189800</v>
      </c>
      <c r="G15">
        <v>100.86</v>
      </c>
    </row>
    <row r="16" spans="1:7" x14ac:dyDescent="0.25">
      <c r="A16" s="34">
        <v>41841</v>
      </c>
      <c r="B16">
        <v>101.32</v>
      </c>
      <c r="C16">
        <v>101.89</v>
      </c>
      <c r="D16">
        <v>100.86</v>
      </c>
      <c r="E16">
        <v>101.64</v>
      </c>
      <c r="F16">
        <v>2746600</v>
      </c>
      <c r="G16">
        <v>101.16</v>
      </c>
    </row>
    <row r="17" spans="1:7" x14ac:dyDescent="0.25">
      <c r="A17" s="34">
        <v>41842</v>
      </c>
      <c r="B17">
        <v>101.87</v>
      </c>
      <c r="C17">
        <v>102.98</v>
      </c>
      <c r="D17">
        <v>101.75</v>
      </c>
      <c r="E17">
        <v>102.86</v>
      </c>
      <c r="F17">
        <v>2861500</v>
      </c>
      <c r="G17">
        <v>102.37</v>
      </c>
    </row>
    <row r="18" spans="1:7" x14ac:dyDescent="0.25">
      <c r="A18" s="34">
        <v>41843</v>
      </c>
      <c r="B18">
        <v>102.97</v>
      </c>
      <c r="C18">
        <v>103.25</v>
      </c>
      <c r="D18">
        <v>101.77</v>
      </c>
      <c r="E18">
        <v>102.51</v>
      </c>
      <c r="F18">
        <v>3554000</v>
      </c>
      <c r="G18">
        <v>102.02</v>
      </c>
    </row>
    <row r="19" spans="1:7" x14ac:dyDescent="0.25">
      <c r="A19" s="34">
        <v>41844</v>
      </c>
      <c r="B19">
        <v>101.39</v>
      </c>
      <c r="C19">
        <v>102.2</v>
      </c>
      <c r="D19">
        <v>100.6</v>
      </c>
      <c r="E19">
        <v>101.77</v>
      </c>
      <c r="F19">
        <v>3283600</v>
      </c>
      <c r="G19">
        <v>101.29</v>
      </c>
    </row>
    <row r="20" spans="1:7" x14ac:dyDescent="0.25">
      <c r="A20" s="34">
        <v>41845</v>
      </c>
      <c r="B20">
        <v>101.5</v>
      </c>
      <c r="C20">
        <v>102.35</v>
      </c>
      <c r="D20">
        <v>101.43</v>
      </c>
      <c r="E20">
        <v>101.66</v>
      </c>
      <c r="F20">
        <v>2337400</v>
      </c>
      <c r="G20">
        <v>101.18</v>
      </c>
    </row>
    <row r="21" spans="1:7" x14ac:dyDescent="0.25">
      <c r="A21" s="34">
        <v>41848</v>
      </c>
      <c r="B21">
        <v>101.46</v>
      </c>
      <c r="C21">
        <v>101.63</v>
      </c>
      <c r="D21">
        <v>100.32</v>
      </c>
      <c r="E21">
        <v>100.64</v>
      </c>
      <c r="F21">
        <v>3160400</v>
      </c>
      <c r="G21">
        <v>100.16</v>
      </c>
    </row>
    <row r="22" spans="1:7" x14ac:dyDescent="0.25">
      <c r="A22" s="34">
        <v>41849</v>
      </c>
      <c r="B22">
        <v>100.54</v>
      </c>
      <c r="C22">
        <v>100.59</v>
      </c>
      <c r="D22">
        <v>99.54</v>
      </c>
      <c r="E22">
        <v>99.6</v>
      </c>
      <c r="F22">
        <v>4010700</v>
      </c>
      <c r="G22">
        <v>99.13</v>
      </c>
    </row>
    <row r="23" spans="1:7" x14ac:dyDescent="0.25">
      <c r="A23" s="34">
        <v>41850</v>
      </c>
      <c r="B23">
        <v>100.15</v>
      </c>
      <c r="C23">
        <v>100.31</v>
      </c>
      <c r="D23">
        <v>98.96</v>
      </c>
      <c r="E23">
        <v>99.47</v>
      </c>
      <c r="F23">
        <v>4676300</v>
      </c>
      <c r="G23">
        <v>99</v>
      </c>
    </row>
    <row r="24" spans="1:7" x14ac:dyDescent="0.25">
      <c r="A24" s="34">
        <v>41851</v>
      </c>
      <c r="B24">
        <v>99.05</v>
      </c>
      <c r="C24">
        <v>99.2</v>
      </c>
      <c r="D24">
        <v>97.96</v>
      </c>
      <c r="E24">
        <v>98.31</v>
      </c>
      <c r="F24">
        <v>4492200</v>
      </c>
      <c r="G24">
        <v>97.84</v>
      </c>
    </row>
    <row r="25" spans="1:7" x14ac:dyDescent="0.25">
      <c r="A25" s="34">
        <v>41852</v>
      </c>
      <c r="B25">
        <v>98.22</v>
      </c>
      <c r="C25">
        <v>99.19</v>
      </c>
      <c r="D25">
        <v>97.74</v>
      </c>
      <c r="E25">
        <v>97.91</v>
      </c>
      <c r="F25">
        <v>4207200</v>
      </c>
      <c r="G25">
        <v>97.45</v>
      </c>
    </row>
    <row r="26" spans="1:7" x14ac:dyDescent="0.25">
      <c r="A26" s="34">
        <v>41855</v>
      </c>
      <c r="B26">
        <v>98.12</v>
      </c>
      <c r="C26">
        <v>98.55</v>
      </c>
      <c r="D26">
        <v>97.47</v>
      </c>
      <c r="E26">
        <v>98.29</v>
      </c>
      <c r="F26">
        <v>4540500</v>
      </c>
      <c r="G26">
        <v>97.82</v>
      </c>
    </row>
    <row r="27" spans="1:7" x14ac:dyDescent="0.25">
      <c r="A27" s="34">
        <v>41856</v>
      </c>
      <c r="B27">
        <v>97.87</v>
      </c>
      <c r="C27">
        <v>98.75</v>
      </c>
      <c r="D27">
        <v>97.4</v>
      </c>
      <c r="E27">
        <v>97.96</v>
      </c>
      <c r="F27">
        <v>3166300</v>
      </c>
      <c r="G27">
        <v>97.5</v>
      </c>
    </row>
    <row r="28" spans="1:7" x14ac:dyDescent="0.25">
      <c r="A28" s="34">
        <v>41857</v>
      </c>
      <c r="B28">
        <v>97.13</v>
      </c>
      <c r="C28">
        <v>98.02</v>
      </c>
      <c r="D28">
        <v>96.76</v>
      </c>
      <c r="E28">
        <v>97.51</v>
      </c>
      <c r="F28">
        <v>3295000</v>
      </c>
      <c r="G28">
        <v>97.05</v>
      </c>
    </row>
    <row r="29" spans="1:7" x14ac:dyDescent="0.25">
      <c r="A29" s="34">
        <v>41858</v>
      </c>
      <c r="B29">
        <v>98</v>
      </c>
      <c r="C29">
        <v>98.46</v>
      </c>
      <c r="D29">
        <v>97.27</v>
      </c>
      <c r="E29">
        <v>97.48</v>
      </c>
      <c r="F29">
        <v>2340200</v>
      </c>
      <c r="G29">
        <v>97.02</v>
      </c>
    </row>
    <row r="30" spans="1:7" x14ac:dyDescent="0.25">
      <c r="A30" s="34">
        <v>41859</v>
      </c>
      <c r="B30">
        <v>97.4</v>
      </c>
      <c r="C30">
        <v>98.7</v>
      </c>
      <c r="D30">
        <v>97.05</v>
      </c>
      <c r="E30">
        <v>98.64</v>
      </c>
      <c r="F30">
        <v>2415400</v>
      </c>
      <c r="G30">
        <v>98.17</v>
      </c>
    </row>
    <row r="31" spans="1:7" x14ac:dyDescent="0.25">
      <c r="A31" s="34">
        <v>41862</v>
      </c>
      <c r="B31">
        <v>99.1</v>
      </c>
      <c r="C31">
        <v>100.32</v>
      </c>
      <c r="D31">
        <v>99</v>
      </c>
      <c r="E31">
        <v>99.57</v>
      </c>
      <c r="F31">
        <v>3019400</v>
      </c>
      <c r="G31">
        <v>99.1</v>
      </c>
    </row>
    <row r="32" spans="1:7" x14ac:dyDescent="0.25">
      <c r="A32" s="34">
        <v>41863</v>
      </c>
      <c r="B32">
        <v>99.82</v>
      </c>
      <c r="C32">
        <v>100.3</v>
      </c>
      <c r="D32">
        <v>99.27</v>
      </c>
      <c r="E32">
        <v>99.67</v>
      </c>
      <c r="F32">
        <v>2669400</v>
      </c>
      <c r="G32">
        <v>99.2</v>
      </c>
    </row>
    <row r="33" spans="1:7" x14ac:dyDescent="0.25">
      <c r="A33" s="34">
        <v>41864</v>
      </c>
      <c r="B33">
        <v>99.94</v>
      </c>
      <c r="C33">
        <v>100.69</v>
      </c>
      <c r="D33">
        <v>99.86</v>
      </c>
      <c r="E33">
        <v>100.57</v>
      </c>
      <c r="F33">
        <v>2139000</v>
      </c>
      <c r="G33">
        <v>100.09</v>
      </c>
    </row>
    <row r="34" spans="1:7" x14ac:dyDescent="0.25">
      <c r="A34" s="34">
        <v>41865</v>
      </c>
      <c r="B34">
        <v>100.92</v>
      </c>
      <c r="C34">
        <v>101.73</v>
      </c>
      <c r="D34">
        <v>100.7</v>
      </c>
      <c r="E34">
        <v>101.73</v>
      </c>
      <c r="F34">
        <v>2664800</v>
      </c>
      <c r="G34">
        <v>101.25</v>
      </c>
    </row>
    <row r="35" spans="1:7" x14ac:dyDescent="0.25">
      <c r="A35" s="34">
        <v>41866</v>
      </c>
      <c r="B35">
        <v>102.16</v>
      </c>
      <c r="C35">
        <v>102.28</v>
      </c>
      <c r="D35">
        <v>101.16</v>
      </c>
      <c r="E35">
        <v>101.99</v>
      </c>
      <c r="F35">
        <v>2920800</v>
      </c>
      <c r="G35">
        <v>101.51</v>
      </c>
    </row>
    <row r="36" spans="1:7" x14ac:dyDescent="0.25">
      <c r="A36" s="34">
        <v>41869</v>
      </c>
      <c r="B36">
        <v>102.74</v>
      </c>
      <c r="C36">
        <v>104.07</v>
      </c>
      <c r="D36">
        <v>102.35</v>
      </c>
      <c r="E36">
        <v>103.79</v>
      </c>
      <c r="F36">
        <v>3812900</v>
      </c>
      <c r="G36">
        <v>103.3</v>
      </c>
    </row>
    <row r="37" spans="1:7" x14ac:dyDescent="0.25">
      <c r="A37" s="34">
        <v>41870</v>
      </c>
      <c r="B37">
        <v>104.39</v>
      </c>
      <c r="C37">
        <v>104.75</v>
      </c>
      <c r="D37">
        <v>104.14</v>
      </c>
      <c r="E37">
        <v>104.39</v>
      </c>
      <c r="F37">
        <v>2357800</v>
      </c>
      <c r="G37">
        <v>103.9</v>
      </c>
    </row>
    <row r="38" spans="1:7" x14ac:dyDescent="0.25">
      <c r="A38" s="34">
        <v>41871</v>
      </c>
      <c r="B38">
        <v>104.68</v>
      </c>
      <c r="C38">
        <v>105.87</v>
      </c>
      <c r="D38">
        <v>104.4</v>
      </c>
      <c r="E38">
        <v>105.57</v>
      </c>
      <c r="F38">
        <v>3478900</v>
      </c>
      <c r="G38">
        <v>105.07</v>
      </c>
    </row>
    <row r="39" spans="1:7" x14ac:dyDescent="0.25">
      <c r="A39" s="34">
        <v>41872</v>
      </c>
      <c r="B39">
        <v>106.11</v>
      </c>
      <c r="C39">
        <v>106.3</v>
      </c>
      <c r="D39">
        <v>105.41</v>
      </c>
      <c r="E39">
        <v>105.86</v>
      </c>
      <c r="F39">
        <v>2350800</v>
      </c>
      <c r="G39">
        <v>105.36</v>
      </c>
    </row>
    <row r="40" spans="1:7" x14ac:dyDescent="0.25">
      <c r="A40" s="34">
        <v>41873</v>
      </c>
      <c r="B40">
        <v>105.78</v>
      </c>
      <c r="C40">
        <v>106.34</v>
      </c>
      <c r="D40">
        <v>105.58</v>
      </c>
      <c r="E40">
        <v>105.77</v>
      </c>
      <c r="F40">
        <v>2306000</v>
      </c>
      <c r="G40">
        <v>105.27</v>
      </c>
    </row>
    <row r="41" spans="1:7" x14ac:dyDescent="0.25">
      <c r="A41" s="34">
        <v>41876</v>
      </c>
      <c r="B41">
        <v>106.2</v>
      </c>
      <c r="C41">
        <v>106.23</v>
      </c>
      <c r="D41">
        <v>105.47</v>
      </c>
      <c r="E41">
        <v>105.64</v>
      </c>
      <c r="F41">
        <v>2345000</v>
      </c>
      <c r="G41">
        <v>105.14</v>
      </c>
    </row>
    <row r="42" spans="1:7" x14ac:dyDescent="0.25">
      <c r="A42" s="34">
        <v>41877</v>
      </c>
      <c r="B42">
        <v>106.04</v>
      </c>
      <c r="C42">
        <v>106.08</v>
      </c>
      <c r="D42">
        <v>105.12</v>
      </c>
      <c r="E42">
        <v>105.56</v>
      </c>
      <c r="F42">
        <v>3195400</v>
      </c>
      <c r="G42">
        <v>105.06</v>
      </c>
    </row>
    <row r="43" spans="1:7" x14ac:dyDescent="0.25">
      <c r="A43" s="34">
        <v>41878</v>
      </c>
      <c r="B43">
        <v>105.48</v>
      </c>
      <c r="C43">
        <v>105.65</v>
      </c>
      <c r="D43">
        <v>104.84</v>
      </c>
      <c r="E43">
        <v>105.3</v>
      </c>
      <c r="F43">
        <v>1904700</v>
      </c>
      <c r="G43">
        <v>105.3</v>
      </c>
    </row>
    <row r="44" spans="1:7" x14ac:dyDescent="0.25">
      <c r="A44" s="34">
        <v>41879</v>
      </c>
      <c r="B44">
        <v>105.07</v>
      </c>
      <c r="C44">
        <v>105.15</v>
      </c>
      <c r="D44">
        <v>104.54</v>
      </c>
      <c r="E44">
        <v>105.04</v>
      </c>
      <c r="F44">
        <v>1786300</v>
      </c>
      <c r="G44">
        <v>105.04</v>
      </c>
    </row>
    <row r="45" spans="1:7" x14ac:dyDescent="0.25">
      <c r="A45" s="34">
        <v>41880</v>
      </c>
      <c r="B45">
        <v>105.03</v>
      </c>
      <c r="C45">
        <v>105.36</v>
      </c>
      <c r="D45">
        <v>104.56</v>
      </c>
      <c r="E45">
        <v>105.27</v>
      </c>
      <c r="F45">
        <v>1936500</v>
      </c>
      <c r="G45">
        <v>105.27</v>
      </c>
    </row>
    <row r="46" spans="1:7" x14ac:dyDescent="0.25">
      <c r="A46" s="34">
        <v>41884</v>
      </c>
      <c r="B46">
        <v>105.7</v>
      </c>
      <c r="C46">
        <v>106.55</v>
      </c>
      <c r="D46">
        <v>105.49</v>
      </c>
      <c r="E46">
        <v>106.21</v>
      </c>
      <c r="F46">
        <v>3225100</v>
      </c>
      <c r="G46">
        <v>106.21</v>
      </c>
    </row>
    <row r="47" spans="1:7" x14ac:dyDescent="0.25">
      <c r="A47" s="34">
        <v>41885</v>
      </c>
      <c r="B47">
        <v>106.67</v>
      </c>
      <c r="C47">
        <v>107.38</v>
      </c>
      <c r="D47">
        <v>106.16</v>
      </c>
      <c r="E47">
        <v>106.6</v>
      </c>
      <c r="F47">
        <v>2842000</v>
      </c>
      <c r="G47">
        <v>106.6</v>
      </c>
    </row>
    <row r="48" spans="1:7" x14ac:dyDescent="0.25">
      <c r="A48" s="34">
        <v>41886</v>
      </c>
      <c r="B48">
        <v>106.77</v>
      </c>
      <c r="C48">
        <v>108.74</v>
      </c>
      <c r="D48">
        <v>106.65</v>
      </c>
      <c r="E48">
        <v>107.25</v>
      </c>
      <c r="F48">
        <v>4582100</v>
      </c>
      <c r="G48">
        <v>107.25</v>
      </c>
    </row>
    <row r="49" spans="1:7" x14ac:dyDescent="0.25">
      <c r="A49" s="34">
        <v>41887</v>
      </c>
      <c r="B49">
        <v>107.22</v>
      </c>
      <c r="C49">
        <v>107.88</v>
      </c>
      <c r="D49">
        <v>106.81</v>
      </c>
      <c r="E49">
        <v>107.69</v>
      </c>
      <c r="F49">
        <v>3660500</v>
      </c>
      <c r="G49">
        <v>107.69</v>
      </c>
    </row>
    <row r="50" spans="1:7" x14ac:dyDescent="0.25">
      <c r="A50" s="34">
        <v>41890</v>
      </c>
      <c r="B50">
        <v>107.65</v>
      </c>
      <c r="C50">
        <v>107.9</v>
      </c>
      <c r="D50">
        <v>107.33</v>
      </c>
      <c r="E50">
        <v>107.46</v>
      </c>
      <c r="F50">
        <v>2052200</v>
      </c>
      <c r="G50">
        <v>107.46</v>
      </c>
    </row>
    <row r="51" spans="1:7" x14ac:dyDescent="0.25">
      <c r="A51" s="34">
        <v>41891</v>
      </c>
      <c r="B51">
        <v>107.61</v>
      </c>
      <c r="C51">
        <v>107.94</v>
      </c>
      <c r="D51">
        <v>107.2</v>
      </c>
      <c r="E51">
        <v>107.47</v>
      </c>
      <c r="F51">
        <v>1901700</v>
      </c>
      <c r="G51">
        <v>107.47</v>
      </c>
    </row>
    <row r="52" spans="1:7" x14ac:dyDescent="0.25">
      <c r="A52" s="34">
        <v>41892</v>
      </c>
      <c r="B52">
        <v>107.42</v>
      </c>
      <c r="C52">
        <v>107.78</v>
      </c>
      <c r="D52">
        <v>106.91</v>
      </c>
      <c r="E52">
        <v>107.38</v>
      </c>
      <c r="F52">
        <v>1696200</v>
      </c>
      <c r="G52">
        <v>107.38</v>
      </c>
    </row>
    <row r="53" spans="1:7" x14ac:dyDescent="0.25">
      <c r="A53" s="34">
        <v>41893</v>
      </c>
      <c r="B53">
        <v>106.98</v>
      </c>
      <c r="C53">
        <v>107.86</v>
      </c>
      <c r="D53">
        <v>106.75</v>
      </c>
      <c r="E53">
        <v>107.71</v>
      </c>
      <c r="F53">
        <v>1640800</v>
      </c>
      <c r="G53">
        <v>107.71</v>
      </c>
    </row>
    <row r="54" spans="1:7" x14ac:dyDescent="0.25">
      <c r="A54" s="34">
        <v>41894</v>
      </c>
      <c r="B54">
        <v>107.02</v>
      </c>
      <c r="C54">
        <v>107.9</v>
      </c>
      <c r="D54">
        <v>106.79</v>
      </c>
      <c r="E54">
        <v>107.01</v>
      </c>
      <c r="F54">
        <v>2091900</v>
      </c>
      <c r="G54">
        <v>107.01</v>
      </c>
    </row>
    <row r="55" spans="1:7" x14ac:dyDescent="0.25">
      <c r="A55" s="34">
        <v>41897</v>
      </c>
      <c r="B55">
        <v>107.09</v>
      </c>
      <c r="C55">
        <v>107.3</v>
      </c>
      <c r="D55">
        <v>106.41</v>
      </c>
      <c r="E55">
        <v>107.04</v>
      </c>
      <c r="F55">
        <v>2925000</v>
      </c>
      <c r="G55">
        <v>107.04</v>
      </c>
    </row>
  </sheetData>
  <sortState ref="A3:G55">
    <sortCondition ref="A3:A55"/>
  </sortState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103.4</v>
      </c>
      <c r="C3">
        <v>103.5</v>
      </c>
      <c r="D3">
        <v>102.65</v>
      </c>
      <c r="E3">
        <v>102.85</v>
      </c>
      <c r="F3">
        <v>1496700</v>
      </c>
      <c r="G3">
        <v>102.14</v>
      </c>
    </row>
    <row r="4" spans="1:7" x14ac:dyDescent="0.25">
      <c r="A4" s="34">
        <v>41822</v>
      </c>
      <c r="B4">
        <v>102.7</v>
      </c>
      <c r="C4">
        <v>103.56</v>
      </c>
      <c r="D4">
        <v>102.7</v>
      </c>
      <c r="E4">
        <v>103.55</v>
      </c>
      <c r="F4">
        <v>2175100</v>
      </c>
      <c r="G4">
        <v>102.83</v>
      </c>
    </row>
    <row r="5" spans="1:7" x14ac:dyDescent="0.25">
      <c r="A5" s="34">
        <v>41823</v>
      </c>
      <c r="B5">
        <v>103.72</v>
      </c>
      <c r="C5">
        <v>103.96</v>
      </c>
      <c r="D5">
        <v>103.55</v>
      </c>
      <c r="E5">
        <v>103.88</v>
      </c>
      <c r="F5">
        <v>1269200</v>
      </c>
      <c r="G5">
        <v>103.16</v>
      </c>
    </row>
    <row r="6" spans="1:7" x14ac:dyDescent="0.25">
      <c r="A6" s="34">
        <v>41827</v>
      </c>
      <c r="B6">
        <v>103.94</v>
      </c>
      <c r="C6">
        <v>103.95</v>
      </c>
      <c r="D6">
        <v>102.95</v>
      </c>
      <c r="E6">
        <v>103.24</v>
      </c>
      <c r="F6">
        <v>1700200</v>
      </c>
      <c r="G6">
        <v>102.52</v>
      </c>
    </row>
    <row r="7" spans="1:7" x14ac:dyDescent="0.25">
      <c r="A7" s="34">
        <v>41828</v>
      </c>
      <c r="B7">
        <v>103.12</v>
      </c>
      <c r="C7">
        <v>103.12</v>
      </c>
      <c r="D7">
        <v>102.07</v>
      </c>
      <c r="E7">
        <v>102.9</v>
      </c>
      <c r="F7">
        <v>2299300</v>
      </c>
      <c r="G7">
        <v>102.19</v>
      </c>
    </row>
    <row r="8" spans="1:7" x14ac:dyDescent="0.25">
      <c r="A8" s="34">
        <v>41829</v>
      </c>
      <c r="B8">
        <v>103.28</v>
      </c>
      <c r="C8">
        <v>103.32</v>
      </c>
      <c r="D8">
        <v>102.52</v>
      </c>
      <c r="E8">
        <v>102.98</v>
      </c>
      <c r="F8">
        <v>1188800</v>
      </c>
      <c r="G8">
        <v>102.27</v>
      </c>
    </row>
    <row r="9" spans="1:7" x14ac:dyDescent="0.25">
      <c r="A9" s="34">
        <v>41830</v>
      </c>
      <c r="B9">
        <v>102.16</v>
      </c>
      <c r="C9">
        <v>102.45</v>
      </c>
      <c r="D9">
        <v>101.94</v>
      </c>
      <c r="E9">
        <v>102.09</v>
      </c>
      <c r="F9">
        <v>1597300</v>
      </c>
      <c r="G9">
        <v>101.38</v>
      </c>
    </row>
    <row r="10" spans="1:7" x14ac:dyDescent="0.25">
      <c r="A10" s="34">
        <v>41831</v>
      </c>
      <c r="B10">
        <v>102.11</v>
      </c>
      <c r="C10">
        <v>102.9</v>
      </c>
      <c r="D10">
        <v>102.05</v>
      </c>
      <c r="E10">
        <v>102.53</v>
      </c>
      <c r="F10">
        <v>1559100</v>
      </c>
      <c r="G10">
        <v>101.82</v>
      </c>
    </row>
    <row r="11" spans="1:7" x14ac:dyDescent="0.25">
      <c r="A11" s="34">
        <v>41834</v>
      </c>
      <c r="B11">
        <v>102.9</v>
      </c>
      <c r="C11">
        <v>103.72</v>
      </c>
      <c r="D11">
        <v>102.84</v>
      </c>
      <c r="E11">
        <v>103.45</v>
      </c>
      <c r="F11">
        <v>2054900</v>
      </c>
      <c r="G11">
        <v>102.73</v>
      </c>
    </row>
    <row r="12" spans="1:7" x14ac:dyDescent="0.25">
      <c r="A12" s="34">
        <v>41835</v>
      </c>
      <c r="B12">
        <v>103.47</v>
      </c>
      <c r="C12">
        <v>104.37</v>
      </c>
      <c r="D12">
        <v>103.23</v>
      </c>
      <c r="E12">
        <v>104.29</v>
      </c>
      <c r="F12">
        <v>2201800</v>
      </c>
      <c r="G12">
        <v>103.57</v>
      </c>
    </row>
    <row r="13" spans="1:7" x14ac:dyDescent="0.25">
      <c r="A13" s="34">
        <v>41836</v>
      </c>
      <c r="B13">
        <v>104.45</v>
      </c>
      <c r="C13">
        <v>105.09</v>
      </c>
      <c r="D13">
        <v>104.25</v>
      </c>
      <c r="E13">
        <v>104.52</v>
      </c>
      <c r="F13">
        <v>2309200</v>
      </c>
      <c r="G13">
        <v>103.8</v>
      </c>
    </row>
    <row r="14" spans="1:7" x14ac:dyDescent="0.25">
      <c r="A14" s="34">
        <v>41837</v>
      </c>
      <c r="B14">
        <v>103.98</v>
      </c>
      <c r="C14">
        <v>104.23</v>
      </c>
      <c r="D14">
        <v>102.53</v>
      </c>
      <c r="E14">
        <v>102.65</v>
      </c>
      <c r="F14">
        <v>2842600</v>
      </c>
      <c r="G14">
        <v>101.94</v>
      </c>
    </row>
    <row r="15" spans="1:7" x14ac:dyDescent="0.25">
      <c r="A15" s="34">
        <v>41838</v>
      </c>
      <c r="B15">
        <v>102.99</v>
      </c>
      <c r="C15">
        <v>103.82</v>
      </c>
      <c r="D15">
        <v>102.84</v>
      </c>
      <c r="E15">
        <v>103.82</v>
      </c>
      <c r="F15">
        <v>1943700</v>
      </c>
      <c r="G15">
        <v>103.1</v>
      </c>
    </row>
    <row r="16" spans="1:7" x14ac:dyDescent="0.25">
      <c r="A16" s="34">
        <v>41841</v>
      </c>
      <c r="B16">
        <v>103.55</v>
      </c>
      <c r="C16">
        <v>104.47</v>
      </c>
      <c r="D16">
        <v>103.4</v>
      </c>
      <c r="E16">
        <v>104.06</v>
      </c>
      <c r="F16">
        <v>1766800</v>
      </c>
      <c r="G16">
        <v>103.34</v>
      </c>
    </row>
    <row r="17" spans="1:7" x14ac:dyDescent="0.25">
      <c r="A17" s="34">
        <v>41842</v>
      </c>
      <c r="B17">
        <v>104.27</v>
      </c>
      <c r="C17">
        <v>105.04</v>
      </c>
      <c r="D17">
        <v>104.21</v>
      </c>
      <c r="E17">
        <v>104.48</v>
      </c>
      <c r="F17">
        <v>1471600</v>
      </c>
      <c r="G17">
        <v>103.76</v>
      </c>
    </row>
    <row r="18" spans="1:7" x14ac:dyDescent="0.25">
      <c r="A18" s="34">
        <v>41843</v>
      </c>
      <c r="B18">
        <v>104.53</v>
      </c>
      <c r="C18">
        <v>104.79</v>
      </c>
      <c r="D18">
        <v>104.26</v>
      </c>
      <c r="E18">
        <v>104.34</v>
      </c>
      <c r="F18">
        <v>1138300</v>
      </c>
      <c r="G18">
        <v>103.62</v>
      </c>
    </row>
    <row r="19" spans="1:7" x14ac:dyDescent="0.25">
      <c r="A19" s="34">
        <v>41844</v>
      </c>
      <c r="B19">
        <v>104.2</v>
      </c>
      <c r="C19">
        <v>104.56</v>
      </c>
      <c r="D19">
        <v>103.85</v>
      </c>
      <c r="E19">
        <v>104.09</v>
      </c>
      <c r="F19">
        <v>1274500</v>
      </c>
      <c r="G19">
        <v>103.37</v>
      </c>
    </row>
    <row r="20" spans="1:7" x14ac:dyDescent="0.25">
      <c r="A20" s="34">
        <v>41845</v>
      </c>
      <c r="B20">
        <v>103.76</v>
      </c>
      <c r="C20">
        <v>104.25</v>
      </c>
      <c r="D20">
        <v>103.44</v>
      </c>
      <c r="E20">
        <v>103.57</v>
      </c>
      <c r="F20">
        <v>1192100</v>
      </c>
      <c r="G20">
        <v>102.85</v>
      </c>
    </row>
    <row r="21" spans="1:7" x14ac:dyDescent="0.25">
      <c r="A21" s="34">
        <v>41848</v>
      </c>
      <c r="B21">
        <v>103.41</v>
      </c>
      <c r="C21">
        <v>103.44</v>
      </c>
      <c r="D21">
        <v>102</v>
      </c>
      <c r="E21">
        <v>102.66</v>
      </c>
      <c r="F21">
        <v>2521000</v>
      </c>
      <c r="G21">
        <v>101.95</v>
      </c>
    </row>
    <row r="22" spans="1:7" x14ac:dyDescent="0.25">
      <c r="A22" s="34">
        <v>41849</v>
      </c>
      <c r="B22">
        <v>99.58</v>
      </c>
      <c r="C22">
        <v>99.75</v>
      </c>
      <c r="D22">
        <v>98.85</v>
      </c>
      <c r="E22">
        <v>98.86</v>
      </c>
      <c r="F22">
        <v>8905800</v>
      </c>
      <c r="G22">
        <v>98.17</v>
      </c>
    </row>
    <row r="23" spans="1:7" x14ac:dyDescent="0.25">
      <c r="A23" s="34">
        <v>41850</v>
      </c>
      <c r="B23">
        <v>99.25</v>
      </c>
      <c r="C23">
        <v>99.76</v>
      </c>
      <c r="D23">
        <v>98.19</v>
      </c>
      <c r="E23">
        <v>99.35</v>
      </c>
      <c r="F23">
        <v>3948900</v>
      </c>
      <c r="G23">
        <v>98.66</v>
      </c>
    </row>
    <row r="24" spans="1:7" x14ac:dyDescent="0.25">
      <c r="A24" s="34">
        <v>41851</v>
      </c>
      <c r="B24">
        <v>98.42</v>
      </c>
      <c r="C24">
        <v>98.86</v>
      </c>
      <c r="D24">
        <v>97.02</v>
      </c>
      <c r="E24">
        <v>97.09</v>
      </c>
      <c r="F24">
        <v>3853400</v>
      </c>
      <c r="G24">
        <v>96.42</v>
      </c>
    </row>
    <row r="25" spans="1:7" x14ac:dyDescent="0.25">
      <c r="A25" s="34">
        <v>41852</v>
      </c>
      <c r="B25">
        <v>96.67</v>
      </c>
      <c r="C25">
        <v>97.39</v>
      </c>
      <c r="D25">
        <v>96.12</v>
      </c>
      <c r="E25">
        <v>97.03</v>
      </c>
      <c r="F25">
        <v>3345700</v>
      </c>
      <c r="G25">
        <v>96.36</v>
      </c>
    </row>
    <row r="26" spans="1:7" x14ac:dyDescent="0.25">
      <c r="A26" s="34">
        <v>41855</v>
      </c>
      <c r="B26">
        <v>97.25</v>
      </c>
      <c r="C26">
        <v>97.61</v>
      </c>
      <c r="D26">
        <v>96.4</v>
      </c>
      <c r="E26">
        <v>97.18</v>
      </c>
      <c r="F26">
        <v>2882900</v>
      </c>
      <c r="G26">
        <v>96.51</v>
      </c>
    </row>
    <row r="27" spans="1:7" x14ac:dyDescent="0.25">
      <c r="A27" s="34">
        <v>41856</v>
      </c>
      <c r="B27">
        <v>96.86</v>
      </c>
      <c r="C27">
        <v>97.5</v>
      </c>
      <c r="D27">
        <v>96.13</v>
      </c>
      <c r="E27">
        <v>96.51</v>
      </c>
      <c r="F27">
        <v>2973200</v>
      </c>
      <c r="G27">
        <v>95.84</v>
      </c>
    </row>
    <row r="28" spans="1:7" x14ac:dyDescent="0.25">
      <c r="A28" s="34">
        <v>41857</v>
      </c>
      <c r="B28">
        <v>95.91</v>
      </c>
      <c r="C28">
        <v>96</v>
      </c>
      <c r="D28">
        <v>95.23</v>
      </c>
      <c r="E28">
        <v>95.73</v>
      </c>
      <c r="F28">
        <v>4037300</v>
      </c>
      <c r="G28">
        <v>95.07</v>
      </c>
    </row>
    <row r="29" spans="1:7" x14ac:dyDescent="0.25">
      <c r="A29" s="34">
        <v>41858</v>
      </c>
      <c r="B29">
        <v>95.81</v>
      </c>
      <c r="C29">
        <v>96.4</v>
      </c>
      <c r="D29">
        <v>94.92</v>
      </c>
      <c r="E29">
        <v>95.05</v>
      </c>
      <c r="F29">
        <v>3779000</v>
      </c>
      <c r="G29">
        <v>94.39</v>
      </c>
    </row>
    <row r="30" spans="1:7" x14ac:dyDescent="0.25">
      <c r="A30" s="34">
        <v>41859</v>
      </c>
      <c r="B30">
        <v>95.35</v>
      </c>
      <c r="C30">
        <v>96.05</v>
      </c>
      <c r="D30">
        <v>94.87</v>
      </c>
      <c r="E30">
        <v>95.94</v>
      </c>
      <c r="F30">
        <v>3450800</v>
      </c>
      <c r="G30">
        <v>95.27</v>
      </c>
    </row>
    <row r="31" spans="1:7" x14ac:dyDescent="0.25">
      <c r="A31" s="34">
        <v>41862</v>
      </c>
      <c r="B31">
        <v>96.41</v>
      </c>
      <c r="C31">
        <v>96.57</v>
      </c>
      <c r="D31">
        <v>95.99</v>
      </c>
      <c r="E31">
        <v>96.07</v>
      </c>
      <c r="F31">
        <v>2971100</v>
      </c>
      <c r="G31">
        <v>95.4</v>
      </c>
    </row>
    <row r="32" spans="1:7" x14ac:dyDescent="0.25">
      <c r="A32" s="34">
        <v>41863</v>
      </c>
      <c r="B32">
        <v>96.07</v>
      </c>
      <c r="C32">
        <v>96.74</v>
      </c>
      <c r="D32">
        <v>95.99</v>
      </c>
      <c r="E32">
        <v>96.41</v>
      </c>
      <c r="F32">
        <v>2356800</v>
      </c>
      <c r="G32">
        <v>95.74</v>
      </c>
    </row>
    <row r="33" spans="1:7" x14ac:dyDescent="0.25">
      <c r="A33" s="34">
        <v>41864</v>
      </c>
      <c r="B33">
        <v>96.55</v>
      </c>
      <c r="C33">
        <v>97.05</v>
      </c>
      <c r="D33">
        <v>96.4</v>
      </c>
      <c r="E33">
        <v>96.62</v>
      </c>
      <c r="F33">
        <v>2930400</v>
      </c>
      <c r="G33">
        <v>95.95</v>
      </c>
    </row>
    <row r="34" spans="1:7" x14ac:dyDescent="0.25">
      <c r="A34" s="34">
        <v>41865</v>
      </c>
      <c r="B34">
        <v>96.28</v>
      </c>
      <c r="C34">
        <v>96.31</v>
      </c>
      <c r="D34">
        <v>95.72</v>
      </c>
      <c r="E34">
        <v>96.07</v>
      </c>
      <c r="F34">
        <v>2277700</v>
      </c>
      <c r="G34">
        <v>96.07</v>
      </c>
    </row>
    <row r="35" spans="1:7" x14ac:dyDescent="0.25">
      <c r="A35" s="34">
        <v>41866</v>
      </c>
      <c r="B35">
        <v>96.76</v>
      </c>
      <c r="C35">
        <v>97.03</v>
      </c>
      <c r="D35">
        <v>96.06</v>
      </c>
      <c r="E35">
        <v>96.85</v>
      </c>
      <c r="F35">
        <v>4873500</v>
      </c>
      <c r="G35">
        <v>96.85</v>
      </c>
    </row>
    <row r="36" spans="1:7" x14ac:dyDescent="0.25">
      <c r="A36" s="34">
        <v>41869</v>
      </c>
      <c r="B36">
        <v>97.3</v>
      </c>
      <c r="C36">
        <v>97.79</v>
      </c>
      <c r="D36">
        <v>97.17</v>
      </c>
      <c r="E36">
        <v>97.62</v>
      </c>
      <c r="F36">
        <v>2913200</v>
      </c>
      <c r="G36">
        <v>97.62</v>
      </c>
    </row>
    <row r="37" spans="1:7" x14ac:dyDescent="0.25">
      <c r="A37" s="34">
        <v>41870</v>
      </c>
      <c r="B37">
        <v>98.02</v>
      </c>
      <c r="C37">
        <v>98.56</v>
      </c>
      <c r="D37">
        <v>97.8</v>
      </c>
      <c r="E37">
        <v>98.27</v>
      </c>
      <c r="F37">
        <v>2640100</v>
      </c>
      <c r="G37">
        <v>98.27</v>
      </c>
    </row>
    <row r="38" spans="1:7" x14ac:dyDescent="0.25">
      <c r="A38" s="34">
        <v>41871</v>
      </c>
      <c r="B38">
        <v>98.14</v>
      </c>
      <c r="C38">
        <v>99.08</v>
      </c>
      <c r="D38">
        <v>98.14</v>
      </c>
      <c r="E38">
        <v>98.8</v>
      </c>
      <c r="F38">
        <v>2629700</v>
      </c>
      <c r="G38">
        <v>98.8</v>
      </c>
    </row>
    <row r="39" spans="1:7" x14ac:dyDescent="0.25">
      <c r="A39" s="34">
        <v>41872</v>
      </c>
      <c r="B39">
        <v>98.86</v>
      </c>
      <c r="C39">
        <v>99.16</v>
      </c>
      <c r="D39">
        <v>98.3</v>
      </c>
      <c r="E39">
        <v>98.41</v>
      </c>
      <c r="F39">
        <v>2411400</v>
      </c>
      <c r="G39">
        <v>98.41</v>
      </c>
    </row>
    <row r="40" spans="1:7" x14ac:dyDescent="0.25">
      <c r="A40" s="34">
        <v>41873</v>
      </c>
      <c r="B40">
        <v>98.31</v>
      </c>
      <c r="C40">
        <v>98.49</v>
      </c>
      <c r="D40">
        <v>97.53</v>
      </c>
      <c r="E40">
        <v>97.77</v>
      </c>
      <c r="F40">
        <v>2569600</v>
      </c>
      <c r="G40">
        <v>97.77</v>
      </c>
    </row>
    <row r="41" spans="1:7" x14ac:dyDescent="0.25">
      <c r="A41" s="34">
        <v>41876</v>
      </c>
      <c r="B41">
        <v>98.28</v>
      </c>
      <c r="C41">
        <v>98.31</v>
      </c>
      <c r="D41">
        <v>97.72</v>
      </c>
      <c r="E41">
        <v>97.9</v>
      </c>
      <c r="F41">
        <v>1785500</v>
      </c>
      <c r="G41">
        <v>97.9</v>
      </c>
    </row>
    <row r="42" spans="1:7" x14ac:dyDescent="0.25">
      <c r="A42" s="34">
        <v>41877</v>
      </c>
      <c r="B42">
        <v>97.92</v>
      </c>
      <c r="C42">
        <v>97.97</v>
      </c>
      <c r="D42">
        <v>97.38</v>
      </c>
      <c r="E42">
        <v>97.42</v>
      </c>
      <c r="F42">
        <v>1957000</v>
      </c>
      <c r="G42">
        <v>97.42</v>
      </c>
    </row>
    <row r="43" spans="1:7" x14ac:dyDescent="0.25">
      <c r="A43" s="34">
        <v>41878</v>
      </c>
      <c r="B43">
        <v>97.39</v>
      </c>
      <c r="C43">
        <v>97.7</v>
      </c>
      <c r="D43">
        <v>96.99</v>
      </c>
      <c r="E43">
        <v>97.38</v>
      </c>
      <c r="F43">
        <v>2690800</v>
      </c>
      <c r="G43">
        <v>97.38</v>
      </c>
    </row>
    <row r="44" spans="1:7" x14ac:dyDescent="0.25">
      <c r="A44" s="34">
        <v>41879</v>
      </c>
      <c r="B44">
        <v>96.99</v>
      </c>
      <c r="C44">
        <v>97.53</v>
      </c>
      <c r="D44">
        <v>96.94</v>
      </c>
      <c r="E44">
        <v>97.44</v>
      </c>
      <c r="F44">
        <v>1946200</v>
      </c>
      <c r="G44">
        <v>97.44</v>
      </c>
    </row>
    <row r="45" spans="1:7" x14ac:dyDescent="0.25">
      <c r="A45" s="34">
        <v>41880</v>
      </c>
      <c r="B45">
        <v>97.76</v>
      </c>
      <c r="C45">
        <v>97.93</v>
      </c>
      <c r="D45">
        <v>97.11</v>
      </c>
      <c r="E45">
        <v>97.33</v>
      </c>
      <c r="F45">
        <v>2339100</v>
      </c>
      <c r="G45">
        <v>97.33</v>
      </c>
    </row>
    <row r="46" spans="1:7" x14ac:dyDescent="0.25">
      <c r="A46" s="34">
        <v>41884</v>
      </c>
      <c r="B46">
        <v>97.63</v>
      </c>
      <c r="C46">
        <v>98.29</v>
      </c>
      <c r="D46">
        <v>97.5</v>
      </c>
      <c r="E46">
        <v>97.95</v>
      </c>
      <c r="F46">
        <v>3278100</v>
      </c>
      <c r="G46">
        <v>97.95</v>
      </c>
    </row>
    <row r="47" spans="1:7" x14ac:dyDescent="0.25">
      <c r="A47" s="34">
        <v>41885</v>
      </c>
      <c r="B47">
        <v>98.08</v>
      </c>
      <c r="C47">
        <v>98.48</v>
      </c>
      <c r="D47">
        <v>97.75</v>
      </c>
      <c r="E47">
        <v>97.97</v>
      </c>
      <c r="F47">
        <v>1967100</v>
      </c>
      <c r="G47">
        <v>97.97</v>
      </c>
    </row>
    <row r="48" spans="1:7" x14ac:dyDescent="0.25">
      <c r="A48" s="34">
        <v>41886</v>
      </c>
      <c r="B48">
        <v>97.96</v>
      </c>
      <c r="C48">
        <v>99.07</v>
      </c>
      <c r="D48">
        <v>97.93</v>
      </c>
      <c r="E48">
        <v>98.47</v>
      </c>
      <c r="F48">
        <v>3352700</v>
      </c>
      <c r="G48">
        <v>98.47</v>
      </c>
    </row>
    <row r="49" spans="1:7" x14ac:dyDescent="0.25">
      <c r="A49" s="34">
        <v>41887</v>
      </c>
      <c r="B49">
        <v>98.45</v>
      </c>
      <c r="C49">
        <v>98.91</v>
      </c>
      <c r="D49">
        <v>98.06</v>
      </c>
      <c r="E49">
        <v>98.86</v>
      </c>
      <c r="F49">
        <v>2155100</v>
      </c>
      <c r="G49">
        <v>98.86</v>
      </c>
    </row>
    <row r="50" spans="1:7" x14ac:dyDescent="0.25">
      <c r="A50" s="34">
        <v>41890</v>
      </c>
      <c r="B50">
        <v>98.67</v>
      </c>
      <c r="C50">
        <v>98.95</v>
      </c>
      <c r="D50">
        <v>98.14</v>
      </c>
      <c r="E50">
        <v>98.42</v>
      </c>
      <c r="F50">
        <v>2159300</v>
      </c>
      <c r="G50">
        <v>98.42</v>
      </c>
    </row>
    <row r="51" spans="1:7" x14ac:dyDescent="0.25">
      <c r="A51" s="34">
        <v>41891</v>
      </c>
      <c r="B51">
        <v>98.27</v>
      </c>
      <c r="C51">
        <v>98.34</v>
      </c>
      <c r="D51">
        <v>97.5</v>
      </c>
      <c r="E51">
        <v>97.71</v>
      </c>
      <c r="F51">
        <v>2617400</v>
      </c>
      <c r="G51">
        <v>97.71</v>
      </c>
    </row>
    <row r="52" spans="1:7" x14ac:dyDescent="0.25">
      <c r="A52" s="34">
        <v>41892</v>
      </c>
      <c r="B52">
        <v>97.56</v>
      </c>
      <c r="C52">
        <v>97.8</v>
      </c>
      <c r="D52">
        <v>97.25</v>
      </c>
      <c r="E52">
        <v>97.62</v>
      </c>
      <c r="F52">
        <v>1772500</v>
      </c>
      <c r="G52">
        <v>97.62</v>
      </c>
    </row>
    <row r="53" spans="1:7" x14ac:dyDescent="0.25">
      <c r="A53" s="34">
        <v>41893</v>
      </c>
      <c r="B53">
        <v>96.9</v>
      </c>
      <c r="C53">
        <v>98.29</v>
      </c>
      <c r="D53">
        <v>96.9</v>
      </c>
      <c r="E53">
        <v>97.94</v>
      </c>
      <c r="F53">
        <v>2088800</v>
      </c>
      <c r="G53">
        <v>97.94</v>
      </c>
    </row>
    <row r="54" spans="1:7" x14ac:dyDescent="0.25">
      <c r="A54" s="34">
        <v>41894</v>
      </c>
      <c r="B54">
        <v>98.1</v>
      </c>
      <c r="C54">
        <v>98.41</v>
      </c>
      <c r="D54">
        <v>97.79</v>
      </c>
      <c r="E54">
        <v>98.05</v>
      </c>
      <c r="F54">
        <v>2650900</v>
      </c>
      <c r="G54">
        <v>98.05</v>
      </c>
    </row>
    <row r="55" spans="1:7" x14ac:dyDescent="0.25">
      <c r="A55" s="34">
        <v>41897</v>
      </c>
      <c r="B55">
        <v>98.03</v>
      </c>
      <c r="C55">
        <v>98.03</v>
      </c>
      <c r="D55">
        <v>97.15</v>
      </c>
      <c r="E55">
        <v>97.62</v>
      </c>
      <c r="F55">
        <v>2296200</v>
      </c>
      <c r="G55">
        <v>97.62</v>
      </c>
    </row>
  </sheetData>
  <sortState ref="A3:G55">
    <sortCondition ref="A3:A55"/>
  </sortState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43.45</v>
      </c>
      <c r="C3">
        <v>43.66</v>
      </c>
      <c r="D3">
        <v>43.33</v>
      </c>
      <c r="E3">
        <v>43.34</v>
      </c>
      <c r="F3">
        <v>5584600</v>
      </c>
      <c r="G3">
        <v>43.09</v>
      </c>
    </row>
    <row r="4" spans="1:7" x14ac:dyDescent="0.25">
      <c r="A4" s="34">
        <v>41822</v>
      </c>
      <c r="B4">
        <v>43.17</v>
      </c>
      <c r="C4">
        <v>43.45</v>
      </c>
      <c r="D4">
        <v>43.13</v>
      </c>
      <c r="E4">
        <v>43.25</v>
      </c>
      <c r="F4">
        <v>4485100</v>
      </c>
      <c r="G4">
        <v>43</v>
      </c>
    </row>
    <row r="5" spans="1:7" x14ac:dyDescent="0.25">
      <c r="A5" s="34">
        <v>41823</v>
      </c>
      <c r="B5">
        <v>43.67</v>
      </c>
      <c r="C5">
        <v>43.75</v>
      </c>
      <c r="D5">
        <v>43.46</v>
      </c>
      <c r="E5">
        <v>43.59</v>
      </c>
      <c r="F5">
        <v>3519100</v>
      </c>
      <c r="G5">
        <v>43.33</v>
      </c>
    </row>
    <row r="6" spans="1:7" x14ac:dyDescent="0.25">
      <c r="A6" s="34">
        <v>41827</v>
      </c>
      <c r="B6">
        <v>43.53</v>
      </c>
      <c r="C6">
        <v>43.71</v>
      </c>
      <c r="D6">
        <v>43.4</v>
      </c>
      <c r="E6">
        <v>43.48</v>
      </c>
      <c r="F6">
        <v>4311700</v>
      </c>
      <c r="G6">
        <v>43.23</v>
      </c>
    </row>
    <row r="7" spans="1:7" x14ac:dyDescent="0.25">
      <c r="A7" s="34">
        <v>41828</v>
      </c>
      <c r="B7">
        <v>43.23</v>
      </c>
      <c r="C7">
        <v>43.47</v>
      </c>
      <c r="D7">
        <v>43.1</v>
      </c>
      <c r="E7">
        <v>43.19</v>
      </c>
      <c r="F7">
        <v>5982800</v>
      </c>
      <c r="G7">
        <v>42.94</v>
      </c>
    </row>
    <row r="8" spans="1:7" x14ac:dyDescent="0.25">
      <c r="A8" s="34">
        <v>41829</v>
      </c>
      <c r="B8">
        <v>43.36</v>
      </c>
      <c r="C8">
        <v>43.44</v>
      </c>
      <c r="D8">
        <v>43.14</v>
      </c>
      <c r="E8">
        <v>43.38</v>
      </c>
      <c r="F8">
        <v>5753900</v>
      </c>
      <c r="G8">
        <v>43.13</v>
      </c>
    </row>
    <row r="9" spans="1:7" x14ac:dyDescent="0.25">
      <c r="A9" s="34">
        <v>41830</v>
      </c>
      <c r="B9">
        <v>43.08</v>
      </c>
      <c r="C9">
        <v>43.19</v>
      </c>
      <c r="D9">
        <v>42.88</v>
      </c>
      <c r="E9">
        <v>43.1</v>
      </c>
      <c r="F9">
        <v>5242000</v>
      </c>
      <c r="G9">
        <v>42.85</v>
      </c>
    </row>
    <row r="10" spans="1:7" x14ac:dyDescent="0.25">
      <c r="A10" s="34">
        <v>41831</v>
      </c>
      <c r="B10">
        <v>42.98</v>
      </c>
      <c r="C10">
        <v>43.22</v>
      </c>
      <c r="D10">
        <v>42.81</v>
      </c>
      <c r="E10">
        <v>43.18</v>
      </c>
      <c r="F10">
        <v>5091000</v>
      </c>
      <c r="G10">
        <v>42.93</v>
      </c>
    </row>
    <row r="11" spans="1:7" x14ac:dyDescent="0.25">
      <c r="A11" s="34">
        <v>41834</v>
      </c>
      <c r="B11">
        <v>43.51</v>
      </c>
      <c r="C11">
        <v>43.64</v>
      </c>
      <c r="D11">
        <v>43.01</v>
      </c>
      <c r="E11">
        <v>43.05</v>
      </c>
      <c r="F11">
        <v>4477900</v>
      </c>
      <c r="G11">
        <v>42.8</v>
      </c>
    </row>
    <row r="12" spans="1:7" x14ac:dyDescent="0.25">
      <c r="A12" s="34">
        <v>41835</v>
      </c>
      <c r="B12">
        <v>42.97</v>
      </c>
      <c r="C12">
        <v>43.42</v>
      </c>
      <c r="D12">
        <v>42.96</v>
      </c>
      <c r="E12">
        <v>43.3</v>
      </c>
      <c r="F12">
        <v>9467100</v>
      </c>
      <c r="G12">
        <v>43.05</v>
      </c>
    </row>
    <row r="13" spans="1:7" x14ac:dyDescent="0.25">
      <c r="A13" s="34">
        <v>41836</v>
      </c>
      <c r="B13">
        <v>43.42</v>
      </c>
      <c r="C13">
        <v>43.49</v>
      </c>
      <c r="D13">
        <v>42.36</v>
      </c>
      <c r="E13">
        <v>42.53</v>
      </c>
      <c r="F13">
        <v>9454300</v>
      </c>
      <c r="G13">
        <v>42.28</v>
      </c>
    </row>
    <row r="14" spans="1:7" x14ac:dyDescent="0.25">
      <c r="A14" s="34">
        <v>41837</v>
      </c>
      <c r="B14">
        <v>42.22</v>
      </c>
      <c r="C14">
        <v>42.32</v>
      </c>
      <c r="D14">
        <v>41.58</v>
      </c>
      <c r="E14">
        <v>41.61</v>
      </c>
      <c r="F14">
        <v>11589200</v>
      </c>
      <c r="G14">
        <v>41.37</v>
      </c>
    </row>
    <row r="15" spans="1:7" x14ac:dyDescent="0.25">
      <c r="A15" s="34">
        <v>41838</v>
      </c>
      <c r="B15">
        <v>41.82</v>
      </c>
      <c r="C15">
        <v>42.31</v>
      </c>
      <c r="D15">
        <v>41.79</v>
      </c>
      <c r="E15">
        <v>42.17</v>
      </c>
      <c r="F15">
        <v>7856100</v>
      </c>
      <c r="G15">
        <v>41.92</v>
      </c>
    </row>
    <row r="16" spans="1:7" x14ac:dyDescent="0.25">
      <c r="A16" s="34">
        <v>41841</v>
      </c>
      <c r="B16">
        <v>42.01</v>
      </c>
      <c r="C16">
        <v>42.21</v>
      </c>
      <c r="D16">
        <v>41.95</v>
      </c>
      <c r="E16">
        <v>42.12</v>
      </c>
      <c r="F16">
        <v>5008800</v>
      </c>
      <c r="G16">
        <v>41.87</v>
      </c>
    </row>
    <row r="17" spans="1:7" x14ac:dyDescent="0.25">
      <c r="A17" s="34">
        <v>41842</v>
      </c>
      <c r="B17">
        <v>42.3</v>
      </c>
      <c r="C17">
        <v>42.55</v>
      </c>
      <c r="D17">
        <v>42.22</v>
      </c>
      <c r="E17">
        <v>42.25</v>
      </c>
      <c r="F17">
        <v>6149600</v>
      </c>
      <c r="G17">
        <v>42</v>
      </c>
    </row>
    <row r="18" spans="1:7" x14ac:dyDescent="0.25">
      <c r="A18" s="34">
        <v>41843</v>
      </c>
      <c r="B18">
        <v>42.26</v>
      </c>
      <c r="C18">
        <v>42.53</v>
      </c>
      <c r="D18">
        <v>42.22</v>
      </c>
      <c r="E18">
        <v>42.46</v>
      </c>
      <c r="F18">
        <v>4399500</v>
      </c>
      <c r="G18">
        <v>42.21</v>
      </c>
    </row>
    <row r="19" spans="1:7" x14ac:dyDescent="0.25">
      <c r="A19" s="34">
        <v>41844</v>
      </c>
      <c r="B19">
        <v>42.54</v>
      </c>
      <c r="C19">
        <v>42.84</v>
      </c>
      <c r="D19">
        <v>42.48</v>
      </c>
      <c r="E19">
        <v>42.73</v>
      </c>
      <c r="F19">
        <v>4385800</v>
      </c>
      <c r="G19">
        <v>42.48</v>
      </c>
    </row>
    <row r="20" spans="1:7" x14ac:dyDescent="0.25">
      <c r="A20" s="34">
        <v>41845</v>
      </c>
      <c r="B20">
        <v>42.54</v>
      </c>
      <c r="C20">
        <v>42.82</v>
      </c>
      <c r="D20">
        <v>42.5</v>
      </c>
      <c r="E20">
        <v>42.75</v>
      </c>
      <c r="F20">
        <v>5386000</v>
      </c>
      <c r="G20">
        <v>42.5</v>
      </c>
    </row>
    <row r="21" spans="1:7" x14ac:dyDescent="0.25">
      <c r="A21" s="34">
        <v>41848</v>
      </c>
      <c r="B21">
        <v>42.7</v>
      </c>
      <c r="C21">
        <v>42.7</v>
      </c>
      <c r="D21">
        <v>42.31</v>
      </c>
      <c r="E21">
        <v>42.57</v>
      </c>
      <c r="F21">
        <v>6284900</v>
      </c>
      <c r="G21">
        <v>42.32</v>
      </c>
    </row>
    <row r="22" spans="1:7" x14ac:dyDescent="0.25">
      <c r="A22" s="34">
        <v>41849</v>
      </c>
      <c r="B22">
        <v>42.61</v>
      </c>
      <c r="C22">
        <v>42.97</v>
      </c>
      <c r="D22">
        <v>42.43</v>
      </c>
      <c r="E22">
        <v>42.64</v>
      </c>
      <c r="F22">
        <v>5649400</v>
      </c>
      <c r="G22">
        <v>42.39</v>
      </c>
    </row>
    <row r="23" spans="1:7" x14ac:dyDescent="0.25">
      <c r="A23" s="34">
        <v>41850</v>
      </c>
      <c r="B23">
        <v>42.83</v>
      </c>
      <c r="C23">
        <v>43.1</v>
      </c>
      <c r="D23">
        <v>42.66</v>
      </c>
      <c r="E23">
        <v>42.92</v>
      </c>
      <c r="F23">
        <v>5542000</v>
      </c>
      <c r="G23">
        <v>42.67</v>
      </c>
    </row>
    <row r="24" spans="1:7" x14ac:dyDescent="0.25">
      <c r="A24" s="34">
        <v>41851</v>
      </c>
      <c r="B24">
        <v>42.64</v>
      </c>
      <c r="C24">
        <v>42.78</v>
      </c>
      <c r="D24">
        <v>42.01</v>
      </c>
      <c r="E24">
        <v>42.03</v>
      </c>
      <c r="F24">
        <v>8403000</v>
      </c>
      <c r="G24">
        <v>41.78</v>
      </c>
    </row>
    <row r="25" spans="1:7" x14ac:dyDescent="0.25">
      <c r="A25" s="34">
        <v>41852</v>
      </c>
      <c r="B25">
        <v>41.85</v>
      </c>
      <c r="C25">
        <v>42.08</v>
      </c>
      <c r="D25">
        <v>41.29</v>
      </c>
      <c r="E25">
        <v>41.33</v>
      </c>
      <c r="F25">
        <v>8252000</v>
      </c>
      <c r="G25">
        <v>41.09</v>
      </c>
    </row>
    <row r="26" spans="1:7" x14ac:dyDescent="0.25">
      <c r="A26" s="34">
        <v>41855</v>
      </c>
      <c r="B26">
        <v>41.48</v>
      </c>
      <c r="C26">
        <v>41.67</v>
      </c>
      <c r="D26">
        <v>41.24</v>
      </c>
      <c r="E26">
        <v>41.64</v>
      </c>
      <c r="F26">
        <v>5052700</v>
      </c>
      <c r="G26">
        <v>41.4</v>
      </c>
    </row>
    <row r="27" spans="1:7" x14ac:dyDescent="0.25">
      <c r="A27" s="34">
        <v>41856</v>
      </c>
      <c r="B27">
        <v>41.42</v>
      </c>
      <c r="C27">
        <v>41.64</v>
      </c>
      <c r="D27">
        <v>41.02</v>
      </c>
      <c r="E27">
        <v>41.17</v>
      </c>
      <c r="F27">
        <v>5240800</v>
      </c>
      <c r="G27">
        <v>40.93</v>
      </c>
    </row>
    <row r="28" spans="1:7" x14ac:dyDescent="0.25">
      <c r="A28" s="34">
        <v>41857</v>
      </c>
      <c r="B28">
        <v>41.02</v>
      </c>
      <c r="C28">
        <v>41.36</v>
      </c>
      <c r="D28">
        <v>40.99</v>
      </c>
      <c r="E28">
        <v>41.08</v>
      </c>
      <c r="F28">
        <v>6443100</v>
      </c>
      <c r="G28">
        <v>40.840000000000003</v>
      </c>
    </row>
    <row r="29" spans="1:7" x14ac:dyDescent="0.25">
      <c r="A29" s="34">
        <v>41858</v>
      </c>
      <c r="B29">
        <v>41.16</v>
      </c>
      <c r="C29">
        <v>41.25</v>
      </c>
      <c r="D29">
        <v>40.58</v>
      </c>
      <c r="E29">
        <v>40.68</v>
      </c>
      <c r="F29">
        <v>5578600</v>
      </c>
      <c r="G29">
        <v>40.44</v>
      </c>
    </row>
    <row r="30" spans="1:7" x14ac:dyDescent="0.25">
      <c r="A30" s="34">
        <v>41859</v>
      </c>
      <c r="B30">
        <v>40.78</v>
      </c>
      <c r="C30">
        <v>41.2</v>
      </c>
      <c r="D30">
        <v>40.68</v>
      </c>
      <c r="E30">
        <v>41.18</v>
      </c>
      <c r="F30">
        <v>6066900</v>
      </c>
      <c r="G30">
        <v>40.94</v>
      </c>
    </row>
    <row r="31" spans="1:7" x14ac:dyDescent="0.25">
      <c r="A31" s="34">
        <v>41862</v>
      </c>
      <c r="B31">
        <v>41.21</v>
      </c>
      <c r="C31">
        <v>41.28</v>
      </c>
      <c r="D31">
        <v>40.89</v>
      </c>
      <c r="E31">
        <v>40.96</v>
      </c>
      <c r="F31">
        <v>3805500</v>
      </c>
      <c r="G31">
        <v>40.72</v>
      </c>
    </row>
    <row r="32" spans="1:7" x14ac:dyDescent="0.25">
      <c r="A32" s="34">
        <v>41863</v>
      </c>
      <c r="B32">
        <v>40.9</v>
      </c>
      <c r="C32">
        <v>41.3</v>
      </c>
      <c r="D32">
        <v>40.85</v>
      </c>
      <c r="E32">
        <v>41.16</v>
      </c>
      <c r="F32">
        <v>6327300</v>
      </c>
      <c r="G32">
        <v>40.92</v>
      </c>
    </row>
    <row r="33" spans="1:7" x14ac:dyDescent="0.25">
      <c r="A33" s="34">
        <v>41864</v>
      </c>
      <c r="B33">
        <v>41.34</v>
      </c>
      <c r="C33">
        <v>41.46</v>
      </c>
      <c r="D33">
        <v>41.16</v>
      </c>
      <c r="E33">
        <v>41.36</v>
      </c>
      <c r="F33">
        <v>4577100</v>
      </c>
      <c r="G33">
        <v>41.12</v>
      </c>
    </row>
    <row r="34" spans="1:7" x14ac:dyDescent="0.25">
      <c r="A34" s="34">
        <v>41865</v>
      </c>
      <c r="B34">
        <v>41.35</v>
      </c>
      <c r="C34">
        <v>41.61</v>
      </c>
      <c r="D34">
        <v>41.34</v>
      </c>
      <c r="E34">
        <v>41.6</v>
      </c>
      <c r="F34">
        <v>3528600</v>
      </c>
      <c r="G34">
        <v>41.36</v>
      </c>
    </row>
    <row r="35" spans="1:7" x14ac:dyDescent="0.25">
      <c r="A35" s="34">
        <v>41866</v>
      </c>
      <c r="B35">
        <v>41.7</v>
      </c>
      <c r="C35">
        <v>41.78</v>
      </c>
      <c r="D35">
        <v>41.06</v>
      </c>
      <c r="E35">
        <v>41.27</v>
      </c>
      <c r="F35">
        <v>5761100</v>
      </c>
      <c r="G35">
        <v>41.03</v>
      </c>
    </row>
    <row r="36" spans="1:7" x14ac:dyDescent="0.25">
      <c r="A36" s="34">
        <v>41869</v>
      </c>
      <c r="B36">
        <v>41.51</v>
      </c>
      <c r="C36">
        <v>41.82</v>
      </c>
      <c r="D36">
        <v>41.43</v>
      </c>
      <c r="E36">
        <v>41.72</v>
      </c>
      <c r="F36">
        <v>3552300</v>
      </c>
      <c r="G36">
        <v>41.48</v>
      </c>
    </row>
    <row r="37" spans="1:7" x14ac:dyDescent="0.25">
      <c r="A37" s="34">
        <v>41870</v>
      </c>
      <c r="B37">
        <v>41.66</v>
      </c>
      <c r="C37">
        <v>41.87</v>
      </c>
      <c r="D37">
        <v>41.53</v>
      </c>
      <c r="E37">
        <v>41.84</v>
      </c>
      <c r="F37">
        <v>4194100</v>
      </c>
      <c r="G37">
        <v>41.6</v>
      </c>
    </row>
    <row r="38" spans="1:7" x14ac:dyDescent="0.25">
      <c r="A38" s="34">
        <v>41871</v>
      </c>
      <c r="B38">
        <v>41.67</v>
      </c>
      <c r="C38">
        <v>41.78</v>
      </c>
      <c r="D38">
        <v>41.46</v>
      </c>
      <c r="E38">
        <v>41.71</v>
      </c>
      <c r="F38">
        <v>5102000</v>
      </c>
      <c r="G38">
        <v>41.47</v>
      </c>
    </row>
    <row r="39" spans="1:7" x14ac:dyDescent="0.25">
      <c r="A39" s="34">
        <v>41872</v>
      </c>
      <c r="B39">
        <v>41.78</v>
      </c>
      <c r="C39">
        <v>42.24</v>
      </c>
      <c r="D39">
        <v>41.73</v>
      </c>
      <c r="E39">
        <v>42.19</v>
      </c>
      <c r="F39">
        <v>4371600</v>
      </c>
      <c r="G39">
        <v>41.94</v>
      </c>
    </row>
    <row r="40" spans="1:7" x14ac:dyDescent="0.25">
      <c r="A40" s="34">
        <v>41873</v>
      </c>
      <c r="B40">
        <v>42.05</v>
      </c>
      <c r="C40">
        <v>42.47</v>
      </c>
      <c r="D40">
        <v>41.98</v>
      </c>
      <c r="E40">
        <v>42.03</v>
      </c>
      <c r="F40">
        <v>3946600</v>
      </c>
      <c r="G40">
        <v>41.78</v>
      </c>
    </row>
    <row r="41" spans="1:7" x14ac:dyDescent="0.25">
      <c r="A41" s="34">
        <v>41876</v>
      </c>
      <c r="B41">
        <v>42.19</v>
      </c>
      <c r="C41">
        <v>42.42</v>
      </c>
      <c r="D41">
        <v>42.19</v>
      </c>
      <c r="E41">
        <v>42.25</v>
      </c>
      <c r="F41">
        <v>4583800</v>
      </c>
      <c r="G41">
        <v>42</v>
      </c>
    </row>
    <row r="42" spans="1:7" x14ac:dyDescent="0.25">
      <c r="A42" s="34">
        <v>41877</v>
      </c>
      <c r="B42">
        <v>42.3</v>
      </c>
      <c r="C42">
        <v>42.61</v>
      </c>
      <c r="D42">
        <v>42.27</v>
      </c>
      <c r="E42">
        <v>42.41</v>
      </c>
      <c r="F42">
        <v>3945700</v>
      </c>
      <c r="G42">
        <v>42.16</v>
      </c>
    </row>
    <row r="43" spans="1:7" x14ac:dyDescent="0.25">
      <c r="A43" s="34">
        <v>41878</v>
      </c>
      <c r="B43">
        <v>42.4</v>
      </c>
      <c r="C43">
        <v>42.49</v>
      </c>
      <c r="D43">
        <v>42.1</v>
      </c>
      <c r="E43">
        <v>42.2</v>
      </c>
      <c r="F43">
        <v>2748000</v>
      </c>
      <c r="G43">
        <v>41.95</v>
      </c>
    </row>
    <row r="44" spans="1:7" x14ac:dyDescent="0.25">
      <c r="A44" s="34">
        <v>41879</v>
      </c>
      <c r="B44">
        <v>41.97</v>
      </c>
      <c r="C44">
        <v>42.19</v>
      </c>
      <c r="D44">
        <v>41.93</v>
      </c>
      <c r="E44">
        <v>42.06</v>
      </c>
      <c r="F44">
        <v>2407000</v>
      </c>
      <c r="G44">
        <v>41.81</v>
      </c>
    </row>
    <row r="45" spans="1:7" x14ac:dyDescent="0.25">
      <c r="A45" s="34">
        <v>41880</v>
      </c>
      <c r="B45">
        <v>42.23</v>
      </c>
      <c r="C45">
        <v>42.3</v>
      </c>
      <c r="D45">
        <v>41.99</v>
      </c>
      <c r="E45">
        <v>42.28</v>
      </c>
      <c r="F45">
        <v>3381700</v>
      </c>
      <c r="G45">
        <v>42.03</v>
      </c>
    </row>
    <row r="46" spans="1:7" x14ac:dyDescent="0.25">
      <c r="A46" s="34">
        <v>41884</v>
      </c>
      <c r="B46">
        <v>42.34</v>
      </c>
      <c r="C46">
        <v>42.4</v>
      </c>
      <c r="D46">
        <v>42.07</v>
      </c>
      <c r="E46">
        <v>42.27</v>
      </c>
      <c r="F46">
        <v>3600600</v>
      </c>
      <c r="G46">
        <v>42.02</v>
      </c>
    </row>
    <row r="47" spans="1:7" x14ac:dyDescent="0.25">
      <c r="A47" s="34">
        <v>41885</v>
      </c>
      <c r="B47">
        <v>42.48</v>
      </c>
      <c r="C47">
        <v>42.51</v>
      </c>
      <c r="D47">
        <v>42.01</v>
      </c>
      <c r="E47">
        <v>42.12</v>
      </c>
      <c r="F47">
        <v>4391400</v>
      </c>
      <c r="G47">
        <v>41.87</v>
      </c>
    </row>
    <row r="48" spans="1:7" x14ac:dyDescent="0.25">
      <c r="A48" s="34">
        <v>41886</v>
      </c>
      <c r="B48">
        <v>42.08</v>
      </c>
      <c r="C48">
        <v>42.56</v>
      </c>
      <c r="D48">
        <v>42.05</v>
      </c>
      <c r="E48">
        <v>42.24</v>
      </c>
      <c r="F48">
        <v>4609900</v>
      </c>
      <c r="G48">
        <v>41.99</v>
      </c>
    </row>
    <row r="49" spans="1:7" x14ac:dyDescent="0.25">
      <c r="A49" s="34">
        <v>41887</v>
      </c>
      <c r="B49">
        <v>42.12</v>
      </c>
      <c r="C49">
        <v>42.22</v>
      </c>
      <c r="D49">
        <v>41.89</v>
      </c>
      <c r="E49">
        <v>42.13</v>
      </c>
      <c r="F49">
        <v>7807500</v>
      </c>
      <c r="G49">
        <v>41.88</v>
      </c>
    </row>
    <row r="50" spans="1:7" x14ac:dyDescent="0.25">
      <c r="A50" s="34">
        <v>41890</v>
      </c>
      <c r="B50">
        <v>42.19</v>
      </c>
      <c r="C50">
        <v>42.2</v>
      </c>
      <c r="D50">
        <v>41.87</v>
      </c>
      <c r="E50">
        <v>42.03</v>
      </c>
      <c r="F50">
        <v>5979700</v>
      </c>
      <c r="G50">
        <v>41.78</v>
      </c>
    </row>
    <row r="51" spans="1:7" x14ac:dyDescent="0.25">
      <c r="A51" s="34">
        <v>41891</v>
      </c>
      <c r="B51">
        <v>41.88</v>
      </c>
      <c r="C51">
        <v>41.91</v>
      </c>
      <c r="D51">
        <v>41.48</v>
      </c>
      <c r="E51">
        <v>41.6</v>
      </c>
      <c r="F51">
        <v>6252500</v>
      </c>
      <c r="G51">
        <v>41.36</v>
      </c>
    </row>
    <row r="52" spans="1:7" x14ac:dyDescent="0.25">
      <c r="A52" s="34">
        <v>41892</v>
      </c>
      <c r="B52">
        <v>41.63</v>
      </c>
      <c r="C52">
        <v>41.91</v>
      </c>
      <c r="D52">
        <v>41.62</v>
      </c>
      <c r="E52">
        <v>41.84</v>
      </c>
      <c r="F52">
        <v>5184800</v>
      </c>
      <c r="G52">
        <v>41.6</v>
      </c>
    </row>
    <row r="53" spans="1:7" x14ac:dyDescent="0.25">
      <c r="A53" s="34">
        <v>41893</v>
      </c>
      <c r="B53">
        <v>41.75</v>
      </c>
      <c r="C53">
        <v>42.13</v>
      </c>
      <c r="D53">
        <v>41.72</v>
      </c>
      <c r="E53">
        <v>42.1</v>
      </c>
      <c r="F53">
        <v>4235600</v>
      </c>
      <c r="G53">
        <v>41.85</v>
      </c>
    </row>
    <row r="54" spans="1:7" x14ac:dyDescent="0.25">
      <c r="A54" s="34">
        <v>41894</v>
      </c>
      <c r="B54">
        <v>42.02</v>
      </c>
      <c r="C54">
        <v>42.41</v>
      </c>
      <c r="D54">
        <v>41.97</v>
      </c>
      <c r="E54">
        <v>42.2</v>
      </c>
      <c r="F54">
        <v>7803200</v>
      </c>
      <c r="G54">
        <v>41.95</v>
      </c>
    </row>
    <row r="55" spans="1:7" x14ac:dyDescent="0.25">
      <c r="A55" s="34">
        <v>41897</v>
      </c>
      <c r="B55">
        <v>42.15</v>
      </c>
      <c r="C55">
        <v>42.52</v>
      </c>
      <c r="D55">
        <v>42.14</v>
      </c>
      <c r="E55">
        <v>42.37</v>
      </c>
      <c r="F55">
        <v>5015100</v>
      </c>
      <c r="G55">
        <v>42.12</v>
      </c>
    </row>
  </sheetData>
  <sortState ref="A3:G55">
    <sortCondition ref="A3:A55"/>
  </sortState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115.97</v>
      </c>
      <c r="C3">
        <v>116.47</v>
      </c>
      <c r="D3">
        <v>115.5</v>
      </c>
      <c r="E3">
        <v>115.93</v>
      </c>
      <c r="F3">
        <v>3245300</v>
      </c>
      <c r="G3">
        <v>115.28</v>
      </c>
    </row>
    <row r="4" spans="1:7" x14ac:dyDescent="0.25">
      <c r="A4" s="34">
        <v>41822</v>
      </c>
      <c r="B4">
        <v>115.98</v>
      </c>
      <c r="C4">
        <v>115.98</v>
      </c>
      <c r="D4">
        <v>114.7</v>
      </c>
      <c r="E4">
        <v>115.14</v>
      </c>
      <c r="F4">
        <v>3821500</v>
      </c>
      <c r="G4">
        <v>114.49</v>
      </c>
    </row>
    <row r="5" spans="1:7" x14ac:dyDescent="0.25">
      <c r="A5" s="34">
        <v>41823</v>
      </c>
      <c r="B5">
        <v>115.52</v>
      </c>
      <c r="C5">
        <v>116</v>
      </c>
      <c r="D5">
        <v>115.39</v>
      </c>
      <c r="E5">
        <v>115.53</v>
      </c>
      <c r="F5">
        <v>1746000</v>
      </c>
      <c r="G5">
        <v>114.88</v>
      </c>
    </row>
    <row r="6" spans="1:7" x14ac:dyDescent="0.25">
      <c r="A6" s="34">
        <v>41827</v>
      </c>
      <c r="B6">
        <v>115.61</v>
      </c>
      <c r="C6">
        <v>115.8</v>
      </c>
      <c r="D6">
        <v>114.71</v>
      </c>
      <c r="E6">
        <v>115.1</v>
      </c>
      <c r="F6">
        <v>3779200</v>
      </c>
      <c r="G6">
        <v>114.45</v>
      </c>
    </row>
    <row r="7" spans="1:7" x14ac:dyDescent="0.25">
      <c r="A7" s="34">
        <v>41828</v>
      </c>
      <c r="B7">
        <v>114.75</v>
      </c>
      <c r="C7">
        <v>115.1</v>
      </c>
      <c r="D7">
        <v>113.95</v>
      </c>
      <c r="E7">
        <v>114.07</v>
      </c>
      <c r="F7">
        <v>2861900</v>
      </c>
      <c r="G7">
        <v>113.43</v>
      </c>
    </row>
    <row r="8" spans="1:7" x14ac:dyDescent="0.25">
      <c r="A8" s="34">
        <v>41829</v>
      </c>
      <c r="B8">
        <v>114.35</v>
      </c>
      <c r="C8">
        <v>114.5</v>
      </c>
      <c r="D8">
        <v>113.38</v>
      </c>
      <c r="E8">
        <v>113.84</v>
      </c>
      <c r="F8">
        <v>3358400</v>
      </c>
      <c r="G8">
        <v>113.2</v>
      </c>
    </row>
    <row r="9" spans="1:7" x14ac:dyDescent="0.25">
      <c r="A9" s="34">
        <v>41830</v>
      </c>
      <c r="B9">
        <v>112.79</v>
      </c>
      <c r="C9">
        <v>113.92</v>
      </c>
      <c r="D9">
        <v>112.44</v>
      </c>
      <c r="E9">
        <v>113.51</v>
      </c>
      <c r="F9">
        <v>3654800</v>
      </c>
      <c r="G9">
        <v>112.87</v>
      </c>
    </row>
    <row r="10" spans="1:7" x14ac:dyDescent="0.25">
      <c r="A10" s="34">
        <v>41831</v>
      </c>
      <c r="B10">
        <v>113.8</v>
      </c>
      <c r="C10">
        <v>114.55</v>
      </c>
      <c r="D10">
        <v>113.54</v>
      </c>
      <c r="E10">
        <v>114.13</v>
      </c>
      <c r="F10">
        <v>3697600</v>
      </c>
      <c r="G10">
        <v>113.49</v>
      </c>
    </row>
    <row r="11" spans="1:7" x14ac:dyDescent="0.25">
      <c r="A11" s="34">
        <v>41834</v>
      </c>
      <c r="B11">
        <v>114.98</v>
      </c>
      <c r="C11">
        <v>115.35</v>
      </c>
      <c r="D11">
        <v>114.67</v>
      </c>
      <c r="E11">
        <v>114.88</v>
      </c>
      <c r="F11">
        <v>3017400</v>
      </c>
      <c r="G11">
        <v>114.23</v>
      </c>
    </row>
    <row r="12" spans="1:7" x14ac:dyDescent="0.25">
      <c r="A12" s="34">
        <v>41835</v>
      </c>
      <c r="B12">
        <v>115.16</v>
      </c>
      <c r="C12">
        <v>116.25</v>
      </c>
      <c r="D12">
        <v>114.64</v>
      </c>
      <c r="E12">
        <v>114.84</v>
      </c>
      <c r="F12">
        <v>4488700</v>
      </c>
      <c r="G12">
        <v>114.19</v>
      </c>
    </row>
    <row r="13" spans="1:7" x14ac:dyDescent="0.25">
      <c r="A13" s="34">
        <v>41836</v>
      </c>
      <c r="B13">
        <v>115.27</v>
      </c>
      <c r="C13">
        <v>115.27</v>
      </c>
      <c r="D13">
        <v>114.23</v>
      </c>
      <c r="E13">
        <v>114.36</v>
      </c>
      <c r="F13">
        <v>3503700</v>
      </c>
      <c r="G13">
        <v>113.72</v>
      </c>
    </row>
    <row r="14" spans="1:7" x14ac:dyDescent="0.25">
      <c r="A14" s="34">
        <v>41837</v>
      </c>
      <c r="B14">
        <v>113.93</v>
      </c>
      <c r="C14">
        <v>114.11</v>
      </c>
      <c r="D14">
        <v>112.72</v>
      </c>
      <c r="E14">
        <v>112.77</v>
      </c>
      <c r="F14">
        <v>4875600</v>
      </c>
      <c r="G14">
        <v>112.14</v>
      </c>
    </row>
    <row r="15" spans="1:7" x14ac:dyDescent="0.25">
      <c r="A15" s="34">
        <v>41838</v>
      </c>
      <c r="B15">
        <v>113.01</v>
      </c>
      <c r="C15">
        <v>113.66</v>
      </c>
      <c r="D15">
        <v>112.79</v>
      </c>
      <c r="E15">
        <v>113.57</v>
      </c>
      <c r="F15">
        <v>4244900</v>
      </c>
      <c r="G15">
        <v>112.93</v>
      </c>
    </row>
    <row r="16" spans="1:7" x14ac:dyDescent="0.25">
      <c r="A16" s="34">
        <v>41841</v>
      </c>
      <c r="B16">
        <v>113.42</v>
      </c>
      <c r="C16">
        <v>113.5</v>
      </c>
      <c r="D16">
        <v>112.57</v>
      </c>
      <c r="E16">
        <v>112.98</v>
      </c>
      <c r="F16">
        <v>5187800</v>
      </c>
      <c r="G16">
        <v>112.34</v>
      </c>
    </row>
    <row r="17" spans="1:7" x14ac:dyDescent="0.25">
      <c r="A17" s="34">
        <v>41842</v>
      </c>
      <c r="B17">
        <v>113.86</v>
      </c>
      <c r="C17">
        <v>114</v>
      </c>
      <c r="D17">
        <v>109.11</v>
      </c>
      <c r="E17">
        <v>110.86</v>
      </c>
      <c r="F17">
        <v>10527200</v>
      </c>
      <c r="G17">
        <v>110.24</v>
      </c>
    </row>
    <row r="18" spans="1:7" x14ac:dyDescent="0.25">
      <c r="A18" s="34">
        <v>41843</v>
      </c>
      <c r="B18">
        <v>110.65</v>
      </c>
      <c r="C18">
        <v>110.91</v>
      </c>
      <c r="D18">
        <v>109.55</v>
      </c>
      <c r="E18">
        <v>109.73</v>
      </c>
      <c r="F18">
        <v>6990800</v>
      </c>
      <c r="G18">
        <v>109.11</v>
      </c>
    </row>
    <row r="19" spans="1:7" x14ac:dyDescent="0.25">
      <c r="A19" s="34">
        <v>41844</v>
      </c>
      <c r="B19">
        <v>110</v>
      </c>
      <c r="C19">
        <v>110.19</v>
      </c>
      <c r="D19">
        <v>108.79</v>
      </c>
      <c r="E19">
        <v>108.95</v>
      </c>
      <c r="F19">
        <v>6811900</v>
      </c>
      <c r="G19">
        <v>108.34</v>
      </c>
    </row>
    <row r="20" spans="1:7" x14ac:dyDescent="0.25">
      <c r="A20" s="34">
        <v>41845</v>
      </c>
      <c r="B20">
        <v>108.64</v>
      </c>
      <c r="C20">
        <v>109.2</v>
      </c>
      <c r="D20">
        <v>108.43</v>
      </c>
      <c r="E20">
        <v>108.88</v>
      </c>
      <c r="F20">
        <v>4348900</v>
      </c>
      <c r="G20">
        <v>108.27</v>
      </c>
    </row>
    <row r="21" spans="1:7" x14ac:dyDescent="0.25">
      <c r="A21" s="34">
        <v>41848</v>
      </c>
      <c r="B21">
        <v>109.01</v>
      </c>
      <c r="C21">
        <v>109.17</v>
      </c>
      <c r="D21">
        <v>108.08</v>
      </c>
      <c r="E21">
        <v>108.99</v>
      </c>
      <c r="F21">
        <v>5391400</v>
      </c>
      <c r="G21">
        <v>108.38</v>
      </c>
    </row>
    <row r="22" spans="1:7" x14ac:dyDescent="0.25">
      <c r="A22" s="34">
        <v>41849</v>
      </c>
      <c r="B22">
        <v>108.81</v>
      </c>
      <c r="C22">
        <v>109.25</v>
      </c>
      <c r="D22">
        <v>107.21</v>
      </c>
      <c r="E22">
        <v>107.33</v>
      </c>
      <c r="F22">
        <v>5480700</v>
      </c>
      <c r="G22">
        <v>106.73</v>
      </c>
    </row>
    <row r="23" spans="1:7" x14ac:dyDescent="0.25">
      <c r="A23" s="34">
        <v>41850</v>
      </c>
      <c r="B23">
        <v>107.81</v>
      </c>
      <c r="C23">
        <v>108.15</v>
      </c>
      <c r="D23">
        <v>106.07</v>
      </c>
      <c r="E23">
        <v>106.38</v>
      </c>
      <c r="F23">
        <v>5977500</v>
      </c>
      <c r="G23">
        <v>105.78</v>
      </c>
    </row>
    <row r="24" spans="1:7" x14ac:dyDescent="0.25">
      <c r="A24" s="34">
        <v>41851</v>
      </c>
      <c r="B24">
        <v>105.7</v>
      </c>
      <c r="C24">
        <v>106.57</v>
      </c>
      <c r="D24">
        <v>105.1</v>
      </c>
      <c r="E24">
        <v>105.15</v>
      </c>
      <c r="F24">
        <v>6528500</v>
      </c>
      <c r="G24">
        <v>104.56</v>
      </c>
    </row>
    <row r="25" spans="1:7" x14ac:dyDescent="0.25">
      <c r="A25" s="34">
        <v>41852</v>
      </c>
      <c r="B25">
        <v>104.92</v>
      </c>
      <c r="C25">
        <v>105.81</v>
      </c>
      <c r="D25">
        <v>104.25</v>
      </c>
      <c r="E25">
        <v>104.75</v>
      </c>
      <c r="F25">
        <v>4731300</v>
      </c>
      <c r="G25">
        <v>104.16</v>
      </c>
    </row>
    <row r="26" spans="1:7" x14ac:dyDescent="0.25">
      <c r="A26" s="34">
        <v>41855</v>
      </c>
      <c r="B26">
        <v>105.04</v>
      </c>
      <c r="C26">
        <v>105.34</v>
      </c>
      <c r="D26">
        <v>104.4</v>
      </c>
      <c r="E26">
        <v>105.05</v>
      </c>
      <c r="F26">
        <v>3982700</v>
      </c>
      <c r="G26">
        <v>104.46</v>
      </c>
    </row>
    <row r="27" spans="1:7" x14ac:dyDescent="0.25">
      <c r="A27" s="34">
        <v>41856</v>
      </c>
      <c r="B27">
        <v>104.82</v>
      </c>
      <c r="C27">
        <v>105.72</v>
      </c>
      <c r="D27">
        <v>104.48</v>
      </c>
      <c r="E27">
        <v>105.02</v>
      </c>
      <c r="F27">
        <v>5579300</v>
      </c>
      <c r="G27">
        <v>104.43</v>
      </c>
    </row>
    <row r="28" spans="1:7" x14ac:dyDescent="0.25">
      <c r="A28" s="34">
        <v>41857</v>
      </c>
      <c r="B28">
        <v>104.25</v>
      </c>
      <c r="C28">
        <v>104.55</v>
      </c>
      <c r="D28">
        <v>103.14</v>
      </c>
      <c r="E28">
        <v>103.79</v>
      </c>
      <c r="F28">
        <v>5408700</v>
      </c>
      <c r="G28">
        <v>103.21</v>
      </c>
    </row>
    <row r="29" spans="1:7" x14ac:dyDescent="0.25">
      <c r="A29" s="34">
        <v>41858</v>
      </c>
      <c r="B29">
        <v>104.39</v>
      </c>
      <c r="C29">
        <v>104.57</v>
      </c>
      <c r="D29">
        <v>103.74</v>
      </c>
      <c r="E29">
        <v>104.22</v>
      </c>
      <c r="F29">
        <v>4155700</v>
      </c>
      <c r="G29">
        <v>103.63</v>
      </c>
    </row>
    <row r="30" spans="1:7" x14ac:dyDescent="0.25">
      <c r="A30" s="34">
        <v>41859</v>
      </c>
      <c r="B30">
        <v>104.67</v>
      </c>
      <c r="C30">
        <v>105.98</v>
      </c>
      <c r="D30">
        <v>104.12</v>
      </c>
      <c r="E30">
        <v>105.96</v>
      </c>
      <c r="F30">
        <v>4479800</v>
      </c>
      <c r="G30">
        <v>105.36</v>
      </c>
    </row>
    <row r="31" spans="1:7" x14ac:dyDescent="0.25">
      <c r="A31" s="34">
        <v>41862</v>
      </c>
      <c r="B31">
        <v>106.57</v>
      </c>
      <c r="C31">
        <v>106.85</v>
      </c>
      <c r="D31">
        <v>105.68</v>
      </c>
      <c r="E31">
        <v>105.72</v>
      </c>
      <c r="F31">
        <v>3262600</v>
      </c>
      <c r="G31">
        <v>105.13</v>
      </c>
    </row>
    <row r="32" spans="1:7" x14ac:dyDescent="0.25">
      <c r="A32" s="34">
        <v>41863</v>
      </c>
      <c r="B32">
        <v>105.35</v>
      </c>
      <c r="C32">
        <v>105.8</v>
      </c>
      <c r="D32">
        <v>104.77</v>
      </c>
      <c r="E32">
        <v>104.91</v>
      </c>
      <c r="F32">
        <v>4352900</v>
      </c>
      <c r="G32">
        <v>104.32</v>
      </c>
    </row>
    <row r="33" spans="1:7" x14ac:dyDescent="0.25">
      <c r="A33" s="34">
        <v>41864</v>
      </c>
      <c r="B33">
        <v>104.78</v>
      </c>
      <c r="C33">
        <v>105.77</v>
      </c>
      <c r="D33">
        <v>104.78</v>
      </c>
      <c r="E33">
        <v>105.56</v>
      </c>
      <c r="F33">
        <v>3487700</v>
      </c>
      <c r="G33">
        <v>105.56</v>
      </c>
    </row>
    <row r="34" spans="1:7" x14ac:dyDescent="0.25">
      <c r="A34" s="34">
        <v>41865</v>
      </c>
      <c r="B34">
        <v>105.55</v>
      </c>
      <c r="C34">
        <v>106.05</v>
      </c>
      <c r="D34">
        <v>105.5</v>
      </c>
      <c r="E34">
        <v>105.77</v>
      </c>
      <c r="F34">
        <v>2327200</v>
      </c>
      <c r="G34">
        <v>105.77</v>
      </c>
    </row>
    <row r="35" spans="1:7" x14ac:dyDescent="0.25">
      <c r="A35" s="34">
        <v>41866</v>
      </c>
      <c r="B35">
        <v>106.31</v>
      </c>
      <c r="C35">
        <v>106.36</v>
      </c>
      <c r="D35">
        <v>104.94</v>
      </c>
      <c r="E35">
        <v>105.63</v>
      </c>
      <c r="F35">
        <v>3106700</v>
      </c>
      <c r="G35">
        <v>105.63</v>
      </c>
    </row>
    <row r="36" spans="1:7" x14ac:dyDescent="0.25">
      <c r="A36" s="34">
        <v>41869</v>
      </c>
      <c r="B36">
        <v>106.66</v>
      </c>
      <c r="C36">
        <v>108.12</v>
      </c>
      <c r="D36">
        <v>106.48</v>
      </c>
      <c r="E36">
        <v>108.09</v>
      </c>
      <c r="F36">
        <v>5036900</v>
      </c>
      <c r="G36">
        <v>108.09</v>
      </c>
    </row>
    <row r="37" spans="1:7" x14ac:dyDescent="0.25">
      <c r="A37" s="34">
        <v>41870</v>
      </c>
      <c r="B37">
        <v>108.18</v>
      </c>
      <c r="C37">
        <v>108.58</v>
      </c>
      <c r="D37">
        <v>107.69</v>
      </c>
      <c r="E37">
        <v>108.56</v>
      </c>
      <c r="F37">
        <v>3961600</v>
      </c>
      <c r="G37">
        <v>108.56</v>
      </c>
    </row>
    <row r="38" spans="1:7" x14ac:dyDescent="0.25">
      <c r="A38" s="34">
        <v>41871</v>
      </c>
      <c r="B38">
        <v>108.6</v>
      </c>
      <c r="C38">
        <v>109.87</v>
      </c>
      <c r="D38">
        <v>108.56</v>
      </c>
      <c r="E38">
        <v>109.71</v>
      </c>
      <c r="F38">
        <v>4502200</v>
      </c>
      <c r="G38">
        <v>109.71</v>
      </c>
    </row>
    <row r="39" spans="1:7" x14ac:dyDescent="0.25">
      <c r="A39" s="34">
        <v>41872</v>
      </c>
      <c r="B39">
        <v>110</v>
      </c>
      <c r="C39">
        <v>110.22</v>
      </c>
      <c r="D39">
        <v>109.5</v>
      </c>
      <c r="E39">
        <v>110.06</v>
      </c>
      <c r="F39">
        <v>2847600</v>
      </c>
      <c r="G39">
        <v>110.06</v>
      </c>
    </row>
    <row r="40" spans="1:7" x14ac:dyDescent="0.25">
      <c r="A40" s="34">
        <v>41873</v>
      </c>
      <c r="B40">
        <v>109.79</v>
      </c>
      <c r="C40">
        <v>109.94</v>
      </c>
      <c r="D40">
        <v>109.24</v>
      </c>
      <c r="E40">
        <v>109.39</v>
      </c>
      <c r="F40">
        <v>2364900</v>
      </c>
      <c r="G40">
        <v>109.39</v>
      </c>
    </row>
    <row r="41" spans="1:7" x14ac:dyDescent="0.25">
      <c r="A41" s="34">
        <v>41876</v>
      </c>
      <c r="B41">
        <v>109.68</v>
      </c>
      <c r="C41">
        <v>110.15</v>
      </c>
      <c r="D41">
        <v>109.68</v>
      </c>
      <c r="E41">
        <v>109.82</v>
      </c>
      <c r="F41">
        <v>1732800</v>
      </c>
      <c r="G41">
        <v>109.82</v>
      </c>
    </row>
    <row r="42" spans="1:7" x14ac:dyDescent="0.25">
      <c r="A42" s="34">
        <v>41877</v>
      </c>
      <c r="B42">
        <v>109.9</v>
      </c>
      <c r="C42">
        <v>110.17</v>
      </c>
      <c r="D42">
        <v>109.64</v>
      </c>
      <c r="E42">
        <v>109.68</v>
      </c>
      <c r="F42">
        <v>2022500</v>
      </c>
      <c r="G42">
        <v>109.68</v>
      </c>
    </row>
    <row r="43" spans="1:7" x14ac:dyDescent="0.25">
      <c r="A43" s="34">
        <v>41878</v>
      </c>
      <c r="B43">
        <v>110.2</v>
      </c>
      <c r="C43">
        <v>110.34</v>
      </c>
      <c r="D43">
        <v>108.87</v>
      </c>
      <c r="E43">
        <v>109.09</v>
      </c>
      <c r="F43">
        <v>2548100</v>
      </c>
      <c r="G43">
        <v>109.09</v>
      </c>
    </row>
    <row r="44" spans="1:7" x14ac:dyDescent="0.25">
      <c r="A44" s="34">
        <v>41879</v>
      </c>
      <c r="B44">
        <v>108.8</v>
      </c>
      <c r="C44">
        <v>109.23</v>
      </c>
      <c r="D44">
        <v>108.28</v>
      </c>
      <c r="E44">
        <v>109.11</v>
      </c>
      <c r="F44">
        <v>2124200</v>
      </c>
      <c r="G44">
        <v>109.11</v>
      </c>
    </row>
    <row r="45" spans="1:7" x14ac:dyDescent="0.25">
      <c r="A45" s="34">
        <v>41880</v>
      </c>
      <c r="B45">
        <v>109.11</v>
      </c>
      <c r="C45">
        <v>109.35</v>
      </c>
      <c r="D45">
        <v>107.71</v>
      </c>
      <c r="E45">
        <v>107.98</v>
      </c>
      <c r="F45">
        <v>4717300</v>
      </c>
      <c r="G45">
        <v>107.98</v>
      </c>
    </row>
    <row r="46" spans="1:7" x14ac:dyDescent="0.25">
      <c r="A46" s="34">
        <v>41884</v>
      </c>
      <c r="B46">
        <v>108.26</v>
      </c>
      <c r="C46">
        <v>109.07</v>
      </c>
      <c r="D46">
        <v>107.72</v>
      </c>
      <c r="E46">
        <v>109.04</v>
      </c>
      <c r="F46">
        <v>4142800</v>
      </c>
      <c r="G46">
        <v>109.04</v>
      </c>
    </row>
    <row r="47" spans="1:7" x14ac:dyDescent="0.25">
      <c r="A47" s="34">
        <v>41885</v>
      </c>
      <c r="B47">
        <v>109.99</v>
      </c>
      <c r="C47">
        <v>110</v>
      </c>
      <c r="D47">
        <v>108.82</v>
      </c>
      <c r="E47">
        <v>109.2</v>
      </c>
      <c r="F47">
        <v>2629700</v>
      </c>
      <c r="G47">
        <v>109.2</v>
      </c>
    </row>
    <row r="48" spans="1:7" x14ac:dyDescent="0.25">
      <c r="A48" s="34">
        <v>41886</v>
      </c>
      <c r="B48">
        <v>109.49</v>
      </c>
      <c r="C48">
        <v>109.65</v>
      </c>
      <c r="D48">
        <v>109.06</v>
      </c>
      <c r="E48">
        <v>109.22</v>
      </c>
      <c r="F48">
        <v>2856600</v>
      </c>
      <c r="G48">
        <v>109.22</v>
      </c>
    </row>
    <row r="49" spans="1:7" x14ac:dyDescent="0.25">
      <c r="A49" s="34">
        <v>41887</v>
      </c>
      <c r="B49">
        <v>109.51</v>
      </c>
      <c r="C49">
        <v>109.51</v>
      </c>
      <c r="D49">
        <v>108.38</v>
      </c>
      <c r="E49">
        <v>108.7</v>
      </c>
      <c r="F49">
        <v>2793100</v>
      </c>
      <c r="G49">
        <v>108.7</v>
      </c>
    </row>
    <row r="50" spans="1:7" x14ac:dyDescent="0.25">
      <c r="A50" s="34">
        <v>41890</v>
      </c>
      <c r="B50">
        <v>108.9</v>
      </c>
      <c r="C50">
        <v>108.94</v>
      </c>
      <c r="D50">
        <v>108.48</v>
      </c>
      <c r="E50">
        <v>108.6</v>
      </c>
      <c r="F50">
        <v>3785400</v>
      </c>
      <c r="G50">
        <v>108.6</v>
      </c>
    </row>
    <row r="51" spans="1:7" x14ac:dyDescent="0.25">
      <c r="A51" s="34">
        <v>41891</v>
      </c>
      <c r="B51">
        <v>108.76</v>
      </c>
      <c r="C51">
        <v>108.98</v>
      </c>
      <c r="D51">
        <v>108.41</v>
      </c>
      <c r="E51">
        <v>108.67</v>
      </c>
      <c r="F51">
        <v>2114600</v>
      </c>
      <c r="G51">
        <v>108.67</v>
      </c>
    </row>
    <row r="52" spans="1:7" x14ac:dyDescent="0.25">
      <c r="A52" s="34">
        <v>41892</v>
      </c>
      <c r="B52">
        <v>108.67</v>
      </c>
      <c r="C52">
        <v>109.22</v>
      </c>
      <c r="D52">
        <v>108.09</v>
      </c>
      <c r="E52">
        <v>108.5</v>
      </c>
      <c r="F52">
        <v>2364600</v>
      </c>
      <c r="G52">
        <v>108.5</v>
      </c>
    </row>
    <row r="53" spans="1:7" x14ac:dyDescent="0.25">
      <c r="A53" s="34">
        <v>41893</v>
      </c>
      <c r="B53">
        <v>108.28</v>
      </c>
      <c r="C53">
        <v>108.73</v>
      </c>
      <c r="D53">
        <v>108.05</v>
      </c>
      <c r="E53">
        <v>108.51</v>
      </c>
      <c r="F53">
        <v>2270600</v>
      </c>
      <c r="G53">
        <v>108.51</v>
      </c>
    </row>
    <row r="54" spans="1:7" x14ac:dyDescent="0.25">
      <c r="A54" s="34">
        <v>41894</v>
      </c>
      <c r="B54">
        <v>108.21</v>
      </c>
      <c r="C54">
        <v>108.64</v>
      </c>
      <c r="D54">
        <v>107.95</v>
      </c>
      <c r="E54">
        <v>108.35</v>
      </c>
      <c r="F54">
        <v>2920400</v>
      </c>
      <c r="G54">
        <v>108.35</v>
      </c>
    </row>
    <row r="55" spans="1:7" x14ac:dyDescent="0.25">
      <c r="A55" s="34">
        <v>41897</v>
      </c>
      <c r="B55">
        <v>108.28</v>
      </c>
      <c r="C55">
        <v>108.47</v>
      </c>
      <c r="D55">
        <v>107.75</v>
      </c>
      <c r="E55">
        <v>108.32</v>
      </c>
      <c r="F55">
        <v>2515000</v>
      </c>
      <c r="G55">
        <v>108.32</v>
      </c>
    </row>
  </sheetData>
  <sortState ref="A3:G55">
    <sortCondition ref="A3:A55"/>
  </sortState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211.95</v>
      </c>
      <c r="C3">
        <v>215.35</v>
      </c>
      <c r="D3">
        <v>211.83</v>
      </c>
      <c r="E3">
        <v>214.25</v>
      </c>
      <c r="F3">
        <v>2748400</v>
      </c>
      <c r="G3">
        <v>213.84</v>
      </c>
    </row>
    <row r="4" spans="1:7" x14ac:dyDescent="0.25">
      <c r="A4" s="34">
        <v>41822</v>
      </c>
      <c r="B4">
        <v>214.88</v>
      </c>
      <c r="C4">
        <v>215.49</v>
      </c>
      <c r="D4">
        <v>214.25</v>
      </c>
      <c r="E4">
        <v>214.84</v>
      </c>
      <c r="F4">
        <v>1442200</v>
      </c>
      <c r="G4">
        <v>214.43</v>
      </c>
    </row>
    <row r="5" spans="1:7" x14ac:dyDescent="0.25">
      <c r="A5" s="34">
        <v>41823</v>
      </c>
      <c r="B5">
        <v>215.31</v>
      </c>
      <c r="C5">
        <v>217</v>
      </c>
      <c r="D5">
        <v>215.1</v>
      </c>
      <c r="E5">
        <v>216.51</v>
      </c>
      <c r="F5">
        <v>1392900</v>
      </c>
      <c r="G5">
        <v>216.1</v>
      </c>
    </row>
    <row r="6" spans="1:7" x14ac:dyDescent="0.25">
      <c r="A6" s="34">
        <v>41827</v>
      </c>
      <c r="B6">
        <v>216.43</v>
      </c>
      <c r="C6">
        <v>217.55</v>
      </c>
      <c r="D6">
        <v>215.64</v>
      </c>
      <c r="E6">
        <v>216.74</v>
      </c>
      <c r="F6">
        <v>1653100</v>
      </c>
      <c r="G6">
        <v>216.33</v>
      </c>
    </row>
    <row r="7" spans="1:7" x14ac:dyDescent="0.25">
      <c r="A7" s="34">
        <v>41828</v>
      </c>
      <c r="B7">
        <v>216.77</v>
      </c>
      <c r="C7">
        <v>216.89</v>
      </c>
      <c r="D7">
        <v>213.15</v>
      </c>
      <c r="E7">
        <v>215.26</v>
      </c>
      <c r="F7">
        <v>3037300</v>
      </c>
      <c r="G7">
        <v>214.85</v>
      </c>
    </row>
    <row r="8" spans="1:7" x14ac:dyDescent="0.25">
      <c r="A8" s="34">
        <v>41829</v>
      </c>
      <c r="B8">
        <v>215.5</v>
      </c>
      <c r="C8">
        <v>216.28</v>
      </c>
      <c r="D8">
        <v>214.51</v>
      </c>
      <c r="E8">
        <v>216.16</v>
      </c>
      <c r="F8">
        <v>1294300</v>
      </c>
      <c r="G8">
        <v>215.75</v>
      </c>
    </row>
    <row r="9" spans="1:7" x14ac:dyDescent="0.25">
      <c r="A9" s="34">
        <v>41830</v>
      </c>
      <c r="B9">
        <v>213.8</v>
      </c>
      <c r="C9">
        <v>216.89</v>
      </c>
      <c r="D9">
        <v>212.68</v>
      </c>
      <c r="E9">
        <v>215.54</v>
      </c>
      <c r="F9">
        <v>2134200</v>
      </c>
      <c r="G9">
        <v>215.13</v>
      </c>
    </row>
    <row r="10" spans="1:7" x14ac:dyDescent="0.25">
      <c r="A10" s="34">
        <v>41831</v>
      </c>
      <c r="B10">
        <v>215.95</v>
      </c>
      <c r="C10">
        <v>217.04</v>
      </c>
      <c r="D10">
        <v>214.37</v>
      </c>
      <c r="E10">
        <v>217</v>
      </c>
      <c r="F10">
        <v>1424200</v>
      </c>
      <c r="G10">
        <v>216.59</v>
      </c>
    </row>
    <row r="11" spans="1:7" x14ac:dyDescent="0.25">
      <c r="A11" s="34">
        <v>41834</v>
      </c>
      <c r="B11">
        <v>218.75</v>
      </c>
      <c r="C11">
        <v>222.36</v>
      </c>
      <c r="D11">
        <v>217.65</v>
      </c>
      <c r="E11">
        <v>221.03</v>
      </c>
      <c r="F11">
        <v>3429100</v>
      </c>
      <c r="G11">
        <v>220.61</v>
      </c>
    </row>
    <row r="12" spans="1:7" x14ac:dyDescent="0.25">
      <c r="A12" s="34">
        <v>41835</v>
      </c>
      <c r="B12">
        <v>221.67</v>
      </c>
      <c r="C12">
        <v>224.75</v>
      </c>
      <c r="D12">
        <v>220.9</v>
      </c>
      <c r="E12">
        <v>221.78</v>
      </c>
      <c r="F12">
        <v>2725200</v>
      </c>
      <c r="G12">
        <v>221.36</v>
      </c>
    </row>
    <row r="13" spans="1:7" x14ac:dyDescent="0.25">
      <c r="A13" s="34">
        <v>41836</v>
      </c>
      <c r="B13">
        <v>222.94</v>
      </c>
      <c r="C13">
        <v>223.16</v>
      </c>
      <c r="D13">
        <v>221.08</v>
      </c>
      <c r="E13">
        <v>222.67</v>
      </c>
      <c r="F13">
        <v>2213300</v>
      </c>
      <c r="G13">
        <v>222.25</v>
      </c>
    </row>
    <row r="14" spans="1:7" x14ac:dyDescent="0.25">
      <c r="A14" s="34">
        <v>41837</v>
      </c>
      <c r="B14">
        <v>221.94</v>
      </c>
      <c r="C14">
        <v>222</v>
      </c>
      <c r="D14">
        <v>217.83</v>
      </c>
      <c r="E14">
        <v>217.88</v>
      </c>
      <c r="F14">
        <v>2451500</v>
      </c>
      <c r="G14">
        <v>217.47</v>
      </c>
    </row>
    <row r="15" spans="1:7" x14ac:dyDescent="0.25">
      <c r="A15" s="34">
        <v>41838</v>
      </c>
      <c r="B15">
        <v>219.18</v>
      </c>
      <c r="C15">
        <v>221.89</v>
      </c>
      <c r="D15">
        <v>218.92</v>
      </c>
      <c r="E15">
        <v>220.2</v>
      </c>
      <c r="F15">
        <v>2767000</v>
      </c>
      <c r="G15">
        <v>219.78</v>
      </c>
    </row>
    <row r="16" spans="1:7" x14ac:dyDescent="0.25">
      <c r="A16" s="34">
        <v>41841</v>
      </c>
      <c r="B16">
        <v>219.53</v>
      </c>
      <c r="C16">
        <v>220.13</v>
      </c>
      <c r="D16">
        <v>218.51</v>
      </c>
      <c r="E16">
        <v>219.22</v>
      </c>
      <c r="F16">
        <v>1542100</v>
      </c>
      <c r="G16">
        <v>218.8</v>
      </c>
    </row>
    <row r="17" spans="1:7" x14ac:dyDescent="0.25">
      <c r="A17" s="34">
        <v>41842</v>
      </c>
      <c r="B17">
        <v>220.92</v>
      </c>
      <c r="C17">
        <v>222.59</v>
      </c>
      <c r="D17">
        <v>220.61</v>
      </c>
      <c r="E17">
        <v>221.26</v>
      </c>
      <c r="F17">
        <v>1924800</v>
      </c>
      <c r="G17">
        <v>220.84</v>
      </c>
    </row>
    <row r="18" spans="1:7" x14ac:dyDescent="0.25">
      <c r="A18" s="34">
        <v>41843</v>
      </c>
      <c r="B18">
        <v>221.49</v>
      </c>
      <c r="C18">
        <v>222.54</v>
      </c>
      <c r="D18">
        <v>220.68</v>
      </c>
      <c r="E18">
        <v>221.2</v>
      </c>
      <c r="F18">
        <v>2047300</v>
      </c>
      <c r="G18">
        <v>220.78</v>
      </c>
    </row>
    <row r="19" spans="1:7" x14ac:dyDescent="0.25">
      <c r="A19" s="34">
        <v>41844</v>
      </c>
      <c r="B19">
        <v>223.39</v>
      </c>
      <c r="C19">
        <v>223.85</v>
      </c>
      <c r="D19">
        <v>221.83</v>
      </c>
      <c r="E19">
        <v>222.74</v>
      </c>
      <c r="F19">
        <v>2986900</v>
      </c>
      <c r="G19">
        <v>222.32</v>
      </c>
    </row>
    <row r="20" spans="1:7" x14ac:dyDescent="0.25">
      <c r="A20" s="34">
        <v>41845</v>
      </c>
      <c r="B20">
        <v>214.1</v>
      </c>
      <c r="C20">
        <v>216.7</v>
      </c>
      <c r="D20">
        <v>211.34</v>
      </c>
      <c r="E20">
        <v>214.77</v>
      </c>
      <c r="F20">
        <v>6882600</v>
      </c>
      <c r="G20">
        <v>214.36</v>
      </c>
    </row>
    <row r="21" spans="1:7" x14ac:dyDescent="0.25">
      <c r="A21" s="34">
        <v>41848</v>
      </c>
      <c r="B21">
        <v>214.42</v>
      </c>
      <c r="C21">
        <v>214.96</v>
      </c>
      <c r="D21">
        <v>213.12</v>
      </c>
      <c r="E21">
        <v>214.22</v>
      </c>
      <c r="F21">
        <v>2600400</v>
      </c>
      <c r="G21">
        <v>213.81</v>
      </c>
    </row>
    <row r="22" spans="1:7" x14ac:dyDescent="0.25">
      <c r="A22" s="34">
        <v>41849</v>
      </c>
      <c r="B22">
        <v>214.4</v>
      </c>
      <c r="C22">
        <v>215.71</v>
      </c>
      <c r="D22">
        <v>213.33</v>
      </c>
      <c r="E22">
        <v>213.5</v>
      </c>
      <c r="F22">
        <v>2644300</v>
      </c>
      <c r="G22">
        <v>213.09</v>
      </c>
    </row>
    <row r="23" spans="1:7" x14ac:dyDescent="0.25">
      <c r="A23" s="34">
        <v>41850</v>
      </c>
      <c r="B23">
        <v>213.49</v>
      </c>
      <c r="C23">
        <v>214.79</v>
      </c>
      <c r="D23">
        <v>213.45</v>
      </c>
      <c r="E23">
        <v>214.06</v>
      </c>
      <c r="F23">
        <v>2605700</v>
      </c>
      <c r="G23">
        <v>213.65</v>
      </c>
    </row>
    <row r="24" spans="1:7" x14ac:dyDescent="0.25">
      <c r="A24" s="34">
        <v>41851</v>
      </c>
      <c r="B24">
        <v>213.27</v>
      </c>
      <c r="C24">
        <v>213.36</v>
      </c>
      <c r="D24">
        <v>211.01</v>
      </c>
      <c r="E24">
        <v>211.01</v>
      </c>
      <c r="F24">
        <v>3468500</v>
      </c>
      <c r="G24">
        <v>210.61</v>
      </c>
    </row>
    <row r="25" spans="1:7" x14ac:dyDescent="0.25">
      <c r="A25" s="34">
        <v>41852</v>
      </c>
      <c r="B25">
        <v>209.87</v>
      </c>
      <c r="C25">
        <v>213.06</v>
      </c>
      <c r="D25">
        <v>209.78</v>
      </c>
      <c r="E25">
        <v>211.81</v>
      </c>
      <c r="F25">
        <v>3525000</v>
      </c>
      <c r="G25">
        <v>211.41</v>
      </c>
    </row>
    <row r="26" spans="1:7" x14ac:dyDescent="0.25">
      <c r="A26" s="34">
        <v>41855</v>
      </c>
      <c r="B26">
        <v>212.85</v>
      </c>
      <c r="C26">
        <v>213.17</v>
      </c>
      <c r="D26">
        <v>211.52</v>
      </c>
      <c r="E26">
        <v>212.16</v>
      </c>
      <c r="F26">
        <v>2019900</v>
      </c>
      <c r="G26">
        <v>211.76</v>
      </c>
    </row>
    <row r="27" spans="1:7" x14ac:dyDescent="0.25">
      <c r="A27" s="34">
        <v>41856</v>
      </c>
      <c r="B27">
        <v>211.5</v>
      </c>
      <c r="C27">
        <v>212.39</v>
      </c>
      <c r="D27">
        <v>209.17</v>
      </c>
      <c r="E27">
        <v>210.54</v>
      </c>
      <c r="F27">
        <v>2787800</v>
      </c>
      <c r="G27">
        <v>210.14</v>
      </c>
    </row>
    <row r="28" spans="1:7" x14ac:dyDescent="0.25">
      <c r="A28" s="34">
        <v>41857</v>
      </c>
      <c r="B28">
        <v>209.98</v>
      </c>
      <c r="C28">
        <v>211.38</v>
      </c>
      <c r="D28">
        <v>209.81</v>
      </c>
      <c r="E28">
        <v>210.69</v>
      </c>
      <c r="F28">
        <v>1882100</v>
      </c>
      <c r="G28">
        <v>210.29</v>
      </c>
    </row>
    <row r="29" spans="1:7" x14ac:dyDescent="0.25">
      <c r="A29" s="34">
        <v>41858</v>
      </c>
      <c r="B29">
        <v>211.18</v>
      </c>
      <c r="C29">
        <v>211.45</v>
      </c>
      <c r="D29">
        <v>208.6</v>
      </c>
      <c r="E29">
        <v>209.04</v>
      </c>
      <c r="F29">
        <v>2392000</v>
      </c>
      <c r="G29">
        <v>208.64</v>
      </c>
    </row>
    <row r="30" spans="1:7" x14ac:dyDescent="0.25">
      <c r="A30" s="34">
        <v>41859</v>
      </c>
      <c r="B30">
        <v>208.88</v>
      </c>
      <c r="C30">
        <v>210.55</v>
      </c>
      <c r="D30">
        <v>208.21</v>
      </c>
      <c r="E30">
        <v>210.46</v>
      </c>
      <c r="F30">
        <v>2314200</v>
      </c>
      <c r="G30">
        <v>210.06</v>
      </c>
    </row>
    <row r="31" spans="1:7" x14ac:dyDescent="0.25">
      <c r="A31" s="34">
        <v>41862</v>
      </c>
      <c r="B31">
        <v>211.04</v>
      </c>
      <c r="C31">
        <v>211.22</v>
      </c>
      <c r="D31">
        <v>210.03</v>
      </c>
      <c r="E31">
        <v>210.58</v>
      </c>
      <c r="F31">
        <v>2254600</v>
      </c>
      <c r="G31">
        <v>210.18</v>
      </c>
    </row>
    <row r="32" spans="1:7" x14ac:dyDescent="0.25">
      <c r="A32" s="34">
        <v>41863</v>
      </c>
      <c r="B32">
        <v>210.09</v>
      </c>
      <c r="C32">
        <v>211.2</v>
      </c>
      <c r="D32">
        <v>209.45</v>
      </c>
      <c r="E32">
        <v>210.3</v>
      </c>
      <c r="F32">
        <v>1610500</v>
      </c>
      <c r="G32">
        <v>209.9</v>
      </c>
    </row>
    <row r="33" spans="1:7" x14ac:dyDescent="0.25">
      <c r="A33" s="34">
        <v>41864</v>
      </c>
      <c r="B33">
        <v>210.95</v>
      </c>
      <c r="C33">
        <v>212.1</v>
      </c>
      <c r="D33">
        <v>210.46</v>
      </c>
      <c r="E33">
        <v>211.43</v>
      </c>
      <c r="F33">
        <v>1614500</v>
      </c>
      <c r="G33">
        <v>211.43</v>
      </c>
    </row>
    <row r="34" spans="1:7" x14ac:dyDescent="0.25">
      <c r="A34" s="34">
        <v>41865</v>
      </c>
      <c r="B34">
        <v>212.09</v>
      </c>
      <c r="C34">
        <v>212.59</v>
      </c>
      <c r="D34">
        <v>211.31</v>
      </c>
      <c r="E34">
        <v>212.52</v>
      </c>
      <c r="F34">
        <v>1784200</v>
      </c>
      <c r="G34">
        <v>212.52</v>
      </c>
    </row>
    <row r="35" spans="1:7" x14ac:dyDescent="0.25">
      <c r="A35" s="34">
        <v>41866</v>
      </c>
      <c r="B35">
        <v>212.89</v>
      </c>
      <c r="C35">
        <v>213.32</v>
      </c>
      <c r="D35">
        <v>209.93</v>
      </c>
      <c r="E35">
        <v>210.19</v>
      </c>
      <c r="F35">
        <v>2249900</v>
      </c>
      <c r="G35">
        <v>210.19</v>
      </c>
    </row>
    <row r="36" spans="1:7" x14ac:dyDescent="0.25">
      <c r="A36" s="34">
        <v>41869</v>
      </c>
      <c r="B36">
        <v>211.49</v>
      </c>
      <c r="C36">
        <v>214.43</v>
      </c>
      <c r="D36">
        <v>211.27</v>
      </c>
      <c r="E36">
        <v>214.32</v>
      </c>
      <c r="F36">
        <v>2088100</v>
      </c>
      <c r="G36">
        <v>214.32</v>
      </c>
    </row>
    <row r="37" spans="1:7" x14ac:dyDescent="0.25">
      <c r="A37" s="34">
        <v>41870</v>
      </c>
      <c r="B37">
        <v>214.75</v>
      </c>
      <c r="C37">
        <v>215.69</v>
      </c>
      <c r="D37">
        <v>214.13</v>
      </c>
      <c r="E37">
        <v>215</v>
      </c>
      <c r="F37">
        <v>2053100</v>
      </c>
      <c r="G37">
        <v>215</v>
      </c>
    </row>
    <row r="38" spans="1:7" x14ac:dyDescent="0.25">
      <c r="A38" s="34">
        <v>41871</v>
      </c>
      <c r="B38">
        <v>214.58</v>
      </c>
      <c r="C38">
        <v>216.44</v>
      </c>
      <c r="D38">
        <v>214.43</v>
      </c>
      <c r="E38">
        <v>216.2</v>
      </c>
      <c r="F38">
        <v>1824200</v>
      </c>
      <c r="G38">
        <v>216.2</v>
      </c>
    </row>
    <row r="39" spans="1:7" x14ac:dyDescent="0.25">
      <c r="A39" s="34">
        <v>41872</v>
      </c>
      <c r="B39">
        <v>216.5</v>
      </c>
      <c r="C39">
        <v>216.97</v>
      </c>
      <c r="D39">
        <v>215.71</v>
      </c>
      <c r="E39">
        <v>215.75</v>
      </c>
      <c r="F39">
        <v>1386000</v>
      </c>
      <c r="G39">
        <v>215.75</v>
      </c>
    </row>
    <row r="40" spans="1:7" x14ac:dyDescent="0.25">
      <c r="A40" s="34">
        <v>41873</v>
      </c>
      <c r="B40">
        <v>216.2</v>
      </c>
      <c r="C40">
        <v>216.95</v>
      </c>
      <c r="D40">
        <v>215.3</v>
      </c>
      <c r="E40">
        <v>216.09</v>
      </c>
      <c r="F40">
        <v>1786400</v>
      </c>
      <c r="G40">
        <v>216.09</v>
      </c>
    </row>
    <row r="41" spans="1:7" x14ac:dyDescent="0.25">
      <c r="A41" s="34">
        <v>41876</v>
      </c>
      <c r="B41">
        <v>217.2</v>
      </c>
      <c r="C41">
        <v>217.32</v>
      </c>
      <c r="D41">
        <v>215.85</v>
      </c>
      <c r="E41">
        <v>216.02</v>
      </c>
      <c r="F41">
        <v>1240600</v>
      </c>
      <c r="G41">
        <v>216.02</v>
      </c>
    </row>
    <row r="42" spans="1:7" x14ac:dyDescent="0.25">
      <c r="A42" s="34">
        <v>41877</v>
      </c>
      <c r="B42">
        <v>216.49</v>
      </c>
      <c r="C42">
        <v>218</v>
      </c>
      <c r="D42">
        <v>216.18</v>
      </c>
      <c r="E42">
        <v>216.73</v>
      </c>
      <c r="F42">
        <v>1724500</v>
      </c>
      <c r="G42">
        <v>216.73</v>
      </c>
    </row>
    <row r="43" spans="1:7" x14ac:dyDescent="0.25">
      <c r="A43" s="34">
        <v>41878</v>
      </c>
      <c r="B43">
        <v>217.12</v>
      </c>
      <c r="C43">
        <v>217.53</v>
      </c>
      <c r="D43">
        <v>215.29</v>
      </c>
      <c r="E43">
        <v>217.13</v>
      </c>
      <c r="F43">
        <v>1990200</v>
      </c>
      <c r="G43">
        <v>217.13</v>
      </c>
    </row>
    <row r="44" spans="1:7" x14ac:dyDescent="0.25">
      <c r="A44" s="34">
        <v>41879</v>
      </c>
      <c r="B44">
        <v>215</v>
      </c>
      <c r="C44">
        <v>215.74</v>
      </c>
      <c r="D44">
        <v>213.77</v>
      </c>
      <c r="E44">
        <v>214.6</v>
      </c>
      <c r="F44">
        <v>2747200</v>
      </c>
      <c r="G44">
        <v>214.6</v>
      </c>
    </row>
    <row r="45" spans="1:7" x14ac:dyDescent="0.25">
      <c r="A45" s="34">
        <v>41880</v>
      </c>
      <c r="B45">
        <v>214.56</v>
      </c>
      <c r="C45">
        <v>215</v>
      </c>
      <c r="D45">
        <v>212.1</v>
      </c>
      <c r="E45">
        <v>212.52</v>
      </c>
      <c r="F45">
        <v>3661500</v>
      </c>
      <c r="G45">
        <v>212.52</v>
      </c>
    </row>
    <row r="46" spans="1:7" x14ac:dyDescent="0.25">
      <c r="A46" s="34">
        <v>41884</v>
      </c>
      <c r="B46">
        <v>213.41</v>
      </c>
      <c r="C46">
        <v>214.97</v>
      </c>
      <c r="D46">
        <v>212.71</v>
      </c>
      <c r="E46">
        <v>214.73</v>
      </c>
      <c r="F46">
        <v>2016600</v>
      </c>
      <c r="G46">
        <v>214.73</v>
      </c>
    </row>
    <row r="47" spans="1:7" x14ac:dyDescent="0.25">
      <c r="A47" s="34">
        <v>41885</v>
      </c>
      <c r="B47">
        <v>215.07</v>
      </c>
      <c r="C47">
        <v>216.16</v>
      </c>
      <c r="D47">
        <v>214.31</v>
      </c>
      <c r="E47">
        <v>214.9</v>
      </c>
      <c r="F47">
        <v>1947100</v>
      </c>
      <c r="G47">
        <v>214.9</v>
      </c>
    </row>
    <row r="48" spans="1:7" x14ac:dyDescent="0.25">
      <c r="A48" s="34">
        <v>41886</v>
      </c>
      <c r="B48">
        <v>215.44</v>
      </c>
      <c r="C48">
        <v>216.12</v>
      </c>
      <c r="D48">
        <v>214</v>
      </c>
      <c r="E48">
        <v>214.26</v>
      </c>
      <c r="F48">
        <v>2373100</v>
      </c>
      <c r="G48">
        <v>214.26</v>
      </c>
    </row>
    <row r="49" spans="1:7" x14ac:dyDescent="0.25">
      <c r="A49" s="34">
        <v>41887</v>
      </c>
      <c r="B49">
        <v>214.36</v>
      </c>
      <c r="C49">
        <v>214.37</v>
      </c>
      <c r="D49">
        <v>213.1</v>
      </c>
      <c r="E49">
        <v>214.21</v>
      </c>
      <c r="F49">
        <v>2050700</v>
      </c>
      <c r="G49">
        <v>214.21</v>
      </c>
    </row>
    <row r="50" spans="1:7" x14ac:dyDescent="0.25">
      <c r="A50" s="34">
        <v>41890</v>
      </c>
      <c r="B50">
        <v>214.01</v>
      </c>
      <c r="C50">
        <v>216.22</v>
      </c>
      <c r="D50">
        <v>213.5</v>
      </c>
      <c r="E50">
        <v>215.77</v>
      </c>
      <c r="F50">
        <v>2566600</v>
      </c>
      <c r="G50">
        <v>215.77</v>
      </c>
    </row>
    <row r="51" spans="1:7" x14ac:dyDescent="0.25">
      <c r="A51" s="34">
        <v>41891</v>
      </c>
      <c r="B51">
        <v>215.29</v>
      </c>
      <c r="C51">
        <v>215.47</v>
      </c>
      <c r="D51">
        <v>214</v>
      </c>
      <c r="E51">
        <v>214.28</v>
      </c>
      <c r="F51">
        <v>1832200</v>
      </c>
      <c r="G51">
        <v>214.28</v>
      </c>
    </row>
    <row r="52" spans="1:7" x14ac:dyDescent="0.25">
      <c r="A52" s="34">
        <v>41892</v>
      </c>
      <c r="B52">
        <v>214.07</v>
      </c>
      <c r="C52">
        <v>218.65</v>
      </c>
      <c r="D52">
        <v>214.04</v>
      </c>
      <c r="E52">
        <v>216.88</v>
      </c>
      <c r="F52">
        <v>3161700</v>
      </c>
      <c r="G52">
        <v>216.88</v>
      </c>
    </row>
    <row r="53" spans="1:7" x14ac:dyDescent="0.25">
      <c r="A53" s="34">
        <v>41893</v>
      </c>
      <c r="B53">
        <v>216.7</v>
      </c>
      <c r="C53">
        <v>216.75</v>
      </c>
      <c r="D53">
        <v>214.45</v>
      </c>
      <c r="E53">
        <v>214.95</v>
      </c>
      <c r="F53">
        <v>2215300</v>
      </c>
      <c r="G53">
        <v>214.95</v>
      </c>
    </row>
    <row r="54" spans="1:7" x14ac:dyDescent="0.25">
      <c r="A54" s="34">
        <v>41894</v>
      </c>
      <c r="B54">
        <v>214.88</v>
      </c>
      <c r="C54">
        <v>215.75</v>
      </c>
      <c r="D54">
        <v>212.75</v>
      </c>
      <c r="E54">
        <v>214.04</v>
      </c>
      <c r="F54">
        <v>2177700</v>
      </c>
      <c r="G54">
        <v>214.04</v>
      </c>
    </row>
    <row r="55" spans="1:7" x14ac:dyDescent="0.25">
      <c r="A55" s="34">
        <v>41897</v>
      </c>
      <c r="B55">
        <v>213.85</v>
      </c>
      <c r="C55">
        <v>215.61</v>
      </c>
      <c r="D55">
        <v>213.85</v>
      </c>
      <c r="E55">
        <v>214.64</v>
      </c>
      <c r="F55">
        <v>1759200</v>
      </c>
      <c r="G55">
        <v>214.64</v>
      </c>
    </row>
  </sheetData>
  <sortState ref="A3:G55">
    <sortCondition ref="A3:A55"/>
  </sortState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48.88</v>
      </c>
      <c r="C3">
        <v>49.55</v>
      </c>
      <c r="D3">
        <v>48.82</v>
      </c>
      <c r="E3">
        <v>49.37</v>
      </c>
      <c r="F3">
        <v>14298500</v>
      </c>
      <c r="G3">
        <v>48.84</v>
      </c>
    </row>
    <row r="4" spans="1:7" x14ac:dyDescent="0.25">
      <c r="A4" s="34">
        <v>41822</v>
      </c>
      <c r="B4">
        <v>49.52</v>
      </c>
      <c r="C4">
        <v>49.73</v>
      </c>
      <c r="D4">
        <v>49.32</v>
      </c>
      <c r="E4">
        <v>49.66</v>
      </c>
      <c r="F4">
        <v>11576100</v>
      </c>
      <c r="G4">
        <v>49.13</v>
      </c>
    </row>
    <row r="5" spans="1:7" x14ac:dyDescent="0.25">
      <c r="A5" s="34">
        <v>41823</v>
      </c>
      <c r="B5">
        <v>49.9</v>
      </c>
      <c r="C5">
        <v>49.94</v>
      </c>
      <c r="D5">
        <v>49.35</v>
      </c>
      <c r="E5">
        <v>49.71</v>
      </c>
      <c r="F5">
        <v>8238600</v>
      </c>
      <c r="G5">
        <v>49.18</v>
      </c>
    </row>
    <row r="6" spans="1:7" x14ac:dyDescent="0.25">
      <c r="A6" s="34">
        <v>41827</v>
      </c>
      <c r="B6">
        <v>49.61</v>
      </c>
      <c r="C6">
        <v>49.88</v>
      </c>
      <c r="D6">
        <v>49.55</v>
      </c>
      <c r="E6">
        <v>49.75</v>
      </c>
      <c r="F6">
        <v>13930000</v>
      </c>
      <c r="G6">
        <v>49.22</v>
      </c>
    </row>
    <row r="7" spans="1:7" x14ac:dyDescent="0.25">
      <c r="A7" s="34">
        <v>41828</v>
      </c>
      <c r="B7">
        <v>49.01</v>
      </c>
      <c r="C7">
        <v>49.07</v>
      </c>
      <c r="D7">
        <v>48.76</v>
      </c>
      <c r="E7">
        <v>48.76</v>
      </c>
      <c r="F7">
        <v>12848400</v>
      </c>
      <c r="G7">
        <v>48.76</v>
      </c>
    </row>
    <row r="8" spans="1:7" x14ac:dyDescent="0.25">
      <c r="A8" s="34">
        <v>41829</v>
      </c>
      <c r="B8">
        <v>48.99</v>
      </c>
      <c r="C8">
        <v>49.11</v>
      </c>
      <c r="D8">
        <v>48.72</v>
      </c>
      <c r="E8">
        <v>48.9</v>
      </c>
      <c r="F8">
        <v>14431900</v>
      </c>
      <c r="G8">
        <v>48.9</v>
      </c>
    </row>
    <row r="9" spans="1:7" x14ac:dyDescent="0.25">
      <c r="A9" s="34">
        <v>41830</v>
      </c>
      <c r="B9">
        <v>48.59</v>
      </c>
      <c r="C9">
        <v>49.77</v>
      </c>
      <c r="D9">
        <v>48.54</v>
      </c>
      <c r="E9">
        <v>49.64</v>
      </c>
      <c r="F9">
        <v>18423500</v>
      </c>
      <c r="G9">
        <v>49.64</v>
      </c>
    </row>
    <row r="10" spans="1:7" x14ac:dyDescent="0.25">
      <c r="A10" s="34">
        <v>41831</v>
      </c>
      <c r="B10">
        <v>49.85</v>
      </c>
      <c r="C10">
        <v>50.43</v>
      </c>
      <c r="D10">
        <v>49.67</v>
      </c>
      <c r="E10">
        <v>50.32</v>
      </c>
      <c r="F10">
        <v>17741200</v>
      </c>
      <c r="G10">
        <v>50.32</v>
      </c>
    </row>
    <row r="11" spans="1:7" x14ac:dyDescent="0.25">
      <c r="A11" s="34">
        <v>41834</v>
      </c>
      <c r="B11">
        <v>50.44</v>
      </c>
      <c r="C11">
        <v>50.6</v>
      </c>
      <c r="D11">
        <v>50.15</v>
      </c>
      <c r="E11">
        <v>50.53</v>
      </c>
      <c r="F11">
        <v>13023900</v>
      </c>
      <c r="G11">
        <v>50.53</v>
      </c>
    </row>
    <row r="12" spans="1:7" x14ac:dyDescent="0.25">
      <c r="A12" s="34">
        <v>41835</v>
      </c>
      <c r="B12">
        <v>50.57</v>
      </c>
      <c r="C12">
        <v>50.82</v>
      </c>
      <c r="D12">
        <v>50.37</v>
      </c>
      <c r="E12">
        <v>50.71</v>
      </c>
      <c r="F12">
        <v>14235400</v>
      </c>
      <c r="G12">
        <v>50.71</v>
      </c>
    </row>
    <row r="13" spans="1:7" x14ac:dyDescent="0.25">
      <c r="A13" s="34">
        <v>41836</v>
      </c>
      <c r="B13">
        <v>50.89</v>
      </c>
      <c r="C13">
        <v>51.02</v>
      </c>
      <c r="D13">
        <v>50.67</v>
      </c>
      <c r="E13">
        <v>50.96</v>
      </c>
      <c r="F13">
        <v>12798600</v>
      </c>
      <c r="G13">
        <v>50.96</v>
      </c>
    </row>
    <row r="14" spans="1:7" x14ac:dyDescent="0.25">
      <c r="A14" s="34">
        <v>41837</v>
      </c>
      <c r="B14">
        <v>50.79</v>
      </c>
      <c r="C14">
        <v>50.98</v>
      </c>
      <c r="D14">
        <v>50.24</v>
      </c>
      <c r="E14">
        <v>50.32</v>
      </c>
      <c r="F14">
        <v>11485100</v>
      </c>
      <c r="G14">
        <v>50.32</v>
      </c>
    </row>
    <row r="15" spans="1:7" x14ac:dyDescent="0.25">
      <c r="A15" s="34">
        <v>41838</v>
      </c>
      <c r="B15">
        <v>50.62</v>
      </c>
      <c r="C15">
        <v>50.85</v>
      </c>
      <c r="D15">
        <v>50.45</v>
      </c>
      <c r="E15">
        <v>50.75</v>
      </c>
      <c r="F15">
        <v>10129500</v>
      </c>
      <c r="G15">
        <v>50.75</v>
      </c>
    </row>
    <row r="16" spans="1:7" x14ac:dyDescent="0.25">
      <c r="A16" s="34">
        <v>41841</v>
      </c>
      <c r="B16">
        <v>50.82</v>
      </c>
      <c r="C16">
        <v>51</v>
      </c>
      <c r="D16">
        <v>50.54</v>
      </c>
      <c r="E16">
        <v>50.7</v>
      </c>
      <c r="F16">
        <v>11333900</v>
      </c>
      <c r="G16">
        <v>50.7</v>
      </c>
    </row>
    <row r="17" spans="1:7" x14ac:dyDescent="0.25">
      <c r="A17" s="34">
        <v>41842</v>
      </c>
      <c r="B17">
        <v>50.98</v>
      </c>
      <c r="C17">
        <v>51.14</v>
      </c>
      <c r="D17">
        <v>50.41</v>
      </c>
      <c r="E17">
        <v>50.98</v>
      </c>
      <c r="F17">
        <v>15037300</v>
      </c>
      <c r="G17">
        <v>50.98</v>
      </c>
    </row>
    <row r="18" spans="1:7" x14ac:dyDescent="0.25">
      <c r="A18" s="34">
        <v>41843</v>
      </c>
      <c r="B18">
        <v>50.98</v>
      </c>
      <c r="C18">
        <v>51.2</v>
      </c>
      <c r="D18">
        <v>50.78</v>
      </c>
      <c r="E18">
        <v>50.91</v>
      </c>
      <c r="F18">
        <v>11912400</v>
      </c>
      <c r="G18">
        <v>50.91</v>
      </c>
    </row>
    <row r="19" spans="1:7" x14ac:dyDescent="0.25">
      <c r="A19" s="34">
        <v>41844</v>
      </c>
      <c r="B19">
        <v>50.96</v>
      </c>
      <c r="C19">
        <v>51.45</v>
      </c>
      <c r="D19">
        <v>50.71</v>
      </c>
      <c r="E19">
        <v>51.05</v>
      </c>
      <c r="F19">
        <v>17340800</v>
      </c>
      <c r="G19">
        <v>51.05</v>
      </c>
    </row>
    <row r="20" spans="1:7" x14ac:dyDescent="0.25">
      <c r="A20" s="34">
        <v>41845</v>
      </c>
      <c r="B20">
        <v>51.07</v>
      </c>
      <c r="C20">
        <v>51.48</v>
      </c>
      <c r="D20">
        <v>51.07</v>
      </c>
      <c r="E20">
        <v>51.28</v>
      </c>
      <c r="F20">
        <v>11063100</v>
      </c>
      <c r="G20">
        <v>51.28</v>
      </c>
    </row>
    <row r="21" spans="1:7" x14ac:dyDescent="0.25">
      <c r="A21" s="34">
        <v>41848</v>
      </c>
      <c r="B21">
        <v>51.26</v>
      </c>
      <c r="C21">
        <v>51.58</v>
      </c>
      <c r="D21">
        <v>51.18</v>
      </c>
      <c r="E21">
        <v>51.58</v>
      </c>
      <c r="F21">
        <v>9600900</v>
      </c>
      <c r="G21">
        <v>51.58</v>
      </c>
    </row>
    <row r="22" spans="1:7" x14ac:dyDescent="0.25">
      <c r="A22" s="34">
        <v>41849</v>
      </c>
      <c r="B22">
        <v>53.19</v>
      </c>
      <c r="C22">
        <v>53.66</v>
      </c>
      <c r="D22">
        <v>51.88</v>
      </c>
      <c r="E22">
        <v>51.97</v>
      </c>
      <c r="F22">
        <v>32965500</v>
      </c>
      <c r="G22">
        <v>51.97</v>
      </c>
    </row>
    <row r="23" spans="1:7" x14ac:dyDescent="0.25">
      <c r="A23" s="34">
        <v>41850</v>
      </c>
      <c r="B23">
        <v>51.94</v>
      </c>
      <c r="C23">
        <v>52.15</v>
      </c>
      <c r="D23">
        <v>51.42</v>
      </c>
      <c r="E23">
        <v>51.76</v>
      </c>
      <c r="F23">
        <v>12769100</v>
      </c>
      <c r="G23">
        <v>51.76</v>
      </c>
    </row>
    <row r="24" spans="1:7" x14ac:dyDescent="0.25">
      <c r="A24" s="34">
        <v>41851</v>
      </c>
      <c r="B24">
        <v>51.26</v>
      </c>
      <c r="C24">
        <v>51.38</v>
      </c>
      <c r="D24">
        <v>50.35</v>
      </c>
      <c r="E24">
        <v>50.42</v>
      </c>
      <c r="F24">
        <v>21255000</v>
      </c>
      <c r="G24">
        <v>50.42</v>
      </c>
    </row>
    <row r="25" spans="1:7" x14ac:dyDescent="0.25">
      <c r="A25" s="34">
        <v>41852</v>
      </c>
      <c r="B25">
        <v>50.52</v>
      </c>
      <c r="C25">
        <v>50.52</v>
      </c>
      <c r="D25">
        <v>49.83</v>
      </c>
      <c r="E25">
        <v>49.83</v>
      </c>
      <c r="F25">
        <v>18254100</v>
      </c>
      <c r="G25">
        <v>49.83</v>
      </c>
    </row>
    <row r="26" spans="1:7" x14ac:dyDescent="0.25">
      <c r="A26" s="34">
        <v>41855</v>
      </c>
      <c r="B26">
        <v>50.04</v>
      </c>
      <c r="C26">
        <v>50.3</v>
      </c>
      <c r="D26">
        <v>49.64</v>
      </c>
      <c r="E26">
        <v>50.21</v>
      </c>
      <c r="F26">
        <v>11693900</v>
      </c>
      <c r="G26">
        <v>50.21</v>
      </c>
    </row>
    <row r="27" spans="1:7" x14ac:dyDescent="0.25">
      <c r="A27" s="34">
        <v>41856</v>
      </c>
      <c r="B27">
        <v>50.15</v>
      </c>
      <c r="C27">
        <v>50.2</v>
      </c>
      <c r="D27">
        <v>49.5</v>
      </c>
      <c r="E27">
        <v>49.66</v>
      </c>
      <c r="F27">
        <v>11565100</v>
      </c>
      <c r="G27">
        <v>49.66</v>
      </c>
    </row>
    <row r="28" spans="1:7" x14ac:dyDescent="0.25">
      <c r="A28" s="34">
        <v>41857</v>
      </c>
      <c r="B28">
        <v>49.4</v>
      </c>
      <c r="C28">
        <v>49.45</v>
      </c>
      <c r="D28">
        <v>48.36</v>
      </c>
      <c r="E28">
        <v>49.13</v>
      </c>
      <c r="F28">
        <v>18995100</v>
      </c>
      <c r="G28">
        <v>49.13</v>
      </c>
    </row>
    <row r="29" spans="1:7" x14ac:dyDescent="0.25">
      <c r="A29" s="34">
        <v>41858</v>
      </c>
      <c r="B29">
        <v>49.16</v>
      </c>
      <c r="C29">
        <v>49.32</v>
      </c>
      <c r="D29">
        <v>48.45</v>
      </c>
      <c r="E29">
        <v>48.65</v>
      </c>
      <c r="F29">
        <v>12143700</v>
      </c>
      <c r="G29">
        <v>48.65</v>
      </c>
    </row>
    <row r="30" spans="1:7" x14ac:dyDescent="0.25">
      <c r="A30" s="34">
        <v>41859</v>
      </c>
      <c r="B30">
        <v>48.73</v>
      </c>
      <c r="C30">
        <v>49.1</v>
      </c>
      <c r="D30">
        <v>48.2</v>
      </c>
      <c r="E30">
        <v>48.7</v>
      </c>
      <c r="F30">
        <v>15395200</v>
      </c>
      <c r="G30">
        <v>48.7</v>
      </c>
    </row>
    <row r="31" spans="1:7" x14ac:dyDescent="0.25">
      <c r="A31" s="34">
        <v>41862</v>
      </c>
      <c r="B31">
        <v>48.89</v>
      </c>
      <c r="C31">
        <v>49.04</v>
      </c>
      <c r="D31">
        <v>48.61</v>
      </c>
      <c r="E31">
        <v>48.67</v>
      </c>
      <c r="F31">
        <v>11827600</v>
      </c>
      <c r="G31">
        <v>48.67</v>
      </c>
    </row>
    <row r="32" spans="1:7" x14ac:dyDescent="0.25">
      <c r="A32" s="34">
        <v>41863</v>
      </c>
      <c r="B32">
        <v>48.8</v>
      </c>
      <c r="C32">
        <v>48.95</v>
      </c>
      <c r="D32">
        <v>48.56</v>
      </c>
      <c r="E32">
        <v>48.84</v>
      </c>
      <c r="F32">
        <v>12325600</v>
      </c>
      <c r="G32">
        <v>48.84</v>
      </c>
    </row>
    <row r="33" spans="1:7" x14ac:dyDescent="0.25">
      <c r="A33" s="34">
        <v>41864</v>
      </c>
      <c r="B33">
        <v>49</v>
      </c>
      <c r="C33">
        <v>49.02</v>
      </c>
      <c r="D33">
        <v>48.76</v>
      </c>
      <c r="E33">
        <v>48.92</v>
      </c>
      <c r="F33">
        <v>10897800</v>
      </c>
      <c r="G33">
        <v>48.92</v>
      </c>
    </row>
    <row r="34" spans="1:7" x14ac:dyDescent="0.25">
      <c r="A34" s="34">
        <v>41865</v>
      </c>
      <c r="B34">
        <v>49.02</v>
      </c>
      <c r="C34">
        <v>49.02</v>
      </c>
      <c r="D34">
        <v>48.81</v>
      </c>
      <c r="E34">
        <v>49</v>
      </c>
      <c r="F34">
        <v>11535400</v>
      </c>
      <c r="G34">
        <v>49</v>
      </c>
    </row>
    <row r="35" spans="1:7" x14ac:dyDescent="0.25">
      <c r="A35" s="34">
        <v>41866</v>
      </c>
      <c r="B35">
        <v>48.9</v>
      </c>
      <c r="C35">
        <v>49.05</v>
      </c>
      <c r="D35">
        <v>48.5</v>
      </c>
      <c r="E35">
        <v>48.8</v>
      </c>
      <c r="F35">
        <v>16378200</v>
      </c>
      <c r="G35">
        <v>48.8</v>
      </c>
    </row>
    <row r="36" spans="1:7" x14ac:dyDescent="0.25">
      <c r="A36" s="34">
        <v>41869</v>
      </c>
      <c r="B36">
        <v>49.05</v>
      </c>
      <c r="C36">
        <v>49.14</v>
      </c>
      <c r="D36">
        <v>48.64</v>
      </c>
      <c r="E36">
        <v>48.78</v>
      </c>
      <c r="F36">
        <v>12666800</v>
      </c>
      <c r="G36">
        <v>48.78</v>
      </c>
    </row>
    <row r="37" spans="1:7" x14ac:dyDescent="0.25">
      <c r="A37" s="34">
        <v>41870</v>
      </c>
      <c r="B37">
        <v>49.03</v>
      </c>
      <c r="C37">
        <v>49.04</v>
      </c>
      <c r="D37">
        <v>48.27</v>
      </c>
      <c r="E37">
        <v>48.7</v>
      </c>
      <c r="F37">
        <v>17336000</v>
      </c>
      <c r="G37">
        <v>48.7</v>
      </c>
    </row>
    <row r="38" spans="1:7" x14ac:dyDescent="0.25">
      <c r="A38" s="34">
        <v>41871</v>
      </c>
      <c r="B38">
        <v>48.82</v>
      </c>
      <c r="C38">
        <v>48.97</v>
      </c>
      <c r="D38">
        <v>48.6</v>
      </c>
      <c r="E38">
        <v>48.82</v>
      </c>
      <c r="F38">
        <v>10685300</v>
      </c>
      <c r="G38">
        <v>48.82</v>
      </c>
    </row>
    <row r="39" spans="1:7" x14ac:dyDescent="0.25">
      <c r="A39" s="34">
        <v>41872</v>
      </c>
      <c r="B39">
        <v>48.86</v>
      </c>
      <c r="C39">
        <v>49.15</v>
      </c>
      <c r="D39">
        <v>48.73</v>
      </c>
      <c r="E39">
        <v>48.87</v>
      </c>
      <c r="F39">
        <v>10188900</v>
      </c>
      <c r="G39">
        <v>48.87</v>
      </c>
    </row>
    <row r="40" spans="1:7" x14ac:dyDescent="0.25">
      <c r="A40" s="34">
        <v>41873</v>
      </c>
      <c r="B40">
        <v>48.83</v>
      </c>
      <c r="C40">
        <v>48.98</v>
      </c>
      <c r="D40">
        <v>48.52</v>
      </c>
      <c r="E40">
        <v>48.64</v>
      </c>
      <c r="F40">
        <v>9991400</v>
      </c>
      <c r="G40">
        <v>48.64</v>
      </c>
    </row>
    <row r="41" spans="1:7" x14ac:dyDescent="0.25">
      <c r="A41" s="34">
        <v>41876</v>
      </c>
      <c r="B41">
        <v>48.68</v>
      </c>
      <c r="C41">
        <v>49.16</v>
      </c>
      <c r="D41">
        <v>48.68</v>
      </c>
      <c r="E41">
        <v>49.15</v>
      </c>
      <c r="F41">
        <v>9913500</v>
      </c>
      <c r="G41">
        <v>49.15</v>
      </c>
    </row>
    <row r="42" spans="1:7" x14ac:dyDescent="0.25">
      <c r="A42" s="34">
        <v>41877</v>
      </c>
      <c r="B42">
        <v>49.21</v>
      </c>
      <c r="C42">
        <v>49.29</v>
      </c>
      <c r="D42">
        <v>49.02</v>
      </c>
      <c r="E42">
        <v>49.25</v>
      </c>
      <c r="F42">
        <v>10363400</v>
      </c>
      <c r="G42">
        <v>49.25</v>
      </c>
    </row>
    <row r="43" spans="1:7" x14ac:dyDescent="0.25">
      <c r="A43" s="34">
        <v>41878</v>
      </c>
      <c r="B43">
        <v>49.29</v>
      </c>
      <c r="C43">
        <v>49.46</v>
      </c>
      <c r="D43">
        <v>49.21</v>
      </c>
      <c r="E43">
        <v>49.43</v>
      </c>
      <c r="F43">
        <v>11489500</v>
      </c>
      <c r="G43">
        <v>49.43</v>
      </c>
    </row>
    <row r="44" spans="1:7" x14ac:dyDescent="0.25">
      <c r="A44" s="34">
        <v>41879</v>
      </c>
      <c r="B44">
        <v>49.38</v>
      </c>
      <c r="C44">
        <v>49.5</v>
      </c>
      <c r="D44">
        <v>49.2</v>
      </c>
      <c r="E44">
        <v>49.41</v>
      </c>
      <c r="F44">
        <v>8018800</v>
      </c>
      <c r="G44">
        <v>49.41</v>
      </c>
    </row>
    <row r="45" spans="1:7" x14ac:dyDescent="0.25">
      <c r="A45" s="34">
        <v>41880</v>
      </c>
      <c r="B45">
        <v>49.43</v>
      </c>
      <c r="C45">
        <v>49.82</v>
      </c>
      <c r="D45">
        <v>49.4</v>
      </c>
      <c r="E45">
        <v>49.82</v>
      </c>
      <c r="F45">
        <v>11259700</v>
      </c>
      <c r="G45">
        <v>49.82</v>
      </c>
    </row>
    <row r="46" spans="1:7" x14ac:dyDescent="0.25">
      <c r="A46" s="34">
        <v>41884</v>
      </c>
      <c r="B46">
        <v>49.82</v>
      </c>
      <c r="C46">
        <v>50</v>
      </c>
      <c r="D46">
        <v>49.5</v>
      </c>
      <c r="E46">
        <v>49.77</v>
      </c>
      <c r="F46">
        <v>8724400</v>
      </c>
      <c r="G46">
        <v>49.77</v>
      </c>
    </row>
    <row r="47" spans="1:7" x14ac:dyDescent="0.25">
      <c r="A47" s="34">
        <v>41885</v>
      </c>
      <c r="B47">
        <v>49.94</v>
      </c>
      <c r="C47">
        <v>50</v>
      </c>
      <c r="D47">
        <v>49.69</v>
      </c>
      <c r="E47">
        <v>49.88</v>
      </c>
      <c r="F47">
        <v>9100900</v>
      </c>
      <c r="G47">
        <v>49.88</v>
      </c>
    </row>
    <row r="48" spans="1:7" x14ac:dyDescent="0.25">
      <c r="A48" s="34">
        <v>41886</v>
      </c>
      <c r="B48">
        <v>49.93</v>
      </c>
      <c r="C48">
        <v>49.94</v>
      </c>
      <c r="D48">
        <v>49.51</v>
      </c>
      <c r="E48">
        <v>49.72</v>
      </c>
      <c r="F48">
        <v>9472900</v>
      </c>
      <c r="G48">
        <v>49.72</v>
      </c>
    </row>
    <row r="49" spans="1:7" x14ac:dyDescent="0.25">
      <c r="A49" s="34">
        <v>41887</v>
      </c>
      <c r="B49">
        <v>49.73</v>
      </c>
      <c r="C49">
        <v>50.03</v>
      </c>
      <c r="D49">
        <v>49.56</v>
      </c>
      <c r="E49">
        <v>49.94</v>
      </c>
      <c r="F49">
        <v>11920900</v>
      </c>
      <c r="G49">
        <v>49.94</v>
      </c>
    </row>
    <row r="50" spans="1:7" x14ac:dyDescent="0.25">
      <c r="A50" s="34">
        <v>41890</v>
      </c>
      <c r="B50">
        <v>49.87</v>
      </c>
      <c r="C50">
        <v>49.88</v>
      </c>
      <c r="D50">
        <v>49.35</v>
      </c>
      <c r="E50">
        <v>49.53</v>
      </c>
      <c r="F50">
        <v>9005900</v>
      </c>
      <c r="G50">
        <v>49.53</v>
      </c>
    </row>
    <row r="51" spans="1:7" x14ac:dyDescent="0.25">
      <c r="A51" s="34">
        <v>41891</v>
      </c>
      <c r="B51">
        <v>49.42</v>
      </c>
      <c r="C51">
        <v>49.52</v>
      </c>
      <c r="D51">
        <v>48.8</v>
      </c>
      <c r="E51">
        <v>48.9</v>
      </c>
      <c r="F51">
        <v>14568800</v>
      </c>
      <c r="G51">
        <v>48.9</v>
      </c>
    </row>
    <row r="52" spans="1:7" x14ac:dyDescent="0.25">
      <c r="A52" s="34">
        <v>41892</v>
      </c>
      <c r="B52">
        <v>49.03</v>
      </c>
      <c r="C52">
        <v>49.07</v>
      </c>
      <c r="D52">
        <v>48.37</v>
      </c>
      <c r="E52">
        <v>48.75</v>
      </c>
      <c r="F52">
        <v>14347900</v>
      </c>
      <c r="G52">
        <v>48.75</v>
      </c>
    </row>
    <row r="53" spans="1:7" x14ac:dyDescent="0.25">
      <c r="A53" s="34">
        <v>41893</v>
      </c>
      <c r="B53">
        <v>48.65</v>
      </c>
      <c r="C53">
        <v>49.08</v>
      </c>
      <c r="D53">
        <v>48.33</v>
      </c>
      <c r="E53">
        <v>49.01</v>
      </c>
      <c r="F53">
        <v>13193800</v>
      </c>
      <c r="G53">
        <v>49.01</v>
      </c>
    </row>
    <row r="54" spans="1:7" x14ac:dyDescent="0.25">
      <c r="A54" s="34">
        <v>41894</v>
      </c>
      <c r="B54">
        <v>49</v>
      </c>
      <c r="C54">
        <v>49</v>
      </c>
      <c r="D54">
        <v>48.26</v>
      </c>
      <c r="E54">
        <v>48.4</v>
      </c>
      <c r="F54">
        <v>15339200</v>
      </c>
      <c r="G54">
        <v>48.4</v>
      </c>
    </row>
    <row r="55" spans="1:7" x14ac:dyDescent="0.25">
      <c r="A55" s="34">
        <v>41897</v>
      </c>
      <c r="B55">
        <v>48.49</v>
      </c>
      <c r="C55">
        <v>48.6</v>
      </c>
      <c r="D55">
        <v>48.3</v>
      </c>
      <c r="E55">
        <v>48.56</v>
      </c>
      <c r="F55">
        <v>12437900</v>
      </c>
      <c r="G55">
        <v>48.56</v>
      </c>
    </row>
  </sheetData>
  <sortState ref="A3:G55">
    <sortCondition ref="A3:A55"/>
  </sortState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74.3</v>
      </c>
      <c r="C3">
        <v>74.33</v>
      </c>
      <c r="D3">
        <v>73.38</v>
      </c>
      <c r="E3">
        <v>73.78</v>
      </c>
      <c r="F3">
        <v>4191900</v>
      </c>
      <c r="G3">
        <v>73.38</v>
      </c>
    </row>
    <row r="4" spans="1:7" x14ac:dyDescent="0.25">
      <c r="A4" s="34">
        <v>41822</v>
      </c>
      <c r="B4">
        <v>73.760000000000005</v>
      </c>
      <c r="C4">
        <v>74.13</v>
      </c>
      <c r="D4">
        <v>72.849999999999994</v>
      </c>
      <c r="E4">
        <v>73.040000000000006</v>
      </c>
      <c r="F4">
        <v>5240300</v>
      </c>
      <c r="G4">
        <v>72.64</v>
      </c>
    </row>
    <row r="5" spans="1:7" x14ac:dyDescent="0.25">
      <c r="A5" s="34">
        <v>41823</v>
      </c>
      <c r="B5">
        <v>73.31</v>
      </c>
      <c r="C5">
        <v>74.37</v>
      </c>
      <c r="D5">
        <v>73.23</v>
      </c>
      <c r="E5">
        <v>73.98</v>
      </c>
      <c r="F5">
        <v>4730100</v>
      </c>
      <c r="G5">
        <v>73.58</v>
      </c>
    </row>
    <row r="6" spans="1:7" x14ac:dyDescent="0.25">
      <c r="A6" s="34">
        <v>41827</v>
      </c>
      <c r="B6">
        <v>73.87</v>
      </c>
      <c r="C6">
        <v>73.959999999999994</v>
      </c>
      <c r="D6">
        <v>73.239999999999995</v>
      </c>
      <c r="E6">
        <v>73.58</v>
      </c>
      <c r="F6">
        <v>3233200</v>
      </c>
      <c r="G6">
        <v>73.180000000000007</v>
      </c>
    </row>
    <row r="7" spans="1:7" x14ac:dyDescent="0.25">
      <c r="A7" s="34">
        <v>41828</v>
      </c>
      <c r="B7">
        <v>73.14</v>
      </c>
      <c r="C7">
        <v>73.25</v>
      </c>
      <c r="D7">
        <v>71.06</v>
      </c>
      <c r="E7">
        <v>71.12</v>
      </c>
      <c r="F7">
        <v>8850500</v>
      </c>
      <c r="G7">
        <v>70.73</v>
      </c>
    </row>
    <row r="8" spans="1:7" x14ac:dyDescent="0.25">
      <c r="A8" s="34">
        <v>41829</v>
      </c>
      <c r="B8">
        <v>71.790000000000006</v>
      </c>
      <c r="C8">
        <v>72.290000000000006</v>
      </c>
      <c r="D8">
        <v>71.52</v>
      </c>
      <c r="E8">
        <v>71.95</v>
      </c>
      <c r="F8">
        <v>5097800</v>
      </c>
      <c r="G8">
        <v>71.56</v>
      </c>
    </row>
    <row r="9" spans="1:7" x14ac:dyDescent="0.25">
      <c r="A9" s="34">
        <v>41830</v>
      </c>
      <c r="B9">
        <v>71.02</v>
      </c>
      <c r="C9">
        <v>71.63</v>
      </c>
      <c r="D9">
        <v>70.680000000000007</v>
      </c>
      <c r="E9">
        <v>71.53</v>
      </c>
      <c r="F9">
        <v>3910600</v>
      </c>
      <c r="G9">
        <v>71.14</v>
      </c>
    </row>
    <row r="10" spans="1:7" x14ac:dyDescent="0.25">
      <c r="A10" s="34">
        <v>41831</v>
      </c>
      <c r="B10">
        <v>71.150000000000006</v>
      </c>
      <c r="C10">
        <v>71.760000000000005</v>
      </c>
      <c r="D10">
        <v>71.03</v>
      </c>
      <c r="E10">
        <v>71.66</v>
      </c>
      <c r="F10">
        <v>2690000</v>
      </c>
      <c r="G10">
        <v>71.27</v>
      </c>
    </row>
    <row r="11" spans="1:7" x14ac:dyDescent="0.25">
      <c r="A11" s="34">
        <v>41834</v>
      </c>
      <c r="B11">
        <v>72.040000000000006</v>
      </c>
      <c r="C11">
        <v>72.08</v>
      </c>
      <c r="D11">
        <v>71.099999999999994</v>
      </c>
      <c r="E11">
        <v>71.489999999999995</v>
      </c>
      <c r="F11">
        <v>4172800</v>
      </c>
      <c r="G11">
        <v>71.099999999999994</v>
      </c>
    </row>
    <row r="12" spans="1:7" x14ac:dyDescent="0.25">
      <c r="A12" s="34">
        <v>41835</v>
      </c>
      <c r="B12">
        <v>71.459999999999994</v>
      </c>
      <c r="C12">
        <v>71.89</v>
      </c>
      <c r="D12">
        <v>71.010000000000005</v>
      </c>
      <c r="E12">
        <v>71.59</v>
      </c>
      <c r="F12">
        <v>5703700</v>
      </c>
      <c r="G12">
        <v>71.2</v>
      </c>
    </row>
    <row r="13" spans="1:7" x14ac:dyDescent="0.25">
      <c r="A13" s="34">
        <v>41836</v>
      </c>
      <c r="B13">
        <v>71.92</v>
      </c>
      <c r="C13">
        <v>72.41</v>
      </c>
      <c r="D13">
        <v>70.61</v>
      </c>
      <c r="E13">
        <v>71.42</v>
      </c>
      <c r="F13">
        <v>11340300</v>
      </c>
      <c r="G13">
        <v>71.03</v>
      </c>
    </row>
    <row r="14" spans="1:7" x14ac:dyDescent="0.25">
      <c r="A14" s="34">
        <v>41837</v>
      </c>
      <c r="B14">
        <v>70.84</v>
      </c>
      <c r="C14">
        <v>71.62</v>
      </c>
      <c r="D14">
        <v>69.91</v>
      </c>
      <c r="E14">
        <v>70.180000000000007</v>
      </c>
      <c r="F14">
        <v>5152900</v>
      </c>
      <c r="G14">
        <v>69.8</v>
      </c>
    </row>
    <row r="15" spans="1:7" x14ac:dyDescent="0.25">
      <c r="A15" s="34">
        <v>41838</v>
      </c>
      <c r="B15">
        <v>70.33</v>
      </c>
      <c r="C15">
        <v>72.33</v>
      </c>
      <c r="D15">
        <v>70.239999999999995</v>
      </c>
      <c r="E15">
        <v>71.97</v>
      </c>
      <c r="F15">
        <v>6967200</v>
      </c>
      <c r="G15">
        <v>71.58</v>
      </c>
    </row>
    <row r="16" spans="1:7" x14ac:dyDescent="0.25">
      <c r="A16" s="34">
        <v>41841</v>
      </c>
      <c r="B16">
        <v>71.66</v>
      </c>
      <c r="C16">
        <v>72.09</v>
      </c>
      <c r="D16">
        <v>71.02</v>
      </c>
      <c r="E16">
        <v>71.67</v>
      </c>
      <c r="F16">
        <v>3613200</v>
      </c>
      <c r="G16">
        <v>71.28</v>
      </c>
    </row>
    <row r="17" spans="1:7" x14ac:dyDescent="0.25">
      <c r="A17" s="34">
        <v>41842</v>
      </c>
      <c r="B17">
        <v>72.39</v>
      </c>
      <c r="C17">
        <v>73.260000000000005</v>
      </c>
      <c r="D17">
        <v>72.25</v>
      </c>
      <c r="E17">
        <v>72.86</v>
      </c>
      <c r="F17">
        <v>6258700</v>
      </c>
      <c r="G17">
        <v>72.459999999999994</v>
      </c>
    </row>
    <row r="18" spans="1:7" x14ac:dyDescent="0.25">
      <c r="A18" s="34">
        <v>41843</v>
      </c>
      <c r="B18">
        <v>72.61</v>
      </c>
      <c r="C18">
        <v>72.97</v>
      </c>
      <c r="D18">
        <v>72.36</v>
      </c>
      <c r="E18">
        <v>72.900000000000006</v>
      </c>
      <c r="F18">
        <v>7215000</v>
      </c>
      <c r="G18">
        <v>72.5</v>
      </c>
    </row>
    <row r="19" spans="1:7" x14ac:dyDescent="0.25">
      <c r="A19" s="34">
        <v>41844</v>
      </c>
      <c r="B19">
        <v>73.08</v>
      </c>
      <c r="C19">
        <v>73.75</v>
      </c>
      <c r="D19">
        <v>72.55</v>
      </c>
      <c r="E19">
        <v>73.08</v>
      </c>
      <c r="F19">
        <v>6606500</v>
      </c>
      <c r="G19">
        <v>72.680000000000007</v>
      </c>
    </row>
    <row r="20" spans="1:7" x14ac:dyDescent="0.25">
      <c r="A20" s="34">
        <v>41845</v>
      </c>
      <c r="B20">
        <v>72.88</v>
      </c>
      <c r="C20">
        <v>73.33</v>
      </c>
      <c r="D20">
        <v>72.7</v>
      </c>
      <c r="E20">
        <v>73.290000000000006</v>
      </c>
      <c r="F20">
        <v>3367700</v>
      </c>
      <c r="G20">
        <v>72.89</v>
      </c>
    </row>
    <row r="21" spans="1:7" x14ac:dyDescent="0.25">
      <c r="A21" s="34">
        <v>41848</v>
      </c>
      <c r="B21">
        <v>73.31</v>
      </c>
      <c r="C21">
        <v>73.349999999999994</v>
      </c>
      <c r="D21">
        <v>71.39</v>
      </c>
      <c r="E21">
        <v>71.45</v>
      </c>
      <c r="F21">
        <v>5145800</v>
      </c>
      <c r="G21">
        <v>71.06</v>
      </c>
    </row>
    <row r="22" spans="1:7" x14ac:dyDescent="0.25">
      <c r="A22" s="34">
        <v>41849</v>
      </c>
      <c r="B22">
        <v>71.44</v>
      </c>
      <c r="C22">
        <v>71.489999999999995</v>
      </c>
      <c r="D22">
        <v>70.150000000000006</v>
      </c>
      <c r="E22">
        <v>70.16</v>
      </c>
      <c r="F22">
        <v>4900000</v>
      </c>
      <c r="G22">
        <v>69.78</v>
      </c>
    </row>
    <row r="23" spans="1:7" x14ac:dyDescent="0.25">
      <c r="A23" s="34">
        <v>41850</v>
      </c>
      <c r="B23">
        <v>70.709999999999994</v>
      </c>
      <c r="C23">
        <v>71.02</v>
      </c>
      <c r="D23">
        <v>70.099999999999994</v>
      </c>
      <c r="E23">
        <v>70.89</v>
      </c>
      <c r="F23">
        <v>4831100</v>
      </c>
      <c r="G23">
        <v>70.5</v>
      </c>
    </row>
    <row r="24" spans="1:7" x14ac:dyDescent="0.25">
      <c r="A24" s="34">
        <v>41851</v>
      </c>
      <c r="B24">
        <v>70.42</v>
      </c>
      <c r="C24">
        <v>70.760000000000005</v>
      </c>
      <c r="D24">
        <v>68.48</v>
      </c>
      <c r="E24">
        <v>68.77</v>
      </c>
      <c r="F24">
        <v>9358900</v>
      </c>
      <c r="G24">
        <v>68.400000000000006</v>
      </c>
    </row>
    <row r="25" spans="1:7" x14ac:dyDescent="0.25">
      <c r="A25" s="34">
        <v>41852</v>
      </c>
      <c r="B25">
        <v>68</v>
      </c>
      <c r="C25">
        <v>70.94</v>
      </c>
      <c r="D25">
        <v>68</v>
      </c>
      <c r="E25">
        <v>70.53</v>
      </c>
      <c r="F25">
        <v>8120600</v>
      </c>
      <c r="G25">
        <v>70.150000000000006</v>
      </c>
    </row>
    <row r="26" spans="1:7" x14ac:dyDescent="0.25">
      <c r="A26" s="34">
        <v>41855</v>
      </c>
      <c r="B26">
        <v>71.03</v>
      </c>
      <c r="C26">
        <v>72.91</v>
      </c>
      <c r="D26">
        <v>70.95</v>
      </c>
      <c r="E26">
        <v>72.11</v>
      </c>
      <c r="F26">
        <v>8935900</v>
      </c>
      <c r="G26">
        <v>71.72</v>
      </c>
    </row>
    <row r="27" spans="1:7" x14ac:dyDescent="0.25">
      <c r="A27" s="34">
        <v>41856</v>
      </c>
      <c r="B27">
        <v>71.900000000000006</v>
      </c>
      <c r="C27">
        <v>72.760000000000005</v>
      </c>
      <c r="D27">
        <v>66.5</v>
      </c>
      <c r="E27">
        <v>69.12</v>
      </c>
      <c r="F27">
        <v>31355500</v>
      </c>
      <c r="G27">
        <v>68.739999999999995</v>
      </c>
    </row>
    <row r="28" spans="1:7" x14ac:dyDescent="0.25">
      <c r="A28" s="34">
        <v>41857</v>
      </c>
      <c r="B28">
        <v>57.98</v>
      </c>
      <c r="C28">
        <v>61.5</v>
      </c>
      <c r="D28">
        <v>57.75</v>
      </c>
      <c r="E28">
        <v>59.21</v>
      </c>
      <c r="F28">
        <v>84130100</v>
      </c>
      <c r="G28">
        <v>58.89</v>
      </c>
    </row>
    <row r="29" spans="1:7" x14ac:dyDescent="0.25">
      <c r="A29" s="34">
        <v>41858</v>
      </c>
      <c r="B29">
        <v>60.62</v>
      </c>
      <c r="C29">
        <v>61.18</v>
      </c>
      <c r="D29">
        <v>58.93</v>
      </c>
      <c r="E29">
        <v>60.87</v>
      </c>
      <c r="F29">
        <v>33620800</v>
      </c>
      <c r="G29">
        <v>60.54</v>
      </c>
    </row>
    <row r="30" spans="1:7" x14ac:dyDescent="0.25">
      <c r="A30" s="34">
        <v>41859</v>
      </c>
      <c r="B30">
        <v>61.04</v>
      </c>
      <c r="C30">
        <v>62.56</v>
      </c>
      <c r="D30">
        <v>60.67</v>
      </c>
      <c r="E30">
        <v>60.7</v>
      </c>
      <c r="F30">
        <v>26909900</v>
      </c>
      <c r="G30">
        <v>60.37</v>
      </c>
    </row>
    <row r="31" spans="1:7" x14ac:dyDescent="0.25">
      <c r="A31" s="34">
        <v>41862</v>
      </c>
      <c r="B31">
        <v>61.7</v>
      </c>
      <c r="C31">
        <v>62.17</v>
      </c>
      <c r="D31">
        <v>61.34</v>
      </c>
      <c r="E31">
        <v>61.99</v>
      </c>
      <c r="F31">
        <v>10249300</v>
      </c>
      <c r="G31">
        <v>61.65</v>
      </c>
    </row>
    <row r="32" spans="1:7" x14ac:dyDescent="0.25">
      <c r="A32" s="34">
        <v>41863</v>
      </c>
      <c r="B32">
        <v>62.15</v>
      </c>
      <c r="C32">
        <v>62.28</v>
      </c>
      <c r="D32">
        <v>61.33</v>
      </c>
      <c r="E32">
        <v>62.16</v>
      </c>
      <c r="F32">
        <v>12393200</v>
      </c>
      <c r="G32">
        <v>61.82</v>
      </c>
    </row>
    <row r="33" spans="1:7" x14ac:dyDescent="0.25">
      <c r="A33" s="34">
        <v>41864</v>
      </c>
      <c r="B33">
        <v>62.54</v>
      </c>
      <c r="C33">
        <v>62.84</v>
      </c>
      <c r="D33">
        <v>62.12</v>
      </c>
      <c r="E33">
        <v>62.45</v>
      </c>
      <c r="F33">
        <v>6934900</v>
      </c>
      <c r="G33">
        <v>62.11</v>
      </c>
    </row>
    <row r="34" spans="1:7" x14ac:dyDescent="0.25">
      <c r="A34" s="34">
        <v>41865</v>
      </c>
      <c r="B34">
        <v>62.51</v>
      </c>
      <c r="C34">
        <v>62.84</v>
      </c>
      <c r="D34">
        <v>62.09</v>
      </c>
      <c r="E34">
        <v>62.25</v>
      </c>
      <c r="F34">
        <v>6360500</v>
      </c>
      <c r="G34">
        <v>61.91</v>
      </c>
    </row>
    <row r="35" spans="1:7" x14ac:dyDescent="0.25">
      <c r="A35" s="34">
        <v>41866</v>
      </c>
      <c r="B35">
        <v>62.45</v>
      </c>
      <c r="C35">
        <v>62.49</v>
      </c>
      <c r="D35">
        <v>61.48</v>
      </c>
      <c r="E35">
        <v>61.75</v>
      </c>
      <c r="F35">
        <v>8870800</v>
      </c>
      <c r="G35">
        <v>61.41</v>
      </c>
    </row>
    <row r="36" spans="1:7" x14ac:dyDescent="0.25">
      <c r="A36" s="34">
        <v>41869</v>
      </c>
      <c r="B36">
        <v>62.37</v>
      </c>
      <c r="C36">
        <v>62.39</v>
      </c>
      <c r="D36">
        <v>61.65</v>
      </c>
      <c r="E36">
        <v>62.07</v>
      </c>
      <c r="F36">
        <v>7346500</v>
      </c>
      <c r="G36">
        <v>61.73</v>
      </c>
    </row>
    <row r="37" spans="1:7" x14ac:dyDescent="0.25">
      <c r="A37" s="34">
        <v>41870</v>
      </c>
      <c r="B37">
        <v>62</v>
      </c>
      <c r="C37">
        <v>62.47</v>
      </c>
      <c r="D37">
        <v>61.74</v>
      </c>
      <c r="E37">
        <v>62.15</v>
      </c>
      <c r="F37">
        <v>6918100</v>
      </c>
      <c r="G37">
        <v>62.15</v>
      </c>
    </row>
    <row r="38" spans="1:7" x14ac:dyDescent="0.25">
      <c r="A38" s="34">
        <v>41871</v>
      </c>
      <c r="B38">
        <v>61.99</v>
      </c>
      <c r="C38">
        <v>62.3</v>
      </c>
      <c r="D38">
        <v>61.79</v>
      </c>
      <c r="E38">
        <v>62</v>
      </c>
      <c r="F38">
        <v>6664100</v>
      </c>
      <c r="G38">
        <v>62</v>
      </c>
    </row>
    <row r="39" spans="1:7" x14ac:dyDescent="0.25">
      <c r="A39" s="34">
        <v>41872</v>
      </c>
      <c r="B39">
        <v>62.11</v>
      </c>
      <c r="C39">
        <v>62.11</v>
      </c>
      <c r="D39">
        <v>61.03</v>
      </c>
      <c r="E39">
        <v>61.07</v>
      </c>
      <c r="F39">
        <v>7879100</v>
      </c>
      <c r="G39">
        <v>61.07</v>
      </c>
    </row>
    <row r="40" spans="1:7" x14ac:dyDescent="0.25">
      <c r="A40" s="34">
        <v>41873</v>
      </c>
      <c r="B40">
        <v>61.14</v>
      </c>
      <c r="C40">
        <v>61.58</v>
      </c>
      <c r="D40">
        <v>60.86</v>
      </c>
      <c r="E40">
        <v>61.05</v>
      </c>
      <c r="F40">
        <v>6176100</v>
      </c>
      <c r="G40">
        <v>61.05</v>
      </c>
    </row>
    <row r="41" spans="1:7" x14ac:dyDescent="0.25">
      <c r="A41" s="34">
        <v>41876</v>
      </c>
      <c r="B41">
        <v>61.34</v>
      </c>
      <c r="C41">
        <v>61.34</v>
      </c>
      <c r="D41">
        <v>60.67</v>
      </c>
      <c r="E41">
        <v>60.79</v>
      </c>
      <c r="F41">
        <v>5238300</v>
      </c>
      <c r="G41">
        <v>60.79</v>
      </c>
    </row>
    <row r="42" spans="1:7" x14ac:dyDescent="0.25">
      <c r="A42" s="34">
        <v>41877</v>
      </c>
      <c r="B42">
        <v>60.92</v>
      </c>
      <c r="C42">
        <v>61.08</v>
      </c>
      <c r="D42">
        <v>60.45</v>
      </c>
      <c r="E42">
        <v>60.93</v>
      </c>
      <c r="F42">
        <v>4090000</v>
      </c>
      <c r="G42">
        <v>60.93</v>
      </c>
    </row>
    <row r="43" spans="1:7" x14ac:dyDescent="0.25">
      <c r="A43" s="34">
        <v>41878</v>
      </c>
      <c r="B43">
        <v>60.97</v>
      </c>
      <c r="C43">
        <v>61.18</v>
      </c>
      <c r="D43">
        <v>60.43</v>
      </c>
      <c r="E43">
        <v>60.53</v>
      </c>
      <c r="F43">
        <v>3908000</v>
      </c>
      <c r="G43">
        <v>60.53</v>
      </c>
    </row>
    <row r="44" spans="1:7" x14ac:dyDescent="0.25">
      <c r="A44" s="34">
        <v>41879</v>
      </c>
      <c r="B44">
        <v>60.29</v>
      </c>
      <c r="C44">
        <v>60.64</v>
      </c>
      <c r="D44">
        <v>60.23</v>
      </c>
      <c r="E44">
        <v>60.47</v>
      </c>
      <c r="F44">
        <v>3548100</v>
      </c>
      <c r="G44">
        <v>60.47</v>
      </c>
    </row>
    <row r="45" spans="1:7" x14ac:dyDescent="0.25">
      <c r="A45" s="34">
        <v>41880</v>
      </c>
      <c r="B45">
        <v>60.58</v>
      </c>
      <c r="C45">
        <v>60.87</v>
      </c>
      <c r="D45">
        <v>60.26</v>
      </c>
      <c r="E45">
        <v>60.52</v>
      </c>
      <c r="F45">
        <v>3189200</v>
      </c>
      <c r="G45">
        <v>60.52</v>
      </c>
    </row>
    <row r="46" spans="1:7" x14ac:dyDescent="0.25">
      <c r="A46" s="34">
        <v>41884</v>
      </c>
      <c r="B46">
        <v>60.23</v>
      </c>
      <c r="C46">
        <v>60.74</v>
      </c>
      <c r="D46">
        <v>59.99</v>
      </c>
      <c r="E46">
        <v>60.01</v>
      </c>
      <c r="F46">
        <v>5430800</v>
      </c>
      <c r="G46">
        <v>60.01</v>
      </c>
    </row>
    <row r="47" spans="1:7" x14ac:dyDescent="0.25">
      <c r="A47" s="34">
        <v>41885</v>
      </c>
      <c r="B47">
        <v>59.92</v>
      </c>
      <c r="C47">
        <v>60.43</v>
      </c>
      <c r="D47">
        <v>59.82</v>
      </c>
      <c r="E47">
        <v>60.22</v>
      </c>
      <c r="F47">
        <v>5032700</v>
      </c>
      <c r="G47">
        <v>60.22</v>
      </c>
    </row>
    <row r="48" spans="1:7" x14ac:dyDescent="0.25">
      <c r="A48" s="34">
        <v>41886</v>
      </c>
      <c r="B48">
        <v>60.27</v>
      </c>
      <c r="C48">
        <v>62.5</v>
      </c>
      <c r="D48">
        <v>60.08</v>
      </c>
      <c r="E48">
        <v>62.46</v>
      </c>
      <c r="F48">
        <v>16255500</v>
      </c>
      <c r="G48">
        <v>62.46</v>
      </c>
    </row>
    <row r="49" spans="1:7" x14ac:dyDescent="0.25">
      <c r="A49" s="34">
        <v>41887</v>
      </c>
      <c r="B49">
        <v>62.29</v>
      </c>
      <c r="C49">
        <v>65</v>
      </c>
      <c r="D49">
        <v>61.9</v>
      </c>
      <c r="E49">
        <v>63.95</v>
      </c>
      <c r="F49">
        <v>20600400</v>
      </c>
      <c r="G49">
        <v>63.95</v>
      </c>
    </row>
    <row r="50" spans="1:7" x14ac:dyDescent="0.25">
      <c r="A50" s="34">
        <v>41890</v>
      </c>
      <c r="B50">
        <v>64.31</v>
      </c>
      <c r="C50">
        <v>65.19</v>
      </c>
      <c r="D50">
        <v>62.83</v>
      </c>
      <c r="E50">
        <v>62.96</v>
      </c>
      <c r="F50">
        <v>8897600</v>
      </c>
      <c r="G50">
        <v>62.96</v>
      </c>
    </row>
    <row r="51" spans="1:7" x14ac:dyDescent="0.25">
      <c r="A51" s="34">
        <v>41891</v>
      </c>
      <c r="B51">
        <v>63.24</v>
      </c>
      <c r="C51">
        <v>63.74</v>
      </c>
      <c r="D51">
        <v>62.41</v>
      </c>
      <c r="E51">
        <v>62.61</v>
      </c>
      <c r="F51">
        <v>7663400</v>
      </c>
      <c r="G51">
        <v>62.61</v>
      </c>
    </row>
    <row r="52" spans="1:7" x14ac:dyDescent="0.25">
      <c r="A52" s="34">
        <v>41892</v>
      </c>
      <c r="B52">
        <v>62.69</v>
      </c>
      <c r="C52">
        <v>63.57</v>
      </c>
      <c r="D52">
        <v>62.56</v>
      </c>
      <c r="E52">
        <v>63.32</v>
      </c>
      <c r="F52">
        <v>5923300</v>
      </c>
      <c r="G52">
        <v>63.32</v>
      </c>
    </row>
    <row r="53" spans="1:7" x14ac:dyDescent="0.25">
      <c r="A53" s="34">
        <v>41893</v>
      </c>
      <c r="B53">
        <v>63.23</v>
      </c>
      <c r="C53">
        <v>63.48</v>
      </c>
      <c r="D53">
        <v>62.87</v>
      </c>
      <c r="E53">
        <v>63.44</v>
      </c>
      <c r="F53">
        <v>3143100</v>
      </c>
      <c r="G53">
        <v>63.44</v>
      </c>
    </row>
    <row r="54" spans="1:7" x14ac:dyDescent="0.25">
      <c r="A54" s="34">
        <v>41894</v>
      </c>
      <c r="B54">
        <v>63.46</v>
      </c>
      <c r="C54">
        <v>63.67</v>
      </c>
      <c r="D54">
        <v>62.56</v>
      </c>
      <c r="E54">
        <v>62.82</v>
      </c>
      <c r="F54">
        <v>4728400</v>
      </c>
      <c r="G54">
        <v>62.82</v>
      </c>
    </row>
    <row r="55" spans="1:7" x14ac:dyDescent="0.25">
      <c r="A55" s="34">
        <v>41897</v>
      </c>
      <c r="B55">
        <v>63.07</v>
      </c>
      <c r="C55">
        <v>63.08</v>
      </c>
      <c r="D55">
        <v>62.32</v>
      </c>
      <c r="E55">
        <v>62.72</v>
      </c>
      <c r="F55">
        <v>3711200</v>
      </c>
      <c r="G55">
        <v>62.72</v>
      </c>
    </row>
  </sheetData>
  <sortState ref="A3:G55">
    <sortCondition ref="A3:A55"/>
  </sortState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52.73</v>
      </c>
      <c r="C3">
        <v>52.95</v>
      </c>
      <c r="D3">
        <v>52.62</v>
      </c>
      <c r="E3">
        <v>52.72</v>
      </c>
      <c r="F3">
        <v>12482600</v>
      </c>
      <c r="G3">
        <v>52.35</v>
      </c>
    </row>
    <row r="4" spans="1:7" x14ac:dyDescent="0.25">
      <c r="A4" s="34">
        <v>41822</v>
      </c>
      <c r="B4">
        <v>52.76</v>
      </c>
      <c r="C4">
        <v>52.84</v>
      </c>
      <c r="D4">
        <v>52.55</v>
      </c>
      <c r="E4">
        <v>52.66</v>
      </c>
      <c r="F4">
        <v>14436000</v>
      </c>
      <c r="G4">
        <v>52.29</v>
      </c>
    </row>
    <row r="5" spans="1:7" x14ac:dyDescent="0.25">
      <c r="A5" s="34">
        <v>41823</v>
      </c>
      <c r="B5">
        <v>52.89</v>
      </c>
      <c r="C5">
        <v>53.08</v>
      </c>
      <c r="D5">
        <v>52.83</v>
      </c>
      <c r="E5">
        <v>53</v>
      </c>
      <c r="F5">
        <v>8741500</v>
      </c>
      <c r="G5">
        <v>52.63</v>
      </c>
    </row>
    <row r="6" spans="1:7" x14ac:dyDescent="0.25">
      <c r="A6" s="34">
        <v>41827</v>
      </c>
      <c r="B6">
        <v>52.9</v>
      </c>
      <c r="C6">
        <v>52.98</v>
      </c>
      <c r="D6">
        <v>52.45</v>
      </c>
      <c r="E6">
        <v>52.5</v>
      </c>
      <c r="F6">
        <v>13551800</v>
      </c>
      <c r="G6">
        <v>52.14</v>
      </c>
    </row>
    <row r="7" spans="1:7" x14ac:dyDescent="0.25">
      <c r="A7" s="34">
        <v>41828</v>
      </c>
      <c r="B7">
        <v>52.3</v>
      </c>
      <c r="C7">
        <v>52.45</v>
      </c>
      <c r="D7">
        <v>52.1</v>
      </c>
      <c r="E7">
        <v>52.25</v>
      </c>
      <c r="F7">
        <v>17282100</v>
      </c>
      <c r="G7">
        <v>51.89</v>
      </c>
    </row>
    <row r="8" spans="1:7" x14ac:dyDescent="0.25">
      <c r="A8" s="34">
        <v>41829</v>
      </c>
      <c r="B8">
        <v>52.3</v>
      </c>
      <c r="C8">
        <v>52.3</v>
      </c>
      <c r="D8">
        <v>51.91</v>
      </c>
      <c r="E8">
        <v>52.19</v>
      </c>
      <c r="F8">
        <v>16116300</v>
      </c>
      <c r="G8">
        <v>51.83</v>
      </c>
    </row>
    <row r="9" spans="1:7" x14ac:dyDescent="0.25">
      <c r="A9" s="34">
        <v>41830</v>
      </c>
      <c r="B9">
        <v>51.78</v>
      </c>
      <c r="C9">
        <v>51.96</v>
      </c>
      <c r="D9">
        <v>51.53</v>
      </c>
      <c r="E9">
        <v>51.81</v>
      </c>
      <c r="F9">
        <v>20059900</v>
      </c>
      <c r="G9">
        <v>51.45</v>
      </c>
    </row>
    <row r="10" spans="1:7" x14ac:dyDescent="0.25">
      <c r="A10" s="34">
        <v>41831</v>
      </c>
      <c r="B10">
        <v>51.13</v>
      </c>
      <c r="C10">
        <v>51.67</v>
      </c>
      <c r="D10">
        <v>50.82</v>
      </c>
      <c r="E10">
        <v>51.49</v>
      </c>
      <c r="F10">
        <v>29998900</v>
      </c>
      <c r="G10">
        <v>51.13</v>
      </c>
    </row>
    <row r="11" spans="1:7" x14ac:dyDescent="0.25">
      <c r="A11" s="34">
        <v>41834</v>
      </c>
      <c r="B11">
        <v>51.41</v>
      </c>
      <c r="C11">
        <v>51.84</v>
      </c>
      <c r="D11">
        <v>51.14</v>
      </c>
      <c r="E11">
        <v>51.31</v>
      </c>
      <c r="F11">
        <v>21252400</v>
      </c>
      <c r="G11">
        <v>50.95</v>
      </c>
    </row>
    <row r="12" spans="1:7" x14ac:dyDescent="0.25">
      <c r="A12" s="34">
        <v>41835</v>
      </c>
      <c r="B12">
        <v>51.51</v>
      </c>
      <c r="C12">
        <v>51.66</v>
      </c>
      <c r="D12">
        <v>51.2</v>
      </c>
      <c r="E12">
        <v>51.35</v>
      </c>
      <c r="F12">
        <v>19293100</v>
      </c>
      <c r="G12">
        <v>50.99</v>
      </c>
    </row>
    <row r="13" spans="1:7" x14ac:dyDescent="0.25">
      <c r="A13" s="34">
        <v>41836</v>
      </c>
      <c r="B13">
        <v>51.58</v>
      </c>
      <c r="C13">
        <v>51.66</v>
      </c>
      <c r="D13">
        <v>51.05</v>
      </c>
      <c r="E13">
        <v>51.17</v>
      </c>
      <c r="F13">
        <v>21620900</v>
      </c>
      <c r="G13">
        <v>50.81</v>
      </c>
    </row>
    <row r="14" spans="1:7" x14ac:dyDescent="0.25">
      <c r="A14" s="34">
        <v>41837</v>
      </c>
      <c r="B14">
        <v>51.08</v>
      </c>
      <c r="C14">
        <v>51.12</v>
      </c>
      <c r="D14">
        <v>50.61</v>
      </c>
      <c r="E14">
        <v>50.68</v>
      </c>
      <c r="F14">
        <v>24398000</v>
      </c>
      <c r="G14">
        <v>50.33</v>
      </c>
    </row>
    <row r="15" spans="1:7" x14ac:dyDescent="0.25">
      <c r="A15" s="34">
        <v>41838</v>
      </c>
      <c r="B15">
        <v>50.97</v>
      </c>
      <c r="C15">
        <v>51.36</v>
      </c>
      <c r="D15">
        <v>50.79</v>
      </c>
      <c r="E15">
        <v>51.28</v>
      </c>
      <c r="F15">
        <v>15487400</v>
      </c>
      <c r="G15">
        <v>50.92</v>
      </c>
    </row>
    <row r="16" spans="1:7" x14ac:dyDescent="0.25">
      <c r="A16" s="34">
        <v>41841</v>
      </c>
      <c r="B16">
        <v>51</v>
      </c>
      <c r="C16">
        <v>51.15</v>
      </c>
      <c r="D16">
        <v>50.85</v>
      </c>
      <c r="E16">
        <v>51.05</v>
      </c>
      <c r="F16">
        <v>15236900</v>
      </c>
      <c r="G16">
        <v>50.7</v>
      </c>
    </row>
    <row r="17" spans="1:7" x14ac:dyDescent="0.25">
      <c r="A17" s="34">
        <v>41842</v>
      </c>
      <c r="B17">
        <v>51.2</v>
      </c>
      <c r="C17">
        <v>51.48</v>
      </c>
      <c r="D17">
        <v>51.05</v>
      </c>
      <c r="E17">
        <v>51.35</v>
      </c>
      <c r="F17">
        <v>11920800</v>
      </c>
      <c r="G17">
        <v>50.99</v>
      </c>
    </row>
    <row r="18" spans="1:7" x14ac:dyDescent="0.25">
      <c r="A18" s="34">
        <v>41843</v>
      </c>
      <c r="B18">
        <v>51.43</v>
      </c>
      <c r="C18">
        <v>51.62</v>
      </c>
      <c r="D18">
        <v>51.27</v>
      </c>
      <c r="E18">
        <v>51.33</v>
      </c>
      <c r="F18">
        <v>9109000</v>
      </c>
      <c r="G18">
        <v>50.97</v>
      </c>
    </row>
    <row r="19" spans="1:7" x14ac:dyDescent="0.25">
      <c r="A19" s="34">
        <v>41844</v>
      </c>
      <c r="B19">
        <v>51.45</v>
      </c>
      <c r="C19">
        <v>51.66</v>
      </c>
      <c r="D19">
        <v>51.42</v>
      </c>
      <c r="E19">
        <v>51.59</v>
      </c>
      <c r="F19">
        <v>9939600</v>
      </c>
      <c r="G19">
        <v>51.23</v>
      </c>
    </row>
    <row r="20" spans="1:7" x14ac:dyDescent="0.25">
      <c r="A20" s="34">
        <v>41845</v>
      </c>
      <c r="B20">
        <v>51.49</v>
      </c>
      <c r="C20">
        <v>51.77</v>
      </c>
      <c r="D20">
        <v>51.49</v>
      </c>
      <c r="E20">
        <v>51.6</v>
      </c>
      <c r="F20">
        <v>10040200</v>
      </c>
      <c r="G20">
        <v>51.24</v>
      </c>
    </row>
    <row r="21" spans="1:7" x14ac:dyDescent="0.25">
      <c r="A21" s="34">
        <v>41848</v>
      </c>
      <c r="B21">
        <v>51.31</v>
      </c>
      <c r="C21">
        <v>51.71</v>
      </c>
      <c r="D21">
        <v>51.17</v>
      </c>
      <c r="E21">
        <v>51.6</v>
      </c>
      <c r="F21">
        <v>13468000</v>
      </c>
      <c r="G21">
        <v>51.24</v>
      </c>
    </row>
    <row r="22" spans="1:7" x14ac:dyDescent="0.25">
      <c r="A22" s="34">
        <v>41849</v>
      </c>
      <c r="B22">
        <v>51.65</v>
      </c>
      <c r="C22">
        <v>52.15</v>
      </c>
      <c r="D22">
        <v>51.48</v>
      </c>
      <c r="E22">
        <v>51.54</v>
      </c>
      <c r="F22">
        <v>14511800</v>
      </c>
      <c r="G22">
        <v>51.18</v>
      </c>
    </row>
    <row r="23" spans="1:7" x14ac:dyDescent="0.25">
      <c r="A23" s="34">
        <v>41850</v>
      </c>
      <c r="B23">
        <v>51.73</v>
      </c>
      <c r="C23">
        <v>52.3</v>
      </c>
      <c r="D23">
        <v>51.69</v>
      </c>
      <c r="E23">
        <v>52.1</v>
      </c>
      <c r="F23">
        <v>11439600</v>
      </c>
      <c r="G23">
        <v>51.74</v>
      </c>
    </row>
    <row r="24" spans="1:7" x14ac:dyDescent="0.25">
      <c r="A24" s="34">
        <v>41851</v>
      </c>
      <c r="B24">
        <v>51.86</v>
      </c>
      <c r="C24">
        <v>51.88</v>
      </c>
      <c r="D24">
        <v>50.89</v>
      </c>
      <c r="E24">
        <v>50.9</v>
      </c>
      <c r="F24">
        <v>19638900</v>
      </c>
      <c r="G24">
        <v>50.55</v>
      </c>
    </row>
    <row r="25" spans="1:7" x14ac:dyDescent="0.25">
      <c r="A25" s="34">
        <v>41852</v>
      </c>
      <c r="B25">
        <v>50.5</v>
      </c>
      <c r="C25">
        <v>51.11</v>
      </c>
      <c r="D25">
        <v>50.23</v>
      </c>
      <c r="E25">
        <v>50.35</v>
      </c>
      <c r="F25">
        <v>18813700</v>
      </c>
      <c r="G25">
        <v>50</v>
      </c>
    </row>
    <row r="26" spans="1:7" x14ac:dyDescent="0.25">
      <c r="A26" s="34">
        <v>41855</v>
      </c>
      <c r="B26">
        <v>50.55</v>
      </c>
      <c r="C26">
        <v>51.03</v>
      </c>
      <c r="D26">
        <v>50.52</v>
      </c>
      <c r="E26">
        <v>50.99</v>
      </c>
      <c r="F26">
        <v>13380100</v>
      </c>
      <c r="G26">
        <v>50.64</v>
      </c>
    </row>
    <row r="27" spans="1:7" x14ac:dyDescent="0.25">
      <c r="A27" s="34">
        <v>41856</v>
      </c>
      <c r="B27">
        <v>50.73</v>
      </c>
      <c r="C27">
        <v>50.93</v>
      </c>
      <c r="D27">
        <v>50.26</v>
      </c>
      <c r="E27">
        <v>50.4</v>
      </c>
      <c r="F27">
        <v>12766000</v>
      </c>
      <c r="G27">
        <v>50.05</v>
      </c>
    </row>
    <row r="28" spans="1:7" x14ac:dyDescent="0.25">
      <c r="A28" s="34">
        <v>41857</v>
      </c>
      <c r="B28">
        <v>49.87</v>
      </c>
      <c r="C28">
        <v>50.52</v>
      </c>
      <c r="D28">
        <v>49.83</v>
      </c>
      <c r="E28">
        <v>50.06</v>
      </c>
      <c r="F28">
        <v>15271500</v>
      </c>
      <c r="G28">
        <v>50.06</v>
      </c>
    </row>
    <row r="29" spans="1:7" x14ac:dyDescent="0.25">
      <c r="A29" s="34">
        <v>41858</v>
      </c>
      <c r="B29">
        <v>50.34</v>
      </c>
      <c r="C29">
        <v>50.41</v>
      </c>
      <c r="D29">
        <v>49.6</v>
      </c>
      <c r="E29">
        <v>49.7</v>
      </c>
      <c r="F29">
        <v>14109100</v>
      </c>
      <c r="G29">
        <v>49.7</v>
      </c>
    </row>
    <row r="30" spans="1:7" x14ac:dyDescent="0.25">
      <c r="A30" s="34">
        <v>41859</v>
      </c>
      <c r="B30">
        <v>49.73</v>
      </c>
      <c r="C30">
        <v>50.04</v>
      </c>
      <c r="D30">
        <v>49.47</v>
      </c>
      <c r="E30">
        <v>50</v>
      </c>
      <c r="F30">
        <v>14563200</v>
      </c>
      <c r="G30">
        <v>50</v>
      </c>
    </row>
    <row r="31" spans="1:7" x14ac:dyDescent="0.25">
      <c r="A31" s="34">
        <v>41862</v>
      </c>
      <c r="B31">
        <v>50.08</v>
      </c>
      <c r="C31">
        <v>50.25</v>
      </c>
      <c r="D31">
        <v>49.78</v>
      </c>
      <c r="E31">
        <v>49.89</v>
      </c>
      <c r="F31">
        <v>14666400</v>
      </c>
      <c r="G31">
        <v>49.89</v>
      </c>
    </row>
    <row r="32" spans="1:7" x14ac:dyDescent="0.25">
      <c r="A32" s="34">
        <v>41863</v>
      </c>
      <c r="B32">
        <v>49.86</v>
      </c>
      <c r="C32">
        <v>50.27</v>
      </c>
      <c r="D32">
        <v>49.75</v>
      </c>
      <c r="E32">
        <v>49.78</v>
      </c>
      <c r="F32">
        <v>15219900</v>
      </c>
      <c r="G32">
        <v>49.78</v>
      </c>
    </row>
    <row r="33" spans="1:7" x14ac:dyDescent="0.25">
      <c r="A33" s="34">
        <v>41864</v>
      </c>
      <c r="B33">
        <v>50.02</v>
      </c>
      <c r="C33">
        <v>50.12</v>
      </c>
      <c r="D33">
        <v>49.84</v>
      </c>
      <c r="E33">
        <v>49.99</v>
      </c>
      <c r="F33">
        <v>12283100</v>
      </c>
      <c r="G33">
        <v>49.99</v>
      </c>
    </row>
    <row r="34" spans="1:7" x14ac:dyDescent="0.25">
      <c r="A34" s="34">
        <v>41865</v>
      </c>
      <c r="B34">
        <v>50.11</v>
      </c>
      <c r="C34">
        <v>50.49</v>
      </c>
      <c r="D34">
        <v>50.06</v>
      </c>
      <c r="E34">
        <v>50.38</v>
      </c>
      <c r="F34">
        <v>11904300</v>
      </c>
      <c r="G34">
        <v>50.38</v>
      </c>
    </row>
    <row r="35" spans="1:7" x14ac:dyDescent="0.25">
      <c r="A35" s="34">
        <v>41866</v>
      </c>
      <c r="B35">
        <v>50.5</v>
      </c>
      <c r="C35">
        <v>50.62</v>
      </c>
      <c r="D35">
        <v>49.87</v>
      </c>
      <c r="E35">
        <v>50.21</v>
      </c>
      <c r="F35">
        <v>13297200</v>
      </c>
      <c r="G35">
        <v>50.21</v>
      </c>
    </row>
    <row r="36" spans="1:7" x14ac:dyDescent="0.25">
      <c r="A36" s="34">
        <v>41869</v>
      </c>
      <c r="B36">
        <v>50.47</v>
      </c>
      <c r="C36">
        <v>50.73</v>
      </c>
      <c r="D36">
        <v>50.4</v>
      </c>
      <c r="E36">
        <v>50.69</v>
      </c>
      <c r="F36">
        <v>9913700</v>
      </c>
      <c r="G36">
        <v>50.69</v>
      </c>
    </row>
    <row r="37" spans="1:7" x14ac:dyDescent="0.25">
      <c r="A37" s="34">
        <v>41870</v>
      </c>
      <c r="B37">
        <v>50.77</v>
      </c>
      <c r="C37">
        <v>51.09</v>
      </c>
      <c r="D37">
        <v>50.75</v>
      </c>
      <c r="E37">
        <v>50.86</v>
      </c>
      <c r="F37">
        <v>8689400</v>
      </c>
      <c r="G37">
        <v>50.86</v>
      </c>
    </row>
    <row r="38" spans="1:7" x14ac:dyDescent="0.25">
      <c r="A38" s="34">
        <v>41871</v>
      </c>
      <c r="B38">
        <v>50.79</v>
      </c>
      <c r="C38">
        <v>50.94</v>
      </c>
      <c r="D38">
        <v>50.64</v>
      </c>
      <c r="E38">
        <v>50.85</v>
      </c>
      <c r="F38">
        <v>8361700</v>
      </c>
      <c r="G38">
        <v>50.85</v>
      </c>
    </row>
    <row r="39" spans="1:7" x14ac:dyDescent="0.25">
      <c r="A39" s="34">
        <v>41872</v>
      </c>
      <c r="B39">
        <v>51</v>
      </c>
      <c r="C39">
        <v>51.4</v>
      </c>
      <c r="D39">
        <v>50.9</v>
      </c>
      <c r="E39">
        <v>51.29</v>
      </c>
      <c r="F39">
        <v>10032800</v>
      </c>
      <c r="G39">
        <v>51.29</v>
      </c>
    </row>
    <row r="40" spans="1:7" x14ac:dyDescent="0.25">
      <c r="A40" s="34">
        <v>41873</v>
      </c>
      <c r="B40">
        <v>51.34</v>
      </c>
      <c r="C40">
        <v>51.59</v>
      </c>
      <c r="D40">
        <v>51.13</v>
      </c>
      <c r="E40">
        <v>51.18</v>
      </c>
      <c r="F40">
        <v>9176700</v>
      </c>
      <c r="G40">
        <v>51.18</v>
      </c>
    </row>
    <row r="41" spans="1:7" x14ac:dyDescent="0.25">
      <c r="A41" s="34">
        <v>41876</v>
      </c>
      <c r="B41">
        <v>51.48</v>
      </c>
      <c r="C41">
        <v>51.75</v>
      </c>
      <c r="D41">
        <v>51.41</v>
      </c>
      <c r="E41">
        <v>51.45</v>
      </c>
      <c r="F41">
        <v>8646000</v>
      </c>
      <c r="G41">
        <v>51.45</v>
      </c>
    </row>
    <row r="42" spans="1:7" x14ac:dyDescent="0.25">
      <c r="A42" s="34">
        <v>41877</v>
      </c>
      <c r="B42">
        <v>51.57</v>
      </c>
      <c r="C42">
        <v>51.69</v>
      </c>
      <c r="D42">
        <v>51.47</v>
      </c>
      <c r="E42">
        <v>51.56</v>
      </c>
      <c r="F42">
        <v>7025200</v>
      </c>
      <c r="G42">
        <v>51.56</v>
      </c>
    </row>
    <row r="43" spans="1:7" x14ac:dyDescent="0.25">
      <c r="A43" s="34">
        <v>41878</v>
      </c>
      <c r="B43">
        <v>51.65</v>
      </c>
      <c r="C43">
        <v>51.7</v>
      </c>
      <c r="D43">
        <v>51.27</v>
      </c>
      <c r="E43">
        <v>51.34</v>
      </c>
      <c r="F43">
        <v>8291200</v>
      </c>
      <c r="G43">
        <v>51.34</v>
      </c>
    </row>
    <row r="44" spans="1:7" x14ac:dyDescent="0.25">
      <c r="A44" s="34">
        <v>41879</v>
      </c>
      <c r="B44">
        <v>51.21</v>
      </c>
      <c r="C44">
        <v>51.28</v>
      </c>
      <c r="D44">
        <v>51</v>
      </c>
      <c r="E44">
        <v>51.15</v>
      </c>
      <c r="F44">
        <v>7693500</v>
      </c>
      <c r="G44">
        <v>51.15</v>
      </c>
    </row>
    <row r="45" spans="1:7" x14ac:dyDescent="0.25">
      <c r="A45" s="34">
        <v>41880</v>
      </c>
      <c r="B45">
        <v>51.27</v>
      </c>
      <c r="C45">
        <v>51.47</v>
      </c>
      <c r="D45">
        <v>51.18</v>
      </c>
      <c r="E45">
        <v>51.44</v>
      </c>
      <c r="F45">
        <v>8860700</v>
      </c>
      <c r="G45">
        <v>51.44</v>
      </c>
    </row>
    <row r="46" spans="1:7" x14ac:dyDescent="0.25">
      <c r="A46" s="34">
        <v>41884</v>
      </c>
      <c r="B46">
        <v>51.71</v>
      </c>
      <c r="C46">
        <v>51.71</v>
      </c>
      <c r="D46">
        <v>51.24</v>
      </c>
      <c r="E46">
        <v>51.57</v>
      </c>
      <c r="F46">
        <v>9958200</v>
      </c>
      <c r="G46">
        <v>51.57</v>
      </c>
    </row>
    <row r="47" spans="1:7" x14ac:dyDescent="0.25">
      <c r="A47" s="34">
        <v>41885</v>
      </c>
      <c r="B47">
        <v>51.75</v>
      </c>
      <c r="C47">
        <v>52.03</v>
      </c>
      <c r="D47">
        <v>51.4</v>
      </c>
      <c r="E47">
        <v>51.55</v>
      </c>
      <c r="F47">
        <v>7684900</v>
      </c>
      <c r="G47">
        <v>51.55</v>
      </c>
    </row>
    <row r="48" spans="1:7" x14ac:dyDescent="0.25">
      <c r="A48" s="34">
        <v>41886</v>
      </c>
      <c r="B48">
        <v>51.49</v>
      </c>
      <c r="C48">
        <v>51.92</v>
      </c>
      <c r="D48">
        <v>51.4</v>
      </c>
      <c r="E48">
        <v>51.57</v>
      </c>
      <c r="F48">
        <v>8199400</v>
      </c>
      <c r="G48">
        <v>51.57</v>
      </c>
    </row>
    <row r="49" spans="1:7" x14ac:dyDescent="0.25">
      <c r="A49" s="34">
        <v>41887</v>
      </c>
      <c r="B49">
        <v>51.38</v>
      </c>
      <c r="C49">
        <v>51.65</v>
      </c>
      <c r="D49">
        <v>51.16</v>
      </c>
      <c r="E49">
        <v>51.65</v>
      </c>
      <c r="F49">
        <v>12051300</v>
      </c>
      <c r="G49">
        <v>51.65</v>
      </c>
    </row>
    <row r="50" spans="1:7" x14ac:dyDescent="0.25">
      <c r="A50" s="34">
        <v>41890</v>
      </c>
      <c r="B50">
        <v>51.48</v>
      </c>
      <c r="C50">
        <v>51.73</v>
      </c>
      <c r="D50">
        <v>51.34</v>
      </c>
      <c r="E50">
        <v>51.47</v>
      </c>
      <c r="F50">
        <v>7746900</v>
      </c>
      <c r="G50">
        <v>51.47</v>
      </c>
    </row>
    <row r="51" spans="1:7" x14ac:dyDescent="0.25">
      <c r="A51" s="34">
        <v>41891</v>
      </c>
      <c r="B51">
        <v>51.23</v>
      </c>
      <c r="C51">
        <v>51.36</v>
      </c>
      <c r="D51">
        <v>51</v>
      </c>
      <c r="E51">
        <v>51.07</v>
      </c>
      <c r="F51">
        <v>10720200</v>
      </c>
      <c r="G51">
        <v>51.07</v>
      </c>
    </row>
    <row r="52" spans="1:7" x14ac:dyDescent="0.25">
      <c r="A52" s="34">
        <v>41892</v>
      </c>
      <c r="B52">
        <v>51.08</v>
      </c>
      <c r="C52">
        <v>51.62</v>
      </c>
      <c r="D52">
        <v>51.06</v>
      </c>
      <c r="E52">
        <v>51.52</v>
      </c>
      <c r="F52">
        <v>11337500</v>
      </c>
      <c r="G52">
        <v>51.52</v>
      </c>
    </row>
    <row r="53" spans="1:7" x14ac:dyDescent="0.25">
      <c r="A53" s="34">
        <v>41893</v>
      </c>
      <c r="B53">
        <v>51.4</v>
      </c>
      <c r="C53">
        <v>51.73</v>
      </c>
      <c r="D53">
        <v>51.32</v>
      </c>
      <c r="E53">
        <v>51.59</v>
      </c>
      <c r="F53">
        <v>8981900</v>
      </c>
      <c r="G53">
        <v>51.59</v>
      </c>
    </row>
    <row r="54" spans="1:7" x14ac:dyDescent="0.25">
      <c r="A54" s="34">
        <v>41894</v>
      </c>
      <c r="B54">
        <v>51.67</v>
      </c>
      <c r="C54">
        <v>52.03</v>
      </c>
      <c r="D54">
        <v>51.52</v>
      </c>
      <c r="E54">
        <v>51.7</v>
      </c>
      <c r="F54">
        <v>12523700</v>
      </c>
      <c r="G54">
        <v>51.7</v>
      </c>
    </row>
    <row r="55" spans="1:7" x14ac:dyDescent="0.25">
      <c r="A55" s="34">
        <v>41897</v>
      </c>
      <c r="B55">
        <v>51.73</v>
      </c>
      <c r="C55">
        <v>52.16</v>
      </c>
      <c r="D55">
        <v>51.66</v>
      </c>
      <c r="E55">
        <v>51.94</v>
      </c>
      <c r="F55">
        <v>10175500</v>
      </c>
      <c r="G55">
        <v>51.94</v>
      </c>
    </row>
  </sheetData>
  <sortState ref="A3:G55">
    <sortCondition ref="A3:A55"/>
  </sortState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41821</v>
      </c>
      <c r="B3">
        <v>75.27</v>
      </c>
      <c r="C3">
        <v>75.42</v>
      </c>
      <c r="D3">
        <v>74.75</v>
      </c>
      <c r="E3">
        <v>75.28</v>
      </c>
      <c r="F3">
        <v>6604500</v>
      </c>
      <c r="G3">
        <v>74.790000000000006</v>
      </c>
    </row>
    <row r="4" spans="1:7" x14ac:dyDescent="0.25">
      <c r="A4" s="34">
        <v>41822</v>
      </c>
      <c r="B4">
        <v>75.260000000000005</v>
      </c>
      <c r="C4">
        <v>75.900000000000006</v>
      </c>
      <c r="D4">
        <v>75.25</v>
      </c>
      <c r="E4">
        <v>75.62</v>
      </c>
      <c r="F4">
        <v>4366800</v>
      </c>
      <c r="G4">
        <v>75.13</v>
      </c>
    </row>
    <row r="5" spans="1:7" x14ac:dyDescent="0.25">
      <c r="A5" s="34">
        <v>41823</v>
      </c>
      <c r="B5">
        <v>75.61</v>
      </c>
      <c r="C5">
        <v>76.05</v>
      </c>
      <c r="D5">
        <v>75.52</v>
      </c>
      <c r="E5">
        <v>75.75</v>
      </c>
      <c r="F5">
        <v>2874000</v>
      </c>
      <c r="G5">
        <v>75.25</v>
      </c>
    </row>
    <row r="6" spans="1:7" x14ac:dyDescent="0.25">
      <c r="A6" s="34">
        <v>41827</v>
      </c>
      <c r="B6">
        <v>75.69</v>
      </c>
      <c r="C6">
        <v>76.209999999999994</v>
      </c>
      <c r="D6">
        <v>75.55</v>
      </c>
      <c r="E6">
        <v>76.069999999999993</v>
      </c>
      <c r="F6">
        <v>5028000</v>
      </c>
      <c r="G6">
        <v>75.569999999999993</v>
      </c>
    </row>
    <row r="7" spans="1:7" x14ac:dyDescent="0.25">
      <c r="A7" s="34">
        <v>41828</v>
      </c>
      <c r="B7">
        <v>76.09</v>
      </c>
      <c r="C7">
        <v>76.98</v>
      </c>
      <c r="D7">
        <v>76.03</v>
      </c>
      <c r="E7">
        <v>76.650000000000006</v>
      </c>
      <c r="F7">
        <v>7960500</v>
      </c>
      <c r="G7">
        <v>76.150000000000006</v>
      </c>
    </row>
    <row r="8" spans="1:7" x14ac:dyDescent="0.25">
      <c r="A8" s="34">
        <v>41829</v>
      </c>
      <c r="B8">
        <v>76.77</v>
      </c>
      <c r="C8">
        <v>77.33</v>
      </c>
      <c r="D8">
        <v>76.62</v>
      </c>
      <c r="E8">
        <v>77.209999999999994</v>
      </c>
      <c r="F8">
        <v>6240100</v>
      </c>
      <c r="G8">
        <v>76.7</v>
      </c>
    </row>
    <row r="9" spans="1:7" x14ac:dyDescent="0.25">
      <c r="A9" s="34">
        <v>41830</v>
      </c>
      <c r="B9">
        <v>76.91</v>
      </c>
      <c r="C9">
        <v>77.569999999999993</v>
      </c>
      <c r="D9">
        <v>76.91</v>
      </c>
      <c r="E9">
        <v>77.06</v>
      </c>
      <c r="F9">
        <v>5372500</v>
      </c>
      <c r="G9">
        <v>76.56</v>
      </c>
    </row>
    <row r="10" spans="1:7" x14ac:dyDescent="0.25">
      <c r="A10" s="34">
        <v>41831</v>
      </c>
      <c r="B10">
        <v>76.87</v>
      </c>
      <c r="C10">
        <v>76.97</v>
      </c>
      <c r="D10">
        <v>76.56</v>
      </c>
      <c r="E10">
        <v>76.819999999999993</v>
      </c>
      <c r="F10">
        <v>4547500</v>
      </c>
      <c r="G10">
        <v>76.319999999999993</v>
      </c>
    </row>
    <row r="11" spans="1:7" x14ac:dyDescent="0.25">
      <c r="A11" s="34">
        <v>41834</v>
      </c>
      <c r="B11">
        <v>77.13</v>
      </c>
      <c r="C11">
        <v>77.25</v>
      </c>
      <c r="D11">
        <v>76.48</v>
      </c>
      <c r="E11">
        <v>76.55</v>
      </c>
      <c r="F11">
        <v>4822900</v>
      </c>
      <c r="G11">
        <v>76.05</v>
      </c>
    </row>
    <row r="12" spans="1:7" x14ac:dyDescent="0.25">
      <c r="A12" s="34">
        <v>41835</v>
      </c>
      <c r="B12">
        <v>76.56</v>
      </c>
      <c r="C12">
        <v>76.930000000000007</v>
      </c>
      <c r="D12">
        <v>76.56</v>
      </c>
      <c r="E12">
        <v>76.84</v>
      </c>
      <c r="F12">
        <v>4656900</v>
      </c>
      <c r="G12">
        <v>76.34</v>
      </c>
    </row>
    <row r="13" spans="1:7" x14ac:dyDescent="0.25">
      <c r="A13" s="34">
        <v>41836</v>
      </c>
      <c r="B13">
        <v>76.900000000000006</v>
      </c>
      <c r="C13">
        <v>77.05</v>
      </c>
      <c r="D13">
        <v>76.7</v>
      </c>
      <c r="E13">
        <v>76.86</v>
      </c>
      <c r="F13">
        <v>3743500</v>
      </c>
      <c r="G13">
        <v>76.36</v>
      </c>
    </row>
    <row r="14" spans="1:7" x14ac:dyDescent="0.25">
      <c r="A14" s="34">
        <v>41837</v>
      </c>
      <c r="B14">
        <v>76.58</v>
      </c>
      <c r="C14">
        <v>77.05</v>
      </c>
      <c r="D14">
        <v>76.44</v>
      </c>
      <c r="E14">
        <v>76.61</v>
      </c>
      <c r="F14">
        <v>4630300</v>
      </c>
      <c r="G14">
        <v>76.11</v>
      </c>
    </row>
    <row r="15" spans="1:7" x14ac:dyDescent="0.25">
      <c r="A15" s="34">
        <v>41838</v>
      </c>
      <c r="B15">
        <v>76.62</v>
      </c>
      <c r="C15">
        <v>77.099999999999994</v>
      </c>
      <c r="D15">
        <v>76.510000000000005</v>
      </c>
      <c r="E15">
        <v>77.09</v>
      </c>
      <c r="F15">
        <v>4913300</v>
      </c>
      <c r="G15">
        <v>76.59</v>
      </c>
    </row>
    <row r="16" spans="1:7" x14ac:dyDescent="0.25">
      <c r="A16" s="34">
        <v>41841</v>
      </c>
      <c r="B16">
        <v>76.760000000000005</v>
      </c>
      <c r="C16">
        <v>76.91</v>
      </c>
      <c r="D16">
        <v>76.48</v>
      </c>
      <c r="E16">
        <v>76.77</v>
      </c>
      <c r="F16">
        <v>3457600</v>
      </c>
      <c r="G16">
        <v>76.27</v>
      </c>
    </row>
    <row r="17" spans="1:7" x14ac:dyDescent="0.25">
      <c r="A17" s="34">
        <v>41842</v>
      </c>
      <c r="B17">
        <v>76.84</v>
      </c>
      <c r="C17">
        <v>76.89</v>
      </c>
      <c r="D17">
        <v>76.400000000000006</v>
      </c>
      <c r="E17">
        <v>76.64</v>
      </c>
      <c r="F17">
        <v>4383200</v>
      </c>
      <c r="G17">
        <v>76.14</v>
      </c>
    </row>
    <row r="18" spans="1:7" x14ac:dyDescent="0.25">
      <c r="A18" s="34">
        <v>41843</v>
      </c>
      <c r="B18">
        <v>76.63</v>
      </c>
      <c r="C18">
        <v>77.06</v>
      </c>
      <c r="D18">
        <v>76.59</v>
      </c>
      <c r="E18">
        <v>76.989999999999995</v>
      </c>
      <c r="F18">
        <v>3994300</v>
      </c>
      <c r="G18">
        <v>76.489999999999995</v>
      </c>
    </row>
    <row r="19" spans="1:7" x14ac:dyDescent="0.25">
      <c r="A19" s="34">
        <v>41844</v>
      </c>
      <c r="B19">
        <v>76.680000000000007</v>
      </c>
      <c r="C19">
        <v>76.790000000000006</v>
      </c>
      <c r="D19">
        <v>76.19</v>
      </c>
      <c r="E19">
        <v>76.349999999999994</v>
      </c>
      <c r="F19">
        <v>7228300</v>
      </c>
      <c r="G19">
        <v>75.849999999999994</v>
      </c>
    </row>
    <row r="20" spans="1:7" x14ac:dyDescent="0.25">
      <c r="A20" s="34">
        <v>41845</v>
      </c>
      <c r="B20">
        <v>76.19</v>
      </c>
      <c r="C20">
        <v>76.36</v>
      </c>
      <c r="D20">
        <v>75.8</v>
      </c>
      <c r="E20">
        <v>75.97</v>
      </c>
      <c r="F20">
        <v>3948400</v>
      </c>
      <c r="G20">
        <v>75.47</v>
      </c>
    </row>
    <row r="21" spans="1:7" x14ac:dyDescent="0.25">
      <c r="A21" s="34">
        <v>41848</v>
      </c>
      <c r="B21">
        <v>75.430000000000007</v>
      </c>
      <c r="C21">
        <v>75.930000000000007</v>
      </c>
      <c r="D21">
        <v>75.36</v>
      </c>
      <c r="E21">
        <v>75.709999999999994</v>
      </c>
      <c r="F21">
        <v>5509900</v>
      </c>
      <c r="G21">
        <v>75.209999999999994</v>
      </c>
    </row>
    <row r="22" spans="1:7" x14ac:dyDescent="0.25">
      <c r="A22" s="34">
        <v>41849</v>
      </c>
      <c r="B22">
        <v>75.209999999999994</v>
      </c>
      <c r="C22">
        <v>76.010000000000005</v>
      </c>
      <c r="D22">
        <v>75.150000000000006</v>
      </c>
      <c r="E22">
        <v>75.44</v>
      </c>
      <c r="F22">
        <v>6293500</v>
      </c>
      <c r="G22">
        <v>74.95</v>
      </c>
    </row>
    <row r="23" spans="1:7" x14ac:dyDescent="0.25">
      <c r="A23" s="34">
        <v>41850</v>
      </c>
      <c r="B23">
        <v>75.88</v>
      </c>
      <c r="C23">
        <v>75.92</v>
      </c>
      <c r="D23">
        <v>74.67</v>
      </c>
      <c r="E23">
        <v>74.78</v>
      </c>
      <c r="F23">
        <v>9977200</v>
      </c>
      <c r="G23">
        <v>74.290000000000006</v>
      </c>
    </row>
    <row r="24" spans="1:7" x14ac:dyDescent="0.25">
      <c r="A24" s="34">
        <v>41851</v>
      </c>
      <c r="B24">
        <v>73.989999999999995</v>
      </c>
      <c r="C24">
        <v>74.25</v>
      </c>
      <c r="D24">
        <v>73.540000000000006</v>
      </c>
      <c r="E24">
        <v>73.58</v>
      </c>
      <c r="F24">
        <v>9631600</v>
      </c>
      <c r="G24">
        <v>73.099999999999994</v>
      </c>
    </row>
    <row r="25" spans="1:7" x14ac:dyDescent="0.25">
      <c r="A25" s="34">
        <v>41852</v>
      </c>
      <c r="B25">
        <v>73.319999999999993</v>
      </c>
      <c r="C25">
        <v>73.88</v>
      </c>
      <c r="D25">
        <v>73.22</v>
      </c>
      <c r="E25">
        <v>73.540000000000006</v>
      </c>
      <c r="F25">
        <v>8223900</v>
      </c>
      <c r="G25">
        <v>73.06</v>
      </c>
    </row>
    <row r="26" spans="1:7" x14ac:dyDescent="0.25">
      <c r="A26" s="34">
        <v>41855</v>
      </c>
      <c r="B26">
        <v>73.38</v>
      </c>
      <c r="C26">
        <v>73.63</v>
      </c>
      <c r="D26">
        <v>73.06</v>
      </c>
      <c r="E26">
        <v>73.540000000000006</v>
      </c>
      <c r="F26">
        <v>5402100</v>
      </c>
      <c r="G26">
        <v>73.06</v>
      </c>
    </row>
    <row r="27" spans="1:7" x14ac:dyDescent="0.25">
      <c r="A27" s="34">
        <v>41856</v>
      </c>
      <c r="B27">
        <v>73.31</v>
      </c>
      <c r="C27">
        <v>73.52</v>
      </c>
      <c r="D27">
        <v>72.77</v>
      </c>
      <c r="E27">
        <v>73.34</v>
      </c>
      <c r="F27">
        <v>10579900</v>
      </c>
      <c r="G27">
        <v>72.86</v>
      </c>
    </row>
    <row r="28" spans="1:7" x14ac:dyDescent="0.25">
      <c r="A28" s="34">
        <v>41857</v>
      </c>
      <c r="B28">
        <v>73.19</v>
      </c>
      <c r="C28">
        <v>74.290000000000006</v>
      </c>
      <c r="D28">
        <v>73.180000000000007</v>
      </c>
      <c r="E28">
        <v>74.2</v>
      </c>
      <c r="F28">
        <v>7934800</v>
      </c>
      <c r="G28">
        <v>74.2</v>
      </c>
    </row>
    <row r="29" spans="1:7" x14ac:dyDescent="0.25">
      <c r="A29" s="34">
        <v>41858</v>
      </c>
      <c r="B29">
        <v>74.34</v>
      </c>
      <c r="C29">
        <v>74.81</v>
      </c>
      <c r="D29">
        <v>73.760000000000005</v>
      </c>
      <c r="E29">
        <v>73.95</v>
      </c>
      <c r="F29">
        <v>7049000</v>
      </c>
      <c r="G29">
        <v>73.95</v>
      </c>
    </row>
    <row r="30" spans="1:7" x14ac:dyDescent="0.25">
      <c r="A30" s="34">
        <v>41859</v>
      </c>
      <c r="B30">
        <v>74.06</v>
      </c>
      <c r="C30">
        <v>74.73</v>
      </c>
      <c r="D30">
        <v>73.849999999999994</v>
      </c>
      <c r="E30">
        <v>74.67</v>
      </c>
      <c r="F30">
        <v>4996300</v>
      </c>
      <c r="G30">
        <v>74.67</v>
      </c>
    </row>
    <row r="31" spans="1:7" x14ac:dyDescent="0.25">
      <c r="A31" s="34">
        <v>41862</v>
      </c>
      <c r="B31">
        <v>74.290000000000006</v>
      </c>
      <c r="C31">
        <v>74.599999999999994</v>
      </c>
      <c r="D31">
        <v>74.02</v>
      </c>
      <c r="E31">
        <v>74.36</v>
      </c>
      <c r="F31">
        <v>4721400</v>
      </c>
      <c r="G31">
        <v>74.36</v>
      </c>
    </row>
    <row r="32" spans="1:7" x14ac:dyDescent="0.25">
      <c r="A32" s="34">
        <v>41863</v>
      </c>
      <c r="B32">
        <v>74.31</v>
      </c>
      <c r="C32">
        <v>74.44</v>
      </c>
      <c r="D32">
        <v>74.010000000000005</v>
      </c>
      <c r="E32">
        <v>74.22</v>
      </c>
      <c r="F32">
        <v>3928200</v>
      </c>
      <c r="G32">
        <v>74.22</v>
      </c>
    </row>
    <row r="33" spans="1:7" x14ac:dyDescent="0.25">
      <c r="A33" s="34">
        <v>41864</v>
      </c>
      <c r="B33">
        <v>74.27</v>
      </c>
      <c r="C33">
        <v>74.41</v>
      </c>
      <c r="D33">
        <v>73.510000000000005</v>
      </c>
      <c r="E33">
        <v>74.03</v>
      </c>
      <c r="F33">
        <v>6619100</v>
      </c>
      <c r="G33">
        <v>74.03</v>
      </c>
    </row>
    <row r="34" spans="1:7" x14ac:dyDescent="0.25">
      <c r="A34" s="34">
        <v>41865</v>
      </c>
      <c r="B34">
        <v>73.89</v>
      </c>
      <c r="C34">
        <v>74.430000000000007</v>
      </c>
      <c r="D34">
        <v>73.61</v>
      </c>
      <c r="E34">
        <v>74.39</v>
      </c>
      <c r="F34">
        <v>6136300</v>
      </c>
      <c r="G34">
        <v>74.39</v>
      </c>
    </row>
    <row r="35" spans="1:7" x14ac:dyDescent="0.25">
      <c r="A35" s="34">
        <v>41866</v>
      </c>
      <c r="B35">
        <v>74.650000000000006</v>
      </c>
      <c r="C35">
        <v>74.650000000000006</v>
      </c>
      <c r="D35">
        <v>73.489999999999995</v>
      </c>
      <c r="E35">
        <v>73.900000000000006</v>
      </c>
      <c r="F35">
        <v>6942700</v>
      </c>
      <c r="G35">
        <v>73.900000000000006</v>
      </c>
    </row>
    <row r="36" spans="1:7" x14ac:dyDescent="0.25">
      <c r="A36" s="34">
        <v>41869</v>
      </c>
      <c r="B36">
        <v>74.150000000000006</v>
      </c>
      <c r="C36">
        <v>74.680000000000007</v>
      </c>
      <c r="D36">
        <v>74.05</v>
      </c>
      <c r="E36">
        <v>74.489999999999995</v>
      </c>
      <c r="F36">
        <v>4015700</v>
      </c>
      <c r="G36">
        <v>74.489999999999995</v>
      </c>
    </row>
    <row r="37" spans="1:7" x14ac:dyDescent="0.25">
      <c r="A37" s="34">
        <v>41870</v>
      </c>
      <c r="B37">
        <v>74.81</v>
      </c>
      <c r="C37">
        <v>74.94</v>
      </c>
      <c r="D37">
        <v>74.14</v>
      </c>
      <c r="E37">
        <v>74.88</v>
      </c>
      <c r="F37">
        <v>5047900</v>
      </c>
      <c r="G37">
        <v>74.88</v>
      </c>
    </row>
    <row r="38" spans="1:7" x14ac:dyDescent="0.25">
      <c r="A38" s="34">
        <v>41871</v>
      </c>
      <c r="B38">
        <v>74.83</v>
      </c>
      <c r="C38">
        <v>75.05</v>
      </c>
      <c r="D38">
        <v>74.510000000000005</v>
      </c>
      <c r="E38">
        <v>74.959999999999994</v>
      </c>
      <c r="F38">
        <v>4898300</v>
      </c>
      <c r="G38">
        <v>74.959999999999994</v>
      </c>
    </row>
    <row r="39" spans="1:7" x14ac:dyDescent="0.25">
      <c r="A39" s="34">
        <v>41872</v>
      </c>
      <c r="B39">
        <v>75.06</v>
      </c>
      <c r="C39">
        <v>75.91</v>
      </c>
      <c r="D39">
        <v>75</v>
      </c>
      <c r="E39">
        <v>75.55</v>
      </c>
      <c r="F39">
        <v>5236800</v>
      </c>
      <c r="G39">
        <v>75.55</v>
      </c>
    </row>
    <row r="40" spans="1:7" x14ac:dyDescent="0.25">
      <c r="A40" s="34">
        <v>41873</v>
      </c>
      <c r="B40">
        <v>75.78</v>
      </c>
      <c r="C40">
        <v>76.2</v>
      </c>
      <c r="D40">
        <v>75.64</v>
      </c>
      <c r="E40">
        <v>75.73</v>
      </c>
      <c r="F40">
        <v>4112700</v>
      </c>
      <c r="G40">
        <v>75.73</v>
      </c>
    </row>
    <row r="41" spans="1:7" x14ac:dyDescent="0.25">
      <c r="A41" s="34">
        <v>41876</v>
      </c>
      <c r="B41">
        <v>75.930000000000007</v>
      </c>
      <c r="C41">
        <v>76.02</v>
      </c>
      <c r="D41">
        <v>75.510000000000005</v>
      </c>
      <c r="E41">
        <v>75.69</v>
      </c>
      <c r="F41">
        <v>3383300</v>
      </c>
      <c r="G41">
        <v>75.69</v>
      </c>
    </row>
    <row r="42" spans="1:7" x14ac:dyDescent="0.25">
      <c r="A42" s="34">
        <v>41877</v>
      </c>
      <c r="B42">
        <v>75.83</v>
      </c>
      <c r="C42">
        <v>76.150000000000006</v>
      </c>
      <c r="D42">
        <v>75.44</v>
      </c>
      <c r="E42">
        <v>75.52</v>
      </c>
      <c r="F42">
        <v>4206400</v>
      </c>
      <c r="G42">
        <v>75.52</v>
      </c>
    </row>
    <row r="43" spans="1:7" x14ac:dyDescent="0.25">
      <c r="A43" s="34">
        <v>41878</v>
      </c>
      <c r="B43">
        <v>75.510000000000005</v>
      </c>
      <c r="C43">
        <v>75.86</v>
      </c>
      <c r="D43">
        <v>75.44</v>
      </c>
      <c r="E43">
        <v>75.849999999999994</v>
      </c>
      <c r="F43">
        <v>3174600</v>
      </c>
      <c r="G43">
        <v>75.849999999999994</v>
      </c>
    </row>
    <row r="44" spans="1:7" x14ac:dyDescent="0.25">
      <c r="A44" s="34">
        <v>41879</v>
      </c>
      <c r="B44">
        <v>75.47</v>
      </c>
      <c r="C44">
        <v>75.94</v>
      </c>
      <c r="D44">
        <v>75.47</v>
      </c>
      <c r="E44">
        <v>75.900000000000006</v>
      </c>
      <c r="F44">
        <v>2923700</v>
      </c>
      <c r="G44">
        <v>75.900000000000006</v>
      </c>
    </row>
    <row r="45" spans="1:7" x14ac:dyDescent="0.25">
      <c r="A45" s="34">
        <v>41880</v>
      </c>
      <c r="B45">
        <v>75.75</v>
      </c>
      <c r="C45">
        <v>75.88</v>
      </c>
      <c r="D45">
        <v>75.290000000000006</v>
      </c>
      <c r="E45">
        <v>75.5</v>
      </c>
      <c r="F45">
        <v>5041700</v>
      </c>
      <c r="G45">
        <v>75.5</v>
      </c>
    </row>
    <row r="46" spans="1:7" x14ac:dyDescent="0.25">
      <c r="A46" s="34">
        <v>41884</v>
      </c>
      <c r="B46">
        <v>75.42</v>
      </c>
      <c r="C46">
        <v>75.94</v>
      </c>
      <c r="D46">
        <v>75.41</v>
      </c>
      <c r="E46">
        <v>75.75</v>
      </c>
      <c r="F46">
        <v>4507800</v>
      </c>
      <c r="G46">
        <v>75.75</v>
      </c>
    </row>
    <row r="47" spans="1:7" x14ac:dyDescent="0.25">
      <c r="A47" s="34">
        <v>41885</v>
      </c>
      <c r="B47">
        <v>75.95</v>
      </c>
      <c r="C47">
        <v>76.33</v>
      </c>
      <c r="D47">
        <v>75.88</v>
      </c>
      <c r="E47">
        <v>76.010000000000005</v>
      </c>
      <c r="F47">
        <v>4647100</v>
      </c>
      <c r="G47">
        <v>76.010000000000005</v>
      </c>
    </row>
    <row r="48" spans="1:7" x14ac:dyDescent="0.25">
      <c r="A48" s="34">
        <v>41886</v>
      </c>
      <c r="B48">
        <v>76.16</v>
      </c>
      <c r="C48">
        <v>76.599999999999994</v>
      </c>
      <c r="D48">
        <v>76.11</v>
      </c>
      <c r="E48">
        <v>76.56</v>
      </c>
      <c r="F48">
        <v>5224000</v>
      </c>
      <c r="G48">
        <v>76.56</v>
      </c>
    </row>
    <row r="49" spans="1:7" x14ac:dyDescent="0.25">
      <c r="A49" s="34">
        <v>41887</v>
      </c>
      <c r="B49">
        <v>76.52</v>
      </c>
      <c r="C49">
        <v>77.73</v>
      </c>
      <c r="D49">
        <v>76.48</v>
      </c>
      <c r="E49">
        <v>77.510000000000005</v>
      </c>
      <c r="F49">
        <v>7841800</v>
      </c>
      <c r="G49">
        <v>77.510000000000005</v>
      </c>
    </row>
    <row r="50" spans="1:7" x14ac:dyDescent="0.25">
      <c r="A50" s="34">
        <v>41890</v>
      </c>
      <c r="B50">
        <v>77.13</v>
      </c>
      <c r="C50">
        <v>77.319999999999993</v>
      </c>
      <c r="D50">
        <v>76.430000000000007</v>
      </c>
      <c r="E50">
        <v>76.53</v>
      </c>
      <c r="F50">
        <v>5938900</v>
      </c>
      <c r="G50">
        <v>76.53</v>
      </c>
    </row>
    <row r="51" spans="1:7" x14ac:dyDescent="0.25">
      <c r="A51" s="34">
        <v>41891</v>
      </c>
      <c r="B51">
        <v>76.56</v>
      </c>
      <c r="C51">
        <v>77</v>
      </c>
      <c r="D51">
        <v>76.17</v>
      </c>
      <c r="E51">
        <v>76.739999999999995</v>
      </c>
      <c r="F51">
        <v>5616300</v>
      </c>
      <c r="G51">
        <v>76.739999999999995</v>
      </c>
    </row>
    <row r="52" spans="1:7" x14ac:dyDescent="0.25">
      <c r="A52" s="34">
        <v>41892</v>
      </c>
      <c r="B52">
        <v>76.790000000000006</v>
      </c>
      <c r="C52">
        <v>77.08</v>
      </c>
      <c r="D52">
        <v>76.37</v>
      </c>
      <c r="E52">
        <v>76.510000000000005</v>
      </c>
      <c r="F52">
        <v>6659900</v>
      </c>
      <c r="G52">
        <v>76.510000000000005</v>
      </c>
    </row>
    <row r="53" spans="1:7" x14ac:dyDescent="0.25">
      <c r="A53" s="34">
        <v>41893</v>
      </c>
      <c r="B53">
        <v>76.349999999999994</v>
      </c>
      <c r="C53">
        <v>76.44</v>
      </c>
      <c r="D53">
        <v>76.09</v>
      </c>
      <c r="E53">
        <v>76.099999999999994</v>
      </c>
      <c r="F53">
        <v>4953300</v>
      </c>
      <c r="G53">
        <v>76.099999999999994</v>
      </c>
    </row>
    <row r="54" spans="1:7" x14ac:dyDescent="0.25">
      <c r="A54" s="34">
        <v>41894</v>
      </c>
      <c r="B54">
        <v>75.97</v>
      </c>
      <c r="C54">
        <v>76.05</v>
      </c>
      <c r="D54">
        <v>75.66</v>
      </c>
      <c r="E54">
        <v>75.77</v>
      </c>
      <c r="F54">
        <v>5652300</v>
      </c>
      <c r="G54">
        <v>75.77</v>
      </c>
    </row>
    <row r="55" spans="1:7" x14ac:dyDescent="0.25">
      <c r="A55" s="34">
        <v>41897</v>
      </c>
      <c r="B55">
        <v>75.78</v>
      </c>
      <c r="C55">
        <v>75.89</v>
      </c>
      <c r="D55">
        <v>75.61</v>
      </c>
      <c r="E55">
        <v>75.81</v>
      </c>
      <c r="F55">
        <v>3717900</v>
      </c>
      <c r="G55">
        <v>75.81</v>
      </c>
    </row>
  </sheetData>
  <sortState ref="A3:G55">
    <sortCondition ref="A3:A55"/>
  </sortState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54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35</v>
      </c>
      <c r="C1" t="s">
        <v>222</v>
      </c>
      <c r="D1" t="s">
        <v>41</v>
      </c>
      <c r="E1" t="s">
        <v>42</v>
      </c>
      <c r="F1" t="s">
        <v>223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219</v>
      </c>
      <c r="Q1" t="s">
        <v>52</v>
      </c>
      <c r="R1" t="s">
        <v>53</v>
      </c>
      <c r="S1" t="s">
        <v>142</v>
      </c>
      <c r="T1" t="s">
        <v>34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224</v>
      </c>
      <c r="AN1" t="s">
        <v>72</v>
      </c>
      <c r="AO1" t="s">
        <v>73</v>
      </c>
      <c r="AP1" t="s">
        <v>225</v>
      </c>
      <c r="AQ1" t="s">
        <v>74</v>
      </c>
      <c r="AR1" t="s">
        <v>75</v>
      </c>
      <c r="AS1" t="s">
        <v>76</v>
      </c>
      <c r="AT1" t="s">
        <v>226</v>
      </c>
      <c r="AU1" t="s">
        <v>77</v>
      </c>
      <c r="AV1" t="s">
        <v>227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83</v>
      </c>
      <c r="BC1" t="s">
        <v>84</v>
      </c>
      <c r="BD1" t="s">
        <v>85</v>
      </c>
      <c r="BE1" t="s">
        <v>86</v>
      </c>
      <c r="BF1" t="s">
        <v>87</v>
      </c>
      <c r="BG1" t="s">
        <v>88</v>
      </c>
      <c r="BH1" t="s">
        <v>89</v>
      </c>
      <c r="BI1" t="s">
        <v>90</v>
      </c>
      <c r="BJ1" t="s">
        <v>91</v>
      </c>
      <c r="BK1" t="s">
        <v>92</v>
      </c>
      <c r="BL1" t="s">
        <v>93</v>
      </c>
      <c r="BM1" t="s">
        <v>94</v>
      </c>
      <c r="BN1" t="s">
        <v>95</v>
      </c>
      <c r="BO1" t="s">
        <v>96</v>
      </c>
      <c r="BP1" t="s">
        <v>97</v>
      </c>
      <c r="BQ1" t="s">
        <v>98</v>
      </c>
      <c r="BR1" t="s">
        <v>99</v>
      </c>
      <c r="BS1" t="s">
        <v>100</v>
      </c>
      <c r="BT1" t="s">
        <v>26</v>
      </c>
      <c r="BU1" t="s">
        <v>101</v>
      </c>
      <c r="BV1" t="s">
        <v>102</v>
      </c>
      <c r="BW1" t="s">
        <v>103</v>
      </c>
      <c r="BX1" t="s">
        <v>104</v>
      </c>
      <c r="BY1" t="s">
        <v>105</v>
      </c>
      <c r="BZ1" t="s">
        <v>106</v>
      </c>
      <c r="CA1" t="s">
        <v>107</v>
      </c>
      <c r="CB1" t="s">
        <v>108</v>
      </c>
      <c r="CC1" t="s">
        <v>109</v>
      </c>
      <c r="CD1" t="s">
        <v>110</v>
      </c>
      <c r="CE1" t="s">
        <v>111</v>
      </c>
      <c r="CF1" t="s">
        <v>112</v>
      </c>
      <c r="CG1" t="s">
        <v>113</v>
      </c>
      <c r="CH1" t="s">
        <v>114</v>
      </c>
      <c r="CI1" t="s">
        <v>115</v>
      </c>
      <c r="CJ1" t="s">
        <v>116</v>
      </c>
      <c r="CK1" t="s">
        <v>117</v>
      </c>
      <c r="CL1" t="s">
        <v>118</v>
      </c>
      <c r="CM1" t="s">
        <v>119</v>
      </c>
      <c r="CN1" t="s">
        <v>120</v>
      </c>
      <c r="CO1" t="s">
        <v>121</v>
      </c>
      <c r="CP1" t="s">
        <v>122</v>
      </c>
      <c r="CQ1" t="s">
        <v>123</v>
      </c>
      <c r="CR1" t="s">
        <v>124</v>
      </c>
      <c r="CS1" t="s">
        <v>125</v>
      </c>
      <c r="CT1" t="s">
        <v>126</v>
      </c>
      <c r="CU1" t="s">
        <v>127</v>
      </c>
      <c r="CV1" t="s">
        <v>128</v>
      </c>
      <c r="CW1" t="s">
        <v>22</v>
      </c>
    </row>
    <row r="2" spans="1:101" x14ac:dyDescent="0.25">
      <c r="A2" s="34">
        <v>41821</v>
      </c>
      <c r="B2" s="36">
        <v>93.52</v>
      </c>
      <c r="C2">
        <f>VLOOKUP(A2,ABBV!A$2:G$55,2,0)</f>
        <v>56.42</v>
      </c>
      <c r="D2">
        <f>VLOOKUP(A2,ABT!A$2:G$55,2,0)</f>
        <v>41.18</v>
      </c>
      <c r="E2">
        <f>VLOOKUP(A2,ACN!A$2:G$55,2,0)</f>
        <v>81.09</v>
      </c>
      <c r="F2">
        <f>VLOOKUP(A2,AIG!A$2:G$55,2,0)</f>
        <v>54.99</v>
      </c>
      <c r="G2">
        <f>VLOOKUP(A2,ALL!A$2:G$55,2,0)</f>
        <v>58.93</v>
      </c>
      <c r="H2">
        <f>VLOOKUP(A2,AMGN!A$2:G$55,2,0)</f>
        <v>119.39</v>
      </c>
      <c r="I2">
        <f>VLOOKUP(A2,AMZN!A$2:G$55,2,0)</f>
        <v>325.86</v>
      </c>
      <c r="J2">
        <f>VLOOKUP(A2,APA!A$2:G$55,2,0)</f>
        <v>100.95</v>
      </c>
      <c r="K2">
        <f>VLOOKUP(A2,APC!A$2:G$55,2,0)</f>
        <v>110.72</v>
      </c>
      <c r="L2">
        <f>VLOOKUP(A2,AXP!A$2:G$55,2,0)</f>
        <v>95.42</v>
      </c>
      <c r="M2">
        <f>VLOOKUP(A2,BA!A$2:G$55,2,0)</f>
        <v>127.66</v>
      </c>
      <c r="N2">
        <f>VLOOKUP(A2,BAC!A$2:G$55,2,0)</f>
        <v>15.38</v>
      </c>
      <c r="O2">
        <f>VLOOKUP(A2,BAX!A$2:G$55,2,0)</f>
        <v>72.63</v>
      </c>
      <c r="P2">
        <f>VLOOKUP(A2,BIIB!A$2:G$55,2,0)</f>
        <v>317.02999999999997</v>
      </c>
      <c r="Q2">
        <f>VLOOKUP(A2,BK!A$2:G$55,2,0)</f>
        <v>37.85</v>
      </c>
      <c r="R2">
        <f>VLOOKUP(A2,BMY!A$2:G$55,2,0)</f>
        <v>48.51</v>
      </c>
      <c r="T2">
        <f>VLOOKUP(A2,'C'!A$2:G$55,2,0)</f>
        <v>47.42</v>
      </c>
      <c r="U2">
        <f>VLOOKUP(A2,CAT!A$2:G$55,2,0)</f>
        <v>109.08</v>
      </c>
      <c r="V2">
        <f>VLOOKUP(A2,CL!A$2:G$55,2,0)</f>
        <v>68.5</v>
      </c>
      <c r="W2">
        <f>VLOOKUP(A2,CMCSA!A$2:G$55,2,0)</f>
        <v>53.86</v>
      </c>
      <c r="X2">
        <f>VLOOKUP(A2,COF!A$2:G$55,2,0)</f>
        <v>83.12</v>
      </c>
      <c r="Y2">
        <f>VLOOKUP(A2,COP!A$2:G$55,2,0)</f>
        <v>86.25</v>
      </c>
      <c r="Z2">
        <f>VLOOKUP(A2,COST!A$2:G$55,2,0)</f>
        <v>115.54</v>
      </c>
      <c r="AA2">
        <f>VLOOKUP(A2,CSCO!A$2:G$55,2,0)</f>
        <v>24.99</v>
      </c>
      <c r="AB2">
        <f>VLOOKUP(A2,CVS!A$2:G$55,2,0)</f>
        <v>75.89</v>
      </c>
      <c r="AC2">
        <f>VLOOKUP(A2,CVX!A$2:G$55,2,0)</f>
        <v>130.94</v>
      </c>
      <c r="AD2">
        <f>VLOOKUP(A2,DD!A$2:G$55,2,0)</f>
        <v>64.989999999999995</v>
      </c>
      <c r="AE2">
        <f>VLOOKUP(A2,DIS!A$2:G$55,2,0)</f>
        <v>85.81</v>
      </c>
      <c r="AF2">
        <f>VLOOKUP(A2,DOW!A$2:G$55,2,0)</f>
        <v>51.55</v>
      </c>
      <c r="AG2">
        <f>VLOOKUP(A2,DVN!A$2:G$55,2,0)</f>
        <v>79.849999999999994</v>
      </c>
      <c r="AH2">
        <f>VLOOKUP(A2,EBAY!A$2:G$55,2,0)</f>
        <v>50.19</v>
      </c>
      <c r="AI2">
        <f>VLOOKUP(A2,EMC!A$2:G$55,2,0)</f>
        <v>26.44</v>
      </c>
      <c r="AJ2">
        <f>VLOOKUP(A2,EMR!A$2:G$55,2,0)</f>
        <v>66.180000000000007</v>
      </c>
      <c r="AK2">
        <f>VLOOKUP(A2,EXC!A$2:G$55,2,0)</f>
        <v>36.08</v>
      </c>
      <c r="AL2">
        <f>VLOOKUP(A2,F!A$2:G$55,2,0)</f>
        <v>17.34</v>
      </c>
      <c r="AM2">
        <f>VLOOKUP(A2,FB!A$2:G$55,2,0)</f>
        <v>67.58</v>
      </c>
      <c r="AN2">
        <f>VLOOKUP(A2,FCX!A$2:G$55,2,0)</f>
        <v>36.880000000000003</v>
      </c>
      <c r="AO2">
        <f>VLOOKUP(A2,FDX!A$2:G$55,2,0)</f>
        <v>152</v>
      </c>
      <c r="AP2">
        <f>VLOOKUP(A2,FOXA!A$2:G$55,2,0)</f>
        <v>34.26</v>
      </c>
      <c r="AQ2">
        <f>VLOOKUP(A2,GD!A$2:G$55,2,0)</f>
        <v>115.17</v>
      </c>
      <c r="AR2">
        <f>VLOOKUP(A2,GE!A$2:G$55,2,0)</f>
        <v>26.27</v>
      </c>
      <c r="AS2">
        <f>VLOOKUP(A2,GILD!A$2:G$55,2,0)</f>
        <v>83.37</v>
      </c>
      <c r="AT2">
        <f>VLOOKUP(A2,GM!A$2:G$55,2,0)</f>
        <v>36.25</v>
      </c>
      <c r="AU2">
        <f>VLOOKUP(A2,GOOG!A$2:G$55,2,0)</f>
        <v>578.32000000000005</v>
      </c>
      <c r="AV2">
        <f>VLOOKUP(A2,GOOGL!A$2:G$55,2,0)</f>
        <v>587.65</v>
      </c>
      <c r="AW2">
        <f>VLOOKUP(A2,GS!A$2:G$55,2,0)</f>
        <v>166.35</v>
      </c>
      <c r="AX2">
        <f>VLOOKUP(A2,HAL!A$2:G$55,2,0)</f>
        <v>71.27</v>
      </c>
      <c r="AY2">
        <f>VLOOKUP(A2,HD!A$2:G$55,2,0)</f>
        <v>81.319999999999993</v>
      </c>
      <c r="AZ2">
        <f>VLOOKUP(A2,HON!A$2:G$55,2,0)</f>
        <v>93.29</v>
      </c>
      <c r="BA2">
        <f>VLOOKUP(A2,HPQ!A$2:G$55,2,0)</f>
        <v>33.93</v>
      </c>
      <c r="BB2">
        <f>VLOOKUP(A2,IBM!A$2:G$55,2,0)</f>
        <v>181.7</v>
      </c>
      <c r="BC2">
        <f>VLOOKUP(A2,INTC!A$2:G$55,2,0)</f>
        <v>30.99</v>
      </c>
      <c r="BD2">
        <f>VLOOKUP(A2,JNJ!A$2:G$55,2,0)</f>
        <v>105.15</v>
      </c>
      <c r="BE2">
        <f>VLOOKUP(A2,JPM!A$2:G$55,2,0)</f>
        <v>57.15</v>
      </c>
      <c r="BF2">
        <f>VLOOKUP(A2,KO!A$2:G$55,2,0)</f>
        <v>42.39</v>
      </c>
      <c r="BG2">
        <f>VLOOKUP(A2,LLY!A$2:G$55,2,0)</f>
        <v>62.63</v>
      </c>
      <c r="BH2">
        <f>VLOOKUP(A2,LMT!A$2:G$55,2,0)</f>
        <v>160.04</v>
      </c>
      <c r="BI2">
        <f>VLOOKUP(A2,LOW!A$2:G$55,2,0)</f>
        <v>48.03</v>
      </c>
      <c r="BJ2">
        <f>VLOOKUP(A2,MA!A$2:G$55,2,0)</f>
        <v>74.2</v>
      </c>
      <c r="BK2">
        <f>VLOOKUP(A2,MCD!A$2:G$55,2,0)</f>
        <v>100.43</v>
      </c>
      <c r="BL2">
        <f>VLOOKUP(A2,MDLZ!A$2:G$55,2,0)</f>
        <v>37.81</v>
      </c>
      <c r="BM2">
        <f>VLOOKUP(A2,MDT!A$2:G$55,2,0)</f>
        <v>63.29</v>
      </c>
      <c r="BN2">
        <f>VLOOKUP(A2,MET!A$2:G$55,2,0)</f>
        <v>55.59</v>
      </c>
      <c r="BO2">
        <f>VLOOKUP(A2,MMM!A$2:G$55,2,0)</f>
        <v>143.41</v>
      </c>
      <c r="BP2">
        <f>VLOOKUP(A2,MO!A$2:G$55,2,0)</f>
        <v>41.87</v>
      </c>
      <c r="BQ2">
        <f>VLOOKUP(A2,MON!A$2:G$55,2,0)</f>
        <v>124.5</v>
      </c>
      <c r="BR2">
        <f>VLOOKUP(A2,MRK!A$2:G$55,2,0)</f>
        <v>57.7</v>
      </c>
      <c r="BS2">
        <f>VLOOKUP(A2,MS!A$2:G$55,2,0)</f>
        <v>32.409999999999997</v>
      </c>
      <c r="BT2">
        <f>VLOOKUP(A2,MSFT!A$2:G$55,2,0)</f>
        <v>41.86</v>
      </c>
      <c r="BU2">
        <f>VLOOKUP(A2,NKE!A$2:G$55,2,0)</f>
        <v>77.73</v>
      </c>
      <c r="BV2">
        <f>VLOOKUP(A2,NOV!A$2:G$55,2,0)</f>
        <v>82.66</v>
      </c>
      <c r="BW2">
        <f>VLOOKUP(A2,NSC!A$2:G$55,2,0)</f>
        <v>103.21</v>
      </c>
      <c r="BX2">
        <f>VLOOKUP(A2,ORCL!A$2:G$55,2,0)</f>
        <v>40.409999999999997</v>
      </c>
      <c r="BY2">
        <f>VLOOKUP(A2,OXY!A$2:G$55,2,0)</f>
        <v>103.77</v>
      </c>
      <c r="BZ2">
        <f>VLOOKUP(A2,PEP!A$2:G$55,2,0)</f>
        <v>89.12</v>
      </c>
      <c r="CA2">
        <f>VLOOKUP(A2,PFE!A$2:G$55,2,0)</f>
        <v>29.61</v>
      </c>
      <c r="CB2">
        <f>VLOOKUP(A2,PG!A$2:G$55,2,0)</f>
        <v>78.87</v>
      </c>
      <c r="CC2">
        <f>VLOOKUP(A2,PM!A$2:G$55,2,0)</f>
        <v>84.35</v>
      </c>
      <c r="CD2">
        <f>VLOOKUP(A2,QCOM!A$2:G$55,2,0)</f>
        <v>79.349999999999994</v>
      </c>
      <c r="CE2">
        <f>VLOOKUP(A2,RTN!A$2:G$55,2,0)</f>
        <v>91.67</v>
      </c>
      <c r="CF2">
        <f>VLOOKUP(A2,SBUX!A$2:G$55,2,0)</f>
        <v>77.89</v>
      </c>
      <c r="CG2">
        <f>VLOOKUP(A2,SLB!A$2:G$55,2,0)</f>
        <v>118.3</v>
      </c>
      <c r="CH2">
        <f>VLOOKUP(A2,SO!A$2:G$55,2,0)</f>
        <v>45.37</v>
      </c>
      <c r="CI2">
        <f>VLOOKUP(A2,SPG!A$2:G$55,2,0)</f>
        <v>166.87</v>
      </c>
      <c r="CJ2">
        <f>VLOOKUP(A2,T!A$2:G$55,2,0)</f>
        <v>35.229999999999997</v>
      </c>
      <c r="CK2">
        <f>VLOOKUP(A2,TGT!A$2:G$55,2,0)</f>
        <v>58.39</v>
      </c>
      <c r="CL2">
        <f>VLOOKUP(A2,TWX!A$2:G$55,2,0)</f>
        <v>68.88</v>
      </c>
      <c r="CM2">
        <f>VLOOKUP(A2,TXN!A$2:G$55,2,0)</f>
        <v>48.03</v>
      </c>
      <c r="CN2">
        <f>VLOOKUP(A2,UNH!A$2:G$55,2,0)</f>
        <v>81.739999999999995</v>
      </c>
      <c r="CO2">
        <f>VLOOKUP(A2,UNP!A$2:G$55,2,0)</f>
        <v>99.96</v>
      </c>
      <c r="CP2">
        <f>VLOOKUP(A2,UPS!A$2:G$55,2,0)</f>
        <v>103.4</v>
      </c>
      <c r="CQ2">
        <f>VLOOKUP(A2,USB!A$2:G$55,2,0)</f>
        <v>43.45</v>
      </c>
      <c r="CR2">
        <f>VLOOKUP(A2,UTX!A$2:G$55,2,0)</f>
        <v>115.97</v>
      </c>
      <c r="CS2">
        <f>VLOOKUP(A2,V!A$2:G$55,2,0)</f>
        <v>211.95</v>
      </c>
      <c r="CT2">
        <f>VLOOKUP(A2,VZ!A$2:G$55,2,0)</f>
        <v>48.88</v>
      </c>
      <c r="CU2">
        <f>VLOOKUP(A2,WAG!A$2:G$55,2,0)</f>
        <v>74.3</v>
      </c>
      <c r="CV2">
        <f>VLOOKUP(A2,WFC!A$2:G$55,2,0)</f>
        <v>52.73</v>
      </c>
      <c r="CW2">
        <f>VLOOKUP(A2,WMT!A$2:G$55,2,0)</f>
        <v>75.27</v>
      </c>
    </row>
    <row r="3" spans="1:101" x14ac:dyDescent="0.25">
      <c r="A3" s="34">
        <v>41822</v>
      </c>
      <c r="B3" s="36">
        <v>93.87</v>
      </c>
      <c r="C3">
        <f>VLOOKUP(A3,ABBV!A$2:G$55,2,0)</f>
        <v>57.46</v>
      </c>
      <c r="D3">
        <f>VLOOKUP(A3,ABT!A$2:G$55,2,0)</f>
        <v>41.23</v>
      </c>
      <c r="E3">
        <f>VLOOKUP(A3,ACN!A$2:G$55,2,0)</f>
        <v>81</v>
      </c>
      <c r="F3">
        <f>VLOOKUP(A3,AIG!A$2:G$55,2,0)</f>
        <v>55.08</v>
      </c>
      <c r="G3">
        <f>VLOOKUP(A3,ALL!A$2:G$55,2,0)</f>
        <v>59.08</v>
      </c>
      <c r="H3">
        <f>VLOOKUP(A3,AMGN!A$2:G$55,2,0)</f>
        <v>120.08</v>
      </c>
      <c r="I3">
        <f>VLOOKUP(A3,AMZN!A$2:G$55,2,0)</f>
        <v>333.2</v>
      </c>
      <c r="J3">
        <f>VLOOKUP(A3,APA!A$2:G$55,2,0)</f>
        <v>100</v>
      </c>
      <c r="K3">
        <f>VLOOKUP(A3,APC!A$2:G$55,2,0)</f>
        <v>109.04</v>
      </c>
      <c r="L3">
        <f>VLOOKUP(A3,AXP!A$2:G$55,2,0)</f>
        <v>95.19</v>
      </c>
      <c r="M3">
        <f>VLOOKUP(A3,BA!A$2:G$55,2,0)</f>
        <v>128.15</v>
      </c>
      <c r="N3">
        <f>VLOOKUP(A3,BAC!A$2:G$55,2,0)</f>
        <v>15.78</v>
      </c>
      <c r="O3">
        <f>VLOOKUP(A3,BAX!A$2:G$55,2,0)</f>
        <v>73.91</v>
      </c>
      <c r="P3">
        <f>VLOOKUP(A3,BIIB!A$2:G$55,2,0)</f>
        <v>325.25</v>
      </c>
      <c r="Q3">
        <f>VLOOKUP(A3,BK!A$2:G$55,2,0)</f>
        <v>37.92</v>
      </c>
      <c r="R3">
        <f>VLOOKUP(A3,BMY!A$2:G$55,2,0)</f>
        <v>47.67</v>
      </c>
      <c r="T3">
        <f>VLOOKUP(A3,'C'!A$2:G$55,2,0)</f>
        <v>47.54</v>
      </c>
      <c r="U3">
        <f>VLOOKUP(A3,CAT!A$2:G$55,2,0)</f>
        <v>109.32</v>
      </c>
      <c r="V3">
        <f>VLOOKUP(A3,CL!A$2:G$55,2,0)</f>
        <v>68.36</v>
      </c>
      <c r="W3">
        <f>VLOOKUP(A3,CMCSA!A$2:G$55,2,0)</f>
        <v>54.2</v>
      </c>
      <c r="X3">
        <f>VLOOKUP(A3,COF!A$2:G$55,2,0)</f>
        <v>83.29</v>
      </c>
      <c r="Y3">
        <f>VLOOKUP(A3,COP!A$2:G$55,2,0)</f>
        <v>85.81</v>
      </c>
      <c r="Z3">
        <f>VLOOKUP(A3,COST!A$2:G$55,2,0)</f>
        <v>115.25</v>
      </c>
      <c r="AA3">
        <f>VLOOKUP(A3,CSCO!A$2:G$55,2,0)</f>
        <v>24.97</v>
      </c>
      <c r="AB3">
        <f>VLOOKUP(A3,CVS!A$2:G$55,2,0)</f>
        <v>75.989999999999995</v>
      </c>
      <c r="AC3">
        <f>VLOOKUP(A3,CVX!A$2:G$55,2,0)</f>
        <v>130.53</v>
      </c>
      <c r="AD3">
        <f>VLOOKUP(A3,DD!A$2:G$55,2,0)</f>
        <v>65.05</v>
      </c>
      <c r="AE3">
        <f>VLOOKUP(A3,DIS!A$2:G$55,2,0)</f>
        <v>86.58</v>
      </c>
      <c r="AF3">
        <f>VLOOKUP(A3,DOW!A$2:G$55,2,0)</f>
        <v>51.69</v>
      </c>
      <c r="AG3">
        <f>VLOOKUP(A3,DVN!A$2:G$55,2,0)</f>
        <v>79.069999999999993</v>
      </c>
      <c r="AH3">
        <f>VLOOKUP(A3,EBAY!A$2:G$55,2,0)</f>
        <v>50.51</v>
      </c>
      <c r="AI3">
        <f>VLOOKUP(A3,EMC!A$2:G$55,2,0)</f>
        <v>26.56</v>
      </c>
      <c r="AJ3">
        <f>VLOOKUP(A3,EMR!A$2:G$55,2,0)</f>
        <v>66.59</v>
      </c>
      <c r="AK3">
        <f>VLOOKUP(A3,EXC!A$2:G$55,2,0)</f>
        <v>35.549999999999997</v>
      </c>
      <c r="AL3">
        <f>VLOOKUP(A3,F!A$2:G$55,2,0)</f>
        <v>17.190000000000001</v>
      </c>
      <c r="AM3">
        <f>VLOOKUP(A3,FB!A$2:G$55,2,0)</f>
        <v>68.040000000000006</v>
      </c>
      <c r="AN3">
        <f>VLOOKUP(A3,FCX!A$2:G$55,2,0)</f>
        <v>37.03</v>
      </c>
      <c r="AO3">
        <f>VLOOKUP(A3,FDX!A$2:G$55,2,0)</f>
        <v>152.27000000000001</v>
      </c>
      <c r="AP3">
        <f>VLOOKUP(A3,FOXA!A$2:G$55,2,0)</f>
        <v>35.19</v>
      </c>
      <c r="AQ3">
        <f>VLOOKUP(A3,GD!A$2:G$55,2,0)</f>
        <v>116.19</v>
      </c>
      <c r="AR3">
        <f>VLOOKUP(A3,GE!A$2:G$55,2,0)</f>
        <v>26.35</v>
      </c>
      <c r="AS3">
        <f>VLOOKUP(A3,GILD!A$2:G$55,2,0)</f>
        <v>85.55</v>
      </c>
      <c r="AT3">
        <f>VLOOKUP(A3,GM!A$2:G$55,2,0)</f>
        <v>37.5</v>
      </c>
      <c r="AU3">
        <f>VLOOKUP(A3,GOOG!A$2:G$55,2,0)</f>
        <v>583.35</v>
      </c>
      <c r="AV3">
        <f>VLOOKUP(A3,GOOGL!A$2:G$55,2,0)</f>
        <v>592.26</v>
      </c>
      <c r="AW3">
        <f>VLOOKUP(A3,GS!A$2:G$55,2,0)</f>
        <v>167</v>
      </c>
      <c r="AX3">
        <f>VLOOKUP(A3,HAL!A$2:G$55,2,0)</f>
        <v>70.64</v>
      </c>
      <c r="AY3">
        <f>VLOOKUP(A3,HD!A$2:G$55,2,0)</f>
        <v>81.84</v>
      </c>
      <c r="AZ3">
        <f>VLOOKUP(A3,HON!A$2:G$55,2,0)</f>
        <v>94.24</v>
      </c>
      <c r="BA3">
        <f>VLOOKUP(A3,HPQ!A$2:G$55,2,0)</f>
        <v>34.21</v>
      </c>
      <c r="BB3">
        <f>VLOOKUP(A3,IBM!A$2:G$55,2,0)</f>
        <v>186.34</v>
      </c>
      <c r="BC3">
        <f>VLOOKUP(A3,INTC!A$2:G$55,2,0)</f>
        <v>30.99</v>
      </c>
      <c r="BD3">
        <f>VLOOKUP(A3,JNJ!A$2:G$55,2,0)</f>
        <v>105.7</v>
      </c>
      <c r="BE3">
        <f>VLOOKUP(A3,JPM!A$2:G$55,2,0)</f>
        <v>57.27</v>
      </c>
      <c r="BF3">
        <f>VLOOKUP(A3,KO!A$2:G$55,2,0)</f>
        <v>42.31</v>
      </c>
      <c r="BG3">
        <f>VLOOKUP(A3,LLY!A$2:G$55,2,0)</f>
        <v>62.45</v>
      </c>
      <c r="BH3">
        <f>VLOOKUP(A3,LMT!A$2:G$55,2,0)</f>
        <v>160.77000000000001</v>
      </c>
      <c r="BI3">
        <f>VLOOKUP(A3,LOW!A$2:G$55,2,0)</f>
        <v>48.16</v>
      </c>
      <c r="BJ3">
        <f>VLOOKUP(A3,MA!A$2:G$55,2,0)</f>
        <v>74.86</v>
      </c>
      <c r="BK3">
        <f>VLOOKUP(A3,MCD!A$2:G$55,2,0)</f>
        <v>101.02</v>
      </c>
      <c r="BL3">
        <f>VLOOKUP(A3,MDLZ!A$2:G$55,2,0)</f>
        <v>37.89</v>
      </c>
      <c r="BM3">
        <f>VLOOKUP(A3,MDT!A$2:G$55,2,0)</f>
        <v>63.91</v>
      </c>
      <c r="BN3">
        <f>VLOOKUP(A3,MET!A$2:G$55,2,0)</f>
        <v>56.15</v>
      </c>
      <c r="BO3">
        <f>VLOOKUP(A3,MMM!A$2:G$55,2,0)</f>
        <v>144.22999999999999</v>
      </c>
      <c r="BP3">
        <f>VLOOKUP(A3,MO!A$2:G$55,2,0)</f>
        <v>41.85</v>
      </c>
      <c r="BQ3">
        <f>VLOOKUP(A3,MON!A$2:G$55,2,0)</f>
        <v>124.68</v>
      </c>
      <c r="BR3">
        <f>VLOOKUP(A3,MRK!A$2:G$55,2,0)</f>
        <v>58.47</v>
      </c>
      <c r="BS3">
        <f>VLOOKUP(A3,MS!A$2:G$55,2,0)</f>
        <v>32.32</v>
      </c>
      <c r="BT3">
        <f>VLOOKUP(A3,MSFT!A$2:G$55,2,0)</f>
        <v>41.73</v>
      </c>
      <c r="BU3">
        <f>VLOOKUP(A3,NKE!A$2:G$55,2,0)</f>
        <v>78.06</v>
      </c>
      <c r="BV3">
        <f>VLOOKUP(A3,NOV!A$2:G$55,2,0)</f>
        <v>82.39</v>
      </c>
      <c r="BW3">
        <f>VLOOKUP(A3,NSC!A$2:G$55,2,0)</f>
        <v>103.08</v>
      </c>
      <c r="BX3">
        <f>VLOOKUP(A3,ORCL!A$2:G$55,2,0)</f>
        <v>40.93</v>
      </c>
      <c r="BY3">
        <f>VLOOKUP(A3,OXY!A$2:G$55,2,0)</f>
        <v>102.74</v>
      </c>
      <c r="BZ3">
        <f>VLOOKUP(A3,PEP!A$2:G$55,2,0)</f>
        <v>89.29</v>
      </c>
      <c r="CA3">
        <f>VLOOKUP(A3,PFE!A$2:G$55,2,0)</f>
        <v>30.06</v>
      </c>
      <c r="CB3">
        <f>VLOOKUP(A3,PG!A$2:G$55,2,0)</f>
        <v>79.56</v>
      </c>
      <c r="CC3">
        <f>VLOOKUP(A3,PM!A$2:G$55,2,0)</f>
        <v>84.21</v>
      </c>
      <c r="CD3">
        <f>VLOOKUP(A3,QCOM!A$2:G$55,2,0)</f>
        <v>79.81</v>
      </c>
      <c r="CE3">
        <f>VLOOKUP(A3,RTN!A$2:G$55,2,0)</f>
        <v>93.1</v>
      </c>
      <c r="CF3">
        <f>VLOOKUP(A3,SBUX!A$2:G$55,2,0)</f>
        <v>78.38</v>
      </c>
      <c r="CG3">
        <f>VLOOKUP(A3,SLB!A$2:G$55,2,0)</f>
        <v>117.98</v>
      </c>
      <c r="CH3">
        <f>VLOOKUP(A3,SO!A$2:G$55,2,0)</f>
        <v>45.04</v>
      </c>
      <c r="CI3">
        <f>VLOOKUP(A3,SPG!A$2:G$55,2,0)</f>
        <v>166.7</v>
      </c>
      <c r="CJ3">
        <f>VLOOKUP(A3,T!A$2:G$55,2,0)</f>
        <v>35.479999999999997</v>
      </c>
      <c r="CK3">
        <f>VLOOKUP(A3,TGT!A$2:G$55,2,0)</f>
        <v>58.5</v>
      </c>
      <c r="CL3">
        <f>VLOOKUP(A3,TWX!A$2:G$55,2,0)</f>
        <v>70.400000000000006</v>
      </c>
      <c r="CM3">
        <f>VLOOKUP(A3,TXN!A$2:G$55,2,0)</f>
        <v>48.33</v>
      </c>
      <c r="CN3">
        <f>VLOOKUP(A3,UNH!A$2:G$55,2,0)</f>
        <v>81.8</v>
      </c>
      <c r="CO3">
        <f>VLOOKUP(A3,UNP!A$2:G$55,2,0)</f>
        <v>100.05</v>
      </c>
      <c r="CP3">
        <f>VLOOKUP(A3,UPS!A$2:G$55,2,0)</f>
        <v>102.7</v>
      </c>
      <c r="CQ3">
        <f>VLOOKUP(A3,USB!A$2:G$55,2,0)</f>
        <v>43.17</v>
      </c>
      <c r="CR3">
        <f>VLOOKUP(A3,UTX!A$2:G$55,2,0)</f>
        <v>115.98</v>
      </c>
      <c r="CS3">
        <f>VLOOKUP(A3,V!A$2:G$55,2,0)</f>
        <v>214.88</v>
      </c>
      <c r="CT3">
        <f>VLOOKUP(A3,VZ!A$2:G$55,2,0)</f>
        <v>49.52</v>
      </c>
      <c r="CU3">
        <f>VLOOKUP(A3,WAG!A$2:G$55,2,0)</f>
        <v>73.760000000000005</v>
      </c>
      <c r="CV3">
        <f>VLOOKUP(A3,WFC!A$2:G$55,2,0)</f>
        <v>52.76</v>
      </c>
      <c r="CW3">
        <f>VLOOKUP(A3,WMT!A$2:G$55,2,0)</f>
        <v>75.260000000000005</v>
      </c>
    </row>
    <row r="4" spans="1:101" x14ac:dyDescent="0.25">
      <c r="A4" s="34">
        <v>41823</v>
      </c>
      <c r="B4" s="36">
        <v>93.67</v>
      </c>
      <c r="C4">
        <f>VLOOKUP(A4,ABBV!A$2:G$55,2,0)</f>
        <v>57.9</v>
      </c>
      <c r="D4">
        <f>VLOOKUP(A4,ABT!A$2:G$55,2,0)</f>
        <v>41.81</v>
      </c>
      <c r="E4">
        <f>VLOOKUP(A4,ACN!A$2:G$55,2,0)</f>
        <v>81.260000000000005</v>
      </c>
      <c r="F4">
        <f>VLOOKUP(A4,AIG!A$2:G$55,2,0)</f>
        <v>55.51</v>
      </c>
      <c r="G4">
        <f>VLOOKUP(A4,ALL!A$2:G$55,2,0)</f>
        <v>59.22</v>
      </c>
      <c r="H4">
        <f>VLOOKUP(A4,AMGN!A$2:G$55,2,0)</f>
        <v>121.45</v>
      </c>
      <c r="I4">
        <f>VLOOKUP(A4,AMZN!A$2:G$55,2,0)</f>
        <v>334.83</v>
      </c>
      <c r="J4">
        <f>VLOOKUP(A4,APA!A$2:G$55,2,0)</f>
        <v>99.85</v>
      </c>
      <c r="K4">
        <f>VLOOKUP(A4,APC!A$2:G$55,2,0)</f>
        <v>107.93</v>
      </c>
      <c r="L4">
        <f>VLOOKUP(A4,AXP!A$2:G$55,2,0)</f>
        <v>95.58</v>
      </c>
      <c r="M4">
        <f>VLOOKUP(A4,BA!A$2:G$55,2,0)</f>
        <v>127.99</v>
      </c>
      <c r="N4">
        <f>VLOOKUP(A4,BAC!A$2:G$55,2,0)</f>
        <v>16.07</v>
      </c>
      <c r="O4">
        <f>VLOOKUP(A4,BAX!A$2:G$55,2,0)</f>
        <v>75.08</v>
      </c>
      <c r="P4">
        <f>VLOOKUP(A4,BIIB!A$2:G$55,2,0)</f>
        <v>330.8</v>
      </c>
      <c r="Q4">
        <f>VLOOKUP(A4,BK!A$2:G$55,2,0)</f>
        <v>37.85</v>
      </c>
      <c r="R4">
        <f>VLOOKUP(A4,BMY!A$2:G$55,2,0)</f>
        <v>48.4</v>
      </c>
      <c r="T4">
        <f>VLOOKUP(A4,'C'!A$2:G$55,2,0)</f>
        <v>48.38</v>
      </c>
      <c r="U4">
        <f>VLOOKUP(A4,CAT!A$2:G$55,2,0)</f>
        <v>109.9</v>
      </c>
      <c r="V4">
        <f>VLOOKUP(A4,CL!A$2:G$55,2,0)</f>
        <v>68.44</v>
      </c>
      <c r="W4">
        <f>VLOOKUP(A4,CMCSA!A$2:G$55,2,0)</f>
        <v>54.74</v>
      </c>
      <c r="X4">
        <f>VLOOKUP(A4,COF!A$2:G$55,2,0)</f>
        <v>84.2</v>
      </c>
      <c r="Y4">
        <f>VLOOKUP(A4,COP!A$2:G$55,2,0)</f>
        <v>85.73</v>
      </c>
      <c r="Z4">
        <f>VLOOKUP(A4,COST!A$2:G$55,2,0)</f>
        <v>115.86</v>
      </c>
      <c r="AA4">
        <f>VLOOKUP(A4,CSCO!A$2:G$55,2,0)</f>
        <v>25.15</v>
      </c>
      <c r="AB4">
        <f>VLOOKUP(A4,CVS!A$2:G$55,2,0)</f>
        <v>76.42</v>
      </c>
      <c r="AC4">
        <f>VLOOKUP(A4,CVX!A$2:G$55,2,0)</f>
        <v>131.44</v>
      </c>
      <c r="AD4">
        <f>VLOOKUP(A4,DD!A$2:G$55,2,0)</f>
        <v>65.400000000000006</v>
      </c>
      <c r="AE4">
        <f>VLOOKUP(A4,DIS!A$2:G$55,2,0)</f>
        <v>86.7</v>
      </c>
      <c r="AF4">
        <f>VLOOKUP(A4,DOW!A$2:G$55,2,0)</f>
        <v>51.76</v>
      </c>
      <c r="AG4">
        <f>VLOOKUP(A4,DVN!A$2:G$55,2,0)</f>
        <v>78.94</v>
      </c>
      <c r="AH4">
        <f>VLOOKUP(A4,EBAY!A$2:G$55,2,0)</f>
        <v>50.96</v>
      </c>
      <c r="AI4">
        <f>VLOOKUP(A4,EMC!A$2:G$55,2,0)</f>
        <v>26.68</v>
      </c>
      <c r="AJ4">
        <f>VLOOKUP(A4,EMR!A$2:G$55,2,0)</f>
        <v>66.97</v>
      </c>
      <c r="AK4">
        <f>VLOOKUP(A4,EXC!A$2:G$55,2,0)</f>
        <v>34.369999999999997</v>
      </c>
      <c r="AL4">
        <f>VLOOKUP(A4,F!A$2:G$55,2,0)</f>
        <v>17.23</v>
      </c>
      <c r="AM4">
        <f>VLOOKUP(A4,FB!A$2:G$55,2,0)</f>
        <v>66.86</v>
      </c>
      <c r="AN4">
        <f>VLOOKUP(A4,FCX!A$2:G$55,2,0)</f>
        <v>38.159999999999997</v>
      </c>
      <c r="AO4">
        <f>VLOOKUP(A4,FDX!A$2:G$55,2,0)</f>
        <v>152.79</v>
      </c>
      <c r="AP4">
        <f>VLOOKUP(A4,FOXA!A$2:G$55,2,0)</f>
        <v>35.74</v>
      </c>
      <c r="AQ4">
        <f>VLOOKUP(A4,GD!A$2:G$55,2,0)</f>
        <v>116.05</v>
      </c>
      <c r="AR4">
        <f>VLOOKUP(A4,GE!A$2:G$55,2,0)</f>
        <v>26.81</v>
      </c>
      <c r="AS4">
        <f>VLOOKUP(A4,GILD!A$2:G$55,2,0)</f>
        <v>87.7</v>
      </c>
      <c r="AT4">
        <f>VLOOKUP(A4,GM!A$2:G$55,2,0)</f>
        <v>37.96</v>
      </c>
      <c r="AU4">
        <f>VLOOKUP(A4,GOOG!A$2:G$55,2,0)</f>
        <v>583.35</v>
      </c>
      <c r="AV4">
        <f>VLOOKUP(A4,GOOGL!A$2:G$55,2,0)</f>
        <v>591.70000000000005</v>
      </c>
      <c r="AW4">
        <f>VLOOKUP(A4,GS!A$2:G$55,2,0)</f>
        <v>167.83</v>
      </c>
      <c r="AX4">
        <f>VLOOKUP(A4,HAL!A$2:G$55,2,0)</f>
        <v>70.98</v>
      </c>
      <c r="AY4">
        <f>VLOOKUP(A4,HD!A$2:G$55,2,0)</f>
        <v>82.07</v>
      </c>
      <c r="AZ4">
        <f>VLOOKUP(A4,HON!A$2:G$55,2,0)</f>
        <v>94.78</v>
      </c>
      <c r="BA4">
        <f>VLOOKUP(A4,HPQ!A$2:G$55,2,0)</f>
        <v>34.04</v>
      </c>
      <c r="BB4">
        <f>VLOOKUP(A4,IBM!A$2:G$55,2,0)</f>
        <v>188.39</v>
      </c>
      <c r="BC4">
        <f>VLOOKUP(A4,INTC!A$2:G$55,2,0)</f>
        <v>31.08</v>
      </c>
      <c r="BD4">
        <f>VLOOKUP(A4,JNJ!A$2:G$55,2,0)</f>
        <v>105.87</v>
      </c>
      <c r="BE4">
        <f>VLOOKUP(A4,JPM!A$2:G$55,2,0)</f>
        <v>57.23</v>
      </c>
      <c r="BF4">
        <f>VLOOKUP(A4,KO!A$2:G$55,2,0)</f>
        <v>42.26</v>
      </c>
      <c r="BG4">
        <f>VLOOKUP(A4,LLY!A$2:G$55,2,0)</f>
        <v>62.9</v>
      </c>
      <c r="BH4">
        <f>VLOOKUP(A4,LMT!A$2:G$55,2,0)</f>
        <v>159.80000000000001</v>
      </c>
      <c r="BI4">
        <f>VLOOKUP(A4,LOW!A$2:G$55,2,0)</f>
        <v>48.22</v>
      </c>
      <c r="BJ4">
        <f>VLOOKUP(A4,MA!A$2:G$55,2,0)</f>
        <v>76.599999999999994</v>
      </c>
      <c r="BK4">
        <f>VLOOKUP(A4,MCD!A$2:G$55,2,0)</f>
        <v>101.32</v>
      </c>
      <c r="BL4">
        <f>VLOOKUP(A4,MDLZ!A$2:G$55,2,0)</f>
        <v>38.200000000000003</v>
      </c>
      <c r="BM4">
        <f>VLOOKUP(A4,MDT!A$2:G$55,2,0)</f>
        <v>64.180000000000007</v>
      </c>
      <c r="BN4">
        <f>VLOOKUP(A4,MET!A$2:G$55,2,0)</f>
        <v>56.7</v>
      </c>
      <c r="BO4">
        <f>VLOOKUP(A4,MMM!A$2:G$55,2,0)</f>
        <v>145.25</v>
      </c>
      <c r="BP4">
        <f>VLOOKUP(A4,MO!A$2:G$55,2,0)</f>
        <v>42.02</v>
      </c>
      <c r="BQ4">
        <f>VLOOKUP(A4,MON!A$2:G$55,2,0)</f>
        <v>126.55</v>
      </c>
      <c r="BR4">
        <f>VLOOKUP(A4,MRK!A$2:G$55,2,0)</f>
        <v>59.39</v>
      </c>
      <c r="BS4">
        <f>VLOOKUP(A4,MS!A$2:G$55,2,0)</f>
        <v>32.729999999999997</v>
      </c>
      <c r="BT4">
        <f>VLOOKUP(A4,MSFT!A$2:G$55,2,0)</f>
        <v>41.91</v>
      </c>
      <c r="BU4">
        <f>VLOOKUP(A4,NKE!A$2:G$55,2,0)</f>
        <v>77.53</v>
      </c>
      <c r="BV4">
        <f>VLOOKUP(A4,NOV!A$2:G$55,2,0)</f>
        <v>82.48</v>
      </c>
      <c r="BW4">
        <f>VLOOKUP(A4,NSC!A$2:G$55,2,0)</f>
        <v>103.82</v>
      </c>
      <c r="BX4">
        <f>VLOOKUP(A4,ORCL!A$2:G$55,2,0)</f>
        <v>40.98</v>
      </c>
      <c r="BY4">
        <f>VLOOKUP(A4,OXY!A$2:G$55,2,0)</f>
        <v>102.33</v>
      </c>
      <c r="BZ4">
        <f>VLOOKUP(A4,PEP!A$2:G$55,2,0)</f>
        <v>89.9</v>
      </c>
      <c r="CA4">
        <f>VLOOKUP(A4,PFE!A$2:G$55,2,0)</f>
        <v>30.61</v>
      </c>
      <c r="CB4">
        <f>VLOOKUP(A4,PG!A$2:G$55,2,0)</f>
        <v>79.930000000000007</v>
      </c>
      <c r="CC4">
        <f>VLOOKUP(A4,PM!A$2:G$55,2,0)</f>
        <v>84.76</v>
      </c>
      <c r="CD4">
        <f>VLOOKUP(A4,QCOM!A$2:G$55,2,0)</f>
        <v>80.5</v>
      </c>
      <c r="CE4">
        <f>VLOOKUP(A4,RTN!A$2:G$55,2,0)</f>
        <v>93.39</v>
      </c>
      <c r="CF4">
        <f>VLOOKUP(A4,SBUX!A$2:G$55,2,0)</f>
        <v>78.39</v>
      </c>
      <c r="CG4">
        <f>VLOOKUP(A4,SLB!A$2:G$55,2,0)</f>
        <v>117.74</v>
      </c>
      <c r="CH4">
        <f>VLOOKUP(A4,SO!A$2:G$55,2,0)</f>
        <v>44.07</v>
      </c>
      <c r="CI4">
        <f>VLOOKUP(A4,SPG!A$2:G$55,2,0)</f>
        <v>166.68</v>
      </c>
      <c r="CJ4">
        <f>VLOOKUP(A4,T!A$2:G$55,2,0)</f>
        <v>35.85</v>
      </c>
      <c r="CK4">
        <f>VLOOKUP(A4,TGT!A$2:G$55,2,0)</f>
        <v>59.12</v>
      </c>
      <c r="CL4">
        <f>VLOOKUP(A4,TWX!A$2:G$55,2,0)</f>
        <v>71</v>
      </c>
      <c r="CM4">
        <f>VLOOKUP(A4,TXN!A$2:G$55,2,0)</f>
        <v>48.58</v>
      </c>
      <c r="CN4">
        <f>VLOOKUP(A4,UNH!A$2:G$55,2,0)</f>
        <v>82.59</v>
      </c>
      <c r="CO4">
        <f>VLOOKUP(A4,UNP!A$2:G$55,2,0)</f>
        <v>100.19</v>
      </c>
      <c r="CP4">
        <f>VLOOKUP(A4,UPS!A$2:G$55,2,0)</f>
        <v>103.72</v>
      </c>
      <c r="CQ4">
        <f>VLOOKUP(A4,USB!A$2:G$55,2,0)</f>
        <v>43.67</v>
      </c>
      <c r="CR4">
        <f>VLOOKUP(A4,UTX!A$2:G$55,2,0)</f>
        <v>115.52</v>
      </c>
      <c r="CS4">
        <f>VLOOKUP(A4,V!A$2:G$55,2,0)</f>
        <v>215.31</v>
      </c>
      <c r="CT4">
        <f>VLOOKUP(A4,VZ!A$2:G$55,2,0)</f>
        <v>49.9</v>
      </c>
      <c r="CU4">
        <f>VLOOKUP(A4,WAG!A$2:G$55,2,0)</f>
        <v>73.31</v>
      </c>
      <c r="CV4">
        <f>VLOOKUP(A4,WFC!A$2:G$55,2,0)</f>
        <v>52.89</v>
      </c>
      <c r="CW4">
        <f>VLOOKUP(A4,WMT!A$2:G$55,2,0)</f>
        <v>75.61</v>
      </c>
    </row>
    <row r="5" spans="1:101" x14ac:dyDescent="0.25">
      <c r="A5" s="34">
        <v>41827</v>
      </c>
      <c r="B5" s="36">
        <v>94.14</v>
      </c>
      <c r="C5">
        <f>VLOOKUP(A5,ABBV!A$2:G$55,2,0)</f>
        <v>57.91</v>
      </c>
      <c r="D5">
        <f>VLOOKUP(A5,ABT!A$2:G$55,2,0)</f>
        <v>41.68</v>
      </c>
      <c r="E5">
        <f>VLOOKUP(A5,ACN!A$2:G$55,2,0)</f>
        <v>81.12</v>
      </c>
      <c r="F5">
        <f>VLOOKUP(A5,AIG!A$2:G$55,2,0)</f>
        <v>55.41</v>
      </c>
      <c r="G5">
        <f>VLOOKUP(A5,ALL!A$2:G$55,2,0)</f>
        <v>58.72</v>
      </c>
      <c r="H5">
        <f>VLOOKUP(A5,AMGN!A$2:G$55,2,0)</f>
        <v>121.85</v>
      </c>
      <c r="I5">
        <f>VLOOKUP(A5,AMZN!A$2:G$55,2,0)</f>
        <v>337.5</v>
      </c>
      <c r="J5">
        <f>VLOOKUP(A5,APA!A$2:G$55,2,0)</f>
        <v>100.46</v>
      </c>
      <c r="K5">
        <f>VLOOKUP(A5,APC!A$2:G$55,2,0)</f>
        <v>107.6</v>
      </c>
      <c r="L5">
        <f>VLOOKUP(A5,AXP!A$2:G$55,2,0)</f>
        <v>95.5</v>
      </c>
      <c r="M5">
        <f>VLOOKUP(A5,BA!A$2:G$55,2,0)</f>
        <v>128.1</v>
      </c>
      <c r="N5">
        <f>VLOOKUP(A5,BAC!A$2:G$55,2,0)</f>
        <v>15.99</v>
      </c>
      <c r="O5">
        <f>VLOOKUP(A5,BAX!A$2:G$55,2,0)</f>
        <v>74.83</v>
      </c>
      <c r="P5">
        <f>VLOOKUP(A5,BIIB!A$2:G$55,2,0)</f>
        <v>329.4</v>
      </c>
      <c r="Q5">
        <f>VLOOKUP(A5,BK!A$2:G$55,2,0)</f>
        <v>37.5</v>
      </c>
      <c r="R5">
        <f>VLOOKUP(A5,BMY!A$2:G$55,2,0)</f>
        <v>48.48</v>
      </c>
      <c r="T5">
        <f>VLOOKUP(A5,'C'!A$2:G$55,2,0)</f>
        <v>48.05</v>
      </c>
      <c r="U5">
        <f>VLOOKUP(A5,CAT!A$2:G$55,2,0)</f>
        <v>110.18</v>
      </c>
      <c r="V5">
        <f>VLOOKUP(A5,CL!A$2:G$55,2,0)</f>
        <v>68.790000000000006</v>
      </c>
      <c r="W5">
        <f>VLOOKUP(A5,CMCSA!A$2:G$55,2,0)</f>
        <v>54.55</v>
      </c>
      <c r="X5">
        <f>VLOOKUP(A5,COF!A$2:G$55,2,0)</f>
        <v>84.31</v>
      </c>
      <c r="Y5">
        <f>VLOOKUP(A5,COP!A$2:G$55,2,0)</f>
        <v>85.84</v>
      </c>
      <c r="Z5">
        <f>VLOOKUP(A5,COST!A$2:G$55,2,0)</f>
        <v>116.33</v>
      </c>
      <c r="AA5">
        <f>VLOOKUP(A5,CSCO!A$2:G$55,2,0)</f>
        <v>25</v>
      </c>
      <c r="AB5">
        <f>VLOOKUP(A5,CVS!A$2:G$55,2,0)</f>
        <v>76.61</v>
      </c>
      <c r="AC5">
        <f>VLOOKUP(A5,CVX!A$2:G$55,2,0)</f>
        <v>130.44</v>
      </c>
      <c r="AD5">
        <f>VLOOKUP(A5,DD!A$2:G$55,2,0)</f>
        <v>65.56</v>
      </c>
      <c r="AE5">
        <f>VLOOKUP(A5,DIS!A$2:G$55,2,0)</f>
        <v>86.61</v>
      </c>
      <c r="AF5">
        <f>VLOOKUP(A5,DOW!A$2:G$55,2,0)</f>
        <v>51.62</v>
      </c>
      <c r="AG5">
        <f>VLOOKUP(A5,DVN!A$2:G$55,2,0)</f>
        <v>79.86</v>
      </c>
      <c r="AH5">
        <f>VLOOKUP(A5,EBAY!A$2:G$55,2,0)</f>
        <v>50.93</v>
      </c>
      <c r="AI5">
        <f>VLOOKUP(A5,EMC!A$2:G$55,2,0)</f>
        <v>26.81</v>
      </c>
      <c r="AJ5">
        <f>VLOOKUP(A5,EMR!A$2:G$55,2,0)</f>
        <v>67.36</v>
      </c>
      <c r="AK5">
        <f>VLOOKUP(A5,EXC!A$2:G$55,2,0)</f>
        <v>34.06</v>
      </c>
      <c r="AL5">
        <f>VLOOKUP(A5,F!A$2:G$55,2,0)</f>
        <v>17.190000000000001</v>
      </c>
      <c r="AM5">
        <f>VLOOKUP(A5,FB!A$2:G$55,2,0)</f>
        <v>66.3</v>
      </c>
      <c r="AN5">
        <f>VLOOKUP(A5,FCX!A$2:G$55,2,0)</f>
        <v>38.47</v>
      </c>
      <c r="AO5">
        <f>VLOOKUP(A5,FDX!A$2:G$55,2,0)</f>
        <v>152.86000000000001</v>
      </c>
      <c r="AP5">
        <f>VLOOKUP(A5,FOXA!A$2:G$55,2,0)</f>
        <v>36.06</v>
      </c>
      <c r="AQ5">
        <f>VLOOKUP(A5,GD!A$2:G$55,2,0)</f>
        <v>116.17</v>
      </c>
      <c r="AR5">
        <f>VLOOKUP(A5,GE!A$2:G$55,2,0)</f>
        <v>26.8</v>
      </c>
      <c r="AS5">
        <f>VLOOKUP(A5,GILD!A$2:G$55,2,0)</f>
        <v>88.06</v>
      </c>
      <c r="AT5">
        <f>VLOOKUP(A5,GM!A$2:G$55,2,0)</f>
        <v>37.909999999999997</v>
      </c>
      <c r="AU5">
        <f>VLOOKUP(A5,GOOG!A$2:G$55,2,0)</f>
        <v>583.76</v>
      </c>
      <c r="AV5">
        <f>VLOOKUP(A5,GOOGL!A$2:G$55,2,0)</f>
        <v>593.51</v>
      </c>
      <c r="AW5">
        <f>VLOOKUP(A5,GS!A$2:G$55,2,0)</f>
        <v>168.97</v>
      </c>
      <c r="AX5">
        <f>VLOOKUP(A5,HAL!A$2:G$55,2,0)</f>
        <v>70.27</v>
      </c>
      <c r="AY5">
        <f>VLOOKUP(A5,HD!A$2:G$55,2,0)</f>
        <v>81.73</v>
      </c>
      <c r="AZ5">
        <f>VLOOKUP(A5,HON!A$2:G$55,2,0)</f>
        <v>94.72</v>
      </c>
      <c r="BA5">
        <f>VLOOKUP(A5,HPQ!A$2:G$55,2,0)</f>
        <v>33.909999999999997</v>
      </c>
      <c r="BB5">
        <f>VLOOKUP(A5,IBM!A$2:G$55,2,0)</f>
        <v>187.61</v>
      </c>
      <c r="BC5">
        <f>VLOOKUP(A5,INTC!A$2:G$55,2,0)</f>
        <v>31.09</v>
      </c>
      <c r="BD5">
        <f>VLOOKUP(A5,JNJ!A$2:G$55,2,0)</f>
        <v>105.42</v>
      </c>
      <c r="BE5">
        <f>VLOOKUP(A5,JPM!A$2:G$55,2,0)</f>
        <v>56.89</v>
      </c>
      <c r="BF5">
        <f>VLOOKUP(A5,KO!A$2:G$55,2,0)</f>
        <v>41.96</v>
      </c>
      <c r="BG5">
        <f>VLOOKUP(A5,LLY!A$2:G$55,2,0)</f>
        <v>62.83</v>
      </c>
      <c r="BH5">
        <f>VLOOKUP(A5,LMT!A$2:G$55,2,0)</f>
        <v>159.25</v>
      </c>
      <c r="BI5">
        <f>VLOOKUP(A5,LOW!A$2:G$55,2,0)</f>
        <v>48.1</v>
      </c>
      <c r="BJ5">
        <f>VLOOKUP(A5,MA!A$2:G$55,2,0)</f>
        <v>76.44</v>
      </c>
      <c r="BK5">
        <f>VLOOKUP(A5,MCD!A$2:G$55,2,0)</f>
        <v>100.75</v>
      </c>
      <c r="BL5">
        <f>VLOOKUP(A5,MDLZ!A$2:G$55,2,0)</f>
        <v>37.97</v>
      </c>
      <c r="BM5">
        <f>VLOOKUP(A5,MDT!A$2:G$55,2,0)</f>
        <v>63.91</v>
      </c>
      <c r="BN5">
        <f>VLOOKUP(A5,MET!A$2:G$55,2,0)</f>
        <v>56.99</v>
      </c>
      <c r="BO5">
        <f>VLOOKUP(A5,MMM!A$2:G$55,2,0)</f>
        <v>145.47999999999999</v>
      </c>
      <c r="BP5">
        <f>VLOOKUP(A5,MO!A$2:G$55,2,0)</f>
        <v>42.25</v>
      </c>
      <c r="BQ5">
        <f>VLOOKUP(A5,MON!A$2:G$55,2,0)</f>
        <v>126.03</v>
      </c>
      <c r="BR5">
        <f>VLOOKUP(A5,MRK!A$2:G$55,2,0)</f>
        <v>58.91</v>
      </c>
      <c r="BS5">
        <f>VLOOKUP(A5,MS!A$2:G$55,2,0)</f>
        <v>32.51</v>
      </c>
      <c r="BT5">
        <f>VLOOKUP(A5,MSFT!A$2:G$55,2,0)</f>
        <v>41.75</v>
      </c>
      <c r="BU5">
        <f>VLOOKUP(A5,NKE!A$2:G$55,2,0)</f>
        <v>78</v>
      </c>
      <c r="BV5">
        <f>VLOOKUP(A5,NOV!A$2:G$55,2,0)</f>
        <v>82.81</v>
      </c>
      <c r="BW5">
        <f>VLOOKUP(A5,NSC!A$2:G$55,2,0)</f>
        <v>103.58</v>
      </c>
      <c r="BX5">
        <f>VLOOKUP(A5,ORCL!A$2:G$55,2,0)</f>
        <v>41.01</v>
      </c>
      <c r="BY5">
        <f>VLOOKUP(A5,OXY!A$2:G$55,2,0)</f>
        <v>102.27</v>
      </c>
      <c r="BZ5">
        <f>VLOOKUP(A5,PEP!A$2:G$55,2,0)</f>
        <v>89.61</v>
      </c>
      <c r="CA5">
        <f>VLOOKUP(A5,PFE!A$2:G$55,2,0)</f>
        <v>30.49</v>
      </c>
      <c r="CB5">
        <f>VLOOKUP(A5,PG!A$2:G$55,2,0)</f>
        <v>79.75</v>
      </c>
      <c r="CC5">
        <f>VLOOKUP(A5,PM!A$2:G$55,2,0)</f>
        <v>85.58</v>
      </c>
      <c r="CD5">
        <f>VLOOKUP(A5,QCOM!A$2:G$55,2,0)</f>
        <v>80.67</v>
      </c>
      <c r="CE5">
        <f>VLOOKUP(A5,RTN!A$2:G$55,2,0)</f>
        <v>93.29</v>
      </c>
      <c r="CF5">
        <f>VLOOKUP(A5,SBUX!A$2:G$55,2,0)</f>
        <v>78.78</v>
      </c>
      <c r="CG5">
        <f>VLOOKUP(A5,SLB!A$2:G$55,2,0)</f>
        <v>117.34</v>
      </c>
      <c r="CH5">
        <f>VLOOKUP(A5,SO!A$2:G$55,2,0)</f>
        <v>43.92</v>
      </c>
      <c r="CI5">
        <f>VLOOKUP(A5,SPG!A$2:G$55,2,0)</f>
        <v>166.13</v>
      </c>
      <c r="CJ5">
        <f>VLOOKUP(A5,T!A$2:G$55,2,0)</f>
        <v>35.9</v>
      </c>
      <c r="CK5">
        <f>VLOOKUP(A5,TGT!A$2:G$55,2,0)</f>
        <v>59.36</v>
      </c>
      <c r="CL5">
        <f>VLOOKUP(A5,TWX!A$2:G$55,2,0)</f>
        <v>70.88</v>
      </c>
      <c r="CM5">
        <f>VLOOKUP(A5,TXN!A$2:G$55,2,0)</f>
        <v>48.73</v>
      </c>
      <c r="CN5">
        <f>VLOOKUP(A5,UNH!A$2:G$55,2,0)</f>
        <v>82.99</v>
      </c>
      <c r="CO5">
        <f>VLOOKUP(A5,UNP!A$2:G$55,2,0)</f>
        <v>101.2</v>
      </c>
      <c r="CP5">
        <f>VLOOKUP(A5,UPS!A$2:G$55,2,0)</f>
        <v>103.94</v>
      </c>
      <c r="CQ5">
        <f>VLOOKUP(A5,USB!A$2:G$55,2,0)</f>
        <v>43.53</v>
      </c>
      <c r="CR5">
        <f>VLOOKUP(A5,UTX!A$2:G$55,2,0)</f>
        <v>115.61</v>
      </c>
      <c r="CS5">
        <f>VLOOKUP(A5,V!A$2:G$55,2,0)</f>
        <v>216.43</v>
      </c>
      <c r="CT5">
        <f>VLOOKUP(A5,VZ!A$2:G$55,2,0)</f>
        <v>49.61</v>
      </c>
      <c r="CU5">
        <f>VLOOKUP(A5,WAG!A$2:G$55,2,0)</f>
        <v>73.87</v>
      </c>
      <c r="CV5">
        <f>VLOOKUP(A5,WFC!A$2:G$55,2,0)</f>
        <v>52.9</v>
      </c>
      <c r="CW5">
        <f>VLOOKUP(A5,WMT!A$2:G$55,2,0)</f>
        <v>75.69</v>
      </c>
    </row>
    <row r="6" spans="1:101" x14ac:dyDescent="0.25">
      <c r="A6" s="34">
        <v>41828</v>
      </c>
      <c r="B6" s="36">
        <v>96.27</v>
      </c>
      <c r="C6">
        <f>VLOOKUP(A6,ABBV!A$2:G$55,2,0)</f>
        <v>56.68</v>
      </c>
      <c r="D6">
        <f>VLOOKUP(A6,ABT!A$2:G$55,2,0)</f>
        <v>41.33</v>
      </c>
      <c r="E6">
        <f>VLOOKUP(A6,ACN!A$2:G$55,2,0)</f>
        <v>80.989999999999995</v>
      </c>
      <c r="F6">
        <f>VLOOKUP(A6,AIG!A$2:G$55,2,0)</f>
        <v>55.1</v>
      </c>
      <c r="G6">
        <f>VLOOKUP(A6,ALL!A$2:G$55,2,0)</f>
        <v>58.48</v>
      </c>
      <c r="H6">
        <f>VLOOKUP(A6,AMGN!A$2:G$55,2,0)</f>
        <v>119.99</v>
      </c>
      <c r="I6">
        <f>VLOOKUP(A6,AMZN!A$2:G$55,2,0)</f>
        <v>333.1</v>
      </c>
      <c r="J6">
        <f>VLOOKUP(A6,APA!A$2:G$55,2,0)</f>
        <v>98.59</v>
      </c>
      <c r="K6">
        <f>VLOOKUP(A6,APC!A$2:G$55,2,0)</f>
        <v>106.49</v>
      </c>
      <c r="L6">
        <f>VLOOKUP(A6,AXP!A$2:G$55,2,0)</f>
        <v>94.92</v>
      </c>
      <c r="M6">
        <f>VLOOKUP(A6,BA!A$2:G$55,2,0)</f>
        <v>128.88999999999999</v>
      </c>
      <c r="N6">
        <f>VLOOKUP(A6,BAC!A$2:G$55,2,0)</f>
        <v>15.82</v>
      </c>
      <c r="O6">
        <f>VLOOKUP(A6,BAX!A$2:G$55,2,0)</f>
        <v>74.75</v>
      </c>
      <c r="P6">
        <f>VLOOKUP(A6,BIIB!A$2:G$55,2,0)</f>
        <v>324</v>
      </c>
      <c r="Q6">
        <f>VLOOKUP(A6,BK!A$2:G$55,2,0)</f>
        <v>37.619999999999997</v>
      </c>
      <c r="R6">
        <f>VLOOKUP(A6,BMY!A$2:G$55,2,0)</f>
        <v>47.77</v>
      </c>
      <c r="T6">
        <f>VLOOKUP(A6,'C'!A$2:G$55,2,0)</f>
        <v>47.7</v>
      </c>
      <c r="U6">
        <f>VLOOKUP(A6,CAT!A$2:G$55,2,0)</f>
        <v>110.21</v>
      </c>
      <c r="V6">
        <f>VLOOKUP(A6,CL!A$2:G$55,2,0)</f>
        <v>68.59</v>
      </c>
      <c r="W6">
        <f>VLOOKUP(A6,CMCSA!A$2:G$55,2,0)</f>
        <v>53.92</v>
      </c>
      <c r="X6">
        <f>VLOOKUP(A6,COF!A$2:G$55,2,0)</f>
        <v>83.29</v>
      </c>
      <c r="Y6">
        <f>VLOOKUP(A6,COP!A$2:G$55,2,0)</f>
        <v>85.98</v>
      </c>
      <c r="Z6">
        <f>VLOOKUP(A6,COST!A$2:G$55,2,0)</f>
        <v>116.45</v>
      </c>
      <c r="AA6">
        <f>VLOOKUP(A6,CSCO!A$2:G$55,2,0)</f>
        <v>25.21</v>
      </c>
      <c r="AB6">
        <f>VLOOKUP(A6,CVS!A$2:G$55,2,0)</f>
        <v>76.58</v>
      </c>
      <c r="AC6">
        <f>VLOOKUP(A6,CVX!A$2:G$55,2,0)</f>
        <v>129.69999999999999</v>
      </c>
      <c r="AD6">
        <f>VLOOKUP(A6,DD!A$2:G$55,2,0)</f>
        <v>65.650000000000006</v>
      </c>
      <c r="AE6">
        <f>VLOOKUP(A6,DIS!A$2:G$55,2,0)</f>
        <v>86.19</v>
      </c>
      <c r="AF6">
        <f>VLOOKUP(A6,DOW!A$2:G$55,2,0)</f>
        <v>51.27</v>
      </c>
      <c r="AG6">
        <f>VLOOKUP(A6,DVN!A$2:G$55,2,0)</f>
        <v>78.430000000000007</v>
      </c>
      <c r="AH6">
        <f>VLOOKUP(A6,EBAY!A$2:G$55,2,0)</f>
        <v>50.61</v>
      </c>
      <c r="AI6">
        <f>VLOOKUP(A6,EMC!A$2:G$55,2,0)</f>
        <v>26.78</v>
      </c>
      <c r="AJ6">
        <f>VLOOKUP(A6,EMR!A$2:G$55,2,0)</f>
        <v>67.38</v>
      </c>
      <c r="AK6">
        <f>VLOOKUP(A6,EXC!A$2:G$55,2,0)</f>
        <v>34.479999999999997</v>
      </c>
      <c r="AL6">
        <f>VLOOKUP(A6,F!A$2:G$55,2,0)</f>
        <v>17.22</v>
      </c>
      <c r="AM6">
        <f>VLOOKUP(A6,FB!A$2:G$55,2,0)</f>
        <v>65.06</v>
      </c>
      <c r="AN6">
        <f>VLOOKUP(A6,FCX!A$2:G$55,2,0)</f>
        <v>38.479999999999997</v>
      </c>
      <c r="AO6">
        <f>VLOOKUP(A6,FDX!A$2:G$55,2,0)</f>
        <v>151.37</v>
      </c>
      <c r="AP6">
        <f>VLOOKUP(A6,FOXA!A$2:G$55,2,0)</f>
        <v>35.67</v>
      </c>
      <c r="AQ6">
        <f>VLOOKUP(A6,GD!A$2:G$55,2,0)</f>
        <v>115.67</v>
      </c>
      <c r="AR6">
        <f>VLOOKUP(A6,GE!A$2:G$55,2,0)</f>
        <v>26.62</v>
      </c>
      <c r="AS6">
        <f>VLOOKUP(A6,GILD!A$2:G$55,2,0)</f>
        <v>86.84</v>
      </c>
      <c r="AT6">
        <f>VLOOKUP(A6,GM!A$2:G$55,2,0)</f>
        <v>37.409999999999997</v>
      </c>
      <c r="AU6">
        <f>VLOOKUP(A6,GOOG!A$2:G$55,2,0)</f>
        <v>577.66</v>
      </c>
      <c r="AV6">
        <f>VLOOKUP(A6,GOOGL!A$2:G$55,2,0)</f>
        <v>586.37</v>
      </c>
      <c r="AW6">
        <f>VLOOKUP(A6,GS!A$2:G$55,2,0)</f>
        <v>166.74</v>
      </c>
      <c r="AX6">
        <f>VLOOKUP(A6,HAL!A$2:G$55,2,0)</f>
        <v>70.03</v>
      </c>
      <c r="AY6">
        <f>VLOOKUP(A6,HD!A$2:G$55,2,0)</f>
        <v>81.42</v>
      </c>
      <c r="AZ6">
        <f>VLOOKUP(A6,HON!A$2:G$55,2,0)</f>
        <v>94.31</v>
      </c>
      <c r="BA6">
        <f>VLOOKUP(A6,HPQ!A$2:G$55,2,0)</f>
        <v>33.880000000000003</v>
      </c>
      <c r="BB6">
        <f>VLOOKUP(A6,IBM!A$2:G$55,2,0)</f>
        <v>187.65</v>
      </c>
      <c r="BC6">
        <f>VLOOKUP(A6,INTC!A$2:G$55,2,0)</f>
        <v>31</v>
      </c>
      <c r="BD6">
        <f>VLOOKUP(A6,JNJ!A$2:G$55,2,0)</f>
        <v>106.21</v>
      </c>
      <c r="BE6">
        <f>VLOOKUP(A6,JPM!A$2:G$55,2,0)</f>
        <v>56.35</v>
      </c>
      <c r="BF6">
        <f>VLOOKUP(A6,KO!A$2:G$55,2,0)</f>
        <v>41.97</v>
      </c>
      <c r="BG6">
        <f>VLOOKUP(A6,LLY!A$2:G$55,2,0)</f>
        <v>62.49</v>
      </c>
      <c r="BH6">
        <f>VLOOKUP(A6,LMT!A$2:G$55,2,0)</f>
        <v>158.44</v>
      </c>
      <c r="BI6">
        <f>VLOOKUP(A6,LOW!A$2:G$55,2,0)</f>
        <v>48.08</v>
      </c>
      <c r="BJ6">
        <f>VLOOKUP(A6,MA!A$2:G$55,2,0)</f>
        <v>76.11</v>
      </c>
      <c r="BK6">
        <f>VLOOKUP(A6,MCD!A$2:G$55,2,0)</f>
        <v>99.79</v>
      </c>
      <c r="BL6">
        <f>VLOOKUP(A6,MDLZ!A$2:G$55,2,0)</f>
        <v>37.81</v>
      </c>
      <c r="BM6">
        <f>VLOOKUP(A6,MDT!A$2:G$55,2,0)</f>
        <v>64.08</v>
      </c>
      <c r="BN6">
        <f>VLOOKUP(A6,MET!A$2:G$55,2,0)</f>
        <v>56.61</v>
      </c>
      <c r="BO6">
        <f>VLOOKUP(A6,MMM!A$2:G$55,2,0)</f>
        <v>145.22</v>
      </c>
      <c r="BP6">
        <f>VLOOKUP(A6,MO!A$2:G$55,2,0)</f>
        <v>42.65</v>
      </c>
      <c r="BQ6">
        <f>VLOOKUP(A6,MON!A$2:G$55,2,0)</f>
        <v>125</v>
      </c>
      <c r="BR6">
        <f>VLOOKUP(A6,MRK!A$2:G$55,2,0)</f>
        <v>58.66</v>
      </c>
      <c r="BS6">
        <f>VLOOKUP(A6,MS!A$2:G$55,2,0)</f>
        <v>32.19</v>
      </c>
      <c r="BT6">
        <f>VLOOKUP(A6,MSFT!A$2:G$55,2,0)</f>
        <v>41.87</v>
      </c>
      <c r="BU6">
        <f>VLOOKUP(A6,NKE!A$2:G$55,2,0)</f>
        <v>78.31</v>
      </c>
      <c r="BV6">
        <f>VLOOKUP(A6,NOV!A$2:G$55,2,0)</f>
        <v>82.56</v>
      </c>
      <c r="BW6">
        <f>VLOOKUP(A6,NSC!A$2:G$55,2,0)</f>
        <v>103.18</v>
      </c>
      <c r="BX6">
        <f>VLOOKUP(A6,ORCL!A$2:G$55,2,0)</f>
        <v>40.69</v>
      </c>
      <c r="BY6">
        <f>VLOOKUP(A6,OXY!A$2:G$55,2,0)</f>
        <v>101.48</v>
      </c>
      <c r="BZ6">
        <f>VLOOKUP(A6,PEP!A$2:G$55,2,0)</f>
        <v>90.06</v>
      </c>
      <c r="CA6">
        <f>VLOOKUP(A6,PFE!A$2:G$55,2,0)</f>
        <v>30.48</v>
      </c>
      <c r="CB6">
        <f>VLOOKUP(A6,PG!A$2:G$55,2,0)</f>
        <v>80.03</v>
      </c>
      <c r="CC6">
        <f>VLOOKUP(A6,PM!A$2:G$55,2,0)</f>
        <v>86.13</v>
      </c>
      <c r="CD6">
        <f>VLOOKUP(A6,QCOM!A$2:G$55,2,0)</f>
        <v>80.63</v>
      </c>
      <c r="CE6">
        <f>VLOOKUP(A6,RTN!A$2:G$55,2,0)</f>
        <v>92.03</v>
      </c>
      <c r="CF6">
        <f>VLOOKUP(A6,SBUX!A$2:G$55,2,0)</f>
        <v>78.64</v>
      </c>
      <c r="CG6">
        <f>VLOOKUP(A6,SLB!A$2:G$55,2,0)</f>
        <v>117.05</v>
      </c>
      <c r="CH6">
        <f>VLOOKUP(A6,SO!A$2:G$55,2,0)</f>
        <v>44.25</v>
      </c>
      <c r="CI6">
        <f>VLOOKUP(A6,SPG!A$2:G$55,2,0)</f>
        <v>165.95</v>
      </c>
      <c r="CJ6">
        <f>VLOOKUP(A6,T!A$2:G$55,2,0)</f>
        <v>35.54</v>
      </c>
      <c r="CK6">
        <f>VLOOKUP(A6,TGT!A$2:G$55,2,0)</f>
        <v>59.75</v>
      </c>
      <c r="CL6">
        <f>VLOOKUP(A6,TWX!A$2:G$55,2,0)</f>
        <v>71.03</v>
      </c>
      <c r="CM6">
        <f>VLOOKUP(A6,TXN!A$2:G$55,2,0)</f>
        <v>48.52</v>
      </c>
      <c r="CN6">
        <f>VLOOKUP(A6,UNH!A$2:G$55,2,0)</f>
        <v>82.02</v>
      </c>
      <c r="CO6">
        <f>VLOOKUP(A6,UNP!A$2:G$55,2,0)</f>
        <v>100.02</v>
      </c>
      <c r="CP6">
        <f>VLOOKUP(A6,UPS!A$2:G$55,2,0)</f>
        <v>103.12</v>
      </c>
      <c r="CQ6">
        <f>VLOOKUP(A6,USB!A$2:G$55,2,0)</f>
        <v>43.23</v>
      </c>
      <c r="CR6">
        <f>VLOOKUP(A6,UTX!A$2:G$55,2,0)</f>
        <v>114.75</v>
      </c>
      <c r="CS6">
        <f>VLOOKUP(A6,V!A$2:G$55,2,0)</f>
        <v>216.77</v>
      </c>
      <c r="CT6">
        <f>VLOOKUP(A6,VZ!A$2:G$55,2,0)</f>
        <v>49.01</v>
      </c>
      <c r="CU6">
        <f>VLOOKUP(A6,WAG!A$2:G$55,2,0)</f>
        <v>73.14</v>
      </c>
      <c r="CV6">
        <f>VLOOKUP(A6,WFC!A$2:G$55,2,0)</f>
        <v>52.3</v>
      </c>
      <c r="CW6">
        <f>VLOOKUP(A6,WMT!A$2:G$55,2,0)</f>
        <v>76.09</v>
      </c>
    </row>
    <row r="7" spans="1:101" x14ac:dyDescent="0.25">
      <c r="A7" s="34">
        <v>41829</v>
      </c>
      <c r="B7" s="36">
        <v>95.44</v>
      </c>
      <c r="C7">
        <f>VLOOKUP(A7,ABBV!A$2:G$55,2,0)</f>
        <v>55.56</v>
      </c>
      <c r="D7">
        <f>VLOOKUP(A7,ABT!A$2:G$55,2,0)</f>
        <v>41.21</v>
      </c>
      <c r="E7">
        <f>VLOOKUP(A7,ACN!A$2:G$55,2,0)</f>
        <v>81.150000000000006</v>
      </c>
      <c r="F7">
        <f>VLOOKUP(A7,AIG!A$2:G$55,2,0)</f>
        <v>55.15</v>
      </c>
      <c r="G7">
        <f>VLOOKUP(A7,ALL!A$2:G$55,2,0)</f>
        <v>58.38</v>
      </c>
      <c r="H7">
        <f>VLOOKUP(A7,AMGN!A$2:G$55,2,0)</f>
        <v>120.45</v>
      </c>
      <c r="I7">
        <f>VLOOKUP(A7,AMZN!A$2:G$55,2,0)</f>
        <v>324.70999999999998</v>
      </c>
      <c r="J7">
        <f>VLOOKUP(A7,APA!A$2:G$55,2,0)</f>
        <v>98.5</v>
      </c>
      <c r="K7">
        <f>VLOOKUP(A7,APC!A$2:G$55,2,0)</f>
        <v>107.61</v>
      </c>
      <c r="L7">
        <f>VLOOKUP(A7,AXP!A$2:G$55,2,0)</f>
        <v>95.44</v>
      </c>
      <c r="M7">
        <f>VLOOKUP(A7,BA!A$2:G$55,2,0)</f>
        <v>128.31</v>
      </c>
      <c r="N7">
        <f>VLOOKUP(A7,BAC!A$2:G$55,2,0)</f>
        <v>15.62</v>
      </c>
      <c r="O7">
        <f>VLOOKUP(A7,BAX!A$2:G$55,2,0)</f>
        <v>75.14</v>
      </c>
      <c r="P7">
        <f>VLOOKUP(A7,BIIB!A$2:G$55,2,0)</f>
        <v>322.62</v>
      </c>
      <c r="Q7">
        <f>VLOOKUP(A7,BK!A$2:G$55,2,0)</f>
        <v>38.17</v>
      </c>
      <c r="R7">
        <f>VLOOKUP(A7,BMY!A$2:G$55,2,0)</f>
        <v>47.86</v>
      </c>
      <c r="T7">
        <f>VLOOKUP(A7,'C'!A$2:G$55,2,0)</f>
        <v>47.47</v>
      </c>
      <c r="U7">
        <f>VLOOKUP(A7,CAT!A$2:G$55,2,0)</f>
        <v>109.79</v>
      </c>
      <c r="V7">
        <f>VLOOKUP(A7,CL!A$2:G$55,2,0)</f>
        <v>69.53</v>
      </c>
      <c r="W7">
        <f>VLOOKUP(A7,CMCSA!A$2:G$55,2,0)</f>
        <v>53.56</v>
      </c>
      <c r="X7">
        <f>VLOOKUP(A7,COF!A$2:G$55,2,0)</f>
        <v>84.15</v>
      </c>
      <c r="Y7">
        <f>VLOOKUP(A7,COP!A$2:G$55,2,0)</f>
        <v>86.07</v>
      </c>
      <c r="Z7">
        <f>VLOOKUP(A7,COST!A$2:G$55,2,0)</f>
        <v>117.21</v>
      </c>
      <c r="AA7">
        <f>VLOOKUP(A7,CSCO!A$2:G$55,2,0)</f>
        <v>25.22</v>
      </c>
      <c r="AB7">
        <f>VLOOKUP(A7,CVS!A$2:G$55,2,0)</f>
        <v>76.849999999999994</v>
      </c>
      <c r="AC7">
        <f>VLOOKUP(A7,CVX!A$2:G$55,2,0)</f>
        <v>130.27000000000001</v>
      </c>
      <c r="AD7">
        <f>VLOOKUP(A7,DD!A$2:G$55,2,0)</f>
        <v>65.349999999999994</v>
      </c>
      <c r="AE7">
        <f>VLOOKUP(A7,DIS!A$2:G$55,2,0)</f>
        <v>86</v>
      </c>
      <c r="AF7">
        <f>VLOOKUP(A7,DOW!A$2:G$55,2,0)</f>
        <v>51.16</v>
      </c>
      <c r="AG7">
        <f>VLOOKUP(A7,DVN!A$2:G$55,2,0)</f>
        <v>78.42</v>
      </c>
      <c r="AH7">
        <f>VLOOKUP(A7,EBAY!A$2:G$55,2,0)</f>
        <v>50.3</v>
      </c>
      <c r="AI7">
        <f>VLOOKUP(A7,EMC!A$2:G$55,2,0)</f>
        <v>26.45</v>
      </c>
      <c r="AJ7">
        <f>VLOOKUP(A7,EMR!A$2:G$55,2,0)</f>
        <v>67.89</v>
      </c>
      <c r="AK7">
        <f>VLOOKUP(A7,EXC!A$2:G$55,2,0)</f>
        <v>34.369999999999997</v>
      </c>
      <c r="AL7">
        <f>VLOOKUP(A7,F!A$2:G$55,2,0)</f>
        <v>17.16</v>
      </c>
      <c r="AM7">
        <f>VLOOKUP(A7,FB!A$2:G$55,2,0)</f>
        <v>63.41</v>
      </c>
      <c r="AN7">
        <f>VLOOKUP(A7,FCX!A$2:G$55,2,0)</f>
        <v>38.950000000000003</v>
      </c>
      <c r="AO7">
        <f>VLOOKUP(A7,FDX!A$2:G$55,2,0)</f>
        <v>151.61000000000001</v>
      </c>
      <c r="AP7">
        <f>VLOOKUP(A7,FOXA!A$2:G$55,2,0)</f>
        <v>35.18</v>
      </c>
      <c r="AQ7">
        <f>VLOOKUP(A7,GD!A$2:G$55,2,0)</f>
        <v>115</v>
      </c>
      <c r="AR7">
        <f>VLOOKUP(A7,GE!A$2:G$55,2,0)</f>
        <v>26.43</v>
      </c>
      <c r="AS7">
        <f>VLOOKUP(A7,GILD!A$2:G$55,2,0)</f>
        <v>87.25</v>
      </c>
      <c r="AT7">
        <f>VLOOKUP(A7,GM!A$2:G$55,2,0)</f>
        <v>37.659999999999997</v>
      </c>
      <c r="AU7">
        <f>VLOOKUP(A7,GOOG!A$2:G$55,2,0)</f>
        <v>571.58000000000004</v>
      </c>
      <c r="AV7">
        <f>VLOOKUP(A7,GOOGL!A$2:G$55,2,0)</f>
        <v>578.95000000000005</v>
      </c>
      <c r="AW7">
        <f>VLOOKUP(A7,GS!A$2:G$55,2,0)</f>
        <v>165.24</v>
      </c>
      <c r="AX7">
        <f>VLOOKUP(A7,HAL!A$2:G$55,2,0)</f>
        <v>70.03</v>
      </c>
      <c r="AY7">
        <f>VLOOKUP(A7,HD!A$2:G$55,2,0)</f>
        <v>81.11</v>
      </c>
      <c r="AZ7">
        <f>VLOOKUP(A7,HON!A$2:G$55,2,0)</f>
        <v>94.62</v>
      </c>
      <c r="BA7">
        <f>VLOOKUP(A7,HPQ!A$2:G$55,2,0)</f>
        <v>33.549999999999997</v>
      </c>
      <c r="BB7">
        <f>VLOOKUP(A7,IBM!A$2:G$55,2,0)</f>
        <v>187.68</v>
      </c>
      <c r="BC7">
        <f>VLOOKUP(A7,INTC!A$2:G$55,2,0)</f>
        <v>30.84</v>
      </c>
      <c r="BD7">
        <f>VLOOKUP(A7,JNJ!A$2:G$55,2,0)</f>
        <v>106</v>
      </c>
      <c r="BE7">
        <f>VLOOKUP(A7,JPM!A$2:G$55,2,0)</f>
        <v>55.88</v>
      </c>
      <c r="BF7">
        <f>VLOOKUP(A7,KO!A$2:G$55,2,0)</f>
        <v>41.93</v>
      </c>
      <c r="BG7">
        <f>VLOOKUP(A7,LLY!A$2:G$55,2,0)</f>
        <v>62.53</v>
      </c>
      <c r="BH7">
        <f>VLOOKUP(A7,LMT!A$2:G$55,2,0)</f>
        <v>158.12</v>
      </c>
      <c r="BI7">
        <f>VLOOKUP(A7,LOW!A$2:G$55,2,0)</f>
        <v>48.01</v>
      </c>
      <c r="BJ7">
        <f>VLOOKUP(A7,MA!A$2:G$55,2,0)</f>
        <v>75.87</v>
      </c>
      <c r="BK7">
        <f>VLOOKUP(A7,MCD!A$2:G$55,2,0)</f>
        <v>100.3</v>
      </c>
      <c r="BL7">
        <f>VLOOKUP(A7,MDLZ!A$2:G$55,2,0)</f>
        <v>38.15</v>
      </c>
      <c r="BM7">
        <f>VLOOKUP(A7,MDT!A$2:G$55,2,0)</f>
        <v>64.06</v>
      </c>
      <c r="BN7">
        <f>VLOOKUP(A7,MET!A$2:G$55,2,0)</f>
        <v>56.37</v>
      </c>
      <c r="BO7">
        <f>VLOOKUP(A7,MMM!A$2:G$55,2,0)</f>
        <v>144.78</v>
      </c>
      <c r="BP7">
        <f>VLOOKUP(A7,MO!A$2:G$55,2,0)</f>
        <v>42.85</v>
      </c>
      <c r="BQ7">
        <f>VLOOKUP(A7,MON!A$2:G$55,2,0)</f>
        <v>124.61</v>
      </c>
      <c r="BR7">
        <f>VLOOKUP(A7,MRK!A$2:G$55,2,0)</f>
        <v>58.45</v>
      </c>
      <c r="BS7">
        <f>VLOOKUP(A7,MS!A$2:G$55,2,0)</f>
        <v>31.93</v>
      </c>
      <c r="BT7">
        <f>VLOOKUP(A7,MSFT!A$2:G$55,2,0)</f>
        <v>41.98</v>
      </c>
      <c r="BU7">
        <f>VLOOKUP(A7,NKE!A$2:G$55,2,0)</f>
        <v>77.78</v>
      </c>
      <c r="BV7">
        <f>VLOOKUP(A7,NOV!A$2:G$55,2,0)</f>
        <v>83.14</v>
      </c>
      <c r="BW7">
        <f>VLOOKUP(A7,NSC!A$2:G$55,2,0)</f>
        <v>103.28</v>
      </c>
      <c r="BX7">
        <f>VLOOKUP(A7,ORCL!A$2:G$55,2,0)</f>
        <v>40.61</v>
      </c>
      <c r="BY7">
        <f>VLOOKUP(A7,OXY!A$2:G$55,2,0)</f>
        <v>102.07</v>
      </c>
      <c r="BZ7">
        <f>VLOOKUP(A7,PEP!A$2:G$55,2,0)</f>
        <v>89.9</v>
      </c>
      <c r="CA7">
        <f>VLOOKUP(A7,PFE!A$2:G$55,2,0)</f>
        <v>30.12</v>
      </c>
      <c r="CB7">
        <f>VLOOKUP(A7,PG!A$2:G$55,2,0)</f>
        <v>80.66</v>
      </c>
      <c r="CC7">
        <f>VLOOKUP(A7,PM!A$2:G$55,2,0)</f>
        <v>86.51</v>
      </c>
      <c r="CD7">
        <f>VLOOKUP(A7,QCOM!A$2:G$55,2,0)</f>
        <v>81.11</v>
      </c>
      <c r="CE7">
        <f>VLOOKUP(A7,RTN!A$2:G$55,2,0)</f>
        <v>91.74</v>
      </c>
      <c r="CF7">
        <f>VLOOKUP(A7,SBUX!A$2:G$55,2,0)</f>
        <v>78.540000000000006</v>
      </c>
      <c r="CG7">
        <f>VLOOKUP(A7,SLB!A$2:G$55,2,0)</f>
        <v>117.27</v>
      </c>
      <c r="CH7">
        <f>VLOOKUP(A7,SO!A$2:G$55,2,0)</f>
        <v>44.68</v>
      </c>
      <c r="CI7">
        <f>VLOOKUP(A7,SPG!A$2:G$55,2,0)</f>
        <v>165.96</v>
      </c>
      <c r="CJ7">
        <f>VLOOKUP(A7,T!A$2:G$55,2,0)</f>
        <v>35.700000000000003</v>
      </c>
      <c r="CK7">
        <f>VLOOKUP(A7,TGT!A$2:G$55,2,0)</f>
        <v>59.57</v>
      </c>
      <c r="CL7">
        <f>VLOOKUP(A7,TWX!A$2:G$55,2,0)</f>
        <v>70.75</v>
      </c>
      <c r="CM7">
        <f>VLOOKUP(A7,TXN!A$2:G$55,2,0)</f>
        <v>49.06</v>
      </c>
      <c r="CN7">
        <f>VLOOKUP(A7,UNH!A$2:G$55,2,0)</f>
        <v>81.98</v>
      </c>
      <c r="CO7">
        <f>VLOOKUP(A7,UNP!A$2:G$55,2,0)</f>
        <v>100.54</v>
      </c>
      <c r="CP7">
        <f>VLOOKUP(A7,UPS!A$2:G$55,2,0)</f>
        <v>103.28</v>
      </c>
      <c r="CQ7">
        <f>VLOOKUP(A7,USB!A$2:G$55,2,0)</f>
        <v>43.36</v>
      </c>
      <c r="CR7">
        <f>VLOOKUP(A7,UTX!A$2:G$55,2,0)</f>
        <v>114.35</v>
      </c>
      <c r="CS7">
        <f>VLOOKUP(A7,V!A$2:G$55,2,0)</f>
        <v>215.5</v>
      </c>
      <c r="CT7">
        <f>VLOOKUP(A7,VZ!A$2:G$55,2,0)</f>
        <v>48.99</v>
      </c>
      <c r="CU7">
        <f>VLOOKUP(A7,WAG!A$2:G$55,2,0)</f>
        <v>71.790000000000006</v>
      </c>
      <c r="CV7">
        <f>VLOOKUP(A7,WFC!A$2:G$55,2,0)</f>
        <v>52.3</v>
      </c>
      <c r="CW7">
        <f>VLOOKUP(A7,WMT!A$2:G$55,2,0)</f>
        <v>76.77</v>
      </c>
    </row>
    <row r="8" spans="1:101" x14ac:dyDescent="0.25">
      <c r="A8" s="34">
        <v>41830</v>
      </c>
      <c r="B8" s="36">
        <v>93.76</v>
      </c>
      <c r="C8">
        <f>VLOOKUP(A8,ABBV!A$2:G$55,2,0)</f>
        <v>54.5</v>
      </c>
      <c r="D8">
        <f>VLOOKUP(A8,ABT!A$2:G$55,2,0)</f>
        <v>41.03</v>
      </c>
      <c r="E8">
        <f>VLOOKUP(A8,ACN!A$2:G$55,2,0)</f>
        <v>80.08</v>
      </c>
      <c r="F8">
        <f>VLOOKUP(A8,AIG!A$2:G$55,2,0)</f>
        <v>54.07</v>
      </c>
      <c r="G8">
        <f>VLOOKUP(A8,ALL!A$2:G$55,2,0)</f>
        <v>58.07</v>
      </c>
      <c r="H8">
        <f>VLOOKUP(A8,AMGN!A$2:G$55,2,0)</f>
        <v>118.91</v>
      </c>
      <c r="I8">
        <f>VLOOKUP(A8,AMZN!A$2:G$55,2,0)</f>
        <v>324.33999999999997</v>
      </c>
      <c r="J8">
        <f>VLOOKUP(A8,APA!A$2:G$55,2,0)</f>
        <v>98.42</v>
      </c>
      <c r="K8">
        <f>VLOOKUP(A8,APC!A$2:G$55,2,0)</f>
        <v>105.98</v>
      </c>
      <c r="L8">
        <f>VLOOKUP(A8,AXP!A$2:G$55,2,0)</f>
        <v>93.55</v>
      </c>
      <c r="M8">
        <f>VLOOKUP(A8,BA!A$2:G$55,2,0)</f>
        <v>125.54</v>
      </c>
      <c r="N8">
        <f>VLOOKUP(A8,BAC!A$2:G$55,2,0)</f>
        <v>15.33</v>
      </c>
      <c r="O8">
        <f>VLOOKUP(A8,BAX!A$2:G$55,2,0)</f>
        <v>75.430000000000007</v>
      </c>
      <c r="P8">
        <f>VLOOKUP(A8,BIIB!A$2:G$55,2,0)</f>
        <v>317.10000000000002</v>
      </c>
      <c r="Q8">
        <f>VLOOKUP(A8,BK!A$2:G$55,2,0)</f>
        <v>37.15</v>
      </c>
      <c r="R8">
        <f>VLOOKUP(A8,BMY!A$2:G$55,2,0)</f>
        <v>47.64</v>
      </c>
      <c r="T8">
        <f>VLOOKUP(A8,'C'!A$2:G$55,2,0)</f>
        <v>46.71</v>
      </c>
      <c r="U8">
        <f>VLOOKUP(A8,CAT!A$2:G$55,2,0)</f>
        <v>108.14</v>
      </c>
      <c r="V8">
        <f>VLOOKUP(A8,CL!A$2:G$55,2,0)</f>
        <v>69.33</v>
      </c>
      <c r="W8">
        <f>VLOOKUP(A8,CMCSA!A$2:G$55,2,0)</f>
        <v>54.32</v>
      </c>
      <c r="X8">
        <f>VLOOKUP(A8,COF!A$2:G$55,2,0)</f>
        <v>83.04</v>
      </c>
      <c r="Y8">
        <f>VLOOKUP(A8,COP!A$2:G$55,2,0)</f>
        <v>84.91</v>
      </c>
      <c r="Z8">
        <f>VLOOKUP(A8,COST!A$2:G$55,2,0)</f>
        <v>117.5</v>
      </c>
      <c r="AA8">
        <f>VLOOKUP(A8,CSCO!A$2:G$55,2,0)</f>
        <v>25.25</v>
      </c>
      <c r="AB8">
        <f>VLOOKUP(A8,CVS!A$2:G$55,2,0)</f>
        <v>76.239999999999995</v>
      </c>
      <c r="AC8">
        <f>VLOOKUP(A8,CVX!A$2:G$55,2,0)</f>
        <v>130.47999999999999</v>
      </c>
      <c r="AD8">
        <f>VLOOKUP(A8,DD!A$2:G$55,2,0)</f>
        <v>64.599999999999994</v>
      </c>
      <c r="AE8">
        <f>VLOOKUP(A8,DIS!A$2:G$55,2,0)</f>
        <v>86.53</v>
      </c>
      <c r="AF8">
        <f>VLOOKUP(A8,DOW!A$2:G$55,2,0)</f>
        <v>50.62</v>
      </c>
      <c r="AG8">
        <f>VLOOKUP(A8,DVN!A$2:G$55,2,0)</f>
        <v>78.16</v>
      </c>
      <c r="AH8">
        <f>VLOOKUP(A8,EBAY!A$2:G$55,2,0)</f>
        <v>50.22</v>
      </c>
      <c r="AI8">
        <f>VLOOKUP(A8,EMC!A$2:G$55,2,0)</f>
        <v>26.44</v>
      </c>
      <c r="AJ8">
        <f>VLOOKUP(A8,EMR!A$2:G$55,2,0)</f>
        <v>67.11</v>
      </c>
      <c r="AK8">
        <f>VLOOKUP(A8,EXC!A$2:G$55,2,0)</f>
        <v>34.15</v>
      </c>
      <c r="AL8">
        <f>VLOOKUP(A8,F!A$2:G$55,2,0)</f>
        <v>17.2</v>
      </c>
      <c r="AM8">
        <f>VLOOKUP(A8,FB!A$2:G$55,2,0)</f>
        <v>63.31</v>
      </c>
      <c r="AN8">
        <f>VLOOKUP(A8,FCX!A$2:G$55,2,0)</f>
        <v>38.770000000000003</v>
      </c>
      <c r="AO8">
        <f>VLOOKUP(A8,FDX!A$2:G$55,2,0)</f>
        <v>149.87</v>
      </c>
      <c r="AP8">
        <f>VLOOKUP(A8,FOXA!A$2:G$55,2,0)</f>
        <v>35.46</v>
      </c>
      <c r="AQ8">
        <f>VLOOKUP(A8,GD!A$2:G$55,2,0)</f>
        <v>114.07</v>
      </c>
      <c r="AR8">
        <f>VLOOKUP(A8,GE!A$2:G$55,2,0)</f>
        <v>26.13</v>
      </c>
      <c r="AS8">
        <f>VLOOKUP(A8,GILD!A$2:G$55,2,0)</f>
        <v>87.18</v>
      </c>
      <c r="AT8">
        <f>VLOOKUP(A8,GM!A$2:G$55,2,0)</f>
        <v>37.479999999999997</v>
      </c>
      <c r="AU8">
        <f>VLOOKUP(A8,GOOG!A$2:G$55,2,0)</f>
        <v>565.91</v>
      </c>
      <c r="AV8">
        <f>VLOOKUP(A8,GOOGL!A$2:G$55,2,0)</f>
        <v>573</v>
      </c>
      <c r="AW8">
        <f>VLOOKUP(A8,GS!A$2:G$55,2,0)</f>
        <v>162.22</v>
      </c>
      <c r="AX8">
        <f>VLOOKUP(A8,HAL!A$2:G$55,2,0)</f>
        <v>69.73</v>
      </c>
      <c r="AY8">
        <f>VLOOKUP(A8,HD!A$2:G$55,2,0)</f>
        <v>79.05</v>
      </c>
      <c r="AZ8">
        <f>VLOOKUP(A8,HON!A$2:G$55,2,0)</f>
        <v>93.49</v>
      </c>
      <c r="BA8">
        <f>VLOOKUP(A8,HPQ!A$2:G$55,2,0)</f>
        <v>33.44</v>
      </c>
      <c r="BB8">
        <f>VLOOKUP(A8,IBM!A$2:G$55,2,0)</f>
        <v>186.44</v>
      </c>
      <c r="BC8">
        <f>VLOOKUP(A8,INTC!A$2:G$55,2,0)</f>
        <v>30.6</v>
      </c>
      <c r="BD8">
        <f>VLOOKUP(A8,JNJ!A$2:G$55,2,0)</f>
        <v>105.08</v>
      </c>
      <c r="BE8">
        <f>VLOOKUP(A8,JPM!A$2:G$55,2,0)</f>
        <v>55.06</v>
      </c>
      <c r="BF8">
        <f>VLOOKUP(A8,KO!A$2:G$55,2,0)</f>
        <v>41.56</v>
      </c>
      <c r="BG8">
        <f>VLOOKUP(A8,LLY!A$2:G$55,2,0)</f>
        <v>62.13</v>
      </c>
      <c r="BH8">
        <f>VLOOKUP(A8,LMT!A$2:G$55,2,0)</f>
        <v>156.22999999999999</v>
      </c>
      <c r="BI8">
        <f>VLOOKUP(A8,LOW!A$2:G$55,2,0)</f>
        <v>46.67</v>
      </c>
      <c r="BJ8">
        <f>VLOOKUP(A8,MA!A$2:G$55,2,0)</f>
        <v>75.650000000000006</v>
      </c>
      <c r="BK8">
        <f>VLOOKUP(A8,MCD!A$2:G$55,2,0)</f>
        <v>100.22</v>
      </c>
      <c r="BL8">
        <f>VLOOKUP(A8,MDLZ!A$2:G$55,2,0)</f>
        <v>37.78</v>
      </c>
      <c r="BM8">
        <f>VLOOKUP(A8,MDT!A$2:G$55,2,0)</f>
        <v>63.13</v>
      </c>
      <c r="BN8">
        <f>VLOOKUP(A8,MET!A$2:G$55,2,0)</f>
        <v>55.03</v>
      </c>
      <c r="BO8">
        <f>VLOOKUP(A8,MMM!A$2:G$55,2,0)</f>
        <v>143.5</v>
      </c>
      <c r="BP8">
        <f>VLOOKUP(A8,MO!A$2:G$55,2,0)</f>
        <v>42.61</v>
      </c>
      <c r="BQ8">
        <f>VLOOKUP(A8,MON!A$2:G$55,2,0)</f>
        <v>122.6</v>
      </c>
      <c r="BR8">
        <f>VLOOKUP(A8,MRK!A$2:G$55,2,0)</f>
        <v>58.28</v>
      </c>
      <c r="BS8">
        <f>VLOOKUP(A8,MS!A$2:G$55,2,0)</f>
        <v>31.25</v>
      </c>
      <c r="BT8">
        <f>VLOOKUP(A8,MSFT!A$2:G$55,2,0)</f>
        <v>41.37</v>
      </c>
      <c r="BU8">
        <f>VLOOKUP(A8,NKE!A$2:G$55,2,0)</f>
        <v>77.27</v>
      </c>
      <c r="BV8">
        <f>VLOOKUP(A8,NOV!A$2:G$55,2,0)</f>
        <v>83.56</v>
      </c>
      <c r="BW8">
        <f>VLOOKUP(A8,NSC!A$2:G$55,2,0)</f>
        <v>102.25</v>
      </c>
      <c r="BX8">
        <f>VLOOKUP(A8,ORCL!A$2:G$55,2,0)</f>
        <v>39.89</v>
      </c>
      <c r="BY8">
        <f>VLOOKUP(A8,OXY!A$2:G$55,2,0)</f>
        <v>101.11</v>
      </c>
      <c r="BZ8">
        <f>VLOOKUP(A8,PEP!A$2:G$55,2,0)</f>
        <v>89.23</v>
      </c>
      <c r="CA8">
        <f>VLOOKUP(A8,PFE!A$2:G$55,2,0)</f>
        <v>29.76</v>
      </c>
      <c r="CB8">
        <f>VLOOKUP(A8,PG!A$2:G$55,2,0)</f>
        <v>81.27</v>
      </c>
      <c r="CC8">
        <f>VLOOKUP(A8,PM!A$2:G$55,2,0)</f>
        <v>85.61</v>
      </c>
      <c r="CD8">
        <f>VLOOKUP(A8,QCOM!A$2:G$55,2,0)</f>
        <v>79.930000000000007</v>
      </c>
      <c r="CE8">
        <f>VLOOKUP(A8,RTN!A$2:G$55,2,0)</f>
        <v>90.75</v>
      </c>
      <c r="CF8">
        <f>VLOOKUP(A8,SBUX!A$2:G$55,2,0)</f>
        <v>78.61</v>
      </c>
      <c r="CG8">
        <f>VLOOKUP(A8,SLB!A$2:G$55,2,0)</f>
        <v>115.84</v>
      </c>
      <c r="CH8">
        <f>VLOOKUP(A8,SO!A$2:G$55,2,0)</f>
        <v>44.48</v>
      </c>
      <c r="CI8">
        <f>VLOOKUP(A8,SPG!A$2:G$55,2,0)</f>
        <v>166.53</v>
      </c>
      <c r="CJ8">
        <f>VLOOKUP(A8,T!A$2:G$55,2,0)</f>
        <v>35.380000000000003</v>
      </c>
      <c r="CK8">
        <f>VLOOKUP(A8,TGT!A$2:G$55,2,0)</f>
        <v>59.46</v>
      </c>
      <c r="CL8">
        <f>VLOOKUP(A8,TWX!A$2:G$55,2,0)</f>
        <v>71.83</v>
      </c>
      <c r="CM8">
        <f>VLOOKUP(A8,TXN!A$2:G$55,2,0)</f>
        <v>48.76</v>
      </c>
      <c r="CN8">
        <f>VLOOKUP(A8,UNH!A$2:G$55,2,0)</f>
        <v>81.28</v>
      </c>
      <c r="CO8">
        <f>VLOOKUP(A8,UNP!A$2:G$55,2,0)</f>
        <v>99.6</v>
      </c>
      <c r="CP8">
        <f>VLOOKUP(A8,UPS!A$2:G$55,2,0)</f>
        <v>102.16</v>
      </c>
      <c r="CQ8">
        <f>VLOOKUP(A8,USB!A$2:G$55,2,0)</f>
        <v>43.08</v>
      </c>
      <c r="CR8">
        <f>VLOOKUP(A8,UTX!A$2:G$55,2,0)</f>
        <v>112.79</v>
      </c>
      <c r="CS8">
        <f>VLOOKUP(A8,V!A$2:G$55,2,0)</f>
        <v>213.8</v>
      </c>
      <c r="CT8">
        <f>VLOOKUP(A8,VZ!A$2:G$55,2,0)</f>
        <v>48.59</v>
      </c>
      <c r="CU8">
        <f>VLOOKUP(A8,WAG!A$2:G$55,2,0)</f>
        <v>71.02</v>
      </c>
      <c r="CV8">
        <f>VLOOKUP(A8,WFC!A$2:G$55,2,0)</f>
        <v>51.78</v>
      </c>
      <c r="CW8">
        <f>VLOOKUP(A8,WMT!A$2:G$55,2,0)</f>
        <v>76.91</v>
      </c>
    </row>
    <row r="9" spans="1:101" x14ac:dyDescent="0.25">
      <c r="A9" s="34">
        <v>41831</v>
      </c>
      <c r="B9" s="36">
        <v>95.36</v>
      </c>
      <c r="C9">
        <f>VLOOKUP(A9,ABBV!A$2:G$55,2,0)</f>
        <v>55.34</v>
      </c>
      <c r="D9">
        <f>VLOOKUP(A9,ABT!A$2:G$55,2,0)</f>
        <v>41.09</v>
      </c>
      <c r="E9">
        <f>VLOOKUP(A9,ACN!A$2:G$55,2,0)</f>
        <v>79.88</v>
      </c>
      <c r="F9">
        <f>VLOOKUP(A9,AIG!A$2:G$55,2,0)</f>
        <v>54.31</v>
      </c>
      <c r="G9">
        <f>VLOOKUP(A9,ALL!A$2:G$55,2,0)</f>
        <v>57.94</v>
      </c>
      <c r="H9">
        <f>VLOOKUP(A9,AMGN!A$2:G$55,2,0)</f>
        <v>120.43</v>
      </c>
      <c r="I9">
        <f>VLOOKUP(A9,AMZN!A$2:G$55,2,0)</f>
        <v>334.71</v>
      </c>
      <c r="J9">
        <f>VLOOKUP(A9,APA!A$2:G$55,2,0)</f>
        <v>98.72</v>
      </c>
      <c r="K9">
        <f>VLOOKUP(A9,APC!A$2:G$55,2,0)</f>
        <v>106</v>
      </c>
      <c r="L9">
        <f>VLOOKUP(A9,AXP!A$2:G$55,2,0)</f>
        <v>94.27</v>
      </c>
      <c r="M9">
        <f>VLOOKUP(A9,BA!A$2:G$55,2,0)</f>
        <v>127.18</v>
      </c>
      <c r="N9">
        <f>VLOOKUP(A9,BAC!A$2:G$55,2,0)</f>
        <v>15.39</v>
      </c>
      <c r="O9">
        <f>VLOOKUP(A9,BAX!A$2:G$55,2,0)</f>
        <v>76.56</v>
      </c>
      <c r="P9">
        <f>VLOOKUP(A9,BIIB!A$2:G$55,2,0)</f>
        <v>320</v>
      </c>
      <c r="Q9">
        <f>VLOOKUP(A9,BK!A$2:G$55,2,0)</f>
        <v>37.590000000000003</v>
      </c>
      <c r="R9">
        <f>VLOOKUP(A9,BMY!A$2:G$55,2,0)</f>
        <v>48.4</v>
      </c>
      <c r="T9">
        <f>VLOOKUP(A9,'C'!A$2:G$55,2,0)</f>
        <v>46.82</v>
      </c>
      <c r="U9">
        <f>VLOOKUP(A9,CAT!A$2:G$55,2,0)</f>
        <v>109.5</v>
      </c>
      <c r="V9">
        <f>VLOOKUP(A9,CL!A$2:G$55,2,0)</f>
        <v>69.47</v>
      </c>
      <c r="W9">
        <f>VLOOKUP(A9,CMCSA!A$2:G$55,2,0)</f>
        <v>54.31</v>
      </c>
      <c r="X9">
        <f>VLOOKUP(A9,COF!A$2:G$55,2,0)</f>
        <v>83.77</v>
      </c>
      <c r="Y9">
        <f>VLOOKUP(A9,COP!A$2:G$55,2,0)</f>
        <v>85.52</v>
      </c>
      <c r="Z9">
        <f>VLOOKUP(A9,COST!A$2:G$55,2,0)</f>
        <v>118.13</v>
      </c>
      <c r="AA9">
        <f>VLOOKUP(A9,CSCO!A$2:G$55,2,0)</f>
        <v>25.52</v>
      </c>
      <c r="AB9">
        <f>VLOOKUP(A9,CVS!A$2:G$55,2,0)</f>
        <v>76.55</v>
      </c>
      <c r="AC9">
        <f>VLOOKUP(A9,CVX!A$2:G$55,2,0)</f>
        <v>129.13</v>
      </c>
      <c r="AD9">
        <f>VLOOKUP(A9,DD!A$2:G$55,2,0)</f>
        <v>64.930000000000007</v>
      </c>
      <c r="AE9">
        <f>VLOOKUP(A9,DIS!A$2:G$55,2,0)</f>
        <v>87</v>
      </c>
      <c r="AF9">
        <f>VLOOKUP(A9,DOW!A$2:G$55,2,0)</f>
        <v>51.2</v>
      </c>
      <c r="AG9">
        <f>VLOOKUP(A9,DVN!A$2:G$55,2,0)</f>
        <v>78.02</v>
      </c>
      <c r="AH9">
        <f>VLOOKUP(A9,EBAY!A$2:G$55,2,0)</f>
        <v>51</v>
      </c>
      <c r="AI9">
        <f>VLOOKUP(A9,EMC!A$2:G$55,2,0)</f>
        <v>26.73</v>
      </c>
      <c r="AJ9">
        <f>VLOOKUP(A9,EMR!A$2:G$55,2,0)</f>
        <v>67.760000000000005</v>
      </c>
      <c r="AK9">
        <f>VLOOKUP(A9,EXC!A$2:G$55,2,0)</f>
        <v>34.159999999999997</v>
      </c>
      <c r="AL9">
        <f>VLOOKUP(A9,F!A$2:G$55,2,0)</f>
        <v>17.309999999999999</v>
      </c>
      <c r="AM9">
        <f>VLOOKUP(A9,FB!A$2:G$55,2,0)</f>
        <v>65.28</v>
      </c>
      <c r="AN9">
        <f>VLOOKUP(A9,FCX!A$2:G$55,2,0)</f>
        <v>38.630000000000003</v>
      </c>
      <c r="AO9">
        <f>VLOOKUP(A9,FDX!A$2:G$55,2,0)</f>
        <v>150.15</v>
      </c>
      <c r="AP9">
        <f>VLOOKUP(A9,FOXA!A$2:G$55,2,0)</f>
        <v>35.729999999999997</v>
      </c>
      <c r="AQ9">
        <f>VLOOKUP(A9,GD!A$2:G$55,2,0)</f>
        <v>115.67</v>
      </c>
      <c r="AR9">
        <f>VLOOKUP(A9,GE!A$2:G$55,2,0)</f>
        <v>26.19</v>
      </c>
      <c r="AS9">
        <f>VLOOKUP(A9,GILD!A$2:G$55,2,0)</f>
        <v>88.9</v>
      </c>
      <c r="AT9">
        <f>VLOOKUP(A9,GM!A$2:G$55,2,0)</f>
        <v>37.72</v>
      </c>
      <c r="AU9">
        <f>VLOOKUP(A9,GOOG!A$2:G$55,2,0)</f>
        <v>571.91</v>
      </c>
      <c r="AV9">
        <f>VLOOKUP(A9,GOOGL!A$2:G$55,2,0)</f>
        <v>581</v>
      </c>
      <c r="AW9">
        <f>VLOOKUP(A9,GS!A$2:G$55,2,0)</f>
        <v>163.02000000000001</v>
      </c>
      <c r="AX9">
        <f>VLOOKUP(A9,HAL!A$2:G$55,2,0)</f>
        <v>69.239999999999995</v>
      </c>
      <c r="AY9">
        <f>VLOOKUP(A9,HD!A$2:G$55,2,0)</f>
        <v>79.59</v>
      </c>
      <c r="AZ9">
        <f>VLOOKUP(A9,HON!A$2:G$55,2,0)</f>
        <v>94.23</v>
      </c>
      <c r="BA9">
        <f>VLOOKUP(A9,HPQ!A$2:G$55,2,0)</f>
        <v>33.93</v>
      </c>
      <c r="BB9">
        <f>VLOOKUP(A9,IBM!A$2:G$55,2,0)</f>
        <v>187.73</v>
      </c>
      <c r="BC9">
        <f>VLOOKUP(A9,INTC!A$2:G$55,2,0)</f>
        <v>31.26</v>
      </c>
      <c r="BD9">
        <f>VLOOKUP(A9,JNJ!A$2:G$55,2,0)</f>
        <v>105.84</v>
      </c>
      <c r="BE9">
        <f>VLOOKUP(A9,JPM!A$2:G$55,2,0)</f>
        <v>55.29</v>
      </c>
      <c r="BF9">
        <f>VLOOKUP(A9,KO!A$2:G$55,2,0)</f>
        <v>42.12</v>
      </c>
      <c r="BG9">
        <f>VLOOKUP(A9,LLY!A$2:G$55,2,0)</f>
        <v>62.44</v>
      </c>
      <c r="BH9">
        <f>VLOOKUP(A9,LMT!A$2:G$55,2,0)</f>
        <v>158.13</v>
      </c>
      <c r="BI9">
        <f>VLOOKUP(A9,LOW!A$2:G$55,2,0)</f>
        <v>47.18</v>
      </c>
      <c r="BJ9">
        <f>VLOOKUP(A9,MA!A$2:G$55,2,0)</f>
        <v>75.540000000000006</v>
      </c>
      <c r="BK9">
        <f>VLOOKUP(A9,MCD!A$2:G$55,2,0)</f>
        <v>100.66</v>
      </c>
      <c r="BL9">
        <f>VLOOKUP(A9,MDLZ!A$2:G$55,2,0)</f>
        <v>37.76</v>
      </c>
      <c r="BM9">
        <f>VLOOKUP(A9,MDT!A$2:G$55,2,0)</f>
        <v>63.44</v>
      </c>
      <c r="BN9">
        <f>VLOOKUP(A9,MET!A$2:G$55,2,0)</f>
        <v>55.28</v>
      </c>
      <c r="BO9">
        <f>VLOOKUP(A9,MMM!A$2:G$55,2,0)</f>
        <v>144.13999999999999</v>
      </c>
      <c r="BP9">
        <f>VLOOKUP(A9,MO!A$2:G$55,2,0)</f>
        <v>43.53</v>
      </c>
      <c r="BQ9">
        <f>VLOOKUP(A9,MON!A$2:G$55,2,0)</f>
        <v>122.43</v>
      </c>
      <c r="BR9">
        <f>VLOOKUP(A9,MRK!A$2:G$55,2,0)</f>
        <v>58.65</v>
      </c>
      <c r="BS9">
        <f>VLOOKUP(A9,MS!A$2:G$55,2,0)</f>
        <v>31.59</v>
      </c>
      <c r="BT9">
        <f>VLOOKUP(A9,MSFT!A$2:G$55,2,0)</f>
        <v>41.7</v>
      </c>
      <c r="BU9">
        <f>VLOOKUP(A9,NKE!A$2:G$55,2,0)</f>
        <v>77.28</v>
      </c>
      <c r="BV9">
        <f>VLOOKUP(A9,NOV!A$2:G$55,2,0)</f>
        <v>83.28</v>
      </c>
      <c r="BW9">
        <f>VLOOKUP(A9,NSC!A$2:G$55,2,0)</f>
        <v>102.45</v>
      </c>
      <c r="BX9">
        <f>VLOOKUP(A9,ORCL!A$2:G$55,2,0)</f>
        <v>40.49</v>
      </c>
      <c r="BY9">
        <f>VLOOKUP(A9,OXY!A$2:G$55,2,0)</f>
        <v>100.55</v>
      </c>
      <c r="BZ9">
        <f>VLOOKUP(A9,PEP!A$2:G$55,2,0)</f>
        <v>89.93</v>
      </c>
      <c r="CA9">
        <f>VLOOKUP(A9,PFE!A$2:G$55,2,0)</f>
        <v>30.04</v>
      </c>
      <c r="CB9">
        <f>VLOOKUP(A9,PG!A$2:G$55,2,0)</f>
        <v>81.06</v>
      </c>
      <c r="CC9">
        <f>VLOOKUP(A9,PM!A$2:G$55,2,0)</f>
        <v>85.6</v>
      </c>
      <c r="CD9">
        <f>VLOOKUP(A9,QCOM!A$2:G$55,2,0)</f>
        <v>79.900000000000006</v>
      </c>
      <c r="CE9">
        <f>VLOOKUP(A9,RTN!A$2:G$55,2,0)</f>
        <v>92.13</v>
      </c>
      <c r="CF9">
        <f>VLOOKUP(A9,SBUX!A$2:G$55,2,0)</f>
        <v>78.959999999999994</v>
      </c>
      <c r="CG9">
        <f>VLOOKUP(A9,SLB!A$2:G$55,2,0)</f>
        <v>115.31</v>
      </c>
      <c r="CH9">
        <f>VLOOKUP(A9,SO!A$2:G$55,2,0)</f>
        <v>44.63</v>
      </c>
      <c r="CI9">
        <f>VLOOKUP(A9,SPG!A$2:G$55,2,0)</f>
        <v>167.97</v>
      </c>
      <c r="CJ9">
        <f>VLOOKUP(A9,T!A$2:G$55,2,0)</f>
        <v>35.72</v>
      </c>
      <c r="CK9">
        <f>VLOOKUP(A9,TGT!A$2:G$55,2,0)</f>
        <v>59.96</v>
      </c>
      <c r="CL9">
        <f>VLOOKUP(A9,TWX!A$2:G$55,2,0)</f>
        <v>72.23</v>
      </c>
      <c r="CM9">
        <f>VLOOKUP(A9,TXN!A$2:G$55,2,0)</f>
        <v>48.83</v>
      </c>
      <c r="CN9">
        <f>VLOOKUP(A9,UNH!A$2:G$55,2,0)</f>
        <v>81.92</v>
      </c>
      <c r="CO9">
        <f>VLOOKUP(A9,UNP!A$2:G$55,2,0)</f>
        <v>99.66</v>
      </c>
      <c r="CP9">
        <f>VLOOKUP(A9,UPS!A$2:G$55,2,0)</f>
        <v>102.11</v>
      </c>
      <c r="CQ9">
        <f>VLOOKUP(A9,USB!A$2:G$55,2,0)</f>
        <v>42.98</v>
      </c>
      <c r="CR9">
        <f>VLOOKUP(A9,UTX!A$2:G$55,2,0)</f>
        <v>113.8</v>
      </c>
      <c r="CS9">
        <f>VLOOKUP(A9,V!A$2:G$55,2,0)</f>
        <v>215.95</v>
      </c>
      <c r="CT9">
        <f>VLOOKUP(A9,VZ!A$2:G$55,2,0)</f>
        <v>49.85</v>
      </c>
      <c r="CU9">
        <f>VLOOKUP(A9,WAG!A$2:G$55,2,0)</f>
        <v>71.150000000000006</v>
      </c>
      <c r="CV9">
        <f>VLOOKUP(A9,WFC!A$2:G$55,2,0)</f>
        <v>51.13</v>
      </c>
      <c r="CW9">
        <f>VLOOKUP(A9,WMT!A$2:G$55,2,0)</f>
        <v>76.87</v>
      </c>
    </row>
    <row r="10" spans="1:101" x14ac:dyDescent="0.25">
      <c r="A10" s="34">
        <v>41834</v>
      </c>
      <c r="B10" s="36">
        <v>95.86</v>
      </c>
      <c r="C10">
        <f>VLOOKUP(A10,ABBV!A$2:G$55,2,0)</f>
        <v>53.89</v>
      </c>
      <c r="D10">
        <f>VLOOKUP(A10,ABT!A$2:G$55,2,0)</f>
        <v>41.95</v>
      </c>
      <c r="E10">
        <f>VLOOKUP(A10,ACN!A$2:G$55,2,0)</f>
        <v>80.16</v>
      </c>
      <c r="F10">
        <f>VLOOKUP(A10,AIG!A$2:G$55,2,0)</f>
        <v>54.93</v>
      </c>
      <c r="G10">
        <f>VLOOKUP(A10,ALL!A$2:G$55,2,0)</f>
        <v>58.5</v>
      </c>
      <c r="H10">
        <f>VLOOKUP(A10,AMGN!A$2:G$55,2,0)</f>
        <v>120.84</v>
      </c>
      <c r="I10">
        <f>VLOOKUP(A10,AMZN!A$2:G$55,2,0)</f>
        <v>347.03</v>
      </c>
      <c r="J10">
        <f>VLOOKUP(A10,APA!A$2:G$55,2,0)</f>
        <v>97.93</v>
      </c>
      <c r="K10">
        <f>VLOOKUP(A10,APC!A$2:G$55,2,0)</f>
        <v>105.53</v>
      </c>
      <c r="L10">
        <f>VLOOKUP(A10,AXP!A$2:G$55,2,0)</f>
        <v>95.23</v>
      </c>
      <c r="M10">
        <f>VLOOKUP(A10,BA!A$2:G$55,2,0)</f>
        <v>128.91</v>
      </c>
      <c r="N10">
        <f>VLOOKUP(A10,BAC!A$2:G$55,2,0)</f>
        <v>15.62</v>
      </c>
      <c r="O10">
        <f>VLOOKUP(A10,BAX!A$2:G$55,2,0)</f>
        <v>76.72</v>
      </c>
      <c r="P10">
        <f>VLOOKUP(A10,BIIB!A$2:G$55,2,0)</f>
        <v>325.12</v>
      </c>
      <c r="Q10">
        <f>VLOOKUP(A10,BK!A$2:G$55,2,0)</f>
        <v>37.950000000000003</v>
      </c>
      <c r="R10">
        <f>VLOOKUP(A10,BMY!A$2:G$55,2,0)</f>
        <v>48.76</v>
      </c>
      <c r="T10">
        <f>VLOOKUP(A10,'C'!A$2:G$55,2,0)</f>
        <v>48.67</v>
      </c>
      <c r="U10">
        <f>VLOOKUP(A10,CAT!A$2:G$55,2,0)</f>
        <v>110.43</v>
      </c>
      <c r="V10">
        <f>VLOOKUP(A10,CL!A$2:G$55,2,0)</f>
        <v>69.78</v>
      </c>
      <c r="W10">
        <f>VLOOKUP(A10,CMCSA!A$2:G$55,2,0)</f>
        <v>54.79</v>
      </c>
      <c r="X10">
        <f>VLOOKUP(A10,COF!A$2:G$55,2,0)</f>
        <v>84.64</v>
      </c>
      <c r="Y10">
        <f>VLOOKUP(A10,COP!A$2:G$55,2,0)</f>
        <v>85.13</v>
      </c>
      <c r="Z10">
        <f>VLOOKUP(A10,COST!A$2:G$55,2,0)</f>
        <v>118.21</v>
      </c>
      <c r="AA10">
        <f>VLOOKUP(A10,CSCO!A$2:G$55,2,0)</f>
        <v>25.61</v>
      </c>
      <c r="AB10">
        <f>VLOOKUP(A10,CVS!A$2:G$55,2,0)</f>
        <v>77.13</v>
      </c>
      <c r="AC10">
        <f>VLOOKUP(A10,CVX!A$2:G$55,2,0)</f>
        <v>128.80000000000001</v>
      </c>
      <c r="AD10">
        <f>VLOOKUP(A10,DD!A$2:G$55,2,0)</f>
        <v>65.319999999999993</v>
      </c>
      <c r="AE10">
        <f>VLOOKUP(A10,DIS!A$2:G$55,2,0)</f>
        <v>87.46</v>
      </c>
      <c r="AF10">
        <f>VLOOKUP(A10,DOW!A$2:G$55,2,0)</f>
        <v>51.94</v>
      </c>
      <c r="AG10">
        <f>VLOOKUP(A10,DVN!A$2:G$55,2,0)</f>
        <v>77.349999999999994</v>
      </c>
      <c r="AH10">
        <f>VLOOKUP(A10,EBAY!A$2:G$55,2,0)</f>
        <v>51.25</v>
      </c>
      <c r="AI10">
        <f>VLOOKUP(A10,EMC!A$2:G$55,2,0)</f>
        <v>26.73</v>
      </c>
      <c r="AJ10">
        <f>VLOOKUP(A10,EMR!A$2:G$55,2,0)</f>
        <v>67.709999999999994</v>
      </c>
      <c r="AK10">
        <f>VLOOKUP(A10,EXC!A$2:G$55,2,0)</f>
        <v>33.950000000000003</v>
      </c>
      <c r="AL10">
        <f>VLOOKUP(A10,F!A$2:G$55,2,0)</f>
        <v>17.510000000000002</v>
      </c>
      <c r="AM10">
        <f>VLOOKUP(A10,FB!A$2:G$55,2,0)</f>
        <v>67.13</v>
      </c>
      <c r="AN10">
        <f>VLOOKUP(A10,FCX!A$2:G$55,2,0)</f>
        <v>38.630000000000003</v>
      </c>
      <c r="AO10">
        <f>VLOOKUP(A10,FDX!A$2:G$55,2,0)</f>
        <v>151.65</v>
      </c>
      <c r="AP10">
        <f>VLOOKUP(A10,FOXA!A$2:G$55,2,0)</f>
        <v>35.75</v>
      </c>
      <c r="AQ10">
        <f>VLOOKUP(A10,GD!A$2:G$55,2,0)</f>
        <v>117.09</v>
      </c>
      <c r="AR10">
        <f>VLOOKUP(A10,GE!A$2:G$55,2,0)</f>
        <v>26.63</v>
      </c>
      <c r="AS10">
        <f>VLOOKUP(A10,GILD!A$2:G$55,2,0)</f>
        <v>89.13</v>
      </c>
      <c r="AT10">
        <f>VLOOKUP(A10,GM!A$2:G$55,2,0)</f>
        <v>38.1</v>
      </c>
      <c r="AU10">
        <f>VLOOKUP(A10,GOOG!A$2:G$55,2,0)</f>
        <v>582.6</v>
      </c>
      <c r="AV10">
        <f>VLOOKUP(A10,GOOGL!A$2:G$55,2,0)</f>
        <v>590.6</v>
      </c>
      <c r="AW10">
        <f>VLOOKUP(A10,GS!A$2:G$55,2,0)</f>
        <v>167.18</v>
      </c>
      <c r="AX10">
        <f>VLOOKUP(A10,HAL!A$2:G$55,2,0)</f>
        <v>69.41</v>
      </c>
      <c r="AY10">
        <f>VLOOKUP(A10,HD!A$2:G$55,2,0)</f>
        <v>79.92</v>
      </c>
      <c r="AZ10">
        <f>VLOOKUP(A10,HON!A$2:G$55,2,0)</f>
        <v>95.37</v>
      </c>
      <c r="BA10">
        <f>VLOOKUP(A10,HPQ!A$2:G$55,2,0)</f>
        <v>34.200000000000003</v>
      </c>
      <c r="BB10">
        <f>VLOOKUP(A10,IBM!A$2:G$55,2,0)</f>
        <v>188.55</v>
      </c>
      <c r="BC10">
        <f>VLOOKUP(A10,INTC!A$2:G$55,2,0)</f>
        <v>31.41</v>
      </c>
      <c r="BD10">
        <f>VLOOKUP(A10,JNJ!A$2:G$55,2,0)</f>
        <v>105.38</v>
      </c>
      <c r="BE10">
        <f>VLOOKUP(A10,JPM!A$2:G$55,2,0)</f>
        <v>56.53</v>
      </c>
      <c r="BF10">
        <f>VLOOKUP(A10,KO!A$2:G$55,2,0)</f>
        <v>41.99</v>
      </c>
      <c r="BG10">
        <f>VLOOKUP(A10,LLY!A$2:G$55,2,0)</f>
        <v>63</v>
      </c>
      <c r="BH10">
        <f>VLOOKUP(A10,LMT!A$2:G$55,2,0)</f>
        <v>160.78</v>
      </c>
      <c r="BI10">
        <f>VLOOKUP(A10,LOW!A$2:G$55,2,0)</f>
        <v>47.7</v>
      </c>
      <c r="BJ10">
        <f>VLOOKUP(A10,MA!A$2:G$55,2,0)</f>
        <v>76.44</v>
      </c>
      <c r="BK10">
        <f>VLOOKUP(A10,MCD!A$2:G$55,2,0)</f>
        <v>100.69</v>
      </c>
      <c r="BL10">
        <f>VLOOKUP(A10,MDLZ!A$2:G$55,2,0)</f>
        <v>38.65</v>
      </c>
      <c r="BM10">
        <f>VLOOKUP(A10,MDT!A$2:G$55,2,0)</f>
        <v>64</v>
      </c>
      <c r="BN10">
        <f>VLOOKUP(A10,MET!A$2:G$55,2,0)</f>
        <v>56.47</v>
      </c>
      <c r="BO10">
        <f>VLOOKUP(A10,MMM!A$2:G$55,2,0)</f>
        <v>144.99</v>
      </c>
      <c r="BP10">
        <f>VLOOKUP(A10,MO!A$2:G$55,2,0)</f>
        <v>43.61</v>
      </c>
      <c r="BQ10">
        <f>VLOOKUP(A10,MON!A$2:G$55,2,0)</f>
        <v>121.17</v>
      </c>
      <c r="BR10">
        <f>VLOOKUP(A10,MRK!A$2:G$55,2,0)</f>
        <v>58.62</v>
      </c>
      <c r="BS10">
        <f>VLOOKUP(A10,MS!A$2:G$55,2,0)</f>
        <v>32.11</v>
      </c>
      <c r="BT10">
        <f>VLOOKUP(A10,MSFT!A$2:G$55,2,0)</f>
        <v>42.22</v>
      </c>
      <c r="BU10">
        <f>VLOOKUP(A10,NKE!A$2:G$55,2,0)</f>
        <v>77.95</v>
      </c>
      <c r="BV10">
        <f>VLOOKUP(A10,NOV!A$2:G$55,2,0)</f>
        <v>83.12</v>
      </c>
      <c r="BW10">
        <f>VLOOKUP(A10,NSC!A$2:G$55,2,0)</f>
        <v>104.22</v>
      </c>
      <c r="BX10">
        <f>VLOOKUP(A10,ORCL!A$2:G$55,2,0)</f>
        <v>40.43</v>
      </c>
      <c r="BY10">
        <f>VLOOKUP(A10,OXY!A$2:G$55,2,0)</f>
        <v>100.95</v>
      </c>
      <c r="BZ10">
        <f>VLOOKUP(A10,PEP!A$2:G$55,2,0)</f>
        <v>90.2</v>
      </c>
      <c r="CA10">
        <f>VLOOKUP(A10,PFE!A$2:G$55,2,0)</f>
        <v>30.19</v>
      </c>
      <c r="CB10">
        <f>VLOOKUP(A10,PG!A$2:G$55,2,0)</f>
        <v>81.36</v>
      </c>
      <c r="CC10">
        <f>VLOOKUP(A10,PM!A$2:G$55,2,0)</f>
        <v>85.92</v>
      </c>
      <c r="CD10">
        <f>VLOOKUP(A10,QCOM!A$2:G$55,2,0)</f>
        <v>79.44</v>
      </c>
      <c r="CE10">
        <f>VLOOKUP(A10,RTN!A$2:G$55,2,0)</f>
        <v>93.39</v>
      </c>
      <c r="CF10">
        <f>VLOOKUP(A10,SBUX!A$2:G$55,2,0)</f>
        <v>78.98</v>
      </c>
      <c r="CG10">
        <f>VLOOKUP(A10,SLB!A$2:G$55,2,0)</f>
        <v>114.82</v>
      </c>
      <c r="CH10">
        <f>VLOOKUP(A10,SO!A$2:G$55,2,0)</f>
        <v>44.52</v>
      </c>
      <c r="CI10">
        <f>VLOOKUP(A10,SPG!A$2:G$55,2,0)</f>
        <v>169.1</v>
      </c>
      <c r="CJ10">
        <f>VLOOKUP(A10,T!A$2:G$55,2,0)</f>
        <v>35.86</v>
      </c>
      <c r="CK10">
        <f>VLOOKUP(A10,TGT!A$2:G$55,2,0)</f>
        <v>60.14</v>
      </c>
      <c r="CL10">
        <f>VLOOKUP(A10,TWX!A$2:G$55,2,0)</f>
        <v>72.44</v>
      </c>
      <c r="CM10">
        <f>VLOOKUP(A10,TXN!A$2:G$55,2,0)</f>
        <v>49.44</v>
      </c>
      <c r="CN10">
        <f>VLOOKUP(A10,UNH!A$2:G$55,2,0)</f>
        <v>83.33</v>
      </c>
      <c r="CO10">
        <f>VLOOKUP(A10,UNP!A$2:G$55,2,0)</f>
        <v>100.74</v>
      </c>
      <c r="CP10">
        <f>VLOOKUP(A10,UPS!A$2:G$55,2,0)</f>
        <v>102.9</v>
      </c>
      <c r="CQ10">
        <f>VLOOKUP(A10,USB!A$2:G$55,2,0)</f>
        <v>43.51</v>
      </c>
      <c r="CR10">
        <f>VLOOKUP(A10,UTX!A$2:G$55,2,0)</f>
        <v>114.98</v>
      </c>
      <c r="CS10">
        <f>VLOOKUP(A10,V!A$2:G$55,2,0)</f>
        <v>218.75</v>
      </c>
      <c r="CT10">
        <f>VLOOKUP(A10,VZ!A$2:G$55,2,0)</f>
        <v>50.44</v>
      </c>
      <c r="CU10">
        <f>VLOOKUP(A10,WAG!A$2:G$55,2,0)</f>
        <v>72.040000000000006</v>
      </c>
      <c r="CV10">
        <f>VLOOKUP(A10,WFC!A$2:G$55,2,0)</f>
        <v>51.41</v>
      </c>
      <c r="CW10">
        <f>VLOOKUP(A10,WMT!A$2:G$55,2,0)</f>
        <v>77.13</v>
      </c>
    </row>
    <row r="11" spans="1:101" x14ac:dyDescent="0.25">
      <c r="A11" s="34">
        <v>41835</v>
      </c>
      <c r="B11" s="36">
        <v>96.8</v>
      </c>
      <c r="C11">
        <f>VLOOKUP(A11,ABBV!A$2:G$55,2,0)</f>
        <v>54.52</v>
      </c>
      <c r="D11">
        <f>VLOOKUP(A11,ABT!A$2:G$55,2,0)</f>
        <v>41.74</v>
      </c>
      <c r="E11">
        <f>VLOOKUP(A11,ACN!A$2:G$55,2,0)</f>
        <v>79.36</v>
      </c>
      <c r="F11">
        <f>VLOOKUP(A11,AIG!A$2:G$55,2,0)</f>
        <v>55.12</v>
      </c>
      <c r="G11">
        <f>VLOOKUP(A11,ALL!A$2:G$55,2,0)</f>
        <v>58.46</v>
      </c>
      <c r="H11">
        <f>VLOOKUP(A11,AMGN!A$2:G$55,2,0)</f>
        <v>118.74</v>
      </c>
      <c r="I11">
        <f>VLOOKUP(A11,AMZN!A$2:G$55,2,0)</f>
        <v>353.72</v>
      </c>
      <c r="J11">
        <f>VLOOKUP(A11,APA!A$2:G$55,2,0)</f>
        <v>97.99</v>
      </c>
      <c r="K11">
        <f>VLOOKUP(A11,APC!A$2:G$55,2,0)</f>
        <v>109.25</v>
      </c>
      <c r="L11">
        <f>VLOOKUP(A11,AXP!A$2:G$55,2,0)</f>
        <v>94.79</v>
      </c>
      <c r="M11">
        <f>VLOOKUP(A11,BA!A$2:G$55,2,0)</f>
        <v>130.31</v>
      </c>
      <c r="N11">
        <f>VLOOKUP(A11,BAC!A$2:G$55,2,0)</f>
        <v>15.75</v>
      </c>
      <c r="O11">
        <f>VLOOKUP(A11,BAX!A$2:G$55,2,0)</f>
        <v>76.91</v>
      </c>
      <c r="P11">
        <f>VLOOKUP(A11,BIIB!A$2:G$55,2,0)</f>
        <v>320.76</v>
      </c>
      <c r="Q11">
        <f>VLOOKUP(A11,BK!A$2:G$55,2,0)</f>
        <v>38.130000000000003</v>
      </c>
      <c r="R11">
        <f>VLOOKUP(A11,BMY!A$2:G$55,2,0)</f>
        <v>49.06</v>
      </c>
      <c r="T11">
        <f>VLOOKUP(A11,'C'!A$2:G$55,2,0)</f>
        <v>48.82</v>
      </c>
      <c r="U11">
        <f>VLOOKUP(A11,CAT!A$2:G$55,2,0)</f>
        <v>110.25</v>
      </c>
      <c r="V11">
        <f>VLOOKUP(A11,CL!A$2:G$55,2,0)</f>
        <v>69.66</v>
      </c>
      <c r="W11">
        <f>VLOOKUP(A11,CMCSA!A$2:G$55,2,0)</f>
        <v>54.86</v>
      </c>
      <c r="X11">
        <f>VLOOKUP(A11,COF!A$2:G$55,2,0)</f>
        <v>84.39</v>
      </c>
      <c r="Y11">
        <f>VLOOKUP(A11,COP!A$2:G$55,2,0)</f>
        <v>85.63</v>
      </c>
      <c r="Z11">
        <f>VLOOKUP(A11,COST!A$2:G$55,2,0)</f>
        <v>118.16</v>
      </c>
      <c r="AA11">
        <f>VLOOKUP(A11,CSCO!A$2:G$55,2,0)</f>
        <v>25.38</v>
      </c>
      <c r="AB11">
        <f>VLOOKUP(A11,CVS!A$2:G$55,2,0)</f>
        <v>77.209999999999994</v>
      </c>
      <c r="AC11">
        <f>VLOOKUP(A11,CVX!A$2:G$55,2,0)</f>
        <v>129.07</v>
      </c>
      <c r="AD11">
        <f>VLOOKUP(A11,DD!A$2:G$55,2,0)</f>
        <v>65.02</v>
      </c>
      <c r="AE11">
        <f>VLOOKUP(A11,DIS!A$2:G$55,2,0)</f>
        <v>86.58</v>
      </c>
      <c r="AF11">
        <f>VLOOKUP(A11,DOW!A$2:G$55,2,0)</f>
        <v>51.75</v>
      </c>
      <c r="AG11">
        <f>VLOOKUP(A11,DVN!A$2:G$55,2,0)</f>
        <v>77.72</v>
      </c>
      <c r="AH11">
        <f>VLOOKUP(A11,EBAY!A$2:G$55,2,0)</f>
        <v>51.45</v>
      </c>
      <c r="AI11">
        <f>VLOOKUP(A11,EMC!A$2:G$55,2,0)</f>
        <v>26.87</v>
      </c>
      <c r="AJ11">
        <f>VLOOKUP(A11,EMR!A$2:G$55,2,0)</f>
        <v>67.17</v>
      </c>
      <c r="AK11">
        <f>VLOOKUP(A11,EXC!A$2:G$55,2,0)</f>
        <v>32.9</v>
      </c>
      <c r="AL11">
        <f>VLOOKUP(A11,F!A$2:G$55,2,0)</f>
        <v>17.55</v>
      </c>
      <c r="AM11">
        <f>VLOOKUP(A11,FB!A$2:G$55,2,0)</f>
        <v>67.959999999999994</v>
      </c>
      <c r="AN11">
        <f>VLOOKUP(A11,FCX!A$2:G$55,2,0)</f>
        <v>38.69</v>
      </c>
      <c r="AO11">
        <f>VLOOKUP(A11,FDX!A$2:G$55,2,0)</f>
        <v>149.58000000000001</v>
      </c>
      <c r="AP11">
        <f>VLOOKUP(A11,FOXA!A$2:G$55,2,0)</f>
        <v>35.46</v>
      </c>
      <c r="AQ11">
        <f>VLOOKUP(A11,GD!A$2:G$55,2,0)</f>
        <v>116.89</v>
      </c>
      <c r="AR11">
        <f>VLOOKUP(A11,GE!A$2:G$55,2,0)</f>
        <v>26.75</v>
      </c>
      <c r="AS11">
        <f>VLOOKUP(A11,GILD!A$2:G$55,2,0)</f>
        <v>90.03</v>
      </c>
      <c r="AT11">
        <f>VLOOKUP(A11,GM!A$2:G$55,2,0)</f>
        <v>37.61</v>
      </c>
      <c r="AU11">
        <f>VLOOKUP(A11,GOOG!A$2:G$55,2,0)</f>
        <v>585.74</v>
      </c>
      <c r="AV11">
        <f>VLOOKUP(A11,GOOGL!A$2:G$55,2,0)</f>
        <v>595.15</v>
      </c>
      <c r="AW11">
        <f>VLOOKUP(A11,GS!A$2:G$55,2,0)</f>
        <v>169.7</v>
      </c>
      <c r="AX11">
        <f>VLOOKUP(A11,HAL!A$2:G$55,2,0)</f>
        <v>69.59</v>
      </c>
      <c r="AY11">
        <f>VLOOKUP(A11,HD!A$2:G$55,2,0)</f>
        <v>79.5</v>
      </c>
      <c r="AZ11">
        <f>VLOOKUP(A11,HON!A$2:G$55,2,0)</f>
        <v>95.56</v>
      </c>
      <c r="BA11">
        <f>VLOOKUP(A11,HPQ!A$2:G$55,2,0)</f>
        <v>34.35</v>
      </c>
      <c r="BB11">
        <f>VLOOKUP(A11,IBM!A$2:G$55,2,0)</f>
        <v>189.54</v>
      </c>
      <c r="BC11">
        <f>VLOOKUP(A11,INTC!A$2:G$55,2,0)</f>
        <v>31.58</v>
      </c>
      <c r="BD11">
        <f>VLOOKUP(A11,JNJ!A$2:G$55,2,0)</f>
        <v>105.23</v>
      </c>
      <c r="BE11">
        <f>VLOOKUP(A11,JPM!A$2:G$55,2,0)</f>
        <v>57.95</v>
      </c>
      <c r="BF11">
        <f>VLOOKUP(A11,KO!A$2:G$55,2,0)</f>
        <v>42.41</v>
      </c>
      <c r="BG11">
        <f>VLOOKUP(A11,LLY!A$2:G$55,2,0)</f>
        <v>63</v>
      </c>
      <c r="BH11">
        <f>VLOOKUP(A11,LMT!A$2:G$55,2,0)</f>
        <v>161.72999999999999</v>
      </c>
      <c r="BI11">
        <f>VLOOKUP(A11,LOW!A$2:G$55,2,0)</f>
        <v>47.35</v>
      </c>
      <c r="BJ11">
        <f>VLOOKUP(A11,MA!A$2:G$55,2,0)</f>
        <v>77.989999999999995</v>
      </c>
      <c r="BK11">
        <f>VLOOKUP(A11,MCD!A$2:G$55,2,0)</f>
        <v>100.32</v>
      </c>
      <c r="BL11">
        <f>VLOOKUP(A11,MDLZ!A$2:G$55,2,0)</f>
        <v>38.44</v>
      </c>
      <c r="BM11">
        <f>VLOOKUP(A11,MDT!A$2:G$55,2,0)</f>
        <v>63.87</v>
      </c>
      <c r="BN11">
        <f>VLOOKUP(A11,MET!A$2:G$55,2,0)</f>
        <v>56.37</v>
      </c>
      <c r="BO11">
        <f>VLOOKUP(A11,MMM!A$2:G$55,2,0)</f>
        <v>145</v>
      </c>
      <c r="BP11">
        <f>VLOOKUP(A11,MO!A$2:G$55,2,0)</f>
        <v>43</v>
      </c>
      <c r="BQ11">
        <f>VLOOKUP(A11,MON!A$2:G$55,2,0)</f>
        <v>120.35</v>
      </c>
      <c r="BR11">
        <f>VLOOKUP(A11,MRK!A$2:G$55,2,0)</f>
        <v>58.13</v>
      </c>
      <c r="BS11">
        <f>VLOOKUP(A11,MS!A$2:G$55,2,0)</f>
        <v>32.19</v>
      </c>
      <c r="BT11">
        <f>VLOOKUP(A11,MSFT!A$2:G$55,2,0)</f>
        <v>42.33</v>
      </c>
      <c r="BU11">
        <f>VLOOKUP(A11,NKE!A$2:G$55,2,0)</f>
        <v>77.52</v>
      </c>
      <c r="BV11">
        <f>VLOOKUP(A11,NOV!A$2:G$55,2,0)</f>
        <v>83.44</v>
      </c>
      <c r="BW11">
        <f>VLOOKUP(A11,NSC!A$2:G$55,2,0)</f>
        <v>104.07</v>
      </c>
      <c r="BX11">
        <f>VLOOKUP(A11,ORCL!A$2:G$55,2,0)</f>
        <v>40.380000000000003</v>
      </c>
      <c r="BY11">
        <f>VLOOKUP(A11,OXY!A$2:G$55,2,0)</f>
        <v>101.3</v>
      </c>
      <c r="BZ11">
        <f>VLOOKUP(A11,PEP!A$2:G$55,2,0)</f>
        <v>90.31</v>
      </c>
      <c r="CA11">
        <f>VLOOKUP(A11,PFE!A$2:G$55,2,0)</f>
        <v>30.2</v>
      </c>
      <c r="CB11">
        <f>VLOOKUP(A11,PG!A$2:G$55,2,0)</f>
        <v>81.510000000000005</v>
      </c>
      <c r="CC11">
        <f>VLOOKUP(A11,PM!A$2:G$55,2,0)</f>
        <v>85.57</v>
      </c>
      <c r="CD11">
        <f>VLOOKUP(A11,QCOM!A$2:G$55,2,0)</f>
        <v>79.39</v>
      </c>
      <c r="CE11">
        <f>VLOOKUP(A11,RTN!A$2:G$55,2,0)</f>
        <v>94.06</v>
      </c>
      <c r="CF11">
        <f>VLOOKUP(A11,SBUX!A$2:G$55,2,0)</f>
        <v>78.650000000000006</v>
      </c>
      <c r="CG11">
        <f>VLOOKUP(A11,SLB!A$2:G$55,2,0)</f>
        <v>114.45</v>
      </c>
      <c r="CH11">
        <f>VLOOKUP(A11,SO!A$2:G$55,2,0)</f>
        <v>44.18</v>
      </c>
      <c r="CI11">
        <f>VLOOKUP(A11,SPG!A$2:G$55,2,0)</f>
        <v>169.45</v>
      </c>
      <c r="CJ11">
        <f>VLOOKUP(A11,T!A$2:G$55,2,0)</f>
        <v>35.950000000000003</v>
      </c>
      <c r="CK11">
        <f>VLOOKUP(A11,TGT!A$2:G$55,2,0)</f>
        <v>60.55</v>
      </c>
      <c r="CL11">
        <f>VLOOKUP(A11,TWX!A$2:G$55,2,0)</f>
        <v>70.66</v>
      </c>
      <c r="CM11">
        <f>VLOOKUP(A11,TXN!A$2:G$55,2,0)</f>
        <v>48.98</v>
      </c>
      <c r="CN11">
        <f>VLOOKUP(A11,UNH!A$2:G$55,2,0)</f>
        <v>84.04</v>
      </c>
      <c r="CO11">
        <f>VLOOKUP(A11,UNP!A$2:G$55,2,0)</f>
        <v>100.67</v>
      </c>
      <c r="CP11">
        <f>VLOOKUP(A11,UPS!A$2:G$55,2,0)</f>
        <v>103.47</v>
      </c>
      <c r="CQ11">
        <f>VLOOKUP(A11,USB!A$2:G$55,2,0)</f>
        <v>42.97</v>
      </c>
      <c r="CR11">
        <f>VLOOKUP(A11,UTX!A$2:G$55,2,0)</f>
        <v>115.16</v>
      </c>
      <c r="CS11">
        <f>VLOOKUP(A11,V!A$2:G$55,2,0)</f>
        <v>221.67</v>
      </c>
      <c r="CT11">
        <f>VLOOKUP(A11,VZ!A$2:G$55,2,0)</f>
        <v>50.57</v>
      </c>
      <c r="CU11">
        <f>VLOOKUP(A11,WAG!A$2:G$55,2,0)</f>
        <v>71.459999999999994</v>
      </c>
      <c r="CV11">
        <f>VLOOKUP(A11,WFC!A$2:G$55,2,0)</f>
        <v>51.51</v>
      </c>
      <c r="CW11">
        <f>VLOOKUP(A11,WMT!A$2:G$55,2,0)</f>
        <v>76.56</v>
      </c>
    </row>
    <row r="12" spans="1:101" x14ac:dyDescent="0.25">
      <c r="A12" s="34">
        <v>41836</v>
      </c>
      <c r="B12" s="36">
        <v>96.97</v>
      </c>
      <c r="C12">
        <f>VLOOKUP(A12,ABBV!A$2:G$55,2,0)</f>
        <v>53.25</v>
      </c>
      <c r="D12">
        <f>VLOOKUP(A12,ABT!A$2:G$55,2,0)</f>
        <v>41.57</v>
      </c>
      <c r="E12">
        <f>VLOOKUP(A12,ACN!A$2:G$55,2,0)</f>
        <v>79.87</v>
      </c>
      <c r="F12">
        <f>VLOOKUP(A12,AIG!A$2:G$55,2,0)</f>
        <v>55.34</v>
      </c>
      <c r="G12">
        <f>VLOOKUP(A12,ALL!A$2:G$55,2,0)</f>
        <v>58.56</v>
      </c>
      <c r="H12">
        <f>VLOOKUP(A12,AMGN!A$2:G$55,2,0)</f>
        <v>117.85</v>
      </c>
      <c r="I12">
        <f>VLOOKUP(A12,AMZN!A$2:G$55,2,0)</f>
        <v>355.62</v>
      </c>
      <c r="J12">
        <f>VLOOKUP(A12,APA!A$2:G$55,2,0)</f>
        <v>98.5</v>
      </c>
      <c r="K12">
        <f>VLOOKUP(A12,APC!A$2:G$55,2,0)</f>
        <v>110.3</v>
      </c>
      <c r="L12">
        <f>VLOOKUP(A12,AXP!A$2:G$55,2,0)</f>
        <v>94.81</v>
      </c>
      <c r="M12">
        <f>VLOOKUP(A12,BA!A$2:G$55,2,0)</f>
        <v>129.56</v>
      </c>
      <c r="N12">
        <f>VLOOKUP(A12,BAC!A$2:G$55,2,0)</f>
        <v>15.66</v>
      </c>
      <c r="O12">
        <f>VLOOKUP(A12,BAX!A$2:G$55,2,0)</f>
        <v>77</v>
      </c>
      <c r="P12">
        <f>VLOOKUP(A12,BIIB!A$2:G$55,2,0)</f>
        <v>313.83</v>
      </c>
      <c r="Q12">
        <f>VLOOKUP(A12,BK!A$2:G$55,2,0)</f>
        <v>38.299999999999997</v>
      </c>
      <c r="R12">
        <f>VLOOKUP(A12,BMY!A$2:G$55,2,0)</f>
        <v>48.86</v>
      </c>
      <c r="T12">
        <f>VLOOKUP(A12,'C'!A$2:G$55,2,0)</f>
        <v>49.49</v>
      </c>
      <c r="U12">
        <f>VLOOKUP(A12,CAT!A$2:G$55,2,0)</f>
        <v>110.18</v>
      </c>
      <c r="V12">
        <f>VLOOKUP(A12,CL!A$2:G$55,2,0)</f>
        <v>69.599999999999994</v>
      </c>
      <c r="W12">
        <f>VLOOKUP(A12,CMCSA!A$2:G$55,2,0)</f>
        <v>55.11</v>
      </c>
      <c r="X12">
        <f>VLOOKUP(A12,COF!A$2:G$55,2,0)</f>
        <v>85.05</v>
      </c>
      <c r="Y12">
        <f>VLOOKUP(A12,COP!A$2:G$55,2,0)</f>
        <v>85.22</v>
      </c>
      <c r="Z12">
        <f>VLOOKUP(A12,COST!A$2:G$55,2,0)</f>
        <v>118.09</v>
      </c>
      <c r="AA12">
        <f>VLOOKUP(A12,CSCO!A$2:G$55,2,0)</f>
        <v>25.73</v>
      </c>
      <c r="AB12">
        <f>VLOOKUP(A12,CVS!A$2:G$55,2,0)</f>
        <v>77.69</v>
      </c>
      <c r="AC12">
        <f>VLOOKUP(A12,CVX!A$2:G$55,2,0)</f>
        <v>129.88999999999999</v>
      </c>
      <c r="AD12">
        <f>VLOOKUP(A12,DD!A$2:G$55,2,0)</f>
        <v>64.88</v>
      </c>
      <c r="AE12">
        <f>VLOOKUP(A12,DIS!A$2:G$55,2,0)</f>
        <v>86.69</v>
      </c>
      <c r="AF12">
        <f>VLOOKUP(A12,DOW!A$2:G$55,2,0)</f>
        <v>51.72</v>
      </c>
      <c r="AG12">
        <f>VLOOKUP(A12,DVN!A$2:G$55,2,0)</f>
        <v>77</v>
      </c>
      <c r="AH12">
        <f>VLOOKUP(A12,EBAY!A$2:G$55,2,0)</f>
        <v>51.03</v>
      </c>
      <c r="AI12">
        <f>VLOOKUP(A12,EMC!A$2:G$55,2,0)</f>
        <v>26.89</v>
      </c>
      <c r="AJ12">
        <f>VLOOKUP(A12,EMR!A$2:G$55,2,0)</f>
        <v>67.959999999999994</v>
      </c>
      <c r="AK12">
        <f>VLOOKUP(A12,EXC!A$2:G$55,2,0)</f>
        <v>32.89</v>
      </c>
      <c r="AL12">
        <f>VLOOKUP(A12,F!A$2:G$55,2,0)</f>
        <v>17.66</v>
      </c>
      <c r="AM12">
        <f>VLOOKUP(A12,FB!A$2:G$55,2,0)</f>
        <v>67.540000000000006</v>
      </c>
      <c r="AN12">
        <f>VLOOKUP(A12,FCX!A$2:G$55,2,0)</f>
        <v>38.619999999999997</v>
      </c>
      <c r="AO12">
        <f>VLOOKUP(A12,FDX!A$2:G$55,2,0)</f>
        <v>152.4</v>
      </c>
      <c r="AP12">
        <f>VLOOKUP(A12,FOXA!A$2:G$55,2,0)</f>
        <v>35.25</v>
      </c>
      <c r="AQ12">
        <f>VLOOKUP(A12,GD!A$2:G$55,2,0)</f>
        <v>117.96</v>
      </c>
      <c r="AR12">
        <f>VLOOKUP(A12,GE!A$2:G$55,2,0)</f>
        <v>26.69</v>
      </c>
      <c r="AS12">
        <f>VLOOKUP(A12,GILD!A$2:G$55,2,0)</f>
        <v>89.4</v>
      </c>
      <c r="AT12">
        <f>VLOOKUP(A12,GM!A$2:G$55,2,0)</f>
        <v>37.770000000000003</v>
      </c>
      <c r="AU12">
        <f>VLOOKUP(A12,GOOG!A$2:G$55,2,0)</f>
        <v>588</v>
      </c>
      <c r="AV12">
        <f>VLOOKUP(A12,GOOGL!A$2:G$55,2,0)</f>
        <v>596.89</v>
      </c>
      <c r="AW12">
        <f>VLOOKUP(A12,GS!A$2:G$55,2,0)</f>
        <v>169.2</v>
      </c>
      <c r="AX12">
        <f>VLOOKUP(A12,HAL!A$2:G$55,2,0)</f>
        <v>70.64</v>
      </c>
      <c r="AY12">
        <f>VLOOKUP(A12,HD!A$2:G$55,2,0)</f>
        <v>80.040000000000006</v>
      </c>
      <c r="AZ12">
        <f>VLOOKUP(A12,HON!A$2:G$55,2,0)</f>
        <v>96.45</v>
      </c>
      <c r="BA12">
        <f>VLOOKUP(A12,HPQ!A$2:G$55,2,0)</f>
        <v>34.42</v>
      </c>
      <c r="BB12">
        <f>VLOOKUP(A12,IBM!A$2:G$55,2,0)</f>
        <v>192.24</v>
      </c>
      <c r="BC12">
        <f>VLOOKUP(A12,INTC!A$2:G$55,2,0)</f>
        <v>33.31</v>
      </c>
      <c r="BD12">
        <f>VLOOKUP(A12,JNJ!A$2:G$55,2,0)</f>
        <v>103.53</v>
      </c>
      <c r="BE12">
        <f>VLOOKUP(A12,JPM!A$2:G$55,2,0)</f>
        <v>58.51</v>
      </c>
      <c r="BF12">
        <f>VLOOKUP(A12,KO!A$2:G$55,2,0)</f>
        <v>42.26</v>
      </c>
      <c r="BG12">
        <f>VLOOKUP(A12,LLY!A$2:G$55,2,0)</f>
        <v>63.05</v>
      </c>
      <c r="BH12">
        <f>VLOOKUP(A12,LMT!A$2:G$55,2,0)</f>
        <v>163.08000000000001</v>
      </c>
      <c r="BI12">
        <f>VLOOKUP(A12,LOW!A$2:G$55,2,0)</f>
        <v>47.63</v>
      </c>
      <c r="BJ12">
        <f>VLOOKUP(A12,MA!A$2:G$55,2,0)</f>
        <v>78.650000000000006</v>
      </c>
      <c r="BK12">
        <f>VLOOKUP(A12,MCD!A$2:G$55,2,0)</f>
        <v>99.65</v>
      </c>
      <c r="BL12">
        <f>VLOOKUP(A12,MDLZ!A$2:G$55,2,0)</f>
        <v>38.119999999999997</v>
      </c>
      <c r="BM12">
        <f>VLOOKUP(A12,MDT!A$2:G$55,2,0)</f>
        <v>63.5</v>
      </c>
      <c r="BN12">
        <f>VLOOKUP(A12,MET!A$2:G$55,2,0)</f>
        <v>56.62</v>
      </c>
      <c r="BO12">
        <f>VLOOKUP(A12,MMM!A$2:G$55,2,0)</f>
        <v>145.28</v>
      </c>
      <c r="BP12">
        <f>VLOOKUP(A12,MO!A$2:G$55,2,0)</f>
        <v>42.08</v>
      </c>
      <c r="BQ12">
        <f>VLOOKUP(A12,MON!A$2:G$55,2,0)</f>
        <v>121.02</v>
      </c>
      <c r="BR12">
        <f>VLOOKUP(A12,MRK!A$2:G$55,2,0)</f>
        <v>57.94</v>
      </c>
      <c r="BS12">
        <f>VLOOKUP(A12,MS!A$2:G$55,2,0)</f>
        <v>32.270000000000003</v>
      </c>
      <c r="BT12">
        <f>VLOOKUP(A12,MSFT!A$2:G$55,2,0)</f>
        <v>42.51</v>
      </c>
      <c r="BU12">
        <f>VLOOKUP(A12,NKE!A$2:G$55,2,0)</f>
        <v>77.849999999999994</v>
      </c>
      <c r="BV12">
        <f>VLOOKUP(A12,NOV!A$2:G$55,2,0)</f>
        <v>84.25</v>
      </c>
      <c r="BW12">
        <f>VLOOKUP(A12,NSC!A$2:G$55,2,0)</f>
        <v>104.49</v>
      </c>
      <c r="BX12">
        <f>VLOOKUP(A12,ORCL!A$2:G$55,2,0)</f>
        <v>40.81</v>
      </c>
      <c r="BY12">
        <f>VLOOKUP(A12,OXY!A$2:G$55,2,0)</f>
        <v>99.83</v>
      </c>
      <c r="BZ12">
        <f>VLOOKUP(A12,PEP!A$2:G$55,2,0)</f>
        <v>90.63</v>
      </c>
      <c r="CA12">
        <f>VLOOKUP(A12,PFE!A$2:G$55,2,0)</f>
        <v>30.51</v>
      </c>
      <c r="CB12">
        <f>VLOOKUP(A12,PG!A$2:G$55,2,0)</f>
        <v>80.900000000000006</v>
      </c>
      <c r="CC12">
        <f>VLOOKUP(A12,PM!A$2:G$55,2,0)</f>
        <v>84.99</v>
      </c>
      <c r="CD12">
        <f>VLOOKUP(A12,QCOM!A$2:G$55,2,0)</f>
        <v>79.72</v>
      </c>
      <c r="CE12">
        <f>VLOOKUP(A12,RTN!A$2:G$55,2,0)</f>
        <v>95.02</v>
      </c>
      <c r="CF12">
        <f>VLOOKUP(A12,SBUX!A$2:G$55,2,0)</f>
        <v>79.06</v>
      </c>
      <c r="CG12">
        <f>VLOOKUP(A12,SLB!A$2:G$55,2,0)</f>
        <v>115</v>
      </c>
      <c r="CH12">
        <f>VLOOKUP(A12,SO!A$2:G$55,2,0)</f>
        <v>44.6</v>
      </c>
      <c r="CI12">
        <f>VLOOKUP(A12,SPG!A$2:G$55,2,0)</f>
        <v>170.25</v>
      </c>
      <c r="CJ12">
        <f>VLOOKUP(A12,T!A$2:G$55,2,0)</f>
        <v>36.450000000000003</v>
      </c>
      <c r="CK12">
        <f>VLOOKUP(A12,TGT!A$2:G$55,2,0)</f>
        <v>60.74</v>
      </c>
      <c r="CL12">
        <f>VLOOKUP(A12,TWX!A$2:G$55,2,0)</f>
        <v>82.25</v>
      </c>
      <c r="CM12">
        <f>VLOOKUP(A12,TXN!A$2:G$55,2,0)</f>
        <v>49</v>
      </c>
      <c r="CN12">
        <f>VLOOKUP(A12,UNH!A$2:G$55,2,0)</f>
        <v>84.07</v>
      </c>
      <c r="CO12">
        <f>VLOOKUP(A12,UNP!A$2:G$55,2,0)</f>
        <v>101.88</v>
      </c>
      <c r="CP12">
        <f>VLOOKUP(A12,UPS!A$2:G$55,2,0)</f>
        <v>104.45</v>
      </c>
      <c r="CQ12">
        <f>VLOOKUP(A12,USB!A$2:G$55,2,0)</f>
        <v>43.42</v>
      </c>
      <c r="CR12">
        <f>VLOOKUP(A12,UTX!A$2:G$55,2,0)</f>
        <v>115.27</v>
      </c>
      <c r="CS12">
        <f>VLOOKUP(A12,V!A$2:G$55,2,0)</f>
        <v>222.94</v>
      </c>
      <c r="CT12">
        <f>VLOOKUP(A12,VZ!A$2:G$55,2,0)</f>
        <v>50.89</v>
      </c>
      <c r="CU12">
        <f>VLOOKUP(A12,WAG!A$2:G$55,2,0)</f>
        <v>71.92</v>
      </c>
      <c r="CV12">
        <f>VLOOKUP(A12,WFC!A$2:G$55,2,0)</f>
        <v>51.58</v>
      </c>
      <c r="CW12">
        <f>VLOOKUP(A12,WMT!A$2:G$55,2,0)</f>
        <v>76.900000000000006</v>
      </c>
    </row>
    <row r="13" spans="1:101" x14ac:dyDescent="0.25">
      <c r="A13" s="34">
        <v>41837</v>
      </c>
      <c r="B13" s="36">
        <v>95.03</v>
      </c>
      <c r="C13">
        <f>VLOOKUP(A13,ABBV!A$2:G$55,2,0)</f>
        <v>53.21</v>
      </c>
      <c r="D13">
        <f>VLOOKUP(A13,ABT!A$2:G$55,2,0)</f>
        <v>41.02</v>
      </c>
      <c r="E13">
        <f>VLOOKUP(A13,ACN!A$2:G$55,2,0)</f>
        <v>79.650000000000006</v>
      </c>
      <c r="F13">
        <f>VLOOKUP(A13,AIG!A$2:G$55,2,0)</f>
        <v>54.92</v>
      </c>
      <c r="G13">
        <f>VLOOKUP(A13,ALL!A$2:G$55,2,0)</f>
        <v>58.03</v>
      </c>
      <c r="H13">
        <f>VLOOKUP(A13,AMGN!A$2:G$55,2,0)</f>
        <v>116.73</v>
      </c>
      <c r="I13">
        <f>VLOOKUP(A13,AMZN!A$2:G$55,2,0)</f>
        <v>353.44</v>
      </c>
      <c r="J13">
        <f>VLOOKUP(A13,APA!A$2:G$55,2,0)</f>
        <v>100</v>
      </c>
      <c r="K13">
        <f>VLOOKUP(A13,APC!A$2:G$55,2,0)</f>
        <v>112.26</v>
      </c>
      <c r="L13">
        <f>VLOOKUP(A13,AXP!A$2:G$55,2,0)</f>
        <v>93.96</v>
      </c>
      <c r="M13">
        <f>VLOOKUP(A13,BA!A$2:G$55,2,0)</f>
        <v>127.21</v>
      </c>
      <c r="N13">
        <f>VLOOKUP(A13,BAC!A$2:G$55,2,0)</f>
        <v>15.45</v>
      </c>
      <c r="O13">
        <f>VLOOKUP(A13,BAX!A$2:G$55,2,0)</f>
        <v>76.19</v>
      </c>
      <c r="P13">
        <f>VLOOKUP(A13,BIIB!A$2:G$55,2,0)</f>
        <v>301.85000000000002</v>
      </c>
      <c r="Q13">
        <f>VLOOKUP(A13,BK!A$2:G$55,2,0)</f>
        <v>37.979999999999997</v>
      </c>
      <c r="R13">
        <f>VLOOKUP(A13,BMY!A$2:G$55,2,0)</f>
        <v>48.46</v>
      </c>
      <c r="T13">
        <f>VLOOKUP(A13,'C'!A$2:G$55,2,0)</f>
        <v>49.5</v>
      </c>
      <c r="U13">
        <f>VLOOKUP(A13,CAT!A$2:G$55,2,0)</f>
        <v>110.4</v>
      </c>
      <c r="V13">
        <f>VLOOKUP(A13,CL!A$2:G$55,2,0)</f>
        <v>69.36</v>
      </c>
      <c r="W13">
        <f>VLOOKUP(A13,CMCSA!A$2:G$55,2,0)</f>
        <v>54.53</v>
      </c>
      <c r="X13">
        <f>VLOOKUP(A13,COF!A$2:G$55,2,0)</f>
        <v>84.07</v>
      </c>
      <c r="Y13">
        <f>VLOOKUP(A13,COP!A$2:G$55,2,0)</f>
        <v>86.02</v>
      </c>
      <c r="Z13">
        <f>VLOOKUP(A13,COST!A$2:G$55,2,0)</f>
        <v>117.35</v>
      </c>
      <c r="AA13">
        <f>VLOOKUP(A13,CSCO!A$2:G$55,2,0)</f>
        <v>25.84</v>
      </c>
      <c r="AB13">
        <f>VLOOKUP(A13,CVS!A$2:G$55,2,0)</f>
        <v>76.62</v>
      </c>
      <c r="AC13">
        <f>VLOOKUP(A13,CVX!A$2:G$55,2,0)</f>
        <v>130.63999999999999</v>
      </c>
      <c r="AD13">
        <f>VLOOKUP(A13,DD!A$2:G$55,2,0)</f>
        <v>64.91</v>
      </c>
      <c r="AE13">
        <f>VLOOKUP(A13,DIS!A$2:G$55,2,0)</f>
        <v>85.33</v>
      </c>
      <c r="AF13">
        <f>VLOOKUP(A13,DOW!A$2:G$55,2,0)</f>
        <v>51.7</v>
      </c>
      <c r="AG13">
        <f>VLOOKUP(A13,DVN!A$2:G$55,2,0)</f>
        <v>77.94</v>
      </c>
      <c r="AH13">
        <f>VLOOKUP(A13,EBAY!A$2:G$55,2,0)</f>
        <v>51.1</v>
      </c>
      <c r="AI13">
        <f>VLOOKUP(A13,EMC!A$2:G$55,2,0)</f>
        <v>26.95</v>
      </c>
      <c r="AJ13">
        <f>VLOOKUP(A13,EMR!A$2:G$55,2,0)</f>
        <v>67.55</v>
      </c>
      <c r="AK13">
        <f>VLOOKUP(A13,EXC!A$2:G$55,2,0)</f>
        <v>32.83</v>
      </c>
      <c r="AL13">
        <f>VLOOKUP(A13,F!A$2:G$55,2,0)</f>
        <v>17.66</v>
      </c>
      <c r="AM13">
        <f>VLOOKUP(A13,FB!A$2:G$55,2,0)</f>
        <v>67.03</v>
      </c>
      <c r="AN13">
        <f>VLOOKUP(A13,FCX!A$2:G$55,2,0)</f>
        <v>38.6</v>
      </c>
      <c r="AO13">
        <f>VLOOKUP(A13,FDX!A$2:G$55,2,0)</f>
        <v>153.35</v>
      </c>
      <c r="AP13">
        <f>VLOOKUP(A13,FOXA!A$2:G$55,2,0)</f>
        <v>32.99</v>
      </c>
      <c r="AQ13">
        <f>VLOOKUP(A13,GD!A$2:G$55,2,0)</f>
        <v>117.06</v>
      </c>
      <c r="AR13">
        <f>VLOOKUP(A13,GE!A$2:G$55,2,0)</f>
        <v>26.92</v>
      </c>
      <c r="AS13">
        <f>VLOOKUP(A13,GILD!A$2:G$55,2,0)</f>
        <v>86.4</v>
      </c>
      <c r="AT13">
        <f>VLOOKUP(A13,GM!A$2:G$55,2,0)</f>
        <v>37.31</v>
      </c>
      <c r="AU13">
        <f>VLOOKUP(A13,GOOG!A$2:G$55,2,0)</f>
        <v>579.53</v>
      </c>
      <c r="AV13">
        <f>VLOOKUP(A13,GOOGL!A$2:G$55,2,0)</f>
        <v>588.97</v>
      </c>
      <c r="AW13">
        <f>VLOOKUP(A13,GS!A$2:G$55,2,0)</f>
        <v>170.21</v>
      </c>
      <c r="AX13">
        <f>VLOOKUP(A13,HAL!A$2:G$55,2,0)</f>
        <v>71.88</v>
      </c>
      <c r="AY13">
        <f>VLOOKUP(A13,HD!A$2:G$55,2,0)</f>
        <v>79.45</v>
      </c>
      <c r="AZ13">
        <f>VLOOKUP(A13,HON!A$2:G$55,2,0)</f>
        <v>95.39</v>
      </c>
      <c r="BA13">
        <f>VLOOKUP(A13,HPQ!A$2:G$55,2,0)</f>
        <v>34.69</v>
      </c>
      <c r="BB13">
        <f>VLOOKUP(A13,IBM!A$2:G$55,2,0)</f>
        <v>192.36</v>
      </c>
      <c r="BC13">
        <f>VLOOKUP(A13,INTC!A$2:G$55,2,0)</f>
        <v>34.200000000000003</v>
      </c>
      <c r="BD13">
        <f>VLOOKUP(A13,JNJ!A$2:G$55,2,0)</f>
        <v>101.9</v>
      </c>
      <c r="BE13">
        <f>VLOOKUP(A13,JPM!A$2:G$55,2,0)</f>
        <v>58.56</v>
      </c>
      <c r="BF13">
        <f>VLOOKUP(A13,KO!A$2:G$55,2,0)</f>
        <v>41.93</v>
      </c>
      <c r="BG13">
        <f>VLOOKUP(A13,LLY!A$2:G$55,2,0)</f>
        <v>62.36</v>
      </c>
      <c r="BH13">
        <f>VLOOKUP(A13,LMT!A$2:G$55,2,0)</f>
        <v>161.11000000000001</v>
      </c>
      <c r="BI13">
        <f>VLOOKUP(A13,LOW!A$2:G$55,2,0)</f>
        <v>47.42</v>
      </c>
      <c r="BJ13">
        <f>VLOOKUP(A13,MA!A$2:G$55,2,0)</f>
        <v>77.31</v>
      </c>
      <c r="BK13">
        <f>VLOOKUP(A13,MCD!A$2:G$55,2,0)</f>
        <v>98.96</v>
      </c>
      <c r="BL13">
        <f>VLOOKUP(A13,MDLZ!A$2:G$55,2,0)</f>
        <v>37.9</v>
      </c>
      <c r="BM13">
        <f>VLOOKUP(A13,MDT!A$2:G$55,2,0)</f>
        <v>62.71</v>
      </c>
      <c r="BN13">
        <f>VLOOKUP(A13,MET!A$2:G$55,2,0)</f>
        <v>55.56</v>
      </c>
      <c r="BO13">
        <f>VLOOKUP(A13,MMM!A$2:G$55,2,0)</f>
        <v>145.33000000000001</v>
      </c>
      <c r="BP13">
        <f>VLOOKUP(A13,MO!A$2:G$55,2,0)</f>
        <v>41.71</v>
      </c>
      <c r="BQ13">
        <f>VLOOKUP(A13,MON!A$2:G$55,2,0)</f>
        <v>119.76</v>
      </c>
      <c r="BR13">
        <f>VLOOKUP(A13,MRK!A$2:G$55,2,0)</f>
        <v>57.87</v>
      </c>
      <c r="BS13">
        <f>VLOOKUP(A13,MS!A$2:G$55,2,0)</f>
        <v>33.04</v>
      </c>
      <c r="BT13">
        <f>VLOOKUP(A13,MSFT!A$2:G$55,2,0)</f>
        <v>45.45</v>
      </c>
      <c r="BU13">
        <f>VLOOKUP(A13,NKE!A$2:G$55,2,0)</f>
        <v>76.430000000000007</v>
      </c>
      <c r="BV13">
        <f>VLOOKUP(A13,NOV!A$2:G$55,2,0)</f>
        <v>85.2</v>
      </c>
      <c r="BW13">
        <f>VLOOKUP(A13,NSC!A$2:G$55,2,0)</f>
        <v>104.51</v>
      </c>
      <c r="BX13">
        <f>VLOOKUP(A13,ORCL!A$2:G$55,2,0)</f>
        <v>40.21</v>
      </c>
      <c r="BY13">
        <f>VLOOKUP(A13,OXY!A$2:G$55,2,0)</f>
        <v>101.88</v>
      </c>
      <c r="BZ13">
        <f>VLOOKUP(A13,PEP!A$2:G$55,2,0)</f>
        <v>90.15</v>
      </c>
      <c r="CA13">
        <f>VLOOKUP(A13,PFE!A$2:G$55,2,0)</f>
        <v>30.8</v>
      </c>
      <c r="CB13">
        <f>VLOOKUP(A13,PG!A$2:G$55,2,0)</f>
        <v>80.989999999999995</v>
      </c>
      <c r="CC13">
        <f>VLOOKUP(A13,PM!A$2:G$55,2,0)</f>
        <v>84.58</v>
      </c>
      <c r="CD13">
        <f>VLOOKUP(A13,QCOM!A$2:G$55,2,0)</f>
        <v>79.11</v>
      </c>
      <c r="CE13">
        <f>VLOOKUP(A13,RTN!A$2:G$55,2,0)</f>
        <v>94.18</v>
      </c>
      <c r="CF13">
        <f>VLOOKUP(A13,SBUX!A$2:G$55,2,0)</f>
        <v>78.12</v>
      </c>
      <c r="CG13">
        <f>VLOOKUP(A13,SLB!A$2:G$55,2,0)</f>
        <v>115.65</v>
      </c>
      <c r="CH13">
        <f>VLOOKUP(A13,SO!A$2:G$55,2,0)</f>
        <v>44.6</v>
      </c>
      <c r="CI13">
        <f>VLOOKUP(A13,SPG!A$2:G$55,2,0)</f>
        <v>170.19</v>
      </c>
      <c r="CJ13">
        <f>VLOOKUP(A13,T!A$2:G$55,2,0)</f>
        <v>36.270000000000003</v>
      </c>
      <c r="CK13">
        <f>VLOOKUP(A13,TGT!A$2:G$55,2,0)</f>
        <v>59.99</v>
      </c>
      <c r="CL13">
        <f>VLOOKUP(A13,TWX!A$2:G$55,2,0)</f>
        <v>84</v>
      </c>
      <c r="CM13">
        <f>VLOOKUP(A13,TXN!A$2:G$55,2,0)</f>
        <v>48.53</v>
      </c>
      <c r="CN13">
        <f>VLOOKUP(A13,UNH!A$2:G$55,2,0)</f>
        <v>84.25</v>
      </c>
      <c r="CO13">
        <f>VLOOKUP(A13,UNP!A$2:G$55,2,0)</f>
        <v>100.97</v>
      </c>
      <c r="CP13">
        <f>VLOOKUP(A13,UPS!A$2:G$55,2,0)</f>
        <v>103.98</v>
      </c>
      <c r="CQ13">
        <f>VLOOKUP(A13,USB!A$2:G$55,2,0)</f>
        <v>42.22</v>
      </c>
      <c r="CR13">
        <f>VLOOKUP(A13,UTX!A$2:G$55,2,0)</f>
        <v>113.93</v>
      </c>
      <c r="CS13">
        <f>VLOOKUP(A13,V!A$2:G$55,2,0)</f>
        <v>221.94</v>
      </c>
      <c r="CT13">
        <f>VLOOKUP(A13,VZ!A$2:G$55,2,0)</f>
        <v>50.79</v>
      </c>
      <c r="CU13">
        <f>VLOOKUP(A13,WAG!A$2:G$55,2,0)</f>
        <v>70.84</v>
      </c>
      <c r="CV13">
        <f>VLOOKUP(A13,WFC!A$2:G$55,2,0)</f>
        <v>51.08</v>
      </c>
      <c r="CW13">
        <f>VLOOKUP(A13,WMT!A$2:G$55,2,0)</f>
        <v>76.58</v>
      </c>
    </row>
    <row r="14" spans="1:101" x14ac:dyDescent="0.25">
      <c r="A14" s="34">
        <v>41838</v>
      </c>
      <c r="B14" s="36">
        <v>93.62</v>
      </c>
      <c r="C14">
        <f>VLOOKUP(A14,ABBV!A$2:G$55,2,0)</f>
        <v>53</v>
      </c>
      <c r="D14">
        <f>VLOOKUP(A14,ABT!A$2:G$55,2,0)</f>
        <v>41.9</v>
      </c>
      <c r="E14">
        <f>VLOOKUP(A14,ACN!A$2:G$55,2,0)</f>
        <v>79.489999999999995</v>
      </c>
      <c r="F14">
        <f>VLOOKUP(A14,AIG!A$2:G$55,2,0)</f>
        <v>54.91</v>
      </c>
      <c r="G14">
        <f>VLOOKUP(A14,ALL!A$2:G$55,2,0)</f>
        <v>57.86</v>
      </c>
      <c r="H14">
        <f>VLOOKUP(A14,AMGN!A$2:G$55,2,0)</f>
        <v>116.11</v>
      </c>
      <c r="I14">
        <f>VLOOKUP(A14,AMZN!A$2:G$55,2,0)</f>
        <v>354.4</v>
      </c>
      <c r="J14">
        <f>VLOOKUP(A14,APA!A$2:G$55,2,0)</f>
        <v>99.04</v>
      </c>
      <c r="K14">
        <f>VLOOKUP(A14,APC!A$2:G$55,2,0)</f>
        <v>108.07</v>
      </c>
      <c r="L14">
        <f>VLOOKUP(A14,AXP!A$2:G$55,2,0)</f>
        <v>93.32</v>
      </c>
      <c r="M14">
        <f>VLOOKUP(A14,BA!A$2:G$55,2,0)</f>
        <v>126.38</v>
      </c>
      <c r="N14">
        <f>VLOOKUP(A14,BAC!A$2:G$55,2,0)</f>
        <v>15.27</v>
      </c>
      <c r="O14">
        <f>VLOOKUP(A14,BAX!A$2:G$55,2,0)</f>
        <v>76.53</v>
      </c>
      <c r="P14">
        <f>VLOOKUP(A14,BIIB!A$2:G$55,2,0)</f>
        <v>301.12</v>
      </c>
      <c r="Q14">
        <f>VLOOKUP(A14,BK!A$2:G$55,2,0)</f>
        <v>38</v>
      </c>
      <c r="R14">
        <f>VLOOKUP(A14,BMY!A$2:G$55,2,0)</f>
        <v>48.5</v>
      </c>
      <c r="T14">
        <f>VLOOKUP(A14,'C'!A$2:G$55,2,0)</f>
        <v>49.49</v>
      </c>
      <c r="U14">
        <f>VLOOKUP(A14,CAT!A$2:G$55,2,0)</f>
        <v>109.43</v>
      </c>
      <c r="V14">
        <f>VLOOKUP(A14,CL!A$2:G$55,2,0)</f>
        <v>68.78</v>
      </c>
      <c r="W14">
        <f>VLOOKUP(A14,CMCSA!A$2:G$55,2,0)</f>
        <v>54.74</v>
      </c>
      <c r="X14">
        <f>VLOOKUP(A14,COF!A$2:G$55,2,0)</f>
        <v>83.68</v>
      </c>
      <c r="Y14">
        <f>VLOOKUP(A14,COP!A$2:G$55,2,0)</f>
        <v>84.9</v>
      </c>
      <c r="Z14">
        <f>VLOOKUP(A14,COST!A$2:G$55,2,0)</f>
        <v>117.32</v>
      </c>
      <c r="AA14">
        <f>VLOOKUP(A14,CSCO!A$2:G$55,2,0)</f>
        <v>25.7</v>
      </c>
      <c r="AB14">
        <f>VLOOKUP(A14,CVS!A$2:G$55,2,0)</f>
        <v>76.319999999999993</v>
      </c>
      <c r="AC14">
        <f>VLOOKUP(A14,CVX!A$2:G$55,2,0)</f>
        <v>130.63999999999999</v>
      </c>
      <c r="AD14">
        <f>VLOOKUP(A14,DD!A$2:G$55,2,0)</f>
        <v>65.010000000000005</v>
      </c>
      <c r="AE14">
        <f>VLOOKUP(A14,DIS!A$2:G$55,2,0)</f>
        <v>85.44</v>
      </c>
      <c r="AF14">
        <f>VLOOKUP(A14,DOW!A$2:G$55,2,0)</f>
        <v>51.72</v>
      </c>
      <c r="AG14">
        <f>VLOOKUP(A14,DVN!A$2:G$55,2,0)</f>
        <v>76.52</v>
      </c>
      <c r="AH14">
        <f>VLOOKUP(A14,EBAY!A$2:G$55,2,0)</f>
        <v>50.93</v>
      </c>
      <c r="AI14">
        <f>VLOOKUP(A14,EMC!A$2:G$55,2,0)</f>
        <v>26.83</v>
      </c>
      <c r="AJ14">
        <f>VLOOKUP(A14,EMR!A$2:G$55,2,0)</f>
        <v>67.12</v>
      </c>
      <c r="AK14">
        <f>VLOOKUP(A14,EXC!A$2:G$55,2,0)</f>
        <v>32.18</v>
      </c>
      <c r="AL14">
        <f>VLOOKUP(A14,F!A$2:G$55,2,0)</f>
        <v>17.8</v>
      </c>
      <c r="AM14">
        <f>VLOOKUP(A14,FB!A$2:G$55,2,0)</f>
        <v>66.8</v>
      </c>
      <c r="AN14">
        <f>VLOOKUP(A14,FCX!A$2:G$55,2,0)</f>
        <v>38.549999999999997</v>
      </c>
      <c r="AO14">
        <f>VLOOKUP(A14,FDX!A$2:G$55,2,0)</f>
        <v>151.34</v>
      </c>
      <c r="AP14">
        <f>VLOOKUP(A14,FOXA!A$2:G$55,2,0)</f>
        <v>33.049999999999997</v>
      </c>
      <c r="AQ14">
        <f>VLOOKUP(A14,GD!A$2:G$55,2,0)</f>
        <v>116.65</v>
      </c>
      <c r="AR14">
        <f>VLOOKUP(A14,GE!A$2:G$55,2,0)</f>
        <v>26.77</v>
      </c>
      <c r="AS14">
        <f>VLOOKUP(A14,GILD!A$2:G$55,2,0)</f>
        <v>85.73</v>
      </c>
      <c r="AT14">
        <f>VLOOKUP(A14,GM!A$2:G$55,2,0)</f>
        <v>37.340000000000003</v>
      </c>
      <c r="AU14">
        <f>VLOOKUP(A14,GOOG!A$2:G$55,2,0)</f>
        <v>593</v>
      </c>
      <c r="AV14">
        <f>VLOOKUP(A14,GOOGL!A$2:G$55,2,0)</f>
        <v>603.01</v>
      </c>
      <c r="AW14">
        <f>VLOOKUP(A14,GS!A$2:G$55,2,0)</f>
        <v>170.41</v>
      </c>
      <c r="AX14">
        <f>VLOOKUP(A14,HAL!A$2:G$55,2,0)</f>
        <v>70.33</v>
      </c>
      <c r="AY14">
        <f>VLOOKUP(A14,HD!A$2:G$55,2,0)</f>
        <v>79.8</v>
      </c>
      <c r="AZ14">
        <f>VLOOKUP(A14,HON!A$2:G$55,2,0)</f>
        <v>96.3</v>
      </c>
      <c r="BA14">
        <f>VLOOKUP(A14,HPQ!A$2:G$55,2,0)</f>
        <v>34.520000000000003</v>
      </c>
      <c r="BB14">
        <f>VLOOKUP(A14,IBM!A$2:G$55,2,0)</f>
        <v>191.96</v>
      </c>
      <c r="BC14">
        <f>VLOOKUP(A14,INTC!A$2:G$55,2,0)</f>
        <v>33.799999999999997</v>
      </c>
      <c r="BD14">
        <f>VLOOKUP(A14,JNJ!A$2:G$55,2,0)</f>
        <v>100.67</v>
      </c>
      <c r="BE14">
        <f>VLOOKUP(A14,JPM!A$2:G$55,2,0)</f>
        <v>58.33</v>
      </c>
      <c r="BF14">
        <f>VLOOKUP(A14,KO!A$2:G$55,2,0)</f>
        <v>42.14</v>
      </c>
      <c r="BG14">
        <f>VLOOKUP(A14,LLY!A$2:G$55,2,0)</f>
        <v>62.48</v>
      </c>
      <c r="BH14">
        <f>VLOOKUP(A14,LMT!A$2:G$55,2,0)</f>
        <v>161.82</v>
      </c>
      <c r="BI14">
        <f>VLOOKUP(A14,LOW!A$2:G$55,2,0)</f>
        <v>47.45</v>
      </c>
      <c r="BJ14">
        <f>VLOOKUP(A14,MA!A$2:G$55,2,0)</f>
        <v>76.75</v>
      </c>
      <c r="BK14">
        <f>VLOOKUP(A14,MCD!A$2:G$55,2,0)</f>
        <v>98.64</v>
      </c>
      <c r="BL14">
        <f>VLOOKUP(A14,MDLZ!A$2:G$55,2,0)</f>
        <v>38.1</v>
      </c>
      <c r="BM14">
        <f>VLOOKUP(A14,MDT!A$2:G$55,2,0)</f>
        <v>61.92</v>
      </c>
      <c r="BN14">
        <f>VLOOKUP(A14,MET!A$2:G$55,2,0)</f>
        <v>55.41</v>
      </c>
      <c r="BO14">
        <f>VLOOKUP(A14,MMM!A$2:G$55,2,0)</f>
        <v>143.83000000000001</v>
      </c>
      <c r="BP14">
        <f>VLOOKUP(A14,MO!A$2:G$55,2,0)</f>
        <v>41.79</v>
      </c>
      <c r="BQ14">
        <f>VLOOKUP(A14,MON!A$2:G$55,2,0)</f>
        <v>120</v>
      </c>
      <c r="BR14">
        <f>VLOOKUP(A14,MRK!A$2:G$55,2,0)</f>
        <v>57.92</v>
      </c>
      <c r="BS14">
        <f>VLOOKUP(A14,MS!A$2:G$55,2,0)</f>
        <v>32.450000000000003</v>
      </c>
      <c r="BT14">
        <f>VLOOKUP(A14,MSFT!A$2:G$55,2,0)</f>
        <v>44.65</v>
      </c>
      <c r="BU14">
        <f>VLOOKUP(A14,NKE!A$2:G$55,2,0)</f>
        <v>76.849999999999994</v>
      </c>
      <c r="BV14">
        <f>VLOOKUP(A14,NOV!A$2:G$55,2,0)</f>
        <v>84.59</v>
      </c>
      <c r="BW14">
        <f>VLOOKUP(A14,NSC!A$2:G$55,2,0)</f>
        <v>104.66</v>
      </c>
      <c r="BX14">
        <f>VLOOKUP(A14,ORCL!A$2:G$55,2,0)</f>
        <v>39.979999999999997</v>
      </c>
      <c r="BY14">
        <f>VLOOKUP(A14,OXY!A$2:G$55,2,0)</f>
        <v>100.03</v>
      </c>
      <c r="BZ14">
        <f>VLOOKUP(A14,PEP!A$2:G$55,2,0)</f>
        <v>90.13</v>
      </c>
      <c r="CA14">
        <f>VLOOKUP(A14,PFE!A$2:G$55,2,0)</f>
        <v>30.53</v>
      </c>
      <c r="CB14">
        <f>VLOOKUP(A14,PG!A$2:G$55,2,0)</f>
        <v>80.55</v>
      </c>
      <c r="CC14">
        <f>VLOOKUP(A14,PM!A$2:G$55,2,0)</f>
        <v>85.01</v>
      </c>
      <c r="CD14">
        <f>VLOOKUP(A14,QCOM!A$2:G$55,2,0)</f>
        <v>78.55</v>
      </c>
      <c r="CE14">
        <f>VLOOKUP(A14,RTN!A$2:G$55,2,0)</f>
        <v>94.37</v>
      </c>
      <c r="CF14">
        <f>VLOOKUP(A14,SBUX!A$2:G$55,2,0)</f>
        <v>77.7</v>
      </c>
      <c r="CG14">
        <f>VLOOKUP(A14,SLB!A$2:G$55,2,0)</f>
        <v>113.5</v>
      </c>
      <c r="CH14">
        <f>VLOOKUP(A14,SO!A$2:G$55,2,0)</f>
        <v>44.71</v>
      </c>
      <c r="CI14">
        <f>VLOOKUP(A14,SPG!A$2:G$55,2,0)</f>
        <v>170.29</v>
      </c>
      <c r="CJ14">
        <f>VLOOKUP(A14,T!A$2:G$55,2,0)</f>
        <v>36.18</v>
      </c>
      <c r="CK14">
        <f>VLOOKUP(A14,TGT!A$2:G$55,2,0)</f>
        <v>59.82</v>
      </c>
      <c r="CL14">
        <f>VLOOKUP(A14,TWX!A$2:G$55,2,0)</f>
        <v>86.99</v>
      </c>
      <c r="CM14">
        <f>VLOOKUP(A14,TXN!A$2:G$55,2,0)</f>
        <v>48.42</v>
      </c>
      <c r="CN14">
        <f>VLOOKUP(A14,UNH!A$2:G$55,2,0)</f>
        <v>85.47</v>
      </c>
      <c r="CO14">
        <f>VLOOKUP(A14,UNP!A$2:G$55,2,0)</f>
        <v>100.7</v>
      </c>
      <c r="CP14">
        <f>VLOOKUP(A14,UPS!A$2:G$55,2,0)</f>
        <v>102.99</v>
      </c>
      <c r="CQ14">
        <f>VLOOKUP(A14,USB!A$2:G$55,2,0)</f>
        <v>41.82</v>
      </c>
      <c r="CR14">
        <f>VLOOKUP(A14,UTX!A$2:G$55,2,0)</f>
        <v>113.01</v>
      </c>
      <c r="CS14">
        <f>VLOOKUP(A14,V!A$2:G$55,2,0)</f>
        <v>219.18</v>
      </c>
      <c r="CT14">
        <f>VLOOKUP(A14,VZ!A$2:G$55,2,0)</f>
        <v>50.62</v>
      </c>
      <c r="CU14">
        <f>VLOOKUP(A14,WAG!A$2:G$55,2,0)</f>
        <v>70.33</v>
      </c>
      <c r="CV14">
        <f>VLOOKUP(A14,WFC!A$2:G$55,2,0)</f>
        <v>50.97</v>
      </c>
      <c r="CW14">
        <f>VLOOKUP(A14,WMT!A$2:G$55,2,0)</f>
        <v>76.62</v>
      </c>
    </row>
    <row r="15" spans="1:101" x14ac:dyDescent="0.25">
      <c r="A15" s="34">
        <v>41841</v>
      </c>
      <c r="B15" s="36">
        <v>94.99</v>
      </c>
      <c r="C15">
        <f>VLOOKUP(A15,ABBV!A$2:G$55,2,0)</f>
        <v>54.14</v>
      </c>
      <c r="D15">
        <f>VLOOKUP(A15,ABT!A$2:G$55,2,0)</f>
        <v>42.5</v>
      </c>
      <c r="E15">
        <f>VLOOKUP(A15,ACN!A$2:G$55,2,0)</f>
        <v>79.849999999999994</v>
      </c>
      <c r="F15">
        <f>VLOOKUP(A15,AIG!A$2:G$55,2,0)</f>
        <v>54.74</v>
      </c>
      <c r="G15">
        <f>VLOOKUP(A15,ALL!A$2:G$55,2,0)</f>
        <v>57.83</v>
      </c>
      <c r="H15">
        <f>VLOOKUP(A15,AMGN!A$2:G$55,2,0)</f>
        <v>117.63</v>
      </c>
      <c r="I15">
        <f>VLOOKUP(A15,AMZN!A$2:G$55,2,0)</f>
        <v>358.1</v>
      </c>
      <c r="J15">
        <f>VLOOKUP(A15,APA!A$2:G$55,2,0)</f>
        <v>98.42</v>
      </c>
      <c r="K15">
        <f>VLOOKUP(A15,APC!A$2:G$55,2,0)</f>
        <v>108.6</v>
      </c>
      <c r="L15">
        <f>VLOOKUP(A15,AXP!A$2:G$55,2,0)</f>
        <v>93.29</v>
      </c>
      <c r="M15">
        <f>VLOOKUP(A15,BA!A$2:G$55,2,0)</f>
        <v>127.3</v>
      </c>
      <c r="N15">
        <f>VLOOKUP(A15,BAC!A$2:G$55,2,0)</f>
        <v>15.42</v>
      </c>
      <c r="O15">
        <f>VLOOKUP(A15,BAX!A$2:G$55,2,0)</f>
        <v>76.23</v>
      </c>
      <c r="P15">
        <f>VLOOKUP(A15,BIIB!A$2:G$55,2,0)</f>
        <v>303.04000000000002</v>
      </c>
      <c r="Q15">
        <f>VLOOKUP(A15,BK!A$2:G$55,2,0)</f>
        <v>38.26</v>
      </c>
      <c r="R15">
        <f>VLOOKUP(A15,BMY!A$2:G$55,2,0)</f>
        <v>48.86</v>
      </c>
      <c r="T15">
        <f>VLOOKUP(A15,'C'!A$2:G$55,2,0)</f>
        <v>49.16</v>
      </c>
      <c r="U15">
        <f>VLOOKUP(A15,CAT!A$2:G$55,2,0)</f>
        <v>110</v>
      </c>
      <c r="V15">
        <f>VLOOKUP(A15,CL!A$2:G$55,2,0)</f>
        <v>68.56</v>
      </c>
      <c r="W15">
        <f>VLOOKUP(A15,CMCSA!A$2:G$55,2,0)</f>
        <v>54.12</v>
      </c>
      <c r="X15">
        <f>VLOOKUP(A15,COF!A$2:G$55,2,0)</f>
        <v>82.32</v>
      </c>
      <c r="Y15">
        <f>VLOOKUP(A15,COP!A$2:G$55,2,0)</f>
        <v>84.88</v>
      </c>
      <c r="Z15">
        <f>VLOOKUP(A15,COST!A$2:G$55,2,0)</f>
        <v>117.43</v>
      </c>
      <c r="AA15">
        <f>VLOOKUP(A15,CSCO!A$2:G$55,2,0)</f>
        <v>25.89</v>
      </c>
      <c r="AB15">
        <f>VLOOKUP(A15,CVS!A$2:G$55,2,0)</f>
        <v>76.989999999999995</v>
      </c>
      <c r="AC15">
        <f>VLOOKUP(A15,CVX!A$2:G$55,2,0)</f>
        <v>130.11000000000001</v>
      </c>
      <c r="AD15">
        <f>VLOOKUP(A15,DD!A$2:G$55,2,0)</f>
        <v>65.23</v>
      </c>
      <c r="AE15">
        <f>VLOOKUP(A15,DIS!A$2:G$55,2,0)</f>
        <v>85.81</v>
      </c>
      <c r="AF15">
        <f>VLOOKUP(A15,DOW!A$2:G$55,2,0)</f>
        <v>51.7</v>
      </c>
      <c r="AG15">
        <f>VLOOKUP(A15,DVN!A$2:G$55,2,0)</f>
        <v>76.91</v>
      </c>
      <c r="AH15">
        <f>VLOOKUP(A15,EBAY!A$2:G$55,2,0)</f>
        <v>51.27</v>
      </c>
      <c r="AI15">
        <f>VLOOKUP(A15,EMC!A$2:G$55,2,0)</f>
        <v>28.2</v>
      </c>
      <c r="AJ15">
        <f>VLOOKUP(A15,EMR!A$2:G$55,2,0)</f>
        <v>67.31</v>
      </c>
      <c r="AK15">
        <f>VLOOKUP(A15,EXC!A$2:G$55,2,0)</f>
        <v>32.24</v>
      </c>
      <c r="AL15">
        <f>VLOOKUP(A15,F!A$2:G$55,2,0)</f>
        <v>17.649999999999999</v>
      </c>
      <c r="AM15">
        <f>VLOOKUP(A15,FB!A$2:G$55,2,0)</f>
        <v>68.81</v>
      </c>
      <c r="AN15">
        <f>VLOOKUP(A15,FCX!A$2:G$55,2,0)</f>
        <v>38.299999999999997</v>
      </c>
      <c r="AO15">
        <f>VLOOKUP(A15,FDX!A$2:G$55,2,0)</f>
        <v>152.53</v>
      </c>
      <c r="AP15">
        <f>VLOOKUP(A15,FOXA!A$2:G$55,2,0)</f>
        <v>32.9</v>
      </c>
      <c r="AQ15">
        <f>VLOOKUP(A15,GD!A$2:G$55,2,0)</f>
        <v>117.48</v>
      </c>
      <c r="AR15">
        <f>VLOOKUP(A15,GE!A$2:G$55,2,0)</f>
        <v>26.33</v>
      </c>
      <c r="AS15">
        <f>VLOOKUP(A15,GILD!A$2:G$55,2,0)</f>
        <v>89.8</v>
      </c>
      <c r="AT15">
        <f>VLOOKUP(A15,GM!A$2:G$55,2,0)</f>
        <v>37.380000000000003</v>
      </c>
      <c r="AU15">
        <f>VLOOKUP(A15,GOOG!A$2:G$55,2,0)</f>
        <v>591.75</v>
      </c>
      <c r="AV15">
        <f>VLOOKUP(A15,GOOGL!A$2:G$55,2,0)</f>
        <v>601.35</v>
      </c>
      <c r="AW15">
        <f>VLOOKUP(A15,GS!A$2:G$55,2,0)</f>
        <v>170.17</v>
      </c>
      <c r="AX15">
        <f>VLOOKUP(A15,HAL!A$2:G$55,2,0)</f>
        <v>70.97</v>
      </c>
      <c r="AY15">
        <f>VLOOKUP(A15,HD!A$2:G$55,2,0)</f>
        <v>80.010000000000005</v>
      </c>
      <c r="AZ15">
        <f>VLOOKUP(A15,HON!A$2:G$55,2,0)</f>
        <v>96.7</v>
      </c>
      <c r="BA15">
        <f>VLOOKUP(A15,HPQ!A$2:G$55,2,0)</f>
        <v>34.78</v>
      </c>
      <c r="BB15">
        <f>VLOOKUP(A15,IBM!A$2:G$55,2,0)</f>
        <v>191.3</v>
      </c>
      <c r="BC15">
        <f>VLOOKUP(A15,INTC!A$2:G$55,2,0)</f>
        <v>33.549999999999997</v>
      </c>
      <c r="BD15">
        <f>VLOOKUP(A15,JNJ!A$2:G$55,2,0)</f>
        <v>101.44</v>
      </c>
      <c r="BE15">
        <f>VLOOKUP(A15,JPM!A$2:G$55,2,0)</f>
        <v>58.12</v>
      </c>
      <c r="BF15">
        <f>VLOOKUP(A15,KO!A$2:G$55,2,0)</f>
        <v>42.12</v>
      </c>
      <c r="BG15">
        <f>VLOOKUP(A15,LLY!A$2:G$55,2,0)</f>
        <v>63</v>
      </c>
      <c r="BH15">
        <f>VLOOKUP(A15,LMT!A$2:G$55,2,0)</f>
        <v>162</v>
      </c>
      <c r="BI15">
        <f>VLOOKUP(A15,LOW!A$2:G$55,2,0)</f>
        <v>47.62</v>
      </c>
      <c r="BJ15">
        <f>VLOOKUP(A15,MA!A$2:G$55,2,0)</f>
        <v>77.11</v>
      </c>
      <c r="BK15">
        <f>VLOOKUP(A15,MCD!A$2:G$55,2,0)</f>
        <v>98.52</v>
      </c>
      <c r="BL15">
        <f>VLOOKUP(A15,MDLZ!A$2:G$55,2,0)</f>
        <v>38.020000000000003</v>
      </c>
      <c r="BM15">
        <f>VLOOKUP(A15,MDT!A$2:G$55,2,0)</f>
        <v>62.21</v>
      </c>
      <c r="BN15">
        <f>VLOOKUP(A15,MET!A$2:G$55,2,0)</f>
        <v>55.61</v>
      </c>
      <c r="BO15">
        <f>VLOOKUP(A15,MMM!A$2:G$55,2,0)</f>
        <v>144.66</v>
      </c>
      <c r="BP15">
        <f>VLOOKUP(A15,MO!A$2:G$55,2,0)</f>
        <v>41.54</v>
      </c>
      <c r="BQ15">
        <f>VLOOKUP(A15,MON!A$2:G$55,2,0)</f>
        <v>119.39</v>
      </c>
      <c r="BR15">
        <f>VLOOKUP(A15,MRK!A$2:G$55,2,0)</f>
        <v>57.89</v>
      </c>
      <c r="BS15">
        <f>VLOOKUP(A15,MS!A$2:G$55,2,0)</f>
        <v>32.549999999999997</v>
      </c>
      <c r="BT15">
        <f>VLOOKUP(A15,MSFT!A$2:G$55,2,0)</f>
        <v>44.56</v>
      </c>
      <c r="BU15">
        <f>VLOOKUP(A15,NKE!A$2:G$55,2,0)</f>
        <v>76.83</v>
      </c>
      <c r="BV15">
        <f>VLOOKUP(A15,NOV!A$2:G$55,2,0)</f>
        <v>85.16</v>
      </c>
      <c r="BW15">
        <f>VLOOKUP(A15,NSC!A$2:G$55,2,0)</f>
        <v>105.72</v>
      </c>
      <c r="BX15">
        <f>VLOOKUP(A15,ORCL!A$2:G$55,2,0)</f>
        <v>40.03</v>
      </c>
      <c r="BY15">
        <f>VLOOKUP(A15,OXY!A$2:G$55,2,0)</f>
        <v>101.16</v>
      </c>
      <c r="BZ15">
        <f>VLOOKUP(A15,PEP!A$2:G$55,2,0)</f>
        <v>89.62</v>
      </c>
      <c r="CA15">
        <f>VLOOKUP(A15,PFE!A$2:G$55,2,0)</f>
        <v>30.43</v>
      </c>
      <c r="CB15">
        <f>VLOOKUP(A15,PG!A$2:G$55,2,0)</f>
        <v>80.33</v>
      </c>
      <c r="CC15">
        <f>VLOOKUP(A15,PM!A$2:G$55,2,0)</f>
        <v>85.29</v>
      </c>
      <c r="CD15">
        <f>VLOOKUP(A15,QCOM!A$2:G$55,2,0)</f>
        <v>79.41</v>
      </c>
      <c r="CE15">
        <f>VLOOKUP(A15,RTN!A$2:G$55,2,0)</f>
        <v>94.86</v>
      </c>
      <c r="CF15">
        <f>VLOOKUP(A15,SBUX!A$2:G$55,2,0)</f>
        <v>77.86</v>
      </c>
      <c r="CG15">
        <f>VLOOKUP(A15,SLB!A$2:G$55,2,0)</f>
        <v>112.38</v>
      </c>
      <c r="CH15">
        <f>VLOOKUP(A15,SO!A$2:G$55,2,0)</f>
        <v>44.89</v>
      </c>
      <c r="CI15">
        <f>VLOOKUP(A15,SPG!A$2:G$55,2,0)</f>
        <v>170.8</v>
      </c>
      <c r="CJ15">
        <f>VLOOKUP(A15,T!A$2:G$55,2,0)</f>
        <v>36.07</v>
      </c>
      <c r="CK15">
        <f>VLOOKUP(A15,TGT!A$2:G$55,2,0)</f>
        <v>59.98</v>
      </c>
      <c r="CL15">
        <f>VLOOKUP(A15,TWX!A$2:G$55,2,0)</f>
        <v>87.42</v>
      </c>
      <c r="CM15">
        <f>VLOOKUP(A15,TXN!A$2:G$55,2,0)</f>
        <v>48.08</v>
      </c>
      <c r="CN15">
        <f>VLOOKUP(A15,UNH!A$2:G$55,2,0)</f>
        <v>85.22</v>
      </c>
      <c r="CO15">
        <f>VLOOKUP(A15,UNP!A$2:G$55,2,0)</f>
        <v>101.32</v>
      </c>
      <c r="CP15">
        <f>VLOOKUP(A15,UPS!A$2:G$55,2,0)</f>
        <v>103.55</v>
      </c>
      <c r="CQ15">
        <f>VLOOKUP(A15,USB!A$2:G$55,2,0)</f>
        <v>42.01</v>
      </c>
      <c r="CR15">
        <f>VLOOKUP(A15,UTX!A$2:G$55,2,0)</f>
        <v>113.42</v>
      </c>
      <c r="CS15">
        <f>VLOOKUP(A15,V!A$2:G$55,2,0)</f>
        <v>219.53</v>
      </c>
      <c r="CT15">
        <f>VLOOKUP(A15,VZ!A$2:G$55,2,0)</f>
        <v>50.82</v>
      </c>
      <c r="CU15">
        <f>VLOOKUP(A15,WAG!A$2:G$55,2,0)</f>
        <v>71.66</v>
      </c>
      <c r="CV15">
        <f>VLOOKUP(A15,WFC!A$2:G$55,2,0)</f>
        <v>51</v>
      </c>
      <c r="CW15">
        <f>VLOOKUP(A15,WMT!A$2:G$55,2,0)</f>
        <v>76.760000000000005</v>
      </c>
    </row>
    <row r="16" spans="1:101" x14ac:dyDescent="0.25">
      <c r="A16" s="34">
        <v>41842</v>
      </c>
      <c r="B16" s="36">
        <v>94.68</v>
      </c>
      <c r="C16">
        <f>VLOOKUP(A16,ABBV!A$2:G$55,2,0)</f>
        <v>53.82</v>
      </c>
      <c r="D16">
        <f>VLOOKUP(A16,ABT!A$2:G$55,2,0)</f>
        <v>43</v>
      </c>
      <c r="E16">
        <f>VLOOKUP(A16,ACN!A$2:G$55,2,0)</f>
        <v>80</v>
      </c>
      <c r="F16">
        <f>VLOOKUP(A16,AIG!A$2:G$55,2,0)</f>
        <v>54.8</v>
      </c>
      <c r="G16">
        <f>VLOOKUP(A16,ALL!A$2:G$55,2,0)</f>
        <v>57.8</v>
      </c>
      <c r="H16">
        <f>VLOOKUP(A16,AMGN!A$2:G$55,2,0)</f>
        <v>119.59</v>
      </c>
      <c r="I16">
        <f>VLOOKUP(A16,AMZN!A$2:G$55,2,0)</f>
        <v>355.25</v>
      </c>
      <c r="J16">
        <f>VLOOKUP(A16,APA!A$2:G$55,2,0)</f>
        <v>103.72</v>
      </c>
      <c r="K16">
        <f>VLOOKUP(A16,APC!A$2:G$55,2,0)</f>
        <v>109.33</v>
      </c>
      <c r="L16">
        <f>VLOOKUP(A16,AXP!A$2:G$55,2,0)</f>
        <v>93.51</v>
      </c>
      <c r="M16">
        <f>VLOOKUP(A16,BA!A$2:G$55,2,0)</f>
        <v>128.99</v>
      </c>
      <c r="N16">
        <f>VLOOKUP(A16,BAC!A$2:G$55,2,0)</f>
        <v>15.59</v>
      </c>
      <c r="O16">
        <f>VLOOKUP(A16,BAX!A$2:G$55,2,0)</f>
        <v>76.36</v>
      </c>
      <c r="P16">
        <f>VLOOKUP(A16,BIIB!A$2:G$55,2,0)</f>
        <v>305.18</v>
      </c>
      <c r="Q16">
        <f>VLOOKUP(A16,BK!A$2:G$55,2,0)</f>
        <v>38.56</v>
      </c>
      <c r="R16">
        <f>VLOOKUP(A16,BMY!A$2:G$55,2,0)</f>
        <v>49.11</v>
      </c>
      <c r="T16">
        <f>VLOOKUP(A16,'C'!A$2:G$55,2,0)</f>
        <v>49.6</v>
      </c>
      <c r="U16">
        <f>VLOOKUP(A16,CAT!A$2:G$55,2,0)</f>
        <v>110.84</v>
      </c>
      <c r="V16">
        <f>VLOOKUP(A16,CL!A$2:G$55,2,0)</f>
        <v>68.760000000000005</v>
      </c>
      <c r="W16">
        <f>VLOOKUP(A16,CMCSA!A$2:G$55,2,0)</f>
        <v>54.75</v>
      </c>
      <c r="X16">
        <f>VLOOKUP(A16,COF!A$2:G$55,2,0)</f>
        <v>81.91</v>
      </c>
      <c r="Y16">
        <f>VLOOKUP(A16,COP!A$2:G$55,2,0)</f>
        <v>84.93</v>
      </c>
      <c r="Z16">
        <f>VLOOKUP(A16,COST!A$2:G$55,2,0)</f>
        <v>117.28</v>
      </c>
      <c r="AA16">
        <f>VLOOKUP(A16,CSCO!A$2:G$55,2,0)</f>
        <v>25.95</v>
      </c>
      <c r="AB16">
        <f>VLOOKUP(A16,CVS!A$2:G$55,2,0)</f>
        <v>77.11</v>
      </c>
      <c r="AC16">
        <f>VLOOKUP(A16,CVX!A$2:G$55,2,0)</f>
        <v>131.55000000000001</v>
      </c>
      <c r="AD16">
        <f>VLOOKUP(A16,DD!A$2:G$55,2,0)</f>
        <v>65.849999999999994</v>
      </c>
      <c r="AE16">
        <f>VLOOKUP(A16,DIS!A$2:G$55,2,0)</f>
        <v>86.37</v>
      </c>
      <c r="AF16">
        <f>VLOOKUP(A16,DOW!A$2:G$55,2,0)</f>
        <v>52.08</v>
      </c>
      <c r="AG16">
        <f>VLOOKUP(A16,DVN!A$2:G$55,2,0)</f>
        <v>77.650000000000006</v>
      </c>
      <c r="AH16">
        <f>VLOOKUP(A16,EBAY!A$2:G$55,2,0)</f>
        <v>51.87</v>
      </c>
      <c r="AI16">
        <f>VLOOKUP(A16,EMC!A$2:G$55,2,0)</f>
        <v>28.32</v>
      </c>
      <c r="AJ16">
        <f>VLOOKUP(A16,EMR!A$2:G$55,2,0)</f>
        <v>67.5</v>
      </c>
      <c r="AK16">
        <f>VLOOKUP(A16,EXC!A$2:G$55,2,0)</f>
        <v>32.25</v>
      </c>
      <c r="AL16">
        <f>VLOOKUP(A16,F!A$2:G$55,2,0)</f>
        <v>17.77</v>
      </c>
      <c r="AM16">
        <f>VLOOKUP(A16,FB!A$2:G$55,2,0)</f>
        <v>69.760000000000005</v>
      </c>
      <c r="AN16">
        <f>VLOOKUP(A16,FCX!A$2:G$55,2,0)</f>
        <v>38.909999999999997</v>
      </c>
      <c r="AO16">
        <f>VLOOKUP(A16,FDX!A$2:G$55,2,0)</f>
        <v>152.88999999999999</v>
      </c>
      <c r="AP16">
        <f>VLOOKUP(A16,FOXA!A$2:G$55,2,0)</f>
        <v>33.08</v>
      </c>
      <c r="AQ16">
        <f>VLOOKUP(A16,GD!A$2:G$55,2,0)</f>
        <v>118.71</v>
      </c>
      <c r="AR16">
        <f>VLOOKUP(A16,GE!A$2:G$55,2,0)</f>
        <v>26.07</v>
      </c>
      <c r="AS16">
        <f>VLOOKUP(A16,GILD!A$2:G$55,2,0)</f>
        <v>89.32</v>
      </c>
      <c r="AT16">
        <f>VLOOKUP(A16,GM!A$2:G$55,2,0)</f>
        <v>37.56</v>
      </c>
      <c r="AU16">
        <f>VLOOKUP(A16,GOOG!A$2:G$55,2,0)</f>
        <v>590.72</v>
      </c>
      <c r="AV16">
        <f>VLOOKUP(A16,GOOGL!A$2:G$55,2,0)</f>
        <v>599.70000000000005</v>
      </c>
      <c r="AW16">
        <f>VLOOKUP(A16,GS!A$2:G$55,2,0)</f>
        <v>172.38</v>
      </c>
      <c r="AX16">
        <f>VLOOKUP(A16,HAL!A$2:G$55,2,0)</f>
        <v>71.7</v>
      </c>
      <c r="AY16">
        <f>VLOOKUP(A16,HD!A$2:G$55,2,0)</f>
        <v>80.36</v>
      </c>
      <c r="AZ16">
        <f>VLOOKUP(A16,HON!A$2:G$55,2,0)</f>
        <v>97.93</v>
      </c>
      <c r="BA16">
        <f>VLOOKUP(A16,HPQ!A$2:G$55,2,0)</f>
        <v>34.549999999999997</v>
      </c>
      <c r="BB16">
        <f>VLOOKUP(A16,IBM!A$2:G$55,2,0)</f>
        <v>191.59</v>
      </c>
      <c r="BC16">
        <f>VLOOKUP(A16,INTC!A$2:G$55,2,0)</f>
        <v>34.159999999999997</v>
      </c>
      <c r="BD16">
        <f>VLOOKUP(A16,JNJ!A$2:G$55,2,0)</f>
        <v>101.91</v>
      </c>
      <c r="BE16">
        <f>VLOOKUP(A16,JPM!A$2:G$55,2,0)</f>
        <v>58.42</v>
      </c>
      <c r="BF16">
        <f>VLOOKUP(A16,KO!A$2:G$55,2,0)</f>
        <v>41.1</v>
      </c>
      <c r="BG16">
        <f>VLOOKUP(A16,LLY!A$2:G$55,2,0)</f>
        <v>63.82</v>
      </c>
      <c r="BH16">
        <f>VLOOKUP(A16,LMT!A$2:G$55,2,0)</f>
        <v>164.5</v>
      </c>
      <c r="BI16">
        <f>VLOOKUP(A16,LOW!A$2:G$55,2,0)</f>
        <v>47.59</v>
      </c>
      <c r="BJ16">
        <f>VLOOKUP(A16,MA!A$2:G$55,2,0)</f>
        <v>77.52</v>
      </c>
      <c r="BK16">
        <f>VLOOKUP(A16,MCD!A$2:G$55,2,0)</f>
        <v>95.39</v>
      </c>
      <c r="BL16">
        <f>VLOOKUP(A16,MDLZ!A$2:G$55,2,0)</f>
        <v>38.32</v>
      </c>
      <c r="BM16">
        <f>VLOOKUP(A16,MDT!A$2:G$55,2,0)</f>
        <v>62.6</v>
      </c>
      <c r="BN16">
        <f>VLOOKUP(A16,MET!A$2:G$55,2,0)</f>
        <v>55.74</v>
      </c>
      <c r="BO16">
        <f>VLOOKUP(A16,MMM!A$2:G$55,2,0)</f>
        <v>144.88999999999999</v>
      </c>
      <c r="BP16">
        <f>VLOOKUP(A16,MO!A$2:G$55,2,0)</f>
        <v>41.78</v>
      </c>
      <c r="BQ16">
        <f>VLOOKUP(A16,MON!A$2:G$55,2,0)</f>
        <v>119.24</v>
      </c>
      <c r="BR16">
        <f>VLOOKUP(A16,MRK!A$2:G$55,2,0)</f>
        <v>58.13</v>
      </c>
      <c r="BS16">
        <f>VLOOKUP(A16,MS!A$2:G$55,2,0)</f>
        <v>32.61</v>
      </c>
      <c r="BT16">
        <f>VLOOKUP(A16,MSFT!A$2:G$55,2,0)</f>
        <v>45</v>
      </c>
      <c r="BU16">
        <f>VLOOKUP(A16,NKE!A$2:G$55,2,0)</f>
        <v>77.11</v>
      </c>
      <c r="BV16">
        <f>VLOOKUP(A16,NOV!A$2:G$55,2,0)</f>
        <v>85.85</v>
      </c>
      <c r="BW16">
        <f>VLOOKUP(A16,NSC!A$2:G$55,2,0)</f>
        <v>106.97</v>
      </c>
      <c r="BX16">
        <f>VLOOKUP(A16,ORCL!A$2:G$55,2,0)</f>
        <v>40.14</v>
      </c>
      <c r="BY16">
        <f>VLOOKUP(A16,OXY!A$2:G$55,2,0)</f>
        <v>100.96</v>
      </c>
      <c r="BZ16">
        <f>VLOOKUP(A16,PEP!A$2:G$55,2,0)</f>
        <v>89.61</v>
      </c>
      <c r="CA16">
        <f>VLOOKUP(A16,PFE!A$2:G$55,2,0)</f>
        <v>30.55</v>
      </c>
      <c r="CB16">
        <f>VLOOKUP(A16,PG!A$2:G$55,2,0)</f>
        <v>80.290000000000006</v>
      </c>
      <c r="CC16">
        <f>VLOOKUP(A16,PM!A$2:G$55,2,0)</f>
        <v>85.66</v>
      </c>
      <c r="CD16">
        <f>VLOOKUP(A16,QCOM!A$2:G$55,2,0)</f>
        <v>80.09</v>
      </c>
      <c r="CE16">
        <f>VLOOKUP(A16,RTN!A$2:G$55,2,0)</f>
        <v>96</v>
      </c>
      <c r="CF16">
        <f>VLOOKUP(A16,SBUX!A$2:G$55,2,0)</f>
        <v>78.33</v>
      </c>
      <c r="CG16">
        <f>VLOOKUP(A16,SLB!A$2:G$55,2,0)</f>
        <v>113.74</v>
      </c>
      <c r="CH16">
        <f>VLOOKUP(A16,SO!A$2:G$55,2,0)</f>
        <v>45.03</v>
      </c>
      <c r="CI16">
        <f>VLOOKUP(A16,SPG!A$2:G$55,2,0)</f>
        <v>170.03</v>
      </c>
      <c r="CJ16">
        <f>VLOOKUP(A16,T!A$2:G$55,2,0)</f>
        <v>36.03</v>
      </c>
      <c r="CK16">
        <f>VLOOKUP(A16,TGT!A$2:G$55,2,0)</f>
        <v>59.42</v>
      </c>
      <c r="CL16">
        <f>VLOOKUP(A16,TWX!A$2:G$55,2,0)</f>
        <v>86.85</v>
      </c>
      <c r="CM16">
        <f>VLOOKUP(A16,TXN!A$2:G$55,2,0)</f>
        <v>49</v>
      </c>
      <c r="CN16">
        <f>VLOOKUP(A16,UNH!A$2:G$55,2,0)</f>
        <v>85.52</v>
      </c>
      <c r="CO16">
        <f>VLOOKUP(A16,UNP!A$2:G$55,2,0)</f>
        <v>101.87</v>
      </c>
      <c r="CP16">
        <f>VLOOKUP(A16,UPS!A$2:G$55,2,0)</f>
        <v>104.27</v>
      </c>
      <c r="CQ16">
        <f>VLOOKUP(A16,USB!A$2:G$55,2,0)</f>
        <v>42.3</v>
      </c>
      <c r="CR16">
        <f>VLOOKUP(A16,UTX!A$2:G$55,2,0)</f>
        <v>113.86</v>
      </c>
      <c r="CS16">
        <f>VLOOKUP(A16,V!A$2:G$55,2,0)</f>
        <v>220.92</v>
      </c>
      <c r="CT16">
        <f>VLOOKUP(A16,VZ!A$2:G$55,2,0)</f>
        <v>50.98</v>
      </c>
      <c r="CU16">
        <f>VLOOKUP(A16,WAG!A$2:G$55,2,0)</f>
        <v>72.39</v>
      </c>
      <c r="CV16">
        <f>VLOOKUP(A16,WFC!A$2:G$55,2,0)</f>
        <v>51.2</v>
      </c>
      <c r="CW16">
        <f>VLOOKUP(A16,WMT!A$2:G$55,2,0)</f>
        <v>76.84</v>
      </c>
    </row>
    <row r="17" spans="1:101" x14ac:dyDescent="0.25">
      <c r="A17" s="34">
        <v>41843</v>
      </c>
      <c r="B17" s="36">
        <v>95.42</v>
      </c>
      <c r="C17">
        <f>VLOOKUP(A17,ABBV!A$2:G$55,2,0)</f>
        <v>54.48</v>
      </c>
      <c r="D17">
        <f>VLOOKUP(A17,ABT!A$2:G$55,2,0)</f>
        <v>43.24</v>
      </c>
      <c r="E17">
        <f>VLOOKUP(A17,ACN!A$2:G$55,2,0)</f>
        <v>80.400000000000006</v>
      </c>
      <c r="F17">
        <f>VLOOKUP(A17,AIG!A$2:G$55,2,0)</f>
        <v>54.85</v>
      </c>
      <c r="G17">
        <f>VLOOKUP(A17,ALL!A$2:G$55,2,0)</f>
        <v>58.13</v>
      </c>
      <c r="H17">
        <f>VLOOKUP(A17,AMGN!A$2:G$55,2,0)</f>
        <v>121.38</v>
      </c>
      <c r="I17">
        <f>VLOOKUP(A17,AMZN!A$2:G$55,2,0)</f>
        <v>359.05</v>
      </c>
      <c r="J17">
        <f>VLOOKUP(A17,APA!A$2:G$55,2,0)</f>
        <v>102.98</v>
      </c>
      <c r="K17">
        <f>VLOOKUP(A17,APC!A$2:G$55,2,0)</f>
        <v>108.66</v>
      </c>
      <c r="L17">
        <f>VLOOKUP(A17,AXP!A$2:G$55,2,0)</f>
        <v>93.19</v>
      </c>
      <c r="M17">
        <f>VLOOKUP(A17,BA!A$2:G$55,2,0)</f>
        <v>127.79</v>
      </c>
      <c r="N17">
        <f>VLOOKUP(A17,BAC!A$2:G$55,2,0)</f>
        <v>15.52</v>
      </c>
      <c r="O17">
        <f>VLOOKUP(A17,BAX!A$2:G$55,2,0)</f>
        <v>77.27</v>
      </c>
      <c r="P17">
        <f>VLOOKUP(A17,BIIB!A$2:G$55,2,0)</f>
        <v>335</v>
      </c>
      <c r="Q17">
        <f>VLOOKUP(A17,BK!A$2:G$55,2,0)</f>
        <v>39.01</v>
      </c>
      <c r="R17">
        <f>VLOOKUP(A17,BMY!A$2:G$55,2,0)</f>
        <v>49.16</v>
      </c>
      <c r="T17">
        <f>VLOOKUP(A17,'C'!A$2:G$55,2,0)</f>
        <v>49.61</v>
      </c>
      <c r="U17">
        <f>VLOOKUP(A17,CAT!A$2:G$55,2,0)</f>
        <v>109.79</v>
      </c>
      <c r="V17">
        <f>VLOOKUP(A17,CL!A$2:G$55,2,0)</f>
        <v>68.599999999999994</v>
      </c>
      <c r="W17">
        <f>VLOOKUP(A17,CMCSA!A$2:G$55,2,0)</f>
        <v>54.53</v>
      </c>
      <c r="X17">
        <f>VLOOKUP(A17,COF!A$2:G$55,2,0)</f>
        <v>82.33</v>
      </c>
      <c r="Y17">
        <f>VLOOKUP(A17,COP!A$2:G$55,2,0)</f>
        <v>86.12</v>
      </c>
      <c r="Z17">
        <f>VLOOKUP(A17,COST!A$2:G$55,2,0)</f>
        <v>117.41</v>
      </c>
      <c r="AA17">
        <f>VLOOKUP(A17,CSCO!A$2:G$55,2,0)</f>
        <v>25.72</v>
      </c>
      <c r="AB17">
        <f>VLOOKUP(A17,CVS!A$2:G$55,2,0)</f>
        <v>77.819999999999993</v>
      </c>
      <c r="AC17">
        <f>VLOOKUP(A17,CVX!A$2:G$55,2,0)</f>
        <v>132.69999999999999</v>
      </c>
      <c r="AD17">
        <f>VLOOKUP(A17,DD!A$2:G$55,2,0)</f>
        <v>64.5</v>
      </c>
      <c r="AE17">
        <f>VLOOKUP(A17,DIS!A$2:G$55,2,0)</f>
        <v>86.31</v>
      </c>
      <c r="AF17">
        <f>VLOOKUP(A17,DOW!A$2:G$55,2,0)</f>
        <v>53.04</v>
      </c>
      <c r="AG17">
        <f>VLOOKUP(A17,DVN!A$2:G$55,2,0)</f>
        <v>78.010000000000005</v>
      </c>
      <c r="AH17">
        <f>VLOOKUP(A17,EBAY!A$2:G$55,2,0)</f>
        <v>52</v>
      </c>
      <c r="AI17">
        <f>VLOOKUP(A17,EMC!A$2:G$55,2,0)</f>
        <v>28.72</v>
      </c>
      <c r="AJ17">
        <f>VLOOKUP(A17,EMR!A$2:G$55,2,0)</f>
        <v>67.44</v>
      </c>
      <c r="AK17">
        <f>VLOOKUP(A17,EXC!A$2:G$55,2,0)</f>
        <v>31.84</v>
      </c>
      <c r="AL17">
        <f>VLOOKUP(A17,F!A$2:G$55,2,0)</f>
        <v>17.829999999999998</v>
      </c>
      <c r="AM17">
        <f>VLOOKUP(A17,FB!A$2:G$55,2,0)</f>
        <v>69.739999999999995</v>
      </c>
      <c r="AN17">
        <f>VLOOKUP(A17,FCX!A$2:G$55,2,0)</f>
        <v>38.700000000000003</v>
      </c>
      <c r="AO17">
        <f>VLOOKUP(A17,FDX!A$2:G$55,2,0)</f>
        <v>153.46</v>
      </c>
      <c r="AP17">
        <f>VLOOKUP(A17,FOXA!A$2:G$55,2,0)</f>
        <v>33.08</v>
      </c>
      <c r="AQ17">
        <f>VLOOKUP(A17,GD!A$2:G$55,2,0)</f>
        <v>120.35</v>
      </c>
      <c r="AR17">
        <f>VLOOKUP(A17,GE!A$2:G$55,2,0)</f>
        <v>26.07</v>
      </c>
      <c r="AS17">
        <f>VLOOKUP(A17,GILD!A$2:G$55,2,0)</f>
        <v>90.1</v>
      </c>
      <c r="AT17">
        <f>VLOOKUP(A17,GM!A$2:G$55,2,0)</f>
        <v>37.79</v>
      </c>
      <c r="AU17">
        <f>VLOOKUP(A17,GOOG!A$2:G$55,2,0)</f>
        <v>593.23</v>
      </c>
      <c r="AV17">
        <f>VLOOKUP(A17,GOOGL!A$2:G$55,2,0)</f>
        <v>602.04999999999995</v>
      </c>
      <c r="AW17">
        <f>VLOOKUP(A17,GS!A$2:G$55,2,0)</f>
        <v>175.21</v>
      </c>
      <c r="AX17">
        <f>VLOOKUP(A17,HAL!A$2:G$55,2,0)</f>
        <v>73.34</v>
      </c>
      <c r="AY17">
        <f>VLOOKUP(A17,HD!A$2:G$55,2,0)</f>
        <v>80.459999999999994</v>
      </c>
      <c r="AZ17">
        <f>VLOOKUP(A17,HON!A$2:G$55,2,0)</f>
        <v>97.75</v>
      </c>
      <c r="BA17">
        <f>VLOOKUP(A17,HPQ!A$2:G$55,2,0)</f>
        <v>35.17</v>
      </c>
      <c r="BB17">
        <f>VLOOKUP(A17,IBM!A$2:G$55,2,0)</f>
        <v>194.11</v>
      </c>
      <c r="BC17">
        <f>VLOOKUP(A17,INTC!A$2:G$55,2,0)</f>
        <v>34.68</v>
      </c>
      <c r="BD17">
        <f>VLOOKUP(A17,JNJ!A$2:G$55,2,0)</f>
        <v>102.8</v>
      </c>
      <c r="BE17">
        <f>VLOOKUP(A17,JPM!A$2:G$55,2,0)</f>
        <v>58.76</v>
      </c>
      <c r="BF17">
        <f>VLOOKUP(A17,KO!A$2:G$55,2,0)</f>
        <v>40.98</v>
      </c>
      <c r="BG17">
        <f>VLOOKUP(A17,LLY!A$2:G$55,2,0)</f>
        <v>63.93</v>
      </c>
      <c r="BH17">
        <f>VLOOKUP(A17,LMT!A$2:G$55,2,0)</f>
        <v>167.76</v>
      </c>
      <c r="BI17">
        <f>VLOOKUP(A17,LOW!A$2:G$55,2,0)</f>
        <v>47.77</v>
      </c>
      <c r="BJ17">
        <f>VLOOKUP(A17,MA!A$2:G$55,2,0)</f>
        <v>78.16</v>
      </c>
      <c r="BK17">
        <f>VLOOKUP(A17,MCD!A$2:G$55,2,0)</f>
        <v>95.51</v>
      </c>
      <c r="BL17">
        <f>VLOOKUP(A17,MDLZ!A$2:G$55,2,0)</f>
        <v>38.54</v>
      </c>
      <c r="BM17">
        <f>VLOOKUP(A17,MDT!A$2:G$55,2,0)</f>
        <v>62.75</v>
      </c>
      <c r="BN17">
        <f>VLOOKUP(A17,MET!A$2:G$55,2,0)</f>
        <v>55.61</v>
      </c>
      <c r="BO17">
        <f>VLOOKUP(A17,MMM!A$2:G$55,2,0)</f>
        <v>145.34</v>
      </c>
      <c r="BP17">
        <f>VLOOKUP(A17,MO!A$2:G$55,2,0)</f>
        <v>41.99</v>
      </c>
      <c r="BQ17">
        <f>VLOOKUP(A17,MON!A$2:G$55,2,0)</f>
        <v>118.34</v>
      </c>
      <c r="BR17">
        <f>VLOOKUP(A17,MRK!A$2:G$55,2,0)</f>
        <v>58.3</v>
      </c>
      <c r="BS17">
        <f>VLOOKUP(A17,MS!A$2:G$55,2,0)</f>
        <v>32.950000000000003</v>
      </c>
      <c r="BT17">
        <f>VLOOKUP(A17,MSFT!A$2:G$55,2,0)</f>
        <v>45.45</v>
      </c>
      <c r="BU17">
        <f>VLOOKUP(A17,NKE!A$2:G$55,2,0)</f>
        <v>77.260000000000005</v>
      </c>
      <c r="BV17">
        <f>VLOOKUP(A17,NOV!A$2:G$55,2,0)</f>
        <v>86.12</v>
      </c>
      <c r="BW17">
        <f>VLOOKUP(A17,NSC!A$2:G$55,2,0)</f>
        <v>108.42</v>
      </c>
      <c r="BX17">
        <f>VLOOKUP(A17,ORCL!A$2:G$55,2,0)</f>
        <v>40.43</v>
      </c>
      <c r="BY17">
        <f>VLOOKUP(A17,OXY!A$2:G$55,2,0)</f>
        <v>101.25</v>
      </c>
      <c r="BZ17">
        <f>VLOOKUP(A17,PEP!A$2:G$55,2,0)</f>
        <v>91.26</v>
      </c>
      <c r="CA17">
        <f>VLOOKUP(A17,PFE!A$2:G$55,2,0)</f>
        <v>30.69</v>
      </c>
      <c r="CB17">
        <f>VLOOKUP(A17,PG!A$2:G$55,2,0)</f>
        <v>80.33</v>
      </c>
      <c r="CC17">
        <f>VLOOKUP(A17,PM!A$2:G$55,2,0)</f>
        <v>85.53</v>
      </c>
      <c r="CD17">
        <f>VLOOKUP(A17,QCOM!A$2:G$55,2,0)</f>
        <v>81.89</v>
      </c>
      <c r="CE17">
        <f>VLOOKUP(A17,RTN!A$2:G$55,2,0)</f>
        <v>96.4</v>
      </c>
      <c r="CF17">
        <f>VLOOKUP(A17,SBUX!A$2:G$55,2,0)</f>
        <v>78.510000000000005</v>
      </c>
      <c r="CG17">
        <f>VLOOKUP(A17,SLB!A$2:G$55,2,0)</f>
        <v>113.59</v>
      </c>
      <c r="CH17">
        <f>VLOOKUP(A17,SO!A$2:G$55,2,0)</f>
        <v>45.09</v>
      </c>
      <c r="CI17">
        <f>VLOOKUP(A17,SPG!A$2:G$55,2,0)</f>
        <v>171.35</v>
      </c>
      <c r="CJ17">
        <f>VLOOKUP(A17,T!A$2:G$55,2,0)</f>
        <v>35.9</v>
      </c>
      <c r="CK17">
        <f>VLOOKUP(A17,TGT!A$2:G$55,2,0)</f>
        <v>59.45</v>
      </c>
      <c r="CL17">
        <f>VLOOKUP(A17,TWX!A$2:G$55,2,0)</f>
        <v>85.65</v>
      </c>
      <c r="CM17">
        <f>VLOOKUP(A17,TXN!A$2:G$55,2,0)</f>
        <v>49.22</v>
      </c>
      <c r="CN17">
        <f>VLOOKUP(A17,UNH!A$2:G$55,2,0)</f>
        <v>86.31</v>
      </c>
      <c r="CO17">
        <f>VLOOKUP(A17,UNP!A$2:G$55,2,0)</f>
        <v>102.97</v>
      </c>
      <c r="CP17">
        <f>VLOOKUP(A17,UPS!A$2:G$55,2,0)</f>
        <v>104.53</v>
      </c>
      <c r="CQ17">
        <f>VLOOKUP(A17,USB!A$2:G$55,2,0)</f>
        <v>42.26</v>
      </c>
      <c r="CR17">
        <f>VLOOKUP(A17,UTX!A$2:G$55,2,0)</f>
        <v>110.65</v>
      </c>
      <c r="CS17">
        <f>VLOOKUP(A17,V!A$2:G$55,2,0)</f>
        <v>221.49</v>
      </c>
      <c r="CT17">
        <f>VLOOKUP(A17,VZ!A$2:G$55,2,0)</f>
        <v>50.98</v>
      </c>
      <c r="CU17">
        <f>VLOOKUP(A17,WAG!A$2:G$55,2,0)</f>
        <v>72.61</v>
      </c>
      <c r="CV17">
        <f>VLOOKUP(A17,WFC!A$2:G$55,2,0)</f>
        <v>51.43</v>
      </c>
      <c r="CW17">
        <f>VLOOKUP(A17,WMT!A$2:G$55,2,0)</f>
        <v>76.63</v>
      </c>
    </row>
    <row r="18" spans="1:101" x14ac:dyDescent="0.25">
      <c r="A18" s="34">
        <v>41844</v>
      </c>
      <c r="B18" s="36">
        <v>97.04</v>
      </c>
      <c r="C18">
        <f>VLOOKUP(A18,ABBV!A$2:G$55,2,0)</f>
        <v>54.22</v>
      </c>
      <c r="D18">
        <f>VLOOKUP(A18,ABT!A$2:G$55,2,0)</f>
        <v>42.94</v>
      </c>
      <c r="E18">
        <f>VLOOKUP(A18,ACN!A$2:G$55,2,0)</f>
        <v>80.33</v>
      </c>
      <c r="F18">
        <f>VLOOKUP(A18,AIG!A$2:G$55,2,0)</f>
        <v>55.2</v>
      </c>
      <c r="G18">
        <f>VLOOKUP(A18,ALL!A$2:G$55,2,0)</f>
        <v>58.25</v>
      </c>
      <c r="H18">
        <f>VLOOKUP(A18,AMGN!A$2:G$55,2,0)</f>
        <v>122.15</v>
      </c>
      <c r="I18">
        <f>VLOOKUP(A18,AMZN!A$2:G$55,2,0)</f>
        <v>359.98</v>
      </c>
      <c r="J18">
        <f>VLOOKUP(A18,APA!A$2:G$55,2,0)</f>
        <v>103.36</v>
      </c>
      <c r="K18">
        <f>VLOOKUP(A18,APC!A$2:G$55,2,0)</f>
        <v>110.45</v>
      </c>
      <c r="L18">
        <f>VLOOKUP(A18,AXP!A$2:G$55,2,0)</f>
        <v>93.33</v>
      </c>
      <c r="M18">
        <f>VLOOKUP(A18,BA!A$2:G$55,2,0)</f>
        <v>125.92</v>
      </c>
      <c r="N18">
        <f>VLOOKUP(A18,BAC!A$2:G$55,2,0)</f>
        <v>15.56</v>
      </c>
      <c r="O18">
        <f>VLOOKUP(A18,BAX!A$2:G$55,2,0)</f>
        <v>76.849999999999994</v>
      </c>
      <c r="P18">
        <f>VLOOKUP(A18,BIIB!A$2:G$55,2,0)</f>
        <v>337.6</v>
      </c>
      <c r="Q18">
        <f>VLOOKUP(A18,BK!A$2:G$55,2,0)</f>
        <v>39.19</v>
      </c>
      <c r="R18">
        <f>VLOOKUP(A18,BMY!A$2:G$55,2,0)</f>
        <v>48.96</v>
      </c>
      <c r="T18">
        <f>VLOOKUP(A18,'C'!A$2:G$55,2,0)</f>
        <v>50.22</v>
      </c>
      <c r="U18">
        <f>VLOOKUP(A18,CAT!A$2:G$55,2,0)</f>
        <v>105.6</v>
      </c>
      <c r="V18">
        <f>VLOOKUP(A18,CL!A$2:G$55,2,0)</f>
        <v>68.33</v>
      </c>
      <c r="W18">
        <f>VLOOKUP(A18,CMCSA!A$2:G$55,2,0)</f>
        <v>54.96</v>
      </c>
      <c r="X18">
        <f>VLOOKUP(A18,COF!A$2:G$55,2,0)</f>
        <v>82.54</v>
      </c>
      <c r="Y18">
        <f>VLOOKUP(A18,COP!A$2:G$55,2,0)</f>
        <v>86.68</v>
      </c>
      <c r="Z18">
        <f>VLOOKUP(A18,COST!A$2:G$55,2,0)</f>
        <v>117.5</v>
      </c>
      <c r="AA18">
        <f>VLOOKUP(A18,CSCO!A$2:G$55,2,0)</f>
        <v>25.78</v>
      </c>
      <c r="AB18">
        <f>VLOOKUP(A18,CVS!A$2:G$55,2,0)</f>
        <v>78.34</v>
      </c>
      <c r="AC18">
        <f>VLOOKUP(A18,CVX!A$2:G$55,2,0)</f>
        <v>134.03</v>
      </c>
      <c r="AD18">
        <f>VLOOKUP(A18,DD!A$2:G$55,2,0)</f>
        <v>65.38</v>
      </c>
      <c r="AE18">
        <f>VLOOKUP(A18,DIS!A$2:G$55,2,0)</f>
        <v>86.5</v>
      </c>
      <c r="AF18">
        <f>VLOOKUP(A18,DOW!A$2:G$55,2,0)</f>
        <v>53.98</v>
      </c>
      <c r="AG18">
        <f>VLOOKUP(A18,DVN!A$2:G$55,2,0)</f>
        <v>78.489999999999995</v>
      </c>
      <c r="AH18">
        <f>VLOOKUP(A18,EBAY!A$2:G$55,2,0)</f>
        <v>52.52</v>
      </c>
      <c r="AI18">
        <f>VLOOKUP(A18,EMC!A$2:G$55,2,0)</f>
        <v>28.7</v>
      </c>
      <c r="AJ18">
        <f>VLOOKUP(A18,EMR!A$2:G$55,2,0)</f>
        <v>66.94</v>
      </c>
      <c r="AK18">
        <f>VLOOKUP(A18,EXC!A$2:G$55,2,0)</f>
        <v>31.36</v>
      </c>
      <c r="AL18">
        <f>VLOOKUP(A18,F!A$2:G$55,2,0)</f>
        <v>18.010000000000002</v>
      </c>
      <c r="AM18">
        <f>VLOOKUP(A18,FB!A$2:G$55,2,0)</f>
        <v>75.959999999999994</v>
      </c>
      <c r="AN18">
        <f>VLOOKUP(A18,FCX!A$2:G$55,2,0)</f>
        <v>38.119999999999997</v>
      </c>
      <c r="AO18">
        <f>VLOOKUP(A18,FDX!A$2:G$55,2,0)</f>
        <v>153.03</v>
      </c>
      <c r="AP18">
        <f>VLOOKUP(A18,FOXA!A$2:G$55,2,0)</f>
        <v>32.68</v>
      </c>
      <c r="AQ18">
        <f>VLOOKUP(A18,GD!A$2:G$55,2,0)</f>
        <v>120.72</v>
      </c>
      <c r="AR18">
        <f>VLOOKUP(A18,GE!A$2:G$55,2,0)</f>
        <v>25.95</v>
      </c>
      <c r="AS18">
        <f>VLOOKUP(A18,GILD!A$2:G$55,2,0)</f>
        <v>91.56</v>
      </c>
      <c r="AT18">
        <f>VLOOKUP(A18,GM!A$2:G$55,2,0)</f>
        <v>36.67</v>
      </c>
      <c r="AU18">
        <f>VLOOKUP(A18,GOOG!A$2:G$55,2,0)</f>
        <v>596.45000000000005</v>
      </c>
      <c r="AV18">
        <f>VLOOKUP(A18,GOOGL!A$2:G$55,2,0)</f>
        <v>605.53</v>
      </c>
      <c r="AW18">
        <f>VLOOKUP(A18,GS!A$2:G$55,2,0)</f>
        <v>176.8</v>
      </c>
      <c r="AX18">
        <f>VLOOKUP(A18,HAL!A$2:G$55,2,0)</f>
        <v>74.099999999999994</v>
      </c>
      <c r="AY18">
        <f>VLOOKUP(A18,HD!A$2:G$55,2,0)</f>
        <v>81.19</v>
      </c>
      <c r="AZ18">
        <f>VLOOKUP(A18,HON!A$2:G$55,2,0)</f>
        <v>96.59</v>
      </c>
      <c r="BA18">
        <f>VLOOKUP(A18,HPQ!A$2:G$55,2,0)</f>
        <v>35.130000000000003</v>
      </c>
      <c r="BB18">
        <f>VLOOKUP(A18,IBM!A$2:G$55,2,0)</f>
        <v>193.95</v>
      </c>
      <c r="BC18">
        <f>VLOOKUP(A18,INTC!A$2:G$55,2,0)</f>
        <v>34.380000000000003</v>
      </c>
      <c r="BD18">
        <f>VLOOKUP(A18,JNJ!A$2:G$55,2,0)</f>
        <v>102.34</v>
      </c>
      <c r="BE18">
        <f>VLOOKUP(A18,JPM!A$2:G$55,2,0)</f>
        <v>59.07</v>
      </c>
      <c r="BF18">
        <f>VLOOKUP(A18,KO!A$2:G$55,2,0)</f>
        <v>40.97</v>
      </c>
      <c r="BG18">
        <f>VLOOKUP(A18,LLY!A$2:G$55,2,0)</f>
        <v>64.099999999999994</v>
      </c>
      <c r="BH18">
        <f>VLOOKUP(A18,LMT!A$2:G$55,2,0)</f>
        <v>168.53</v>
      </c>
      <c r="BI18">
        <f>VLOOKUP(A18,LOW!A$2:G$55,2,0)</f>
        <v>47.98</v>
      </c>
      <c r="BJ18">
        <f>VLOOKUP(A18,MA!A$2:G$55,2,0)</f>
        <v>77.930000000000007</v>
      </c>
      <c r="BK18">
        <f>VLOOKUP(A18,MCD!A$2:G$55,2,0)</f>
        <v>95.48</v>
      </c>
      <c r="BL18">
        <f>VLOOKUP(A18,MDLZ!A$2:G$55,2,0)</f>
        <v>38.340000000000003</v>
      </c>
      <c r="BM18">
        <f>VLOOKUP(A18,MDT!A$2:G$55,2,0)</f>
        <v>63.62</v>
      </c>
      <c r="BN18">
        <f>VLOOKUP(A18,MET!A$2:G$55,2,0)</f>
        <v>55.43</v>
      </c>
      <c r="BO18">
        <f>VLOOKUP(A18,MMM!A$2:G$55,2,0)</f>
        <v>145.51</v>
      </c>
      <c r="BP18">
        <f>VLOOKUP(A18,MO!A$2:G$55,2,0)</f>
        <v>41.87</v>
      </c>
      <c r="BQ18">
        <f>VLOOKUP(A18,MON!A$2:G$55,2,0)</f>
        <v>116.39</v>
      </c>
      <c r="BR18">
        <f>VLOOKUP(A18,MRK!A$2:G$55,2,0)</f>
        <v>58.32</v>
      </c>
      <c r="BS18">
        <f>VLOOKUP(A18,MS!A$2:G$55,2,0)</f>
        <v>33.43</v>
      </c>
      <c r="BT18">
        <f>VLOOKUP(A18,MSFT!A$2:G$55,2,0)</f>
        <v>44.93</v>
      </c>
      <c r="BU18">
        <f>VLOOKUP(A18,NKE!A$2:G$55,2,0)</f>
        <v>77.94</v>
      </c>
      <c r="BV18">
        <f>VLOOKUP(A18,NOV!A$2:G$55,2,0)</f>
        <v>86.13</v>
      </c>
      <c r="BW18">
        <f>VLOOKUP(A18,NSC!A$2:G$55,2,0)</f>
        <v>107.19</v>
      </c>
      <c r="BX18">
        <f>VLOOKUP(A18,ORCL!A$2:G$55,2,0)</f>
        <v>40.35</v>
      </c>
      <c r="BY18">
        <f>VLOOKUP(A18,OXY!A$2:G$55,2,0)</f>
        <v>101.53</v>
      </c>
      <c r="BZ18">
        <f>VLOOKUP(A18,PEP!A$2:G$55,2,0)</f>
        <v>91.62</v>
      </c>
      <c r="CA18">
        <f>VLOOKUP(A18,PFE!A$2:G$55,2,0)</f>
        <v>30.37</v>
      </c>
      <c r="CB18">
        <f>VLOOKUP(A18,PG!A$2:G$55,2,0)</f>
        <v>80.12</v>
      </c>
      <c r="CC18">
        <f>VLOOKUP(A18,PM!A$2:G$55,2,0)</f>
        <v>85.29</v>
      </c>
      <c r="CD18">
        <f>VLOOKUP(A18,QCOM!A$2:G$55,2,0)</f>
        <v>77.599999999999994</v>
      </c>
      <c r="CE18">
        <f>VLOOKUP(A18,RTN!A$2:G$55,2,0)</f>
        <v>95</v>
      </c>
      <c r="CF18">
        <f>VLOOKUP(A18,SBUX!A$2:G$55,2,0)</f>
        <v>79.59</v>
      </c>
      <c r="CG18">
        <f>VLOOKUP(A18,SLB!A$2:G$55,2,0)</f>
        <v>112.3</v>
      </c>
      <c r="CH18">
        <f>VLOOKUP(A18,SO!A$2:G$55,2,0)</f>
        <v>44.91</v>
      </c>
      <c r="CI18">
        <f>VLOOKUP(A18,SPG!A$2:G$55,2,0)</f>
        <v>170.88</v>
      </c>
      <c r="CJ18">
        <f>VLOOKUP(A18,T!A$2:G$55,2,0)</f>
        <v>35.43</v>
      </c>
      <c r="CK18">
        <f>VLOOKUP(A18,TGT!A$2:G$55,2,0)</f>
        <v>60.74</v>
      </c>
      <c r="CL18">
        <f>VLOOKUP(A18,TWX!A$2:G$55,2,0)</f>
        <v>84.51</v>
      </c>
      <c r="CM18">
        <f>VLOOKUP(A18,TXN!A$2:G$55,2,0)</f>
        <v>48.5</v>
      </c>
      <c r="CN18">
        <f>VLOOKUP(A18,UNH!A$2:G$55,2,0)</f>
        <v>85.45</v>
      </c>
      <c r="CO18">
        <f>VLOOKUP(A18,UNP!A$2:G$55,2,0)</f>
        <v>101.39</v>
      </c>
      <c r="CP18">
        <f>VLOOKUP(A18,UPS!A$2:G$55,2,0)</f>
        <v>104.2</v>
      </c>
      <c r="CQ18">
        <f>VLOOKUP(A18,USB!A$2:G$55,2,0)</f>
        <v>42.54</v>
      </c>
      <c r="CR18">
        <f>VLOOKUP(A18,UTX!A$2:G$55,2,0)</f>
        <v>110</v>
      </c>
      <c r="CS18">
        <f>VLOOKUP(A18,V!A$2:G$55,2,0)</f>
        <v>223.39</v>
      </c>
      <c r="CT18">
        <f>VLOOKUP(A18,VZ!A$2:G$55,2,0)</f>
        <v>50.96</v>
      </c>
      <c r="CU18">
        <f>VLOOKUP(A18,WAG!A$2:G$55,2,0)</f>
        <v>73.08</v>
      </c>
      <c r="CV18">
        <f>VLOOKUP(A18,WFC!A$2:G$55,2,0)</f>
        <v>51.45</v>
      </c>
      <c r="CW18">
        <f>VLOOKUP(A18,WMT!A$2:G$55,2,0)</f>
        <v>76.680000000000007</v>
      </c>
    </row>
    <row r="19" spans="1:101" x14ac:dyDescent="0.25">
      <c r="A19" s="34">
        <v>41845</v>
      </c>
      <c r="B19" s="36">
        <v>96.85</v>
      </c>
      <c r="C19">
        <f>VLOOKUP(A19,ABBV!A$2:G$55,2,0)</f>
        <v>54.4</v>
      </c>
      <c r="D19">
        <f>VLOOKUP(A19,ABT!A$2:G$55,2,0)</f>
        <v>42.89</v>
      </c>
      <c r="E19">
        <f>VLOOKUP(A19,ACN!A$2:G$55,2,0)</f>
        <v>80.319999999999993</v>
      </c>
      <c r="F19">
        <f>VLOOKUP(A19,AIG!A$2:G$55,2,0)</f>
        <v>54.84</v>
      </c>
      <c r="G19">
        <f>VLOOKUP(A19,ALL!A$2:G$55,2,0)</f>
        <v>58.25</v>
      </c>
      <c r="H19">
        <f>VLOOKUP(A19,AMGN!A$2:G$55,2,0)</f>
        <v>121.97</v>
      </c>
      <c r="I19">
        <f>VLOOKUP(A19,AMZN!A$2:G$55,2,0)</f>
        <v>317.3</v>
      </c>
      <c r="J19">
        <f>VLOOKUP(A19,APA!A$2:G$55,2,0)</f>
        <v>102.24</v>
      </c>
      <c r="K19">
        <f>VLOOKUP(A19,APC!A$2:G$55,2,0)</f>
        <v>110.44</v>
      </c>
      <c r="L19">
        <f>VLOOKUP(A19,AXP!A$2:G$55,2,0)</f>
        <v>92.74</v>
      </c>
      <c r="M19">
        <f>VLOOKUP(A19,BA!A$2:G$55,2,0)</f>
        <v>124.48</v>
      </c>
      <c r="N19">
        <f>VLOOKUP(A19,BAC!A$2:G$55,2,0)</f>
        <v>15.59</v>
      </c>
      <c r="O19">
        <f>VLOOKUP(A19,BAX!A$2:G$55,2,0)</f>
        <v>77.069999999999993</v>
      </c>
      <c r="P19">
        <f>VLOOKUP(A19,BIIB!A$2:G$55,2,0)</f>
        <v>334.78</v>
      </c>
      <c r="Q19">
        <f>VLOOKUP(A19,BK!A$2:G$55,2,0)</f>
        <v>39.409999999999997</v>
      </c>
      <c r="R19">
        <f>VLOOKUP(A19,BMY!A$2:G$55,2,0)</f>
        <v>49.34</v>
      </c>
      <c r="T19">
        <f>VLOOKUP(A19,'C'!A$2:G$55,2,0)</f>
        <v>49.99</v>
      </c>
      <c r="U19">
        <f>VLOOKUP(A19,CAT!A$2:G$55,2,0)</f>
        <v>104.14</v>
      </c>
      <c r="V19">
        <f>VLOOKUP(A19,CL!A$2:G$55,2,0)</f>
        <v>68.099999999999994</v>
      </c>
      <c r="W19">
        <f>VLOOKUP(A19,CMCSA!A$2:G$55,2,0)</f>
        <v>55.14</v>
      </c>
      <c r="X19">
        <f>VLOOKUP(A19,COF!A$2:G$55,2,0)</f>
        <v>82.11</v>
      </c>
      <c r="Y19">
        <f>VLOOKUP(A19,COP!A$2:G$55,2,0)</f>
        <v>86.16</v>
      </c>
      <c r="Z19">
        <f>VLOOKUP(A19,COST!A$2:G$55,2,0)</f>
        <v>117.96</v>
      </c>
      <c r="AA19">
        <f>VLOOKUP(A19,CSCO!A$2:G$55,2,0)</f>
        <v>25.8</v>
      </c>
      <c r="AB19">
        <f>VLOOKUP(A19,CVS!A$2:G$55,2,0)</f>
        <v>78.75</v>
      </c>
      <c r="AC19">
        <f>VLOOKUP(A19,CVX!A$2:G$55,2,0)</f>
        <v>134.58000000000001</v>
      </c>
      <c r="AD19">
        <f>VLOOKUP(A19,DD!A$2:G$55,2,0)</f>
        <v>65.150000000000006</v>
      </c>
      <c r="AE19">
        <f>VLOOKUP(A19,DIS!A$2:G$55,2,0)</f>
        <v>86.3</v>
      </c>
      <c r="AF19">
        <f>VLOOKUP(A19,DOW!A$2:G$55,2,0)</f>
        <v>53.64</v>
      </c>
      <c r="AG19">
        <f>VLOOKUP(A19,DVN!A$2:G$55,2,0)</f>
        <v>78.53</v>
      </c>
      <c r="AH19">
        <f>VLOOKUP(A19,EBAY!A$2:G$55,2,0)</f>
        <v>52.78</v>
      </c>
      <c r="AI19">
        <f>VLOOKUP(A19,EMC!A$2:G$55,2,0)</f>
        <v>28.76</v>
      </c>
      <c r="AJ19">
        <f>VLOOKUP(A19,EMR!A$2:G$55,2,0)</f>
        <v>67.17</v>
      </c>
      <c r="AK19">
        <f>VLOOKUP(A19,EXC!A$2:G$55,2,0)</f>
        <v>31.73</v>
      </c>
      <c r="AL19">
        <f>VLOOKUP(A19,F!A$2:G$55,2,0)</f>
        <v>17.899999999999999</v>
      </c>
      <c r="AM19">
        <f>VLOOKUP(A19,FB!A$2:G$55,2,0)</f>
        <v>74.989999999999995</v>
      </c>
      <c r="AN19">
        <f>VLOOKUP(A19,FCX!A$2:G$55,2,0)</f>
        <v>37.43</v>
      </c>
      <c r="AO19">
        <f>VLOOKUP(A19,FDX!A$2:G$55,2,0)</f>
        <v>152</v>
      </c>
      <c r="AP19">
        <f>VLOOKUP(A19,FOXA!A$2:G$55,2,0)</f>
        <v>33.47</v>
      </c>
      <c r="AQ19">
        <f>VLOOKUP(A19,GD!A$2:G$55,2,0)</f>
        <v>120.96</v>
      </c>
      <c r="AR19">
        <f>VLOOKUP(A19,GE!A$2:G$55,2,0)</f>
        <v>25.97</v>
      </c>
      <c r="AS19">
        <f>VLOOKUP(A19,GILD!A$2:G$55,2,0)</f>
        <v>90.68</v>
      </c>
      <c r="AT19">
        <f>VLOOKUP(A19,GM!A$2:G$55,2,0)</f>
        <v>35.1</v>
      </c>
      <c r="AU19">
        <f>VLOOKUP(A19,GOOG!A$2:G$55,2,0)</f>
        <v>590.4</v>
      </c>
      <c r="AV19">
        <f>VLOOKUP(A19,GOOGL!A$2:G$55,2,0)</f>
        <v>599.25</v>
      </c>
      <c r="AW19">
        <f>VLOOKUP(A19,GS!A$2:G$55,2,0)</f>
        <v>175.91</v>
      </c>
      <c r="AX19">
        <f>VLOOKUP(A19,HAL!A$2:G$55,2,0)</f>
        <v>73.349999999999994</v>
      </c>
      <c r="AY19">
        <f>VLOOKUP(A19,HD!A$2:G$55,2,0)</f>
        <v>81.099999999999994</v>
      </c>
      <c r="AZ19">
        <f>VLOOKUP(A19,HON!A$2:G$55,2,0)</f>
        <v>95.82</v>
      </c>
      <c r="BA19">
        <f>VLOOKUP(A19,HPQ!A$2:G$55,2,0)</f>
        <v>34.76</v>
      </c>
      <c r="BB19">
        <f>VLOOKUP(A19,IBM!A$2:G$55,2,0)</f>
        <v>195.3</v>
      </c>
      <c r="BC19">
        <f>VLOOKUP(A19,INTC!A$2:G$55,2,0)</f>
        <v>34.15</v>
      </c>
      <c r="BD19">
        <f>VLOOKUP(A19,JNJ!A$2:G$55,2,0)</f>
        <v>102.27</v>
      </c>
      <c r="BE19">
        <f>VLOOKUP(A19,JPM!A$2:G$55,2,0)</f>
        <v>58.92</v>
      </c>
      <c r="BF19">
        <f>VLOOKUP(A19,KO!A$2:G$55,2,0)</f>
        <v>40.92</v>
      </c>
      <c r="BG19">
        <f>VLOOKUP(A19,LLY!A$2:G$55,2,0)</f>
        <v>64.02</v>
      </c>
      <c r="BH19">
        <f>VLOOKUP(A19,LMT!A$2:G$55,2,0)</f>
        <v>169.33</v>
      </c>
      <c r="BI19">
        <f>VLOOKUP(A19,LOW!A$2:G$55,2,0)</f>
        <v>47.81</v>
      </c>
      <c r="BJ19">
        <f>VLOOKUP(A19,MA!A$2:G$55,2,0)</f>
        <v>75.63</v>
      </c>
      <c r="BK19">
        <f>VLOOKUP(A19,MCD!A$2:G$55,2,0)</f>
        <v>95.36</v>
      </c>
      <c r="BL19">
        <f>VLOOKUP(A19,MDLZ!A$2:G$55,2,0)</f>
        <v>38.29</v>
      </c>
      <c r="BM19">
        <f>VLOOKUP(A19,MDT!A$2:G$55,2,0)</f>
        <v>63.26</v>
      </c>
      <c r="BN19">
        <f>VLOOKUP(A19,MET!A$2:G$55,2,0)</f>
        <v>55.14</v>
      </c>
      <c r="BO19">
        <f>VLOOKUP(A19,MMM!A$2:G$55,2,0)</f>
        <v>145.66</v>
      </c>
      <c r="BP19">
        <f>VLOOKUP(A19,MO!A$2:G$55,2,0)</f>
        <v>41.88</v>
      </c>
      <c r="BQ19">
        <f>VLOOKUP(A19,MON!A$2:G$55,2,0)</f>
        <v>116.05</v>
      </c>
      <c r="BR19">
        <f>VLOOKUP(A19,MRK!A$2:G$55,2,0)</f>
        <v>58.13</v>
      </c>
      <c r="BS19">
        <f>VLOOKUP(A19,MS!A$2:G$55,2,0)</f>
        <v>33.340000000000003</v>
      </c>
      <c r="BT19">
        <f>VLOOKUP(A19,MSFT!A$2:G$55,2,0)</f>
        <v>44.3</v>
      </c>
      <c r="BU19">
        <f>VLOOKUP(A19,NKE!A$2:G$55,2,0)</f>
        <v>78.34</v>
      </c>
      <c r="BV19">
        <f>VLOOKUP(A19,NOV!A$2:G$55,2,0)</f>
        <v>85</v>
      </c>
      <c r="BW19">
        <f>VLOOKUP(A19,NSC!A$2:G$55,2,0)</f>
        <v>107.63</v>
      </c>
      <c r="BX19">
        <f>VLOOKUP(A19,ORCL!A$2:G$55,2,0)</f>
        <v>40.270000000000003</v>
      </c>
      <c r="BY19">
        <f>VLOOKUP(A19,OXY!A$2:G$55,2,0)</f>
        <v>100.38</v>
      </c>
      <c r="BZ19">
        <f>VLOOKUP(A19,PEP!A$2:G$55,2,0)</f>
        <v>91.98</v>
      </c>
      <c r="CA19">
        <f>VLOOKUP(A19,PFE!A$2:G$55,2,0)</f>
        <v>30.32</v>
      </c>
      <c r="CB19">
        <f>VLOOKUP(A19,PG!A$2:G$55,2,0)</f>
        <v>80.02</v>
      </c>
      <c r="CC19">
        <f>VLOOKUP(A19,PM!A$2:G$55,2,0)</f>
        <v>85.32</v>
      </c>
      <c r="CD19">
        <f>VLOOKUP(A19,QCOM!A$2:G$55,2,0)</f>
        <v>76</v>
      </c>
      <c r="CE19">
        <f>VLOOKUP(A19,RTN!A$2:G$55,2,0)</f>
        <v>93.27</v>
      </c>
      <c r="CF19">
        <f>VLOOKUP(A19,SBUX!A$2:G$55,2,0)</f>
        <v>78.400000000000006</v>
      </c>
      <c r="CG19">
        <f>VLOOKUP(A19,SLB!A$2:G$55,2,0)</f>
        <v>112.75</v>
      </c>
      <c r="CH19">
        <f>VLOOKUP(A19,SO!A$2:G$55,2,0)</f>
        <v>44.87</v>
      </c>
      <c r="CI19">
        <f>VLOOKUP(A19,SPG!A$2:G$55,2,0)</f>
        <v>170.69</v>
      </c>
      <c r="CJ19">
        <f>VLOOKUP(A19,T!A$2:G$55,2,0)</f>
        <v>35.369999999999997</v>
      </c>
      <c r="CK19">
        <f>VLOOKUP(A19,TGT!A$2:G$55,2,0)</f>
        <v>60.76</v>
      </c>
      <c r="CL19">
        <f>VLOOKUP(A19,TWX!A$2:G$55,2,0)</f>
        <v>84.85</v>
      </c>
      <c r="CM19">
        <f>VLOOKUP(A19,TXN!A$2:G$55,2,0)</f>
        <v>47.73</v>
      </c>
      <c r="CN19">
        <f>VLOOKUP(A19,UNH!A$2:G$55,2,0)</f>
        <v>84.12</v>
      </c>
      <c r="CO19">
        <f>VLOOKUP(A19,UNP!A$2:G$55,2,0)</f>
        <v>101.5</v>
      </c>
      <c r="CP19">
        <f>VLOOKUP(A19,UPS!A$2:G$55,2,0)</f>
        <v>103.76</v>
      </c>
      <c r="CQ19">
        <f>VLOOKUP(A19,USB!A$2:G$55,2,0)</f>
        <v>42.54</v>
      </c>
      <c r="CR19">
        <f>VLOOKUP(A19,UTX!A$2:G$55,2,0)</f>
        <v>108.64</v>
      </c>
      <c r="CS19">
        <f>VLOOKUP(A19,V!A$2:G$55,2,0)</f>
        <v>214.1</v>
      </c>
      <c r="CT19">
        <f>VLOOKUP(A19,VZ!A$2:G$55,2,0)</f>
        <v>51.07</v>
      </c>
      <c r="CU19">
        <f>VLOOKUP(A19,WAG!A$2:G$55,2,0)</f>
        <v>72.88</v>
      </c>
      <c r="CV19">
        <f>VLOOKUP(A19,WFC!A$2:G$55,2,0)</f>
        <v>51.49</v>
      </c>
      <c r="CW19">
        <f>VLOOKUP(A19,WMT!A$2:G$55,2,0)</f>
        <v>76.19</v>
      </c>
    </row>
    <row r="20" spans="1:101" x14ac:dyDescent="0.25">
      <c r="A20" s="34">
        <v>41848</v>
      </c>
      <c r="B20" s="36">
        <v>97.82</v>
      </c>
      <c r="C20">
        <f>VLOOKUP(A20,ABBV!A$2:G$55,2,0)</f>
        <v>53.42</v>
      </c>
      <c r="D20">
        <f>VLOOKUP(A20,ABT!A$2:G$55,2,0)</f>
        <v>42.95</v>
      </c>
      <c r="E20">
        <f>VLOOKUP(A20,ACN!A$2:G$55,2,0)</f>
        <v>80.180000000000007</v>
      </c>
      <c r="F20">
        <f>VLOOKUP(A20,AIG!A$2:G$55,2,0)</f>
        <v>54.14</v>
      </c>
      <c r="G20">
        <f>VLOOKUP(A20,ALL!A$2:G$55,2,0)</f>
        <v>57.92</v>
      </c>
      <c r="H20">
        <f>VLOOKUP(A20,AMGN!A$2:G$55,2,0)</f>
        <v>122.63</v>
      </c>
      <c r="I20">
        <f>VLOOKUP(A20,AMZN!A$2:G$55,2,0)</f>
        <v>324.25</v>
      </c>
      <c r="J20">
        <f>VLOOKUP(A20,APA!A$2:G$55,2,0)</f>
        <v>101.39</v>
      </c>
      <c r="K20">
        <f>VLOOKUP(A20,APC!A$2:G$55,2,0)</f>
        <v>109.41</v>
      </c>
      <c r="L20">
        <f>VLOOKUP(A20,AXP!A$2:G$55,2,0)</f>
        <v>91.9</v>
      </c>
      <c r="M20">
        <f>VLOOKUP(A20,BA!A$2:G$55,2,0)</f>
        <v>123.44</v>
      </c>
      <c r="N20">
        <f>VLOOKUP(A20,BAC!A$2:G$55,2,0)</f>
        <v>15.59</v>
      </c>
      <c r="O20">
        <f>VLOOKUP(A20,BAX!A$2:G$55,2,0)</f>
        <v>76.5</v>
      </c>
      <c r="P20">
        <f>VLOOKUP(A20,BIIB!A$2:G$55,2,0)</f>
        <v>334.68</v>
      </c>
      <c r="Q20">
        <f>VLOOKUP(A20,BK!A$2:G$55,2,0)</f>
        <v>39.380000000000003</v>
      </c>
      <c r="R20">
        <f>VLOOKUP(A20,BMY!A$2:G$55,2,0)</f>
        <v>49.39</v>
      </c>
      <c r="T20">
        <f>VLOOKUP(A20,'C'!A$2:G$55,2,0)</f>
        <v>49.95</v>
      </c>
      <c r="U20">
        <f>VLOOKUP(A20,CAT!A$2:G$55,2,0)</f>
        <v>104.78</v>
      </c>
      <c r="V20">
        <f>VLOOKUP(A20,CL!A$2:G$55,2,0)</f>
        <v>67.64</v>
      </c>
      <c r="W20">
        <f>VLOOKUP(A20,CMCSA!A$2:G$55,2,0)</f>
        <v>54.52</v>
      </c>
      <c r="X20">
        <f>VLOOKUP(A20,COF!A$2:G$55,2,0)</f>
        <v>83.11</v>
      </c>
      <c r="Y20">
        <f>VLOOKUP(A20,COP!A$2:G$55,2,0)</f>
        <v>86</v>
      </c>
      <c r="Z20">
        <f>VLOOKUP(A20,COST!A$2:G$55,2,0)</f>
        <v>117.44</v>
      </c>
      <c r="AA20">
        <f>VLOOKUP(A20,CSCO!A$2:G$55,2,0)</f>
        <v>25.73</v>
      </c>
      <c r="AB20">
        <f>VLOOKUP(A20,CVS!A$2:G$55,2,0)</f>
        <v>79</v>
      </c>
      <c r="AC20">
        <f>VLOOKUP(A20,CVX!A$2:G$55,2,0)</f>
        <v>133.56</v>
      </c>
      <c r="AD20">
        <f>VLOOKUP(A20,DD!A$2:G$55,2,0)</f>
        <v>65.05</v>
      </c>
      <c r="AE20">
        <f>VLOOKUP(A20,DIS!A$2:G$55,2,0)</f>
        <v>86.43</v>
      </c>
      <c r="AF20">
        <f>VLOOKUP(A20,DOW!A$2:G$55,2,0)</f>
        <v>53.84</v>
      </c>
      <c r="AG20">
        <f>VLOOKUP(A20,DVN!A$2:G$55,2,0)</f>
        <v>78.2</v>
      </c>
      <c r="AH20">
        <f>VLOOKUP(A20,EBAY!A$2:G$55,2,0)</f>
        <v>52.91</v>
      </c>
      <c r="AI20">
        <f>VLOOKUP(A20,EMC!A$2:G$55,2,0)</f>
        <v>29.13</v>
      </c>
      <c r="AJ20">
        <f>VLOOKUP(A20,EMR!A$2:G$55,2,0)</f>
        <v>67.239999999999995</v>
      </c>
      <c r="AK20">
        <f>VLOOKUP(A20,EXC!A$2:G$55,2,0)</f>
        <v>31.41</v>
      </c>
      <c r="AL20">
        <f>VLOOKUP(A20,F!A$2:G$55,2,0)</f>
        <v>17.62</v>
      </c>
      <c r="AM20">
        <f>VLOOKUP(A20,FB!A$2:G$55,2,0)</f>
        <v>75.17</v>
      </c>
      <c r="AN20">
        <f>VLOOKUP(A20,FCX!A$2:G$55,2,0)</f>
        <v>38.049999999999997</v>
      </c>
      <c r="AO20">
        <f>VLOOKUP(A20,FDX!A$2:G$55,2,0)</f>
        <v>150.9</v>
      </c>
      <c r="AP20">
        <f>VLOOKUP(A20,FOXA!A$2:G$55,2,0)</f>
        <v>32.83</v>
      </c>
      <c r="AQ20">
        <f>VLOOKUP(A20,GD!A$2:G$55,2,0)</f>
        <v>120.71</v>
      </c>
      <c r="AR20">
        <f>VLOOKUP(A20,GE!A$2:G$55,2,0)</f>
        <v>25.67</v>
      </c>
      <c r="AS20">
        <f>VLOOKUP(A20,GILD!A$2:G$55,2,0)</f>
        <v>90.1</v>
      </c>
      <c r="AT20">
        <f>VLOOKUP(A20,GM!A$2:G$55,2,0)</f>
        <v>35.03</v>
      </c>
      <c r="AU20">
        <f>VLOOKUP(A20,GOOG!A$2:G$55,2,0)</f>
        <v>588.07000000000005</v>
      </c>
      <c r="AV20">
        <f>VLOOKUP(A20,GOOGL!A$2:G$55,2,0)</f>
        <v>597.75</v>
      </c>
      <c r="AW20">
        <f>VLOOKUP(A20,GS!A$2:G$55,2,0)</f>
        <v>175</v>
      </c>
      <c r="AX20">
        <f>VLOOKUP(A20,HAL!A$2:G$55,2,0)</f>
        <v>73.06</v>
      </c>
      <c r="AY20">
        <f>VLOOKUP(A20,HD!A$2:G$55,2,0)</f>
        <v>81.2</v>
      </c>
      <c r="AZ20">
        <f>VLOOKUP(A20,HON!A$2:G$55,2,0)</f>
        <v>95.83</v>
      </c>
      <c r="BA20">
        <f>VLOOKUP(A20,HPQ!A$2:G$55,2,0)</f>
        <v>35.4</v>
      </c>
      <c r="BB20">
        <f>VLOOKUP(A20,IBM!A$2:G$55,2,0)</f>
        <v>194.3</v>
      </c>
      <c r="BC20">
        <f>VLOOKUP(A20,INTC!A$2:G$55,2,0)</f>
        <v>34.229999999999997</v>
      </c>
      <c r="BD20">
        <f>VLOOKUP(A20,JNJ!A$2:G$55,2,0)</f>
        <v>101.89</v>
      </c>
      <c r="BE20">
        <f>VLOOKUP(A20,JPM!A$2:G$55,2,0)</f>
        <v>58.94</v>
      </c>
      <c r="BF20">
        <f>VLOOKUP(A20,KO!A$2:G$55,2,0)</f>
        <v>40.99</v>
      </c>
      <c r="BG20">
        <f>VLOOKUP(A20,LLY!A$2:G$55,2,0)</f>
        <v>63.78</v>
      </c>
      <c r="BH20">
        <f>VLOOKUP(A20,LMT!A$2:G$55,2,0)</f>
        <v>169.99</v>
      </c>
      <c r="BI20">
        <f>VLOOKUP(A20,LOW!A$2:G$55,2,0)</f>
        <v>47.76</v>
      </c>
      <c r="BJ20">
        <f>VLOOKUP(A20,MA!A$2:G$55,2,0)</f>
        <v>75.7</v>
      </c>
      <c r="BK20">
        <f>VLOOKUP(A20,MCD!A$2:G$55,2,0)</f>
        <v>95.5</v>
      </c>
      <c r="BL20">
        <f>VLOOKUP(A20,MDLZ!A$2:G$55,2,0)</f>
        <v>38.32</v>
      </c>
      <c r="BM20">
        <f>VLOOKUP(A20,MDT!A$2:G$55,2,0)</f>
        <v>62.77</v>
      </c>
      <c r="BN20">
        <f>VLOOKUP(A20,MET!A$2:G$55,2,0)</f>
        <v>54.68</v>
      </c>
      <c r="BO20">
        <f>VLOOKUP(A20,MMM!A$2:G$55,2,0)</f>
        <v>144.91999999999999</v>
      </c>
      <c r="BP20">
        <f>VLOOKUP(A20,MO!A$2:G$55,2,0)</f>
        <v>41.73</v>
      </c>
      <c r="BQ20">
        <f>VLOOKUP(A20,MON!A$2:G$55,2,0)</f>
        <v>115.79</v>
      </c>
      <c r="BR20">
        <f>VLOOKUP(A20,MRK!A$2:G$55,2,0)</f>
        <v>58.17</v>
      </c>
      <c r="BS20">
        <f>VLOOKUP(A20,MS!A$2:G$55,2,0)</f>
        <v>33.200000000000003</v>
      </c>
      <c r="BT20">
        <f>VLOOKUP(A20,MSFT!A$2:G$55,2,0)</f>
        <v>44.36</v>
      </c>
      <c r="BU20">
        <f>VLOOKUP(A20,NKE!A$2:G$55,2,0)</f>
        <v>77.930000000000007</v>
      </c>
      <c r="BV20">
        <f>VLOOKUP(A20,NOV!A$2:G$55,2,0)</f>
        <v>85.17</v>
      </c>
      <c r="BW20">
        <f>VLOOKUP(A20,NSC!A$2:G$55,2,0)</f>
        <v>107.03</v>
      </c>
      <c r="BX20">
        <f>VLOOKUP(A20,ORCL!A$2:G$55,2,0)</f>
        <v>40.31</v>
      </c>
      <c r="BY20">
        <f>VLOOKUP(A20,OXY!A$2:G$55,2,0)</f>
        <v>100.2</v>
      </c>
      <c r="BZ20">
        <f>VLOOKUP(A20,PEP!A$2:G$55,2,0)</f>
        <v>91.55</v>
      </c>
      <c r="CA20">
        <f>VLOOKUP(A20,PFE!A$2:G$55,2,0)</f>
        <v>29.79</v>
      </c>
      <c r="CB20">
        <f>VLOOKUP(A20,PG!A$2:G$55,2,0)</f>
        <v>79.41</v>
      </c>
      <c r="CC20">
        <f>VLOOKUP(A20,PM!A$2:G$55,2,0)</f>
        <v>84.98</v>
      </c>
      <c r="CD20">
        <f>VLOOKUP(A20,QCOM!A$2:G$55,2,0)</f>
        <v>76.099999999999994</v>
      </c>
      <c r="CE20">
        <f>VLOOKUP(A20,RTN!A$2:G$55,2,0)</f>
        <v>92.23</v>
      </c>
      <c r="CF20">
        <f>VLOOKUP(A20,SBUX!A$2:G$55,2,0)</f>
        <v>78.8</v>
      </c>
      <c r="CG20">
        <f>VLOOKUP(A20,SLB!A$2:G$55,2,0)</f>
        <v>111.93</v>
      </c>
      <c r="CH20">
        <f>VLOOKUP(A20,SO!A$2:G$55,2,0)</f>
        <v>44.62</v>
      </c>
      <c r="CI20">
        <f>VLOOKUP(A20,SPG!A$2:G$55,2,0)</f>
        <v>169</v>
      </c>
      <c r="CJ20">
        <f>VLOOKUP(A20,T!A$2:G$55,2,0)</f>
        <v>35.549999999999997</v>
      </c>
      <c r="CK20">
        <f>VLOOKUP(A20,TGT!A$2:G$55,2,0)</f>
        <v>60.4</v>
      </c>
      <c r="CL20">
        <f>VLOOKUP(A20,TWX!A$2:G$55,2,0)</f>
        <v>84.53</v>
      </c>
      <c r="CM20">
        <f>VLOOKUP(A20,TXN!A$2:G$55,2,0)</f>
        <v>46.85</v>
      </c>
      <c r="CN20">
        <f>VLOOKUP(A20,UNH!A$2:G$55,2,0)</f>
        <v>85.03</v>
      </c>
      <c r="CO20">
        <f>VLOOKUP(A20,UNP!A$2:G$55,2,0)</f>
        <v>101.46</v>
      </c>
      <c r="CP20">
        <f>VLOOKUP(A20,UPS!A$2:G$55,2,0)</f>
        <v>103.41</v>
      </c>
      <c r="CQ20">
        <f>VLOOKUP(A20,USB!A$2:G$55,2,0)</f>
        <v>42.7</v>
      </c>
      <c r="CR20">
        <f>VLOOKUP(A20,UTX!A$2:G$55,2,0)</f>
        <v>109.01</v>
      </c>
      <c r="CS20">
        <f>VLOOKUP(A20,V!A$2:G$55,2,0)</f>
        <v>214.42</v>
      </c>
      <c r="CT20">
        <f>VLOOKUP(A20,VZ!A$2:G$55,2,0)</f>
        <v>51.26</v>
      </c>
      <c r="CU20">
        <f>VLOOKUP(A20,WAG!A$2:G$55,2,0)</f>
        <v>73.31</v>
      </c>
      <c r="CV20">
        <f>VLOOKUP(A20,WFC!A$2:G$55,2,0)</f>
        <v>51.31</v>
      </c>
      <c r="CW20">
        <f>VLOOKUP(A20,WMT!A$2:G$55,2,0)</f>
        <v>75.430000000000007</v>
      </c>
    </row>
    <row r="21" spans="1:101" x14ac:dyDescent="0.25">
      <c r="A21" s="34">
        <v>41849</v>
      </c>
      <c r="B21" s="36">
        <v>99.33</v>
      </c>
      <c r="C21">
        <f>VLOOKUP(A21,ABBV!A$2:G$55,2,0)</f>
        <v>53.55</v>
      </c>
      <c r="D21">
        <f>VLOOKUP(A21,ABT!A$2:G$55,2,0)</f>
        <v>42.97</v>
      </c>
      <c r="E21">
        <f>VLOOKUP(A21,ACN!A$2:G$55,2,0)</f>
        <v>80.59</v>
      </c>
      <c r="F21">
        <f>VLOOKUP(A21,AIG!A$2:G$55,2,0)</f>
        <v>54</v>
      </c>
      <c r="G21">
        <f>VLOOKUP(A21,ALL!A$2:G$55,2,0)</f>
        <v>57.23</v>
      </c>
      <c r="H21">
        <f>VLOOKUP(A21,AMGN!A$2:G$55,2,0)</f>
        <v>122.52</v>
      </c>
      <c r="I21">
        <f>VLOOKUP(A21,AMZN!A$2:G$55,2,0)</f>
        <v>321.98</v>
      </c>
      <c r="J21">
        <f>VLOOKUP(A21,APA!A$2:G$55,2,0)</f>
        <v>100.99</v>
      </c>
      <c r="K21">
        <f>VLOOKUP(A21,APC!A$2:G$55,2,0)</f>
        <v>107.55</v>
      </c>
      <c r="L21">
        <f>VLOOKUP(A21,AXP!A$2:G$55,2,0)</f>
        <v>91.83</v>
      </c>
      <c r="M21">
        <f>VLOOKUP(A21,BA!A$2:G$55,2,0)</f>
        <v>123.31</v>
      </c>
      <c r="N21">
        <f>VLOOKUP(A21,BAC!A$2:G$55,2,0)</f>
        <v>15.52</v>
      </c>
      <c r="O21">
        <f>VLOOKUP(A21,BAX!A$2:G$55,2,0)</f>
        <v>76.58</v>
      </c>
      <c r="P21">
        <f>VLOOKUP(A21,BIIB!A$2:G$55,2,0)</f>
        <v>337</v>
      </c>
      <c r="Q21">
        <f>VLOOKUP(A21,BK!A$2:G$55,2,0)</f>
        <v>39.46</v>
      </c>
      <c r="R21">
        <f>VLOOKUP(A21,BMY!A$2:G$55,2,0)</f>
        <v>49.92</v>
      </c>
      <c r="T21">
        <f>VLOOKUP(A21,'C'!A$2:G$55,2,0)</f>
        <v>49.73</v>
      </c>
      <c r="U21">
        <f>VLOOKUP(A21,CAT!A$2:G$55,2,0)</f>
        <v>105</v>
      </c>
      <c r="V21">
        <f>VLOOKUP(A21,CL!A$2:G$55,2,0)</f>
        <v>67.069999999999993</v>
      </c>
      <c r="W21">
        <f>VLOOKUP(A21,CMCSA!A$2:G$55,2,0)</f>
        <v>55.29</v>
      </c>
      <c r="X21">
        <f>VLOOKUP(A21,COF!A$2:G$55,2,0)</f>
        <v>81.53</v>
      </c>
      <c r="Y21">
        <f>VLOOKUP(A21,COP!A$2:G$55,2,0)</f>
        <v>85.01</v>
      </c>
      <c r="Z21">
        <f>VLOOKUP(A21,COST!A$2:G$55,2,0)</f>
        <v>118.93</v>
      </c>
      <c r="AA21">
        <f>VLOOKUP(A21,CSCO!A$2:G$55,2,0)</f>
        <v>25.88</v>
      </c>
      <c r="AB21">
        <f>VLOOKUP(A21,CVS!A$2:G$55,2,0)</f>
        <v>78.489999999999995</v>
      </c>
      <c r="AC21">
        <f>VLOOKUP(A21,CVX!A$2:G$55,2,0)</f>
        <v>132.9</v>
      </c>
      <c r="AD21">
        <f>VLOOKUP(A21,DD!A$2:G$55,2,0)</f>
        <v>65.45</v>
      </c>
      <c r="AE21">
        <f>VLOOKUP(A21,DIS!A$2:G$55,2,0)</f>
        <v>87.29</v>
      </c>
      <c r="AF21">
        <f>VLOOKUP(A21,DOW!A$2:G$55,2,0)</f>
        <v>53.89</v>
      </c>
      <c r="AG21">
        <f>VLOOKUP(A21,DVN!A$2:G$55,2,0)</f>
        <v>77.760000000000005</v>
      </c>
      <c r="AH21">
        <f>VLOOKUP(A21,EBAY!A$2:G$55,2,0)</f>
        <v>53.1</v>
      </c>
      <c r="AI21">
        <f>VLOOKUP(A21,EMC!A$2:G$55,2,0)</f>
        <v>29.62</v>
      </c>
      <c r="AJ21">
        <f>VLOOKUP(A21,EMR!A$2:G$55,2,0)</f>
        <v>66.98</v>
      </c>
      <c r="AK21">
        <f>VLOOKUP(A21,EXC!A$2:G$55,2,0)</f>
        <v>31.94</v>
      </c>
      <c r="AL21">
        <f>VLOOKUP(A21,F!A$2:G$55,2,0)</f>
        <v>17.649999999999999</v>
      </c>
      <c r="AM21">
        <f>VLOOKUP(A21,FB!A$2:G$55,2,0)</f>
        <v>74.72</v>
      </c>
      <c r="AN21">
        <f>VLOOKUP(A21,FCX!A$2:G$55,2,0)</f>
        <v>38.04</v>
      </c>
      <c r="AO21">
        <f>VLOOKUP(A21,FDX!A$2:G$55,2,0)</f>
        <v>148.5</v>
      </c>
      <c r="AP21">
        <f>VLOOKUP(A21,FOXA!A$2:G$55,2,0)</f>
        <v>32.56</v>
      </c>
      <c r="AQ21">
        <f>VLOOKUP(A21,GD!A$2:G$55,2,0)</f>
        <v>120.48</v>
      </c>
      <c r="AR21">
        <f>VLOOKUP(A21,GE!A$2:G$55,2,0)</f>
        <v>25.57</v>
      </c>
      <c r="AS21">
        <f>VLOOKUP(A21,GILD!A$2:G$55,2,0)</f>
        <v>92.1</v>
      </c>
      <c r="AT21">
        <f>VLOOKUP(A21,GM!A$2:G$55,2,0)</f>
        <v>35.01</v>
      </c>
      <c r="AU21">
        <f>VLOOKUP(A21,GOOG!A$2:G$55,2,0)</f>
        <v>588.75</v>
      </c>
      <c r="AV21">
        <f>VLOOKUP(A21,GOOGL!A$2:G$55,2,0)</f>
        <v>597.70000000000005</v>
      </c>
      <c r="AW21">
        <f>VLOOKUP(A21,GS!A$2:G$55,2,0)</f>
        <v>176.17</v>
      </c>
      <c r="AX21">
        <f>VLOOKUP(A21,HAL!A$2:G$55,2,0)</f>
        <v>72.78</v>
      </c>
      <c r="AY21">
        <f>VLOOKUP(A21,HD!A$2:G$55,2,0)</f>
        <v>81.209999999999994</v>
      </c>
      <c r="AZ21">
        <f>VLOOKUP(A21,HON!A$2:G$55,2,0)</f>
        <v>95.1</v>
      </c>
      <c r="BA21">
        <f>VLOOKUP(A21,HPQ!A$2:G$55,2,0)</f>
        <v>35.71</v>
      </c>
      <c r="BB21">
        <f>VLOOKUP(A21,IBM!A$2:G$55,2,0)</f>
        <v>195.3</v>
      </c>
      <c r="BC21">
        <f>VLOOKUP(A21,INTC!A$2:G$55,2,0)</f>
        <v>34.270000000000003</v>
      </c>
      <c r="BD21">
        <f>VLOOKUP(A21,JNJ!A$2:G$55,2,0)</f>
        <v>102.45</v>
      </c>
      <c r="BE21">
        <f>VLOOKUP(A21,JPM!A$2:G$55,2,0)</f>
        <v>59.13</v>
      </c>
      <c r="BF21">
        <f>VLOOKUP(A21,KO!A$2:G$55,2,0)</f>
        <v>40.75</v>
      </c>
      <c r="BG21">
        <f>VLOOKUP(A21,LLY!A$2:G$55,2,0)</f>
        <v>63.7</v>
      </c>
      <c r="BH21">
        <f>VLOOKUP(A21,LMT!A$2:G$55,2,0)</f>
        <v>170.5</v>
      </c>
      <c r="BI21">
        <f>VLOOKUP(A21,LOW!A$2:G$55,2,0)</f>
        <v>47.72</v>
      </c>
      <c r="BJ21">
        <f>VLOOKUP(A21,MA!A$2:G$55,2,0)</f>
        <v>76.31</v>
      </c>
      <c r="BK21">
        <f>VLOOKUP(A21,MCD!A$2:G$55,2,0)</f>
        <v>95.89</v>
      </c>
      <c r="BL21">
        <f>VLOOKUP(A21,MDLZ!A$2:G$55,2,0)</f>
        <v>38.299999999999997</v>
      </c>
      <c r="BM21">
        <f>VLOOKUP(A21,MDT!A$2:G$55,2,0)</f>
        <v>62.89</v>
      </c>
      <c r="BN21">
        <f>VLOOKUP(A21,MET!A$2:G$55,2,0)</f>
        <v>54.74</v>
      </c>
      <c r="BO21">
        <f>VLOOKUP(A21,MMM!A$2:G$55,2,0)</f>
        <v>145.22</v>
      </c>
      <c r="BP21">
        <f>VLOOKUP(A21,MO!A$2:G$55,2,0)</f>
        <v>41.59</v>
      </c>
      <c r="BQ21">
        <f>VLOOKUP(A21,MON!A$2:G$55,2,0)</f>
        <v>115</v>
      </c>
      <c r="BR21">
        <f>VLOOKUP(A21,MRK!A$2:G$55,2,0)</f>
        <v>58.82</v>
      </c>
      <c r="BS21">
        <f>VLOOKUP(A21,MS!A$2:G$55,2,0)</f>
        <v>33.08</v>
      </c>
      <c r="BT21">
        <f>VLOOKUP(A21,MSFT!A$2:G$55,2,0)</f>
        <v>43.91</v>
      </c>
      <c r="BU21">
        <f>VLOOKUP(A21,NKE!A$2:G$55,2,0)</f>
        <v>78.42</v>
      </c>
      <c r="BV21">
        <f>VLOOKUP(A21,NOV!A$2:G$55,2,0)</f>
        <v>85.74</v>
      </c>
      <c r="BW21">
        <f>VLOOKUP(A21,NSC!A$2:G$55,2,0)</f>
        <v>105.25</v>
      </c>
      <c r="BX21">
        <f>VLOOKUP(A21,ORCL!A$2:G$55,2,0)</f>
        <v>40.71</v>
      </c>
      <c r="BY21">
        <f>VLOOKUP(A21,OXY!A$2:G$55,2,0)</f>
        <v>99.55</v>
      </c>
      <c r="BZ21">
        <f>VLOOKUP(A21,PEP!A$2:G$55,2,0)</f>
        <v>90.91</v>
      </c>
      <c r="CA21">
        <f>VLOOKUP(A21,PFE!A$2:G$55,2,0)</f>
        <v>30.33</v>
      </c>
      <c r="CB21">
        <f>VLOOKUP(A21,PG!A$2:G$55,2,0)</f>
        <v>79.09</v>
      </c>
      <c r="CC21">
        <f>VLOOKUP(A21,PM!A$2:G$55,2,0)</f>
        <v>84.5</v>
      </c>
      <c r="CD21">
        <f>VLOOKUP(A21,QCOM!A$2:G$55,2,0)</f>
        <v>75.650000000000006</v>
      </c>
      <c r="CE21">
        <f>VLOOKUP(A21,RTN!A$2:G$55,2,0)</f>
        <v>93.06</v>
      </c>
      <c r="CF21">
        <f>VLOOKUP(A21,SBUX!A$2:G$55,2,0)</f>
        <v>78.489999999999995</v>
      </c>
      <c r="CG21">
        <f>VLOOKUP(A21,SLB!A$2:G$55,2,0)</f>
        <v>112.2</v>
      </c>
      <c r="CH21">
        <f>VLOOKUP(A21,SO!A$2:G$55,2,0)</f>
        <v>45.47</v>
      </c>
      <c r="CI21">
        <f>VLOOKUP(A21,SPG!A$2:G$55,2,0)</f>
        <v>170.21</v>
      </c>
      <c r="CJ21">
        <f>VLOOKUP(A21,T!A$2:G$55,2,0)</f>
        <v>37.43</v>
      </c>
      <c r="CK21">
        <f>VLOOKUP(A21,TGT!A$2:G$55,2,0)</f>
        <v>60.35</v>
      </c>
      <c r="CL21">
        <f>VLOOKUP(A21,TWX!A$2:G$55,2,0)</f>
        <v>85.03</v>
      </c>
      <c r="CM21">
        <f>VLOOKUP(A21,TXN!A$2:G$55,2,0)</f>
        <v>47.19</v>
      </c>
      <c r="CN21">
        <f>VLOOKUP(A21,UNH!A$2:G$55,2,0)</f>
        <v>84.96</v>
      </c>
      <c r="CO21">
        <f>VLOOKUP(A21,UNP!A$2:G$55,2,0)</f>
        <v>100.54</v>
      </c>
      <c r="CP21">
        <f>VLOOKUP(A21,UPS!A$2:G$55,2,0)</f>
        <v>99.58</v>
      </c>
      <c r="CQ21">
        <f>VLOOKUP(A21,USB!A$2:G$55,2,0)</f>
        <v>42.61</v>
      </c>
      <c r="CR21">
        <f>VLOOKUP(A21,UTX!A$2:G$55,2,0)</f>
        <v>108.81</v>
      </c>
      <c r="CS21">
        <f>VLOOKUP(A21,V!A$2:G$55,2,0)</f>
        <v>214.4</v>
      </c>
      <c r="CT21">
        <f>VLOOKUP(A21,VZ!A$2:G$55,2,0)</f>
        <v>53.19</v>
      </c>
      <c r="CU21">
        <f>VLOOKUP(A21,WAG!A$2:G$55,2,0)</f>
        <v>71.44</v>
      </c>
      <c r="CV21">
        <f>VLOOKUP(A21,WFC!A$2:G$55,2,0)</f>
        <v>51.65</v>
      </c>
      <c r="CW21">
        <f>VLOOKUP(A21,WMT!A$2:G$55,2,0)</f>
        <v>75.209999999999994</v>
      </c>
    </row>
    <row r="22" spans="1:101" x14ac:dyDescent="0.25">
      <c r="A22" s="34">
        <v>41850</v>
      </c>
      <c r="B22" s="36">
        <v>98.44</v>
      </c>
      <c r="C22">
        <f>VLOOKUP(A22,ABBV!A$2:G$55,2,0)</f>
        <v>53.28</v>
      </c>
      <c r="D22">
        <f>VLOOKUP(A22,ABT!A$2:G$55,2,0)</f>
        <v>42.96</v>
      </c>
      <c r="E22">
        <f>VLOOKUP(A22,ACN!A$2:G$55,2,0)</f>
        <v>80.599999999999994</v>
      </c>
      <c r="F22">
        <f>VLOOKUP(A22,AIG!A$2:G$55,2,0)</f>
        <v>53.66</v>
      </c>
      <c r="G22">
        <f>VLOOKUP(A22,ALL!A$2:G$55,2,0)</f>
        <v>57.1</v>
      </c>
      <c r="H22">
        <f>VLOOKUP(A22,AMGN!A$2:G$55,2,0)</f>
        <v>128.63</v>
      </c>
      <c r="I22">
        <f>VLOOKUP(A22,AMZN!A$2:G$55,2,0)</f>
        <v>321.45</v>
      </c>
      <c r="J22">
        <f>VLOOKUP(A22,APA!A$2:G$55,2,0)</f>
        <v>102.19</v>
      </c>
      <c r="K22">
        <f>VLOOKUP(A22,APC!A$2:G$55,2,0)</f>
        <v>111.47</v>
      </c>
      <c r="L22">
        <f>VLOOKUP(A22,AXP!A$2:G$55,2,0)</f>
        <v>92.11</v>
      </c>
      <c r="M22">
        <f>VLOOKUP(A22,BA!A$2:G$55,2,0)</f>
        <v>123.2</v>
      </c>
      <c r="N22">
        <f>VLOOKUP(A22,BAC!A$2:G$55,2,0)</f>
        <v>15.43</v>
      </c>
      <c r="O22">
        <f>VLOOKUP(A22,BAX!A$2:G$55,2,0)</f>
        <v>76.83</v>
      </c>
      <c r="P22">
        <f>VLOOKUP(A22,BIIB!A$2:G$55,2,0)</f>
        <v>344.45</v>
      </c>
      <c r="Q22">
        <f>VLOOKUP(A22,BK!A$2:G$55,2,0)</f>
        <v>39.47</v>
      </c>
      <c r="R22">
        <f>VLOOKUP(A22,BMY!A$2:G$55,2,0)</f>
        <v>51.21</v>
      </c>
      <c r="T22">
        <f>VLOOKUP(A22,'C'!A$2:G$55,2,0)</f>
        <v>49.67</v>
      </c>
      <c r="U22">
        <f>VLOOKUP(A22,CAT!A$2:G$55,2,0)</f>
        <v>105.08</v>
      </c>
      <c r="V22">
        <f>VLOOKUP(A22,CL!A$2:G$55,2,0)</f>
        <v>66.459999999999994</v>
      </c>
      <c r="W22">
        <f>VLOOKUP(A22,CMCSA!A$2:G$55,2,0)</f>
        <v>55.19</v>
      </c>
      <c r="X22">
        <f>VLOOKUP(A22,COF!A$2:G$55,2,0)</f>
        <v>81.48</v>
      </c>
      <c r="Y22">
        <f>VLOOKUP(A22,COP!A$2:G$55,2,0)</f>
        <v>85.25</v>
      </c>
      <c r="Z22">
        <f>VLOOKUP(A22,COST!A$2:G$55,2,0)</f>
        <v>118.79</v>
      </c>
      <c r="AA22">
        <f>VLOOKUP(A22,CSCO!A$2:G$55,2,0)</f>
        <v>25.83</v>
      </c>
      <c r="AB22">
        <f>VLOOKUP(A22,CVS!A$2:G$55,2,0)</f>
        <v>78</v>
      </c>
      <c r="AC22">
        <f>VLOOKUP(A22,CVX!A$2:G$55,2,0)</f>
        <v>132.97</v>
      </c>
      <c r="AD22">
        <f>VLOOKUP(A22,DD!A$2:G$55,2,0)</f>
        <v>66.31</v>
      </c>
      <c r="AE22">
        <f>VLOOKUP(A22,DIS!A$2:G$55,2,0)</f>
        <v>86.62</v>
      </c>
      <c r="AF22">
        <f>VLOOKUP(A22,DOW!A$2:G$55,2,0)</f>
        <v>53.72</v>
      </c>
      <c r="AG22">
        <f>VLOOKUP(A22,DVN!A$2:G$55,2,0)</f>
        <v>78.040000000000006</v>
      </c>
      <c r="AH22">
        <f>VLOOKUP(A22,EBAY!A$2:G$55,2,0)</f>
        <v>53.28</v>
      </c>
      <c r="AI22">
        <f>VLOOKUP(A22,EMC!A$2:G$55,2,0)</f>
        <v>29.55</v>
      </c>
      <c r="AJ22">
        <f>VLOOKUP(A22,EMR!A$2:G$55,2,0)</f>
        <v>66.150000000000006</v>
      </c>
      <c r="AK22">
        <f>VLOOKUP(A22,EXC!A$2:G$55,2,0)</f>
        <v>31.63</v>
      </c>
      <c r="AL22">
        <f>VLOOKUP(A22,F!A$2:G$55,2,0)</f>
        <v>17.52</v>
      </c>
      <c r="AM22">
        <f>VLOOKUP(A22,FB!A$2:G$55,2,0)</f>
        <v>74.209999999999994</v>
      </c>
      <c r="AN22">
        <f>VLOOKUP(A22,FCX!A$2:G$55,2,0)</f>
        <v>38.090000000000003</v>
      </c>
      <c r="AO22">
        <f>VLOOKUP(A22,FDX!A$2:G$55,2,0)</f>
        <v>147.36000000000001</v>
      </c>
      <c r="AP22">
        <f>VLOOKUP(A22,FOXA!A$2:G$55,2,0)</f>
        <v>32.25</v>
      </c>
      <c r="AQ22">
        <f>VLOOKUP(A22,GD!A$2:G$55,2,0)</f>
        <v>119.23</v>
      </c>
      <c r="AR22">
        <f>VLOOKUP(A22,GE!A$2:G$55,2,0)</f>
        <v>25.58</v>
      </c>
      <c r="AS22">
        <f>VLOOKUP(A22,GILD!A$2:G$55,2,0)</f>
        <v>94.3</v>
      </c>
      <c r="AT22">
        <f>VLOOKUP(A22,GM!A$2:G$55,2,0)</f>
        <v>34.5</v>
      </c>
      <c r="AU22">
        <f>VLOOKUP(A22,GOOG!A$2:G$55,2,0)</f>
        <v>586.54999999999995</v>
      </c>
      <c r="AV22">
        <f>VLOOKUP(A22,GOOGL!A$2:G$55,2,0)</f>
        <v>595.80999999999995</v>
      </c>
      <c r="AW22">
        <f>VLOOKUP(A22,GS!A$2:G$55,2,0)</f>
        <v>175.96</v>
      </c>
      <c r="AX22">
        <f>VLOOKUP(A22,HAL!A$2:G$55,2,0)</f>
        <v>71.349999999999994</v>
      </c>
      <c r="AY22">
        <f>VLOOKUP(A22,HD!A$2:G$55,2,0)</f>
        <v>81.5</v>
      </c>
      <c r="AZ22">
        <f>VLOOKUP(A22,HON!A$2:G$55,2,0)</f>
        <v>94.83</v>
      </c>
      <c r="BA22">
        <f>VLOOKUP(A22,HPQ!A$2:G$55,2,0)</f>
        <v>36</v>
      </c>
      <c r="BB22">
        <f>VLOOKUP(A22,IBM!A$2:G$55,2,0)</f>
        <v>195.2</v>
      </c>
      <c r="BC22">
        <f>VLOOKUP(A22,INTC!A$2:G$55,2,0)</f>
        <v>34.31</v>
      </c>
      <c r="BD22">
        <f>VLOOKUP(A22,JNJ!A$2:G$55,2,0)</f>
        <v>102.27</v>
      </c>
      <c r="BE22">
        <f>VLOOKUP(A22,JPM!A$2:G$55,2,0)</f>
        <v>59.02</v>
      </c>
      <c r="BF22">
        <f>VLOOKUP(A22,KO!A$2:G$55,2,0)</f>
        <v>40.450000000000003</v>
      </c>
      <c r="BG22">
        <f>VLOOKUP(A22,LLY!A$2:G$55,2,0)</f>
        <v>63.14</v>
      </c>
      <c r="BH22">
        <f>VLOOKUP(A22,LMT!A$2:G$55,2,0)</f>
        <v>170.24</v>
      </c>
      <c r="BI22">
        <f>VLOOKUP(A22,LOW!A$2:G$55,2,0)</f>
        <v>48.2</v>
      </c>
      <c r="BJ22">
        <f>VLOOKUP(A22,MA!A$2:G$55,2,0)</f>
        <v>76.069999999999993</v>
      </c>
      <c r="BK22">
        <f>VLOOKUP(A22,MCD!A$2:G$55,2,0)</f>
        <v>96.19</v>
      </c>
      <c r="BL22">
        <f>VLOOKUP(A22,MDLZ!A$2:G$55,2,0)</f>
        <v>38.17</v>
      </c>
      <c r="BM22">
        <f>VLOOKUP(A22,MDT!A$2:G$55,2,0)</f>
        <v>62.84</v>
      </c>
      <c r="BN22">
        <f>VLOOKUP(A22,MET!A$2:G$55,2,0)</f>
        <v>54.23</v>
      </c>
      <c r="BO22">
        <f>VLOOKUP(A22,MMM!A$2:G$55,2,0)</f>
        <v>144.26</v>
      </c>
      <c r="BP22">
        <f>VLOOKUP(A22,MO!A$2:G$55,2,0)</f>
        <v>41.83</v>
      </c>
      <c r="BQ22">
        <f>VLOOKUP(A22,MON!A$2:G$55,2,0)</f>
        <v>114.94</v>
      </c>
      <c r="BR22">
        <f>VLOOKUP(A22,MRK!A$2:G$55,2,0)</f>
        <v>58.58</v>
      </c>
      <c r="BS22">
        <f>VLOOKUP(A22,MS!A$2:G$55,2,0)</f>
        <v>32.770000000000003</v>
      </c>
      <c r="BT22">
        <f>VLOOKUP(A22,MSFT!A$2:G$55,2,0)</f>
        <v>44.07</v>
      </c>
      <c r="BU22">
        <f>VLOOKUP(A22,NKE!A$2:G$55,2,0)</f>
        <v>78.39</v>
      </c>
      <c r="BV22">
        <f>VLOOKUP(A22,NOV!A$2:G$55,2,0)</f>
        <v>83</v>
      </c>
      <c r="BW22">
        <f>VLOOKUP(A22,NSC!A$2:G$55,2,0)</f>
        <v>103.52</v>
      </c>
      <c r="BX22">
        <f>VLOOKUP(A22,ORCL!A$2:G$55,2,0)</f>
        <v>40.71</v>
      </c>
      <c r="BY22">
        <f>VLOOKUP(A22,OXY!A$2:G$55,2,0)</f>
        <v>99.76</v>
      </c>
      <c r="BZ22">
        <f>VLOOKUP(A22,PEP!A$2:G$55,2,0)</f>
        <v>90.49</v>
      </c>
      <c r="CA22">
        <f>VLOOKUP(A22,PFE!A$2:G$55,2,0)</f>
        <v>29.51</v>
      </c>
      <c r="CB22">
        <f>VLOOKUP(A22,PG!A$2:G$55,2,0)</f>
        <v>78.7</v>
      </c>
      <c r="CC22">
        <f>VLOOKUP(A22,PM!A$2:G$55,2,0)</f>
        <v>84.72</v>
      </c>
      <c r="CD22">
        <f>VLOOKUP(A22,QCOM!A$2:G$55,2,0)</f>
        <v>75.680000000000007</v>
      </c>
      <c r="CE22">
        <f>VLOOKUP(A22,RTN!A$2:G$55,2,0)</f>
        <v>92.89</v>
      </c>
      <c r="CF22">
        <f>VLOOKUP(A22,SBUX!A$2:G$55,2,0)</f>
        <v>79</v>
      </c>
      <c r="CG22">
        <f>VLOOKUP(A22,SLB!A$2:G$55,2,0)</f>
        <v>111.53</v>
      </c>
      <c r="CH22">
        <f>VLOOKUP(A22,SO!A$2:G$55,2,0)</f>
        <v>45</v>
      </c>
      <c r="CI22">
        <f>VLOOKUP(A22,SPG!A$2:G$55,2,0)</f>
        <v>170.09</v>
      </c>
      <c r="CJ22">
        <f>VLOOKUP(A22,T!A$2:G$55,2,0)</f>
        <v>36.450000000000003</v>
      </c>
      <c r="CK22">
        <f>VLOOKUP(A22,TGT!A$2:G$55,2,0)</f>
        <v>61.31</v>
      </c>
      <c r="CL22">
        <f>VLOOKUP(A22,TWX!A$2:G$55,2,0)</f>
        <v>84.07</v>
      </c>
      <c r="CM22">
        <f>VLOOKUP(A22,TXN!A$2:G$55,2,0)</f>
        <v>47</v>
      </c>
      <c r="CN22">
        <f>VLOOKUP(A22,UNH!A$2:G$55,2,0)</f>
        <v>84.76</v>
      </c>
      <c r="CO22">
        <f>VLOOKUP(A22,UNP!A$2:G$55,2,0)</f>
        <v>100.15</v>
      </c>
      <c r="CP22">
        <f>VLOOKUP(A22,UPS!A$2:G$55,2,0)</f>
        <v>99.25</v>
      </c>
      <c r="CQ22">
        <f>VLOOKUP(A22,USB!A$2:G$55,2,0)</f>
        <v>42.83</v>
      </c>
      <c r="CR22">
        <f>VLOOKUP(A22,UTX!A$2:G$55,2,0)</f>
        <v>107.81</v>
      </c>
      <c r="CS22">
        <f>VLOOKUP(A22,V!A$2:G$55,2,0)</f>
        <v>213.49</v>
      </c>
      <c r="CT22">
        <f>VLOOKUP(A22,VZ!A$2:G$55,2,0)</f>
        <v>51.94</v>
      </c>
      <c r="CU22">
        <f>VLOOKUP(A22,WAG!A$2:G$55,2,0)</f>
        <v>70.709999999999994</v>
      </c>
      <c r="CV22">
        <f>VLOOKUP(A22,WFC!A$2:G$55,2,0)</f>
        <v>51.73</v>
      </c>
      <c r="CW22">
        <f>VLOOKUP(A22,WMT!A$2:G$55,2,0)</f>
        <v>75.88</v>
      </c>
    </row>
    <row r="23" spans="1:101" x14ac:dyDescent="0.25">
      <c r="A23" s="34">
        <v>41851</v>
      </c>
      <c r="B23" s="36">
        <v>97.16</v>
      </c>
      <c r="C23">
        <f>VLOOKUP(A23,ABBV!A$2:G$55,2,0)</f>
        <v>53.13</v>
      </c>
      <c r="D23">
        <f>VLOOKUP(A23,ABT!A$2:G$55,2,0)</f>
        <v>42.52</v>
      </c>
      <c r="E23">
        <f>VLOOKUP(A23,ACN!A$2:G$55,2,0)</f>
        <v>79.91</v>
      </c>
      <c r="F23">
        <f>VLOOKUP(A23,AIG!A$2:G$55,2,0)</f>
        <v>52.6</v>
      </c>
      <c r="G23">
        <f>VLOOKUP(A23,ALL!A$2:G$55,2,0)</f>
        <v>58.19</v>
      </c>
      <c r="H23">
        <f>VLOOKUP(A23,AMGN!A$2:G$55,2,0)</f>
        <v>128.38999999999999</v>
      </c>
      <c r="I23">
        <f>VLOOKUP(A23,AMZN!A$2:G$55,2,0)</f>
        <v>320.01</v>
      </c>
      <c r="J23">
        <f>VLOOKUP(A23,APA!A$2:G$55,2,0)</f>
        <v>103.08</v>
      </c>
      <c r="K23">
        <f>VLOOKUP(A23,APC!A$2:G$55,2,0)</f>
        <v>109.14</v>
      </c>
      <c r="L23">
        <f>VLOOKUP(A23,AXP!A$2:G$55,2,0)</f>
        <v>90.07</v>
      </c>
      <c r="M23">
        <f>VLOOKUP(A23,BA!A$2:G$55,2,0)</f>
        <v>121.47</v>
      </c>
      <c r="N23">
        <f>VLOOKUP(A23,BAC!A$2:G$55,2,0)</f>
        <v>15.44</v>
      </c>
      <c r="O23">
        <f>VLOOKUP(A23,BAX!A$2:G$55,2,0)</f>
        <v>75.42</v>
      </c>
      <c r="P23">
        <f>VLOOKUP(A23,BIIB!A$2:G$55,2,0)</f>
        <v>342.72</v>
      </c>
      <c r="Q23">
        <f>VLOOKUP(A23,BK!A$2:G$55,2,0)</f>
        <v>39.43</v>
      </c>
      <c r="R23">
        <f>VLOOKUP(A23,BMY!A$2:G$55,2,0)</f>
        <v>50.62</v>
      </c>
      <c r="T23">
        <f>VLOOKUP(A23,'C'!A$2:G$55,2,0)</f>
        <v>49.56</v>
      </c>
      <c r="U23">
        <f>VLOOKUP(A23,CAT!A$2:G$55,2,0)</f>
        <v>102.24</v>
      </c>
      <c r="V23">
        <f>VLOOKUP(A23,CL!A$2:G$55,2,0)</f>
        <v>64.73</v>
      </c>
      <c r="W23">
        <f>VLOOKUP(A23,CMCSA!A$2:G$55,2,0)</f>
        <v>54.99</v>
      </c>
      <c r="X23">
        <f>VLOOKUP(A23,COF!A$2:G$55,2,0)</f>
        <v>81.11</v>
      </c>
      <c r="Y23">
        <f>VLOOKUP(A23,COP!A$2:G$55,2,0)</f>
        <v>84.22</v>
      </c>
      <c r="Z23">
        <f>VLOOKUP(A23,COST!A$2:G$55,2,0)</f>
        <v>117.54</v>
      </c>
      <c r="AA23">
        <f>VLOOKUP(A23,CSCO!A$2:G$55,2,0)</f>
        <v>25.48</v>
      </c>
      <c r="AB23">
        <f>VLOOKUP(A23,CVS!A$2:G$55,2,0)</f>
        <v>77.31</v>
      </c>
      <c r="AC23">
        <f>VLOOKUP(A23,CVX!A$2:G$55,2,0)</f>
        <v>131.72999999999999</v>
      </c>
      <c r="AD23">
        <f>VLOOKUP(A23,DD!A$2:G$55,2,0)</f>
        <v>64.95</v>
      </c>
      <c r="AE23">
        <f>VLOOKUP(A23,DIS!A$2:G$55,2,0)</f>
        <v>86.59</v>
      </c>
      <c r="AF23">
        <f>VLOOKUP(A23,DOW!A$2:G$55,2,0)</f>
        <v>52.12</v>
      </c>
      <c r="AG23">
        <f>VLOOKUP(A23,DVN!A$2:G$55,2,0)</f>
        <v>77</v>
      </c>
      <c r="AH23">
        <f>VLOOKUP(A23,EBAY!A$2:G$55,2,0)</f>
        <v>52.94</v>
      </c>
      <c r="AI23">
        <f>VLOOKUP(A23,EMC!A$2:G$55,2,0)</f>
        <v>29.53</v>
      </c>
      <c r="AJ23">
        <f>VLOOKUP(A23,EMR!A$2:G$55,2,0)</f>
        <v>64.819999999999993</v>
      </c>
      <c r="AK23">
        <f>VLOOKUP(A23,EXC!A$2:G$55,2,0)</f>
        <v>30.93</v>
      </c>
      <c r="AL23">
        <f>VLOOKUP(A23,F!A$2:G$55,2,0)</f>
        <v>17.3</v>
      </c>
      <c r="AM23">
        <f>VLOOKUP(A23,FB!A$2:G$55,2,0)</f>
        <v>74</v>
      </c>
      <c r="AN23">
        <f>VLOOKUP(A23,FCX!A$2:G$55,2,0)</f>
        <v>37.51</v>
      </c>
      <c r="AO23">
        <f>VLOOKUP(A23,FDX!A$2:G$55,2,0)</f>
        <v>148.07</v>
      </c>
      <c r="AP23">
        <f>VLOOKUP(A23,FOXA!A$2:G$55,2,0)</f>
        <v>31.89</v>
      </c>
      <c r="AQ23">
        <f>VLOOKUP(A23,GD!A$2:G$55,2,0)</f>
        <v>118.33</v>
      </c>
      <c r="AR23">
        <f>VLOOKUP(A23,GE!A$2:G$55,2,0)</f>
        <v>25.53</v>
      </c>
      <c r="AS23">
        <f>VLOOKUP(A23,GILD!A$2:G$55,2,0)</f>
        <v>93</v>
      </c>
      <c r="AT23">
        <f>VLOOKUP(A23,GM!A$2:G$55,2,0)</f>
        <v>34.15</v>
      </c>
      <c r="AU23">
        <f>VLOOKUP(A23,GOOG!A$2:G$55,2,0)</f>
        <v>580.6</v>
      </c>
      <c r="AV23">
        <f>VLOOKUP(A23,GOOGL!A$2:G$55,2,0)</f>
        <v>588.96</v>
      </c>
      <c r="AW23">
        <f>VLOOKUP(A23,GS!A$2:G$55,2,0)</f>
        <v>174.44</v>
      </c>
      <c r="AX23">
        <f>VLOOKUP(A23,HAL!A$2:G$55,2,0)</f>
        <v>70.25</v>
      </c>
      <c r="AY23">
        <f>VLOOKUP(A23,HD!A$2:G$55,2,0)</f>
        <v>81.09</v>
      </c>
      <c r="AZ23">
        <f>VLOOKUP(A23,HON!A$2:G$55,2,0)</f>
        <v>93.31</v>
      </c>
      <c r="BA23">
        <f>VLOOKUP(A23,HPQ!A$2:G$55,2,0)</f>
        <v>35.729999999999997</v>
      </c>
      <c r="BB23">
        <f>VLOOKUP(A23,IBM!A$2:G$55,2,0)</f>
        <v>192.84</v>
      </c>
      <c r="BC23">
        <f>VLOOKUP(A23,INTC!A$2:G$55,2,0)</f>
        <v>34.090000000000003</v>
      </c>
      <c r="BD23">
        <f>VLOOKUP(A23,JNJ!A$2:G$55,2,0)</f>
        <v>101.77</v>
      </c>
      <c r="BE23">
        <f>VLOOKUP(A23,JPM!A$2:G$55,2,0)</f>
        <v>58.65</v>
      </c>
      <c r="BF23">
        <f>VLOOKUP(A23,KO!A$2:G$55,2,0)</f>
        <v>39.53</v>
      </c>
      <c r="BG23">
        <f>VLOOKUP(A23,LLY!A$2:G$55,2,0)</f>
        <v>61.97</v>
      </c>
      <c r="BH23">
        <f>VLOOKUP(A23,LMT!A$2:G$55,2,0)</f>
        <v>169.08</v>
      </c>
      <c r="BI23">
        <f>VLOOKUP(A23,LOW!A$2:G$55,2,0)</f>
        <v>48.18</v>
      </c>
      <c r="BJ23">
        <f>VLOOKUP(A23,MA!A$2:G$55,2,0)</f>
        <v>76.3</v>
      </c>
      <c r="BK23">
        <f>VLOOKUP(A23,MCD!A$2:G$55,2,0)</f>
        <v>95.22</v>
      </c>
      <c r="BL23">
        <f>VLOOKUP(A23,MDLZ!A$2:G$55,2,0)</f>
        <v>36.619999999999997</v>
      </c>
      <c r="BM23">
        <f>VLOOKUP(A23,MDT!A$2:G$55,2,0)</f>
        <v>62.29</v>
      </c>
      <c r="BN23">
        <f>VLOOKUP(A23,MET!A$2:G$55,2,0)</f>
        <v>53.78</v>
      </c>
      <c r="BO23">
        <f>VLOOKUP(A23,MMM!A$2:G$55,2,0)</f>
        <v>143.33000000000001</v>
      </c>
      <c r="BP23">
        <f>VLOOKUP(A23,MO!A$2:G$55,2,0)</f>
        <v>40.93</v>
      </c>
      <c r="BQ23">
        <f>VLOOKUP(A23,MON!A$2:G$55,2,0)</f>
        <v>113.79</v>
      </c>
      <c r="BR23">
        <f>VLOOKUP(A23,MRK!A$2:G$55,2,0)</f>
        <v>57.76</v>
      </c>
      <c r="BS23">
        <f>VLOOKUP(A23,MS!A$2:G$55,2,0)</f>
        <v>33.03</v>
      </c>
      <c r="BT23">
        <f>VLOOKUP(A23,MSFT!A$2:G$55,2,0)</f>
        <v>43.38</v>
      </c>
      <c r="BU23">
        <f>VLOOKUP(A23,NKE!A$2:G$55,2,0)</f>
        <v>78.66</v>
      </c>
      <c r="BV23">
        <f>VLOOKUP(A23,NOV!A$2:G$55,2,0)</f>
        <v>81.3</v>
      </c>
      <c r="BW23">
        <f>VLOOKUP(A23,NSC!A$2:G$55,2,0)</f>
        <v>103.46</v>
      </c>
      <c r="BX23">
        <f>VLOOKUP(A23,ORCL!A$2:G$55,2,0)</f>
        <v>40.65</v>
      </c>
      <c r="BY23">
        <f>VLOOKUP(A23,OXY!A$2:G$55,2,0)</f>
        <v>98.83</v>
      </c>
      <c r="BZ23">
        <f>VLOOKUP(A23,PEP!A$2:G$55,2,0)</f>
        <v>88.24</v>
      </c>
      <c r="CA23">
        <f>VLOOKUP(A23,PFE!A$2:G$55,2,0)</f>
        <v>29.26</v>
      </c>
      <c r="CB23">
        <f>VLOOKUP(A23,PG!A$2:G$55,2,0)</f>
        <v>77.760000000000005</v>
      </c>
      <c r="CC23">
        <f>VLOOKUP(A23,PM!A$2:G$55,2,0)</f>
        <v>82.96</v>
      </c>
      <c r="CD23">
        <f>VLOOKUP(A23,QCOM!A$2:G$55,2,0)</f>
        <v>75.39</v>
      </c>
      <c r="CE23">
        <f>VLOOKUP(A23,RTN!A$2:G$55,2,0)</f>
        <v>92.02</v>
      </c>
      <c r="CF23">
        <f>VLOOKUP(A23,SBUX!A$2:G$55,2,0)</f>
        <v>78.52</v>
      </c>
      <c r="CG23">
        <f>VLOOKUP(A23,SLB!A$2:G$55,2,0)</f>
        <v>109.58</v>
      </c>
      <c r="CH23">
        <f>VLOOKUP(A23,SO!A$2:G$55,2,0)</f>
        <v>43.89</v>
      </c>
      <c r="CI23">
        <f>VLOOKUP(A23,SPG!A$2:G$55,2,0)</f>
        <v>169.24</v>
      </c>
      <c r="CJ23">
        <f>VLOOKUP(A23,T!A$2:G$55,2,0)</f>
        <v>36.049999999999997</v>
      </c>
      <c r="CK23">
        <f>VLOOKUP(A23,TGT!A$2:G$55,2,0)</f>
        <v>61</v>
      </c>
      <c r="CL23">
        <f>VLOOKUP(A23,TWX!A$2:G$55,2,0)</f>
        <v>84.33</v>
      </c>
      <c r="CM23">
        <f>VLOOKUP(A23,TXN!A$2:G$55,2,0)</f>
        <v>46.84</v>
      </c>
      <c r="CN23">
        <f>VLOOKUP(A23,UNH!A$2:G$55,2,0)</f>
        <v>81.77</v>
      </c>
      <c r="CO23">
        <f>VLOOKUP(A23,UNP!A$2:G$55,2,0)</f>
        <v>99.05</v>
      </c>
      <c r="CP23">
        <f>VLOOKUP(A23,UPS!A$2:G$55,2,0)</f>
        <v>98.42</v>
      </c>
      <c r="CQ23">
        <f>VLOOKUP(A23,USB!A$2:G$55,2,0)</f>
        <v>42.64</v>
      </c>
      <c r="CR23">
        <f>VLOOKUP(A23,UTX!A$2:G$55,2,0)</f>
        <v>105.7</v>
      </c>
      <c r="CS23">
        <f>VLOOKUP(A23,V!A$2:G$55,2,0)</f>
        <v>213.27</v>
      </c>
      <c r="CT23">
        <f>VLOOKUP(A23,VZ!A$2:G$55,2,0)</f>
        <v>51.26</v>
      </c>
      <c r="CU23">
        <f>VLOOKUP(A23,WAG!A$2:G$55,2,0)</f>
        <v>70.42</v>
      </c>
      <c r="CV23">
        <f>VLOOKUP(A23,WFC!A$2:G$55,2,0)</f>
        <v>51.86</v>
      </c>
      <c r="CW23">
        <f>VLOOKUP(A23,WMT!A$2:G$55,2,0)</f>
        <v>73.989999999999995</v>
      </c>
    </row>
    <row r="24" spans="1:101" x14ac:dyDescent="0.25">
      <c r="A24" s="34">
        <v>41852</v>
      </c>
      <c r="B24" s="36">
        <v>94.9</v>
      </c>
      <c r="C24">
        <f>VLOOKUP(A24,ABBV!A$2:G$55,2,0)</f>
        <v>52.03</v>
      </c>
      <c r="D24">
        <f>VLOOKUP(A24,ABT!A$2:G$55,2,0)</f>
        <v>42</v>
      </c>
      <c r="E24">
        <f>VLOOKUP(A24,ACN!A$2:G$55,2,0)</f>
        <v>78.849999999999994</v>
      </c>
      <c r="F24">
        <f>VLOOKUP(A24,AIG!A$2:G$55,2,0)</f>
        <v>51.82</v>
      </c>
      <c r="G24">
        <f>VLOOKUP(A24,ALL!A$2:G$55,2,0)</f>
        <v>58.5</v>
      </c>
      <c r="H24">
        <f>VLOOKUP(A24,AMGN!A$2:G$55,2,0)</f>
        <v>126.17</v>
      </c>
      <c r="I24">
        <f>VLOOKUP(A24,AMZN!A$2:G$55,2,0)</f>
        <v>313.69</v>
      </c>
      <c r="J24">
        <f>VLOOKUP(A24,APA!A$2:G$55,2,0)</f>
        <v>102.35</v>
      </c>
      <c r="K24">
        <f>VLOOKUP(A24,APC!A$2:G$55,2,0)</f>
        <v>105.87</v>
      </c>
      <c r="L24">
        <f>VLOOKUP(A24,AXP!A$2:G$55,2,0)</f>
        <v>87.41</v>
      </c>
      <c r="M24">
        <f>VLOOKUP(A24,BA!A$2:G$55,2,0)</f>
        <v>120.45</v>
      </c>
      <c r="N24">
        <f>VLOOKUP(A24,BAC!A$2:G$55,2,0)</f>
        <v>15.18</v>
      </c>
      <c r="O24">
        <f>VLOOKUP(A24,BAX!A$2:G$55,2,0)</f>
        <v>74.66</v>
      </c>
      <c r="P24">
        <f>VLOOKUP(A24,BIIB!A$2:G$55,2,0)</f>
        <v>332.93</v>
      </c>
      <c r="Q24">
        <f>VLOOKUP(A24,BK!A$2:G$55,2,0)</f>
        <v>39</v>
      </c>
      <c r="R24">
        <f>VLOOKUP(A24,BMY!A$2:G$55,2,0)</f>
        <v>50.79</v>
      </c>
      <c r="T24">
        <f>VLOOKUP(A24,'C'!A$2:G$55,2,0)</f>
        <v>48.59</v>
      </c>
      <c r="U24">
        <f>VLOOKUP(A24,CAT!A$2:G$55,2,0)</f>
        <v>100.52</v>
      </c>
      <c r="V24">
        <f>VLOOKUP(A24,CL!A$2:G$55,2,0)</f>
        <v>63.06</v>
      </c>
      <c r="W24">
        <f>VLOOKUP(A24,CMCSA!A$2:G$55,2,0)</f>
        <v>53.54</v>
      </c>
      <c r="X24">
        <f>VLOOKUP(A24,COF!A$2:G$55,2,0)</f>
        <v>79.040000000000006</v>
      </c>
      <c r="Y24">
        <f>VLOOKUP(A24,COP!A$2:G$55,2,0)</f>
        <v>81.91</v>
      </c>
      <c r="Z24">
        <f>VLOOKUP(A24,COST!A$2:G$55,2,0)</f>
        <v>117.8</v>
      </c>
      <c r="AA24">
        <f>VLOOKUP(A24,CSCO!A$2:G$55,2,0)</f>
        <v>25.14</v>
      </c>
      <c r="AB24">
        <f>VLOOKUP(A24,CVS!A$2:G$55,2,0)</f>
        <v>76.2</v>
      </c>
      <c r="AC24">
        <f>VLOOKUP(A24,CVX!A$2:G$55,2,0)</f>
        <v>127.76</v>
      </c>
      <c r="AD24">
        <f>VLOOKUP(A24,DD!A$2:G$55,2,0)</f>
        <v>63.98</v>
      </c>
      <c r="AE24">
        <f>VLOOKUP(A24,DIS!A$2:G$55,2,0)</f>
        <v>85.39</v>
      </c>
      <c r="AF24">
        <f>VLOOKUP(A24,DOW!A$2:G$55,2,0)</f>
        <v>51.2</v>
      </c>
      <c r="AG24">
        <f>VLOOKUP(A24,DVN!A$2:G$55,2,0)</f>
        <v>75.11</v>
      </c>
      <c r="AH24">
        <f>VLOOKUP(A24,EBAY!A$2:G$55,2,0)</f>
        <v>52.78</v>
      </c>
      <c r="AI24">
        <f>VLOOKUP(A24,EMC!A$2:G$55,2,0)</f>
        <v>29.08</v>
      </c>
      <c r="AJ24">
        <f>VLOOKUP(A24,EMR!A$2:G$55,2,0)</f>
        <v>63.27</v>
      </c>
      <c r="AK24">
        <f>VLOOKUP(A24,EXC!A$2:G$55,2,0)</f>
        <v>31.14</v>
      </c>
      <c r="AL24">
        <f>VLOOKUP(A24,F!A$2:G$55,2,0)</f>
        <v>17.05</v>
      </c>
      <c r="AM24">
        <f>VLOOKUP(A24,FB!A$2:G$55,2,0)</f>
        <v>72.22</v>
      </c>
      <c r="AN24">
        <f>VLOOKUP(A24,FCX!A$2:G$55,2,0)</f>
        <v>37.119999999999997</v>
      </c>
      <c r="AO24">
        <f>VLOOKUP(A24,FDX!A$2:G$55,2,0)</f>
        <v>146.63</v>
      </c>
      <c r="AP24">
        <f>VLOOKUP(A24,FOXA!A$2:G$55,2,0)</f>
        <v>31.71</v>
      </c>
      <c r="AQ24">
        <f>VLOOKUP(A24,GD!A$2:G$55,2,0)</f>
        <v>116.42</v>
      </c>
      <c r="AR24">
        <f>VLOOKUP(A24,GE!A$2:G$55,2,0)</f>
        <v>25.07</v>
      </c>
      <c r="AS24">
        <f>VLOOKUP(A24,GILD!A$2:G$55,2,0)</f>
        <v>91</v>
      </c>
      <c r="AT24">
        <f>VLOOKUP(A24,GM!A$2:G$55,2,0)</f>
        <v>33.79</v>
      </c>
      <c r="AU24">
        <f>VLOOKUP(A24,GOOG!A$2:G$55,2,0)</f>
        <v>570.4</v>
      </c>
      <c r="AV24">
        <f>VLOOKUP(A24,GOOGL!A$2:G$55,2,0)</f>
        <v>578.54999999999995</v>
      </c>
      <c r="AW24">
        <f>VLOOKUP(A24,GS!A$2:G$55,2,0)</f>
        <v>172.38</v>
      </c>
      <c r="AX24">
        <f>VLOOKUP(A24,HAL!A$2:G$55,2,0)</f>
        <v>68.569999999999993</v>
      </c>
      <c r="AY24">
        <f>VLOOKUP(A24,HD!A$2:G$55,2,0)</f>
        <v>80.56</v>
      </c>
      <c r="AZ24">
        <f>VLOOKUP(A24,HON!A$2:G$55,2,0)</f>
        <v>91.75</v>
      </c>
      <c r="BA24">
        <f>VLOOKUP(A24,HPQ!A$2:G$55,2,0)</f>
        <v>35.33</v>
      </c>
      <c r="BB24">
        <f>VLOOKUP(A24,IBM!A$2:G$55,2,0)</f>
        <v>190.5</v>
      </c>
      <c r="BC24">
        <f>VLOOKUP(A24,INTC!A$2:G$55,2,0)</f>
        <v>33.75</v>
      </c>
      <c r="BD24">
        <f>VLOOKUP(A24,JNJ!A$2:G$55,2,0)</f>
        <v>99.76</v>
      </c>
      <c r="BE24">
        <f>VLOOKUP(A24,JPM!A$2:G$55,2,0)</f>
        <v>57.39</v>
      </c>
      <c r="BF24">
        <f>VLOOKUP(A24,KO!A$2:G$55,2,0)</f>
        <v>39.130000000000003</v>
      </c>
      <c r="BG24">
        <f>VLOOKUP(A24,LLY!A$2:G$55,2,0)</f>
        <v>61.01</v>
      </c>
      <c r="BH24">
        <f>VLOOKUP(A24,LMT!A$2:G$55,2,0)</f>
        <v>166.72</v>
      </c>
      <c r="BI24">
        <f>VLOOKUP(A24,LOW!A$2:G$55,2,0)</f>
        <v>47.89</v>
      </c>
      <c r="BJ24">
        <f>VLOOKUP(A24,MA!A$2:G$55,2,0)</f>
        <v>73.84</v>
      </c>
      <c r="BK24">
        <f>VLOOKUP(A24,MCD!A$2:G$55,2,0)</f>
        <v>94.3</v>
      </c>
      <c r="BL24">
        <f>VLOOKUP(A24,MDLZ!A$2:G$55,2,0)</f>
        <v>36.229999999999997</v>
      </c>
      <c r="BM24">
        <f>VLOOKUP(A24,MDT!A$2:G$55,2,0)</f>
        <v>61.34</v>
      </c>
      <c r="BN24">
        <f>VLOOKUP(A24,MET!A$2:G$55,2,0)</f>
        <v>52.3</v>
      </c>
      <c r="BO24">
        <f>VLOOKUP(A24,MMM!A$2:G$55,2,0)</f>
        <v>140.15</v>
      </c>
      <c r="BP24">
        <f>VLOOKUP(A24,MO!A$2:G$55,2,0)</f>
        <v>40.369999999999997</v>
      </c>
      <c r="BQ24">
        <f>VLOOKUP(A24,MON!A$2:G$55,2,0)</f>
        <v>112.17</v>
      </c>
      <c r="BR24">
        <f>VLOOKUP(A24,MRK!A$2:G$55,2,0)</f>
        <v>56.58</v>
      </c>
      <c r="BS24">
        <f>VLOOKUP(A24,MS!A$2:G$55,2,0)</f>
        <v>32.18</v>
      </c>
      <c r="BT24">
        <f>VLOOKUP(A24,MSFT!A$2:G$55,2,0)</f>
        <v>43.21</v>
      </c>
      <c r="BU24">
        <f>VLOOKUP(A24,NKE!A$2:G$55,2,0)</f>
        <v>76.540000000000006</v>
      </c>
      <c r="BV24">
        <f>VLOOKUP(A24,NOV!A$2:G$55,2,0)</f>
        <v>80.53</v>
      </c>
      <c r="BW24">
        <f>VLOOKUP(A24,NSC!A$2:G$55,2,0)</f>
        <v>101.54</v>
      </c>
      <c r="BX24">
        <f>VLOOKUP(A24,ORCL!A$2:G$55,2,0)</f>
        <v>40.19</v>
      </c>
      <c r="BY24">
        <f>VLOOKUP(A24,OXY!A$2:G$55,2,0)</f>
        <v>97.64</v>
      </c>
      <c r="BZ24">
        <f>VLOOKUP(A24,PEP!A$2:G$55,2,0)</f>
        <v>87.71</v>
      </c>
      <c r="CA24">
        <f>VLOOKUP(A24,PFE!A$2:G$55,2,0)</f>
        <v>28.7</v>
      </c>
      <c r="CB24">
        <f>VLOOKUP(A24,PG!A$2:G$55,2,0)</f>
        <v>79.25</v>
      </c>
      <c r="CC24">
        <f>VLOOKUP(A24,PM!A$2:G$55,2,0)</f>
        <v>82</v>
      </c>
      <c r="CD24">
        <f>VLOOKUP(A24,QCOM!A$2:G$55,2,0)</f>
        <v>73.67</v>
      </c>
      <c r="CE24">
        <f>VLOOKUP(A24,RTN!A$2:G$55,2,0)</f>
        <v>90.87</v>
      </c>
      <c r="CF24">
        <f>VLOOKUP(A24,SBUX!A$2:G$55,2,0)</f>
        <v>77.5</v>
      </c>
      <c r="CG24">
        <f>VLOOKUP(A24,SLB!A$2:G$55,2,0)</f>
        <v>107.86</v>
      </c>
      <c r="CH24">
        <f>VLOOKUP(A24,SO!A$2:G$55,2,0)</f>
        <v>43.34</v>
      </c>
      <c r="CI24">
        <f>VLOOKUP(A24,SPG!A$2:G$55,2,0)</f>
        <v>166.13</v>
      </c>
      <c r="CJ24">
        <f>VLOOKUP(A24,T!A$2:G$55,2,0)</f>
        <v>35.78</v>
      </c>
      <c r="CK24">
        <f>VLOOKUP(A24,TGT!A$2:G$55,2,0)</f>
        <v>59.32</v>
      </c>
      <c r="CL24">
        <f>VLOOKUP(A24,TWX!A$2:G$55,2,0)</f>
        <v>83</v>
      </c>
      <c r="CM24">
        <f>VLOOKUP(A24,TXN!A$2:G$55,2,0)</f>
        <v>46.27</v>
      </c>
      <c r="CN24">
        <f>VLOOKUP(A24,UNH!A$2:G$55,2,0)</f>
        <v>81.14</v>
      </c>
      <c r="CO24">
        <f>VLOOKUP(A24,UNP!A$2:G$55,2,0)</f>
        <v>98.22</v>
      </c>
      <c r="CP24">
        <f>VLOOKUP(A24,UPS!A$2:G$55,2,0)</f>
        <v>96.67</v>
      </c>
      <c r="CQ24">
        <f>VLOOKUP(A24,USB!A$2:G$55,2,0)</f>
        <v>41.85</v>
      </c>
      <c r="CR24">
        <f>VLOOKUP(A24,UTX!A$2:G$55,2,0)</f>
        <v>104.92</v>
      </c>
      <c r="CS24">
        <f>VLOOKUP(A24,V!A$2:G$55,2,0)</f>
        <v>209.87</v>
      </c>
      <c r="CT24">
        <f>VLOOKUP(A24,VZ!A$2:G$55,2,0)</f>
        <v>50.52</v>
      </c>
      <c r="CU24">
        <f>VLOOKUP(A24,WAG!A$2:G$55,2,0)</f>
        <v>68</v>
      </c>
      <c r="CV24">
        <f>VLOOKUP(A24,WFC!A$2:G$55,2,0)</f>
        <v>50.5</v>
      </c>
      <c r="CW24">
        <f>VLOOKUP(A24,WMT!A$2:G$55,2,0)</f>
        <v>73.319999999999993</v>
      </c>
    </row>
    <row r="25" spans="1:101" x14ac:dyDescent="0.25">
      <c r="A25" s="34">
        <v>41855</v>
      </c>
      <c r="B25" s="36">
        <v>96.37</v>
      </c>
      <c r="C25">
        <f>VLOOKUP(A25,ABBV!A$2:G$55,2,0)</f>
        <v>52.58</v>
      </c>
      <c r="D25">
        <f>VLOOKUP(A25,ABT!A$2:G$55,2,0)</f>
        <v>42.12</v>
      </c>
      <c r="E25">
        <f>VLOOKUP(A25,ACN!A$2:G$55,2,0)</f>
        <v>78.97</v>
      </c>
      <c r="F25">
        <f>VLOOKUP(A25,AIG!A$2:G$55,2,0)</f>
        <v>52.5</v>
      </c>
      <c r="G25">
        <f>VLOOKUP(A25,ALL!A$2:G$55,2,0)</f>
        <v>58.35</v>
      </c>
      <c r="H25">
        <f>VLOOKUP(A25,AMGN!A$2:G$55,2,0)</f>
        <v>129</v>
      </c>
      <c r="I25">
        <f>VLOOKUP(A25,AMZN!A$2:G$55,2,0)</f>
        <v>308.83999999999997</v>
      </c>
      <c r="J25">
        <f>VLOOKUP(A25,APA!A$2:G$55,2,0)</f>
        <v>99.88</v>
      </c>
      <c r="K25">
        <f>VLOOKUP(A25,APC!A$2:G$55,2,0)</f>
        <v>106.6</v>
      </c>
      <c r="L25">
        <f>VLOOKUP(A25,AXP!A$2:G$55,2,0)</f>
        <v>86.6</v>
      </c>
      <c r="M25">
        <f>VLOOKUP(A25,BA!A$2:G$55,2,0)</f>
        <v>120.8</v>
      </c>
      <c r="N25">
        <f>VLOOKUP(A25,BAC!A$2:G$55,2,0)</f>
        <v>15.07</v>
      </c>
      <c r="O25">
        <f>VLOOKUP(A25,BAX!A$2:G$55,2,0)</f>
        <v>74.63</v>
      </c>
      <c r="P25">
        <f>VLOOKUP(A25,BIIB!A$2:G$55,2,0)</f>
        <v>330.08</v>
      </c>
      <c r="Q25">
        <f>VLOOKUP(A25,BK!A$2:G$55,2,0)</f>
        <v>38.9</v>
      </c>
      <c r="R25">
        <f>VLOOKUP(A25,BMY!A$2:G$55,2,0)</f>
        <v>49.82</v>
      </c>
      <c r="T25">
        <f>VLOOKUP(A25,'C'!A$2:G$55,2,0)</f>
        <v>48.45</v>
      </c>
      <c r="U25">
        <f>VLOOKUP(A25,CAT!A$2:G$55,2,0)</f>
        <v>100.36</v>
      </c>
      <c r="V25">
        <f>VLOOKUP(A25,CL!A$2:G$55,2,0)</f>
        <v>63.88</v>
      </c>
      <c r="W25">
        <f>VLOOKUP(A25,CMCSA!A$2:G$55,2,0)</f>
        <v>53.4</v>
      </c>
      <c r="X25">
        <f>VLOOKUP(A25,COF!A$2:G$55,2,0)</f>
        <v>79.8</v>
      </c>
      <c r="Y25">
        <f>VLOOKUP(A25,COP!A$2:G$55,2,0)</f>
        <v>80.760000000000005</v>
      </c>
      <c r="Z25">
        <f>VLOOKUP(A25,COST!A$2:G$55,2,0)</f>
        <v>117.55</v>
      </c>
      <c r="AA25">
        <f>VLOOKUP(A25,CSCO!A$2:G$55,2,0)</f>
        <v>24.94</v>
      </c>
      <c r="AB25">
        <f>VLOOKUP(A25,CVS!A$2:G$55,2,0)</f>
        <v>76.52</v>
      </c>
      <c r="AC25">
        <f>VLOOKUP(A25,CVX!A$2:G$55,2,0)</f>
        <v>127.69</v>
      </c>
      <c r="AD25">
        <f>VLOOKUP(A25,DD!A$2:G$55,2,0)</f>
        <v>64.17</v>
      </c>
      <c r="AE25">
        <f>VLOOKUP(A25,DIS!A$2:G$55,2,0)</f>
        <v>86.17</v>
      </c>
      <c r="AF25">
        <f>VLOOKUP(A25,DOW!A$2:G$55,2,0)</f>
        <v>51.19</v>
      </c>
      <c r="AG25">
        <f>VLOOKUP(A25,DVN!A$2:G$55,2,0)</f>
        <v>75.31</v>
      </c>
      <c r="AH25">
        <f>VLOOKUP(A25,EBAY!A$2:G$55,2,0)</f>
        <v>52.41</v>
      </c>
      <c r="AI25">
        <f>VLOOKUP(A25,EMC!A$2:G$55,2,0)</f>
        <v>29.12</v>
      </c>
      <c r="AJ25">
        <f>VLOOKUP(A25,EMR!A$2:G$55,2,0)</f>
        <v>63.42</v>
      </c>
      <c r="AK25">
        <f>VLOOKUP(A25,EXC!A$2:G$55,2,0)</f>
        <v>31.52</v>
      </c>
      <c r="AL25">
        <f>VLOOKUP(A25,F!A$2:G$55,2,0)</f>
        <v>16.96</v>
      </c>
      <c r="AM25">
        <f>VLOOKUP(A25,FB!A$2:G$55,2,0)</f>
        <v>72.36</v>
      </c>
      <c r="AN25">
        <f>VLOOKUP(A25,FCX!A$2:G$55,2,0)</f>
        <v>37.03</v>
      </c>
      <c r="AO25">
        <f>VLOOKUP(A25,FDX!A$2:G$55,2,0)</f>
        <v>147.31</v>
      </c>
      <c r="AP25">
        <f>VLOOKUP(A25,FOXA!A$2:G$55,2,0)</f>
        <v>31.92</v>
      </c>
      <c r="AQ25">
        <f>VLOOKUP(A25,GD!A$2:G$55,2,0)</f>
        <v>117.38</v>
      </c>
      <c r="AR25">
        <f>VLOOKUP(A25,GE!A$2:G$55,2,0)</f>
        <v>25.33</v>
      </c>
      <c r="AS25">
        <f>VLOOKUP(A25,GILD!A$2:G$55,2,0)</f>
        <v>92</v>
      </c>
      <c r="AT25">
        <f>VLOOKUP(A25,GM!A$2:G$55,2,0)</f>
        <v>33.76</v>
      </c>
      <c r="AU25">
        <f>VLOOKUP(A25,GOOG!A$2:G$55,2,0)</f>
        <v>569.04</v>
      </c>
      <c r="AV25">
        <f>VLOOKUP(A25,GOOGL!A$2:G$55,2,0)</f>
        <v>576.51</v>
      </c>
      <c r="AW25">
        <f>VLOOKUP(A25,GS!A$2:G$55,2,0)</f>
        <v>170.57</v>
      </c>
      <c r="AX25">
        <f>VLOOKUP(A25,HAL!A$2:G$55,2,0)</f>
        <v>69.02</v>
      </c>
      <c r="AY25">
        <f>VLOOKUP(A25,HD!A$2:G$55,2,0)</f>
        <v>79.7</v>
      </c>
      <c r="AZ25">
        <f>VLOOKUP(A25,HON!A$2:G$55,2,0)</f>
        <v>92.86</v>
      </c>
      <c r="BA25">
        <f>VLOOKUP(A25,HPQ!A$2:G$55,2,0)</f>
        <v>35.28</v>
      </c>
      <c r="BB25">
        <f>VLOOKUP(A25,IBM!A$2:G$55,2,0)</f>
        <v>189.35</v>
      </c>
      <c r="BC25">
        <f>VLOOKUP(A25,INTC!A$2:G$55,2,0)</f>
        <v>33.79</v>
      </c>
      <c r="BD25">
        <f>VLOOKUP(A25,JNJ!A$2:G$55,2,0)</f>
        <v>99.99</v>
      </c>
      <c r="BE25">
        <f>VLOOKUP(A25,JPM!A$2:G$55,2,0)</f>
        <v>56.91</v>
      </c>
      <c r="BF25">
        <f>VLOOKUP(A25,KO!A$2:G$55,2,0)</f>
        <v>39.409999999999997</v>
      </c>
      <c r="BG25">
        <f>VLOOKUP(A25,LLY!A$2:G$55,2,0)</f>
        <v>61</v>
      </c>
      <c r="BH25">
        <f>VLOOKUP(A25,LMT!A$2:G$55,2,0)</f>
        <v>167.56</v>
      </c>
      <c r="BI25">
        <f>VLOOKUP(A25,LOW!A$2:G$55,2,0)</f>
        <v>47.61</v>
      </c>
      <c r="BJ25">
        <f>VLOOKUP(A25,MA!A$2:G$55,2,0)</f>
        <v>75.39</v>
      </c>
      <c r="BK25">
        <f>VLOOKUP(A25,MCD!A$2:G$55,2,0)</f>
        <v>94.3</v>
      </c>
      <c r="BL25">
        <f>VLOOKUP(A25,MDLZ!A$2:G$55,2,0)</f>
        <v>36.22</v>
      </c>
      <c r="BM25">
        <f>VLOOKUP(A25,MDT!A$2:G$55,2,0)</f>
        <v>61.66</v>
      </c>
      <c r="BN25">
        <f>VLOOKUP(A25,MET!A$2:G$55,2,0)</f>
        <v>52.32</v>
      </c>
      <c r="BO25">
        <f>VLOOKUP(A25,MMM!A$2:G$55,2,0)</f>
        <v>140.15</v>
      </c>
      <c r="BP25">
        <f>VLOOKUP(A25,MO!A$2:G$55,2,0)</f>
        <v>40.47</v>
      </c>
      <c r="BQ25">
        <f>VLOOKUP(A25,MON!A$2:G$55,2,0)</f>
        <v>113.77</v>
      </c>
      <c r="BR25">
        <f>VLOOKUP(A25,MRK!A$2:G$55,2,0)</f>
        <v>56.95</v>
      </c>
      <c r="BS25">
        <f>VLOOKUP(A25,MS!A$2:G$55,2,0)</f>
        <v>31.77</v>
      </c>
      <c r="BT25">
        <f>VLOOKUP(A25,MSFT!A$2:G$55,2,0)</f>
        <v>42.97</v>
      </c>
      <c r="BU25">
        <f>VLOOKUP(A25,NKE!A$2:G$55,2,0)</f>
        <v>76.88</v>
      </c>
      <c r="BV25">
        <f>VLOOKUP(A25,NOV!A$2:G$55,2,0)</f>
        <v>81.09</v>
      </c>
      <c r="BW25">
        <f>VLOOKUP(A25,NSC!A$2:G$55,2,0)</f>
        <v>101.21</v>
      </c>
      <c r="BX25">
        <f>VLOOKUP(A25,ORCL!A$2:G$55,2,0)</f>
        <v>39.630000000000003</v>
      </c>
      <c r="BY25">
        <f>VLOOKUP(A25,OXY!A$2:G$55,2,0)</f>
        <v>98.76</v>
      </c>
      <c r="BZ25">
        <f>VLOOKUP(A25,PEP!A$2:G$55,2,0)</f>
        <v>88.33</v>
      </c>
      <c r="CA25">
        <f>VLOOKUP(A25,PFE!A$2:G$55,2,0)</f>
        <v>28.95</v>
      </c>
      <c r="CB25">
        <f>VLOOKUP(A25,PG!A$2:G$55,2,0)</f>
        <v>79.459999999999994</v>
      </c>
      <c r="CC25">
        <f>VLOOKUP(A25,PM!A$2:G$55,2,0)</f>
        <v>81.8</v>
      </c>
      <c r="CD25">
        <f>VLOOKUP(A25,QCOM!A$2:G$55,2,0)</f>
        <v>72.87</v>
      </c>
      <c r="CE25">
        <f>VLOOKUP(A25,RTN!A$2:G$55,2,0)</f>
        <v>91.79</v>
      </c>
      <c r="CF25">
        <f>VLOOKUP(A25,SBUX!A$2:G$55,2,0)</f>
        <v>77.260000000000005</v>
      </c>
      <c r="CG25">
        <f>VLOOKUP(A25,SLB!A$2:G$55,2,0)</f>
        <v>108.04</v>
      </c>
      <c r="CH25">
        <f>VLOOKUP(A25,SO!A$2:G$55,2,0)</f>
        <v>43.38</v>
      </c>
      <c r="CI25">
        <f>VLOOKUP(A25,SPG!A$2:G$55,2,0)</f>
        <v>168.14</v>
      </c>
      <c r="CJ25">
        <f>VLOOKUP(A25,T!A$2:G$55,2,0)</f>
        <v>35.369999999999997</v>
      </c>
      <c r="CK25">
        <f>VLOOKUP(A25,TGT!A$2:G$55,2,0)</f>
        <v>60.17</v>
      </c>
      <c r="CL25">
        <f>VLOOKUP(A25,TWX!A$2:G$55,2,0)</f>
        <v>83.85</v>
      </c>
      <c r="CM25">
        <f>VLOOKUP(A25,TXN!A$2:G$55,2,0)</f>
        <v>46.2</v>
      </c>
      <c r="CN25">
        <f>VLOOKUP(A25,UNH!A$2:G$55,2,0)</f>
        <v>81.59</v>
      </c>
      <c r="CO25">
        <f>VLOOKUP(A25,UNP!A$2:G$55,2,0)</f>
        <v>98.12</v>
      </c>
      <c r="CP25">
        <f>VLOOKUP(A25,UPS!A$2:G$55,2,0)</f>
        <v>97.25</v>
      </c>
      <c r="CQ25">
        <f>VLOOKUP(A25,USB!A$2:G$55,2,0)</f>
        <v>41.48</v>
      </c>
      <c r="CR25">
        <f>VLOOKUP(A25,UTX!A$2:G$55,2,0)</f>
        <v>105.04</v>
      </c>
      <c r="CS25">
        <f>VLOOKUP(A25,V!A$2:G$55,2,0)</f>
        <v>212.85</v>
      </c>
      <c r="CT25">
        <f>VLOOKUP(A25,VZ!A$2:G$55,2,0)</f>
        <v>50.04</v>
      </c>
      <c r="CU25">
        <f>VLOOKUP(A25,WAG!A$2:G$55,2,0)</f>
        <v>71.03</v>
      </c>
      <c r="CV25">
        <f>VLOOKUP(A25,WFC!A$2:G$55,2,0)</f>
        <v>50.55</v>
      </c>
      <c r="CW25">
        <f>VLOOKUP(A25,WMT!A$2:G$55,2,0)</f>
        <v>73.38</v>
      </c>
    </row>
    <row r="26" spans="1:101" x14ac:dyDescent="0.25">
      <c r="A26" s="34">
        <v>41856</v>
      </c>
      <c r="B26" s="36">
        <v>95.36</v>
      </c>
      <c r="C26">
        <f>VLOOKUP(A26,ABBV!A$2:G$55,2,0)</f>
        <v>52.77</v>
      </c>
      <c r="D26">
        <f>VLOOKUP(A26,ABT!A$2:G$55,2,0)</f>
        <v>42.14</v>
      </c>
      <c r="E26">
        <f>VLOOKUP(A26,ACN!A$2:G$55,2,0)</f>
        <v>78.959999999999994</v>
      </c>
      <c r="F26">
        <f>VLOOKUP(A26,AIG!A$2:G$55,2,0)</f>
        <v>53.53</v>
      </c>
      <c r="G26">
        <f>VLOOKUP(A26,ALL!A$2:G$55,2,0)</f>
        <v>58.92</v>
      </c>
      <c r="H26">
        <f>VLOOKUP(A26,AMGN!A$2:G$55,2,0)</f>
        <v>127.51</v>
      </c>
      <c r="I26">
        <f>VLOOKUP(A26,AMZN!A$2:G$55,2,0)</f>
        <v>313.3</v>
      </c>
      <c r="J26">
        <f>VLOOKUP(A26,APA!A$2:G$55,2,0)</f>
        <v>101.71</v>
      </c>
      <c r="K26">
        <f>VLOOKUP(A26,APC!A$2:G$55,2,0)</f>
        <v>110.17</v>
      </c>
      <c r="L26">
        <f>VLOOKUP(A26,AXP!A$2:G$55,2,0)</f>
        <v>86.65</v>
      </c>
      <c r="M26">
        <f>VLOOKUP(A26,BA!A$2:G$55,2,0)</f>
        <v>119.67</v>
      </c>
      <c r="N26">
        <f>VLOOKUP(A26,BAC!A$2:G$55,2,0)</f>
        <v>15.01</v>
      </c>
      <c r="O26">
        <f>VLOOKUP(A26,BAX!A$2:G$55,2,0)</f>
        <v>75.08</v>
      </c>
      <c r="P26">
        <f>VLOOKUP(A26,BIIB!A$2:G$55,2,0)</f>
        <v>325.58</v>
      </c>
      <c r="Q26">
        <f>VLOOKUP(A26,BK!A$2:G$55,2,0)</f>
        <v>39.03</v>
      </c>
      <c r="R26">
        <f>VLOOKUP(A26,BMY!A$2:G$55,2,0)</f>
        <v>49.73</v>
      </c>
      <c r="T26">
        <f>VLOOKUP(A26,'C'!A$2:G$55,2,0)</f>
        <v>48.26</v>
      </c>
      <c r="U26">
        <f>VLOOKUP(A26,CAT!A$2:G$55,2,0)</f>
        <v>101.11</v>
      </c>
      <c r="V26">
        <f>VLOOKUP(A26,CL!A$2:G$55,2,0)</f>
        <v>63.5</v>
      </c>
      <c r="W26">
        <f>VLOOKUP(A26,CMCSA!A$2:G$55,2,0)</f>
        <v>53.86</v>
      </c>
      <c r="X26">
        <f>VLOOKUP(A26,COF!A$2:G$55,2,0)</f>
        <v>79.709999999999994</v>
      </c>
      <c r="Y26">
        <f>VLOOKUP(A26,COP!A$2:G$55,2,0)</f>
        <v>81.44</v>
      </c>
      <c r="Z26">
        <f>VLOOKUP(A26,COST!A$2:G$55,2,0)</f>
        <v>117.5</v>
      </c>
      <c r="AA26">
        <f>VLOOKUP(A26,CSCO!A$2:G$55,2,0)</f>
        <v>25.02</v>
      </c>
      <c r="AB26">
        <f>VLOOKUP(A26,CVS!A$2:G$55,2,0)</f>
        <v>78.010000000000005</v>
      </c>
      <c r="AC26">
        <f>VLOOKUP(A26,CVX!A$2:G$55,2,0)</f>
        <v>127.81</v>
      </c>
      <c r="AD26">
        <f>VLOOKUP(A26,DD!A$2:G$55,2,0)</f>
        <v>64.23</v>
      </c>
      <c r="AE26">
        <f>VLOOKUP(A26,DIS!A$2:G$55,2,0)</f>
        <v>87.14</v>
      </c>
      <c r="AF26">
        <f>VLOOKUP(A26,DOW!A$2:G$55,2,0)</f>
        <v>51.45</v>
      </c>
      <c r="AG26">
        <f>VLOOKUP(A26,DVN!A$2:G$55,2,0)</f>
        <v>76.23</v>
      </c>
      <c r="AH26">
        <f>VLOOKUP(A26,EBAY!A$2:G$55,2,0)</f>
        <v>53.01</v>
      </c>
      <c r="AI26">
        <f>VLOOKUP(A26,EMC!A$2:G$55,2,0)</f>
        <v>29.33</v>
      </c>
      <c r="AJ26">
        <f>VLOOKUP(A26,EMR!A$2:G$55,2,0)</f>
        <v>62.1</v>
      </c>
      <c r="AK26">
        <f>VLOOKUP(A26,EXC!A$2:G$55,2,0)</f>
        <v>31.28</v>
      </c>
      <c r="AL26">
        <f>VLOOKUP(A26,F!A$2:G$55,2,0)</f>
        <v>16.940000000000001</v>
      </c>
      <c r="AM26">
        <f>VLOOKUP(A26,FB!A$2:G$55,2,0)</f>
        <v>73.2</v>
      </c>
      <c r="AN26">
        <f>VLOOKUP(A26,FCX!A$2:G$55,2,0)</f>
        <v>36.9</v>
      </c>
      <c r="AO26">
        <f>VLOOKUP(A26,FDX!A$2:G$55,2,0)</f>
        <v>147.84</v>
      </c>
      <c r="AP26">
        <f>VLOOKUP(A26,FOXA!A$2:G$55,2,0)</f>
        <v>31.47</v>
      </c>
      <c r="AQ26">
        <f>VLOOKUP(A26,GD!A$2:G$55,2,0)</f>
        <v>117</v>
      </c>
      <c r="AR26">
        <f>VLOOKUP(A26,GE!A$2:G$55,2,0)</f>
        <v>25.1</v>
      </c>
      <c r="AS26">
        <f>VLOOKUP(A26,GILD!A$2:G$55,2,0)</f>
        <v>92.25</v>
      </c>
      <c r="AT26">
        <f>VLOOKUP(A26,GM!A$2:G$55,2,0)</f>
        <v>33.57</v>
      </c>
      <c r="AU26">
        <f>VLOOKUP(A26,GOOG!A$2:G$55,2,0)</f>
        <v>570.04999999999995</v>
      </c>
      <c r="AV26">
        <f>VLOOKUP(A26,GOOGL!A$2:G$55,2,0)</f>
        <v>579.38</v>
      </c>
      <c r="AW26">
        <f>VLOOKUP(A26,GS!A$2:G$55,2,0)</f>
        <v>171.3</v>
      </c>
      <c r="AX26">
        <f>VLOOKUP(A26,HAL!A$2:G$55,2,0)</f>
        <v>69.78</v>
      </c>
      <c r="AY26">
        <f>VLOOKUP(A26,HD!A$2:G$55,2,0)</f>
        <v>79.78</v>
      </c>
      <c r="AZ26">
        <f>VLOOKUP(A26,HON!A$2:G$55,2,0)</f>
        <v>90.86</v>
      </c>
      <c r="BA26">
        <f>VLOOKUP(A26,HPQ!A$2:G$55,2,0)</f>
        <v>35.11</v>
      </c>
      <c r="BB26">
        <f>VLOOKUP(A26,IBM!A$2:G$55,2,0)</f>
        <v>188.75</v>
      </c>
      <c r="BC26">
        <f>VLOOKUP(A26,INTC!A$2:G$55,2,0)</f>
        <v>33.76</v>
      </c>
      <c r="BD26">
        <f>VLOOKUP(A26,JNJ!A$2:G$55,2,0)</f>
        <v>99.83</v>
      </c>
      <c r="BE26">
        <f>VLOOKUP(A26,JPM!A$2:G$55,2,0)</f>
        <v>56.43</v>
      </c>
      <c r="BF26">
        <f>VLOOKUP(A26,KO!A$2:G$55,2,0)</f>
        <v>39.340000000000003</v>
      </c>
      <c r="BG26">
        <f>VLOOKUP(A26,LLY!A$2:G$55,2,0)</f>
        <v>61.5</v>
      </c>
      <c r="BH26">
        <f>VLOOKUP(A26,LMT!A$2:G$55,2,0)</f>
        <v>167.79</v>
      </c>
      <c r="BI26">
        <f>VLOOKUP(A26,LOW!A$2:G$55,2,0)</f>
        <v>47.76</v>
      </c>
      <c r="BJ26">
        <f>VLOOKUP(A26,MA!A$2:G$55,2,0)</f>
        <v>75.31</v>
      </c>
      <c r="BK26">
        <f>VLOOKUP(A26,MCD!A$2:G$55,2,0)</f>
        <v>94</v>
      </c>
      <c r="BL26">
        <f>VLOOKUP(A26,MDLZ!A$2:G$55,2,0)</f>
        <v>36.21</v>
      </c>
      <c r="BM26">
        <f>VLOOKUP(A26,MDT!A$2:G$55,2,0)</f>
        <v>62.31</v>
      </c>
      <c r="BN26">
        <f>VLOOKUP(A26,MET!A$2:G$55,2,0)</f>
        <v>52.04</v>
      </c>
      <c r="BO26">
        <f>VLOOKUP(A26,MMM!A$2:G$55,2,0)</f>
        <v>140.62</v>
      </c>
      <c r="BP26">
        <f>VLOOKUP(A26,MO!A$2:G$55,2,0)</f>
        <v>40.72</v>
      </c>
      <c r="BQ26">
        <f>VLOOKUP(A26,MON!A$2:G$55,2,0)</f>
        <v>114.22</v>
      </c>
      <c r="BR26">
        <f>VLOOKUP(A26,MRK!A$2:G$55,2,0)</f>
        <v>56.72</v>
      </c>
      <c r="BS26">
        <f>VLOOKUP(A26,MS!A$2:G$55,2,0)</f>
        <v>31.7</v>
      </c>
      <c r="BT26">
        <f>VLOOKUP(A26,MSFT!A$2:G$55,2,0)</f>
        <v>43.31</v>
      </c>
      <c r="BU26">
        <f>VLOOKUP(A26,NKE!A$2:G$55,2,0)</f>
        <v>76.760000000000005</v>
      </c>
      <c r="BV26">
        <f>VLOOKUP(A26,NOV!A$2:G$55,2,0)</f>
        <v>82.56</v>
      </c>
      <c r="BW26">
        <f>VLOOKUP(A26,NSC!A$2:G$55,2,0)</f>
        <v>100.63</v>
      </c>
      <c r="BX26">
        <f>VLOOKUP(A26,ORCL!A$2:G$55,2,0)</f>
        <v>40.01</v>
      </c>
      <c r="BY26">
        <f>VLOOKUP(A26,OXY!A$2:G$55,2,0)</f>
        <v>100.24</v>
      </c>
      <c r="BZ26">
        <f>VLOOKUP(A26,PEP!A$2:G$55,2,0)</f>
        <v>89.38</v>
      </c>
      <c r="CA26">
        <f>VLOOKUP(A26,PFE!A$2:G$55,2,0)</f>
        <v>28.58</v>
      </c>
      <c r="CB26">
        <f>VLOOKUP(A26,PG!A$2:G$55,2,0)</f>
        <v>78.989999999999995</v>
      </c>
      <c r="CC26">
        <f>VLOOKUP(A26,PM!A$2:G$55,2,0)</f>
        <v>81.849999999999994</v>
      </c>
      <c r="CD26">
        <f>VLOOKUP(A26,QCOM!A$2:G$55,2,0)</f>
        <v>73.2</v>
      </c>
      <c r="CE26">
        <f>VLOOKUP(A26,RTN!A$2:G$55,2,0)</f>
        <v>91.21</v>
      </c>
      <c r="CF26">
        <f>VLOOKUP(A26,SBUX!A$2:G$55,2,0)</f>
        <v>77.17</v>
      </c>
      <c r="CG26">
        <f>VLOOKUP(A26,SLB!A$2:G$55,2,0)</f>
        <v>108.89</v>
      </c>
      <c r="CH26">
        <f>VLOOKUP(A26,SO!A$2:G$55,2,0)</f>
        <v>42.94</v>
      </c>
      <c r="CI26">
        <f>VLOOKUP(A26,SPG!A$2:G$55,2,0)</f>
        <v>168.2</v>
      </c>
      <c r="CJ26">
        <f>VLOOKUP(A26,T!A$2:G$55,2,0)</f>
        <v>35.36</v>
      </c>
      <c r="CK26">
        <f>VLOOKUP(A26,TGT!A$2:G$55,2,0)</f>
        <v>58.45</v>
      </c>
      <c r="CL26">
        <f>VLOOKUP(A26,TWX!A$2:G$55,2,0)</f>
        <v>85.28</v>
      </c>
      <c r="CM26">
        <f>VLOOKUP(A26,TXN!A$2:G$55,2,0)</f>
        <v>46.46</v>
      </c>
      <c r="CN26">
        <f>VLOOKUP(A26,UNH!A$2:G$55,2,0)</f>
        <v>81.83</v>
      </c>
      <c r="CO26">
        <f>VLOOKUP(A26,UNP!A$2:G$55,2,0)</f>
        <v>97.87</v>
      </c>
      <c r="CP26">
        <f>VLOOKUP(A26,UPS!A$2:G$55,2,0)</f>
        <v>96.86</v>
      </c>
      <c r="CQ26">
        <f>VLOOKUP(A26,USB!A$2:G$55,2,0)</f>
        <v>41.42</v>
      </c>
      <c r="CR26">
        <f>VLOOKUP(A26,UTX!A$2:G$55,2,0)</f>
        <v>104.82</v>
      </c>
      <c r="CS26">
        <f>VLOOKUP(A26,V!A$2:G$55,2,0)</f>
        <v>211.5</v>
      </c>
      <c r="CT26">
        <f>VLOOKUP(A26,VZ!A$2:G$55,2,0)</f>
        <v>50.15</v>
      </c>
      <c r="CU26">
        <f>VLOOKUP(A26,WAG!A$2:G$55,2,0)</f>
        <v>71.900000000000006</v>
      </c>
      <c r="CV26">
        <f>VLOOKUP(A26,WFC!A$2:G$55,2,0)</f>
        <v>50.73</v>
      </c>
      <c r="CW26">
        <f>VLOOKUP(A26,WMT!A$2:G$55,2,0)</f>
        <v>73.31</v>
      </c>
    </row>
    <row r="27" spans="1:101" x14ac:dyDescent="0.25">
      <c r="A27" s="34">
        <v>41857</v>
      </c>
      <c r="B27" s="36">
        <v>94.75</v>
      </c>
      <c r="C27">
        <f>VLOOKUP(A27,ABBV!A$2:G$55,2,0)</f>
        <v>51.48</v>
      </c>
      <c r="D27">
        <f>VLOOKUP(A27,ABT!A$2:G$55,2,0)</f>
        <v>41.67</v>
      </c>
      <c r="E27">
        <f>VLOOKUP(A27,ACN!A$2:G$55,2,0)</f>
        <v>77.260000000000005</v>
      </c>
      <c r="F27">
        <f>VLOOKUP(A27,AIG!A$2:G$55,2,0)</f>
        <v>51.9</v>
      </c>
      <c r="G27">
        <f>VLOOKUP(A27,ALL!A$2:G$55,2,0)</f>
        <v>58.72</v>
      </c>
      <c r="H27">
        <f>VLOOKUP(A27,AMGN!A$2:G$55,2,0)</f>
        <v>127.26</v>
      </c>
      <c r="I27">
        <f>VLOOKUP(A27,AMZN!A$2:G$55,2,0)</f>
        <v>310.83</v>
      </c>
      <c r="J27">
        <f>VLOOKUP(A27,APA!A$2:G$55,2,0)</f>
        <v>98.91</v>
      </c>
      <c r="K27">
        <f>VLOOKUP(A27,APC!A$2:G$55,2,0)</f>
        <v>107.79</v>
      </c>
      <c r="L27">
        <f>VLOOKUP(A27,AXP!A$2:G$55,2,0)</f>
        <v>86.04</v>
      </c>
      <c r="M27">
        <f>VLOOKUP(A27,BA!A$2:G$55,2,0)</f>
        <v>119.32</v>
      </c>
      <c r="N27">
        <f>VLOOKUP(A27,BAC!A$2:G$55,2,0)</f>
        <v>15.14</v>
      </c>
      <c r="O27">
        <f>VLOOKUP(A27,BAX!A$2:G$55,2,0)</f>
        <v>74.06</v>
      </c>
      <c r="P27">
        <f>VLOOKUP(A27,BIIB!A$2:G$55,2,0)</f>
        <v>324.06</v>
      </c>
      <c r="Q27">
        <f>VLOOKUP(A27,BK!A$2:G$55,2,0)</f>
        <v>38.75</v>
      </c>
      <c r="R27">
        <f>VLOOKUP(A27,BMY!A$2:G$55,2,0)</f>
        <v>49.22</v>
      </c>
      <c r="T27">
        <f>VLOOKUP(A27,'C'!A$2:G$55,2,0)</f>
        <v>47.75</v>
      </c>
      <c r="U27">
        <f>VLOOKUP(A27,CAT!A$2:G$55,2,0)</f>
        <v>100.76</v>
      </c>
      <c r="V27">
        <f>VLOOKUP(A27,CL!A$2:G$55,2,0)</f>
        <v>63.92</v>
      </c>
      <c r="W27">
        <f>VLOOKUP(A27,CMCSA!A$2:G$55,2,0)</f>
        <v>52.97</v>
      </c>
      <c r="X27">
        <f>VLOOKUP(A27,COF!A$2:G$55,2,0)</f>
        <v>78.38</v>
      </c>
      <c r="Y27">
        <f>VLOOKUP(A27,COP!A$2:G$55,2,0)</f>
        <v>79.650000000000006</v>
      </c>
      <c r="Z27">
        <f>VLOOKUP(A27,COST!A$2:G$55,2,0)</f>
        <v>117.95</v>
      </c>
      <c r="AA27">
        <f>VLOOKUP(A27,CSCO!A$2:G$55,2,0)</f>
        <v>24.93</v>
      </c>
      <c r="AB27">
        <f>VLOOKUP(A27,CVS!A$2:G$55,2,0)</f>
        <v>74.72</v>
      </c>
      <c r="AC27">
        <f>VLOOKUP(A27,CVX!A$2:G$55,2,0)</f>
        <v>124.9</v>
      </c>
      <c r="AD27">
        <f>VLOOKUP(A27,DD!A$2:G$55,2,0)</f>
        <v>63.89</v>
      </c>
      <c r="AE27">
        <f>VLOOKUP(A27,DIS!A$2:G$55,2,0)</f>
        <v>86.18</v>
      </c>
      <c r="AF27">
        <f>VLOOKUP(A27,DOW!A$2:G$55,2,0)</f>
        <v>50.71</v>
      </c>
      <c r="AG27">
        <f>VLOOKUP(A27,DVN!A$2:G$55,2,0)</f>
        <v>74.02</v>
      </c>
      <c r="AH27">
        <f>VLOOKUP(A27,EBAY!A$2:G$55,2,0)</f>
        <v>52.96</v>
      </c>
      <c r="AI27">
        <f>VLOOKUP(A27,EMC!A$2:G$55,2,0)</f>
        <v>29.02</v>
      </c>
      <c r="AJ27">
        <f>VLOOKUP(A27,EMR!A$2:G$55,2,0)</f>
        <v>62.05</v>
      </c>
      <c r="AK27">
        <f>VLOOKUP(A27,EXC!A$2:G$55,2,0)</f>
        <v>31.04</v>
      </c>
      <c r="AL27">
        <f>VLOOKUP(A27,F!A$2:G$55,2,0)</f>
        <v>16.739999999999998</v>
      </c>
      <c r="AM27">
        <f>VLOOKUP(A27,FB!A$2:G$55,2,0)</f>
        <v>72.02</v>
      </c>
      <c r="AN27">
        <f>VLOOKUP(A27,FCX!A$2:G$55,2,0)</f>
        <v>36.590000000000003</v>
      </c>
      <c r="AO27">
        <f>VLOOKUP(A27,FDX!A$2:G$55,2,0)</f>
        <v>145.83000000000001</v>
      </c>
      <c r="AP27">
        <f>VLOOKUP(A27,FOXA!A$2:G$55,2,0)</f>
        <v>33.200000000000003</v>
      </c>
      <c r="AQ27">
        <f>VLOOKUP(A27,GD!A$2:G$55,2,0)</f>
        <v>115.56</v>
      </c>
      <c r="AR27">
        <f>VLOOKUP(A27,GE!A$2:G$55,2,0)</f>
        <v>25.13</v>
      </c>
      <c r="AS27">
        <f>VLOOKUP(A27,GILD!A$2:G$55,2,0)</f>
        <v>91.5</v>
      </c>
      <c r="AT27">
        <f>VLOOKUP(A27,GM!A$2:G$55,2,0)</f>
        <v>33.229999999999997</v>
      </c>
      <c r="AU27">
        <f>VLOOKUP(A27,GOOG!A$2:G$55,2,0)</f>
        <v>561.78</v>
      </c>
      <c r="AV27">
        <f>VLOOKUP(A27,GOOGL!A$2:G$55,2,0)</f>
        <v>569.5</v>
      </c>
      <c r="AW27">
        <f>VLOOKUP(A27,GS!A$2:G$55,2,0)</f>
        <v>168.15</v>
      </c>
      <c r="AX27">
        <f>VLOOKUP(A27,HAL!A$2:G$55,2,0)</f>
        <v>67.2</v>
      </c>
      <c r="AY27">
        <f>VLOOKUP(A27,HD!A$2:G$55,2,0)</f>
        <v>79.94</v>
      </c>
      <c r="AZ27">
        <f>VLOOKUP(A27,HON!A$2:G$55,2,0)</f>
        <v>90.36</v>
      </c>
      <c r="BA27">
        <f>VLOOKUP(A27,HPQ!A$2:G$55,2,0)</f>
        <v>34.67</v>
      </c>
      <c r="BB27">
        <f>VLOOKUP(A27,IBM!A$2:G$55,2,0)</f>
        <v>185.36</v>
      </c>
      <c r="BC27">
        <f>VLOOKUP(A27,INTC!A$2:G$55,2,0)</f>
        <v>32.6</v>
      </c>
      <c r="BD27">
        <f>VLOOKUP(A27,JNJ!A$2:G$55,2,0)</f>
        <v>99.67</v>
      </c>
      <c r="BE27">
        <f>VLOOKUP(A27,JPM!A$2:G$55,2,0)</f>
        <v>55.89</v>
      </c>
      <c r="BF27">
        <f>VLOOKUP(A27,KO!A$2:G$55,2,0)</f>
        <v>39.130000000000003</v>
      </c>
      <c r="BG27">
        <f>VLOOKUP(A27,LLY!A$2:G$55,2,0)</f>
        <v>60.91</v>
      </c>
      <c r="BH27">
        <f>VLOOKUP(A27,LMT!A$2:G$55,2,0)</f>
        <v>166.08</v>
      </c>
      <c r="BI27">
        <f>VLOOKUP(A27,LOW!A$2:G$55,2,0)</f>
        <v>47.59</v>
      </c>
      <c r="BJ27">
        <f>VLOOKUP(A27,MA!A$2:G$55,2,0)</f>
        <v>74.849999999999994</v>
      </c>
      <c r="BK27">
        <f>VLOOKUP(A27,MCD!A$2:G$55,2,0)</f>
        <v>93.39</v>
      </c>
      <c r="BL27">
        <f>VLOOKUP(A27,MDLZ!A$2:G$55,2,0)</f>
        <v>35.29</v>
      </c>
      <c r="BM27">
        <f>VLOOKUP(A27,MDT!A$2:G$55,2,0)</f>
        <v>61.1</v>
      </c>
      <c r="BN27">
        <f>VLOOKUP(A27,MET!A$2:G$55,2,0)</f>
        <v>51.05</v>
      </c>
      <c r="BO27">
        <f>VLOOKUP(A27,MMM!A$2:G$55,2,0)</f>
        <v>139.13999999999999</v>
      </c>
      <c r="BP27">
        <f>VLOOKUP(A27,MO!A$2:G$55,2,0)</f>
        <v>40.47</v>
      </c>
      <c r="BQ27">
        <f>VLOOKUP(A27,MON!A$2:G$55,2,0)</f>
        <v>114.71</v>
      </c>
      <c r="BR27">
        <f>VLOOKUP(A27,MRK!A$2:G$55,2,0)</f>
        <v>55.88</v>
      </c>
      <c r="BS27">
        <f>VLOOKUP(A27,MS!A$2:G$55,2,0)</f>
        <v>31.23</v>
      </c>
      <c r="BT27">
        <f>VLOOKUP(A27,MSFT!A$2:G$55,2,0)</f>
        <v>42.74</v>
      </c>
      <c r="BU27">
        <f>VLOOKUP(A27,NKE!A$2:G$55,2,0)</f>
        <v>76.510000000000005</v>
      </c>
      <c r="BV27">
        <f>VLOOKUP(A27,NOV!A$2:G$55,2,0)</f>
        <v>81.17</v>
      </c>
      <c r="BW27">
        <f>VLOOKUP(A27,NSC!A$2:G$55,2,0)</f>
        <v>99.98</v>
      </c>
      <c r="BX27">
        <f>VLOOKUP(A27,ORCL!A$2:G$55,2,0)</f>
        <v>39.85</v>
      </c>
      <c r="BY27">
        <f>VLOOKUP(A27,OXY!A$2:G$55,2,0)</f>
        <v>98.92</v>
      </c>
      <c r="BZ27">
        <f>VLOOKUP(A27,PEP!A$2:G$55,2,0)</f>
        <v>88.43</v>
      </c>
      <c r="CA27">
        <f>VLOOKUP(A27,PFE!A$2:G$55,2,0)</f>
        <v>28.3</v>
      </c>
      <c r="CB27">
        <f>VLOOKUP(A27,PG!A$2:G$55,2,0)</f>
        <v>79.400000000000006</v>
      </c>
      <c r="CC27">
        <f>VLOOKUP(A27,PM!A$2:G$55,2,0)</f>
        <v>81.59</v>
      </c>
      <c r="CD27">
        <f>VLOOKUP(A27,QCOM!A$2:G$55,2,0)</f>
        <v>72.42</v>
      </c>
      <c r="CE27">
        <f>VLOOKUP(A27,RTN!A$2:G$55,2,0)</f>
        <v>90.49</v>
      </c>
      <c r="CF27">
        <f>VLOOKUP(A27,SBUX!A$2:G$55,2,0)</f>
        <v>76.5</v>
      </c>
      <c r="CG27">
        <f>VLOOKUP(A27,SLB!A$2:G$55,2,0)</f>
        <v>106.44</v>
      </c>
      <c r="CH27">
        <f>VLOOKUP(A27,SO!A$2:G$55,2,0)</f>
        <v>42.43</v>
      </c>
      <c r="CI27">
        <f>VLOOKUP(A27,SPG!A$2:G$55,2,0)</f>
        <v>166.03</v>
      </c>
      <c r="CJ27">
        <f>VLOOKUP(A27,T!A$2:G$55,2,0)</f>
        <v>35</v>
      </c>
      <c r="CK27">
        <f>VLOOKUP(A27,TGT!A$2:G$55,2,0)</f>
        <v>57.48</v>
      </c>
      <c r="CL27">
        <f>VLOOKUP(A27,TWX!A$2:G$55,2,0)</f>
        <v>74.900000000000006</v>
      </c>
      <c r="CM27">
        <f>VLOOKUP(A27,TXN!A$2:G$55,2,0)</f>
        <v>45.88</v>
      </c>
      <c r="CN27">
        <f>VLOOKUP(A27,UNH!A$2:G$55,2,0)</f>
        <v>80.95</v>
      </c>
      <c r="CO27">
        <f>VLOOKUP(A27,UNP!A$2:G$55,2,0)</f>
        <v>97.13</v>
      </c>
      <c r="CP27">
        <f>VLOOKUP(A27,UPS!A$2:G$55,2,0)</f>
        <v>95.91</v>
      </c>
      <c r="CQ27">
        <f>VLOOKUP(A27,USB!A$2:G$55,2,0)</f>
        <v>41.02</v>
      </c>
      <c r="CR27">
        <f>VLOOKUP(A27,UTX!A$2:G$55,2,0)</f>
        <v>104.25</v>
      </c>
      <c r="CS27">
        <f>VLOOKUP(A27,V!A$2:G$55,2,0)</f>
        <v>209.98</v>
      </c>
      <c r="CT27">
        <f>VLOOKUP(A27,VZ!A$2:G$55,2,0)</f>
        <v>49.4</v>
      </c>
      <c r="CU27">
        <f>VLOOKUP(A27,WAG!A$2:G$55,2,0)</f>
        <v>57.98</v>
      </c>
      <c r="CV27">
        <f>VLOOKUP(A27,WFC!A$2:G$55,2,0)</f>
        <v>49.87</v>
      </c>
      <c r="CW27">
        <f>VLOOKUP(A27,WMT!A$2:G$55,2,0)</f>
        <v>73.19</v>
      </c>
    </row>
    <row r="28" spans="1:101" x14ac:dyDescent="0.25">
      <c r="A28" s="34">
        <v>41858</v>
      </c>
      <c r="B28" s="36">
        <v>94.93</v>
      </c>
      <c r="C28">
        <f>VLOOKUP(A28,ABBV!A$2:G$55,2,0)</f>
        <v>51.59</v>
      </c>
      <c r="D28">
        <f>VLOOKUP(A28,ABT!A$2:G$55,2,0)</f>
        <v>41.75</v>
      </c>
      <c r="E28">
        <f>VLOOKUP(A28,ACN!A$2:G$55,2,0)</f>
        <v>78.31</v>
      </c>
      <c r="F28">
        <f>VLOOKUP(A28,AIG!A$2:G$55,2,0)</f>
        <v>52.83</v>
      </c>
      <c r="G28">
        <f>VLOOKUP(A28,ALL!A$2:G$55,2,0)</f>
        <v>59.71</v>
      </c>
      <c r="H28">
        <f>VLOOKUP(A28,AMGN!A$2:G$55,2,0)</f>
        <v>127.41</v>
      </c>
      <c r="I28">
        <f>VLOOKUP(A28,AMZN!A$2:G$55,2,0)</f>
        <v>315.20999999999998</v>
      </c>
      <c r="J28">
        <f>VLOOKUP(A28,APA!A$2:G$55,2,0)</f>
        <v>100.44</v>
      </c>
      <c r="K28">
        <f>VLOOKUP(A28,APC!A$2:G$55,2,0)</f>
        <v>107.48</v>
      </c>
      <c r="L28">
        <f>VLOOKUP(A28,AXP!A$2:G$55,2,0)</f>
        <v>86.79</v>
      </c>
      <c r="M28">
        <f>VLOOKUP(A28,BA!A$2:G$55,2,0)</f>
        <v>119</v>
      </c>
      <c r="N28">
        <f>VLOOKUP(A28,BAC!A$2:G$55,2,0)</f>
        <v>15.44</v>
      </c>
      <c r="O28">
        <f>VLOOKUP(A28,BAX!A$2:G$55,2,0)</f>
        <v>74.55</v>
      </c>
      <c r="P28">
        <f>VLOOKUP(A28,BIIB!A$2:G$55,2,0)</f>
        <v>326</v>
      </c>
      <c r="Q28">
        <f>VLOOKUP(A28,BK!A$2:G$55,2,0)</f>
        <v>39.49</v>
      </c>
      <c r="R28">
        <f>VLOOKUP(A28,BMY!A$2:G$55,2,0)</f>
        <v>49.56</v>
      </c>
      <c r="T28">
        <f>VLOOKUP(A28,'C'!A$2:G$55,2,0)</f>
        <v>48.5</v>
      </c>
      <c r="U28">
        <f>VLOOKUP(A28,CAT!A$2:G$55,2,0)</f>
        <v>102.66</v>
      </c>
      <c r="V28">
        <f>VLOOKUP(A28,CL!A$2:G$55,2,0)</f>
        <v>64.97</v>
      </c>
      <c r="W28">
        <f>VLOOKUP(A28,CMCSA!A$2:G$55,2,0)</f>
        <v>53.11</v>
      </c>
      <c r="X28">
        <f>VLOOKUP(A28,COF!A$2:G$55,2,0)</f>
        <v>78.849999999999994</v>
      </c>
      <c r="Y28">
        <f>VLOOKUP(A28,COP!A$2:G$55,2,0)</f>
        <v>80.83</v>
      </c>
      <c r="Z28">
        <f>VLOOKUP(A28,COST!A$2:G$55,2,0)</f>
        <v>118.22</v>
      </c>
      <c r="AA28">
        <f>VLOOKUP(A28,CSCO!A$2:G$55,2,0)</f>
        <v>25.01</v>
      </c>
      <c r="AB28">
        <f>VLOOKUP(A28,CVS!A$2:G$55,2,0)</f>
        <v>77.5</v>
      </c>
      <c r="AC28">
        <f>VLOOKUP(A28,CVX!A$2:G$55,2,0)</f>
        <v>126.19</v>
      </c>
      <c r="AD28">
        <f>VLOOKUP(A28,DD!A$2:G$55,2,0)</f>
        <v>65.03</v>
      </c>
      <c r="AE28">
        <f>VLOOKUP(A28,DIS!A$2:G$55,2,0)</f>
        <v>86.99</v>
      </c>
      <c r="AF28">
        <f>VLOOKUP(A28,DOW!A$2:G$55,2,0)</f>
        <v>51.74</v>
      </c>
      <c r="AG28">
        <f>VLOOKUP(A28,DVN!A$2:G$55,2,0)</f>
        <v>74.569999999999993</v>
      </c>
      <c r="AH28">
        <f>VLOOKUP(A28,EBAY!A$2:G$55,2,0)</f>
        <v>53.68</v>
      </c>
      <c r="AI28">
        <f>VLOOKUP(A28,EMC!A$2:G$55,2,0)</f>
        <v>29.31</v>
      </c>
      <c r="AJ28">
        <f>VLOOKUP(A28,EMR!A$2:G$55,2,0)</f>
        <v>62.24</v>
      </c>
      <c r="AK28">
        <f>VLOOKUP(A28,EXC!A$2:G$55,2,0)</f>
        <v>31.26</v>
      </c>
      <c r="AL28">
        <f>VLOOKUP(A28,F!A$2:G$55,2,0)</f>
        <v>17.04</v>
      </c>
      <c r="AM28">
        <f>VLOOKUP(A28,FB!A$2:G$55,2,0)</f>
        <v>73</v>
      </c>
      <c r="AN28">
        <f>VLOOKUP(A28,FCX!A$2:G$55,2,0)</f>
        <v>36.83</v>
      </c>
      <c r="AO28">
        <f>VLOOKUP(A28,FDX!A$2:G$55,2,0)</f>
        <v>146.96</v>
      </c>
      <c r="AP28">
        <f>VLOOKUP(A28,FOXA!A$2:G$55,2,0)</f>
        <v>34.51</v>
      </c>
      <c r="AQ28">
        <f>VLOOKUP(A28,GD!A$2:G$55,2,0)</f>
        <v>114.74</v>
      </c>
      <c r="AR28">
        <f>VLOOKUP(A28,GE!A$2:G$55,2,0)</f>
        <v>25.61</v>
      </c>
      <c r="AS28">
        <f>VLOOKUP(A28,GILD!A$2:G$55,2,0)</f>
        <v>93.55</v>
      </c>
      <c r="AT28">
        <f>VLOOKUP(A28,GM!A$2:G$55,2,0)</f>
        <v>33.56</v>
      </c>
      <c r="AU28">
        <f>VLOOKUP(A28,GOOG!A$2:G$55,2,0)</f>
        <v>568</v>
      </c>
      <c r="AV28">
        <f>VLOOKUP(A28,GOOGL!A$2:G$55,2,0)</f>
        <v>576.04999999999995</v>
      </c>
      <c r="AW28">
        <f>VLOOKUP(A28,GS!A$2:G$55,2,0)</f>
        <v>170.3</v>
      </c>
      <c r="AX28">
        <f>VLOOKUP(A28,HAL!A$2:G$55,2,0)</f>
        <v>68.349999999999994</v>
      </c>
      <c r="AY28">
        <f>VLOOKUP(A28,HD!A$2:G$55,2,0)</f>
        <v>80.75</v>
      </c>
      <c r="AZ28">
        <f>VLOOKUP(A28,HON!A$2:G$55,2,0)</f>
        <v>90.99</v>
      </c>
      <c r="BA28">
        <f>VLOOKUP(A28,HPQ!A$2:G$55,2,0)</f>
        <v>35.22</v>
      </c>
      <c r="BB28">
        <f>VLOOKUP(A28,IBM!A$2:G$55,2,0)</f>
        <v>186.64</v>
      </c>
      <c r="BC28">
        <f>VLOOKUP(A28,INTC!A$2:G$55,2,0)</f>
        <v>32.93</v>
      </c>
      <c r="BD28">
        <f>VLOOKUP(A28,JNJ!A$2:G$55,2,0)</f>
        <v>101.09</v>
      </c>
      <c r="BE28">
        <f>VLOOKUP(A28,JPM!A$2:G$55,2,0)</f>
        <v>56.63</v>
      </c>
      <c r="BF28">
        <f>VLOOKUP(A28,KO!A$2:G$55,2,0)</f>
        <v>39.96</v>
      </c>
      <c r="BG28">
        <f>VLOOKUP(A28,LLY!A$2:G$55,2,0)</f>
        <v>61.4</v>
      </c>
      <c r="BH28">
        <f>VLOOKUP(A28,LMT!A$2:G$55,2,0)</f>
        <v>164.28</v>
      </c>
      <c r="BI28">
        <f>VLOOKUP(A28,LOW!A$2:G$55,2,0)</f>
        <v>48.26</v>
      </c>
      <c r="BJ28">
        <f>VLOOKUP(A28,MA!A$2:G$55,2,0)</f>
        <v>75.540000000000006</v>
      </c>
      <c r="BK28">
        <f>VLOOKUP(A28,MCD!A$2:G$55,2,0)</f>
        <v>93.82</v>
      </c>
      <c r="BL28">
        <f>VLOOKUP(A28,MDLZ!A$2:G$55,2,0)</f>
        <v>36.56</v>
      </c>
      <c r="BM28">
        <f>VLOOKUP(A28,MDT!A$2:G$55,2,0)</f>
        <v>61.46</v>
      </c>
      <c r="BN28">
        <f>VLOOKUP(A28,MET!A$2:G$55,2,0)</f>
        <v>51.7</v>
      </c>
      <c r="BO28">
        <f>VLOOKUP(A28,MMM!A$2:G$55,2,0)</f>
        <v>140.05000000000001</v>
      </c>
      <c r="BP28">
        <f>VLOOKUP(A28,MO!A$2:G$55,2,0)</f>
        <v>41.44</v>
      </c>
      <c r="BQ28">
        <f>VLOOKUP(A28,MON!A$2:G$55,2,0)</f>
        <v>116.37</v>
      </c>
      <c r="BR28">
        <f>VLOOKUP(A28,MRK!A$2:G$55,2,0)</f>
        <v>56.21</v>
      </c>
      <c r="BS28">
        <f>VLOOKUP(A28,MS!A$2:G$55,2,0)</f>
        <v>31.74</v>
      </c>
      <c r="BT28">
        <f>VLOOKUP(A28,MSFT!A$2:G$55,2,0)</f>
        <v>42.84</v>
      </c>
      <c r="BU28">
        <f>VLOOKUP(A28,NKE!A$2:G$55,2,0)</f>
        <v>77.7</v>
      </c>
      <c r="BV28">
        <f>VLOOKUP(A28,NOV!A$2:G$55,2,0)</f>
        <v>82.18</v>
      </c>
      <c r="BW28">
        <f>VLOOKUP(A28,NSC!A$2:G$55,2,0)</f>
        <v>100.08</v>
      </c>
      <c r="BX28">
        <f>VLOOKUP(A28,ORCL!A$2:G$55,2,0)</f>
        <v>40.299999999999997</v>
      </c>
      <c r="BY28">
        <f>VLOOKUP(A28,OXY!A$2:G$55,2,0)</f>
        <v>99.55</v>
      </c>
      <c r="BZ28">
        <f>VLOOKUP(A28,PEP!A$2:G$55,2,0)</f>
        <v>90.79</v>
      </c>
      <c r="CA28">
        <f>VLOOKUP(A28,PFE!A$2:G$55,2,0)</f>
        <v>28.44</v>
      </c>
      <c r="CB28">
        <f>VLOOKUP(A28,PG!A$2:G$55,2,0)</f>
        <v>81.02</v>
      </c>
      <c r="CC28">
        <f>VLOOKUP(A28,PM!A$2:G$55,2,0)</f>
        <v>83.55</v>
      </c>
      <c r="CD28">
        <f>VLOOKUP(A28,QCOM!A$2:G$55,2,0)</f>
        <v>73.28</v>
      </c>
      <c r="CE28">
        <f>VLOOKUP(A28,RTN!A$2:G$55,2,0)</f>
        <v>90.26</v>
      </c>
      <c r="CF28">
        <f>VLOOKUP(A28,SBUX!A$2:G$55,2,0)</f>
        <v>77.33</v>
      </c>
      <c r="CG28">
        <f>VLOOKUP(A28,SLB!A$2:G$55,2,0)</f>
        <v>107.97</v>
      </c>
      <c r="CH28">
        <f>VLOOKUP(A28,SO!A$2:G$55,2,0)</f>
        <v>42.35</v>
      </c>
      <c r="CI28">
        <f>VLOOKUP(A28,SPG!A$2:G$55,2,0)</f>
        <v>165.58</v>
      </c>
      <c r="CJ28">
        <f>VLOOKUP(A28,T!A$2:G$55,2,0)</f>
        <v>34.75</v>
      </c>
      <c r="CK28">
        <f>VLOOKUP(A28,TGT!A$2:G$55,2,0)</f>
        <v>58.26</v>
      </c>
      <c r="CL28">
        <f>VLOOKUP(A28,TWX!A$2:G$55,2,0)</f>
        <v>73.7</v>
      </c>
      <c r="CM28">
        <f>VLOOKUP(A28,TXN!A$2:G$55,2,0)</f>
        <v>46.45</v>
      </c>
      <c r="CN28">
        <f>VLOOKUP(A28,UNH!A$2:G$55,2,0)</f>
        <v>81</v>
      </c>
      <c r="CO28">
        <f>VLOOKUP(A28,UNP!A$2:G$55,2,0)</f>
        <v>98</v>
      </c>
      <c r="CP28">
        <f>VLOOKUP(A28,UPS!A$2:G$55,2,0)</f>
        <v>95.81</v>
      </c>
      <c r="CQ28">
        <f>VLOOKUP(A28,USB!A$2:G$55,2,0)</f>
        <v>41.16</v>
      </c>
      <c r="CR28">
        <f>VLOOKUP(A28,UTX!A$2:G$55,2,0)</f>
        <v>104.39</v>
      </c>
      <c r="CS28">
        <f>VLOOKUP(A28,V!A$2:G$55,2,0)</f>
        <v>211.18</v>
      </c>
      <c r="CT28">
        <f>VLOOKUP(A28,VZ!A$2:G$55,2,0)</f>
        <v>49.16</v>
      </c>
      <c r="CU28">
        <f>VLOOKUP(A28,WAG!A$2:G$55,2,0)</f>
        <v>60.62</v>
      </c>
      <c r="CV28">
        <f>VLOOKUP(A28,WFC!A$2:G$55,2,0)</f>
        <v>50.34</v>
      </c>
      <c r="CW28">
        <f>VLOOKUP(A28,WMT!A$2:G$55,2,0)</f>
        <v>74.34</v>
      </c>
    </row>
    <row r="29" spans="1:101" x14ac:dyDescent="0.25">
      <c r="A29" s="34">
        <v>41859</v>
      </c>
      <c r="B29" s="36">
        <v>94.26</v>
      </c>
      <c r="C29">
        <f>VLOOKUP(A29,ABBV!A$2:G$55,2,0)</f>
        <v>52.72</v>
      </c>
      <c r="D29">
        <f>VLOOKUP(A29,ABT!A$2:G$55,2,0)</f>
        <v>41.48</v>
      </c>
      <c r="E29">
        <f>VLOOKUP(A29,ACN!A$2:G$55,2,0)</f>
        <v>77.72</v>
      </c>
      <c r="F29">
        <f>VLOOKUP(A29,AIG!A$2:G$55,2,0)</f>
        <v>52.16</v>
      </c>
      <c r="G29">
        <f>VLOOKUP(A29,ALL!A$2:G$55,2,0)</f>
        <v>59.55</v>
      </c>
      <c r="H29">
        <f>VLOOKUP(A29,AMGN!A$2:G$55,2,0)</f>
        <v>125.22</v>
      </c>
      <c r="I29">
        <f>VLOOKUP(A29,AMZN!A$2:G$55,2,0)</f>
        <v>311.94</v>
      </c>
      <c r="J29">
        <f>VLOOKUP(A29,APA!A$2:G$55,2,0)</f>
        <v>98.99</v>
      </c>
      <c r="K29">
        <f>VLOOKUP(A29,APC!A$2:G$55,2,0)</f>
        <v>107.03</v>
      </c>
      <c r="L29">
        <f>VLOOKUP(A29,AXP!A$2:G$55,2,0)</f>
        <v>86.09</v>
      </c>
      <c r="M29">
        <f>VLOOKUP(A29,BA!A$2:G$55,2,0)</f>
        <v>119.8</v>
      </c>
      <c r="N29">
        <f>VLOOKUP(A29,BAC!A$2:G$55,2,0)</f>
        <v>15.08</v>
      </c>
      <c r="O29">
        <f>VLOOKUP(A29,BAX!A$2:G$55,2,0)</f>
        <v>73.77</v>
      </c>
      <c r="P29">
        <f>VLOOKUP(A29,BIIB!A$2:G$55,2,0)</f>
        <v>320.88</v>
      </c>
      <c r="Q29">
        <f>VLOOKUP(A29,BK!A$2:G$55,2,0)</f>
        <v>38.520000000000003</v>
      </c>
      <c r="R29">
        <f>VLOOKUP(A29,BMY!A$2:G$55,2,0)</f>
        <v>48.77</v>
      </c>
      <c r="T29">
        <f>VLOOKUP(A29,'C'!A$2:G$55,2,0)</f>
        <v>48.06</v>
      </c>
      <c r="U29">
        <f>VLOOKUP(A29,CAT!A$2:G$55,2,0)</f>
        <v>102.01</v>
      </c>
      <c r="V29">
        <f>VLOOKUP(A29,CL!A$2:G$55,2,0)</f>
        <v>64.37</v>
      </c>
      <c r="W29">
        <f>VLOOKUP(A29,CMCSA!A$2:G$55,2,0)</f>
        <v>52.69</v>
      </c>
      <c r="X29">
        <f>VLOOKUP(A29,COF!A$2:G$55,2,0)</f>
        <v>78.12</v>
      </c>
      <c r="Y29">
        <f>VLOOKUP(A29,COP!A$2:G$55,2,0)</f>
        <v>79.69</v>
      </c>
      <c r="Z29">
        <f>VLOOKUP(A29,COST!A$2:G$55,2,0)</f>
        <v>117.96</v>
      </c>
      <c r="AA29">
        <f>VLOOKUP(A29,CSCO!A$2:G$55,2,0)</f>
        <v>24.87</v>
      </c>
      <c r="AB29">
        <f>VLOOKUP(A29,CVS!A$2:G$55,2,0)</f>
        <v>76.25</v>
      </c>
      <c r="AC29">
        <f>VLOOKUP(A29,CVX!A$2:G$55,2,0)</f>
        <v>126.07</v>
      </c>
      <c r="AD29">
        <f>VLOOKUP(A29,DD!A$2:G$55,2,0)</f>
        <v>64.48</v>
      </c>
      <c r="AE29">
        <f>VLOOKUP(A29,DIS!A$2:G$55,2,0)</f>
        <v>85.65</v>
      </c>
      <c r="AF29">
        <f>VLOOKUP(A29,DOW!A$2:G$55,2,0)</f>
        <v>51.37</v>
      </c>
      <c r="AG29">
        <f>VLOOKUP(A29,DVN!A$2:G$55,2,0)</f>
        <v>73.510000000000005</v>
      </c>
      <c r="AH29">
        <f>VLOOKUP(A29,EBAY!A$2:G$55,2,0)</f>
        <v>53.58</v>
      </c>
      <c r="AI29">
        <f>VLOOKUP(A29,EMC!A$2:G$55,2,0)</f>
        <v>28.88</v>
      </c>
      <c r="AJ29">
        <f>VLOOKUP(A29,EMR!A$2:G$55,2,0)</f>
        <v>62.04</v>
      </c>
      <c r="AK29">
        <f>VLOOKUP(A29,EXC!A$2:G$55,2,0)</f>
        <v>31.6</v>
      </c>
      <c r="AL29">
        <f>VLOOKUP(A29,F!A$2:G$55,2,0)</f>
        <v>16.8</v>
      </c>
      <c r="AM29">
        <f>VLOOKUP(A29,FB!A$2:G$55,2,0)</f>
        <v>73.400000000000006</v>
      </c>
      <c r="AN29">
        <f>VLOOKUP(A29,FCX!A$2:G$55,2,0)</f>
        <v>36.130000000000003</v>
      </c>
      <c r="AO29">
        <f>VLOOKUP(A29,FDX!A$2:G$55,2,0)</f>
        <v>146.22999999999999</v>
      </c>
      <c r="AP29">
        <f>VLOOKUP(A29,FOXA!A$2:G$55,2,0)</f>
        <v>33.71</v>
      </c>
      <c r="AQ29">
        <f>VLOOKUP(A29,GD!A$2:G$55,2,0)</f>
        <v>114.6</v>
      </c>
      <c r="AR29">
        <f>VLOOKUP(A29,GE!A$2:G$55,2,0)</f>
        <v>25.46</v>
      </c>
      <c r="AS29">
        <f>VLOOKUP(A29,GILD!A$2:G$55,2,0)</f>
        <v>91.84</v>
      </c>
      <c r="AT29">
        <f>VLOOKUP(A29,GM!A$2:G$55,2,0)</f>
        <v>33.090000000000003</v>
      </c>
      <c r="AU29">
        <f>VLOOKUP(A29,GOOG!A$2:G$55,2,0)</f>
        <v>563.55999999999995</v>
      </c>
      <c r="AV29">
        <f>VLOOKUP(A29,GOOGL!A$2:G$55,2,0)</f>
        <v>572.02</v>
      </c>
      <c r="AW29">
        <f>VLOOKUP(A29,GS!A$2:G$55,2,0)</f>
        <v>169.35</v>
      </c>
      <c r="AX29">
        <f>VLOOKUP(A29,HAL!A$2:G$55,2,0)</f>
        <v>67.569999999999993</v>
      </c>
      <c r="AY29">
        <f>VLOOKUP(A29,HD!A$2:G$55,2,0)</f>
        <v>81.069999999999993</v>
      </c>
      <c r="AZ29">
        <f>VLOOKUP(A29,HON!A$2:G$55,2,0)</f>
        <v>91.11</v>
      </c>
      <c r="BA29">
        <f>VLOOKUP(A29,HPQ!A$2:G$55,2,0)</f>
        <v>34.770000000000003</v>
      </c>
      <c r="BB29">
        <f>VLOOKUP(A29,IBM!A$2:G$55,2,0)</f>
        <v>184.4</v>
      </c>
      <c r="BC29">
        <f>VLOOKUP(A29,INTC!A$2:G$55,2,0)</f>
        <v>32.78</v>
      </c>
      <c r="BD29">
        <f>VLOOKUP(A29,JNJ!A$2:G$55,2,0)</f>
        <v>100.21</v>
      </c>
      <c r="BE29">
        <f>VLOOKUP(A29,JPM!A$2:G$55,2,0)</f>
        <v>55.89</v>
      </c>
      <c r="BF29">
        <f>VLOOKUP(A29,KO!A$2:G$55,2,0)</f>
        <v>39.340000000000003</v>
      </c>
      <c r="BG29">
        <f>VLOOKUP(A29,LLY!A$2:G$55,2,0)</f>
        <v>60.48</v>
      </c>
      <c r="BH29">
        <f>VLOOKUP(A29,LMT!A$2:G$55,2,0)</f>
        <v>163.11000000000001</v>
      </c>
      <c r="BI29">
        <f>VLOOKUP(A29,LOW!A$2:G$55,2,0)</f>
        <v>48.26</v>
      </c>
      <c r="BJ29">
        <f>VLOOKUP(A29,MA!A$2:G$55,2,0)</f>
        <v>74</v>
      </c>
      <c r="BK29">
        <f>VLOOKUP(A29,MCD!A$2:G$55,2,0)</f>
        <v>93.07</v>
      </c>
      <c r="BL29">
        <f>VLOOKUP(A29,MDLZ!A$2:G$55,2,0)</f>
        <v>35.14</v>
      </c>
      <c r="BM29">
        <f>VLOOKUP(A29,MDT!A$2:G$55,2,0)</f>
        <v>61.04</v>
      </c>
      <c r="BN29">
        <f>VLOOKUP(A29,MET!A$2:G$55,2,0)</f>
        <v>51.12</v>
      </c>
      <c r="BO29">
        <f>VLOOKUP(A29,MMM!A$2:G$55,2,0)</f>
        <v>139.30000000000001</v>
      </c>
      <c r="BP29">
        <f>VLOOKUP(A29,MO!A$2:G$55,2,0)</f>
        <v>41.2</v>
      </c>
      <c r="BQ29">
        <f>VLOOKUP(A29,MON!A$2:G$55,2,0)</f>
        <v>115.34</v>
      </c>
      <c r="BR29">
        <f>VLOOKUP(A29,MRK!A$2:G$55,2,0)</f>
        <v>55.87</v>
      </c>
      <c r="BS29">
        <f>VLOOKUP(A29,MS!A$2:G$55,2,0)</f>
        <v>31.36</v>
      </c>
      <c r="BT29">
        <f>VLOOKUP(A29,MSFT!A$2:G$55,2,0)</f>
        <v>43.23</v>
      </c>
      <c r="BU29">
        <f>VLOOKUP(A29,NKE!A$2:G$55,2,0)</f>
        <v>76.31</v>
      </c>
      <c r="BV29">
        <f>VLOOKUP(A29,NOV!A$2:G$55,2,0)</f>
        <v>81.760000000000005</v>
      </c>
      <c r="BW29">
        <f>VLOOKUP(A29,NSC!A$2:G$55,2,0)</f>
        <v>100.09</v>
      </c>
      <c r="BX29">
        <f>VLOOKUP(A29,ORCL!A$2:G$55,2,0)</f>
        <v>39.729999999999997</v>
      </c>
      <c r="BY29">
        <f>VLOOKUP(A29,OXY!A$2:G$55,2,0)</f>
        <v>98.65</v>
      </c>
      <c r="BZ29">
        <f>VLOOKUP(A29,PEP!A$2:G$55,2,0)</f>
        <v>89.9</v>
      </c>
      <c r="CA29">
        <f>VLOOKUP(A29,PFE!A$2:G$55,2,0)</f>
        <v>28.08</v>
      </c>
      <c r="CB29">
        <f>VLOOKUP(A29,PG!A$2:G$55,2,0)</f>
        <v>80.05</v>
      </c>
      <c r="CC29">
        <f>VLOOKUP(A29,PM!A$2:G$55,2,0)</f>
        <v>82.8</v>
      </c>
      <c r="CD29">
        <f>VLOOKUP(A29,QCOM!A$2:G$55,2,0)</f>
        <v>72.72</v>
      </c>
      <c r="CE29">
        <f>VLOOKUP(A29,RTN!A$2:G$55,2,0)</f>
        <v>89.73</v>
      </c>
      <c r="CF29">
        <f>VLOOKUP(A29,SBUX!A$2:G$55,2,0)</f>
        <v>76.63</v>
      </c>
      <c r="CG29">
        <f>VLOOKUP(A29,SLB!A$2:G$55,2,0)</f>
        <v>107.25</v>
      </c>
      <c r="CH29">
        <f>VLOOKUP(A29,SO!A$2:G$55,2,0)</f>
        <v>42.71</v>
      </c>
      <c r="CI29">
        <f>VLOOKUP(A29,SPG!A$2:G$55,2,0)</f>
        <v>166.22</v>
      </c>
      <c r="CJ29">
        <f>VLOOKUP(A29,T!A$2:G$55,2,0)</f>
        <v>34.299999999999997</v>
      </c>
      <c r="CK29">
        <f>VLOOKUP(A29,TGT!A$2:G$55,2,0)</f>
        <v>57.89</v>
      </c>
      <c r="CL29">
        <f>VLOOKUP(A29,TWX!A$2:G$55,2,0)</f>
        <v>72.02</v>
      </c>
      <c r="CM29">
        <f>VLOOKUP(A29,TXN!A$2:G$55,2,0)</f>
        <v>45.9</v>
      </c>
      <c r="CN29">
        <f>VLOOKUP(A29,UNH!A$2:G$55,2,0)</f>
        <v>79.41</v>
      </c>
      <c r="CO29">
        <f>VLOOKUP(A29,UNP!A$2:G$55,2,0)</f>
        <v>97.4</v>
      </c>
      <c r="CP29">
        <f>VLOOKUP(A29,UPS!A$2:G$55,2,0)</f>
        <v>95.35</v>
      </c>
      <c r="CQ29">
        <f>VLOOKUP(A29,USB!A$2:G$55,2,0)</f>
        <v>40.78</v>
      </c>
      <c r="CR29">
        <f>VLOOKUP(A29,UTX!A$2:G$55,2,0)</f>
        <v>104.67</v>
      </c>
      <c r="CS29">
        <f>VLOOKUP(A29,V!A$2:G$55,2,0)</f>
        <v>208.88</v>
      </c>
      <c r="CT29">
        <f>VLOOKUP(A29,VZ!A$2:G$55,2,0)</f>
        <v>48.73</v>
      </c>
      <c r="CU29">
        <f>VLOOKUP(A29,WAG!A$2:G$55,2,0)</f>
        <v>61.04</v>
      </c>
      <c r="CV29">
        <f>VLOOKUP(A29,WFC!A$2:G$55,2,0)</f>
        <v>49.73</v>
      </c>
      <c r="CW29">
        <f>VLOOKUP(A29,WMT!A$2:G$55,2,0)</f>
        <v>74.06</v>
      </c>
    </row>
    <row r="30" spans="1:101" x14ac:dyDescent="0.25">
      <c r="A30" s="34">
        <v>41862</v>
      </c>
      <c r="B30" s="36">
        <v>95.27</v>
      </c>
      <c r="C30">
        <f>VLOOKUP(A30,ABBV!A$2:G$55,2,0)</f>
        <v>53</v>
      </c>
      <c r="D30">
        <f>VLOOKUP(A30,ABT!A$2:G$55,2,0)</f>
        <v>41.92</v>
      </c>
      <c r="E30">
        <f>VLOOKUP(A30,ACN!A$2:G$55,2,0)</f>
        <v>78.959999999999994</v>
      </c>
      <c r="F30">
        <f>VLOOKUP(A30,AIG!A$2:G$55,2,0)</f>
        <v>52.56</v>
      </c>
      <c r="G30">
        <f>VLOOKUP(A30,ALL!A$2:G$55,2,0)</f>
        <v>59.81</v>
      </c>
      <c r="H30">
        <f>VLOOKUP(A30,AMGN!A$2:G$55,2,0)</f>
        <v>127.86</v>
      </c>
      <c r="I30">
        <f>VLOOKUP(A30,AMZN!A$2:G$55,2,0)</f>
        <v>318.48</v>
      </c>
      <c r="J30">
        <f>VLOOKUP(A30,APA!A$2:G$55,2,0)</f>
        <v>100.4</v>
      </c>
      <c r="K30">
        <f>VLOOKUP(A30,APC!A$2:G$55,2,0)</f>
        <v>109.27</v>
      </c>
      <c r="L30">
        <f>VLOOKUP(A30,AXP!A$2:G$55,2,0)</f>
        <v>87.92</v>
      </c>
      <c r="M30">
        <f>VLOOKUP(A30,BA!A$2:G$55,2,0)</f>
        <v>121.15</v>
      </c>
      <c r="N30">
        <f>VLOOKUP(A30,BAC!A$2:G$55,2,0)</f>
        <v>15.26</v>
      </c>
      <c r="O30">
        <f>VLOOKUP(A30,BAX!A$2:G$55,2,0)</f>
        <v>74.17</v>
      </c>
      <c r="P30">
        <f>VLOOKUP(A30,BIIB!A$2:G$55,2,0)</f>
        <v>327.3</v>
      </c>
      <c r="Q30">
        <f>VLOOKUP(A30,BK!A$2:G$55,2,0)</f>
        <v>38.67</v>
      </c>
      <c r="R30">
        <f>VLOOKUP(A30,BMY!A$2:G$55,2,0)</f>
        <v>49.52</v>
      </c>
      <c r="T30">
        <f>VLOOKUP(A30,'C'!A$2:G$55,2,0)</f>
        <v>48.55</v>
      </c>
      <c r="U30">
        <f>VLOOKUP(A30,CAT!A$2:G$55,2,0)</f>
        <v>104.61</v>
      </c>
      <c r="V30">
        <f>VLOOKUP(A30,CL!A$2:G$55,2,0)</f>
        <v>65.34</v>
      </c>
      <c r="W30">
        <f>VLOOKUP(A30,CMCSA!A$2:G$55,2,0)</f>
        <v>53.58</v>
      </c>
      <c r="X30">
        <f>VLOOKUP(A30,COF!A$2:G$55,2,0)</f>
        <v>79.03</v>
      </c>
      <c r="Y30">
        <f>VLOOKUP(A30,COP!A$2:G$55,2,0)</f>
        <v>81.73</v>
      </c>
      <c r="Z30">
        <f>VLOOKUP(A30,COST!A$2:G$55,2,0)</f>
        <v>119.4</v>
      </c>
      <c r="AA30">
        <f>VLOOKUP(A30,CSCO!A$2:G$55,2,0)</f>
        <v>25.09</v>
      </c>
      <c r="AB30">
        <f>VLOOKUP(A30,CVS!A$2:G$55,2,0)</f>
        <v>78.02</v>
      </c>
      <c r="AC30">
        <f>VLOOKUP(A30,CVX!A$2:G$55,2,0)</f>
        <v>128.16</v>
      </c>
      <c r="AD30">
        <f>VLOOKUP(A30,DD!A$2:G$55,2,0)</f>
        <v>65.19</v>
      </c>
      <c r="AE30">
        <f>VLOOKUP(A30,DIS!A$2:G$55,2,0)</f>
        <v>87.07</v>
      </c>
      <c r="AF30">
        <f>VLOOKUP(A30,DOW!A$2:G$55,2,0)</f>
        <v>52.44</v>
      </c>
      <c r="AG30">
        <f>VLOOKUP(A30,DVN!A$2:G$55,2,0)</f>
        <v>74.89</v>
      </c>
      <c r="AH30">
        <f>VLOOKUP(A30,EBAY!A$2:G$55,2,0)</f>
        <v>54.23</v>
      </c>
      <c r="AI30">
        <f>VLOOKUP(A30,EMC!A$2:G$55,2,0)</f>
        <v>29.14</v>
      </c>
      <c r="AJ30">
        <f>VLOOKUP(A30,EMR!A$2:G$55,2,0)</f>
        <v>63.11</v>
      </c>
      <c r="AK30">
        <f>VLOOKUP(A30,EXC!A$2:G$55,2,0)</f>
        <v>32.18</v>
      </c>
      <c r="AL30">
        <f>VLOOKUP(A30,F!A$2:G$55,2,0)</f>
        <v>17.170000000000002</v>
      </c>
      <c r="AM30">
        <f>VLOOKUP(A30,FB!A$2:G$55,2,0)</f>
        <v>73.459999999999994</v>
      </c>
      <c r="AN30">
        <f>VLOOKUP(A30,FCX!A$2:G$55,2,0)</f>
        <v>36.909999999999997</v>
      </c>
      <c r="AO30">
        <f>VLOOKUP(A30,FDX!A$2:G$55,2,0)</f>
        <v>148.81</v>
      </c>
      <c r="AP30">
        <f>VLOOKUP(A30,FOXA!A$2:G$55,2,0)</f>
        <v>34.520000000000003</v>
      </c>
      <c r="AQ30">
        <f>VLOOKUP(A30,GD!A$2:G$55,2,0)</f>
        <v>117.86</v>
      </c>
      <c r="AR30">
        <f>VLOOKUP(A30,GE!A$2:G$55,2,0)</f>
        <v>25.84</v>
      </c>
      <c r="AS30">
        <f>VLOOKUP(A30,GILD!A$2:G$55,2,0)</f>
        <v>93.14</v>
      </c>
      <c r="AT30">
        <f>VLOOKUP(A30,GM!A$2:G$55,2,0)</f>
        <v>33.64</v>
      </c>
      <c r="AU30">
        <f>VLOOKUP(A30,GOOG!A$2:G$55,2,0)</f>
        <v>569.99</v>
      </c>
      <c r="AV30">
        <f>VLOOKUP(A30,GOOGL!A$2:G$55,2,0)</f>
        <v>579</v>
      </c>
      <c r="AW30">
        <f>VLOOKUP(A30,GS!A$2:G$55,2,0)</f>
        <v>172.75</v>
      </c>
      <c r="AX30">
        <f>VLOOKUP(A30,HAL!A$2:G$55,2,0)</f>
        <v>69.069999999999993</v>
      </c>
      <c r="AY30">
        <f>VLOOKUP(A30,HD!A$2:G$55,2,0)</f>
        <v>82.61</v>
      </c>
      <c r="AZ30">
        <f>VLOOKUP(A30,HON!A$2:G$55,2,0)</f>
        <v>93</v>
      </c>
      <c r="BA30">
        <f>VLOOKUP(A30,HPQ!A$2:G$55,2,0)</f>
        <v>35.43</v>
      </c>
      <c r="BB30">
        <f>VLOOKUP(A30,IBM!A$2:G$55,2,0)</f>
        <v>187.81</v>
      </c>
      <c r="BC30">
        <f>VLOOKUP(A30,INTC!A$2:G$55,2,0)</f>
        <v>32.82</v>
      </c>
      <c r="BD30">
        <f>VLOOKUP(A30,JNJ!A$2:G$55,2,0)</f>
        <v>101.62</v>
      </c>
      <c r="BE30">
        <f>VLOOKUP(A30,JPM!A$2:G$55,2,0)</f>
        <v>56.54</v>
      </c>
      <c r="BF30">
        <f>VLOOKUP(A30,KO!A$2:G$55,2,0)</f>
        <v>39.520000000000003</v>
      </c>
      <c r="BG30">
        <f>VLOOKUP(A30,LLY!A$2:G$55,2,0)</f>
        <v>61.35</v>
      </c>
      <c r="BH30">
        <f>VLOOKUP(A30,LMT!A$2:G$55,2,0)</f>
        <v>166.86</v>
      </c>
      <c r="BI30">
        <f>VLOOKUP(A30,LOW!A$2:G$55,2,0)</f>
        <v>49.84</v>
      </c>
      <c r="BJ30">
        <f>VLOOKUP(A30,MA!A$2:G$55,2,0)</f>
        <v>75.540000000000006</v>
      </c>
      <c r="BK30">
        <f>VLOOKUP(A30,MCD!A$2:G$55,2,0)</f>
        <v>93.73</v>
      </c>
      <c r="BL30">
        <f>VLOOKUP(A30,MDLZ!A$2:G$55,2,0)</f>
        <v>35.54</v>
      </c>
      <c r="BM30">
        <f>VLOOKUP(A30,MDT!A$2:G$55,2,0)</f>
        <v>62.34</v>
      </c>
      <c r="BN30">
        <f>VLOOKUP(A30,MET!A$2:G$55,2,0)</f>
        <v>51.94</v>
      </c>
      <c r="BO30">
        <f>VLOOKUP(A30,MMM!A$2:G$55,2,0)</f>
        <v>140.93</v>
      </c>
      <c r="BP30">
        <f>VLOOKUP(A30,MO!A$2:G$55,2,0)</f>
        <v>41.82</v>
      </c>
      <c r="BQ30">
        <f>VLOOKUP(A30,MON!A$2:G$55,2,0)</f>
        <v>115.45</v>
      </c>
      <c r="BR30">
        <f>VLOOKUP(A30,MRK!A$2:G$55,2,0)</f>
        <v>56.7</v>
      </c>
      <c r="BS30">
        <f>VLOOKUP(A30,MS!A$2:G$55,2,0)</f>
        <v>31.99</v>
      </c>
      <c r="BT30">
        <f>VLOOKUP(A30,MSFT!A$2:G$55,2,0)</f>
        <v>43.26</v>
      </c>
      <c r="BU30">
        <f>VLOOKUP(A30,NKE!A$2:G$55,2,0)</f>
        <v>77.48</v>
      </c>
      <c r="BV30">
        <f>VLOOKUP(A30,NOV!A$2:G$55,2,0)</f>
        <v>82.5</v>
      </c>
      <c r="BW30">
        <f>VLOOKUP(A30,NSC!A$2:G$55,2,0)</f>
        <v>101.51</v>
      </c>
      <c r="BX30">
        <f>VLOOKUP(A30,ORCL!A$2:G$55,2,0)</f>
        <v>39.99</v>
      </c>
      <c r="BY30">
        <f>VLOOKUP(A30,OXY!A$2:G$55,2,0)</f>
        <v>100.2</v>
      </c>
      <c r="BZ30">
        <f>VLOOKUP(A30,PEP!A$2:G$55,2,0)</f>
        <v>91.1</v>
      </c>
      <c r="CA30">
        <f>VLOOKUP(A30,PFE!A$2:G$55,2,0)</f>
        <v>28.53</v>
      </c>
      <c r="CB30">
        <f>VLOOKUP(A30,PG!A$2:G$55,2,0)</f>
        <v>81.23</v>
      </c>
      <c r="CC30">
        <f>VLOOKUP(A30,PM!A$2:G$55,2,0)</f>
        <v>83.97</v>
      </c>
      <c r="CD30">
        <f>VLOOKUP(A30,QCOM!A$2:G$55,2,0)</f>
        <v>74.2</v>
      </c>
      <c r="CE30">
        <f>VLOOKUP(A30,RTN!A$2:G$55,2,0)</f>
        <v>91.96</v>
      </c>
      <c r="CF30">
        <f>VLOOKUP(A30,SBUX!A$2:G$55,2,0)</f>
        <v>77.67</v>
      </c>
      <c r="CG30">
        <f>VLOOKUP(A30,SLB!A$2:G$55,2,0)</f>
        <v>108.97</v>
      </c>
      <c r="CH30">
        <f>VLOOKUP(A30,SO!A$2:G$55,2,0)</f>
        <v>43.53</v>
      </c>
      <c r="CI30">
        <f>VLOOKUP(A30,SPG!A$2:G$55,2,0)</f>
        <v>166.63</v>
      </c>
      <c r="CJ30">
        <f>VLOOKUP(A30,T!A$2:G$55,2,0)</f>
        <v>34.69</v>
      </c>
      <c r="CK30">
        <f>VLOOKUP(A30,TGT!A$2:G$55,2,0)</f>
        <v>58.6</v>
      </c>
      <c r="CL30">
        <f>VLOOKUP(A30,TWX!A$2:G$55,2,0)</f>
        <v>73.58</v>
      </c>
      <c r="CM30">
        <f>VLOOKUP(A30,TXN!A$2:G$55,2,0)</f>
        <v>46.2</v>
      </c>
      <c r="CN30">
        <f>VLOOKUP(A30,UNH!A$2:G$55,2,0)</f>
        <v>80.39</v>
      </c>
      <c r="CO30">
        <f>VLOOKUP(A30,UNP!A$2:G$55,2,0)</f>
        <v>99.1</v>
      </c>
      <c r="CP30">
        <f>VLOOKUP(A30,UPS!A$2:G$55,2,0)</f>
        <v>96.41</v>
      </c>
      <c r="CQ30">
        <f>VLOOKUP(A30,USB!A$2:G$55,2,0)</f>
        <v>41.21</v>
      </c>
      <c r="CR30">
        <f>VLOOKUP(A30,UTX!A$2:G$55,2,0)</f>
        <v>106.57</v>
      </c>
      <c r="CS30">
        <f>VLOOKUP(A30,V!A$2:G$55,2,0)</f>
        <v>211.04</v>
      </c>
      <c r="CT30">
        <f>VLOOKUP(A30,VZ!A$2:G$55,2,0)</f>
        <v>48.89</v>
      </c>
      <c r="CU30">
        <f>VLOOKUP(A30,WAG!A$2:G$55,2,0)</f>
        <v>61.7</v>
      </c>
      <c r="CV30">
        <f>VLOOKUP(A30,WFC!A$2:G$55,2,0)</f>
        <v>50.08</v>
      </c>
      <c r="CW30">
        <f>VLOOKUP(A30,WMT!A$2:G$55,2,0)</f>
        <v>74.290000000000006</v>
      </c>
    </row>
    <row r="31" spans="1:101" x14ac:dyDescent="0.25">
      <c r="A31" s="34">
        <v>41863</v>
      </c>
      <c r="B31" s="36">
        <v>96.04</v>
      </c>
      <c r="C31">
        <f>VLOOKUP(A31,ABBV!A$2:G$55,2,0)</f>
        <v>53.22</v>
      </c>
      <c r="D31">
        <f>VLOOKUP(A31,ABT!A$2:G$55,2,0)</f>
        <v>41.91</v>
      </c>
      <c r="E31">
        <f>VLOOKUP(A31,ACN!A$2:G$55,2,0)</f>
        <v>78.89</v>
      </c>
      <c r="F31">
        <f>VLOOKUP(A31,AIG!A$2:G$55,2,0)</f>
        <v>52.96</v>
      </c>
      <c r="G31">
        <f>VLOOKUP(A31,ALL!A$2:G$55,2,0)</f>
        <v>59.6</v>
      </c>
      <c r="H31">
        <f>VLOOKUP(A31,AMGN!A$2:G$55,2,0)</f>
        <v>126.22</v>
      </c>
      <c r="I31">
        <f>VLOOKUP(A31,AMZN!A$2:G$55,2,0)</f>
        <v>318.89</v>
      </c>
      <c r="J31">
        <f>VLOOKUP(A31,APA!A$2:G$55,2,0)</f>
        <v>99.58</v>
      </c>
      <c r="K31">
        <f>VLOOKUP(A31,APC!A$2:G$55,2,0)</f>
        <v>107.79</v>
      </c>
      <c r="L31">
        <f>VLOOKUP(A31,AXP!A$2:G$55,2,0)</f>
        <v>87</v>
      </c>
      <c r="M31">
        <f>VLOOKUP(A31,BA!A$2:G$55,2,0)</f>
        <v>120.51</v>
      </c>
      <c r="N31">
        <f>VLOOKUP(A31,BAC!A$2:G$55,2,0)</f>
        <v>15.18</v>
      </c>
      <c r="O31">
        <f>VLOOKUP(A31,BAX!A$2:G$55,2,0)</f>
        <v>74.22</v>
      </c>
      <c r="P31">
        <f>VLOOKUP(A31,BIIB!A$2:G$55,2,0)</f>
        <v>319.95999999999998</v>
      </c>
      <c r="Q31">
        <f>VLOOKUP(A31,BK!A$2:G$55,2,0)</f>
        <v>38.44</v>
      </c>
      <c r="R31">
        <f>VLOOKUP(A31,BMY!A$2:G$55,2,0)</f>
        <v>49.01</v>
      </c>
      <c r="T31">
        <f>VLOOKUP(A31,'C'!A$2:G$55,2,0)</f>
        <v>48.21</v>
      </c>
      <c r="U31">
        <f>VLOOKUP(A31,CAT!A$2:G$55,2,0)</f>
        <v>104.59</v>
      </c>
      <c r="V31">
        <f>VLOOKUP(A31,CL!A$2:G$55,2,0)</f>
        <v>64.53</v>
      </c>
      <c r="W31">
        <f>VLOOKUP(A31,CMCSA!A$2:G$55,2,0)</f>
        <v>53.59</v>
      </c>
      <c r="X31">
        <f>VLOOKUP(A31,COF!A$2:G$55,2,0)</f>
        <v>78.39</v>
      </c>
      <c r="Y31">
        <f>VLOOKUP(A31,COP!A$2:G$55,2,0)</f>
        <v>80.52</v>
      </c>
      <c r="Z31">
        <f>VLOOKUP(A31,COST!A$2:G$55,2,0)</f>
        <v>118.77</v>
      </c>
      <c r="AA31">
        <f>VLOOKUP(A31,CSCO!A$2:G$55,2,0)</f>
        <v>25.21</v>
      </c>
      <c r="AB31">
        <f>VLOOKUP(A31,CVS!A$2:G$55,2,0)</f>
        <v>78.209999999999994</v>
      </c>
      <c r="AC31">
        <f>VLOOKUP(A31,CVX!A$2:G$55,2,0)</f>
        <v>127.14</v>
      </c>
      <c r="AD31">
        <f>VLOOKUP(A31,DD!A$2:G$55,2,0)</f>
        <v>64.75</v>
      </c>
      <c r="AE31">
        <f>VLOOKUP(A31,DIS!A$2:G$55,2,0)</f>
        <v>87.15</v>
      </c>
      <c r="AF31">
        <f>VLOOKUP(A31,DOW!A$2:G$55,2,0)</f>
        <v>51.8</v>
      </c>
      <c r="AG31">
        <f>VLOOKUP(A31,DVN!A$2:G$55,2,0)</f>
        <v>74</v>
      </c>
      <c r="AH31">
        <f>VLOOKUP(A31,EBAY!A$2:G$55,2,0)</f>
        <v>53.87</v>
      </c>
      <c r="AI31">
        <f>VLOOKUP(A31,EMC!A$2:G$55,2,0)</f>
        <v>29.31</v>
      </c>
      <c r="AJ31">
        <f>VLOOKUP(A31,EMR!A$2:G$55,2,0)</f>
        <v>62.65</v>
      </c>
      <c r="AK31">
        <f>VLOOKUP(A31,EXC!A$2:G$55,2,0)</f>
        <v>32.06</v>
      </c>
      <c r="AL31">
        <f>VLOOKUP(A31,F!A$2:G$55,2,0)</f>
        <v>17.149999999999999</v>
      </c>
      <c r="AM31">
        <f>VLOOKUP(A31,FB!A$2:G$55,2,0)</f>
        <v>73.09</v>
      </c>
      <c r="AN31">
        <f>VLOOKUP(A31,FCX!A$2:G$55,2,0)</f>
        <v>36.74</v>
      </c>
      <c r="AO31">
        <f>VLOOKUP(A31,FDX!A$2:G$55,2,0)</f>
        <v>148.32</v>
      </c>
      <c r="AP31">
        <f>VLOOKUP(A31,FOXA!A$2:G$55,2,0)</f>
        <v>34.69</v>
      </c>
      <c r="AQ31">
        <f>VLOOKUP(A31,GD!A$2:G$55,2,0)</f>
        <v>117.72</v>
      </c>
      <c r="AR31">
        <f>VLOOKUP(A31,GE!A$2:G$55,2,0)</f>
        <v>25.85</v>
      </c>
      <c r="AS31">
        <f>VLOOKUP(A31,GILD!A$2:G$55,2,0)</f>
        <v>92.7</v>
      </c>
      <c r="AT31">
        <f>VLOOKUP(A31,GM!A$2:G$55,2,0)</f>
        <v>33.75</v>
      </c>
      <c r="AU31">
        <f>VLOOKUP(A31,GOOG!A$2:G$55,2,0)</f>
        <v>564.52</v>
      </c>
      <c r="AV31">
        <f>VLOOKUP(A31,GOOGL!A$2:G$55,2,0)</f>
        <v>575</v>
      </c>
      <c r="AW31">
        <f>VLOOKUP(A31,GS!A$2:G$55,2,0)</f>
        <v>171.78</v>
      </c>
      <c r="AX31">
        <f>VLOOKUP(A31,HAL!A$2:G$55,2,0)</f>
        <v>68.819999999999993</v>
      </c>
      <c r="AY31">
        <f>VLOOKUP(A31,HD!A$2:G$55,2,0)</f>
        <v>82.75</v>
      </c>
      <c r="AZ31">
        <f>VLOOKUP(A31,HON!A$2:G$55,2,0)</f>
        <v>92.82</v>
      </c>
      <c r="BA31">
        <f>VLOOKUP(A31,HPQ!A$2:G$55,2,0)</f>
        <v>35.28</v>
      </c>
      <c r="BB31">
        <f>VLOOKUP(A31,IBM!A$2:G$55,2,0)</f>
        <v>187.45</v>
      </c>
      <c r="BC31">
        <f>VLOOKUP(A31,INTC!A$2:G$55,2,0)</f>
        <v>32.909999999999997</v>
      </c>
      <c r="BD31">
        <f>VLOOKUP(A31,JNJ!A$2:G$55,2,0)</f>
        <v>101</v>
      </c>
      <c r="BE31">
        <f>VLOOKUP(A31,JPM!A$2:G$55,2,0)</f>
        <v>56.23</v>
      </c>
      <c r="BF31">
        <f>VLOOKUP(A31,KO!A$2:G$55,2,0)</f>
        <v>39.56</v>
      </c>
      <c r="BG31">
        <f>VLOOKUP(A31,LLY!A$2:G$55,2,0)</f>
        <v>61.07</v>
      </c>
      <c r="BH31">
        <f>VLOOKUP(A31,LMT!A$2:G$55,2,0)</f>
        <v>166.15</v>
      </c>
      <c r="BI31">
        <f>VLOOKUP(A31,LOW!A$2:G$55,2,0)</f>
        <v>49.78</v>
      </c>
      <c r="BJ31">
        <f>VLOOKUP(A31,MA!A$2:G$55,2,0)</f>
        <v>75.36</v>
      </c>
      <c r="BK31">
        <f>VLOOKUP(A31,MCD!A$2:G$55,2,0)</f>
        <v>93.43</v>
      </c>
      <c r="BL31">
        <f>VLOOKUP(A31,MDLZ!A$2:G$55,2,0)</f>
        <v>35.65</v>
      </c>
      <c r="BM31">
        <f>VLOOKUP(A31,MDT!A$2:G$55,2,0)</f>
        <v>62</v>
      </c>
      <c r="BN31">
        <f>VLOOKUP(A31,MET!A$2:G$55,2,0)</f>
        <v>51.37</v>
      </c>
      <c r="BO31">
        <f>VLOOKUP(A31,MMM!A$2:G$55,2,0)</f>
        <v>140.62</v>
      </c>
      <c r="BP31">
        <f>VLOOKUP(A31,MO!A$2:G$55,2,0)</f>
        <v>41.9</v>
      </c>
      <c r="BQ31">
        <f>VLOOKUP(A31,MON!A$2:G$55,2,0)</f>
        <v>115.35</v>
      </c>
      <c r="BR31">
        <f>VLOOKUP(A31,MRK!A$2:G$55,2,0)</f>
        <v>56.55</v>
      </c>
      <c r="BS31">
        <f>VLOOKUP(A31,MS!A$2:G$55,2,0)</f>
        <v>32.020000000000003</v>
      </c>
      <c r="BT31">
        <f>VLOOKUP(A31,MSFT!A$2:G$55,2,0)</f>
        <v>43.04</v>
      </c>
      <c r="BU31">
        <f>VLOOKUP(A31,NKE!A$2:G$55,2,0)</f>
        <v>77</v>
      </c>
      <c r="BV31">
        <f>VLOOKUP(A31,NOV!A$2:G$55,2,0)</f>
        <v>81.739999999999995</v>
      </c>
      <c r="BW31">
        <f>VLOOKUP(A31,NSC!A$2:G$55,2,0)</f>
        <v>102.28</v>
      </c>
      <c r="BX31">
        <f>VLOOKUP(A31,ORCL!A$2:G$55,2,0)</f>
        <v>39.74</v>
      </c>
      <c r="BY31">
        <f>VLOOKUP(A31,OXY!A$2:G$55,2,0)</f>
        <v>99.4</v>
      </c>
      <c r="BZ31">
        <f>VLOOKUP(A31,PEP!A$2:G$55,2,0)</f>
        <v>91.46</v>
      </c>
      <c r="CA31">
        <f>VLOOKUP(A31,PFE!A$2:G$55,2,0)</f>
        <v>28.26</v>
      </c>
      <c r="CB31">
        <f>VLOOKUP(A31,PG!A$2:G$55,2,0)</f>
        <v>81.5</v>
      </c>
      <c r="CC31">
        <f>VLOOKUP(A31,PM!A$2:G$55,2,0)</f>
        <v>84.12</v>
      </c>
      <c r="CD31">
        <f>VLOOKUP(A31,QCOM!A$2:G$55,2,0)</f>
        <v>74.86</v>
      </c>
      <c r="CE31">
        <f>VLOOKUP(A31,RTN!A$2:G$55,2,0)</f>
        <v>91.58</v>
      </c>
      <c r="CF31">
        <f>VLOOKUP(A31,SBUX!A$2:G$55,2,0)</f>
        <v>77.87</v>
      </c>
      <c r="CG31">
        <f>VLOOKUP(A31,SLB!A$2:G$55,2,0)</f>
        <v>108.95</v>
      </c>
      <c r="CH31">
        <f>VLOOKUP(A31,SO!A$2:G$55,2,0)</f>
        <v>43.05</v>
      </c>
      <c r="CI31">
        <f>VLOOKUP(A31,SPG!A$2:G$55,2,0)</f>
        <v>168.05</v>
      </c>
      <c r="CJ31">
        <f>VLOOKUP(A31,T!A$2:G$55,2,0)</f>
        <v>34.58</v>
      </c>
      <c r="CK31">
        <f>VLOOKUP(A31,TGT!A$2:G$55,2,0)</f>
        <v>58.35</v>
      </c>
      <c r="CL31">
        <f>VLOOKUP(A31,TWX!A$2:G$55,2,0)</f>
        <v>73.97</v>
      </c>
      <c r="CM31">
        <f>VLOOKUP(A31,TXN!A$2:G$55,2,0)</f>
        <v>46.25</v>
      </c>
      <c r="CN31">
        <f>VLOOKUP(A31,UNH!A$2:G$55,2,0)</f>
        <v>79.61</v>
      </c>
      <c r="CO31">
        <f>VLOOKUP(A31,UNP!A$2:G$55,2,0)</f>
        <v>99.82</v>
      </c>
      <c r="CP31">
        <f>VLOOKUP(A31,UPS!A$2:G$55,2,0)</f>
        <v>96.07</v>
      </c>
      <c r="CQ31">
        <f>VLOOKUP(A31,USB!A$2:G$55,2,0)</f>
        <v>40.9</v>
      </c>
      <c r="CR31">
        <f>VLOOKUP(A31,UTX!A$2:G$55,2,0)</f>
        <v>105.35</v>
      </c>
      <c r="CS31">
        <f>VLOOKUP(A31,V!A$2:G$55,2,0)</f>
        <v>210.09</v>
      </c>
      <c r="CT31">
        <f>VLOOKUP(A31,VZ!A$2:G$55,2,0)</f>
        <v>48.8</v>
      </c>
      <c r="CU31">
        <f>VLOOKUP(A31,WAG!A$2:G$55,2,0)</f>
        <v>62.15</v>
      </c>
      <c r="CV31">
        <f>VLOOKUP(A31,WFC!A$2:G$55,2,0)</f>
        <v>49.86</v>
      </c>
      <c r="CW31">
        <f>VLOOKUP(A31,WMT!A$2:G$55,2,0)</f>
        <v>74.31</v>
      </c>
    </row>
    <row r="32" spans="1:101" x14ac:dyDescent="0.25">
      <c r="A32" s="34">
        <v>41864</v>
      </c>
      <c r="B32" s="36">
        <v>96.15</v>
      </c>
      <c r="C32">
        <f>VLOOKUP(A32,ABBV!A$2:G$55,2,0)</f>
        <v>52.97</v>
      </c>
      <c r="D32">
        <f>VLOOKUP(A32,ABT!A$2:G$55,2,0)</f>
        <v>41.88</v>
      </c>
      <c r="E32">
        <f>VLOOKUP(A32,ACN!A$2:G$55,2,0)</f>
        <v>78.989999999999995</v>
      </c>
      <c r="F32">
        <f>VLOOKUP(A32,AIG!A$2:G$55,2,0)</f>
        <v>53.61</v>
      </c>
      <c r="G32">
        <f>VLOOKUP(A32,ALL!A$2:G$55,2,0)</f>
        <v>60.25</v>
      </c>
      <c r="H32">
        <f>VLOOKUP(A32,AMGN!A$2:G$55,2,0)</f>
        <v>126.65</v>
      </c>
      <c r="I32">
        <f>VLOOKUP(A32,AMZN!A$2:G$55,2,0)</f>
        <v>327.60000000000002</v>
      </c>
      <c r="J32">
        <f>VLOOKUP(A32,APA!A$2:G$55,2,0)</f>
        <v>98.79</v>
      </c>
      <c r="K32">
        <f>VLOOKUP(A32,APC!A$2:G$55,2,0)</f>
        <v>106.65</v>
      </c>
      <c r="L32">
        <f>VLOOKUP(A32,AXP!A$2:G$55,2,0)</f>
        <v>87.44</v>
      </c>
      <c r="M32">
        <f>VLOOKUP(A32,BA!A$2:G$55,2,0)</f>
        <v>120.67</v>
      </c>
      <c r="N32">
        <f>VLOOKUP(A32,BAC!A$2:G$55,2,0)</f>
        <v>15.25</v>
      </c>
      <c r="O32">
        <f>VLOOKUP(A32,BAX!A$2:G$55,2,0)</f>
        <v>74.69</v>
      </c>
      <c r="P32">
        <f>VLOOKUP(A32,BIIB!A$2:G$55,2,0)</f>
        <v>325.51</v>
      </c>
      <c r="Q32">
        <f>VLOOKUP(A32,BK!A$2:G$55,2,0)</f>
        <v>38.65</v>
      </c>
      <c r="R32">
        <f>VLOOKUP(A32,BMY!A$2:G$55,2,0)</f>
        <v>49.35</v>
      </c>
      <c r="T32">
        <f>VLOOKUP(A32,'C'!A$2:G$55,2,0)</f>
        <v>48.62</v>
      </c>
      <c r="U32">
        <f>VLOOKUP(A32,CAT!A$2:G$55,2,0)</f>
        <v>104.33</v>
      </c>
      <c r="V32">
        <f>VLOOKUP(A32,CL!A$2:G$55,2,0)</f>
        <v>64.599999999999994</v>
      </c>
      <c r="W32">
        <f>VLOOKUP(A32,CMCSA!A$2:G$55,2,0)</f>
        <v>54.09</v>
      </c>
      <c r="X32">
        <f>VLOOKUP(A32,COF!A$2:G$55,2,0)</f>
        <v>79.64</v>
      </c>
      <c r="Y32">
        <f>VLOOKUP(A32,COP!A$2:G$55,2,0)</f>
        <v>81.19</v>
      </c>
      <c r="Z32">
        <f>VLOOKUP(A32,COST!A$2:G$55,2,0)</f>
        <v>119</v>
      </c>
      <c r="AA32">
        <f>VLOOKUP(A32,CSCO!A$2:G$55,2,0)</f>
        <v>25.17</v>
      </c>
      <c r="AB32">
        <f>VLOOKUP(A32,CVS!A$2:G$55,2,0)</f>
        <v>78.930000000000007</v>
      </c>
      <c r="AC32">
        <f>VLOOKUP(A32,CVX!A$2:G$55,2,0)</f>
        <v>127.64</v>
      </c>
      <c r="AD32">
        <f>VLOOKUP(A32,DD!A$2:G$55,2,0)</f>
        <v>65.09</v>
      </c>
      <c r="AE32">
        <f>VLOOKUP(A32,DIS!A$2:G$55,2,0)</f>
        <v>87.74</v>
      </c>
      <c r="AF32">
        <f>VLOOKUP(A32,DOW!A$2:G$55,2,0)</f>
        <v>52.05</v>
      </c>
      <c r="AG32">
        <f>VLOOKUP(A32,DVN!A$2:G$55,2,0)</f>
        <v>73.27</v>
      </c>
      <c r="AH32">
        <f>VLOOKUP(A32,EBAY!A$2:G$55,2,0)</f>
        <v>52.76</v>
      </c>
      <c r="AI32">
        <f>VLOOKUP(A32,EMC!A$2:G$55,2,0)</f>
        <v>29.41</v>
      </c>
      <c r="AJ32">
        <f>VLOOKUP(A32,EMR!A$2:G$55,2,0)</f>
        <v>62.49</v>
      </c>
      <c r="AK32">
        <f>VLOOKUP(A32,EXC!A$2:G$55,2,0)</f>
        <v>31.58</v>
      </c>
      <c r="AL32">
        <f>VLOOKUP(A32,F!A$2:G$55,2,0)</f>
        <v>17.48</v>
      </c>
      <c r="AM32">
        <f>VLOOKUP(A32,FB!A$2:G$55,2,0)</f>
        <v>73.12</v>
      </c>
      <c r="AN32">
        <f>VLOOKUP(A32,FCX!A$2:G$55,2,0)</f>
        <v>36.83</v>
      </c>
      <c r="AO32">
        <f>VLOOKUP(A32,FDX!A$2:G$55,2,0)</f>
        <v>149</v>
      </c>
      <c r="AP32">
        <f>VLOOKUP(A32,FOXA!A$2:G$55,2,0)</f>
        <v>35.11</v>
      </c>
      <c r="AQ32">
        <f>VLOOKUP(A32,GD!A$2:G$55,2,0)</f>
        <v>117.85</v>
      </c>
      <c r="AR32">
        <f>VLOOKUP(A32,GE!A$2:G$55,2,0)</f>
        <v>25.72</v>
      </c>
      <c r="AS32">
        <f>VLOOKUP(A32,GILD!A$2:G$55,2,0)</f>
        <v>93.5</v>
      </c>
      <c r="AT32">
        <f>VLOOKUP(A32,GM!A$2:G$55,2,0)</f>
        <v>33.93</v>
      </c>
      <c r="AU32">
        <f>VLOOKUP(A32,GOOG!A$2:G$55,2,0)</f>
        <v>567.30999999999995</v>
      </c>
      <c r="AV32">
        <f>VLOOKUP(A32,GOOGL!A$2:G$55,2,0)</f>
        <v>576.45000000000005</v>
      </c>
      <c r="AW32">
        <f>VLOOKUP(A32,GS!A$2:G$55,2,0)</f>
        <v>172.4</v>
      </c>
      <c r="AX32">
        <f>VLOOKUP(A32,HAL!A$2:G$55,2,0)</f>
        <v>69.430000000000007</v>
      </c>
      <c r="AY32">
        <f>VLOOKUP(A32,HD!A$2:G$55,2,0)</f>
        <v>82.98</v>
      </c>
      <c r="AZ32">
        <f>VLOOKUP(A32,HON!A$2:G$55,2,0)</f>
        <v>93.28</v>
      </c>
      <c r="BA32">
        <f>VLOOKUP(A32,HPQ!A$2:G$55,2,0)</f>
        <v>35.26</v>
      </c>
      <c r="BB32">
        <f>VLOOKUP(A32,IBM!A$2:G$55,2,0)</f>
        <v>188</v>
      </c>
      <c r="BC32">
        <f>VLOOKUP(A32,INTC!A$2:G$55,2,0)</f>
        <v>33.24</v>
      </c>
      <c r="BD32">
        <f>VLOOKUP(A32,JNJ!A$2:G$55,2,0)</f>
        <v>101.15</v>
      </c>
      <c r="BE32">
        <f>VLOOKUP(A32,JPM!A$2:G$55,2,0)</f>
        <v>56.69</v>
      </c>
      <c r="BF32">
        <f>VLOOKUP(A32,KO!A$2:G$55,2,0)</f>
        <v>39.700000000000003</v>
      </c>
      <c r="BG32">
        <f>VLOOKUP(A32,LLY!A$2:G$55,2,0)</f>
        <v>61.24</v>
      </c>
      <c r="BH32">
        <f>VLOOKUP(A32,LMT!A$2:G$55,2,0)</f>
        <v>166.15</v>
      </c>
      <c r="BI32">
        <f>VLOOKUP(A32,LOW!A$2:G$55,2,0)</f>
        <v>49.91</v>
      </c>
      <c r="BJ32">
        <f>VLOOKUP(A32,MA!A$2:G$55,2,0)</f>
        <v>75.849999999999994</v>
      </c>
      <c r="BK32">
        <f>VLOOKUP(A32,MCD!A$2:G$55,2,0)</f>
        <v>93.75</v>
      </c>
      <c r="BL32">
        <f>VLOOKUP(A32,MDLZ!A$2:G$55,2,0)</f>
        <v>35.68</v>
      </c>
      <c r="BM32">
        <f>VLOOKUP(A32,MDT!A$2:G$55,2,0)</f>
        <v>62.54</v>
      </c>
      <c r="BN32">
        <f>VLOOKUP(A32,MET!A$2:G$55,2,0)</f>
        <v>52.54</v>
      </c>
      <c r="BO32">
        <f>VLOOKUP(A32,MMM!A$2:G$55,2,0)</f>
        <v>141.35</v>
      </c>
      <c r="BP32">
        <f>VLOOKUP(A32,MO!A$2:G$55,2,0)</f>
        <v>42.08</v>
      </c>
      <c r="BQ32">
        <f>VLOOKUP(A32,MON!A$2:G$55,2,0)</f>
        <v>115.74</v>
      </c>
      <c r="BR32">
        <f>VLOOKUP(A32,MRK!A$2:G$55,2,0)</f>
        <v>57.39</v>
      </c>
      <c r="BS32">
        <f>VLOOKUP(A32,MS!A$2:G$55,2,0)</f>
        <v>32.15</v>
      </c>
      <c r="BT32">
        <f>VLOOKUP(A32,MSFT!A$2:G$55,2,0)</f>
        <v>43.68</v>
      </c>
      <c r="BU32">
        <f>VLOOKUP(A32,NKE!A$2:G$55,2,0)</f>
        <v>77.08</v>
      </c>
      <c r="BV32">
        <f>VLOOKUP(A32,NOV!A$2:G$55,2,0)</f>
        <v>82.35</v>
      </c>
      <c r="BW32">
        <f>VLOOKUP(A32,NSC!A$2:G$55,2,0)</f>
        <v>102.49</v>
      </c>
      <c r="BX32">
        <f>VLOOKUP(A32,ORCL!A$2:G$55,2,0)</f>
        <v>40.119999999999997</v>
      </c>
      <c r="BY32">
        <f>VLOOKUP(A32,OXY!A$2:G$55,2,0)</f>
        <v>99.99</v>
      </c>
      <c r="BZ32">
        <f>VLOOKUP(A32,PEP!A$2:G$55,2,0)</f>
        <v>91.56</v>
      </c>
      <c r="CA32">
        <f>VLOOKUP(A32,PFE!A$2:G$55,2,0)</f>
        <v>28.25</v>
      </c>
      <c r="CB32">
        <f>VLOOKUP(A32,PG!A$2:G$55,2,0)</f>
        <v>81.64</v>
      </c>
      <c r="CC32">
        <f>VLOOKUP(A32,PM!A$2:G$55,2,0)</f>
        <v>84.44</v>
      </c>
      <c r="CD32">
        <f>VLOOKUP(A32,QCOM!A$2:G$55,2,0)</f>
        <v>74.58</v>
      </c>
      <c r="CE32">
        <f>VLOOKUP(A32,RTN!A$2:G$55,2,0)</f>
        <v>91.74</v>
      </c>
      <c r="CF32">
        <f>VLOOKUP(A32,SBUX!A$2:G$55,2,0)</f>
        <v>78.099999999999994</v>
      </c>
      <c r="CG32">
        <f>VLOOKUP(A32,SLB!A$2:G$55,2,0)</f>
        <v>108.69</v>
      </c>
      <c r="CH32">
        <f>VLOOKUP(A32,SO!A$2:G$55,2,0)</f>
        <v>42.85</v>
      </c>
      <c r="CI32">
        <f>VLOOKUP(A32,SPG!A$2:G$55,2,0)</f>
        <v>166.45</v>
      </c>
      <c r="CJ32">
        <f>VLOOKUP(A32,T!A$2:G$55,2,0)</f>
        <v>34.75</v>
      </c>
      <c r="CK32">
        <f>VLOOKUP(A32,TGT!A$2:G$55,2,0)</f>
        <v>58.43</v>
      </c>
      <c r="CL32">
        <f>VLOOKUP(A32,TWX!A$2:G$55,2,0)</f>
        <v>73.37</v>
      </c>
      <c r="CM32">
        <f>VLOOKUP(A32,TXN!A$2:G$55,2,0)</f>
        <v>47.2</v>
      </c>
      <c r="CN32">
        <f>VLOOKUP(A32,UNH!A$2:G$55,2,0)</f>
        <v>80.62</v>
      </c>
      <c r="CO32">
        <f>VLOOKUP(A32,UNP!A$2:G$55,2,0)</f>
        <v>99.94</v>
      </c>
      <c r="CP32">
        <f>VLOOKUP(A32,UPS!A$2:G$55,2,0)</f>
        <v>96.55</v>
      </c>
      <c r="CQ32">
        <f>VLOOKUP(A32,USB!A$2:G$55,2,0)</f>
        <v>41.34</v>
      </c>
      <c r="CR32">
        <f>VLOOKUP(A32,UTX!A$2:G$55,2,0)</f>
        <v>104.78</v>
      </c>
      <c r="CS32">
        <f>VLOOKUP(A32,V!A$2:G$55,2,0)</f>
        <v>210.95</v>
      </c>
      <c r="CT32">
        <f>VLOOKUP(A32,VZ!A$2:G$55,2,0)</f>
        <v>49</v>
      </c>
      <c r="CU32">
        <f>VLOOKUP(A32,WAG!A$2:G$55,2,0)</f>
        <v>62.54</v>
      </c>
      <c r="CV32">
        <f>VLOOKUP(A32,WFC!A$2:G$55,2,0)</f>
        <v>50.02</v>
      </c>
      <c r="CW32">
        <f>VLOOKUP(A32,WMT!A$2:G$55,2,0)</f>
        <v>74.27</v>
      </c>
    </row>
    <row r="33" spans="1:101" x14ac:dyDescent="0.25">
      <c r="A33" s="34">
        <v>41865</v>
      </c>
      <c r="B33" s="36">
        <v>97.33</v>
      </c>
      <c r="C33">
        <f>VLOOKUP(A33,ABBV!A$2:G$55,2,0)</f>
        <v>53.62</v>
      </c>
      <c r="D33">
        <f>VLOOKUP(A33,ABT!A$2:G$55,2,0)</f>
        <v>42.15</v>
      </c>
      <c r="E33">
        <f>VLOOKUP(A33,ACN!A$2:G$55,2,0)</f>
        <v>79.19</v>
      </c>
      <c r="F33">
        <f>VLOOKUP(A33,AIG!A$2:G$55,2,0)</f>
        <v>53.64</v>
      </c>
      <c r="G33">
        <f>VLOOKUP(A33,ALL!A$2:G$55,2,0)</f>
        <v>60.19</v>
      </c>
      <c r="H33">
        <f>VLOOKUP(A33,AMGN!A$2:G$55,2,0)</f>
        <v>125.2</v>
      </c>
      <c r="I33">
        <f>VLOOKUP(A33,AMZN!A$2:G$55,2,0)</f>
        <v>327.8</v>
      </c>
      <c r="J33">
        <f>VLOOKUP(A33,APA!A$2:G$55,2,0)</f>
        <v>99.05</v>
      </c>
      <c r="K33">
        <f>VLOOKUP(A33,APC!A$2:G$55,2,0)</f>
        <v>106.6</v>
      </c>
      <c r="L33">
        <f>VLOOKUP(A33,AXP!A$2:G$55,2,0)</f>
        <v>87.5</v>
      </c>
      <c r="M33">
        <f>VLOOKUP(A33,BA!A$2:G$55,2,0)</f>
        <v>122.2</v>
      </c>
      <c r="N33">
        <f>VLOOKUP(A33,BAC!A$2:G$55,2,0)</f>
        <v>15.26</v>
      </c>
      <c r="O33">
        <f>VLOOKUP(A33,BAX!A$2:G$55,2,0)</f>
        <v>75.22</v>
      </c>
      <c r="P33">
        <f>VLOOKUP(A33,BIIB!A$2:G$55,2,0)</f>
        <v>335.05</v>
      </c>
      <c r="Q33">
        <f>VLOOKUP(A33,BK!A$2:G$55,2,0)</f>
        <v>38.51</v>
      </c>
      <c r="R33">
        <f>VLOOKUP(A33,BMY!A$2:G$55,2,0)</f>
        <v>49.3</v>
      </c>
      <c r="T33">
        <f>VLOOKUP(A33,'C'!A$2:G$55,2,0)</f>
        <v>48.83</v>
      </c>
      <c r="U33">
        <f>VLOOKUP(A33,CAT!A$2:G$55,2,0)</f>
        <v>105.51</v>
      </c>
      <c r="V33">
        <f>VLOOKUP(A33,CL!A$2:G$55,2,0)</f>
        <v>64.400000000000006</v>
      </c>
      <c r="W33">
        <f>VLOOKUP(A33,CMCSA!A$2:G$55,2,0)</f>
        <v>54.19</v>
      </c>
      <c r="X33">
        <f>VLOOKUP(A33,COF!A$2:G$55,2,0)</f>
        <v>79.91</v>
      </c>
      <c r="Y33">
        <f>VLOOKUP(A33,COP!A$2:G$55,2,0)</f>
        <v>81.12</v>
      </c>
      <c r="Z33">
        <f>VLOOKUP(A33,COST!A$2:G$55,2,0)</f>
        <v>118.51</v>
      </c>
      <c r="AA33">
        <f>VLOOKUP(A33,CSCO!A$2:G$55,2,0)</f>
        <v>24.94</v>
      </c>
      <c r="AB33">
        <f>VLOOKUP(A33,CVS!A$2:G$55,2,0)</f>
        <v>79.06</v>
      </c>
      <c r="AC33">
        <f>VLOOKUP(A33,CVX!A$2:G$55,2,0)</f>
        <v>127.68</v>
      </c>
      <c r="AD33">
        <f>VLOOKUP(A33,DD!A$2:G$55,2,0)</f>
        <v>64.709999999999994</v>
      </c>
      <c r="AE33">
        <f>VLOOKUP(A33,DIS!A$2:G$55,2,0)</f>
        <v>88.03</v>
      </c>
      <c r="AF33">
        <f>VLOOKUP(A33,DOW!A$2:G$55,2,0)</f>
        <v>52.56</v>
      </c>
      <c r="AG33">
        <f>VLOOKUP(A33,DVN!A$2:G$55,2,0)</f>
        <v>72.930000000000007</v>
      </c>
      <c r="AH33">
        <f>VLOOKUP(A33,EBAY!A$2:G$55,2,0)</f>
        <v>52.88</v>
      </c>
      <c r="AI33">
        <f>VLOOKUP(A33,EMC!A$2:G$55,2,0)</f>
        <v>29.52</v>
      </c>
      <c r="AJ33">
        <f>VLOOKUP(A33,EMR!A$2:G$55,2,0)</f>
        <v>62.93</v>
      </c>
      <c r="AK33">
        <f>VLOOKUP(A33,EXC!A$2:G$55,2,0)</f>
        <v>31.55</v>
      </c>
      <c r="AL33">
        <f>VLOOKUP(A33,F!A$2:G$55,2,0)</f>
        <v>17.399999999999999</v>
      </c>
      <c r="AM33">
        <f>VLOOKUP(A33,FB!A$2:G$55,2,0)</f>
        <v>73.97</v>
      </c>
      <c r="AN33">
        <f>VLOOKUP(A33,FCX!A$2:G$55,2,0)</f>
        <v>35.950000000000003</v>
      </c>
      <c r="AO33">
        <f>VLOOKUP(A33,FDX!A$2:G$55,2,0)</f>
        <v>149.63999999999999</v>
      </c>
      <c r="AP33">
        <f>VLOOKUP(A33,FOXA!A$2:G$55,2,0)</f>
        <v>35.29</v>
      </c>
      <c r="AQ33">
        <f>VLOOKUP(A33,GD!A$2:G$55,2,0)</f>
        <v>119.35</v>
      </c>
      <c r="AR33">
        <f>VLOOKUP(A33,GE!A$2:G$55,2,0)</f>
        <v>25.89</v>
      </c>
      <c r="AS33">
        <f>VLOOKUP(A33,GILD!A$2:G$55,2,0)</f>
        <v>94.58</v>
      </c>
      <c r="AT33">
        <f>VLOOKUP(A33,GM!A$2:G$55,2,0)</f>
        <v>33.81</v>
      </c>
      <c r="AU33">
        <f>VLOOKUP(A33,GOOG!A$2:G$55,2,0)</f>
        <v>576.17999999999995</v>
      </c>
      <c r="AV33">
        <f>VLOOKUP(A33,GOOGL!A$2:G$55,2,0)</f>
        <v>586.69000000000005</v>
      </c>
      <c r="AW33">
        <f>VLOOKUP(A33,GS!A$2:G$55,2,0)</f>
        <v>172.8</v>
      </c>
      <c r="AX33">
        <f>VLOOKUP(A33,HAL!A$2:G$55,2,0)</f>
        <v>69.83</v>
      </c>
      <c r="AY33">
        <f>VLOOKUP(A33,HD!A$2:G$55,2,0)</f>
        <v>83.09</v>
      </c>
      <c r="AZ33">
        <f>VLOOKUP(A33,HON!A$2:G$55,2,0)</f>
        <v>94.47</v>
      </c>
      <c r="BA33">
        <f>VLOOKUP(A33,HPQ!A$2:G$55,2,0)</f>
        <v>35.299999999999997</v>
      </c>
      <c r="BB33">
        <f>VLOOKUP(A33,IBM!A$2:G$55,2,0)</f>
        <v>187.57</v>
      </c>
      <c r="BC33">
        <f>VLOOKUP(A33,INTC!A$2:G$55,2,0)</f>
        <v>34.049999999999997</v>
      </c>
      <c r="BD33">
        <f>VLOOKUP(A33,JNJ!A$2:G$55,2,0)</f>
        <v>101.89</v>
      </c>
      <c r="BE33">
        <f>VLOOKUP(A33,JPM!A$2:G$55,2,0)</f>
        <v>56.77</v>
      </c>
      <c r="BF33">
        <f>VLOOKUP(A33,KO!A$2:G$55,2,0)</f>
        <v>39.93</v>
      </c>
      <c r="BG33">
        <f>VLOOKUP(A33,LLY!A$2:G$55,2,0)</f>
        <v>60.78</v>
      </c>
      <c r="BH33">
        <f>VLOOKUP(A33,LMT!A$2:G$55,2,0)</f>
        <v>169.34</v>
      </c>
      <c r="BI33">
        <f>VLOOKUP(A33,LOW!A$2:G$55,2,0)</f>
        <v>49.96</v>
      </c>
      <c r="BJ33">
        <f>VLOOKUP(A33,MA!A$2:G$55,2,0)</f>
        <v>76.599999999999994</v>
      </c>
      <c r="BK33">
        <f>VLOOKUP(A33,MCD!A$2:G$55,2,0)</f>
        <v>93.65</v>
      </c>
      <c r="BL33">
        <f>VLOOKUP(A33,MDLZ!A$2:G$55,2,0)</f>
        <v>35.79</v>
      </c>
      <c r="BM33">
        <f>VLOOKUP(A33,MDT!A$2:G$55,2,0)</f>
        <v>63.61</v>
      </c>
      <c r="BN33">
        <f>VLOOKUP(A33,MET!A$2:G$55,2,0)</f>
        <v>52.49</v>
      </c>
      <c r="BO33">
        <f>VLOOKUP(A33,MMM!A$2:G$55,2,0)</f>
        <v>142</v>
      </c>
      <c r="BP33">
        <f>VLOOKUP(A33,MO!A$2:G$55,2,0)</f>
        <v>42.11</v>
      </c>
      <c r="BQ33">
        <f>VLOOKUP(A33,MON!A$2:G$55,2,0)</f>
        <v>116.81</v>
      </c>
      <c r="BR33">
        <f>VLOOKUP(A33,MRK!A$2:G$55,2,0)</f>
        <v>58.05</v>
      </c>
      <c r="BS33">
        <f>VLOOKUP(A33,MS!A$2:G$55,2,0)</f>
        <v>32.07</v>
      </c>
      <c r="BT33">
        <f>VLOOKUP(A33,MSFT!A$2:G$55,2,0)</f>
        <v>44.08</v>
      </c>
      <c r="BU33">
        <f>VLOOKUP(A33,NKE!A$2:G$55,2,0)</f>
        <v>77.52</v>
      </c>
      <c r="BV33">
        <f>VLOOKUP(A33,NOV!A$2:G$55,2,0)</f>
        <v>82.29</v>
      </c>
      <c r="BW33">
        <f>VLOOKUP(A33,NSC!A$2:G$55,2,0)</f>
        <v>103.29</v>
      </c>
      <c r="BX33">
        <f>VLOOKUP(A33,ORCL!A$2:G$55,2,0)</f>
        <v>40.29</v>
      </c>
      <c r="BY33">
        <f>VLOOKUP(A33,OXY!A$2:G$55,2,0)</f>
        <v>100.29</v>
      </c>
      <c r="BZ33">
        <f>VLOOKUP(A33,PEP!A$2:G$55,2,0)</f>
        <v>91.82</v>
      </c>
      <c r="CA33">
        <f>VLOOKUP(A33,PFE!A$2:G$55,2,0)</f>
        <v>28.26</v>
      </c>
      <c r="CB33">
        <f>VLOOKUP(A33,PG!A$2:G$55,2,0)</f>
        <v>81.59</v>
      </c>
      <c r="CC33">
        <f>VLOOKUP(A33,PM!A$2:G$55,2,0)</f>
        <v>84.49</v>
      </c>
      <c r="CD33">
        <f>VLOOKUP(A33,QCOM!A$2:G$55,2,0)</f>
        <v>74.760000000000005</v>
      </c>
      <c r="CE33">
        <f>VLOOKUP(A33,RTN!A$2:G$55,2,0)</f>
        <v>93.53</v>
      </c>
      <c r="CF33">
        <f>VLOOKUP(A33,SBUX!A$2:G$55,2,0)</f>
        <v>77.48</v>
      </c>
      <c r="CG33">
        <f>VLOOKUP(A33,SLB!A$2:G$55,2,0)</f>
        <v>107.96</v>
      </c>
      <c r="CH33">
        <f>VLOOKUP(A33,SO!A$2:G$55,2,0)</f>
        <v>43.15</v>
      </c>
      <c r="CI33">
        <f>VLOOKUP(A33,SPG!A$2:G$55,2,0)</f>
        <v>169.13</v>
      </c>
      <c r="CJ33">
        <f>VLOOKUP(A33,T!A$2:G$55,2,0)</f>
        <v>34.83</v>
      </c>
      <c r="CK33">
        <f>VLOOKUP(A33,TGT!A$2:G$55,2,0)</f>
        <v>58.2</v>
      </c>
      <c r="CL33">
        <f>VLOOKUP(A33,TWX!A$2:G$55,2,0)</f>
        <v>74.680000000000007</v>
      </c>
      <c r="CM33">
        <f>VLOOKUP(A33,TXN!A$2:G$55,2,0)</f>
        <v>47.18</v>
      </c>
      <c r="CN33">
        <f>VLOOKUP(A33,UNH!A$2:G$55,2,0)</f>
        <v>81.709999999999994</v>
      </c>
      <c r="CO33">
        <f>VLOOKUP(A33,UNP!A$2:G$55,2,0)</f>
        <v>100.92</v>
      </c>
      <c r="CP33">
        <f>VLOOKUP(A33,UPS!A$2:G$55,2,0)</f>
        <v>96.28</v>
      </c>
      <c r="CQ33">
        <f>VLOOKUP(A33,USB!A$2:G$55,2,0)</f>
        <v>41.35</v>
      </c>
      <c r="CR33">
        <f>VLOOKUP(A33,UTX!A$2:G$55,2,0)</f>
        <v>105.55</v>
      </c>
      <c r="CS33">
        <f>VLOOKUP(A33,V!A$2:G$55,2,0)</f>
        <v>212.09</v>
      </c>
      <c r="CT33">
        <f>VLOOKUP(A33,VZ!A$2:G$55,2,0)</f>
        <v>49.02</v>
      </c>
      <c r="CU33">
        <f>VLOOKUP(A33,WAG!A$2:G$55,2,0)</f>
        <v>62.51</v>
      </c>
      <c r="CV33">
        <f>VLOOKUP(A33,WFC!A$2:G$55,2,0)</f>
        <v>50.11</v>
      </c>
      <c r="CW33">
        <f>VLOOKUP(A33,WMT!A$2:G$55,2,0)</f>
        <v>73.89</v>
      </c>
    </row>
    <row r="34" spans="1:101" x14ac:dyDescent="0.25">
      <c r="A34" s="34">
        <v>41866</v>
      </c>
      <c r="B34" s="36">
        <v>97.9</v>
      </c>
      <c r="C34">
        <f>VLOOKUP(A34,ABBV!A$2:G$55,2,0)</f>
        <v>54.34</v>
      </c>
      <c r="D34">
        <f>VLOOKUP(A34,ABT!A$2:G$55,2,0)</f>
        <v>42.36</v>
      </c>
      <c r="E34">
        <f>VLOOKUP(A34,ACN!A$2:G$55,2,0)</f>
        <v>79.48</v>
      </c>
      <c r="F34">
        <f>VLOOKUP(A34,AIG!A$2:G$55,2,0)</f>
        <v>54.32</v>
      </c>
      <c r="G34">
        <f>VLOOKUP(A34,ALL!A$2:G$55,2,0)</f>
        <v>60.95</v>
      </c>
      <c r="H34">
        <f>VLOOKUP(A34,AMGN!A$2:G$55,2,0)</f>
        <v>133.31</v>
      </c>
      <c r="I34">
        <f>VLOOKUP(A34,AMZN!A$2:G$55,2,0)</f>
        <v>334</v>
      </c>
      <c r="J34">
        <f>VLOOKUP(A34,APA!A$2:G$55,2,0)</f>
        <v>98.44</v>
      </c>
      <c r="K34">
        <f>VLOOKUP(A34,APC!A$2:G$55,2,0)</f>
        <v>106.4</v>
      </c>
      <c r="L34">
        <f>VLOOKUP(A34,AXP!A$2:G$55,2,0)</f>
        <v>87.78</v>
      </c>
      <c r="M34">
        <f>VLOOKUP(A34,BA!A$2:G$55,2,0)</f>
        <v>124.5</v>
      </c>
      <c r="N34">
        <f>VLOOKUP(A34,BAC!A$2:G$55,2,0)</f>
        <v>15.34</v>
      </c>
      <c r="O34">
        <f>VLOOKUP(A34,BAX!A$2:G$55,2,0)</f>
        <v>74.989999999999995</v>
      </c>
      <c r="P34">
        <f>VLOOKUP(A34,BIIB!A$2:G$55,2,0)</f>
        <v>339.25</v>
      </c>
      <c r="Q34">
        <f>VLOOKUP(A34,BK!A$2:G$55,2,0)</f>
        <v>38.4</v>
      </c>
      <c r="R34">
        <f>VLOOKUP(A34,BMY!A$2:G$55,2,0)</f>
        <v>49.98</v>
      </c>
      <c r="T34">
        <f>VLOOKUP(A34,'C'!A$2:G$55,2,0)</f>
        <v>49.29</v>
      </c>
      <c r="U34">
        <f>VLOOKUP(A34,CAT!A$2:G$55,2,0)</f>
        <v>106.01</v>
      </c>
      <c r="V34">
        <f>VLOOKUP(A34,CL!A$2:G$55,2,0)</f>
        <v>64.400000000000006</v>
      </c>
      <c r="W34">
        <f>VLOOKUP(A34,CMCSA!A$2:G$55,2,0)</f>
        <v>54.8</v>
      </c>
      <c r="X34">
        <f>VLOOKUP(A34,COF!A$2:G$55,2,0)</f>
        <v>80.17</v>
      </c>
      <c r="Y34">
        <f>VLOOKUP(A34,COP!A$2:G$55,2,0)</f>
        <v>80.260000000000005</v>
      </c>
      <c r="Z34">
        <f>VLOOKUP(A34,COST!A$2:G$55,2,0)</f>
        <v>119.91</v>
      </c>
      <c r="AA34">
        <f>VLOOKUP(A34,CSCO!A$2:G$55,2,0)</f>
        <v>24.66</v>
      </c>
      <c r="AB34">
        <f>VLOOKUP(A34,CVS!A$2:G$55,2,0)</f>
        <v>79.3</v>
      </c>
      <c r="AC34">
        <f>VLOOKUP(A34,CVX!A$2:G$55,2,0)</f>
        <v>126.42</v>
      </c>
      <c r="AD34">
        <f>VLOOKUP(A34,DD!A$2:G$55,2,0)</f>
        <v>65.400000000000006</v>
      </c>
      <c r="AE34">
        <f>VLOOKUP(A34,DIS!A$2:G$55,2,0)</f>
        <v>89.02</v>
      </c>
      <c r="AF34">
        <f>VLOOKUP(A34,DOW!A$2:G$55,2,0)</f>
        <v>52.2</v>
      </c>
      <c r="AG34">
        <f>VLOOKUP(A34,DVN!A$2:G$55,2,0)</f>
        <v>72.89</v>
      </c>
      <c r="AH34">
        <f>VLOOKUP(A34,EBAY!A$2:G$55,2,0)</f>
        <v>53.38</v>
      </c>
      <c r="AI34">
        <f>VLOOKUP(A34,EMC!A$2:G$55,2,0)</f>
        <v>29.84</v>
      </c>
      <c r="AJ34">
        <f>VLOOKUP(A34,EMR!A$2:G$55,2,0)</f>
        <v>63.24</v>
      </c>
      <c r="AK34">
        <f>VLOOKUP(A34,EXC!A$2:G$55,2,0)</f>
        <v>31.85</v>
      </c>
      <c r="AL34">
        <f>VLOOKUP(A34,F!A$2:G$55,2,0)</f>
        <v>17.489999999999998</v>
      </c>
      <c r="AM34">
        <f>VLOOKUP(A34,FB!A$2:G$55,2,0)</f>
        <v>74.319999999999993</v>
      </c>
      <c r="AN34">
        <f>VLOOKUP(A34,FCX!A$2:G$55,2,0)</f>
        <v>36.14</v>
      </c>
      <c r="AO34">
        <f>VLOOKUP(A34,FDX!A$2:G$55,2,0)</f>
        <v>150.04</v>
      </c>
      <c r="AP34">
        <f>VLOOKUP(A34,FOXA!A$2:G$55,2,0)</f>
        <v>36.01</v>
      </c>
      <c r="AQ34">
        <f>VLOOKUP(A34,GD!A$2:G$55,2,0)</f>
        <v>119.55</v>
      </c>
      <c r="AR34">
        <f>VLOOKUP(A34,GE!A$2:G$55,2,0)</f>
        <v>25.95</v>
      </c>
      <c r="AS34">
        <f>VLOOKUP(A34,GILD!A$2:G$55,2,0)</f>
        <v>98.42</v>
      </c>
      <c r="AT34">
        <f>VLOOKUP(A34,GM!A$2:G$55,2,0)</f>
        <v>34.049999999999997</v>
      </c>
      <c r="AU34">
        <f>VLOOKUP(A34,GOOG!A$2:G$55,2,0)</f>
        <v>577.86</v>
      </c>
      <c r="AV34">
        <f>VLOOKUP(A34,GOOGL!A$2:G$55,2,0)</f>
        <v>587.5</v>
      </c>
      <c r="AW34">
        <f>VLOOKUP(A34,GS!A$2:G$55,2,0)</f>
        <v>172.84</v>
      </c>
      <c r="AX34">
        <f>VLOOKUP(A34,HAL!A$2:G$55,2,0)</f>
        <v>67.790000000000006</v>
      </c>
      <c r="AY34">
        <f>VLOOKUP(A34,HD!A$2:G$55,2,0)</f>
        <v>84.04</v>
      </c>
      <c r="AZ34">
        <f>VLOOKUP(A34,HON!A$2:G$55,2,0)</f>
        <v>94.49</v>
      </c>
      <c r="BA34">
        <f>VLOOKUP(A34,HPQ!A$2:G$55,2,0)</f>
        <v>35.729999999999997</v>
      </c>
      <c r="BB34">
        <f>VLOOKUP(A34,IBM!A$2:G$55,2,0)</f>
        <v>187.85</v>
      </c>
      <c r="BC34">
        <f>VLOOKUP(A34,INTC!A$2:G$55,2,0)</f>
        <v>34.1</v>
      </c>
      <c r="BD34">
        <f>VLOOKUP(A34,JNJ!A$2:G$55,2,0)</f>
        <v>102.21</v>
      </c>
      <c r="BE34">
        <f>VLOOKUP(A34,JPM!A$2:G$55,2,0)</f>
        <v>57.24</v>
      </c>
      <c r="BF34">
        <f>VLOOKUP(A34,KO!A$2:G$55,2,0)</f>
        <v>40.85</v>
      </c>
      <c r="BG34">
        <f>VLOOKUP(A34,LLY!A$2:G$55,2,0)</f>
        <v>61.33</v>
      </c>
      <c r="BH34">
        <f>VLOOKUP(A34,LMT!A$2:G$55,2,0)</f>
        <v>169.91</v>
      </c>
      <c r="BI34">
        <f>VLOOKUP(A34,LOW!A$2:G$55,2,0)</f>
        <v>50.56</v>
      </c>
      <c r="BJ34">
        <f>VLOOKUP(A34,MA!A$2:G$55,2,0)</f>
        <v>76.41</v>
      </c>
      <c r="BK34">
        <f>VLOOKUP(A34,MCD!A$2:G$55,2,0)</f>
        <v>94.07</v>
      </c>
      <c r="BL34">
        <f>VLOOKUP(A34,MDLZ!A$2:G$55,2,0)</f>
        <v>36</v>
      </c>
      <c r="BM34">
        <f>VLOOKUP(A34,MDT!A$2:G$55,2,0)</f>
        <v>63.52</v>
      </c>
      <c r="BN34">
        <f>VLOOKUP(A34,MET!A$2:G$55,2,0)</f>
        <v>53.05</v>
      </c>
      <c r="BO34">
        <f>VLOOKUP(A34,MMM!A$2:G$55,2,0)</f>
        <v>142.81</v>
      </c>
      <c r="BP34">
        <f>VLOOKUP(A34,MO!A$2:G$55,2,0)</f>
        <v>42.39</v>
      </c>
      <c r="BQ34">
        <f>VLOOKUP(A34,MON!A$2:G$55,2,0)</f>
        <v>117.34</v>
      </c>
      <c r="BR34">
        <f>VLOOKUP(A34,MRK!A$2:G$55,2,0)</f>
        <v>58.8</v>
      </c>
      <c r="BS34">
        <f>VLOOKUP(A34,MS!A$2:G$55,2,0)</f>
        <v>32.28</v>
      </c>
      <c r="BT34">
        <f>VLOOKUP(A34,MSFT!A$2:G$55,2,0)</f>
        <v>44.58</v>
      </c>
      <c r="BU34">
        <f>VLOOKUP(A34,NKE!A$2:G$55,2,0)</f>
        <v>77.72</v>
      </c>
      <c r="BV34">
        <f>VLOOKUP(A34,NOV!A$2:G$55,2,0)</f>
        <v>81.14</v>
      </c>
      <c r="BW34">
        <f>VLOOKUP(A34,NSC!A$2:G$55,2,0)</f>
        <v>104.45</v>
      </c>
      <c r="BX34">
        <f>VLOOKUP(A34,ORCL!A$2:G$55,2,0)</f>
        <v>40.24</v>
      </c>
      <c r="BY34">
        <f>VLOOKUP(A34,OXY!A$2:G$55,2,0)</f>
        <v>100.03</v>
      </c>
      <c r="BZ34">
        <f>VLOOKUP(A34,PEP!A$2:G$55,2,0)</f>
        <v>92.1</v>
      </c>
      <c r="CA34">
        <f>VLOOKUP(A34,PFE!A$2:G$55,2,0)</f>
        <v>28.86</v>
      </c>
      <c r="CB34">
        <f>VLOOKUP(A34,PG!A$2:G$55,2,0)</f>
        <v>82.23</v>
      </c>
      <c r="CC34">
        <f>VLOOKUP(A34,PM!A$2:G$55,2,0)</f>
        <v>85.1</v>
      </c>
      <c r="CD34">
        <f>VLOOKUP(A34,QCOM!A$2:G$55,2,0)</f>
        <v>75.13</v>
      </c>
      <c r="CE34">
        <f>VLOOKUP(A34,RTN!A$2:G$55,2,0)</f>
        <v>93.72</v>
      </c>
      <c r="CF34">
        <f>VLOOKUP(A34,SBUX!A$2:G$55,2,0)</f>
        <v>77.22</v>
      </c>
      <c r="CG34">
        <f>VLOOKUP(A34,SLB!A$2:G$55,2,0)</f>
        <v>106.3</v>
      </c>
      <c r="CH34">
        <f>VLOOKUP(A34,SO!A$2:G$55,2,0)</f>
        <v>43.43</v>
      </c>
      <c r="CI34">
        <f>VLOOKUP(A34,SPG!A$2:G$55,2,0)</f>
        <v>169.09</v>
      </c>
      <c r="CJ34">
        <f>VLOOKUP(A34,T!A$2:G$55,2,0)</f>
        <v>34.93</v>
      </c>
      <c r="CK34">
        <f>VLOOKUP(A34,TGT!A$2:G$55,2,0)</f>
        <v>58.74</v>
      </c>
      <c r="CL34">
        <f>VLOOKUP(A34,TWX!A$2:G$55,2,0)</f>
        <v>76.64</v>
      </c>
      <c r="CM34">
        <f>VLOOKUP(A34,TXN!A$2:G$55,2,0)</f>
        <v>47.67</v>
      </c>
      <c r="CN34">
        <f>VLOOKUP(A34,UNH!A$2:G$55,2,0)</f>
        <v>82.21</v>
      </c>
      <c r="CO34">
        <f>VLOOKUP(A34,UNP!A$2:G$55,2,0)</f>
        <v>102.16</v>
      </c>
      <c r="CP34">
        <f>VLOOKUP(A34,UPS!A$2:G$55,2,0)</f>
        <v>96.76</v>
      </c>
      <c r="CQ34">
        <f>VLOOKUP(A34,USB!A$2:G$55,2,0)</f>
        <v>41.7</v>
      </c>
      <c r="CR34">
        <f>VLOOKUP(A34,UTX!A$2:G$55,2,0)</f>
        <v>106.31</v>
      </c>
      <c r="CS34">
        <f>VLOOKUP(A34,V!A$2:G$55,2,0)</f>
        <v>212.89</v>
      </c>
      <c r="CT34">
        <f>VLOOKUP(A34,VZ!A$2:G$55,2,0)</f>
        <v>48.9</v>
      </c>
      <c r="CU34">
        <f>VLOOKUP(A34,WAG!A$2:G$55,2,0)</f>
        <v>62.45</v>
      </c>
      <c r="CV34">
        <f>VLOOKUP(A34,WFC!A$2:G$55,2,0)</f>
        <v>50.5</v>
      </c>
      <c r="CW34">
        <f>VLOOKUP(A34,WMT!A$2:G$55,2,0)</f>
        <v>74.650000000000006</v>
      </c>
    </row>
    <row r="35" spans="1:101" x14ac:dyDescent="0.25">
      <c r="A35" s="34">
        <v>41869</v>
      </c>
      <c r="B35" s="36">
        <v>98.49</v>
      </c>
      <c r="C35">
        <f>VLOOKUP(A35,ABBV!A$2:G$55,2,0)</f>
        <v>54.39</v>
      </c>
      <c r="D35">
        <f>VLOOKUP(A35,ABT!A$2:G$55,2,0)</f>
        <v>42.62</v>
      </c>
      <c r="E35">
        <f>VLOOKUP(A35,ACN!A$2:G$55,2,0)</f>
        <v>79.41</v>
      </c>
      <c r="F35">
        <f>VLOOKUP(A35,AIG!A$2:G$55,2,0)</f>
        <v>54.36</v>
      </c>
      <c r="G35">
        <f>VLOOKUP(A35,ALL!A$2:G$55,2,0)</f>
        <v>60.97</v>
      </c>
      <c r="H35">
        <f>VLOOKUP(A35,AMGN!A$2:G$55,2,0)</f>
        <v>133.35</v>
      </c>
      <c r="I35">
        <f>VLOOKUP(A35,AMZN!A$2:G$55,2,0)</f>
        <v>335.48</v>
      </c>
      <c r="J35">
        <f>VLOOKUP(A35,APA!A$2:G$55,2,0)</f>
        <v>99.31</v>
      </c>
      <c r="K35">
        <f>VLOOKUP(A35,APC!A$2:G$55,2,0)</f>
        <v>108.16</v>
      </c>
      <c r="L35">
        <f>VLOOKUP(A35,AXP!A$2:G$55,2,0)</f>
        <v>87.29</v>
      </c>
      <c r="M35">
        <f>VLOOKUP(A35,BA!A$2:G$55,2,0)</f>
        <v>123.58</v>
      </c>
      <c r="N35">
        <f>VLOOKUP(A35,BAC!A$2:G$55,2,0)</f>
        <v>15.28</v>
      </c>
      <c r="O35">
        <f>VLOOKUP(A35,BAX!A$2:G$55,2,0)</f>
        <v>74.77</v>
      </c>
      <c r="P35">
        <f>VLOOKUP(A35,BIIB!A$2:G$55,2,0)</f>
        <v>347.59</v>
      </c>
      <c r="Q35">
        <f>VLOOKUP(A35,BK!A$2:G$55,2,0)</f>
        <v>38.479999999999997</v>
      </c>
      <c r="R35">
        <f>VLOOKUP(A35,BMY!A$2:G$55,2,0)</f>
        <v>49.94</v>
      </c>
      <c r="T35">
        <f>VLOOKUP(A35,'C'!A$2:G$55,2,0)</f>
        <v>49.05</v>
      </c>
      <c r="U35">
        <f>VLOOKUP(A35,CAT!A$2:G$55,2,0)</f>
        <v>106.69</v>
      </c>
      <c r="V35">
        <f>VLOOKUP(A35,CL!A$2:G$55,2,0)</f>
        <v>64.349999999999994</v>
      </c>
      <c r="W35">
        <f>VLOOKUP(A35,CMCSA!A$2:G$55,2,0)</f>
        <v>54.97</v>
      </c>
      <c r="X35">
        <f>VLOOKUP(A35,COF!A$2:G$55,2,0)</f>
        <v>79.87</v>
      </c>
      <c r="Y35">
        <f>VLOOKUP(A35,COP!A$2:G$55,2,0)</f>
        <v>80.95</v>
      </c>
      <c r="Z35">
        <f>VLOOKUP(A35,COST!A$2:G$55,2,0)</f>
        <v>119</v>
      </c>
      <c r="AA35">
        <f>VLOOKUP(A35,CSCO!A$2:G$55,2,0)</f>
        <v>24.49</v>
      </c>
      <c r="AB35">
        <f>VLOOKUP(A35,CVS!A$2:G$55,2,0)</f>
        <v>79.16</v>
      </c>
      <c r="AC35">
        <f>VLOOKUP(A35,CVX!A$2:G$55,2,0)</f>
        <v>126.27</v>
      </c>
      <c r="AD35">
        <f>VLOOKUP(A35,DD!A$2:G$55,2,0)</f>
        <v>65.53</v>
      </c>
      <c r="AE35">
        <f>VLOOKUP(A35,DIS!A$2:G$55,2,0)</f>
        <v>89.66</v>
      </c>
      <c r="AF35">
        <f>VLOOKUP(A35,DOW!A$2:G$55,2,0)</f>
        <v>52.34</v>
      </c>
      <c r="AG35">
        <f>VLOOKUP(A35,DVN!A$2:G$55,2,0)</f>
        <v>73.5</v>
      </c>
      <c r="AH35">
        <f>VLOOKUP(A35,EBAY!A$2:G$55,2,0)</f>
        <v>53.06</v>
      </c>
      <c r="AI35">
        <f>VLOOKUP(A35,EMC!A$2:G$55,2,0)</f>
        <v>29.81</v>
      </c>
      <c r="AJ35">
        <f>VLOOKUP(A35,EMR!A$2:G$55,2,0)</f>
        <v>63.16</v>
      </c>
      <c r="AK35">
        <f>VLOOKUP(A35,EXC!A$2:G$55,2,0)</f>
        <v>31.93</v>
      </c>
      <c r="AL35">
        <f>VLOOKUP(A35,F!A$2:G$55,2,0)</f>
        <v>17.38</v>
      </c>
      <c r="AM35">
        <f>VLOOKUP(A35,FB!A$2:G$55,2,0)</f>
        <v>74</v>
      </c>
      <c r="AN35">
        <f>VLOOKUP(A35,FCX!A$2:G$55,2,0)</f>
        <v>36.1</v>
      </c>
      <c r="AO35">
        <f>VLOOKUP(A35,FDX!A$2:G$55,2,0)</f>
        <v>149.29</v>
      </c>
      <c r="AP35">
        <f>VLOOKUP(A35,FOXA!A$2:G$55,2,0)</f>
        <v>36</v>
      </c>
      <c r="AQ35">
        <f>VLOOKUP(A35,GD!A$2:G$55,2,0)</f>
        <v>120.2</v>
      </c>
      <c r="AR35">
        <f>VLOOKUP(A35,GE!A$2:G$55,2,0)</f>
        <v>25.87</v>
      </c>
      <c r="AS35">
        <f>VLOOKUP(A35,GILD!A$2:G$55,2,0)</f>
        <v>100.44</v>
      </c>
      <c r="AT35">
        <f>VLOOKUP(A35,GM!A$2:G$55,2,0)</f>
        <v>34.090000000000003</v>
      </c>
      <c r="AU35">
        <f>VLOOKUP(A35,GOOG!A$2:G$55,2,0)</f>
        <v>576.11</v>
      </c>
      <c r="AV35">
        <f>VLOOKUP(A35,GOOGL!A$2:G$55,2,0)</f>
        <v>587.1</v>
      </c>
      <c r="AW35">
        <f>VLOOKUP(A35,GS!A$2:G$55,2,0)</f>
        <v>173.25</v>
      </c>
      <c r="AX35">
        <f>VLOOKUP(A35,HAL!A$2:G$55,2,0)</f>
        <v>68.91</v>
      </c>
      <c r="AY35">
        <f>VLOOKUP(A35,HD!A$2:G$55,2,0)</f>
        <v>84.21</v>
      </c>
      <c r="AZ35">
        <f>VLOOKUP(A35,HON!A$2:G$55,2,0)</f>
        <v>94.62</v>
      </c>
      <c r="BA35">
        <f>VLOOKUP(A35,HPQ!A$2:G$55,2,0)</f>
        <v>35.51</v>
      </c>
      <c r="BB35">
        <f>VLOOKUP(A35,IBM!A$2:G$55,2,0)</f>
        <v>188.1</v>
      </c>
      <c r="BC35">
        <f>VLOOKUP(A35,INTC!A$2:G$55,2,0)</f>
        <v>34.26</v>
      </c>
      <c r="BD35">
        <f>VLOOKUP(A35,JNJ!A$2:G$55,2,0)</f>
        <v>101.92</v>
      </c>
      <c r="BE35">
        <f>VLOOKUP(A35,JPM!A$2:G$55,2,0)</f>
        <v>56.86</v>
      </c>
      <c r="BF35">
        <f>VLOOKUP(A35,KO!A$2:G$55,2,0)</f>
        <v>40.79</v>
      </c>
      <c r="BG35">
        <f>VLOOKUP(A35,LLY!A$2:G$55,2,0)</f>
        <v>61.18</v>
      </c>
      <c r="BH35">
        <f>VLOOKUP(A35,LMT!A$2:G$55,2,0)</f>
        <v>170.2</v>
      </c>
      <c r="BI35">
        <f>VLOOKUP(A35,LOW!A$2:G$55,2,0)</f>
        <v>50.5</v>
      </c>
      <c r="BJ35">
        <f>VLOOKUP(A35,MA!A$2:G$55,2,0)</f>
        <v>75.69</v>
      </c>
      <c r="BK35">
        <f>VLOOKUP(A35,MCD!A$2:G$55,2,0)</f>
        <v>94.15</v>
      </c>
      <c r="BL35">
        <f>VLOOKUP(A35,MDLZ!A$2:G$55,2,0)</f>
        <v>36.08</v>
      </c>
      <c r="BM35">
        <f>VLOOKUP(A35,MDT!A$2:G$55,2,0)</f>
        <v>63.67</v>
      </c>
      <c r="BN35">
        <f>VLOOKUP(A35,MET!A$2:G$55,2,0)</f>
        <v>52.9</v>
      </c>
      <c r="BO35">
        <f>VLOOKUP(A35,MMM!A$2:G$55,2,0)</f>
        <v>142.75</v>
      </c>
      <c r="BP35">
        <f>VLOOKUP(A35,MO!A$2:G$55,2,0)</f>
        <v>42.3</v>
      </c>
      <c r="BQ35">
        <f>VLOOKUP(A35,MON!A$2:G$55,2,0)</f>
        <v>120.03</v>
      </c>
      <c r="BR35">
        <f>VLOOKUP(A35,MRK!A$2:G$55,2,0)</f>
        <v>58.8</v>
      </c>
      <c r="BS35">
        <f>VLOOKUP(A35,MS!A$2:G$55,2,0)</f>
        <v>32.47</v>
      </c>
      <c r="BT35">
        <f>VLOOKUP(A35,MSFT!A$2:G$55,2,0)</f>
        <v>44.94</v>
      </c>
      <c r="BU35">
        <f>VLOOKUP(A35,NKE!A$2:G$55,2,0)</f>
        <v>77.73</v>
      </c>
      <c r="BV35">
        <f>VLOOKUP(A35,NOV!A$2:G$55,2,0)</f>
        <v>82.7</v>
      </c>
      <c r="BW35">
        <f>VLOOKUP(A35,NSC!A$2:G$55,2,0)</f>
        <v>105.45</v>
      </c>
      <c r="BX35">
        <f>VLOOKUP(A35,ORCL!A$2:G$55,2,0)</f>
        <v>40.450000000000003</v>
      </c>
      <c r="BY35">
        <f>VLOOKUP(A35,OXY!A$2:G$55,2,0)</f>
        <v>100.78</v>
      </c>
      <c r="BZ35">
        <f>VLOOKUP(A35,PEP!A$2:G$55,2,0)</f>
        <v>92.2</v>
      </c>
      <c r="CA35">
        <f>VLOOKUP(A35,PFE!A$2:G$55,2,0)</f>
        <v>28.75</v>
      </c>
      <c r="CB35">
        <f>VLOOKUP(A35,PG!A$2:G$55,2,0)</f>
        <v>81.99</v>
      </c>
      <c r="CC35">
        <f>VLOOKUP(A35,PM!A$2:G$55,2,0)</f>
        <v>84.71</v>
      </c>
      <c r="CD35">
        <f>VLOOKUP(A35,QCOM!A$2:G$55,2,0)</f>
        <v>74.83</v>
      </c>
      <c r="CE35">
        <f>VLOOKUP(A35,RTN!A$2:G$55,2,0)</f>
        <v>93.9</v>
      </c>
      <c r="CF35">
        <f>VLOOKUP(A35,SBUX!A$2:G$55,2,0)</f>
        <v>77.19</v>
      </c>
      <c r="CG35">
        <f>VLOOKUP(A35,SLB!A$2:G$55,2,0)</f>
        <v>109.26</v>
      </c>
      <c r="CH35">
        <f>VLOOKUP(A35,SO!A$2:G$55,2,0)</f>
        <v>43.53</v>
      </c>
      <c r="CI35">
        <f>VLOOKUP(A35,SPG!A$2:G$55,2,0)</f>
        <v>169.09</v>
      </c>
      <c r="CJ35">
        <f>VLOOKUP(A35,T!A$2:G$55,2,0)</f>
        <v>34.869999999999997</v>
      </c>
      <c r="CK35">
        <f>VLOOKUP(A35,TGT!A$2:G$55,2,0)</f>
        <v>58.05</v>
      </c>
      <c r="CL35">
        <f>VLOOKUP(A35,TWX!A$2:G$55,2,0)</f>
        <v>76.94</v>
      </c>
      <c r="CM35">
        <f>VLOOKUP(A35,TXN!A$2:G$55,2,0)</f>
        <v>47.55</v>
      </c>
      <c r="CN35">
        <f>VLOOKUP(A35,UNH!A$2:G$55,2,0)</f>
        <v>81.77</v>
      </c>
      <c r="CO35">
        <f>VLOOKUP(A35,UNP!A$2:G$55,2,0)</f>
        <v>102.74</v>
      </c>
      <c r="CP35">
        <f>VLOOKUP(A35,UPS!A$2:G$55,2,0)</f>
        <v>97.3</v>
      </c>
      <c r="CQ35">
        <f>VLOOKUP(A35,USB!A$2:G$55,2,0)</f>
        <v>41.51</v>
      </c>
      <c r="CR35">
        <f>VLOOKUP(A35,UTX!A$2:G$55,2,0)</f>
        <v>106.66</v>
      </c>
      <c r="CS35">
        <f>VLOOKUP(A35,V!A$2:G$55,2,0)</f>
        <v>211.49</v>
      </c>
      <c r="CT35">
        <f>VLOOKUP(A35,VZ!A$2:G$55,2,0)</f>
        <v>49.05</v>
      </c>
      <c r="CU35">
        <f>VLOOKUP(A35,WAG!A$2:G$55,2,0)</f>
        <v>62.37</v>
      </c>
      <c r="CV35">
        <f>VLOOKUP(A35,WFC!A$2:G$55,2,0)</f>
        <v>50.47</v>
      </c>
      <c r="CW35">
        <f>VLOOKUP(A35,WMT!A$2:G$55,2,0)</f>
        <v>74.150000000000006</v>
      </c>
    </row>
    <row r="36" spans="1:101" x14ac:dyDescent="0.25">
      <c r="A36" s="34">
        <v>41870</v>
      </c>
      <c r="B36" s="36">
        <v>99.41</v>
      </c>
      <c r="C36">
        <f>VLOOKUP(A36,ABBV!A$2:G$55,2,0)</f>
        <v>54.48</v>
      </c>
      <c r="D36">
        <f>VLOOKUP(A36,ABT!A$2:G$55,2,0)</f>
        <v>42.3</v>
      </c>
      <c r="E36">
        <f>VLOOKUP(A36,ACN!A$2:G$55,2,0)</f>
        <v>79.94</v>
      </c>
      <c r="F36">
        <f>VLOOKUP(A36,AIG!A$2:G$55,2,0)</f>
        <v>54.67</v>
      </c>
      <c r="G36">
        <f>VLOOKUP(A36,ALL!A$2:G$55,2,0)</f>
        <v>61.22</v>
      </c>
      <c r="H36">
        <f>VLOOKUP(A36,AMGN!A$2:G$55,2,0)</f>
        <v>133.36000000000001</v>
      </c>
      <c r="I36">
        <f>VLOOKUP(A36,AMZN!A$2:G$55,2,0)</f>
        <v>334.87</v>
      </c>
      <c r="J36">
        <f>VLOOKUP(A36,APA!A$2:G$55,2,0)</f>
        <v>98.83</v>
      </c>
      <c r="K36">
        <f>VLOOKUP(A36,APC!A$2:G$55,2,0)</f>
        <v>109.12</v>
      </c>
      <c r="L36">
        <f>VLOOKUP(A36,AXP!A$2:G$55,2,0)</f>
        <v>87.58</v>
      </c>
      <c r="M36">
        <f>VLOOKUP(A36,BA!A$2:G$55,2,0)</f>
        <v>125.22</v>
      </c>
      <c r="N36">
        <f>VLOOKUP(A36,BAC!A$2:G$55,2,0)</f>
        <v>15.52</v>
      </c>
      <c r="O36">
        <f>VLOOKUP(A36,BAX!A$2:G$55,2,0)</f>
        <v>75.36</v>
      </c>
      <c r="P36">
        <f>VLOOKUP(A36,BIIB!A$2:G$55,2,0)</f>
        <v>344.82</v>
      </c>
      <c r="Q36">
        <f>VLOOKUP(A36,BK!A$2:G$55,2,0)</f>
        <v>38.520000000000003</v>
      </c>
      <c r="R36">
        <f>VLOOKUP(A36,BMY!A$2:G$55,2,0)</f>
        <v>50.16</v>
      </c>
      <c r="T36">
        <f>VLOOKUP(A36,'C'!A$2:G$55,2,0)</f>
        <v>49.53</v>
      </c>
      <c r="U36">
        <f>VLOOKUP(A36,CAT!A$2:G$55,2,0)</f>
        <v>107.26</v>
      </c>
      <c r="V36">
        <f>VLOOKUP(A36,CL!A$2:G$55,2,0)</f>
        <v>64.53</v>
      </c>
      <c r="W36">
        <f>VLOOKUP(A36,CMCSA!A$2:G$55,2,0)</f>
        <v>54.69</v>
      </c>
      <c r="X36">
        <f>VLOOKUP(A36,COF!A$2:G$55,2,0)</f>
        <v>80.63</v>
      </c>
      <c r="Y36">
        <f>VLOOKUP(A36,COP!A$2:G$55,2,0)</f>
        <v>79.650000000000006</v>
      </c>
      <c r="Z36">
        <f>VLOOKUP(A36,COST!A$2:G$55,2,0)</f>
        <v>119.38</v>
      </c>
      <c r="AA36">
        <f>VLOOKUP(A36,CSCO!A$2:G$55,2,0)</f>
        <v>24.63</v>
      </c>
      <c r="AB36">
        <f>VLOOKUP(A36,CVS!A$2:G$55,2,0)</f>
        <v>79.3</v>
      </c>
      <c r="AC36">
        <f>VLOOKUP(A36,CVX!A$2:G$55,2,0)</f>
        <v>126.72</v>
      </c>
      <c r="AD36">
        <f>VLOOKUP(A36,DD!A$2:G$55,2,0)</f>
        <v>66.05</v>
      </c>
      <c r="AE36">
        <f>VLOOKUP(A36,DIS!A$2:G$55,2,0)</f>
        <v>90.13</v>
      </c>
      <c r="AF36">
        <f>VLOOKUP(A36,DOW!A$2:G$55,2,0)</f>
        <v>52.99</v>
      </c>
      <c r="AG36">
        <f>VLOOKUP(A36,DVN!A$2:G$55,2,0)</f>
        <v>73.77</v>
      </c>
      <c r="AH36">
        <f>VLOOKUP(A36,EBAY!A$2:G$55,2,0)</f>
        <v>53.28</v>
      </c>
      <c r="AI36">
        <f>VLOOKUP(A36,EMC!A$2:G$55,2,0)</f>
        <v>29.91</v>
      </c>
      <c r="AJ36">
        <f>VLOOKUP(A36,EMR!A$2:G$55,2,0)</f>
        <v>63.82</v>
      </c>
      <c r="AK36">
        <f>VLOOKUP(A36,EXC!A$2:G$55,2,0)</f>
        <v>31.91</v>
      </c>
      <c r="AL36">
        <f>VLOOKUP(A36,F!A$2:G$55,2,0)</f>
        <v>17.510000000000002</v>
      </c>
      <c r="AM36">
        <f>VLOOKUP(A36,FB!A$2:G$55,2,0)</f>
        <v>74.81</v>
      </c>
      <c r="AN36">
        <f>VLOOKUP(A36,FCX!A$2:G$55,2,0)</f>
        <v>36.270000000000003</v>
      </c>
      <c r="AO36">
        <f>VLOOKUP(A36,FDX!A$2:G$55,2,0)</f>
        <v>150.51</v>
      </c>
      <c r="AP36">
        <f>VLOOKUP(A36,FOXA!A$2:G$55,2,0)</f>
        <v>35.950000000000003</v>
      </c>
      <c r="AQ36">
        <f>VLOOKUP(A36,GD!A$2:G$55,2,0)</f>
        <v>121.4</v>
      </c>
      <c r="AR36">
        <f>VLOOKUP(A36,GE!A$2:G$55,2,0)</f>
        <v>26.14</v>
      </c>
      <c r="AS36">
        <f>VLOOKUP(A36,GILD!A$2:G$55,2,0)</f>
        <v>101.43</v>
      </c>
      <c r="AT36">
        <f>VLOOKUP(A36,GM!A$2:G$55,2,0)</f>
        <v>34.69</v>
      </c>
      <c r="AU36">
        <f>VLOOKUP(A36,GOOG!A$2:G$55,2,0)</f>
        <v>585</v>
      </c>
      <c r="AV36">
        <f>VLOOKUP(A36,GOOGL!A$2:G$55,2,0)</f>
        <v>595.59</v>
      </c>
      <c r="AW36">
        <f>VLOOKUP(A36,GS!A$2:G$55,2,0)</f>
        <v>174.91</v>
      </c>
      <c r="AX36">
        <f>VLOOKUP(A36,HAL!A$2:G$55,2,0)</f>
        <v>69</v>
      </c>
      <c r="AY36">
        <f>VLOOKUP(A36,HD!A$2:G$55,2,0)</f>
        <v>86.9</v>
      </c>
      <c r="AZ36">
        <f>VLOOKUP(A36,HON!A$2:G$55,2,0)</f>
        <v>95.07</v>
      </c>
      <c r="BA36">
        <f>VLOOKUP(A36,HPQ!A$2:G$55,2,0)</f>
        <v>35.51</v>
      </c>
      <c r="BB36">
        <f>VLOOKUP(A36,IBM!A$2:G$55,2,0)</f>
        <v>190.04</v>
      </c>
      <c r="BC36">
        <f>VLOOKUP(A36,INTC!A$2:G$55,2,0)</f>
        <v>34.5</v>
      </c>
      <c r="BD36">
        <f>VLOOKUP(A36,JNJ!A$2:G$55,2,0)</f>
        <v>102.73</v>
      </c>
      <c r="BE36">
        <f>VLOOKUP(A36,JPM!A$2:G$55,2,0)</f>
        <v>57.6</v>
      </c>
      <c r="BF36">
        <f>VLOOKUP(A36,KO!A$2:G$55,2,0)</f>
        <v>41.35</v>
      </c>
      <c r="BG36">
        <f>VLOOKUP(A36,LLY!A$2:G$55,2,0)</f>
        <v>61.89</v>
      </c>
      <c r="BH36">
        <f>VLOOKUP(A36,LMT!A$2:G$55,2,0)</f>
        <v>172.02</v>
      </c>
      <c r="BI36">
        <f>VLOOKUP(A36,LOW!A$2:G$55,2,0)</f>
        <v>51.81</v>
      </c>
      <c r="BJ36">
        <f>VLOOKUP(A36,MA!A$2:G$55,2,0)</f>
        <v>76.75</v>
      </c>
      <c r="BK36">
        <f>VLOOKUP(A36,MCD!A$2:G$55,2,0)</f>
        <v>94.6</v>
      </c>
      <c r="BL36">
        <f>VLOOKUP(A36,MDLZ!A$2:G$55,2,0)</f>
        <v>36.020000000000003</v>
      </c>
      <c r="BM36">
        <f>VLOOKUP(A36,MDT!A$2:G$55,2,0)</f>
        <v>63.94</v>
      </c>
      <c r="BN36">
        <f>VLOOKUP(A36,MET!A$2:G$55,2,0)</f>
        <v>53.61</v>
      </c>
      <c r="BO36">
        <f>VLOOKUP(A36,MMM!A$2:G$55,2,0)</f>
        <v>144.47</v>
      </c>
      <c r="BP36">
        <f>VLOOKUP(A36,MO!A$2:G$55,2,0)</f>
        <v>42.6</v>
      </c>
      <c r="BQ36">
        <f>VLOOKUP(A36,MON!A$2:G$55,2,0)</f>
        <v>119.42</v>
      </c>
      <c r="BR36">
        <f>VLOOKUP(A36,MRK!A$2:G$55,2,0)</f>
        <v>58.85</v>
      </c>
      <c r="BS36">
        <f>VLOOKUP(A36,MS!A$2:G$55,2,0)</f>
        <v>32.69</v>
      </c>
      <c r="BT36">
        <f>VLOOKUP(A36,MSFT!A$2:G$55,2,0)</f>
        <v>44.97</v>
      </c>
      <c r="BU36">
        <f>VLOOKUP(A36,NKE!A$2:G$55,2,0)</f>
        <v>78.709999999999994</v>
      </c>
      <c r="BV36">
        <f>VLOOKUP(A36,NOV!A$2:G$55,2,0)</f>
        <v>82.53</v>
      </c>
      <c r="BW36">
        <f>VLOOKUP(A36,NSC!A$2:G$55,2,0)</f>
        <v>106.17</v>
      </c>
      <c r="BX36">
        <f>VLOOKUP(A36,ORCL!A$2:G$55,2,0)</f>
        <v>40.72</v>
      </c>
      <c r="BY36">
        <f>VLOOKUP(A36,OXY!A$2:G$55,2,0)</f>
        <v>101.08</v>
      </c>
      <c r="BZ36">
        <f>VLOOKUP(A36,PEP!A$2:G$55,2,0)</f>
        <v>92.22</v>
      </c>
      <c r="CA36">
        <f>VLOOKUP(A36,PFE!A$2:G$55,2,0)</f>
        <v>28.97</v>
      </c>
      <c r="CB36">
        <f>VLOOKUP(A36,PG!A$2:G$55,2,0)</f>
        <v>82.35</v>
      </c>
      <c r="CC36">
        <f>VLOOKUP(A36,PM!A$2:G$55,2,0)</f>
        <v>85.1</v>
      </c>
      <c r="CD36">
        <f>VLOOKUP(A36,QCOM!A$2:G$55,2,0)</f>
        <v>75.05</v>
      </c>
      <c r="CE36">
        <f>VLOOKUP(A36,RTN!A$2:G$55,2,0)</f>
        <v>94.64</v>
      </c>
      <c r="CF36">
        <f>VLOOKUP(A36,SBUX!A$2:G$55,2,0)</f>
        <v>77.8</v>
      </c>
      <c r="CG36">
        <f>VLOOKUP(A36,SLB!A$2:G$55,2,0)</f>
        <v>109.07</v>
      </c>
      <c r="CH36">
        <f>VLOOKUP(A36,SO!A$2:G$55,2,0)</f>
        <v>43.55</v>
      </c>
      <c r="CI36">
        <f>VLOOKUP(A36,SPG!A$2:G$55,2,0)</f>
        <v>170.2</v>
      </c>
      <c r="CJ36">
        <f>VLOOKUP(A36,T!A$2:G$55,2,0)</f>
        <v>34.69</v>
      </c>
      <c r="CK36">
        <f>VLOOKUP(A36,TGT!A$2:G$55,2,0)</f>
        <v>58.84</v>
      </c>
      <c r="CL36">
        <f>VLOOKUP(A36,TWX!A$2:G$55,2,0)</f>
        <v>77.16</v>
      </c>
      <c r="CM36">
        <f>VLOOKUP(A36,TXN!A$2:G$55,2,0)</f>
        <v>47.61</v>
      </c>
      <c r="CN36">
        <f>VLOOKUP(A36,UNH!A$2:G$55,2,0)</f>
        <v>82.49</v>
      </c>
      <c r="CO36">
        <f>VLOOKUP(A36,UNP!A$2:G$55,2,0)</f>
        <v>104.39</v>
      </c>
      <c r="CP36">
        <f>VLOOKUP(A36,UPS!A$2:G$55,2,0)</f>
        <v>98.02</v>
      </c>
      <c r="CQ36">
        <f>VLOOKUP(A36,USB!A$2:G$55,2,0)</f>
        <v>41.66</v>
      </c>
      <c r="CR36">
        <f>VLOOKUP(A36,UTX!A$2:G$55,2,0)</f>
        <v>108.18</v>
      </c>
      <c r="CS36">
        <f>VLOOKUP(A36,V!A$2:G$55,2,0)</f>
        <v>214.75</v>
      </c>
      <c r="CT36">
        <f>VLOOKUP(A36,VZ!A$2:G$55,2,0)</f>
        <v>49.03</v>
      </c>
      <c r="CU36">
        <f>VLOOKUP(A36,WAG!A$2:G$55,2,0)</f>
        <v>62</v>
      </c>
      <c r="CV36">
        <f>VLOOKUP(A36,WFC!A$2:G$55,2,0)</f>
        <v>50.77</v>
      </c>
      <c r="CW36">
        <f>VLOOKUP(A36,WMT!A$2:G$55,2,0)</f>
        <v>74.81</v>
      </c>
    </row>
    <row r="37" spans="1:101" x14ac:dyDescent="0.25">
      <c r="A37" s="34">
        <v>41871</v>
      </c>
      <c r="B37" s="36">
        <v>100.44</v>
      </c>
      <c r="C37">
        <f>VLOOKUP(A37,ABBV!A$2:G$55,2,0)</f>
        <v>54.82</v>
      </c>
      <c r="D37">
        <f>VLOOKUP(A37,ABT!A$2:G$55,2,0)</f>
        <v>42.22</v>
      </c>
      <c r="E37">
        <f>VLOOKUP(A37,ACN!A$2:G$55,2,0)</f>
        <v>80.319999999999993</v>
      </c>
      <c r="F37">
        <f>VLOOKUP(A37,AIG!A$2:G$55,2,0)</f>
        <v>54.49</v>
      </c>
      <c r="G37">
        <f>VLOOKUP(A37,ALL!A$2:G$55,2,0)</f>
        <v>61.12</v>
      </c>
      <c r="H37">
        <f>VLOOKUP(A37,AMGN!A$2:G$55,2,0)</f>
        <v>131.97</v>
      </c>
      <c r="I37">
        <f>VLOOKUP(A37,AMZN!A$2:G$55,2,0)</f>
        <v>334.68</v>
      </c>
      <c r="J37">
        <f>VLOOKUP(A37,APA!A$2:G$55,2,0)</f>
        <v>99.34</v>
      </c>
      <c r="K37">
        <f>VLOOKUP(A37,APC!A$2:G$55,2,0)</f>
        <v>109.99</v>
      </c>
      <c r="L37">
        <f>VLOOKUP(A37,AXP!A$2:G$55,2,0)</f>
        <v>88.01</v>
      </c>
      <c r="M37">
        <f>VLOOKUP(A37,BA!A$2:G$55,2,0)</f>
        <v>125.89</v>
      </c>
      <c r="N37">
        <f>VLOOKUP(A37,BAC!A$2:G$55,2,0)</f>
        <v>15.41</v>
      </c>
      <c r="O37">
        <f>VLOOKUP(A37,BAX!A$2:G$55,2,0)</f>
        <v>75.13</v>
      </c>
      <c r="P37">
        <f>VLOOKUP(A37,BIIB!A$2:G$55,2,0)</f>
        <v>343.68</v>
      </c>
      <c r="Q37">
        <f>VLOOKUP(A37,BK!A$2:G$55,2,0)</f>
        <v>38.53</v>
      </c>
      <c r="R37">
        <f>VLOOKUP(A37,BMY!A$2:G$55,2,0)</f>
        <v>50.07</v>
      </c>
      <c r="T37">
        <f>VLOOKUP(A37,'C'!A$2:G$55,2,0)</f>
        <v>49.63</v>
      </c>
      <c r="U37">
        <f>VLOOKUP(A37,CAT!A$2:G$55,2,0)</f>
        <v>107.39</v>
      </c>
      <c r="V37">
        <f>VLOOKUP(A37,CL!A$2:G$55,2,0)</f>
        <v>64.42</v>
      </c>
      <c r="W37">
        <f>VLOOKUP(A37,CMCSA!A$2:G$55,2,0)</f>
        <v>54.31</v>
      </c>
      <c r="X37">
        <f>VLOOKUP(A37,COF!A$2:G$55,2,0)</f>
        <v>80.45</v>
      </c>
      <c r="Y37">
        <f>VLOOKUP(A37,COP!A$2:G$55,2,0)</f>
        <v>80.19</v>
      </c>
      <c r="Z37">
        <f>VLOOKUP(A37,COST!A$2:G$55,2,0)</f>
        <v>120.45</v>
      </c>
      <c r="AA37">
        <f>VLOOKUP(A37,CSCO!A$2:G$55,2,0)</f>
        <v>24.55</v>
      </c>
      <c r="AB37">
        <f>VLOOKUP(A37,CVS!A$2:G$55,2,0)</f>
        <v>79.44</v>
      </c>
      <c r="AC37">
        <f>VLOOKUP(A37,CVX!A$2:G$55,2,0)</f>
        <v>127.25</v>
      </c>
      <c r="AD37">
        <f>VLOOKUP(A37,DD!A$2:G$55,2,0)</f>
        <v>66.09</v>
      </c>
      <c r="AE37">
        <f>VLOOKUP(A37,DIS!A$2:G$55,2,0)</f>
        <v>89.92</v>
      </c>
      <c r="AF37">
        <f>VLOOKUP(A37,DOW!A$2:G$55,2,0)</f>
        <v>53.01</v>
      </c>
      <c r="AG37">
        <f>VLOOKUP(A37,DVN!A$2:G$55,2,0)</f>
        <v>74.349999999999994</v>
      </c>
      <c r="AH37">
        <f>VLOOKUP(A37,EBAY!A$2:G$55,2,0)</f>
        <v>53.51</v>
      </c>
      <c r="AI37">
        <f>VLOOKUP(A37,EMC!A$2:G$55,2,0)</f>
        <v>29.78</v>
      </c>
      <c r="AJ37">
        <f>VLOOKUP(A37,EMR!A$2:G$55,2,0)</f>
        <v>63.94</v>
      </c>
      <c r="AK37">
        <f>VLOOKUP(A37,EXC!A$2:G$55,2,0)</f>
        <v>31.98</v>
      </c>
      <c r="AL37">
        <f>VLOOKUP(A37,F!A$2:G$55,2,0)</f>
        <v>17.350000000000001</v>
      </c>
      <c r="AM37">
        <f>VLOOKUP(A37,FB!A$2:G$55,2,0)</f>
        <v>74.97</v>
      </c>
      <c r="AN37">
        <f>VLOOKUP(A37,FCX!A$2:G$55,2,0)</f>
        <v>36.42</v>
      </c>
      <c r="AO37">
        <f>VLOOKUP(A37,FDX!A$2:G$55,2,0)</f>
        <v>150.16</v>
      </c>
      <c r="AP37">
        <f>VLOOKUP(A37,FOXA!A$2:G$55,2,0)</f>
        <v>36.08</v>
      </c>
      <c r="AQ37">
        <f>VLOOKUP(A37,GD!A$2:G$55,2,0)</f>
        <v>121.65</v>
      </c>
      <c r="AR37">
        <f>VLOOKUP(A37,GE!A$2:G$55,2,0)</f>
        <v>26.08</v>
      </c>
      <c r="AS37">
        <f>VLOOKUP(A37,GILD!A$2:G$55,2,0)</f>
        <v>100.71</v>
      </c>
      <c r="AT37">
        <f>VLOOKUP(A37,GM!A$2:G$55,2,0)</f>
        <v>34.49</v>
      </c>
      <c r="AU37">
        <f>VLOOKUP(A37,GOOG!A$2:G$55,2,0)</f>
        <v>585.88</v>
      </c>
      <c r="AV37">
        <f>VLOOKUP(A37,GOOGL!A$2:G$55,2,0)</f>
        <v>596.95000000000005</v>
      </c>
      <c r="AW37">
        <f>VLOOKUP(A37,GS!A$2:G$55,2,0)</f>
        <v>173.27</v>
      </c>
      <c r="AX37">
        <f>VLOOKUP(A37,HAL!A$2:G$55,2,0)</f>
        <v>68.98</v>
      </c>
      <c r="AY37">
        <f>VLOOKUP(A37,HD!A$2:G$55,2,0)</f>
        <v>88.17</v>
      </c>
      <c r="AZ37">
        <f>VLOOKUP(A37,HON!A$2:G$55,2,0)</f>
        <v>95.04</v>
      </c>
      <c r="BA37">
        <f>VLOOKUP(A37,HPQ!A$2:G$55,2,0)</f>
        <v>35.72</v>
      </c>
      <c r="BB37">
        <f>VLOOKUP(A37,IBM!A$2:G$55,2,0)</f>
        <v>189.86</v>
      </c>
      <c r="BC37">
        <f>VLOOKUP(A37,INTC!A$2:G$55,2,0)</f>
        <v>34.229999999999997</v>
      </c>
      <c r="BD37">
        <f>VLOOKUP(A37,JNJ!A$2:G$55,2,0)</f>
        <v>102.87</v>
      </c>
      <c r="BE37">
        <f>VLOOKUP(A37,JPM!A$2:G$55,2,0)</f>
        <v>57.42</v>
      </c>
      <c r="BF37">
        <f>VLOOKUP(A37,KO!A$2:G$55,2,0)</f>
        <v>41.15</v>
      </c>
      <c r="BG37">
        <f>VLOOKUP(A37,LLY!A$2:G$55,2,0)</f>
        <v>61.94</v>
      </c>
      <c r="BH37">
        <f>VLOOKUP(A37,LMT!A$2:G$55,2,0)</f>
        <v>172.15</v>
      </c>
      <c r="BI37">
        <f>VLOOKUP(A37,LOW!A$2:G$55,2,0)</f>
        <v>49.95</v>
      </c>
      <c r="BJ37">
        <f>VLOOKUP(A37,MA!A$2:G$55,2,0)</f>
        <v>75.97</v>
      </c>
      <c r="BK37">
        <f>VLOOKUP(A37,MCD!A$2:G$55,2,0)</f>
        <v>94.45</v>
      </c>
      <c r="BL37">
        <f>VLOOKUP(A37,MDLZ!A$2:G$55,2,0)</f>
        <v>36.25</v>
      </c>
      <c r="BM37">
        <f>VLOOKUP(A37,MDT!A$2:G$55,2,0)</f>
        <v>63.72</v>
      </c>
      <c r="BN37">
        <f>VLOOKUP(A37,MET!A$2:G$55,2,0)</f>
        <v>53.5</v>
      </c>
      <c r="BO37">
        <f>VLOOKUP(A37,MMM!A$2:G$55,2,0)</f>
        <v>143.86000000000001</v>
      </c>
      <c r="BP37">
        <f>VLOOKUP(A37,MO!A$2:G$55,2,0)</f>
        <v>42.71</v>
      </c>
      <c r="BQ37">
        <f>VLOOKUP(A37,MON!A$2:G$55,2,0)</f>
        <v>119.91</v>
      </c>
      <c r="BR37">
        <f>VLOOKUP(A37,MRK!A$2:G$55,2,0)</f>
        <v>58.68</v>
      </c>
      <c r="BS37">
        <f>VLOOKUP(A37,MS!A$2:G$55,2,0)</f>
        <v>32.4</v>
      </c>
      <c r="BT37">
        <f>VLOOKUP(A37,MSFT!A$2:G$55,2,0)</f>
        <v>45.34</v>
      </c>
      <c r="BU37">
        <f>VLOOKUP(A37,NKE!A$2:G$55,2,0)</f>
        <v>78.19</v>
      </c>
      <c r="BV37">
        <f>VLOOKUP(A37,NOV!A$2:G$55,2,0)</f>
        <v>83.1</v>
      </c>
      <c r="BW37">
        <f>VLOOKUP(A37,NSC!A$2:G$55,2,0)</f>
        <v>106.11</v>
      </c>
      <c r="BX37">
        <f>VLOOKUP(A37,ORCL!A$2:G$55,2,0)</f>
        <v>41.58</v>
      </c>
      <c r="BY37">
        <f>VLOOKUP(A37,OXY!A$2:G$55,2,0)</f>
        <v>101.36</v>
      </c>
      <c r="BZ37">
        <f>VLOOKUP(A37,PEP!A$2:G$55,2,0)</f>
        <v>91.82</v>
      </c>
      <c r="CA37">
        <f>VLOOKUP(A37,PFE!A$2:G$55,2,0)</f>
        <v>28.83</v>
      </c>
      <c r="CB37">
        <f>VLOOKUP(A37,PG!A$2:G$55,2,0)</f>
        <v>82.46</v>
      </c>
      <c r="CC37">
        <f>VLOOKUP(A37,PM!A$2:G$55,2,0)</f>
        <v>85.21</v>
      </c>
      <c r="CD37">
        <f>VLOOKUP(A37,QCOM!A$2:G$55,2,0)</f>
        <v>74.55</v>
      </c>
      <c r="CE37">
        <f>VLOOKUP(A37,RTN!A$2:G$55,2,0)</f>
        <v>95.2</v>
      </c>
      <c r="CF37">
        <f>VLOOKUP(A37,SBUX!A$2:G$55,2,0)</f>
        <v>78.010000000000005</v>
      </c>
      <c r="CG37">
        <f>VLOOKUP(A37,SLB!A$2:G$55,2,0)</f>
        <v>109.86</v>
      </c>
      <c r="CH37">
        <f>VLOOKUP(A37,SO!A$2:G$55,2,0)</f>
        <v>43.57</v>
      </c>
      <c r="CI37">
        <f>VLOOKUP(A37,SPG!A$2:G$55,2,0)</f>
        <v>169.8</v>
      </c>
      <c r="CJ37">
        <f>VLOOKUP(A37,T!A$2:G$55,2,0)</f>
        <v>34.54</v>
      </c>
      <c r="CK37">
        <f>VLOOKUP(A37,TGT!A$2:G$55,2,0)</f>
        <v>58.5</v>
      </c>
      <c r="CL37">
        <f>VLOOKUP(A37,TWX!A$2:G$55,2,0)</f>
        <v>77.06</v>
      </c>
      <c r="CM37">
        <f>VLOOKUP(A37,TXN!A$2:G$55,2,0)</f>
        <v>47.68</v>
      </c>
      <c r="CN37">
        <f>VLOOKUP(A37,UNH!A$2:G$55,2,0)</f>
        <v>82.94</v>
      </c>
      <c r="CO37">
        <f>VLOOKUP(A37,UNP!A$2:G$55,2,0)</f>
        <v>104.68</v>
      </c>
      <c r="CP37">
        <f>VLOOKUP(A37,UPS!A$2:G$55,2,0)</f>
        <v>98.14</v>
      </c>
      <c r="CQ37">
        <f>VLOOKUP(A37,USB!A$2:G$55,2,0)</f>
        <v>41.67</v>
      </c>
      <c r="CR37">
        <f>VLOOKUP(A37,UTX!A$2:G$55,2,0)</f>
        <v>108.6</v>
      </c>
      <c r="CS37">
        <f>VLOOKUP(A37,V!A$2:G$55,2,0)</f>
        <v>214.58</v>
      </c>
      <c r="CT37">
        <f>VLOOKUP(A37,VZ!A$2:G$55,2,0)</f>
        <v>48.82</v>
      </c>
      <c r="CU37">
        <f>VLOOKUP(A37,WAG!A$2:G$55,2,0)</f>
        <v>61.99</v>
      </c>
      <c r="CV37">
        <f>VLOOKUP(A37,WFC!A$2:G$55,2,0)</f>
        <v>50.79</v>
      </c>
      <c r="CW37">
        <f>VLOOKUP(A37,WMT!A$2:G$55,2,0)</f>
        <v>74.83</v>
      </c>
    </row>
    <row r="38" spans="1:101" x14ac:dyDescent="0.25">
      <c r="A38" s="34">
        <v>41872</v>
      </c>
      <c r="B38" s="36">
        <v>100.57</v>
      </c>
      <c r="C38">
        <f>VLOOKUP(A38,ABBV!A$2:G$55,2,0)</f>
        <v>54.79</v>
      </c>
      <c r="D38">
        <f>VLOOKUP(A38,ABT!A$2:G$55,2,0)</f>
        <v>42.29</v>
      </c>
      <c r="E38">
        <f>VLOOKUP(A38,ACN!A$2:G$55,2,0)</f>
        <v>80.66</v>
      </c>
      <c r="F38">
        <f>VLOOKUP(A38,AIG!A$2:G$55,2,0)</f>
        <v>54.81</v>
      </c>
      <c r="G38">
        <f>VLOOKUP(A38,ALL!A$2:G$55,2,0)</f>
        <v>61.4</v>
      </c>
      <c r="H38">
        <f>VLOOKUP(A38,AMGN!A$2:G$55,2,0)</f>
        <v>132.96</v>
      </c>
      <c r="I38">
        <f>VLOOKUP(A38,AMZN!A$2:G$55,2,0)</f>
        <v>336.48</v>
      </c>
      <c r="J38">
        <f>VLOOKUP(A38,APA!A$2:G$55,2,0)</f>
        <v>100.02</v>
      </c>
      <c r="K38">
        <f>VLOOKUP(A38,APC!A$2:G$55,2,0)</f>
        <v>110.3</v>
      </c>
      <c r="L38">
        <f>VLOOKUP(A38,AXP!A$2:G$55,2,0)</f>
        <v>88.64</v>
      </c>
      <c r="M38">
        <f>VLOOKUP(A38,BA!A$2:G$55,2,0)</f>
        <v>127.54</v>
      </c>
      <c r="N38">
        <f>VLOOKUP(A38,BAC!A$2:G$55,2,0)</f>
        <v>15.69</v>
      </c>
      <c r="O38">
        <f>VLOOKUP(A38,BAX!A$2:G$55,2,0)</f>
        <v>76.31</v>
      </c>
      <c r="P38">
        <f>VLOOKUP(A38,BIIB!A$2:G$55,2,0)</f>
        <v>342.73</v>
      </c>
      <c r="Q38">
        <f>VLOOKUP(A38,BK!A$2:G$55,2,0)</f>
        <v>38.78</v>
      </c>
      <c r="R38">
        <f>VLOOKUP(A38,BMY!A$2:G$55,2,0)</f>
        <v>49.95</v>
      </c>
      <c r="T38">
        <f>VLOOKUP(A38,'C'!A$2:G$55,2,0)</f>
        <v>49.97</v>
      </c>
      <c r="U38">
        <f>VLOOKUP(A38,CAT!A$2:G$55,2,0)</f>
        <v>108.17</v>
      </c>
      <c r="V38">
        <f>VLOOKUP(A38,CL!A$2:G$55,2,0)</f>
        <v>64.55</v>
      </c>
      <c r="W38">
        <f>VLOOKUP(A38,CMCSA!A$2:G$55,2,0)</f>
        <v>54.64</v>
      </c>
      <c r="X38">
        <f>VLOOKUP(A38,COF!A$2:G$55,2,0)</f>
        <v>81.209999999999994</v>
      </c>
      <c r="Y38">
        <f>VLOOKUP(A38,COP!A$2:G$55,2,0)</f>
        <v>80.569999999999993</v>
      </c>
      <c r="Z38">
        <f>VLOOKUP(A38,COST!A$2:G$55,2,0)</f>
        <v>120.79</v>
      </c>
      <c r="AA38">
        <f>VLOOKUP(A38,CSCO!A$2:G$55,2,0)</f>
        <v>24.75</v>
      </c>
      <c r="AB38">
        <f>VLOOKUP(A38,CVS!A$2:G$55,2,0)</f>
        <v>79.790000000000006</v>
      </c>
      <c r="AC38">
        <f>VLOOKUP(A38,CVX!A$2:G$55,2,0)</f>
        <v>127.68</v>
      </c>
      <c r="AD38">
        <f>VLOOKUP(A38,DD!A$2:G$55,2,0)</f>
        <v>66.16</v>
      </c>
      <c r="AE38">
        <f>VLOOKUP(A38,DIS!A$2:G$55,2,0)</f>
        <v>90.06</v>
      </c>
      <c r="AF38">
        <f>VLOOKUP(A38,DOW!A$2:G$55,2,0)</f>
        <v>53.33</v>
      </c>
      <c r="AG38">
        <f>VLOOKUP(A38,DVN!A$2:G$55,2,0)</f>
        <v>73.900000000000006</v>
      </c>
      <c r="AH38">
        <f>VLOOKUP(A38,EBAY!A$2:G$55,2,0)</f>
        <v>53.52</v>
      </c>
      <c r="AI38">
        <f>VLOOKUP(A38,EMC!A$2:G$55,2,0)</f>
        <v>29.77</v>
      </c>
      <c r="AJ38">
        <f>VLOOKUP(A38,EMR!A$2:G$55,2,0)</f>
        <v>64.5</v>
      </c>
      <c r="AK38">
        <f>VLOOKUP(A38,EXC!A$2:G$55,2,0)</f>
        <v>31.93</v>
      </c>
      <c r="AL38">
        <f>VLOOKUP(A38,F!A$2:G$55,2,0)</f>
        <v>17.43</v>
      </c>
      <c r="AM38">
        <f>VLOOKUP(A38,FB!A$2:G$55,2,0)</f>
        <v>74.92</v>
      </c>
      <c r="AN38">
        <f>VLOOKUP(A38,FCX!A$2:G$55,2,0)</f>
        <v>36.86</v>
      </c>
      <c r="AO38">
        <f>VLOOKUP(A38,FDX!A$2:G$55,2,0)</f>
        <v>151.03</v>
      </c>
      <c r="AP38">
        <f>VLOOKUP(A38,FOXA!A$2:G$55,2,0)</f>
        <v>35.67</v>
      </c>
      <c r="AQ38">
        <f>VLOOKUP(A38,GD!A$2:G$55,2,0)</f>
        <v>123.47</v>
      </c>
      <c r="AR38">
        <f>VLOOKUP(A38,GE!A$2:G$55,2,0)</f>
        <v>26.42</v>
      </c>
      <c r="AS38">
        <f>VLOOKUP(A38,GILD!A$2:G$55,2,0)</f>
        <v>101</v>
      </c>
      <c r="AT38">
        <f>VLOOKUP(A38,GM!A$2:G$55,2,0)</f>
        <v>34.619999999999997</v>
      </c>
      <c r="AU38">
        <f>VLOOKUP(A38,GOOG!A$2:G$55,2,0)</f>
        <v>583.82000000000005</v>
      </c>
      <c r="AV38">
        <f>VLOOKUP(A38,GOOGL!A$2:G$55,2,0)</f>
        <v>594.9</v>
      </c>
      <c r="AW38">
        <f>VLOOKUP(A38,GS!A$2:G$55,2,0)</f>
        <v>174.24</v>
      </c>
      <c r="AX38">
        <f>VLOOKUP(A38,HAL!A$2:G$55,2,0)</f>
        <v>68.91</v>
      </c>
      <c r="AY38">
        <f>VLOOKUP(A38,HD!A$2:G$55,2,0)</f>
        <v>90.68</v>
      </c>
      <c r="AZ38">
        <f>VLOOKUP(A38,HON!A$2:G$55,2,0)</f>
        <v>95.98</v>
      </c>
      <c r="BA38">
        <f>VLOOKUP(A38,HPQ!A$2:G$55,2,0)</f>
        <v>35.39</v>
      </c>
      <c r="BB38">
        <f>VLOOKUP(A38,IBM!A$2:G$55,2,0)</f>
        <v>190.9</v>
      </c>
      <c r="BC38">
        <f>VLOOKUP(A38,INTC!A$2:G$55,2,0)</f>
        <v>34.46</v>
      </c>
      <c r="BD38">
        <f>VLOOKUP(A38,JNJ!A$2:G$55,2,0)</f>
        <v>103.33</v>
      </c>
      <c r="BE38">
        <f>VLOOKUP(A38,JPM!A$2:G$55,2,0)</f>
        <v>57.66</v>
      </c>
      <c r="BF38">
        <f>VLOOKUP(A38,KO!A$2:G$55,2,0)</f>
        <v>41.29</v>
      </c>
      <c r="BG38">
        <f>VLOOKUP(A38,LLY!A$2:G$55,2,0)</f>
        <v>62.37</v>
      </c>
      <c r="BH38">
        <f>VLOOKUP(A38,LMT!A$2:G$55,2,0)</f>
        <v>174.92</v>
      </c>
      <c r="BI38">
        <f>VLOOKUP(A38,LOW!A$2:G$55,2,0)</f>
        <v>52.64</v>
      </c>
      <c r="BJ38">
        <f>VLOOKUP(A38,MA!A$2:G$55,2,0)</f>
        <v>76.510000000000005</v>
      </c>
      <c r="BK38">
        <f>VLOOKUP(A38,MCD!A$2:G$55,2,0)</f>
        <v>94.31</v>
      </c>
      <c r="BL38">
        <f>VLOOKUP(A38,MDLZ!A$2:G$55,2,0)</f>
        <v>36.24</v>
      </c>
      <c r="BM38">
        <f>VLOOKUP(A38,MDT!A$2:G$55,2,0)</f>
        <v>64.48</v>
      </c>
      <c r="BN38">
        <f>VLOOKUP(A38,MET!A$2:G$55,2,0)</f>
        <v>53.68</v>
      </c>
      <c r="BO38">
        <f>VLOOKUP(A38,MMM!A$2:G$55,2,0)</f>
        <v>144.78</v>
      </c>
      <c r="BP38">
        <f>VLOOKUP(A38,MO!A$2:G$55,2,0)</f>
        <v>42.47</v>
      </c>
      <c r="BQ38">
        <f>VLOOKUP(A38,MON!A$2:G$55,2,0)</f>
        <v>121.23</v>
      </c>
      <c r="BR38">
        <f>VLOOKUP(A38,MRK!A$2:G$55,2,0)</f>
        <v>59.4</v>
      </c>
      <c r="BS38">
        <f>VLOOKUP(A38,MS!A$2:G$55,2,0)</f>
        <v>32.659999999999997</v>
      </c>
      <c r="BT38">
        <f>VLOOKUP(A38,MSFT!A$2:G$55,2,0)</f>
        <v>44.84</v>
      </c>
      <c r="BU38">
        <f>VLOOKUP(A38,NKE!A$2:G$55,2,0)</f>
        <v>79.040000000000006</v>
      </c>
      <c r="BV38">
        <f>VLOOKUP(A38,NOV!A$2:G$55,2,0)</f>
        <v>84</v>
      </c>
      <c r="BW38">
        <f>VLOOKUP(A38,NSC!A$2:G$55,2,0)</f>
        <v>106.57</v>
      </c>
      <c r="BX38">
        <f>VLOOKUP(A38,ORCL!A$2:G$55,2,0)</f>
        <v>41.16</v>
      </c>
      <c r="BY38">
        <f>VLOOKUP(A38,OXY!A$2:G$55,2,0)</f>
        <v>101.76</v>
      </c>
      <c r="BZ38">
        <f>VLOOKUP(A38,PEP!A$2:G$55,2,0)</f>
        <v>92.57</v>
      </c>
      <c r="CA38">
        <f>VLOOKUP(A38,PFE!A$2:G$55,2,0)</f>
        <v>28.92</v>
      </c>
      <c r="CB38">
        <f>VLOOKUP(A38,PG!A$2:G$55,2,0)</f>
        <v>82.8</v>
      </c>
      <c r="CC38">
        <f>VLOOKUP(A38,PM!A$2:G$55,2,0)</f>
        <v>85.23</v>
      </c>
      <c r="CD38">
        <f>VLOOKUP(A38,QCOM!A$2:G$55,2,0)</f>
        <v>76.61</v>
      </c>
      <c r="CE38">
        <f>VLOOKUP(A38,RTN!A$2:G$55,2,0)</f>
        <v>96.74</v>
      </c>
      <c r="CF38">
        <f>VLOOKUP(A38,SBUX!A$2:G$55,2,0)</f>
        <v>77.81</v>
      </c>
      <c r="CG38">
        <f>VLOOKUP(A38,SLB!A$2:G$55,2,0)</f>
        <v>109.96</v>
      </c>
      <c r="CH38">
        <f>VLOOKUP(A38,SO!A$2:G$55,2,0)</f>
        <v>43.89</v>
      </c>
      <c r="CI38">
        <f>VLOOKUP(A38,SPG!A$2:G$55,2,0)</f>
        <v>170.96</v>
      </c>
      <c r="CJ38">
        <f>VLOOKUP(A38,T!A$2:G$55,2,0)</f>
        <v>34.53</v>
      </c>
      <c r="CK38">
        <f>VLOOKUP(A38,TGT!A$2:G$55,2,0)</f>
        <v>60.4</v>
      </c>
      <c r="CL38">
        <f>VLOOKUP(A38,TWX!A$2:G$55,2,0)</f>
        <v>77.099999999999994</v>
      </c>
      <c r="CM38">
        <f>VLOOKUP(A38,TXN!A$2:G$55,2,0)</f>
        <v>47.94</v>
      </c>
      <c r="CN38">
        <f>VLOOKUP(A38,UNH!A$2:G$55,2,0)</f>
        <v>83.61</v>
      </c>
      <c r="CO38">
        <f>VLOOKUP(A38,UNP!A$2:G$55,2,0)</f>
        <v>106.11</v>
      </c>
      <c r="CP38">
        <f>VLOOKUP(A38,UPS!A$2:G$55,2,0)</f>
        <v>98.86</v>
      </c>
      <c r="CQ38">
        <f>VLOOKUP(A38,USB!A$2:G$55,2,0)</f>
        <v>41.78</v>
      </c>
      <c r="CR38">
        <f>VLOOKUP(A38,UTX!A$2:G$55,2,0)</f>
        <v>110</v>
      </c>
      <c r="CS38">
        <f>VLOOKUP(A38,V!A$2:G$55,2,0)</f>
        <v>216.5</v>
      </c>
      <c r="CT38">
        <f>VLOOKUP(A38,VZ!A$2:G$55,2,0)</f>
        <v>48.86</v>
      </c>
      <c r="CU38">
        <f>VLOOKUP(A38,WAG!A$2:G$55,2,0)</f>
        <v>62.11</v>
      </c>
      <c r="CV38">
        <f>VLOOKUP(A38,WFC!A$2:G$55,2,0)</f>
        <v>51</v>
      </c>
      <c r="CW38">
        <f>VLOOKUP(A38,WMT!A$2:G$55,2,0)</f>
        <v>75.06</v>
      </c>
    </row>
    <row r="39" spans="1:101" x14ac:dyDescent="0.25">
      <c r="A39" s="34">
        <v>41873</v>
      </c>
      <c r="B39" s="36">
        <v>100.29</v>
      </c>
      <c r="C39">
        <f>VLOOKUP(A39,ABBV!A$2:G$55,2,0)</f>
        <v>54.87</v>
      </c>
      <c r="D39">
        <f>VLOOKUP(A39,ABT!A$2:G$55,2,0)</f>
        <v>42.22</v>
      </c>
      <c r="E39">
        <f>VLOOKUP(A39,ACN!A$2:G$55,2,0)</f>
        <v>80.599999999999994</v>
      </c>
      <c r="F39">
        <f>VLOOKUP(A39,AIG!A$2:G$55,2,0)</f>
        <v>55.4</v>
      </c>
      <c r="G39">
        <f>VLOOKUP(A39,ALL!A$2:G$55,2,0)</f>
        <v>61.27</v>
      </c>
      <c r="H39">
        <f>VLOOKUP(A39,AMGN!A$2:G$55,2,0)</f>
        <v>132.99</v>
      </c>
      <c r="I39">
        <f>VLOOKUP(A39,AMZN!A$2:G$55,2,0)</f>
        <v>332.99</v>
      </c>
      <c r="J39">
        <f>VLOOKUP(A39,APA!A$2:G$55,2,0)</f>
        <v>100.95</v>
      </c>
      <c r="K39">
        <f>VLOOKUP(A39,APC!A$2:G$55,2,0)</f>
        <v>110.43</v>
      </c>
      <c r="L39">
        <f>VLOOKUP(A39,AXP!A$2:G$55,2,0)</f>
        <v>88.89</v>
      </c>
      <c r="M39">
        <f>VLOOKUP(A39,BA!A$2:G$55,2,0)</f>
        <v>127.33</v>
      </c>
      <c r="N39">
        <f>VLOOKUP(A39,BAC!A$2:G$55,2,0)</f>
        <v>16.16</v>
      </c>
      <c r="O39">
        <f>VLOOKUP(A39,BAX!A$2:G$55,2,0)</f>
        <v>75.569999999999993</v>
      </c>
      <c r="P39">
        <f>VLOOKUP(A39,BIIB!A$2:G$55,2,0)</f>
        <v>339.84</v>
      </c>
      <c r="Q39">
        <f>VLOOKUP(A39,BK!A$2:G$55,2,0)</f>
        <v>39.04</v>
      </c>
      <c r="R39">
        <f>VLOOKUP(A39,BMY!A$2:G$55,2,0)</f>
        <v>49.94</v>
      </c>
      <c r="T39">
        <f>VLOOKUP(A39,'C'!A$2:G$55,2,0)</f>
        <v>50.94</v>
      </c>
      <c r="U39">
        <f>VLOOKUP(A39,CAT!A$2:G$55,2,0)</f>
        <v>107.58</v>
      </c>
      <c r="V39">
        <f>VLOOKUP(A39,CL!A$2:G$55,2,0)</f>
        <v>64.900000000000006</v>
      </c>
      <c r="W39">
        <f>VLOOKUP(A39,CMCSA!A$2:G$55,2,0)</f>
        <v>54.27</v>
      </c>
      <c r="X39">
        <f>VLOOKUP(A39,COF!A$2:G$55,2,0)</f>
        <v>81.650000000000006</v>
      </c>
      <c r="Y39">
        <f>VLOOKUP(A39,COP!A$2:G$55,2,0)</f>
        <v>80.680000000000007</v>
      </c>
      <c r="Z39">
        <f>VLOOKUP(A39,COST!A$2:G$55,2,0)</f>
        <v>121.9</v>
      </c>
      <c r="AA39">
        <f>VLOOKUP(A39,CSCO!A$2:G$55,2,0)</f>
        <v>24.87</v>
      </c>
      <c r="AB39">
        <f>VLOOKUP(A39,CVS!A$2:G$55,2,0)</f>
        <v>78.91</v>
      </c>
      <c r="AC39">
        <f>VLOOKUP(A39,CVX!A$2:G$55,2,0)</f>
        <v>127.02</v>
      </c>
      <c r="AD39">
        <f>VLOOKUP(A39,DD!A$2:G$55,2,0)</f>
        <v>66.16</v>
      </c>
      <c r="AE39">
        <f>VLOOKUP(A39,DIS!A$2:G$55,2,0)</f>
        <v>90.13</v>
      </c>
      <c r="AF39">
        <f>VLOOKUP(A39,DOW!A$2:G$55,2,0)</f>
        <v>53</v>
      </c>
      <c r="AG39">
        <f>VLOOKUP(A39,DVN!A$2:G$55,2,0)</f>
        <v>74.62</v>
      </c>
      <c r="AH39">
        <f>VLOOKUP(A39,EBAY!A$2:G$55,2,0)</f>
        <v>55.7</v>
      </c>
      <c r="AI39">
        <f>VLOOKUP(A39,EMC!A$2:G$55,2,0)</f>
        <v>29.67</v>
      </c>
      <c r="AJ39">
        <f>VLOOKUP(A39,EMR!A$2:G$55,2,0)</f>
        <v>64.739999999999995</v>
      </c>
      <c r="AK39">
        <f>VLOOKUP(A39,EXC!A$2:G$55,2,0)</f>
        <v>32.19</v>
      </c>
      <c r="AL39">
        <f>VLOOKUP(A39,F!A$2:G$55,2,0)</f>
        <v>17.32</v>
      </c>
      <c r="AM39">
        <f>VLOOKUP(A39,FB!A$2:G$55,2,0)</f>
        <v>74.34</v>
      </c>
      <c r="AN39">
        <f>VLOOKUP(A39,FCX!A$2:G$55,2,0)</f>
        <v>36.619999999999997</v>
      </c>
      <c r="AO39">
        <f>VLOOKUP(A39,FDX!A$2:G$55,2,0)</f>
        <v>150.72999999999999</v>
      </c>
      <c r="AP39">
        <f>VLOOKUP(A39,FOXA!A$2:G$55,2,0)</f>
        <v>35.81</v>
      </c>
      <c r="AQ39">
        <f>VLOOKUP(A39,GD!A$2:G$55,2,0)</f>
        <v>123.67</v>
      </c>
      <c r="AR39">
        <f>VLOOKUP(A39,GE!A$2:G$55,2,0)</f>
        <v>26.34</v>
      </c>
      <c r="AS39">
        <f>VLOOKUP(A39,GILD!A$2:G$55,2,0)</f>
        <v>103.02</v>
      </c>
      <c r="AT39">
        <f>VLOOKUP(A39,GM!A$2:G$55,2,0)</f>
        <v>34.51</v>
      </c>
      <c r="AU39">
        <f>VLOOKUP(A39,GOOG!A$2:G$55,2,0)</f>
        <v>583.59</v>
      </c>
      <c r="AV39">
        <f>VLOOKUP(A39,GOOGL!A$2:G$55,2,0)</f>
        <v>593.27</v>
      </c>
      <c r="AW39">
        <f>VLOOKUP(A39,GS!A$2:G$55,2,0)</f>
        <v>175.35</v>
      </c>
      <c r="AX39">
        <f>VLOOKUP(A39,HAL!A$2:G$55,2,0)</f>
        <v>68.23</v>
      </c>
      <c r="AY39">
        <f>VLOOKUP(A39,HD!A$2:G$55,2,0)</f>
        <v>90.74</v>
      </c>
      <c r="AZ39">
        <f>VLOOKUP(A39,HON!A$2:G$55,2,0)</f>
        <v>95.74</v>
      </c>
      <c r="BA39">
        <f>VLOOKUP(A39,HPQ!A$2:G$55,2,0)</f>
        <v>36.85</v>
      </c>
      <c r="BB39">
        <f>VLOOKUP(A39,IBM!A$2:G$55,2,0)</f>
        <v>190.77</v>
      </c>
      <c r="BC39">
        <f>VLOOKUP(A39,INTC!A$2:G$55,2,0)</f>
        <v>35.200000000000003</v>
      </c>
      <c r="BD39">
        <f>VLOOKUP(A39,JNJ!A$2:G$55,2,0)</f>
        <v>103.63</v>
      </c>
      <c r="BE39">
        <f>VLOOKUP(A39,JPM!A$2:G$55,2,0)</f>
        <v>58.44</v>
      </c>
      <c r="BF39">
        <f>VLOOKUP(A39,KO!A$2:G$55,2,0)</f>
        <v>41.29</v>
      </c>
      <c r="BG39">
        <f>VLOOKUP(A39,LLY!A$2:G$55,2,0)</f>
        <v>62.01</v>
      </c>
      <c r="BH39">
        <f>VLOOKUP(A39,LMT!A$2:G$55,2,0)</f>
        <v>174.71</v>
      </c>
      <c r="BI39">
        <f>VLOOKUP(A39,LOW!A$2:G$55,2,0)</f>
        <v>52.49</v>
      </c>
      <c r="BJ39">
        <f>VLOOKUP(A39,MA!A$2:G$55,2,0)</f>
        <v>76.75</v>
      </c>
      <c r="BK39">
        <f>VLOOKUP(A39,MCD!A$2:G$55,2,0)</f>
        <v>94.53</v>
      </c>
      <c r="BL39">
        <f>VLOOKUP(A39,MDLZ!A$2:G$55,2,0)</f>
        <v>36.06</v>
      </c>
      <c r="BM39">
        <f>VLOOKUP(A39,MDT!A$2:G$55,2,0)</f>
        <v>64.02</v>
      </c>
      <c r="BN39">
        <f>VLOOKUP(A39,MET!A$2:G$55,2,0)</f>
        <v>53.74</v>
      </c>
      <c r="BO39">
        <f>VLOOKUP(A39,MMM!A$2:G$55,2,0)</f>
        <v>144.5</v>
      </c>
      <c r="BP39">
        <f>VLOOKUP(A39,MO!A$2:G$55,2,0)</f>
        <v>42.59</v>
      </c>
      <c r="BQ39">
        <f>VLOOKUP(A39,MON!A$2:G$55,2,0)</f>
        <v>117.86</v>
      </c>
      <c r="BR39">
        <f>VLOOKUP(A39,MRK!A$2:G$55,2,0)</f>
        <v>59.04</v>
      </c>
      <c r="BS39">
        <f>VLOOKUP(A39,MS!A$2:G$55,2,0)</f>
        <v>32.99</v>
      </c>
      <c r="BT39">
        <f>VLOOKUP(A39,MSFT!A$2:G$55,2,0)</f>
        <v>45.35</v>
      </c>
      <c r="BU39">
        <f>VLOOKUP(A39,NKE!A$2:G$55,2,0)</f>
        <v>79.25</v>
      </c>
      <c r="BV39">
        <f>VLOOKUP(A39,NOV!A$2:G$55,2,0)</f>
        <v>84.18</v>
      </c>
      <c r="BW39">
        <f>VLOOKUP(A39,NSC!A$2:G$55,2,0)</f>
        <v>105.11</v>
      </c>
      <c r="BX39">
        <f>VLOOKUP(A39,ORCL!A$2:G$55,2,0)</f>
        <v>41.34</v>
      </c>
      <c r="BY39">
        <f>VLOOKUP(A39,OXY!A$2:G$55,2,0)</f>
        <v>102.24</v>
      </c>
      <c r="BZ39">
        <f>VLOOKUP(A39,PEP!A$2:G$55,2,0)</f>
        <v>92.27</v>
      </c>
      <c r="CA39">
        <f>VLOOKUP(A39,PFE!A$2:G$55,2,0)</f>
        <v>28.86</v>
      </c>
      <c r="CB39">
        <f>VLOOKUP(A39,PG!A$2:G$55,2,0)</f>
        <v>83.16</v>
      </c>
      <c r="CC39">
        <f>VLOOKUP(A39,PM!A$2:G$55,2,0)</f>
        <v>84.82</v>
      </c>
      <c r="CD39">
        <f>VLOOKUP(A39,QCOM!A$2:G$55,2,0)</f>
        <v>76.709999999999994</v>
      </c>
      <c r="CE39">
        <f>VLOOKUP(A39,RTN!A$2:G$55,2,0)</f>
        <v>96.43</v>
      </c>
      <c r="CF39">
        <f>VLOOKUP(A39,SBUX!A$2:G$55,2,0)</f>
        <v>77.239999999999995</v>
      </c>
      <c r="CG39">
        <f>VLOOKUP(A39,SLB!A$2:G$55,2,0)</f>
        <v>109.06</v>
      </c>
      <c r="CH39">
        <f>VLOOKUP(A39,SO!A$2:G$55,2,0)</f>
        <v>43.82</v>
      </c>
      <c r="CI39">
        <f>VLOOKUP(A39,SPG!A$2:G$55,2,0)</f>
        <v>170.19</v>
      </c>
      <c r="CJ39">
        <f>VLOOKUP(A39,T!A$2:G$55,2,0)</f>
        <v>34.56</v>
      </c>
      <c r="CK39">
        <f>VLOOKUP(A39,TGT!A$2:G$55,2,0)</f>
        <v>61.14</v>
      </c>
      <c r="CL39">
        <f>VLOOKUP(A39,TWX!A$2:G$55,2,0)</f>
        <v>76.75</v>
      </c>
      <c r="CM39">
        <f>VLOOKUP(A39,TXN!A$2:G$55,2,0)</f>
        <v>48.26</v>
      </c>
      <c r="CN39">
        <f>VLOOKUP(A39,UNH!A$2:G$55,2,0)</f>
        <v>83.6</v>
      </c>
      <c r="CO39">
        <f>VLOOKUP(A39,UNP!A$2:G$55,2,0)</f>
        <v>105.78</v>
      </c>
      <c r="CP39">
        <f>VLOOKUP(A39,UPS!A$2:G$55,2,0)</f>
        <v>98.31</v>
      </c>
      <c r="CQ39">
        <f>VLOOKUP(A39,USB!A$2:G$55,2,0)</f>
        <v>42.05</v>
      </c>
      <c r="CR39">
        <f>VLOOKUP(A39,UTX!A$2:G$55,2,0)</f>
        <v>109.79</v>
      </c>
      <c r="CS39">
        <f>VLOOKUP(A39,V!A$2:G$55,2,0)</f>
        <v>216.2</v>
      </c>
      <c r="CT39">
        <f>VLOOKUP(A39,VZ!A$2:G$55,2,0)</f>
        <v>48.83</v>
      </c>
      <c r="CU39">
        <f>VLOOKUP(A39,WAG!A$2:G$55,2,0)</f>
        <v>61.14</v>
      </c>
      <c r="CV39">
        <f>VLOOKUP(A39,WFC!A$2:G$55,2,0)</f>
        <v>51.34</v>
      </c>
      <c r="CW39">
        <f>VLOOKUP(A39,WMT!A$2:G$55,2,0)</f>
        <v>75.78</v>
      </c>
    </row>
    <row r="40" spans="1:101" x14ac:dyDescent="0.25">
      <c r="A40" s="34">
        <v>41876</v>
      </c>
      <c r="B40" s="36">
        <v>101.79</v>
      </c>
      <c r="C40">
        <f>VLOOKUP(A40,ABBV!A$2:G$55,2,0)</f>
        <v>55.38</v>
      </c>
      <c r="D40">
        <f>VLOOKUP(A40,ABT!A$2:G$55,2,0)</f>
        <v>42.41</v>
      </c>
      <c r="E40">
        <f>VLOOKUP(A40,ACN!A$2:G$55,2,0)</f>
        <v>81.040000000000006</v>
      </c>
      <c r="F40">
        <f>VLOOKUP(A40,AIG!A$2:G$55,2,0)</f>
        <v>55.7</v>
      </c>
      <c r="G40">
        <f>VLOOKUP(A40,ALL!A$2:G$55,2,0)</f>
        <v>61.52</v>
      </c>
      <c r="H40">
        <f>VLOOKUP(A40,AMGN!A$2:G$55,2,0)</f>
        <v>133.38</v>
      </c>
      <c r="I40">
        <f>VLOOKUP(A40,AMZN!A$2:G$55,2,0)</f>
        <v>333.21</v>
      </c>
      <c r="J40">
        <f>VLOOKUP(A40,APA!A$2:G$55,2,0)</f>
        <v>100.12</v>
      </c>
      <c r="K40">
        <f>VLOOKUP(A40,APC!A$2:G$55,2,0)</f>
        <v>110.2</v>
      </c>
      <c r="L40">
        <f>VLOOKUP(A40,AXP!A$2:G$55,2,0)</f>
        <v>89.56</v>
      </c>
      <c r="M40">
        <f>VLOOKUP(A40,BA!A$2:G$55,2,0)</f>
        <v>128.08000000000001</v>
      </c>
      <c r="N40">
        <f>VLOOKUP(A40,BAC!A$2:G$55,2,0)</f>
        <v>16.27</v>
      </c>
      <c r="O40">
        <f>VLOOKUP(A40,BAX!A$2:G$55,2,0)</f>
        <v>75.31</v>
      </c>
      <c r="P40">
        <f>VLOOKUP(A40,BIIB!A$2:G$55,2,0)</f>
        <v>342.54</v>
      </c>
      <c r="Q40">
        <f>VLOOKUP(A40,BK!A$2:G$55,2,0)</f>
        <v>39.56</v>
      </c>
      <c r="R40">
        <f>VLOOKUP(A40,BMY!A$2:G$55,2,0)</f>
        <v>50.25</v>
      </c>
      <c r="T40">
        <f>VLOOKUP(A40,'C'!A$2:G$55,2,0)</f>
        <v>51.28</v>
      </c>
      <c r="U40">
        <f>VLOOKUP(A40,CAT!A$2:G$55,2,0)</f>
        <v>107.96</v>
      </c>
      <c r="V40">
        <f>VLOOKUP(A40,CL!A$2:G$55,2,0)</f>
        <v>64.92</v>
      </c>
      <c r="W40">
        <f>VLOOKUP(A40,CMCSA!A$2:G$55,2,0)</f>
        <v>54.35</v>
      </c>
      <c r="X40">
        <f>VLOOKUP(A40,COF!A$2:G$55,2,0)</f>
        <v>81.87</v>
      </c>
      <c r="Y40">
        <f>VLOOKUP(A40,COP!A$2:G$55,2,0)</f>
        <v>80.33</v>
      </c>
      <c r="Z40">
        <f>VLOOKUP(A40,COST!A$2:G$55,2,0)</f>
        <v>121.79</v>
      </c>
      <c r="AA40">
        <f>VLOOKUP(A40,CSCO!A$2:G$55,2,0)</f>
        <v>24.7</v>
      </c>
      <c r="AB40">
        <f>VLOOKUP(A40,CVS!A$2:G$55,2,0)</f>
        <v>79.44</v>
      </c>
      <c r="AC40">
        <f>VLOOKUP(A40,CVX!A$2:G$55,2,0)</f>
        <v>127.57</v>
      </c>
      <c r="AD40">
        <f>VLOOKUP(A40,DD!A$2:G$55,2,0)</f>
        <v>66.03</v>
      </c>
      <c r="AE40">
        <f>VLOOKUP(A40,DIS!A$2:G$55,2,0)</f>
        <v>90.95</v>
      </c>
      <c r="AF40">
        <f>VLOOKUP(A40,DOW!A$2:G$55,2,0)</f>
        <v>53.19</v>
      </c>
      <c r="AG40">
        <f>VLOOKUP(A40,DVN!A$2:G$55,2,0)</f>
        <v>74.599999999999994</v>
      </c>
      <c r="AH40">
        <f>VLOOKUP(A40,EBAY!A$2:G$55,2,0)</f>
        <v>55.61</v>
      </c>
      <c r="AI40">
        <f>VLOOKUP(A40,EMC!A$2:G$55,2,0)</f>
        <v>29.74</v>
      </c>
      <c r="AJ40">
        <f>VLOOKUP(A40,EMR!A$2:G$55,2,0)</f>
        <v>64.91</v>
      </c>
      <c r="AK40">
        <f>VLOOKUP(A40,EXC!A$2:G$55,2,0)</f>
        <v>32.46</v>
      </c>
      <c r="AL40">
        <f>VLOOKUP(A40,F!A$2:G$55,2,0)</f>
        <v>17.21</v>
      </c>
      <c r="AM40">
        <f>VLOOKUP(A40,FB!A$2:G$55,2,0)</f>
        <v>74.94</v>
      </c>
      <c r="AN40">
        <f>VLOOKUP(A40,FCX!A$2:G$55,2,0)</f>
        <v>36.58</v>
      </c>
      <c r="AO40">
        <f>VLOOKUP(A40,FDX!A$2:G$55,2,0)</f>
        <v>150.13</v>
      </c>
      <c r="AP40">
        <f>VLOOKUP(A40,FOXA!A$2:G$55,2,0)</f>
        <v>35.79</v>
      </c>
      <c r="AQ40">
        <f>VLOOKUP(A40,GD!A$2:G$55,2,0)</f>
        <v>124.19</v>
      </c>
      <c r="AR40">
        <f>VLOOKUP(A40,GE!A$2:G$55,2,0)</f>
        <v>26.15</v>
      </c>
      <c r="AS40">
        <f>VLOOKUP(A40,GILD!A$2:G$55,2,0)</f>
        <v>105.11</v>
      </c>
      <c r="AT40">
        <f>VLOOKUP(A40,GM!A$2:G$55,2,0)</f>
        <v>34.43</v>
      </c>
      <c r="AU40">
        <f>VLOOKUP(A40,GOOG!A$2:G$55,2,0)</f>
        <v>584.72</v>
      </c>
      <c r="AV40">
        <f>VLOOKUP(A40,GOOGL!A$2:G$55,2,0)</f>
        <v>594.77</v>
      </c>
      <c r="AW40">
        <f>VLOOKUP(A40,GS!A$2:G$55,2,0)</f>
        <v>176.71</v>
      </c>
      <c r="AX40">
        <f>VLOOKUP(A40,HAL!A$2:G$55,2,0)</f>
        <v>67.91</v>
      </c>
      <c r="AY40">
        <f>VLOOKUP(A40,HD!A$2:G$55,2,0)</f>
        <v>91.25</v>
      </c>
      <c r="AZ40">
        <f>VLOOKUP(A40,HON!A$2:G$55,2,0)</f>
        <v>96.04</v>
      </c>
      <c r="BA40">
        <f>VLOOKUP(A40,HPQ!A$2:G$55,2,0)</f>
        <v>36.99</v>
      </c>
      <c r="BB40">
        <f>VLOOKUP(A40,IBM!A$2:G$55,2,0)</f>
        <v>191.39</v>
      </c>
      <c r="BC40">
        <f>VLOOKUP(A40,INTC!A$2:G$55,2,0)</f>
        <v>35.090000000000003</v>
      </c>
      <c r="BD40">
        <f>VLOOKUP(A40,JNJ!A$2:G$55,2,0)</f>
        <v>103.65</v>
      </c>
      <c r="BE40">
        <f>VLOOKUP(A40,JPM!A$2:G$55,2,0)</f>
        <v>58.98</v>
      </c>
      <c r="BF40">
        <f>VLOOKUP(A40,KO!A$2:G$55,2,0)</f>
        <v>41.32</v>
      </c>
      <c r="BG40">
        <f>VLOOKUP(A40,LLY!A$2:G$55,2,0)</f>
        <v>62.43</v>
      </c>
      <c r="BH40">
        <f>VLOOKUP(A40,LMT!A$2:G$55,2,0)</f>
        <v>175.75</v>
      </c>
      <c r="BI40">
        <f>VLOOKUP(A40,LOW!A$2:G$55,2,0)</f>
        <v>52.8</v>
      </c>
      <c r="BJ40">
        <f>VLOOKUP(A40,MA!A$2:G$55,2,0)</f>
        <v>77.11</v>
      </c>
      <c r="BK40">
        <f>VLOOKUP(A40,MCD!A$2:G$55,2,0)</f>
        <v>94.85</v>
      </c>
      <c r="BL40">
        <f>VLOOKUP(A40,MDLZ!A$2:G$55,2,0)</f>
        <v>36.159999999999997</v>
      </c>
      <c r="BM40">
        <f>VLOOKUP(A40,MDT!A$2:G$55,2,0)</f>
        <v>63.93</v>
      </c>
      <c r="BN40">
        <f>VLOOKUP(A40,MET!A$2:G$55,2,0)</f>
        <v>53.91</v>
      </c>
      <c r="BO40">
        <f>VLOOKUP(A40,MMM!A$2:G$55,2,0)</f>
        <v>144.66</v>
      </c>
      <c r="BP40">
        <f>VLOOKUP(A40,MO!A$2:G$55,2,0)</f>
        <v>42.74</v>
      </c>
      <c r="BQ40">
        <f>VLOOKUP(A40,MON!A$2:G$55,2,0)</f>
        <v>117.12</v>
      </c>
      <c r="BR40">
        <f>VLOOKUP(A40,MRK!A$2:G$55,2,0)</f>
        <v>59.34</v>
      </c>
      <c r="BS40">
        <f>VLOOKUP(A40,MS!A$2:G$55,2,0)</f>
        <v>33.68</v>
      </c>
      <c r="BT40">
        <f>VLOOKUP(A40,MSFT!A$2:G$55,2,0)</f>
        <v>45.4</v>
      </c>
      <c r="BU40">
        <f>VLOOKUP(A40,NKE!A$2:G$55,2,0)</f>
        <v>79.599999999999994</v>
      </c>
      <c r="BV40">
        <f>VLOOKUP(A40,NOV!A$2:G$55,2,0)</f>
        <v>84.2</v>
      </c>
      <c r="BW40">
        <f>VLOOKUP(A40,NSC!A$2:G$55,2,0)</f>
        <v>105.95</v>
      </c>
      <c r="BX40">
        <f>VLOOKUP(A40,ORCL!A$2:G$55,2,0)</f>
        <v>41.74</v>
      </c>
      <c r="BY40">
        <f>VLOOKUP(A40,OXY!A$2:G$55,2,0)</f>
        <v>102.89</v>
      </c>
      <c r="BZ40">
        <f>VLOOKUP(A40,PEP!A$2:G$55,2,0)</f>
        <v>92.58</v>
      </c>
      <c r="CA40">
        <f>VLOOKUP(A40,PFE!A$2:G$55,2,0)</f>
        <v>28.93</v>
      </c>
      <c r="CB40">
        <f>VLOOKUP(A40,PG!A$2:G$55,2,0)</f>
        <v>83.74</v>
      </c>
      <c r="CC40">
        <f>VLOOKUP(A40,PM!A$2:G$55,2,0)</f>
        <v>84.93</v>
      </c>
      <c r="CD40">
        <f>VLOOKUP(A40,QCOM!A$2:G$55,2,0)</f>
        <v>77.17</v>
      </c>
      <c r="CE40">
        <f>VLOOKUP(A40,RTN!A$2:G$55,2,0)</f>
        <v>97</v>
      </c>
      <c r="CF40">
        <f>VLOOKUP(A40,SBUX!A$2:G$55,2,0)</f>
        <v>77.64</v>
      </c>
      <c r="CG40">
        <f>VLOOKUP(A40,SLB!A$2:G$55,2,0)</f>
        <v>109.67</v>
      </c>
      <c r="CH40">
        <f>VLOOKUP(A40,SO!A$2:G$55,2,0)</f>
        <v>43.8</v>
      </c>
      <c r="CI40">
        <f>VLOOKUP(A40,SPG!A$2:G$55,2,0)</f>
        <v>169.9</v>
      </c>
      <c r="CJ40">
        <f>VLOOKUP(A40,T!A$2:G$55,2,0)</f>
        <v>34.520000000000003</v>
      </c>
      <c r="CK40">
        <f>VLOOKUP(A40,TGT!A$2:G$55,2,0)</f>
        <v>61.3</v>
      </c>
      <c r="CL40">
        <f>VLOOKUP(A40,TWX!A$2:G$55,2,0)</f>
        <v>77.540000000000006</v>
      </c>
      <c r="CM40">
        <f>VLOOKUP(A40,TXN!A$2:G$55,2,0)</f>
        <v>48.37</v>
      </c>
      <c r="CN40">
        <f>VLOOKUP(A40,UNH!A$2:G$55,2,0)</f>
        <v>84.39</v>
      </c>
      <c r="CO40">
        <f>VLOOKUP(A40,UNP!A$2:G$55,2,0)</f>
        <v>106.2</v>
      </c>
      <c r="CP40">
        <f>VLOOKUP(A40,UPS!A$2:G$55,2,0)</f>
        <v>98.28</v>
      </c>
      <c r="CQ40">
        <f>VLOOKUP(A40,USB!A$2:G$55,2,0)</f>
        <v>42.19</v>
      </c>
      <c r="CR40">
        <f>VLOOKUP(A40,UTX!A$2:G$55,2,0)</f>
        <v>109.68</v>
      </c>
      <c r="CS40">
        <f>VLOOKUP(A40,V!A$2:G$55,2,0)</f>
        <v>217.2</v>
      </c>
      <c r="CT40">
        <f>VLOOKUP(A40,VZ!A$2:G$55,2,0)</f>
        <v>48.68</v>
      </c>
      <c r="CU40">
        <f>VLOOKUP(A40,WAG!A$2:G$55,2,0)</f>
        <v>61.34</v>
      </c>
      <c r="CV40">
        <f>VLOOKUP(A40,WFC!A$2:G$55,2,0)</f>
        <v>51.48</v>
      </c>
      <c r="CW40">
        <f>VLOOKUP(A40,WMT!A$2:G$55,2,0)</f>
        <v>75.930000000000007</v>
      </c>
    </row>
    <row r="41" spans="1:101" x14ac:dyDescent="0.25">
      <c r="A41" s="34">
        <v>41877</v>
      </c>
      <c r="B41" s="36">
        <v>101.42</v>
      </c>
      <c r="C41">
        <f>VLOOKUP(A41,ABBV!A$2:G$55,2,0)</f>
        <v>55.68</v>
      </c>
      <c r="D41">
        <f>VLOOKUP(A41,ABT!A$2:G$55,2,0)</f>
        <v>42.5</v>
      </c>
      <c r="E41">
        <f>VLOOKUP(A41,ACN!A$2:G$55,2,0)</f>
        <v>81.3</v>
      </c>
      <c r="F41">
        <f>VLOOKUP(A41,AIG!A$2:G$55,2,0)</f>
        <v>56.01</v>
      </c>
      <c r="G41">
        <f>VLOOKUP(A41,ALL!A$2:G$55,2,0)</f>
        <v>61.88</v>
      </c>
      <c r="H41">
        <f>VLOOKUP(A41,AMGN!A$2:G$55,2,0)</f>
        <v>134.91</v>
      </c>
      <c r="I41">
        <f>VLOOKUP(A41,AMZN!A$2:G$55,2,0)</f>
        <v>337</v>
      </c>
      <c r="J41">
        <f>VLOOKUP(A41,APA!A$2:G$55,2,0)</f>
        <v>101.5</v>
      </c>
      <c r="K41">
        <f>VLOOKUP(A41,APC!A$2:G$55,2,0)</f>
        <v>112.16</v>
      </c>
      <c r="L41">
        <f>VLOOKUP(A41,AXP!A$2:G$55,2,0)</f>
        <v>89.61</v>
      </c>
      <c r="M41">
        <f>VLOOKUP(A41,BA!A$2:G$55,2,0)</f>
        <v>128.69</v>
      </c>
      <c r="N41">
        <f>VLOOKUP(A41,BAC!A$2:G$55,2,0)</f>
        <v>16.34</v>
      </c>
      <c r="O41">
        <f>VLOOKUP(A41,BAX!A$2:G$55,2,0)</f>
        <v>75.56</v>
      </c>
      <c r="P41">
        <f>VLOOKUP(A41,BIIB!A$2:G$55,2,0)</f>
        <v>343.39</v>
      </c>
      <c r="Q41">
        <f>VLOOKUP(A41,BK!A$2:G$55,2,0)</f>
        <v>39.07</v>
      </c>
      <c r="R41">
        <f>VLOOKUP(A41,BMY!A$2:G$55,2,0)</f>
        <v>50.75</v>
      </c>
      <c r="T41">
        <f>VLOOKUP(A41,'C'!A$2:G$55,2,0)</f>
        <v>51.52</v>
      </c>
      <c r="U41">
        <f>VLOOKUP(A41,CAT!A$2:G$55,2,0)</f>
        <v>108.05</v>
      </c>
      <c r="V41">
        <f>VLOOKUP(A41,CL!A$2:G$55,2,0)</f>
        <v>64.900000000000006</v>
      </c>
      <c r="W41">
        <f>VLOOKUP(A41,CMCSA!A$2:G$55,2,0)</f>
        <v>54.75</v>
      </c>
      <c r="X41">
        <f>VLOOKUP(A41,COF!A$2:G$55,2,0)</f>
        <v>82.13</v>
      </c>
      <c r="Y41">
        <f>VLOOKUP(A41,COP!A$2:G$55,2,0)</f>
        <v>80.73</v>
      </c>
      <c r="Z41">
        <f>VLOOKUP(A41,COST!A$2:G$55,2,0)</f>
        <v>121.43</v>
      </c>
      <c r="AA41">
        <f>VLOOKUP(A41,CSCO!A$2:G$55,2,0)</f>
        <v>24.7</v>
      </c>
      <c r="AB41">
        <f>VLOOKUP(A41,CVS!A$2:G$55,2,0)</f>
        <v>79.17</v>
      </c>
      <c r="AC41">
        <f>VLOOKUP(A41,CVX!A$2:G$55,2,0)</f>
        <v>128.06</v>
      </c>
      <c r="AD41">
        <f>VLOOKUP(A41,DD!A$2:G$55,2,0)</f>
        <v>66.319999999999993</v>
      </c>
      <c r="AE41">
        <f>VLOOKUP(A41,DIS!A$2:G$55,2,0)</f>
        <v>90.61</v>
      </c>
      <c r="AF41">
        <f>VLOOKUP(A41,DOW!A$2:G$55,2,0)</f>
        <v>53.13</v>
      </c>
      <c r="AG41">
        <f>VLOOKUP(A41,DVN!A$2:G$55,2,0)</f>
        <v>74.98</v>
      </c>
      <c r="AH41">
        <f>VLOOKUP(A41,EBAY!A$2:G$55,2,0)</f>
        <v>55.5</v>
      </c>
      <c r="AI41">
        <f>VLOOKUP(A41,EMC!A$2:G$55,2,0)</f>
        <v>29.66</v>
      </c>
      <c r="AJ41">
        <f>VLOOKUP(A41,EMR!A$2:G$55,2,0)</f>
        <v>64.930000000000007</v>
      </c>
      <c r="AK41">
        <f>VLOOKUP(A41,EXC!A$2:G$55,2,0)</f>
        <v>32.85</v>
      </c>
      <c r="AL41">
        <f>VLOOKUP(A41,F!A$2:G$55,2,0)</f>
        <v>17.260000000000002</v>
      </c>
      <c r="AM41">
        <f>VLOOKUP(A41,FB!A$2:G$55,2,0)</f>
        <v>75</v>
      </c>
      <c r="AN41">
        <f>VLOOKUP(A41,FCX!A$2:G$55,2,0)</f>
        <v>36.54</v>
      </c>
      <c r="AO41">
        <f>VLOOKUP(A41,FDX!A$2:G$55,2,0)</f>
        <v>150</v>
      </c>
      <c r="AP41">
        <f>VLOOKUP(A41,FOXA!A$2:G$55,2,0)</f>
        <v>35.57</v>
      </c>
      <c r="AQ41">
        <f>VLOOKUP(A41,GD!A$2:G$55,2,0)</f>
        <v>124.66</v>
      </c>
      <c r="AR41">
        <f>VLOOKUP(A41,GE!A$2:G$55,2,0)</f>
        <v>26.22</v>
      </c>
      <c r="AS41">
        <f>VLOOKUP(A41,GILD!A$2:G$55,2,0)</f>
        <v>108.06</v>
      </c>
      <c r="AT41">
        <f>VLOOKUP(A41,GM!A$2:G$55,2,0)</f>
        <v>34.76</v>
      </c>
      <c r="AU41">
        <f>VLOOKUP(A41,GOOG!A$2:G$55,2,0)</f>
        <v>581.26</v>
      </c>
      <c r="AV41">
        <f>VLOOKUP(A41,GOOGL!A$2:G$55,2,0)</f>
        <v>592</v>
      </c>
      <c r="AW41">
        <f>VLOOKUP(A41,GS!A$2:G$55,2,0)</f>
        <v>178.47</v>
      </c>
      <c r="AX41">
        <f>VLOOKUP(A41,HAL!A$2:G$55,2,0)</f>
        <v>68.97</v>
      </c>
      <c r="AY41">
        <f>VLOOKUP(A41,HD!A$2:G$55,2,0)</f>
        <v>90.98</v>
      </c>
      <c r="AZ41">
        <f>VLOOKUP(A41,HON!A$2:G$55,2,0)</f>
        <v>95.89</v>
      </c>
      <c r="BA41">
        <f>VLOOKUP(A41,HPQ!A$2:G$55,2,0)</f>
        <v>37.24</v>
      </c>
      <c r="BB41">
        <f>VLOOKUP(A41,IBM!A$2:G$55,2,0)</f>
        <v>191.02</v>
      </c>
      <c r="BC41">
        <f>VLOOKUP(A41,INTC!A$2:G$55,2,0)</f>
        <v>34.79</v>
      </c>
      <c r="BD41">
        <f>VLOOKUP(A41,JNJ!A$2:G$55,2,0)</f>
        <v>103.47</v>
      </c>
      <c r="BE41">
        <f>VLOOKUP(A41,JPM!A$2:G$55,2,0)</f>
        <v>59.57</v>
      </c>
      <c r="BF41">
        <f>VLOOKUP(A41,KO!A$2:G$55,2,0)</f>
        <v>41.41</v>
      </c>
      <c r="BG41">
        <f>VLOOKUP(A41,LLY!A$2:G$55,2,0)</f>
        <v>62.71</v>
      </c>
      <c r="BH41">
        <f>VLOOKUP(A41,LMT!A$2:G$55,2,0)</f>
        <v>176.97</v>
      </c>
      <c r="BI41">
        <f>VLOOKUP(A41,LOW!A$2:G$55,2,0)</f>
        <v>52.63</v>
      </c>
      <c r="BJ41">
        <f>VLOOKUP(A41,MA!A$2:G$55,2,0)</f>
        <v>76.790000000000006</v>
      </c>
      <c r="BK41">
        <f>VLOOKUP(A41,MCD!A$2:G$55,2,0)</f>
        <v>94.39</v>
      </c>
      <c r="BL41">
        <f>VLOOKUP(A41,MDLZ!A$2:G$55,2,0)</f>
        <v>36.14</v>
      </c>
      <c r="BM41">
        <f>VLOOKUP(A41,MDT!A$2:G$55,2,0)</f>
        <v>63.78</v>
      </c>
      <c r="BN41">
        <f>VLOOKUP(A41,MET!A$2:G$55,2,0)</f>
        <v>54.26</v>
      </c>
      <c r="BO41">
        <f>VLOOKUP(A41,MMM!A$2:G$55,2,0)</f>
        <v>145</v>
      </c>
      <c r="BP41">
        <f>VLOOKUP(A41,MO!A$2:G$55,2,0)</f>
        <v>42.91</v>
      </c>
      <c r="BQ41">
        <f>VLOOKUP(A41,MON!A$2:G$55,2,0)</f>
        <v>117.85</v>
      </c>
      <c r="BR41">
        <f>VLOOKUP(A41,MRK!A$2:G$55,2,0)</f>
        <v>59.67</v>
      </c>
      <c r="BS41">
        <f>VLOOKUP(A41,MS!A$2:G$55,2,0)</f>
        <v>34.17</v>
      </c>
      <c r="BT41">
        <f>VLOOKUP(A41,MSFT!A$2:G$55,2,0)</f>
        <v>45.31</v>
      </c>
      <c r="BU41">
        <f>VLOOKUP(A41,NKE!A$2:G$55,2,0)</f>
        <v>80.03</v>
      </c>
      <c r="BV41">
        <f>VLOOKUP(A41,NOV!A$2:G$55,2,0)</f>
        <v>84.82</v>
      </c>
      <c r="BW41">
        <f>VLOOKUP(A41,NSC!A$2:G$55,2,0)</f>
        <v>105.88</v>
      </c>
      <c r="BX41">
        <f>VLOOKUP(A41,ORCL!A$2:G$55,2,0)</f>
        <v>41.85</v>
      </c>
      <c r="BY41">
        <f>VLOOKUP(A41,OXY!A$2:G$55,2,0)</f>
        <v>103.57</v>
      </c>
      <c r="BZ41">
        <f>VLOOKUP(A41,PEP!A$2:G$55,2,0)</f>
        <v>93.21</v>
      </c>
      <c r="CA41">
        <f>VLOOKUP(A41,PFE!A$2:G$55,2,0)</f>
        <v>29.03</v>
      </c>
      <c r="CB41">
        <f>VLOOKUP(A41,PG!A$2:G$55,2,0)</f>
        <v>83.61</v>
      </c>
      <c r="CC41">
        <f>VLOOKUP(A41,PM!A$2:G$55,2,0)</f>
        <v>85.24</v>
      </c>
      <c r="CD41">
        <f>VLOOKUP(A41,QCOM!A$2:G$55,2,0)</f>
        <v>76.819999999999993</v>
      </c>
      <c r="CE41">
        <f>VLOOKUP(A41,RTN!A$2:G$55,2,0)</f>
        <v>97.13</v>
      </c>
      <c r="CF41">
        <f>VLOOKUP(A41,SBUX!A$2:G$55,2,0)</f>
        <v>78.010000000000005</v>
      </c>
      <c r="CG41">
        <f>VLOOKUP(A41,SLB!A$2:G$55,2,0)</f>
        <v>110.75</v>
      </c>
      <c r="CH41">
        <f>VLOOKUP(A41,SO!A$2:G$55,2,0)</f>
        <v>43.99</v>
      </c>
      <c r="CI41">
        <f>VLOOKUP(A41,SPG!A$2:G$55,2,0)</f>
        <v>168.87</v>
      </c>
      <c r="CJ41">
        <f>VLOOKUP(A41,T!A$2:G$55,2,0)</f>
        <v>34.6</v>
      </c>
      <c r="CK41">
        <f>VLOOKUP(A41,TGT!A$2:G$55,2,0)</f>
        <v>61.05</v>
      </c>
      <c r="CL41">
        <f>VLOOKUP(A41,TWX!A$2:G$55,2,0)</f>
        <v>76.959999999999994</v>
      </c>
      <c r="CM41">
        <f>VLOOKUP(A41,TXN!A$2:G$55,2,0)</f>
        <v>47.46</v>
      </c>
      <c r="CN41">
        <f>VLOOKUP(A41,UNH!A$2:G$55,2,0)</f>
        <v>84.45</v>
      </c>
      <c r="CO41">
        <f>VLOOKUP(A41,UNP!A$2:G$55,2,0)</f>
        <v>106.04</v>
      </c>
      <c r="CP41">
        <f>VLOOKUP(A41,UPS!A$2:G$55,2,0)</f>
        <v>97.92</v>
      </c>
      <c r="CQ41">
        <f>VLOOKUP(A41,USB!A$2:G$55,2,0)</f>
        <v>42.3</v>
      </c>
      <c r="CR41">
        <f>VLOOKUP(A41,UTX!A$2:G$55,2,0)</f>
        <v>109.9</v>
      </c>
      <c r="CS41">
        <f>VLOOKUP(A41,V!A$2:G$55,2,0)</f>
        <v>216.49</v>
      </c>
      <c r="CT41">
        <f>VLOOKUP(A41,VZ!A$2:G$55,2,0)</f>
        <v>49.21</v>
      </c>
      <c r="CU41">
        <f>VLOOKUP(A41,WAG!A$2:G$55,2,0)</f>
        <v>60.92</v>
      </c>
      <c r="CV41">
        <f>VLOOKUP(A41,WFC!A$2:G$55,2,0)</f>
        <v>51.57</v>
      </c>
      <c r="CW41">
        <f>VLOOKUP(A41,WMT!A$2:G$55,2,0)</f>
        <v>75.83</v>
      </c>
    </row>
    <row r="42" spans="1:101" x14ac:dyDescent="0.25">
      <c r="A42" s="34">
        <v>41878</v>
      </c>
      <c r="B42" s="36">
        <v>101.02</v>
      </c>
      <c r="C42">
        <f>VLOOKUP(A42,ABBV!A$2:G$55,2,0)</f>
        <v>55.85</v>
      </c>
      <c r="D42">
        <f>VLOOKUP(A42,ABT!A$2:G$55,2,0)</f>
        <v>42.73</v>
      </c>
      <c r="E42">
        <f>VLOOKUP(A42,ACN!A$2:G$55,2,0)</f>
        <v>81.459999999999994</v>
      </c>
      <c r="F42">
        <f>VLOOKUP(A42,AIG!A$2:G$55,2,0)</f>
        <v>56.27</v>
      </c>
      <c r="G42">
        <f>VLOOKUP(A42,ALL!A$2:G$55,2,0)</f>
        <v>61.6</v>
      </c>
      <c r="H42">
        <f>VLOOKUP(A42,AMGN!A$2:G$55,2,0)</f>
        <v>137.94</v>
      </c>
      <c r="I42">
        <f>VLOOKUP(A42,AMZN!A$2:G$55,2,0)</f>
        <v>342.09</v>
      </c>
      <c r="J42">
        <f>VLOOKUP(A42,APA!A$2:G$55,2,0)</f>
        <v>101.66</v>
      </c>
      <c r="K42">
        <f>VLOOKUP(A42,APC!A$2:G$55,2,0)</f>
        <v>112.29</v>
      </c>
      <c r="L42">
        <f>VLOOKUP(A42,AXP!A$2:G$55,2,0)</f>
        <v>89.25</v>
      </c>
      <c r="M42">
        <f>VLOOKUP(A42,BA!A$2:G$55,2,0)</f>
        <v>128.77000000000001</v>
      </c>
      <c r="N42">
        <f>VLOOKUP(A42,BAC!A$2:G$55,2,0)</f>
        <v>16.37</v>
      </c>
      <c r="O42">
        <f>VLOOKUP(A42,BAX!A$2:G$55,2,0)</f>
        <v>75.53</v>
      </c>
      <c r="P42">
        <f>VLOOKUP(A42,BIIB!A$2:G$55,2,0)</f>
        <v>343.46</v>
      </c>
      <c r="Q42">
        <f>VLOOKUP(A42,BK!A$2:G$55,2,0)</f>
        <v>39.369999999999997</v>
      </c>
      <c r="R42">
        <f>VLOOKUP(A42,BMY!A$2:G$55,2,0)</f>
        <v>50.95</v>
      </c>
      <c r="T42">
        <f>VLOOKUP(A42,'C'!A$2:G$55,2,0)</f>
        <v>52.12</v>
      </c>
      <c r="U42">
        <f>VLOOKUP(A42,CAT!A$2:G$55,2,0)</f>
        <v>108.13</v>
      </c>
      <c r="V42">
        <f>VLOOKUP(A42,CL!A$2:G$55,2,0)</f>
        <v>64.790000000000006</v>
      </c>
      <c r="W42">
        <f>VLOOKUP(A42,CMCSA!A$2:G$55,2,0)</f>
        <v>54.69</v>
      </c>
      <c r="X42">
        <f>VLOOKUP(A42,COF!A$2:G$55,2,0)</f>
        <v>81.99</v>
      </c>
      <c r="Y42">
        <f>VLOOKUP(A42,COP!A$2:G$55,2,0)</f>
        <v>80.88</v>
      </c>
      <c r="Z42">
        <f>VLOOKUP(A42,COST!A$2:G$55,2,0)</f>
        <v>121.58</v>
      </c>
      <c r="AA42">
        <f>VLOOKUP(A42,CSCO!A$2:G$55,2,0)</f>
        <v>24.79</v>
      </c>
      <c r="AB42">
        <f>VLOOKUP(A42,CVS!A$2:G$55,2,0)</f>
        <v>79.48</v>
      </c>
      <c r="AC42">
        <f>VLOOKUP(A42,CVX!A$2:G$55,2,0)</f>
        <v>128.41</v>
      </c>
      <c r="AD42">
        <f>VLOOKUP(A42,DD!A$2:G$55,2,0)</f>
        <v>65.959999999999994</v>
      </c>
      <c r="AE42">
        <f>VLOOKUP(A42,DIS!A$2:G$55,2,0)</f>
        <v>90.14</v>
      </c>
      <c r="AF42">
        <f>VLOOKUP(A42,DOW!A$2:G$55,2,0)</f>
        <v>53.28</v>
      </c>
      <c r="AG42">
        <f>VLOOKUP(A42,DVN!A$2:G$55,2,0)</f>
        <v>74.78</v>
      </c>
      <c r="AH42">
        <f>VLOOKUP(A42,EBAY!A$2:G$55,2,0)</f>
        <v>56.28</v>
      </c>
      <c r="AI42">
        <f>VLOOKUP(A42,EMC!A$2:G$55,2,0)</f>
        <v>29.56</v>
      </c>
      <c r="AJ42">
        <f>VLOOKUP(A42,EMR!A$2:G$55,2,0)</f>
        <v>64.38</v>
      </c>
      <c r="AK42">
        <f>VLOOKUP(A42,EXC!A$2:G$55,2,0)</f>
        <v>32.340000000000003</v>
      </c>
      <c r="AL42">
        <f>VLOOKUP(A42,F!A$2:G$55,2,0)</f>
        <v>17.23</v>
      </c>
      <c r="AM42">
        <f>VLOOKUP(A42,FB!A$2:G$55,2,0)</f>
        <v>75.27</v>
      </c>
      <c r="AN42">
        <f>VLOOKUP(A42,FCX!A$2:G$55,2,0)</f>
        <v>36.58</v>
      </c>
      <c r="AO42">
        <f>VLOOKUP(A42,FDX!A$2:G$55,2,0)</f>
        <v>149.25</v>
      </c>
      <c r="AP42">
        <f>VLOOKUP(A42,FOXA!A$2:G$55,2,0)</f>
        <v>35.53</v>
      </c>
      <c r="AQ42">
        <f>VLOOKUP(A42,GD!A$2:G$55,2,0)</f>
        <v>124.6</v>
      </c>
      <c r="AR42">
        <f>VLOOKUP(A42,GE!A$2:G$55,2,0)</f>
        <v>26.05</v>
      </c>
      <c r="AS42">
        <f>VLOOKUP(A42,GILD!A$2:G$55,2,0)</f>
        <v>106.55</v>
      </c>
      <c r="AT42">
        <f>VLOOKUP(A42,GM!A$2:G$55,2,0)</f>
        <v>34.92</v>
      </c>
      <c r="AU42">
        <f>VLOOKUP(A42,GOOG!A$2:G$55,2,0)</f>
        <v>577.27</v>
      </c>
      <c r="AV42">
        <f>VLOOKUP(A42,GOOGL!A$2:G$55,2,0)</f>
        <v>587.80999999999995</v>
      </c>
      <c r="AW42">
        <f>VLOOKUP(A42,GS!A$2:G$55,2,0)</f>
        <v>178.36</v>
      </c>
      <c r="AX42">
        <f>VLOOKUP(A42,HAL!A$2:G$55,2,0)</f>
        <v>69.81</v>
      </c>
      <c r="AY42">
        <f>VLOOKUP(A42,HD!A$2:G$55,2,0)</f>
        <v>91.68</v>
      </c>
      <c r="AZ42">
        <f>VLOOKUP(A42,HON!A$2:G$55,2,0)</f>
        <v>95.75</v>
      </c>
      <c r="BA42">
        <f>VLOOKUP(A42,HPQ!A$2:G$55,2,0)</f>
        <v>37.799999999999997</v>
      </c>
      <c r="BB42">
        <f>VLOOKUP(A42,IBM!A$2:G$55,2,0)</f>
        <v>193.03</v>
      </c>
      <c r="BC42">
        <f>VLOOKUP(A42,INTC!A$2:G$55,2,0)</f>
        <v>34.89</v>
      </c>
      <c r="BD42">
        <f>VLOOKUP(A42,JNJ!A$2:G$55,2,0)</f>
        <v>103.6</v>
      </c>
      <c r="BE42">
        <f>VLOOKUP(A42,JPM!A$2:G$55,2,0)</f>
        <v>59.85</v>
      </c>
      <c r="BF42">
        <f>VLOOKUP(A42,KO!A$2:G$55,2,0)</f>
        <v>41.53</v>
      </c>
      <c r="BG42">
        <f>VLOOKUP(A42,LLY!A$2:G$55,2,0)</f>
        <v>63.19</v>
      </c>
      <c r="BH42">
        <f>VLOOKUP(A42,LMT!A$2:G$55,2,0)</f>
        <v>176.99</v>
      </c>
      <c r="BI42">
        <f>VLOOKUP(A42,LOW!A$2:G$55,2,0)</f>
        <v>52.68</v>
      </c>
      <c r="BJ42">
        <f>VLOOKUP(A42,MA!A$2:G$55,2,0)</f>
        <v>77.02</v>
      </c>
      <c r="BK42">
        <f>VLOOKUP(A42,MCD!A$2:G$55,2,0)</f>
        <v>94.23</v>
      </c>
      <c r="BL42">
        <f>VLOOKUP(A42,MDLZ!A$2:G$55,2,0)</f>
        <v>36.1</v>
      </c>
      <c r="BM42">
        <f>VLOOKUP(A42,MDT!A$2:G$55,2,0)</f>
        <v>63.58</v>
      </c>
      <c r="BN42">
        <f>VLOOKUP(A42,MET!A$2:G$55,2,0)</f>
        <v>54.6</v>
      </c>
      <c r="BO42">
        <f>VLOOKUP(A42,MMM!A$2:G$55,2,0)</f>
        <v>144.43</v>
      </c>
      <c r="BP42">
        <f>VLOOKUP(A42,MO!A$2:G$55,2,0)</f>
        <v>42.8</v>
      </c>
      <c r="BQ42">
        <f>VLOOKUP(A42,MON!A$2:G$55,2,0)</f>
        <v>117.17</v>
      </c>
      <c r="BR42">
        <f>VLOOKUP(A42,MRK!A$2:G$55,2,0)</f>
        <v>60.4</v>
      </c>
      <c r="BS42">
        <f>VLOOKUP(A42,MS!A$2:G$55,2,0)</f>
        <v>34.49</v>
      </c>
      <c r="BT42">
        <f>VLOOKUP(A42,MSFT!A$2:G$55,2,0)</f>
        <v>44.9</v>
      </c>
      <c r="BU42">
        <f>VLOOKUP(A42,NKE!A$2:G$55,2,0)</f>
        <v>79.989999999999995</v>
      </c>
      <c r="BV42">
        <f>VLOOKUP(A42,NOV!A$2:G$55,2,0)</f>
        <v>85.14</v>
      </c>
      <c r="BW42">
        <f>VLOOKUP(A42,NSC!A$2:G$55,2,0)</f>
        <v>106.14</v>
      </c>
      <c r="BX42">
        <f>VLOOKUP(A42,ORCL!A$2:G$55,2,0)</f>
        <v>41.75</v>
      </c>
      <c r="BY42">
        <f>VLOOKUP(A42,OXY!A$2:G$55,2,0)</f>
        <v>103.41</v>
      </c>
      <c r="BZ42">
        <f>VLOOKUP(A42,PEP!A$2:G$55,2,0)</f>
        <v>92.72</v>
      </c>
      <c r="CA42">
        <f>VLOOKUP(A42,PFE!A$2:G$55,2,0)</f>
        <v>29.47</v>
      </c>
      <c r="CB42">
        <f>VLOOKUP(A42,PG!A$2:G$55,2,0)</f>
        <v>83.43</v>
      </c>
      <c r="CC42">
        <f>VLOOKUP(A42,PM!A$2:G$55,2,0)</f>
        <v>85.13</v>
      </c>
      <c r="CD42">
        <f>VLOOKUP(A42,QCOM!A$2:G$55,2,0)</f>
        <v>77.150000000000006</v>
      </c>
      <c r="CE42">
        <f>VLOOKUP(A42,RTN!A$2:G$55,2,0)</f>
        <v>96.71</v>
      </c>
      <c r="CF42">
        <f>VLOOKUP(A42,SBUX!A$2:G$55,2,0)</f>
        <v>77.91</v>
      </c>
      <c r="CG42">
        <f>VLOOKUP(A42,SLB!A$2:G$55,2,0)</f>
        <v>111.48</v>
      </c>
      <c r="CH42">
        <f>VLOOKUP(A42,SO!A$2:G$55,2,0)</f>
        <v>43.54</v>
      </c>
      <c r="CI42">
        <f>VLOOKUP(A42,SPG!A$2:G$55,2,0)</f>
        <v>169.25</v>
      </c>
      <c r="CJ42">
        <f>VLOOKUP(A42,T!A$2:G$55,2,0)</f>
        <v>34.590000000000003</v>
      </c>
      <c r="CK42">
        <f>VLOOKUP(A42,TGT!A$2:G$55,2,0)</f>
        <v>60.73</v>
      </c>
      <c r="CL42">
        <f>VLOOKUP(A42,TWX!A$2:G$55,2,0)</f>
        <v>76.88</v>
      </c>
      <c r="CM42">
        <f>VLOOKUP(A42,TXN!A$2:G$55,2,0)</f>
        <v>47.62</v>
      </c>
      <c r="CN42">
        <f>VLOOKUP(A42,UNH!A$2:G$55,2,0)</f>
        <v>85.18</v>
      </c>
      <c r="CO42">
        <f>VLOOKUP(A42,UNP!A$2:G$55,2,0)</f>
        <v>105.48</v>
      </c>
      <c r="CP42">
        <f>VLOOKUP(A42,UPS!A$2:G$55,2,0)</f>
        <v>97.39</v>
      </c>
      <c r="CQ42">
        <f>VLOOKUP(A42,USB!A$2:G$55,2,0)</f>
        <v>42.4</v>
      </c>
      <c r="CR42">
        <f>VLOOKUP(A42,UTX!A$2:G$55,2,0)</f>
        <v>110.2</v>
      </c>
      <c r="CS42">
        <f>VLOOKUP(A42,V!A$2:G$55,2,0)</f>
        <v>217.12</v>
      </c>
      <c r="CT42">
        <f>VLOOKUP(A42,VZ!A$2:G$55,2,0)</f>
        <v>49.29</v>
      </c>
      <c r="CU42">
        <f>VLOOKUP(A42,WAG!A$2:G$55,2,0)</f>
        <v>60.97</v>
      </c>
      <c r="CV42">
        <f>VLOOKUP(A42,WFC!A$2:G$55,2,0)</f>
        <v>51.65</v>
      </c>
      <c r="CW42">
        <f>VLOOKUP(A42,WMT!A$2:G$55,2,0)</f>
        <v>75.510000000000005</v>
      </c>
    </row>
    <row r="43" spans="1:101" x14ac:dyDescent="0.25">
      <c r="A43" s="34">
        <v>41879</v>
      </c>
      <c r="B43" s="36">
        <v>101.59</v>
      </c>
      <c r="C43">
        <f>VLOOKUP(A43,ABBV!A$2:G$55,2,0)</f>
        <v>55.52</v>
      </c>
      <c r="D43">
        <f>VLOOKUP(A43,ABT!A$2:G$55,2,0)</f>
        <v>42.43</v>
      </c>
      <c r="E43">
        <f>VLOOKUP(A43,ACN!A$2:G$55,2,0)</f>
        <v>80.59</v>
      </c>
      <c r="F43">
        <f>VLOOKUP(A43,AIG!A$2:G$55,2,0)</f>
        <v>55.83</v>
      </c>
      <c r="G43">
        <f>VLOOKUP(A43,ALL!A$2:G$55,2,0)</f>
        <v>61.33</v>
      </c>
      <c r="H43">
        <f>VLOOKUP(A43,AMGN!A$2:G$55,2,0)</f>
        <v>137.65</v>
      </c>
      <c r="I43">
        <f>VLOOKUP(A43,AMZN!A$2:G$55,2,0)</f>
        <v>340</v>
      </c>
      <c r="J43">
        <f>VLOOKUP(A43,APA!A$2:G$55,2,0)</f>
        <v>101.45</v>
      </c>
      <c r="K43">
        <f>VLOOKUP(A43,APC!A$2:G$55,2,0)</f>
        <v>110.02</v>
      </c>
      <c r="L43">
        <f>VLOOKUP(A43,AXP!A$2:G$55,2,0)</f>
        <v>88.84</v>
      </c>
      <c r="M43">
        <f>VLOOKUP(A43,BA!A$2:G$55,2,0)</f>
        <v>127.34</v>
      </c>
      <c r="N43">
        <f>VLOOKUP(A43,BAC!A$2:G$55,2,0)</f>
        <v>16.100000000000001</v>
      </c>
      <c r="O43">
        <f>VLOOKUP(A43,BAX!A$2:G$55,2,0)</f>
        <v>75.11</v>
      </c>
      <c r="P43">
        <f>VLOOKUP(A43,BIIB!A$2:G$55,2,0)</f>
        <v>341.14</v>
      </c>
      <c r="Q43">
        <f>VLOOKUP(A43,BK!A$2:G$55,2,0)</f>
        <v>38.96</v>
      </c>
      <c r="R43">
        <f>VLOOKUP(A43,BMY!A$2:G$55,2,0)</f>
        <v>50.16</v>
      </c>
      <c r="T43">
        <f>VLOOKUP(A43,'C'!A$2:G$55,2,0)</f>
        <v>51.52</v>
      </c>
      <c r="U43">
        <f>VLOOKUP(A43,CAT!A$2:G$55,2,0)</f>
        <v>108.02</v>
      </c>
      <c r="V43">
        <f>VLOOKUP(A43,CL!A$2:G$55,2,0)</f>
        <v>64.63</v>
      </c>
      <c r="W43">
        <f>VLOOKUP(A43,CMCSA!A$2:G$55,2,0)</f>
        <v>54.32</v>
      </c>
      <c r="X43">
        <f>VLOOKUP(A43,COF!A$2:G$55,2,0)</f>
        <v>81.5</v>
      </c>
      <c r="Y43">
        <f>VLOOKUP(A43,COP!A$2:G$55,2,0)</f>
        <v>80.89</v>
      </c>
      <c r="Z43">
        <f>VLOOKUP(A43,COST!A$2:G$55,2,0)</f>
        <v>121.01</v>
      </c>
      <c r="AA43">
        <f>VLOOKUP(A43,CSCO!A$2:G$55,2,0)</f>
        <v>24.7</v>
      </c>
      <c r="AB43">
        <f>VLOOKUP(A43,CVS!A$2:G$55,2,0)</f>
        <v>79.31</v>
      </c>
      <c r="AC43">
        <f>VLOOKUP(A43,CVX!A$2:G$55,2,0)</f>
        <v>128.28</v>
      </c>
      <c r="AD43">
        <f>VLOOKUP(A43,DD!A$2:G$55,2,0)</f>
        <v>65.67</v>
      </c>
      <c r="AE43">
        <f>VLOOKUP(A43,DIS!A$2:G$55,2,0)</f>
        <v>89.98</v>
      </c>
      <c r="AF43">
        <f>VLOOKUP(A43,DOW!A$2:G$55,2,0)</f>
        <v>53.53</v>
      </c>
      <c r="AG43">
        <f>VLOOKUP(A43,DVN!A$2:G$55,2,0)</f>
        <v>74.02</v>
      </c>
      <c r="AH43">
        <f>VLOOKUP(A43,EBAY!A$2:G$55,2,0)</f>
        <v>55.86</v>
      </c>
      <c r="AI43">
        <f>VLOOKUP(A43,EMC!A$2:G$55,2,0)</f>
        <v>29.36</v>
      </c>
      <c r="AJ43">
        <f>VLOOKUP(A43,EMR!A$2:G$55,2,0)</f>
        <v>64</v>
      </c>
      <c r="AK43">
        <f>VLOOKUP(A43,EXC!A$2:G$55,2,0)</f>
        <v>32.619999999999997</v>
      </c>
      <c r="AL43">
        <f>VLOOKUP(A43,F!A$2:G$55,2,0)</f>
        <v>17.27</v>
      </c>
      <c r="AM43">
        <f>VLOOKUP(A43,FB!A$2:G$55,2,0)</f>
        <v>74</v>
      </c>
      <c r="AN43">
        <f>VLOOKUP(A43,FCX!A$2:G$55,2,0)</f>
        <v>36.14</v>
      </c>
      <c r="AO43">
        <f>VLOOKUP(A43,FDX!A$2:G$55,2,0)</f>
        <v>148.79</v>
      </c>
      <c r="AP43">
        <f>VLOOKUP(A43,FOXA!A$2:G$55,2,0)</f>
        <v>35.630000000000003</v>
      </c>
      <c r="AQ43">
        <f>VLOOKUP(A43,GD!A$2:G$55,2,0)</f>
        <v>123.7</v>
      </c>
      <c r="AR43">
        <f>VLOOKUP(A43,GE!A$2:G$55,2,0)</f>
        <v>26.03</v>
      </c>
      <c r="AS43">
        <f>VLOOKUP(A43,GILD!A$2:G$55,2,0)</f>
        <v>107</v>
      </c>
      <c r="AT43">
        <f>VLOOKUP(A43,GM!A$2:G$55,2,0)</f>
        <v>34.49</v>
      </c>
      <c r="AU43">
        <f>VLOOKUP(A43,GOOG!A$2:G$55,2,0)</f>
        <v>569.55999999999995</v>
      </c>
      <c r="AV43">
        <f>VLOOKUP(A43,GOOGL!A$2:G$55,2,0)</f>
        <v>580.02</v>
      </c>
      <c r="AW43">
        <f>VLOOKUP(A43,GS!A$2:G$55,2,0)</f>
        <v>177.05</v>
      </c>
      <c r="AX43">
        <f>VLOOKUP(A43,HAL!A$2:G$55,2,0)</f>
        <v>68.11</v>
      </c>
      <c r="AY43">
        <f>VLOOKUP(A43,HD!A$2:G$55,2,0)</f>
        <v>91.4</v>
      </c>
      <c r="AZ43">
        <f>VLOOKUP(A43,HON!A$2:G$55,2,0)</f>
        <v>95.14</v>
      </c>
      <c r="BA43">
        <f>VLOOKUP(A43,HPQ!A$2:G$55,2,0)</f>
        <v>37.9</v>
      </c>
      <c r="BB43">
        <f>VLOOKUP(A43,IBM!A$2:G$55,2,0)</f>
        <v>191.47</v>
      </c>
      <c r="BC43">
        <f>VLOOKUP(A43,INTC!A$2:G$55,2,0)</f>
        <v>34.61</v>
      </c>
      <c r="BD43">
        <f>VLOOKUP(A43,JNJ!A$2:G$55,2,0)</f>
        <v>102.9</v>
      </c>
      <c r="BE43">
        <f>VLOOKUP(A43,JPM!A$2:G$55,2,0)</f>
        <v>59.25</v>
      </c>
      <c r="BF43">
        <f>VLOOKUP(A43,KO!A$2:G$55,2,0)</f>
        <v>41.51</v>
      </c>
      <c r="BG43">
        <f>VLOOKUP(A43,LLY!A$2:G$55,2,0)</f>
        <v>62.81</v>
      </c>
      <c r="BH43">
        <f>VLOOKUP(A43,LMT!A$2:G$55,2,0)</f>
        <v>174.67</v>
      </c>
      <c r="BI43">
        <f>VLOOKUP(A43,LOW!A$2:G$55,2,0)</f>
        <v>52.15</v>
      </c>
      <c r="BJ43">
        <f>VLOOKUP(A43,MA!A$2:G$55,2,0)</f>
        <v>76.09</v>
      </c>
      <c r="BK43">
        <f>VLOOKUP(A43,MCD!A$2:G$55,2,0)</f>
        <v>93.65</v>
      </c>
      <c r="BL43">
        <f>VLOOKUP(A43,MDLZ!A$2:G$55,2,0)</f>
        <v>36.18</v>
      </c>
      <c r="BM43">
        <f>VLOOKUP(A43,MDT!A$2:G$55,2,0)</f>
        <v>63.33</v>
      </c>
      <c r="BN43">
        <f>VLOOKUP(A43,MET!A$2:G$55,2,0)</f>
        <v>54.29</v>
      </c>
      <c r="BO43">
        <f>VLOOKUP(A43,MMM!A$2:G$55,2,0)</f>
        <v>143.32</v>
      </c>
      <c r="BP43">
        <f>VLOOKUP(A43,MO!A$2:G$55,2,0)</f>
        <v>42.7</v>
      </c>
      <c r="BQ43">
        <f>VLOOKUP(A43,MON!A$2:G$55,2,0)</f>
        <v>115.72</v>
      </c>
      <c r="BR43">
        <f>VLOOKUP(A43,MRK!A$2:G$55,2,0)</f>
        <v>59.89</v>
      </c>
      <c r="BS43">
        <f>VLOOKUP(A43,MS!A$2:G$55,2,0)</f>
        <v>34</v>
      </c>
      <c r="BT43">
        <f>VLOOKUP(A43,MSFT!A$2:G$55,2,0)</f>
        <v>44.75</v>
      </c>
      <c r="BU43">
        <f>VLOOKUP(A43,NKE!A$2:G$55,2,0)</f>
        <v>79.02</v>
      </c>
      <c r="BV43">
        <f>VLOOKUP(A43,NOV!A$2:G$55,2,0)</f>
        <v>85.17</v>
      </c>
      <c r="BW43">
        <f>VLOOKUP(A43,NSC!A$2:G$55,2,0)</f>
        <v>106.33</v>
      </c>
      <c r="BX43">
        <f>VLOOKUP(A43,ORCL!A$2:G$55,2,0)</f>
        <v>41.67</v>
      </c>
      <c r="BY43">
        <f>VLOOKUP(A43,OXY!A$2:G$55,2,0)</f>
        <v>103.24</v>
      </c>
      <c r="BZ43">
        <f>VLOOKUP(A43,PEP!A$2:G$55,2,0)</f>
        <v>92.09</v>
      </c>
      <c r="CA43">
        <f>VLOOKUP(A43,PFE!A$2:G$55,2,0)</f>
        <v>29.43</v>
      </c>
      <c r="CB43">
        <f>VLOOKUP(A43,PG!A$2:G$55,2,0)</f>
        <v>83.02</v>
      </c>
      <c r="CC43">
        <f>VLOOKUP(A43,PM!A$2:G$55,2,0)</f>
        <v>84.92</v>
      </c>
      <c r="CD43">
        <f>VLOOKUP(A43,QCOM!A$2:G$55,2,0)</f>
        <v>76.69</v>
      </c>
      <c r="CE43">
        <f>VLOOKUP(A43,RTN!A$2:G$55,2,0)</f>
        <v>95.75</v>
      </c>
      <c r="CF43">
        <f>VLOOKUP(A43,SBUX!A$2:G$55,2,0)</f>
        <v>77.790000000000006</v>
      </c>
      <c r="CG43">
        <f>VLOOKUP(A43,SLB!A$2:G$55,2,0)</f>
        <v>110.84</v>
      </c>
      <c r="CH43">
        <f>VLOOKUP(A43,SO!A$2:G$55,2,0)</f>
        <v>43.69</v>
      </c>
      <c r="CI43">
        <f>VLOOKUP(A43,SPG!A$2:G$55,2,0)</f>
        <v>169.08</v>
      </c>
      <c r="CJ43">
        <f>VLOOKUP(A43,T!A$2:G$55,2,0)</f>
        <v>34.659999999999997</v>
      </c>
      <c r="CK43">
        <f>VLOOKUP(A43,TGT!A$2:G$55,2,0)</f>
        <v>60.48</v>
      </c>
      <c r="CL43">
        <f>VLOOKUP(A43,TWX!A$2:G$55,2,0)</f>
        <v>76.81</v>
      </c>
      <c r="CM43">
        <f>VLOOKUP(A43,TXN!A$2:G$55,2,0)</f>
        <v>47.61</v>
      </c>
      <c r="CN43">
        <f>VLOOKUP(A43,UNH!A$2:G$55,2,0)</f>
        <v>86</v>
      </c>
      <c r="CO43">
        <f>VLOOKUP(A43,UNP!A$2:G$55,2,0)</f>
        <v>105.07</v>
      </c>
      <c r="CP43">
        <f>VLOOKUP(A43,UPS!A$2:G$55,2,0)</f>
        <v>96.99</v>
      </c>
      <c r="CQ43">
        <f>VLOOKUP(A43,USB!A$2:G$55,2,0)</f>
        <v>41.97</v>
      </c>
      <c r="CR43">
        <f>VLOOKUP(A43,UTX!A$2:G$55,2,0)</f>
        <v>108.8</v>
      </c>
      <c r="CS43">
        <f>VLOOKUP(A43,V!A$2:G$55,2,0)</f>
        <v>215</v>
      </c>
      <c r="CT43">
        <f>VLOOKUP(A43,VZ!A$2:G$55,2,0)</f>
        <v>49.38</v>
      </c>
      <c r="CU43">
        <f>VLOOKUP(A43,WAG!A$2:G$55,2,0)</f>
        <v>60.29</v>
      </c>
      <c r="CV43">
        <f>VLOOKUP(A43,WFC!A$2:G$55,2,0)</f>
        <v>51.21</v>
      </c>
      <c r="CW43">
        <f>VLOOKUP(A43,WMT!A$2:G$55,2,0)</f>
        <v>75.47</v>
      </c>
    </row>
    <row r="44" spans="1:101" x14ac:dyDescent="0.25">
      <c r="A44" s="34">
        <v>41880</v>
      </c>
      <c r="B44" s="36">
        <v>102.86</v>
      </c>
      <c r="C44">
        <f>VLOOKUP(A44,ABBV!A$2:G$55,2,0)</f>
        <v>55.75</v>
      </c>
      <c r="D44">
        <f>VLOOKUP(A44,ABT!A$2:G$55,2,0)</f>
        <v>42.41</v>
      </c>
      <c r="E44">
        <f>VLOOKUP(A44,ACN!A$2:G$55,2,0)</f>
        <v>81.319999999999993</v>
      </c>
      <c r="F44">
        <f>VLOOKUP(A44,AIG!A$2:G$55,2,0)</f>
        <v>55.95</v>
      </c>
      <c r="G44">
        <f>VLOOKUP(A44,ALL!A$2:G$55,2,0)</f>
        <v>61.26</v>
      </c>
      <c r="H44">
        <f>VLOOKUP(A44,AMGN!A$2:G$55,2,0)</f>
        <v>139.44999999999999</v>
      </c>
      <c r="I44">
        <f>VLOOKUP(A44,AMZN!A$2:G$55,2,0)</f>
        <v>341.76</v>
      </c>
      <c r="J44">
        <f>VLOOKUP(A44,APA!A$2:G$55,2,0)</f>
        <v>100.81</v>
      </c>
      <c r="K44">
        <f>VLOOKUP(A44,APC!A$2:G$55,2,0)</f>
        <v>110.47</v>
      </c>
      <c r="L44">
        <f>VLOOKUP(A44,AXP!A$2:G$55,2,0)</f>
        <v>89.37</v>
      </c>
      <c r="M44">
        <f>VLOOKUP(A44,BA!A$2:G$55,2,0)</f>
        <v>127.35</v>
      </c>
      <c r="N44">
        <f>VLOOKUP(A44,BAC!A$2:G$55,2,0)</f>
        <v>16.05</v>
      </c>
      <c r="O44">
        <f>VLOOKUP(A44,BAX!A$2:G$55,2,0)</f>
        <v>74.88</v>
      </c>
      <c r="P44">
        <f>VLOOKUP(A44,BIIB!A$2:G$55,2,0)</f>
        <v>343.63</v>
      </c>
      <c r="Q44">
        <f>VLOOKUP(A44,BK!A$2:G$55,2,0)</f>
        <v>39.03</v>
      </c>
      <c r="R44">
        <f>VLOOKUP(A44,BMY!A$2:G$55,2,0)</f>
        <v>50.67</v>
      </c>
      <c r="T44">
        <f>VLOOKUP(A44,'C'!A$2:G$55,2,0)</f>
        <v>51.53</v>
      </c>
      <c r="U44">
        <f>VLOOKUP(A44,CAT!A$2:G$55,2,0)</f>
        <v>108.9</v>
      </c>
      <c r="V44">
        <f>VLOOKUP(A44,CL!A$2:G$55,2,0)</f>
        <v>64.739999999999995</v>
      </c>
      <c r="W44">
        <f>VLOOKUP(A44,CMCSA!A$2:G$55,2,0)</f>
        <v>54.88</v>
      </c>
      <c r="X44">
        <f>VLOOKUP(A44,COF!A$2:G$55,2,0)</f>
        <v>82.05</v>
      </c>
      <c r="Y44">
        <f>VLOOKUP(A44,COP!A$2:G$55,2,0)</f>
        <v>80.87</v>
      </c>
      <c r="Z44">
        <f>VLOOKUP(A44,COST!A$2:G$55,2,0)</f>
        <v>121.68</v>
      </c>
      <c r="AA44">
        <f>VLOOKUP(A44,CSCO!A$2:G$55,2,0)</f>
        <v>24.9</v>
      </c>
      <c r="AB44">
        <f>VLOOKUP(A44,CVS!A$2:G$55,2,0)</f>
        <v>79.5</v>
      </c>
      <c r="AC44">
        <f>VLOOKUP(A44,CVX!A$2:G$55,2,0)</f>
        <v>129</v>
      </c>
      <c r="AD44">
        <f>VLOOKUP(A44,DD!A$2:G$55,2,0)</f>
        <v>66.45</v>
      </c>
      <c r="AE44">
        <f>VLOOKUP(A44,DIS!A$2:G$55,2,0)</f>
        <v>90.32</v>
      </c>
      <c r="AF44">
        <f>VLOOKUP(A44,DOW!A$2:G$55,2,0)</f>
        <v>53.77</v>
      </c>
      <c r="AG44">
        <f>VLOOKUP(A44,DVN!A$2:G$55,2,0)</f>
        <v>74.739999999999995</v>
      </c>
      <c r="AH44">
        <f>VLOOKUP(A44,EBAY!A$2:G$55,2,0)</f>
        <v>55.76</v>
      </c>
      <c r="AI44">
        <f>VLOOKUP(A44,EMC!A$2:G$55,2,0)</f>
        <v>29.45</v>
      </c>
      <c r="AJ44">
        <f>VLOOKUP(A44,EMR!A$2:G$55,2,0)</f>
        <v>64.39</v>
      </c>
      <c r="AK44">
        <f>VLOOKUP(A44,EXC!A$2:G$55,2,0)</f>
        <v>33.04</v>
      </c>
      <c r="AL44">
        <f>VLOOKUP(A44,F!A$2:G$55,2,0)</f>
        <v>17.47</v>
      </c>
      <c r="AM44">
        <f>VLOOKUP(A44,FB!A$2:G$55,2,0)</f>
        <v>74.3</v>
      </c>
      <c r="AN44">
        <f>VLOOKUP(A44,FCX!A$2:G$55,2,0)</f>
        <v>36.299999999999997</v>
      </c>
      <c r="AO44">
        <f>VLOOKUP(A44,FDX!A$2:G$55,2,0)</f>
        <v>148.4</v>
      </c>
      <c r="AP44">
        <f>VLOOKUP(A44,FOXA!A$2:G$55,2,0)</f>
        <v>35.770000000000003</v>
      </c>
      <c r="AQ44">
        <f>VLOOKUP(A44,GD!A$2:G$55,2,0)</f>
        <v>123.05</v>
      </c>
      <c r="AR44">
        <f>VLOOKUP(A44,GE!A$2:G$55,2,0)</f>
        <v>26.03</v>
      </c>
      <c r="AS44">
        <f>VLOOKUP(A44,GILD!A$2:G$55,2,0)</f>
        <v>107.9</v>
      </c>
      <c r="AT44">
        <f>VLOOKUP(A44,GM!A$2:G$55,2,0)</f>
        <v>34.74</v>
      </c>
      <c r="AU44">
        <f>VLOOKUP(A44,GOOG!A$2:G$55,2,0)</f>
        <v>571.33000000000004</v>
      </c>
      <c r="AV44">
        <f>VLOOKUP(A44,GOOGL!A$2:G$55,2,0)</f>
        <v>582.35</v>
      </c>
      <c r="AW44">
        <f>VLOOKUP(A44,GS!A$2:G$55,2,0)</f>
        <v>178.32</v>
      </c>
      <c r="AX44">
        <f>VLOOKUP(A44,HAL!A$2:G$55,2,0)</f>
        <v>67.31</v>
      </c>
      <c r="AY44">
        <f>VLOOKUP(A44,HD!A$2:G$55,2,0)</f>
        <v>92.74</v>
      </c>
      <c r="AZ44">
        <f>VLOOKUP(A44,HON!A$2:G$55,2,0)</f>
        <v>95.35</v>
      </c>
      <c r="BA44">
        <f>VLOOKUP(A44,HPQ!A$2:G$55,2,0)</f>
        <v>38.03</v>
      </c>
      <c r="BB44">
        <f>VLOOKUP(A44,IBM!A$2:G$55,2,0)</f>
        <v>192.28</v>
      </c>
      <c r="BC44">
        <f>VLOOKUP(A44,INTC!A$2:G$55,2,0)</f>
        <v>34.81</v>
      </c>
      <c r="BD44">
        <f>VLOOKUP(A44,JNJ!A$2:G$55,2,0)</f>
        <v>103.1</v>
      </c>
      <c r="BE44">
        <f>VLOOKUP(A44,JPM!A$2:G$55,2,0)</f>
        <v>59.34</v>
      </c>
      <c r="BF44">
        <f>VLOOKUP(A44,KO!A$2:G$55,2,0)</f>
        <v>41.6</v>
      </c>
      <c r="BG44">
        <f>VLOOKUP(A44,LLY!A$2:G$55,2,0)</f>
        <v>63.37</v>
      </c>
      <c r="BH44">
        <f>VLOOKUP(A44,LMT!A$2:G$55,2,0)</f>
        <v>174.76</v>
      </c>
      <c r="BI44">
        <f>VLOOKUP(A44,LOW!A$2:G$55,2,0)</f>
        <v>52.5</v>
      </c>
      <c r="BJ44">
        <f>VLOOKUP(A44,MA!A$2:G$55,2,0)</f>
        <v>76.3</v>
      </c>
      <c r="BK44">
        <f>VLOOKUP(A44,MCD!A$2:G$55,2,0)</f>
        <v>94.2</v>
      </c>
      <c r="BL44">
        <f>VLOOKUP(A44,MDLZ!A$2:G$55,2,0)</f>
        <v>36.32</v>
      </c>
      <c r="BM44">
        <f>VLOOKUP(A44,MDT!A$2:G$55,2,0)</f>
        <v>63.42</v>
      </c>
      <c r="BN44">
        <f>VLOOKUP(A44,MET!A$2:G$55,2,0)</f>
        <v>54.5</v>
      </c>
      <c r="BO44">
        <f>VLOOKUP(A44,MMM!A$2:G$55,2,0)</f>
        <v>144.06</v>
      </c>
      <c r="BP44">
        <f>VLOOKUP(A44,MO!A$2:G$55,2,0)</f>
        <v>43</v>
      </c>
      <c r="BQ44">
        <f>VLOOKUP(A44,MON!A$2:G$55,2,0)</f>
        <v>116.03</v>
      </c>
      <c r="BR44">
        <f>VLOOKUP(A44,MRK!A$2:G$55,2,0)</f>
        <v>60.42</v>
      </c>
      <c r="BS44">
        <f>VLOOKUP(A44,MS!A$2:G$55,2,0)</f>
        <v>34.15</v>
      </c>
      <c r="BT44">
        <f>VLOOKUP(A44,MSFT!A$2:G$55,2,0)</f>
        <v>45.09</v>
      </c>
      <c r="BU44">
        <f>VLOOKUP(A44,NKE!A$2:G$55,2,0)</f>
        <v>78.849999999999994</v>
      </c>
      <c r="BV44">
        <f>VLOOKUP(A44,NOV!A$2:G$55,2,0)</f>
        <v>85.55</v>
      </c>
      <c r="BW44">
        <f>VLOOKUP(A44,NSC!A$2:G$55,2,0)</f>
        <v>106.8</v>
      </c>
      <c r="BX44">
        <f>VLOOKUP(A44,ORCL!A$2:G$55,2,0)</f>
        <v>41.24</v>
      </c>
      <c r="BY44">
        <f>VLOOKUP(A44,OXY!A$2:G$55,2,0)</f>
        <v>103.02</v>
      </c>
      <c r="BZ44">
        <f>VLOOKUP(A44,PEP!A$2:G$55,2,0)</f>
        <v>92.73</v>
      </c>
      <c r="CA44">
        <f>VLOOKUP(A44,PFE!A$2:G$55,2,0)</f>
        <v>29.46</v>
      </c>
      <c r="CB44">
        <f>VLOOKUP(A44,PG!A$2:G$55,2,0)</f>
        <v>83.09</v>
      </c>
      <c r="CC44">
        <f>VLOOKUP(A44,PM!A$2:G$55,2,0)</f>
        <v>85.28</v>
      </c>
      <c r="CD44">
        <f>VLOOKUP(A44,QCOM!A$2:G$55,2,0)</f>
        <v>76.599999999999994</v>
      </c>
      <c r="CE44">
        <f>VLOOKUP(A44,RTN!A$2:G$55,2,0)</f>
        <v>96.39</v>
      </c>
      <c r="CF44">
        <f>VLOOKUP(A44,SBUX!A$2:G$55,2,0)</f>
        <v>78.069999999999993</v>
      </c>
      <c r="CG44">
        <f>VLOOKUP(A44,SLB!A$2:G$55,2,0)</f>
        <v>110.29</v>
      </c>
      <c r="CH44">
        <f>VLOOKUP(A44,SO!A$2:G$55,2,0)</f>
        <v>44.18</v>
      </c>
      <c r="CI44">
        <f>VLOOKUP(A44,SPG!A$2:G$55,2,0)</f>
        <v>169.6</v>
      </c>
      <c r="CJ44">
        <f>VLOOKUP(A44,T!A$2:G$55,2,0)</f>
        <v>34.729999999999997</v>
      </c>
      <c r="CK44">
        <f>VLOOKUP(A44,TGT!A$2:G$55,2,0)</f>
        <v>60.72</v>
      </c>
      <c r="CL44">
        <f>VLOOKUP(A44,TWX!A$2:G$55,2,0)</f>
        <v>77</v>
      </c>
      <c r="CM44">
        <f>VLOOKUP(A44,TXN!A$2:G$55,2,0)</f>
        <v>48.31</v>
      </c>
      <c r="CN44">
        <f>VLOOKUP(A44,UNH!A$2:G$55,2,0)</f>
        <v>86.75</v>
      </c>
      <c r="CO44">
        <f>VLOOKUP(A44,UNP!A$2:G$55,2,0)</f>
        <v>105.03</v>
      </c>
      <c r="CP44">
        <f>VLOOKUP(A44,UPS!A$2:G$55,2,0)</f>
        <v>97.76</v>
      </c>
      <c r="CQ44">
        <f>VLOOKUP(A44,USB!A$2:G$55,2,0)</f>
        <v>42.23</v>
      </c>
      <c r="CR44">
        <f>VLOOKUP(A44,UTX!A$2:G$55,2,0)</f>
        <v>109.11</v>
      </c>
      <c r="CS44">
        <f>VLOOKUP(A44,V!A$2:G$55,2,0)</f>
        <v>214.56</v>
      </c>
      <c r="CT44">
        <f>VLOOKUP(A44,VZ!A$2:G$55,2,0)</f>
        <v>49.43</v>
      </c>
      <c r="CU44">
        <f>VLOOKUP(A44,WAG!A$2:G$55,2,0)</f>
        <v>60.58</v>
      </c>
      <c r="CV44">
        <f>VLOOKUP(A44,WFC!A$2:G$55,2,0)</f>
        <v>51.27</v>
      </c>
      <c r="CW44">
        <f>VLOOKUP(A44,WMT!A$2:G$55,2,0)</f>
        <v>75.75</v>
      </c>
    </row>
    <row r="45" spans="1:101" x14ac:dyDescent="0.25">
      <c r="A45" s="34">
        <v>41884</v>
      </c>
      <c r="B45" s="36">
        <v>103.06</v>
      </c>
      <c r="C45">
        <f>VLOOKUP(A45,ABBV!A$2:G$55,2,0)</f>
        <v>55.43</v>
      </c>
      <c r="D45">
        <f>VLOOKUP(A45,ABT!A$2:G$55,2,0)</f>
        <v>42.17</v>
      </c>
      <c r="E45">
        <f>VLOOKUP(A45,ACN!A$2:G$55,2,0)</f>
        <v>80.95</v>
      </c>
      <c r="F45">
        <f>VLOOKUP(A45,AIG!A$2:G$55,2,0)</f>
        <v>56.29</v>
      </c>
      <c r="G45">
        <f>VLOOKUP(A45,ALL!A$2:G$55,2,0)</f>
        <v>61.73</v>
      </c>
      <c r="H45">
        <f>VLOOKUP(A45,AMGN!A$2:G$55,2,0)</f>
        <v>139.62</v>
      </c>
      <c r="I45">
        <f>VLOOKUP(A45,AMZN!A$2:G$55,2,0)</f>
        <v>339.98</v>
      </c>
      <c r="J45">
        <f>VLOOKUP(A45,APA!A$2:G$55,2,0)</f>
        <v>101.82</v>
      </c>
      <c r="K45">
        <f>VLOOKUP(A45,APC!A$2:G$55,2,0)</f>
        <v>112.08</v>
      </c>
      <c r="L45">
        <f>VLOOKUP(A45,AXP!A$2:G$55,2,0)</f>
        <v>89.9</v>
      </c>
      <c r="M45">
        <f>VLOOKUP(A45,BA!A$2:G$55,2,0)</f>
        <v>125.62</v>
      </c>
      <c r="N45">
        <f>VLOOKUP(A45,BAC!A$2:G$55,2,0)</f>
        <v>16.14</v>
      </c>
      <c r="O45">
        <f>VLOOKUP(A45,BAX!A$2:G$55,2,0)</f>
        <v>74.95</v>
      </c>
      <c r="P45">
        <f>VLOOKUP(A45,BIIB!A$2:G$55,2,0)</f>
        <v>345.47</v>
      </c>
      <c r="Q45">
        <f>VLOOKUP(A45,BK!A$2:G$55,2,0)</f>
        <v>39.299999999999997</v>
      </c>
      <c r="R45">
        <f>VLOOKUP(A45,BMY!A$2:G$55,2,0)</f>
        <v>50.62</v>
      </c>
      <c r="T45">
        <f>VLOOKUP(A45,'C'!A$2:G$55,2,0)</f>
        <v>51.78</v>
      </c>
      <c r="U45">
        <f>VLOOKUP(A45,CAT!A$2:G$55,2,0)</f>
        <v>109.03</v>
      </c>
      <c r="V45">
        <f>VLOOKUP(A45,CL!A$2:G$55,2,0)</f>
        <v>64.44</v>
      </c>
      <c r="W45">
        <f>VLOOKUP(A45,CMCSA!A$2:G$55,2,0)</f>
        <v>54.71</v>
      </c>
      <c r="X45">
        <f>VLOOKUP(A45,COF!A$2:G$55,2,0)</f>
        <v>82.34</v>
      </c>
      <c r="Y45">
        <f>VLOOKUP(A45,COP!A$2:G$55,2,0)</f>
        <v>81.06</v>
      </c>
      <c r="Z45">
        <f>VLOOKUP(A45,COST!A$2:G$55,2,0)</f>
        <v>121</v>
      </c>
      <c r="AA45">
        <f>VLOOKUP(A45,CSCO!A$2:G$55,2,0)</f>
        <v>24.94</v>
      </c>
      <c r="AB45">
        <f>VLOOKUP(A45,CVS!A$2:G$55,2,0)</f>
        <v>79.47</v>
      </c>
      <c r="AC45">
        <f>VLOOKUP(A45,CVX!A$2:G$55,2,0)</f>
        <v>129.19999999999999</v>
      </c>
      <c r="AD45">
        <f>VLOOKUP(A45,DD!A$2:G$55,2,0)</f>
        <v>65.92</v>
      </c>
      <c r="AE45">
        <f>VLOOKUP(A45,DIS!A$2:G$55,2,0)</f>
        <v>90.18</v>
      </c>
      <c r="AF45">
        <f>VLOOKUP(A45,DOW!A$2:G$55,2,0)</f>
        <v>53.56</v>
      </c>
      <c r="AG45">
        <f>VLOOKUP(A45,DVN!A$2:G$55,2,0)</f>
        <v>75.3</v>
      </c>
      <c r="AH45">
        <f>VLOOKUP(A45,EBAY!A$2:G$55,2,0)</f>
        <v>55.48</v>
      </c>
      <c r="AI45">
        <f>VLOOKUP(A45,EMC!A$2:G$55,2,0)</f>
        <v>29.4</v>
      </c>
      <c r="AJ45">
        <f>VLOOKUP(A45,EMR!A$2:G$55,2,0)</f>
        <v>64.33</v>
      </c>
      <c r="AK45">
        <f>VLOOKUP(A45,EXC!A$2:G$55,2,0)</f>
        <v>33.43</v>
      </c>
      <c r="AL45">
        <f>VLOOKUP(A45,F!A$2:G$55,2,0)</f>
        <v>17.48</v>
      </c>
      <c r="AM45">
        <f>VLOOKUP(A45,FB!A$2:G$55,2,0)</f>
        <v>75.010000000000005</v>
      </c>
      <c r="AN45">
        <f>VLOOKUP(A45,FCX!A$2:G$55,2,0)</f>
        <v>36.04</v>
      </c>
      <c r="AO45">
        <f>VLOOKUP(A45,FDX!A$2:G$55,2,0)</f>
        <v>148.72</v>
      </c>
      <c r="AP45">
        <f>VLOOKUP(A45,FOXA!A$2:G$55,2,0)</f>
        <v>35.39</v>
      </c>
      <c r="AQ45">
        <f>VLOOKUP(A45,GD!A$2:G$55,2,0)</f>
        <v>123.35</v>
      </c>
      <c r="AR45">
        <f>VLOOKUP(A45,GE!A$2:G$55,2,0)</f>
        <v>25.89</v>
      </c>
      <c r="AS45">
        <f>VLOOKUP(A45,GILD!A$2:G$55,2,0)</f>
        <v>108.17</v>
      </c>
      <c r="AT45">
        <f>VLOOKUP(A45,GM!A$2:G$55,2,0)</f>
        <v>34.880000000000003</v>
      </c>
      <c r="AU45">
        <f>VLOOKUP(A45,GOOG!A$2:G$55,2,0)</f>
        <v>571.85</v>
      </c>
      <c r="AV45">
        <f>VLOOKUP(A45,GOOGL!A$2:G$55,2,0)</f>
        <v>582.95000000000005</v>
      </c>
      <c r="AW45">
        <f>VLOOKUP(A45,GS!A$2:G$55,2,0)</f>
        <v>179.26</v>
      </c>
      <c r="AX45">
        <f>VLOOKUP(A45,HAL!A$2:G$55,2,0)</f>
        <v>68.17</v>
      </c>
      <c r="AY45">
        <f>VLOOKUP(A45,HD!A$2:G$55,2,0)</f>
        <v>93.04</v>
      </c>
      <c r="AZ45">
        <f>VLOOKUP(A45,HON!A$2:G$55,2,0)</f>
        <v>95.18</v>
      </c>
      <c r="BA45">
        <f>VLOOKUP(A45,HPQ!A$2:G$55,2,0)</f>
        <v>38</v>
      </c>
      <c r="BB45">
        <f>VLOOKUP(A45,IBM!A$2:G$55,2,0)</f>
        <v>192.68</v>
      </c>
      <c r="BC45">
        <f>VLOOKUP(A45,INTC!A$2:G$55,2,0)</f>
        <v>34.76</v>
      </c>
      <c r="BD45">
        <f>VLOOKUP(A45,JNJ!A$2:G$55,2,0)</f>
        <v>103.3</v>
      </c>
      <c r="BE45">
        <f>VLOOKUP(A45,JPM!A$2:G$55,2,0)</f>
        <v>59.46</v>
      </c>
      <c r="BF45">
        <f>VLOOKUP(A45,KO!A$2:G$55,2,0)</f>
        <v>41.52</v>
      </c>
      <c r="BG45">
        <f>VLOOKUP(A45,LLY!A$2:G$55,2,0)</f>
        <v>63.6</v>
      </c>
      <c r="BH45">
        <f>VLOOKUP(A45,LMT!A$2:G$55,2,0)</f>
        <v>175.14</v>
      </c>
      <c r="BI45">
        <f>VLOOKUP(A45,LOW!A$2:G$55,2,0)</f>
        <v>52.66</v>
      </c>
      <c r="BJ45">
        <f>VLOOKUP(A45,MA!A$2:G$55,2,0)</f>
        <v>75.930000000000007</v>
      </c>
      <c r="BK45">
        <f>VLOOKUP(A45,MCD!A$2:G$55,2,0)</f>
        <v>93.24</v>
      </c>
      <c r="BL45">
        <f>VLOOKUP(A45,MDLZ!A$2:G$55,2,0)</f>
        <v>36.29</v>
      </c>
      <c r="BM45">
        <f>VLOOKUP(A45,MDT!A$2:G$55,2,0)</f>
        <v>63.87</v>
      </c>
      <c r="BN45">
        <f>VLOOKUP(A45,MET!A$2:G$55,2,0)</f>
        <v>54.88</v>
      </c>
      <c r="BO45">
        <f>VLOOKUP(A45,MMM!A$2:G$55,2,0)</f>
        <v>143.30000000000001</v>
      </c>
      <c r="BP45">
        <f>VLOOKUP(A45,MO!A$2:G$55,2,0)</f>
        <v>43.16</v>
      </c>
      <c r="BQ45">
        <f>VLOOKUP(A45,MON!A$2:G$55,2,0)</f>
        <v>115.9</v>
      </c>
      <c r="BR45">
        <f>VLOOKUP(A45,MRK!A$2:G$55,2,0)</f>
        <v>59.73</v>
      </c>
      <c r="BS45">
        <f>VLOOKUP(A45,MS!A$2:G$55,2,0)</f>
        <v>34.42</v>
      </c>
      <c r="BT45">
        <f>VLOOKUP(A45,MSFT!A$2:G$55,2,0)</f>
        <v>45.43</v>
      </c>
      <c r="BU45">
        <f>VLOOKUP(A45,NKE!A$2:G$55,2,0)</f>
        <v>78.349999999999994</v>
      </c>
      <c r="BV45">
        <f>VLOOKUP(A45,NOV!A$2:G$55,2,0)</f>
        <v>86.5</v>
      </c>
      <c r="BW45">
        <f>VLOOKUP(A45,NSC!A$2:G$55,2,0)</f>
        <v>107</v>
      </c>
      <c r="BX45">
        <f>VLOOKUP(A45,ORCL!A$2:G$55,2,0)</f>
        <v>41.6</v>
      </c>
      <c r="BY45">
        <f>VLOOKUP(A45,OXY!A$2:G$55,2,0)</f>
        <v>103.43</v>
      </c>
      <c r="BZ45">
        <f>VLOOKUP(A45,PEP!A$2:G$55,2,0)</f>
        <v>92.62</v>
      </c>
      <c r="CA45">
        <f>VLOOKUP(A45,PFE!A$2:G$55,2,0)</f>
        <v>29.21</v>
      </c>
      <c r="CB45">
        <f>VLOOKUP(A45,PG!A$2:G$55,2,0)</f>
        <v>83.21</v>
      </c>
      <c r="CC45">
        <f>VLOOKUP(A45,PM!A$2:G$55,2,0)</f>
        <v>85.3</v>
      </c>
      <c r="CD45">
        <f>VLOOKUP(A45,QCOM!A$2:G$55,2,0)</f>
        <v>75.92</v>
      </c>
      <c r="CE45">
        <f>VLOOKUP(A45,RTN!A$2:G$55,2,0)</f>
        <v>96.71</v>
      </c>
      <c r="CF45">
        <f>VLOOKUP(A45,SBUX!A$2:G$55,2,0)</f>
        <v>77.7</v>
      </c>
      <c r="CG45">
        <f>VLOOKUP(A45,SLB!A$2:G$55,2,0)</f>
        <v>109.63</v>
      </c>
      <c r="CH45">
        <f>VLOOKUP(A45,SO!A$2:G$55,2,0)</f>
        <v>44.32</v>
      </c>
      <c r="CI45">
        <f>VLOOKUP(A45,SPG!A$2:G$55,2,0)</f>
        <v>170.62</v>
      </c>
      <c r="CJ45">
        <f>VLOOKUP(A45,T!A$2:G$55,2,0)</f>
        <v>34.93</v>
      </c>
      <c r="CK45">
        <f>VLOOKUP(A45,TGT!A$2:G$55,2,0)</f>
        <v>60.28</v>
      </c>
      <c r="CL45">
        <f>VLOOKUP(A45,TWX!A$2:G$55,2,0)</f>
        <v>76.83</v>
      </c>
      <c r="CM45">
        <f>VLOOKUP(A45,TXN!A$2:G$55,2,0)</f>
        <v>48.43</v>
      </c>
      <c r="CN45">
        <f>VLOOKUP(A45,UNH!A$2:G$55,2,0)</f>
        <v>87.12</v>
      </c>
      <c r="CO45">
        <f>VLOOKUP(A45,UNP!A$2:G$55,2,0)</f>
        <v>105.7</v>
      </c>
      <c r="CP45">
        <f>VLOOKUP(A45,UPS!A$2:G$55,2,0)</f>
        <v>97.63</v>
      </c>
      <c r="CQ45">
        <f>VLOOKUP(A45,USB!A$2:G$55,2,0)</f>
        <v>42.34</v>
      </c>
      <c r="CR45">
        <f>VLOOKUP(A45,UTX!A$2:G$55,2,0)</f>
        <v>108.26</v>
      </c>
      <c r="CS45">
        <f>VLOOKUP(A45,V!A$2:G$55,2,0)</f>
        <v>213.41</v>
      </c>
      <c r="CT45">
        <f>VLOOKUP(A45,VZ!A$2:G$55,2,0)</f>
        <v>49.82</v>
      </c>
      <c r="CU45">
        <f>VLOOKUP(A45,WAG!A$2:G$55,2,0)</f>
        <v>60.23</v>
      </c>
      <c r="CV45">
        <f>VLOOKUP(A45,WFC!A$2:G$55,2,0)</f>
        <v>51.71</v>
      </c>
      <c r="CW45">
        <f>VLOOKUP(A45,WMT!A$2:G$55,2,0)</f>
        <v>75.42</v>
      </c>
    </row>
    <row r="46" spans="1:101" x14ac:dyDescent="0.25">
      <c r="A46" s="34">
        <v>41885</v>
      </c>
      <c r="B46" s="36">
        <v>103.1</v>
      </c>
      <c r="C46">
        <f>VLOOKUP(A46,ABBV!A$2:G$55,2,0)</f>
        <v>55.16</v>
      </c>
      <c r="D46">
        <f>VLOOKUP(A46,ABT!A$2:G$55,2,0)</f>
        <v>42.4</v>
      </c>
      <c r="E46">
        <f>VLOOKUP(A46,ACN!A$2:G$55,2,0)</f>
        <v>81.55</v>
      </c>
      <c r="F46">
        <f>VLOOKUP(A46,AIG!A$2:G$55,2,0)</f>
        <v>55.93</v>
      </c>
      <c r="G46">
        <f>VLOOKUP(A46,ALL!A$2:G$55,2,0)</f>
        <v>62.09</v>
      </c>
      <c r="H46">
        <f>VLOOKUP(A46,AMGN!A$2:G$55,2,0)</f>
        <v>138.53</v>
      </c>
      <c r="I46">
        <f>VLOOKUP(A46,AMZN!A$2:G$55,2,0)</f>
        <v>342.54</v>
      </c>
      <c r="J46">
        <f>VLOOKUP(A46,APA!A$2:G$55,2,0)</f>
        <v>101.33</v>
      </c>
      <c r="K46">
        <f>VLOOKUP(A46,APC!A$2:G$55,2,0)</f>
        <v>112.48</v>
      </c>
      <c r="L46">
        <f>VLOOKUP(A46,AXP!A$2:G$55,2,0)</f>
        <v>90.13</v>
      </c>
      <c r="M46">
        <f>VLOOKUP(A46,BA!A$2:G$55,2,0)</f>
        <v>125.46</v>
      </c>
      <c r="N46">
        <f>VLOOKUP(A46,BAC!A$2:G$55,2,0)</f>
        <v>16.27</v>
      </c>
      <c r="O46">
        <f>VLOOKUP(A46,BAX!A$2:G$55,2,0)</f>
        <v>74.13</v>
      </c>
      <c r="P46">
        <f>VLOOKUP(A46,BIIB!A$2:G$55,2,0)</f>
        <v>343.37</v>
      </c>
      <c r="Q46">
        <f>VLOOKUP(A46,BK!A$2:G$55,2,0)</f>
        <v>39.840000000000003</v>
      </c>
      <c r="R46">
        <f>VLOOKUP(A46,BMY!A$2:G$55,2,0)</f>
        <v>50.68</v>
      </c>
      <c r="T46">
        <f>VLOOKUP(A46,'C'!A$2:G$55,2,0)</f>
        <v>52.24</v>
      </c>
      <c r="U46">
        <f>VLOOKUP(A46,CAT!A$2:G$55,2,0)</f>
        <v>109.45</v>
      </c>
      <c r="V46">
        <f>VLOOKUP(A46,CL!A$2:G$55,2,0)</f>
        <v>64.849999999999994</v>
      </c>
      <c r="W46">
        <f>VLOOKUP(A46,CMCSA!A$2:G$55,2,0)</f>
        <v>54.74</v>
      </c>
      <c r="X46">
        <f>VLOOKUP(A46,COF!A$2:G$55,2,0)</f>
        <v>82.81</v>
      </c>
      <c r="Y46">
        <f>VLOOKUP(A46,COP!A$2:G$55,2,0)</f>
        <v>80.98</v>
      </c>
      <c r="Z46">
        <f>VLOOKUP(A46,COST!A$2:G$55,2,0)</f>
        <v>121.7</v>
      </c>
      <c r="AA46">
        <f>VLOOKUP(A46,CSCO!A$2:G$55,2,0)</f>
        <v>24.94</v>
      </c>
      <c r="AB46">
        <f>VLOOKUP(A46,CVS!A$2:G$55,2,0)</f>
        <v>79.89</v>
      </c>
      <c r="AC46">
        <f>VLOOKUP(A46,CVX!A$2:G$55,2,0)</f>
        <v>128.44999999999999</v>
      </c>
      <c r="AD46">
        <f>VLOOKUP(A46,DD!A$2:G$55,2,0)</f>
        <v>66.19</v>
      </c>
      <c r="AE46">
        <f>VLOOKUP(A46,DIS!A$2:G$55,2,0)</f>
        <v>91.06</v>
      </c>
      <c r="AF46">
        <f>VLOOKUP(A46,DOW!A$2:G$55,2,0)</f>
        <v>53.7</v>
      </c>
      <c r="AG46">
        <f>VLOOKUP(A46,DVN!A$2:G$55,2,0)</f>
        <v>74.69</v>
      </c>
      <c r="AH46">
        <f>VLOOKUP(A46,EBAY!A$2:G$55,2,0)</f>
        <v>55.14</v>
      </c>
      <c r="AI46">
        <f>VLOOKUP(A46,EMC!A$2:G$55,2,0)</f>
        <v>29.59</v>
      </c>
      <c r="AJ46">
        <f>VLOOKUP(A46,EMR!A$2:G$55,2,0)</f>
        <v>64.75</v>
      </c>
      <c r="AK46">
        <f>VLOOKUP(A46,EXC!A$2:G$55,2,0)</f>
        <v>33.03</v>
      </c>
      <c r="AL46">
        <f>VLOOKUP(A46,F!A$2:G$55,2,0)</f>
        <v>17.71</v>
      </c>
      <c r="AM46">
        <f>VLOOKUP(A46,FB!A$2:G$55,2,0)</f>
        <v>77.14</v>
      </c>
      <c r="AN46">
        <f>VLOOKUP(A46,FCX!A$2:G$55,2,0)</f>
        <v>35.619999999999997</v>
      </c>
      <c r="AO46">
        <f>VLOOKUP(A46,FDX!A$2:G$55,2,0)</f>
        <v>150.47999999999999</v>
      </c>
      <c r="AP46">
        <f>VLOOKUP(A46,FOXA!A$2:G$55,2,0)</f>
        <v>36</v>
      </c>
      <c r="AQ46">
        <f>VLOOKUP(A46,GD!A$2:G$55,2,0)</f>
        <v>123.55</v>
      </c>
      <c r="AR46">
        <f>VLOOKUP(A46,GE!A$2:G$55,2,0)</f>
        <v>25.98</v>
      </c>
      <c r="AS46">
        <f>VLOOKUP(A46,GILD!A$2:G$55,2,0)</f>
        <v>110</v>
      </c>
      <c r="AT46">
        <f>VLOOKUP(A46,GM!A$2:G$55,2,0)</f>
        <v>35.06</v>
      </c>
      <c r="AU46">
        <f>VLOOKUP(A46,GOOG!A$2:G$55,2,0)</f>
        <v>580</v>
      </c>
      <c r="AV46">
        <f>VLOOKUP(A46,GOOGL!A$2:G$55,2,0)</f>
        <v>591.73</v>
      </c>
      <c r="AW46">
        <f>VLOOKUP(A46,GS!A$2:G$55,2,0)</f>
        <v>180.48</v>
      </c>
      <c r="AX46">
        <f>VLOOKUP(A46,HAL!A$2:G$55,2,0)</f>
        <v>68.03</v>
      </c>
      <c r="AY46">
        <f>VLOOKUP(A46,HD!A$2:G$55,2,0)</f>
        <v>91.11</v>
      </c>
      <c r="AZ46">
        <f>VLOOKUP(A46,HON!A$2:G$55,2,0)</f>
        <v>95.86</v>
      </c>
      <c r="BA46">
        <f>VLOOKUP(A46,HPQ!A$2:G$55,2,0)</f>
        <v>38.130000000000003</v>
      </c>
      <c r="BB46">
        <f>VLOOKUP(A46,IBM!A$2:G$55,2,0)</f>
        <v>192.39</v>
      </c>
      <c r="BC46">
        <f>VLOOKUP(A46,INTC!A$2:G$55,2,0)</f>
        <v>34.82</v>
      </c>
      <c r="BD46">
        <f>VLOOKUP(A46,JNJ!A$2:G$55,2,0)</f>
        <v>103.82</v>
      </c>
      <c r="BE46">
        <f>VLOOKUP(A46,JPM!A$2:G$55,2,0)</f>
        <v>60.02</v>
      </c>
      <c r="BF46">
        <f>VLOOKUP(A46,KO!A$2:G$55,2,0)</f>
        <v>41.69</v>
      </c>
      <c r="BG46">
        <f>VLOOKUP(A46,LLY!A$2:G$55,2,0)</f>
        <v>63.91</v>
      </c>
      <c r="BH46">
        <f>VLOOKUP(A46,LMT!A$2:G$55,2,0)</f>
        <v>174.94</v>
      </c>
      <c r="BI46">
        <f>VLOOKUP(A46,LOW!A$2:G$55,2,0)</f>
        <v>52.7</v>
      </c>
      <c r="BJ46">
        <f>VLOOKUP(A46,MA!A$2:G$55,2,0)</f>
        <v>76.099999999999994</v>
      </c>
      <c r="BK46">
        <f>VLOOKUP(A46,MCD!A$2:G$55,2,0)</f>
        <v>93.27</v>
      </c>
      <c r="BL46">
        <f>VLOOKUP(A46,MDLZ!A$2:G$55,2,0)</f>
        <v>35.96</v>
      </c>
      <c r="BM46">
        <f>VLOOKUP(A46,MDT!A$2:G$55,2,0)</f>
        <v>64</v>
      </c>
      <c r="BN46">
        <f>VLOOKUP(A46,MET!A$2:G$55,2,0)</f>
        <v>55.64</v>
      </c>
      <c r="BO46">
        <f>VLOOKUP(A46,MMM!A$2:G$55,2,0)</f>
        <v>144.47</v>
      </c>
      <c r="BP46">
        <f>VLOOKUP(A46,MO!A$2:G$55,2,0)</f>
        <v>43.39</v>
      </c>
      <c r="BQ46">
        <f>VLOOKUP(A46,MON!A$2:G$55,2,0)</f>
        <v>115.44</v>
      </c>
      <c r="BR46">
        <f>VLOOKUP(A46,MRK!A$2:G$55,2,0)</f>
        <v>60.12</v>
      </c>
      <c r="BS46">
        <f>VLOOKUP(A46,MS!A$2:G$55,2,0)</f>
        <v>34.74</v>
      </c>
      <c r="BT46">
        <f>VLOOKUP(A46,MSFT!A$2:G$55,2,0)</f>
        <v>44.53</v>
      </c>
      <c r="BU46">
        <f>VLOOKUP(A46,NKE!A$2:G$55,2,0)</f>
        <v>79.790000000000006</v>
      </c>
      <c r="BV46">
        <f>VLOOKUP(A46,NOV!A$2:G$55,2,0)</f>
        <v>85.34</v>
      </c>
      <c r="BW46">
        <f>VLOOKUP(A46,NSC!A$2:G$55,2,0)</f>
        <v>107.34</v>
      </c>
      <c r="BX46">
        <f>VLOOKUP(A46,ORCL!A$2:G$55,2,0)</f>
        <v>41.8</v>
      </c>
      <c r="BY46">
        <f>VLOOKUP(A46,OXY!A$2:G$55,2,0)</f>
        <v>103.17</v>
      </c>
      <c r="BZ46">
        <f>VLOOKUP(A46,PEP!A$2:G$55,2,0)</f>
        <v>92.4</v>
      </c>
      <c r="CA46">
        <f>VLOOKUP(A46,PFE!A$2:G$55,2,0)</f>
        <v>29.45</v>
      </c>
      <c r="CB46">
        <f>VLOOKUP(A46,PG!A$2:G$55,2,0)</f>
        <v>83.26</v>
      </c>
      <c r="CC46">
        <f>VLOOKUP(A46,PM!A$2:G$55,2,0)</f>
        <v>85.85</v>
      </c>
      <c r="CD46">
        <f>VLOOKUP(A46,QCOM!A$2:G$55,2,0)</f>
        <v>75.47</v>
      </c>
      <c r="CE46">
        <f>VLOOKUP(A46,RTN!A$2:G$55,2,0)</f>
        <v>96.78</v>
      </c>
      <c r="CF46">
        <f>VLOOKUP(A46,SBUX!A$2:G$55,2,0)</f>
        <v>77.56</v>
      </c>
      <c r="CG46">
        <f>VLOOKUP(A46,SLB!A$2:G$55,2,0)</f>
        <v>109.25</v>
      </c>
      <c r="CH46">
        <f>VLOOKUP(A46,SO!A$2:G$55,2,0)</f>
        <v>43.94</v>
      </c>
      <c r="CI46">
        <f>VLOOKUP(A46,SPG!A$2:G$55,2,0)</f>
        <v>170.53</v>
      </c>
      <c r="CJ46">
        <f>VLOOKUP(A46,T!A$2:G$55,2,0)</f>
        <v>34.950000000000003</v>
      </c>
      <c r="CK46">
        <f>VLOOKUP(A46,TGT!A$2:G$55,2,0)</f>
        <v>60.53</v>
      </c>
      <c r="CL46">
        <f>VLOOKUP(A46,TWX!A$2:G$55,2,0)</f>
        <v>77.69</v>
      </c>
      <c r="CM46">
        <f>VLOOKUP(A46,TXN!A$2:G$55,2,0)</f>
        <v>48.31</v>
      </c>
      <c r="CN46">
        <f>VLOOKUP(A46,UNH!A$2:G$55,2,0)</f>
        <v>86.78</v>
      </c>
      <c r="CO46">
        <f>VLOOKUP(A46,UNP!A$2:G$55,2,0)</f>
        <v>106.67</v>
      </c>
      <c r="CP46">
        <f>VLOOKUP(A46,UPS!A$2:G$55,2,0)</f>
        <v>98.08</v>
      </c>
      <c r="CQ46">
        <f>VLOOKUP(A46,USB!A$2:G$55,2,0)</f>
        <v>42.48</v>
      </c>
      <c r="CR46">
        <f>VLOOKUP(A46,UTX!A$2:G$55,2,0)</f>
        <v>109.99</v>
      </c>
      <c r="CS46">
        <f>VLOOKUP(A46,V!A$2:G$55,2,0)</f>
        <v>215.07</v>
      </c>
      <c r="CT46">
        <f>VLOOKUP(A46,VZ!A$2:G$55,2,0)</f>
        <v>49.94</v>
      </c>
      <c r="CU46">
        <f>VLOOKUP(A46,WAG!A$2:G$55,2,0)</f>
        <v>59.92</v>
      </c>
      <c r="CV46">
        <f>VLOOKUP(A46,WFC!A$2:G$55,2,0)</f>
        <v>51.75</v>
      </c>
      <c r="CW46">
        <f>VLOOKUP(A46,WMT!A$2:G$55,2,0)</f>
        <v>75.95</v>
      </c>
    </row>
    <row r="47" spans="1:101" x14ac:dyDescent="0.25">
      <c r="A47" s="34">
        <v>41886</v>
      </c>
      <c r="B47" s="36">
        <v>98.85</v>
      </c>
      <c r="C47">
        <f>VLOOKUP(A47,ABBV!A$2:G$55,2,0)</f>
        <v>55.36</v>
      </c>
      <c r="D47">
        <f>VLOOKUP(A47,ABT!A$2:G$55,2,0)</f>
        <v>42.8</v>
      </c>
      <c r="E47">
        <f>VLOOKUP(A47,ACN!A$2:G$55,2,0)</f>
        <v>82.14</v>
      </c>
      <c r="F47">
        <f>VLOOKUP(A47,AIG!A$2:G$55,2,0)</f>
        <v>55.82</v>
      </c>
      <c r="G47">
        <f>VLOOKUP(A47,ALL!A$2:G$55,2,0)</f>
        <v>61.67</v>
      </c>
      <c r="H47">
        <f>VLOOKUP(A47,AMGN!A$2:G$55,2,0)</f>
        <v>138.74</v>
      </c>
      <c r="I47">
        <f>VLOOKUP(A47,AMZN!A$2:G$55,2,0)</f>
        <v>343.69</v>
      </c>
      <c r="J47">
        <f>VLOOKUP(A47,APA!A$2:G$55,2,0)</f>
        <v>100.21</v>
      </c>
      <c r="K47">
        <f>VLOOKUP(A47,APC!A$2:G$55,2,0)</f>
        <v>111.94</v>
      </c>
      <c r="L47">
        <f>VLOOKUP(A47,AXP!A$2:G$55,2,0)</f>
        <v>90.11</v>
      </c>
      <c r="M47">
        <f>VLOOKUP(A47,BA!A$2:G$55,2,0)</f>
        <v>126.38</v>
      </c>
      <c r="N47">
        <f>VLOOKUP(A47,BAC!A$2:G$55,2,0)</f>
        <v>16.100000000000001</v>
      </c>
      <c r="O47">
        <f>VLOOKUP(A47,BAX!A$2:G$55,2,0)</f>
        <v>74.150000000000006</v>
      </c>
      <c r="P47">
        <f>VLOOKUP(A47,BIIB!A$2:G$55,2,0)</f>
        <v>344.37</v>
      </c>
      <c r="Q47">
        <f>VLOOKUP(A47,BK!A$2:G$55,2,0)</f>
        <v>39.61</v>
      </c>
      <c r="R47">
        <f>VLOOKUP(A47,BMY!A$2:G$55,2,0)</f>
        <v>50.67</v>
      </c>
      <c r="T47">
        <f>VLOOKUP(A47,'C'!A$2:G$55,2,0)</f>
        <v>52.25</v>
      </c>
      <c r="U47">
        <f>VLOOKUP(A47,CAT!A$2:G$55,2,0)</f>
        <v>108.3</v>
      </c>
      <c r="V47">
        <f>VLOOKUP(A47,CL!A$2:G$55,2,0)</f>
        <v>64.48</v>
      </c>
      <c r="W47">
        <f>VLOOKUP(A47,CMCSA!A$2:G$55,2,0)</f>
        <v>55.24</v>
      </c>
      <c r="X47">
        <f>VLOOKUP(A47,COF!A$2:G$55,2,0)</f>
        <v>82.68</v>
      </c>
      <c r="Y47">
        <f>VLOOKUP(A47,COP!A$2:G$55,2,0)</f>
        <v>81.14</v>
      </c>
      <c r="Z47">
        <f>VLOOKUP(A47,COST!A$2:G$55,2,0)</f>
        <v>123</v>
      </c>
      <c r="AA47">
        <f>VLOOKUP(A47,CSCO!A$2:G$55,2,0)</f>
        <v>25.08</v>
      </c>
      <c r="AB47">
        <f>VLOOKUP(A47,CVS!A$2:G$55,2,0)</f>
        <v>80.430000000000007</v>
      </c>
      <c r="AC47">
        <f>VLOOKUP(A47,CVX!A$2:G$55,2,0)</f>
        <v>128.21</v>
      </c>
      <c r="AD47">
        <f>VLOOKUP(A47,DD!A$2:G$55,2,0)</f>
        <v>65.75</v>
      </c>
      <c r="AE47">
        <f>VLOOKUP(A47,DIS!A$2:G$55,2,0)</f>
        <v>90.87</v>
      </c>
      <c r="AF47">
        <f>VLOOKUP(A47,DOW!A$2:G$55,2,0)</f>
        <v>53.97</v>
      </c>
      <c r="AG47">
        <f>VLOOKUP(A47,DVN!A$2:G$55,2,0)</f>
        <v>73.77</v>
      </c>
      <c r="AH47">
        <f>VLOOKUP(A47,EBAY!A$2:G$55,2,0)</f>
        <v>54.79</v>
      </c>
      <c r="AI47">
        <f>VLOOKUP(A47,EMC!A$2:G$55,2,0)</f>
        <v>29.53</v>
      </c>
      <c r="AJ47">
        <f>VLOOKUP(A47,EMR!A$2:G$55,2,0)</f>
        <v>64.33</v>
      </c>
      <c r="AK47">
        <f>VLOOKUP(A47,EXC!A$2:G$55,2,0)</f>
        <v>33.130000000000003</v>
      </c>
      <c r="AL47">
        <f>VLOOKUP(A47,F!A$2:G$55,2,0)</f>
        <v>17.46</v>
      </c>
      <c r="AM47">
        <f>VLOOKUP(A47,FB!A$2:G$55,2,0)</f>
        <v>75.89</v>
      </c>
      <c r="AN47">
        <f>VLOOKUP(A47,FCX!A$2:G$55,2,0)</f>
        <v>35.32</v>
      </c>
      <c r="AO47">
        <f>VLOOKUP(A47,FDX!A$2:G$55,2,0)</f>
        <v>152.22</v>
      </c>
      <c r="AP47">
        <f>VLOOKUP(A47,FOXA!A$2:G$55,2,0)</f>
        <v>36.270000000000003</v>
      </c>
      <c r="AQ47">
        <f>VLOOKUP(A47,GD!A$2:G$55,2,0)</f>
        <v>124.95</v>
      </c>
      <c r="AR47">
        <f>VLOOKUP(A47,GE!A$2:G$55,2,0)</f>
        <v>25.99</v>
      </c>
      <c r="AS47">
        <f>VLOOKUP(A47,GILD!A$2:G$55,2,0)</f>
        <v>109.81</v>
      </c>
      <c r="AT47">
        <f>VLOOKUP(A47,GM!A$2:G$55,2,0)</f>
        <v>34.49</v>
      </c>
      <c r="AU47">
        <f>VLOOKUP(A47,GOOG!A$2:G$55,2,0)</f>
        <v>580</v>
      </c>
      <c r="AV47">
        <f>VLOOKUP(A47,GOOGL!A$2:G$55,2,0)</f>
        <v>592.13</v>
      </c>
      <c r="AW47">
        <f>VLOOKUP(A47,GS!A$2:G$55,2,0)</f>
        <v>179.93</v>
      </c>
      <c r="AX47">
        <f>VLOOKUP(A47,HAL!A$2:G$55,2,0)</f>
        <v>67.53</v>
      </c>
      <c r="AY47">
        <f>VLOOKUP(A47,HD!A$2:G$55,2,0)</f>
        <v>89</v>
      </c>
      <c r="AZ47">
        <f>VLOOKUP(A47,HON!A$2:G$55,2,0)</f>
        <v>95.48</v>
      </c>
      <c r="BA47">
        <f>VLOOKUP(A47,HPQ!A$2:G$55,2,0)</f>
        <v>38.049999999999997</v>
      </c>
      <c r="BB47">
        <f>VLOOKUP(A47,IBM!A$2:G$55,2,0)</f>
        <v>191.69</v>
      </c>
      <c r="BC47">
        <f>VLOOKUP(A47,INTC!A$2:G$55,2,0)</f>
        <v>34.53</v>
      </c>
      <c r="BD47">
        <f>VLOOKUP(A47,JNJ!A$2:G$55,2,0)</f>
        <v>103.99</v>
      </c>
      <c r="BE47">
        <f>VLOOKUP(A47,JPM!A$2:G$55,2,0)</f>
        <v>59.63</v>
      </c>
      <c r="BF47">
        <f>VLOOKUP(A47,KO!A$2:G$55,2,0)</f>
        <v>41.8</v>
      </c>
      <c r="BG47">
        <f>VLOOKUP(A47,LLY!A$2:G$55,2,0)</f>
        <v>64.12</v>
      </c>
      <c r="BH47">
        <f>VLOOKUP(A47,LMT!A$2:G$55,2,0)</f>
        <v>173.99</v>
      </c>
      <c r="BI47">
        <f>VLOOKUP(A47,LOW!A$2:G$55,2,0)</f>
        <v>53</v>
      </c>
      <c r="BJ47">
        <f>VLOOKUP(A47,MA!A$2:G$55,2,0)</f>
        <v>76.03</v>
      </c>
      <c r="BK47">
        <f>VLOOKUP(A47,MCD!A$2:G$55,2,0)</f>
        <v>93.02</v>
      </c>
      <c r="BL47">
        <f>VLOOKUP(A47,MDLZ!A$2:G$55,2,0)</f>
        <v>35.869999999999997</v>
      </c>
      <c r="BM47">
        <f>VLOOKUP(A47,MDT!A$2:G$55,2,0)</f>
        <v>64.239999999999995</v>
      </c>
      <c r="BN47">
        <f>VLOOKUP(A47,MET!A$2:G$55,2,0)</f>
        <v>55.29</v>
      </c>
      <c r="BO47">
        <f>VLOOKUP(A47,MMM!A$2:G$55,2,0)</f>
        <v>144.21</v>
      </c>
      <c r="BP47">
        <f>VLOOKUP(A47,MO!A$2:G$55,2,0)</f>
        <v>43.22</v>
      </c>
      <c r="BQ47">
        <f>VLOOKUP(A47,MON!A$2:G$55,2,0)</f>
        <v>114.93</v>
      </c>
      <c r="BR47">
        <f>VLOOKUP(A47,MRK!A$2:G$55,2,0)</f>
        <v>60.57</v>
      </c>
      <c r="BS47">
        <f>VLOOKUP(A47,MS!A$2:G$55,2,0)</f>
        <v>34.520000000000003</v>
      </c>
      <c r="BT47">
        <f>VLOOKUP(A47,MSFT!A$2:G$55,2,0)</f>
        <v>44.74</v>
      </c>
      <c r="BU47">
        <f>VLOOKUP(A47,NKE!A$2:G$55,2,0)</f>
        <v>79.2</v>
      </c>
      <c r="BV47">
        <f>VLOOKUP(A47,NOV!A$2:G$55,2,0)</f>
        <v>85.16</v>
      </c>
      <c r="BW47">
        <f>VLOOKUP(A47,NSC!A$2:G$55,2,0)</f>
        <v>106.6</v>
      </c>
      <c r="BX47">
        <f>VLOOKUP(A47,ORCL!A$2:G$55,2,0)</f>
        <v>41.89</v>
      </c>
      <c r="BY47">
        <f>VLOOKUP(A47,OXY!A$2:G$55,2,0)</f>
        <v>102.65</v>
      </c>
      <c r="BZ47">
        <f>VLOOKUP(A47,PEP!A$2:G$55,2,0)</f>
        <v>92.95</v>
      </c>
      <c r="CA47">
        <f>VLOOKUP(A47,PFE!A$2:G$55,2,0)</f>
        <v>29.53</v>
      </c>
      <c r="CB47">
        <f>VLOOKUP(A47,PG!A$2:G$55,2,0)</f>
        <v>82.92</v>
      </c>
      <c r="CC47">
        <f>VLOOKUP(A47,PM!A$2:G$55,2,0)</f>
        <v>85.77</v>
      </c>
      <c r="CD47">
        <f>VLOOKUP(A47,QCOM!A$2:G$55,2,0)</f>
        <v>75.22</v>
      </c>
      <c r="CE47">
        <f>VLOOKUP(A47,RTN!A$2:G$55,2,0)</f>
        <v>96.75</v>
      </c>
      <c r="CF47">
        <f>VLOOKUP(A47,SBUX!A$2:G$55,2,0)</f>
        <v>76.8</v>
      </c>
      <c r="CG47">
        <f>VLOOKUP(A47,SLB!A$2:G$55,2,0)</f>
        <v>108.24</v>
      </c>
      <c r="CH47">
        <f>VLOOKUP(A47,SO!A$2:G$55,2,0)</f>
        <v>44.07</v>
      </c>
      <c r="CI47">
        <f>VLOOKUP(A47,SPG!A$2:G$55,2,0)</f>
        <v>170.76</v>
      </c>
      <c r="CJ47">
        <f>VLOOKUP(A47,T!A$2:G$55,2,0)</f>
        <v>34.979999999999997</v>
      </c>
      <c r="CK47">
        <f>VLOOKUP(A47,TGT!A$2:G$55,2,0)</f>
        <v>60.38</v>
      </c>
      <c r="CL47">
        <f>VLOOKUP(A47,TWX!A$2:G$55,2,0)</f>
        <v>77.55</v>
      </c>
      <c r="CM47">
        <f>VLOOKUP(A47,TXN!A$2:G$55,2,0)</f>
        <v>48.5</v>
      </c>
      <c r="CN47">
        <f>VLOOKUP(A47,UNH!A$2:G$55,2,0)</f>
        <v>86.76</v>
      </c>
      <c r="CO47">
        <f>VLOOKUP(A47,UNP!A$2:G$55,2,0)</f>
        <v>106.77</v>
      </c>
      <c r="CP47">
        <f>VLOOKUP(A47,UPS!A$2:G$55,2,0)</f>
        <v>97.96</v>
      </c>
      <c r="CQ47">
        <f>VLOOKUP(A47,USB!A$2:G$55,2,0)</f>
        <v>42.08</v>
      </c>
      <c r="CR47">
        <f>VLOOKUP(A47,UTX!A$2:G$55,2,0)</f>
        <v>109.49</v>
      </c>
      <c r="CS47">
        <f>VLOOKUP(A47,V!A$2:G$55,2,0)</f>
        <v>215.44</v>
      </c>
      <c r="CT47">
        <f>VLOOKUP(A47,VZ!A$2:G$55,2,0)</f>
        <v>49.93</v>
      </c>
      <c r="CU47">
        <f>VLOOKUP(A47,WAG!A$2:G$55,2,0)</f>
        <v>60.27</v>
      </c>
      <c r="CV47">
        <f>VLOOKUP(A47,WFC!A$2:G$55,2,0)</f>
        <v>51.49</v>
      </c>
      <c r="CW47">
        <f>VLOOKUP(A47,WMT!A$2:G$55,2,0)</f>
        <v>76.16</v>
      </c>
    </row>
    <row r="48" spans="1:101" x14ac:dyDescent="0.25">
      <c r="A48" s="34">
        <v>41887</v>
      </c>
      <c r="B48" s="36">
        <v>98.8</v>
      </c>
      <c r="C48">
        <f>VLOOKUP(A48,ABBV!A$2:G$55,2,0)</f>
        <v>55.49</v>
      </c>
      <c r="D48">
        <f>VLOOKUP(A48,ABT!A$2:G$55,2,0)</f>
        <v>42.88</v>
      </c>
      <c r="E48">
        <f>VLOOKUP(A48,ACN!A$2:G$55,2,0)</f>
        <v>81.7</v>
      </c>
      <c r="F48">
        <f>VLOOKUP(A48,AIG!A$2:G$55,2,0)</f>
        <v>55.06</v>
      </c>
      <c r="G48">
        <f>VLOOKUP(A48,ALL!A$2:G$55,2,0)</f>
        <v>61.39</v>
      </c>
      <c r="H48">
        <f>VLOOKUP(A48,AMGN!A$2:G$55,2,0)</f>
        <v>138.22</v>
      </c>
      <c r="I48">
        <f>VLOOKUP(A48,AMZN!A$2:G$55,2,0)</f>
        <v>346.3</v>
      </c>
      <c r="J48">
        <f>VLOOKUP(A48,APA!A$2:G$55,2,0)</f>
        <v>98.26</v>
      </c>
      <c r="K48">
        <f>VLOOKUP(A48,APC!A$2:G$55,2,0)</f>
        <v>108.78</v>
      </c>
      <c r="L48">
        <f>VLOOKUP(A48,AXP!A$2:G$55,2,0)</f>
        <v>89.64</v>
      </c>
      <c r="M48">
        <f>VLOOKUP(A48,BA!A$2:G$55,2,0)</f>
        <v>125.43</v>
      </c>
      <c r="N48">
        <f>VLOOKUP(A48,BAC!A$2:G$55,2,0)</f>
        <v>16.05</v>
      </c>
      <c r="O48">
        <f>VLOOKUP(A48,BAX!A$2:G$55,2,0)</f>
        <v>73.849999999999994</v>
      </c>
      <c r="P48">
        <f>VLOOKUP(A48,BIIB!A$2:G$55,2,0)</f>
        <v>335.04</v>
      </c>
      <c r="Q48">
        <f>VLOOKUP(A48,BK!A$2:G$55,2,0)</f>
        <v>39.36</v>
      </c>
      <c r="R48">
        <f>VLOOKUP(A48,BMY!A$2:G$55,2,0)</f>
        <v>50.6</v>
      </c>
      <c r="T48">
        <f>VLOOKUP(A48,'C'!A$2:G$55,2,0)</f>
        <v>52.31</v>
      </c>
      <c r="U48">
        <f>VLOOKUP(A48,CAT!A$2:G$55,2,0)</f>
        <v>109</v>
      </c>
      <c r="V48">
        <f>VLOOKUP(A48,CL!A$2:G$55,2,0)</f>
        <v>64.27</v>
      </c>
      <c r="W48">
        <f>VLOOKUP(A48,CMCSA!A$2:G$55,2,0)</f>
        <v>55</v>
      </c>
      <c r="X48">
        <f>VLOOKUP(A48,COF!A$2:G$55,2,0)</f>
        <v>82.5</v>
      </c>
      <c r="Y48">
        <f>VLOOKUP(A48,COP!A$2:G$55,2,0)</f>
        <v>79.78</v>
      </c>
      <c r="Z48">
        <f>VLOOKUP(A48,COST!A$2:G$55,2,0)</f>
        <v>125.04</v>
      </c>
      <c r="AA48">
        <f>VLOOKUP(A48,CSCO!A$2:G$55,2,0)</f>
        <v>24.86</v>
      </c>
      <c r="AB48">
        <f>VLOOKUP(A48,CVS!A$2:G$55,2,0)</f>
        <v>80.47</v>
      </c>
      <c r="AC48">
        <f>VLOOKUP(A48,CVX!A$2:G$55,2,0)</f>
        <v>127.15</v>
      </c>
      <c r="AD48">
        <f>VLOOKUP(A48,DD!A$2:G$55,2,0)</f>
        <v>65.72</v>
      </c>
      <c r="AE48">
        <f>VLOOKUP(A48,DIS!A$2:G$55,2,0)</f>
        <v>90.14</v>
      </c>
      <c r="AF48">
        <f>VLOOKUP(A48,DOW!A$2:G$55,2,0)</f>
        <v>54.31</v>
      </c>
      <c r="AG48">
        <f>VLOOKUP(A48,DVN!A$2:G$55,2,0)</f>
        <v>72.209999999999994</v>
      </c>
      <c r="AH48">
        <f>VLOOKUP(A48,EBAY!A$2:G$55,2,0)</f>
        <v>54.3</v>
      </c>
      <c r="AI48">
        <f>VLOOKUP(A48,EMC!A$2:G$55,2,0)</f>
        <v>29.03</v>
      </c>
      <c r="AJ48">
        <f>VLOOKUP(A48,EMR!A$2:G$55,2,0)</f>
        <v>64.64</v>
      </c>
      <c r="AK48">
        <f>VLOOKUP(A48,EXC!A$2:G$55,2,0)</f>
        <v>33.479999999999997</v>
      </c>
      <c r="AL48">
        <f>VLOOKUP(A48,F!A$2:G$55,2,0)</f>
        <v>17.3</v>
      </c>
      <c r="AM48">
        <f>VLOOKUP(A48,FB!A$2:G$55,2,0)</f>
        <v>76.099999999999994</v>
      </c>
      <c r="AN48">
        <f>VLOOKUP(A48,FCX!A$2:G$55,2,0)</f>
        <v>35.159999999999997</v>
      </c>
      <c r="AO48">
        <f>VLOOKUP(A48,FDX!A$2:G$55,2,0)</f>
        <v>151.55000000000001</v>
      </c>
      <c r="AP48">
        <f>VLOOKUP(A48,FOXA!A$2:G$55,2,0)</f>
        <v>35.83</v>
      </c>
      <c r="AQ48">
        <f>VLOOKUP(A48,GD!A$2:G$55,2,0)</f>
        <v>124.73</v>
      </c>
      <c r="AR48">
        <f>VLOOKUP(A48,GE!A$2:G$55,2,0)</f>
        <v>25.9</v>
      </c>
      <c r="AS48">
        <f>VLOOKUP(A48,GILD!A$2:G$55,2,0)</f>
        <v>106.4</v>
      </c>
      <c r="AT48">
        <f>VLOOKUP(A48,GM!A$2:G$55,2,0)</f>
        <v>34.590000000000003</v>
      </c>
      <c r="AU48">
        <f>VLOOKUP(A48,GOOG!A$2:G$55,2,0)</f>
        <v>583.98</v>
      </c>
      <c r="AV48">
        <f>VLOOKUP(A48,GOOGL!A$2:G$55,2,0)</f>
        <v>595.13</v>
      </c>
      <c r="AW48">
        <f>VLOOKUP(A48,GS!A$2:G$55,2,0)</f>
        <v>179.58</v>
      </c>
      <c r="AX48">
        <f>VLOOKUP(A48,HAL!A$2:G$55,2,0)</f>
        <v>66.52</v>
      </c>
      <c r="AY48">
        <f>VLOOKUP(A48,HD!A$2:G$55,2,0)</f>
        <v>89.66</v>
      </c>
      <c r="AZ48">
        <f>VLOOKUP(A48,HON!A$2:G$55,2,0)</f>
        <v>94.99</v>
      </c>
      <c r="BA48">
        <f>VLOOKUP(A48,HPQ!A$2:G$55,2,0)</f>
        <v>37.590000000000003</v>
      </c>
      <c r="BB48">
        <f>VLOOKUP(A48,IBM!A$2:G$55,2,0)</f>
        <v>190.53</v>
      </c>
      <c r="BC48">
        <f>VLOOKUP(A48,INTC!A$2:G$55,2,0)</f>
        <v>34.92</v>
      </c>
      <c r="BD48">
        <f>VLOOKUP(A48,JNJ!A$2:G$55,2,0)</f>
        <v>103.92</v>
      </c>
      <c r="BE48">
        <f>VLOOKUP(A48,JPM!A$2:G$55,2,0)</f>
        <v>59.62</v>
      </c>
      <c r="BF48">
        <f>VLOOKUP(A48,KO!A$2:G$55,2,0)</f>
        <v>41.86</v>
      </c>
      <c r="BG48">
        <f>VLOOKUP(A48,LLY!A$2:G$55,2,0)</f>
        <v>64.11</v>
      </c>
      <c r="BH48">
        <f>VLOOKUP(A48,LMT!A$2:G$55,2,0)</f>
        <v>173.17</v>
      </c>
      <c r="BI48">
        <f>VLOOKUP(A48,LOW!A$2:G$55,2,0)</f>
        <v>53.53</v>
      </c>
      <c r="BJ48">
        <f>VLOOKUP(A48,MA!A$2:G$55,2,0)</f>
        <v>76.19</v>
      </c>
      <c r="BK48">
        <f>VLOOKUP(A48,MCD!A$2:G$55,2,0)</f>
        <v>93.1</v>
      </c>
      <c r="BL48">
        <f>VLOOKUP(A48,MDLZ!A$2:G$55,2,0)</f>
        <v>35.700000000000003</v>
      </c>
      <c r="BM48">
        <f>VLOOKUP(A48,MDT!A$2:G$55,2,0)</f>
        <v>64.11</v>
      </c>
      <c r="BN48">
        <f>VLOOKUP(A48,MET!A$2:G$55,2,0)</f>
        <v>55.15</v>
      </c>
      <c r="BO48">
        <f>VLOOKUP(A48,MMM!A$2:G$55,2,0)</f>
        <v>143.63999999999999</v>
      </c>
      <c r="BP48">
        <f>VLOOKUP(A48,MO!A$2:G$55,2,0)</f>
        <v>43.13</v>
      </c>
      <c r="BQ48">
        <f>VLOOKUP(A48,MON!A$2:G$55,2,0)</f>
        <v>113.57</v>
      </c>
      <c r="BR48">
        <f>VLOOKUP(A48,MRK!A$2:G$55,2,0)</f>
        <v>60.42</v>
      </c>
      <c r="BS48">
        <f>VLOOKUP(A48,MS!A$2:G$55,2,0)</f>
        <v>34.42</v>
      </c>
      <c r="BT48">
        <f>VLOOKUP(A48,MSFT!A$2:G$55,2,0)</f>
        <v>45.11</v>
      </c>
      <c r="BU48">
        <f>VLOOKUP(A48,NKE!A$2:G$55,2,0)</f>
        <v>79.540000000000006</v>
      </c>
      <c r="BV48">
        <f>VLOOKUP(A48,NOV!A$2:G$55,2,0)</f>
        <v>83.63</v>
      </c>
      <c r="BW48">
        <f>VLOOKUP(A48,NSC!A$2:G$55,2,0)</f>
        <v>108.67</v>
      </c>
      <c r="BX48">
        <f>VLOOKUP(A48,ORCL!A$2:G$55,2,0)</f>
        <v>41.61</v>
      </c>
      <c r="BY48">
        <f>VLOOKUP(A48,OXY!A$2:G$55,2,0)</f>
        <v>102.34</v>
      </c>
      <c r="BZ48">
        <f>VLOOKUP(A48,PEP!A$2:G$55,2,0)</f>
        <v>91.85</v>
      </c>
      <c r="CA48">
        <f>VLOOKUP(A48,PFE!A$2:G$55,2,0)</f>
        <v>29.3</v>
      </c>
      <c r="CB48">
        <f>VLOOKUP(A48,PG!A$2:G$55,2,0)</f>
        <v>83.44</v>
      </c>
      <c r="CC48">
        <f>VLOOKUP(A48,PM!A$2:G$55,2,0)</f>
        <v>85.06</v>
      </c>
      <c r="CD48">
        <f>VLOOKUP(A48,QCOM!A$2:G$55,2,0)</f>
        <v>75</v>
      </c>
      <c r="CE48">
        <f>VLOOKUP(A48,RTN!A$2:G$55,2,0)</f>
        <v>97.21</v>
      </c>
      <c r="CF48">
        <f>VLOOKUP(A48,SBUX!A$2:G$55,2,0)</f>
        <v>77.010000000000005</v>
      </c>
      <c r="CG48">
        <f>VLOOKUP(A48,SLB!A$2:G$55,2,0)</f>
        <v>106.03</v>
      </c>
      <c r="CH48">
        <f>VLOOKUP(A48,SO!A$2:G$55,2,0)</f>
        <v>44.32</v>
      </c>
      <c r="CI48">
        <f>VLOOKUP(A48,SPG!A$2:G$55,2,0)</f>
        <v>170.81</v>
      </c>
      <c r="CJ48">
        <f>VLOOKUP(A48,T!A$2:G$55,2,0)</f>
        <v>34.950000000000003</v>
      </c>
      <c r="CK48">
        <f>VLOOKUP(A48,TGT!A$2:G$55,2,0)</f>
        <v>61</v>
      </c>
      <c r="CL48">
        <f>VLOOKUP(A48,TWX!A$2:G$55,2,0)</f>
        <v>77</v>
      </c>
      <c r="CM48">
        <f>VLOOKUP(A48,TXN!A$2:G$55,2,0)</f>
        <v>48.31</v>
      </c>
      <c r="CN48">
        <f>VLOOKUP(A48,UNH!A$2:G$55,2,0)</f>
        <v>86.95</v>
      </c>
      <c r="CO48">
        <f>VLOOKUP(A48,UNP!A$2:G$55,2,0)</f>
        <v>107.22</v>
      </c>
      <c r="CP48">
        <f>VLOOKUP(A48,UPS!A$2:G$55,2,0)</f>
        <v>98.45</v>
      </c>
      <c r="CQ48">
        <f>VLOOKUP(A48,USB!A$2:G$55,2,0)</f>
        <v>42.12</v>
      </c>
      <c r="CR48">
        <f>VLOOKUP(A48,UTX!A$2:G$55,2,0)</f>
        <v>109.51</v>
      </c>
      <c r="CS48">
        <f>VLOOKUP(A48,V!A$2:G$55,2,0)</f>
        <v>214.36</v>
      </c>
      <c r="CT48">
        <f>VLOOKUP(A48,VZ!A$2:G$55,2,0)</f>
        <v>49.73</v>
      </c>
      <c r="CU48">
        <f>VLOOKUP(A48,WAG!A$2:G$55,2,0)</f>
        <v>62.29</v>
      </c>
      <c r="CV48">
        <f>VLOOKUP(A48,WFC!A$2:G$55,2,0)</f>
        <v>51.38</v>
      </c>
      <c r="CW48">
        <f>VLOOKUP(A48,WMT!A$2:G$55,2,0)</f>
        <v>76.52</v>
      </c>
    </row>
    <row r="49" spans="1:101" x14ac:dyDescent="0.25">
      <c r="A49" s="34">
        <v>41890</v>
      </c>
      <c r="B49" s="36">
        <v>99.3</v>
      </c>
      <c r="C49">
        <f>VLOOKUP(A49,ABBV!A$2:G$55,2,0)</f>
        <v>55.78</v>
      </c>
      <c r="D49">
        <f>VLOOKUP(A49,ABT!A$2:G$55,2,0)</f>
        <v>42.88</v>
      </c>
      <c r="E49">
        <f>VLOOKUP(A49,ACN!A$2:G$55,2,0)</f>
        <v>81.75</v>
      </c>
      <c r="F49">
        <f>VLOOKUP(A49,AIG!A$2:G$55,2,0)</f>
        <v>55.32</v>
      </c>
      <c r="G49">
        <f>VLOOKUP(A49,ALL!A$2:G$55,2,0)</f>
        <v>61.84</v>
      </c>
      <c r="H49">
        <f>VLOOKUP(A49,AMGN!A$2:G$55,2,0)</f>
        <v>138</v>
      </c>
      <c r="I49">
        <f>VLOOKUP(A49,AMZN!A$2:G$55,2,0)</f>
        <v>344.54</v>
      </c>
      <c r="J49">
        <f>VLOOKUP(A49,APA!A$2:G$55,2,0)</f>
        <v>98.8</v>
      </c>
      <c r="K49">
        <f>VLOOKUP(A49,APC!A$2:G$55,2,0)</f>
        <v>108.37</v>
      </c>
      <c r="L49">
        <f>VLOOKUP(A49,AXP!A$2:G$55,2,0)</f>
        <v>89.4</v>
      </c>
      <c r="M49">
        <f>VLOOKUP(A49,BA!A$2:G$55,2,0)</f>
        <v>125.9</v>
      </c>
      <c r="N49">
        <f>VLOOKUP(A49,BAC!A$2:G$55,2,0)</f>
        <v>16.190000000000001</v>
      </c>
      <c r="O49">
        <f>VLOOKUP(A49,BAX!A$2:G$55,2,0)</f>
        <v>74</v>
      </c>
      <c r="P49">
        <f>VLOOKUP(A49,BIIB!A$2:G$55,2,0)</f>
        <v>329.28</v>
      </c>
      <c r="Q49">
        <f>VLOOKUP(A49,BK!A$2:G$55,2,0)</f>
        <v>39.43</v>
      </c>
      <c r="R49">
        <f>VLOOKUP(A49,BMY!A$2:G$55,2,0)</f>
        <v>51.01</v>
      </c>
      <c r="T49">
        <f>VLOOKUP(A49,'C'!A$2:G$55,2,0)</f>
        <v>52.16</v>
      </c>
      <c r="U49">
        <f>VLOOKUP(A49,CAT!A$2:G$55,2,0)</f>
        <v>108.23</v>
      </c>
      <c r="V49">
        <f>VLOOKUP(A49,CL!A$2:G$55,2,0)</f>
        <v>64.44</v>
      </c>
      <c r="W49">
        <f>VLOOKUP(A49,CMCSA!A$2:G$55,2,0)</f>
        <v>55.51</v>
      </c>
      <c r="X49">
        <f>VLOOKUP(A49,COF!A$2:G$55,2,0)</f>
        <v>82.42</v>
      </c>
      <c r="Y49">
        <f>VLOOKUP(A49,COP!A$2:G$55,2,0)</f>
        <v>79.94</v>
      </c>
      <c r="Z49">
        <f>VLOOKUP(A49,COST!A$2:G$55,2,0)</f>
        <v>127.05</v>
      </c>
      <c r="AA49">
        <f>VLOOKUP(A49,CSCO!A$2:G$55,2,0)</f>
        <v>24.93</v>
      </c>
      <c r="AB49">
        <f>VLOOKUP(A49,CVS!A$2:G$55,2,0)</f>
        <v>81.72</v>
      </c>
      <c r="AC49">
        <f>VLOOKUP(A49,CVX!A$2:G$55,2,0)</f>
        <v>126.68</v>
      </c>
      <c r="AD49">
        <f>VLOOKUP(A49,DD!A$2:G$55,2,0)</f>
        <v>66.010000000000005</v>
      </c>
      <c r="AE49">
        <f>VLOOKUP(A49,DIS!A$2:G$55,2,0)</f>
        <v>90.76</v>
      </c>
      <c r="AF49">
        <f>VLOOKUP(A49,DOW!A$2:G$55,2,0)</f>
        <v>54.77</v>
      </c>
      <c r="AG49">
        <f>VLOOKUP(A49,DVN!A$2:G$55,2,0)</f>
        <v>72.2</v>
      </c>
      <c r="AH49">
        <f>VLOOKUP(A49,EBAY!A$2:G$55,2,0)</f>
        <v>53.78</v>
      </c>
      <c r="AI49">
        <f>VLOOKUP(A49,EMC!A$2:G$55,2,0)</f>
        <v>28.99</v>
      </c>
      <c r="AJ49">
        <f>VLOOKUP(A49,EMR!A$2:G$55,2,0)</f>
        <v>64.92</v>
      </c>
      <c r="AK49">
        <f>VLOOKUP(A49,EXC!A$2:G$55,2,0)</f>
        <v>33.81</v>
      </c>
      <c r="AL49">
        <f>VLOOKUP(A49,F!A$2:G$55,2,0)</f>
        <v>16.739999999999998</v>
      </c>
      <c r="AM49">
        <f>VLOOKUP(A49,FB!A$2:G$55,2,0)</f>
        <v>77.260000000000005</v>
      </c>
      <c r="AN49">
        <f>VLOOKUP(A49,FCX!A$2:G$55,2,0)</f>
        <v>34.96</v>
      </c>
      <c r="AO49">
        <f>VLOOKUP(A49,FDX!A$2:G$55,2,0)</f>
        <v>152.54</v>
      </c>
      <c r="AP49">
        <f>VLOOKUP(A49,FOXA!A$2:G$55,2,0)</f>
        <v>35.9</v>
      </c>
      <c r="AQ49">
        <f>VLOOKUP(A49,GD!A$2:G$55,2,0)</f>
        <v>125.26</v>
      </c>
      <c r="AR49">
        <f>VLOOKUP(A49,GE!A$2:G$55,2,0)</f>
        <v>26.14</v>
      </c>
      <c r="AS49">
        <f>VLOOKUP(A49,GILD!A$2:G$55,2,0)</f>
        <v>104.95</v>
      </c>
      <c r="AT49">
        <f>VLOOKUP(A49,GM!A$2:G$55,2,0)</f>
        <v>34.03</v>
      </c>
      <c r="AU49">
        <f>VLOOKUP(A49,GOOG!A$2:G$55,2,0)</f>
        <v>586.6</v>
      </c>
      <c r="AV49">
        <f>VLOOKUP(A49,GOOGL!A$2:G$55,2,0)</f>
        <v>599.14</v>
      </c>
      <c r="AW49">
        <f>VLOOKUP(A49,GS!A$2:G$55,2,0)</f>
        <v>179.58</v>
      </c>
      <c r="AX49">
        <f>VLOOKUP(A49,HAL!A$2:G$55,2,0)</f>
        <v>67.040000000000006</v>
      </c>
      <c r="AY49">
        <f>VLOOKUP(A49,HD!A$2:G$55,2,0)</f>
        <v>91.38</v>
      </c>
      <c r="AZ49">
        <f>VLOOKUP(A49,HON!A$2:G$55,2,0)</f>
        <v>95.54</v>
      </c>
      <c r="BA49">
        <f>VLOOKUP(A49,HPQ!A$2:G$55,2,0)</f>
        <v>37.25</v>
      </c>
      <c r="BB49">
        <f>VLOOKUP(A49,IBM!A$2:G$55,2,0)</f>
        <v>190.75</v>
      </c>
      <c r="BC49">
        <f>VLOOKUP(A49,INTC!A$2:G$55,2,0)</f>
        <v>34.96</v>
      </c>
      <c r="BD49">
        <f>VLOOKUP(A49,JNJ!A$2:G$55,2,0)</f>
        <v>104.42</v>
      </c>
      <c r="BE49">
        <f>VLOOKUP(A49,JPM!A$2:G$55,2,0)</f>
        <v>59.84</v>
      </c>
      <c r="BF49">
        <f>VLOOKUP(A49,KO!A$2:G$55,2,0)</f>
        <v>41.67</v>
      </c>
      <c r="BG49">
        <f>VLOOKUP(A49,LLY!A$2:G$55,2,0)</f>
        <v>64.62</v>
      </c>
      <c r="BH49">
        <f>VLOOKUP(A49,LMT!A$2:G$55,2,0)</f>
        <v>174.52</v>
      </c>
      <c r="BI49">
        <f>VLOOKUP(A49,LOW!A$2:G$55,2,0)</f>
        <v>53.83</v>
      </c>
      <c r="BJ49">
        <f>VLOOKUP(A49,MA!A$2:G$55,2,0)</f>
        <v>76.59</v>
      </c>
      <c r="BK49">
        <f>VLOOKUP(A49,MCD!A$2:G$55,2,0)</f>
        <v>92.8</v>
      </c>
      <c r="BL49">
        <f>VLOOKUP(A49,MDLZ!A$2:G$55,2,0)</f>
        <v>35.5</v>
      </c>
      <c r="BM49">
        <f>VLOOKUP(A49,MDT!A$2:G$55,2,0)</f>
        <v>64.400000000000006</v>
      </c>
      <c r="BN49">
        <f>VLOOKUP(A49,MET!A$2:G$55,2,0)</f>
        <v>55.2</v>
      </c>
      <c r="BO49">
        <f>VLOOKUP(A49,MMM!A$2:G$55,2,0)</f>
        <v>144.41</v>
      </c>
      <c r="BP49">
        <f>VLOOKUP(A49,MO!A$2:G$55,2,0)</f>
        <v>43.38</v>
      </c>
      <c r="BQ49">
        <f>VLOOKUP(A49,MON!A$2:G$55,2,0)</f>
        <v>114.26</v>
      </c>
      <c r="BR49">
        <f>VLOOKUP(A49,MRK!A$2:G$55,2,0)</f>
        <v>61.22</v>
      </c>
      <c r="BS49">
        <f>VLOOKUP(A49,MS!A$2:G$55,2,0)</f>
        <v>34.590000000000003</v>
      </c>
      <c r="BT49">
        <f>VLOOKUP(A49,MSFT!A$2:G$55,2,0)</f>
        <v>46.02</v>
      </c>
      <c r="BU49">
        <f>VLOOKUP(A49,NKE!A$2:G$55,2,0)</f>
        <v>81.92</v>
      </c>
      <c r="BV49">
        <f>VLOOKUP(A49,NOV!A$2:G$55,2,0)</f>
        <v>83.2</v>
      </c>
      <c r="BW49">
        <f>VLOOKUP(A49,NSC!A$2:G$55,2,0)</f>
        <v>109.41</v>
      </c>
      <c r="BX49">
        <f>VLOOKUP(A49,ORCL!A$2:G$55,2,0)</f>
        <v>41.01</v>
      </c>
      <c r="BY49">
        <f>VLOOKUP(A49,OXY!A$2:G$55,2,0)</f>
        <v>100.25</v>
      </c>
      <c r="BZ49">
        <f>VLOOKUP(A49,PEP!A$2:G$55,2,0)</f>
        <v>91.48</v>
      </c>
      <c r="CA49">
        <f>VLOOKUP(A49,PFE!A$2:G$55,2,0)</f>
        <v>29.58</v>
      </c>
      <c r="CB49">
        <f>VLOOKUP(A49,PG!A$2:G$55,2,0)</f>
        <v>83.57</v>
      </c>
      <c r="CC49">
        <f>VLOOKUP(A49,PM!A$2:G$55,2,0)</f>
        <v>85.29</v>
      </c>
      <c r="CD49">
        <f>VLOOKUP(A49,QCOM!A$2:G$55,2,0)</f>
        <v>75.489999999999995</v>
      </c>
      <c r="CE49">
        <f>VLOOKUP(A49,RTN!A$2:G$55,2,0)</f>
        <v>97.85</v>
      </c>
      <c r="CF49">
        <f>VLOOKUP(A49,SBUX!A$2:G$55,2,0)</f>
        <v>77.760000000000005</v>
      </c>
      <c r="CG49">
        <f>VLOOKUP(A49,SLB!A$2:G$55,2,0)</f>
        <v>105.92</v>
      </c>
      <c r="CH49">
        <f>VLOOKUP(A49,SO!A$2:G$55,2,0)</f>
        <v>44.71</v>
      </c>
      <c r="CI49">
        <f>VLOOKUP(A49,SPG!A$2:G$55,2,0)</f>
        <v>172.86</v>
      </c>
      <c r="CJ49">
        <f>VLOOKUP(A49,T!A$2:G$55,2,0)</f>
        <v>35.119999999999997</v>
      </c>
      <c r="CK49">
        <f>VLOOKUP(A49,TGT!A$2:G$55,2,0)</f>
        <v>60.9</v>
      </c>
      <c r="CL49">
        <f>VLOOKUP(A49,TWX!A$2:G$55,2,0)</f>
        <v>76.959999999999994</v>
      </c>
      <c r="CM49">
        <f>VLOOKUP(A49,TXN!A$2:G$55,2,0)</f>
        <v>48.39</v>
      </c>
      <c r="CN49">
        <f>VLOOKUP(A49,UNH!A$2:G$55,2,0)</f>
        <v>87.7</v>
      </c>
      <c r="CO49">
        <f>VLOOKUP(A49,UNP!A$2:G$55,2,0)</f>
        <v>107.65</v>
      </c>
      <c r="CP49">
        <f>VLOOKUP(A49,UPS!A$2:G$55,2,0)</f>
        <v>98.67</v>
      </c>
      <c r="CQ49">
        <f>VLOOKUP(A49,USB!A$2:G$55,2,0)</f>
        <v>42.19</v>
      </c>
      <c r="CR49">
        <f>VLOOKUP(A49,UTX!A$2:G$55,2,0)</f>
        <v>108.9</v>
      </c>
      <c r="CS49">
        <f>VLOOKUP(A49,V!A$2:G$55,2,0)</f>
        <v>214.01</v>
      </c>
      <c r="CT49">
        <f>VLOOKUP(A49,VZ!A$2:G$55,2,0)</f>
        <v>49.87</v>
      </c>
      <c r="CU49">
        <f>VLOOKUP(A49,WAG!A$2:G$55,2,0)</f>
        <v>64.31</v>
      </c>
      <c r="CV49">
        <f>VLOOKUP(A49,WFC!A$2:G$55,2,0)</f>
        <v>51.48</v>
      </c>
      <c r="CW49">
        <f>VLOOKUP(A49,WMT!A$2:G$55,2,0)</f>
        <v>77.13</v>
      </c>
    </row>
    <row r="50" spans="1:101" x14ac:dyDescent="0.25">
      <c r="A50" s="34">
        <v>41891</v>
      </c>
      <c r="B50" s="36">
        <v>99.08</v>
      </c>
      <c r="C50">
        <f>VLOOKUP(A50,ABBV!A$2:G$55,2,0)</f>
        <v>55.53</v>
      </c>
      <c r="D50">
        <f>VLOOKUP(A50,ABT!A$2:G$55,2,0)</f>
        <v>42.83</v>
      </c>
      <c r="E50">
        <f>VLOOKUP(A50,ACN!A$2:G$55,2,0)</f>
        <v>81.7</v>
      </c>
      <c r="F50">
        <f>VLOOKUP(A50,AIG!A$2:G$55,2,0)</f>
        <v>55.03</v>
      </c>
      <c r="G50">
        <f>VLOOKUP(A50,ALL!A$2:G$55,2,0)</f>
        <v>61.29</v>
      </c>
      <c r="H50">
        <f>VLOOKUP(A50,AMGN!A$2:G$55,2,0)</f>
        <v>138.66</v>
      </c>
      <c r="I50">
        <f>VLOOKUP(A50,AMZN!A$2:G$55,2,0)</f>
        <v>341.61</v>
      </c>
      <c r="J50">
        <f>VLOOKUP(A50,APA!A$2:G$55,2,0)</f>
        <v>97.9</v>
      </c>
      <c r="K50">
        <f>VLOOKUP(A50,APC!A$2:G$55,2,0)</f>
        <v>106.57</v>
      </c>
      <c r="L50">
        <f>VLOOKUP(A50,AXP!A$2:G$55,2,0)</f>
        <v>88.85</v>
      </c>
      <c r="M50">
        <f>VLOOKUP(A50,BA!A$2:G$55,2,0)</f>
        <v>127.81</v>
      </c>
      <c r="N50">
        <f>VLOOKUP(A50,BAC!A$2:G$55,2,0)</f>
        <v>16.25</v>
      </c>
      <c r="O50">
        <f>VLOOKUP(A50,BAX!A$2:G$55,2,0)</f>
        <v>74.41</v>
      </c>
      <c r="P50">
        <f>VLOOKUP(A50,BIIB!A$2:G$55,2,0)</f>
        <v>330.74</v>
      </c>
      <c r="Q50">
        <f>VLOOKUP(A50,BK!A$2:G$55,2,0)</f>
        <v>39.24</v>
      </c>
      <c r="R50">
        <f>VLOOKUP(A50,BMY!A$2:G$55,2,0)</f>
        <v>51.25</v>
      </c>
      <c r="T50">
        <f>VLOOKUP(A50,'C'!A$2:G$55,2,0)</f>
        <v>51.64</v>
      </c>
      <c r="U50">
        <f>VLOOKUP(A50,CAT!A$2:G$55,2,0)</f>
        <v>107.82</v>
      </c>
      <c r="V50">
        <f>VLOOKUP(A50,CL!A$2:G$55,2,0)</f>
        <v>63.5</v>
      </c>
      <c r="W50">
        <f>VLOOKUP(A50,CMCSA!A$2:G$55,2,0)</f>
        <v>55.74</v>
      </c>
      <c r="X50">
        <f>VLOOKUP(A50,COF!A$2:G$55,2,0)</f>
        <v>81.99</v>
      </c>
      <c r="Y50">
        <f>VLOOKUP(A50,COP!A$2:G$55,2,0)</f>
        <v>79.47</v>
      </c>
      <c r="Z50">
        <f>VLOOKUP(A50,COST!A$2:G$55,2,0)</f>
        <v>126.14</v>
      </c>
      <c r="AA50">
        <f>VLOOKUP(A50,CSCO!A$2:G$55,2,0)</f>
        <v>24.88</v>
      </c>
      <c r="AB50">
        <f>VLOOKUP(A50,CVS!A$2:G$55,2,0)</f>
        <v>81.5</v>
      </c>
      <c r="AC50">
        <f>VLOOKUP(A50,CVX!A$2:G$55,2,0)</f>
        <v>124.49</v>
      </c>
      <c r="AD50">
        <f>VLOOKUP(A50,DD!A$2:G$55,2,0)</f>
        <v>65.56</v>
      </c>
      <c r="AE50">
        <f>VLOOKUP(A50,DIS!A$2:G$55,2,0)</f>
        <v>90.5</v>
      </c>
      <c r="AF50">
        <f>VLOOKUP(A50,DOW!A$2:G$55,2,0)</f>
        <v>54.3</v>
      </c>
      <c r="AG50">
        <f>VLOOKUP(A50,DVN!A$2:G$55,2,0)</f>
        <v>70.92</v>
      </c>
      <c r="AH50">
        <f>VLOOKUP(A50,EBAY!A$2:G$55,2,0)</f>
        <v>54.36</v>
      </c>
      <c r="AI50">
        <f>VLOOKUP(A50,EMC!A$2:G$55,2,0)</f>
        <v>29.34</v>
      </c>
      <c r="AJ50">
        <f>VLOOKUP(A50,EMR!A$2:G$55,2,0)</f>
        <v>64.98</v>
      </c>
      <c r="AK50">
        <f>VLOOKUP(A50,EXC!A$2:G$55,2,0)</f>
        <v>33.299999999999997</v>
      </c>
      <c r="AL50">
        <f>VLOOKUP(A50,F!A$2:G$55,2,0)</f>
        <v>16.79</v>
      </c>
      <c r="AM50">
        <f>VLOOKUP(A50,FB!A$2:G$55,2,0)</f>
        <v>77.59</v>
      </c>
      <c r="AN50">
        <f>VLOOKUP(A50,FCX!A$2:G$55,2,0)</f>
        <v>34.68</v>
      </c>
      <c r="AO50">
        <f>VLOOKUP(A50,FDX!A$2:G$55,2,0)</f>
        <v>152.19</v>
      </c>
      <c r="AP50">
        <f>VLOOKUP(A50,FOXA!A$2:G$55,2,0)</f>
        <v>35.76</v>
      </c>
      <c r="AQ50">
        <f>VLOOKUP(A50,GD!A$2:G$55,2,0)</f>
        <v>125.77</v>
      </c>
      <c r="AR50">
        <f>VLOOKUP(A50,GE!A$2:G$55,2,0)</f>
        <v>26.07</v>
      </c>
      <c r="AS50">
        <f>VLOOKUP(A50,GILD!A$2:G$55,2,0)</f>
        <v>106.9</v>
      </c>
      <c r="AT50">
        <f>VLOOKUP(A50,GM!A$2:G$55,2,0)</f>
        <v>33.200000000000003</v>
      </c>
      <c r="AU50">
        <f>VLOOKUP(A50,GOOG!A$2:G$55,2,0)</f>
        <v>588.9</v>
      </c>
      <c r="AV50">
        <f>VLOOKUP(A50,GOOGL!A$2:G$55,2,0)</f>
        <v>600.27</v>
      </c>
      <c r="AW50">
        <f>VLOOKUP(A50,GS!A$2:G$55,2,0)</f>
        <v>177.93</v>
      </c>
      <c r="AX50">
        <f>VLOOKUP(A50,HAL!A$2:G$55,2,0)</f>
        <v>66.22</v>
      </c>
      <c r="AY50">
        <f>VLOOKUP(A50,HD!A$2:G$55,2,0)</f>
        <v>90.21</v>
      </c>
      <c r="AZ50">
        <f>VLOOKUP(A50,HON!A$2:G$55,2,0)</f>
        <v>95.04</v>
      </c>
      <c r="BA50">
        <f>VLOOKUP(A50,HPQ!A$2:G$55,2,0)</f>
        <v>37.119999999999997</v>
      </c>
      <c r="BB50">
        <f>VLOOKUP(A50,IBM!A$2:G$55,2,0)</f>
        <v>190.34</v>
      </c>
      <c r="BC50">
        <f>VLOOKUP(A50,INTC!A$2:G$55,2,0)</f>
        <v>35.29</v>
      </c>
      <c r="BD50">
        <f>VLOOKUP(A50,JNJ!A$2:G$55,2,0)</f>
        <v>104.4</v>
      </c>
      <c r="BE50">
        <f>VLOOKUP(A50,JPM!A$2:G$55,2,0)</f>
        <v>59.63</v>
      </c>
      <c r="BF50">
        <f>VLOOKUP(A50,KO!A$2:G$55,2,0)</f>
        <v>41.77</v>
      </c>
      <c r="BG50">
        <f>VLOOKUP(A50,LLY!A$2:G$55,2,0)</f>
        <v>64.73</v>
      </c>
      <c r="BH50">
        <f>VLOOKUP(A50,LMT!A$2:G$55,2,0)</f>
        <v>175.6</v>
      </c>
      <c r="BI50">
        <f>VLOOKUP(A50,LOW!A$2:G$55,2,0)</f>
        <v>53.44</v>
      </c>
      <c r="BJ50">
        <f>VLOOKUP(A50,MA!A$2:G$55,2,0)</f>
        <v>76.260000000000005</v>
      </c>
      <c r="BK50">
        <f>VLOOKUP(A50,MCD!A$2:G$55,2,0)</f>
        <v>92.6</v>
      </c>
      <c r="BL50">
        <f>VLOOKUP(A50,MDLZ!A$2:G$55,2,0)</f>
        <v>35.22</v>
      </c>
      <c r="BM50">
        <f>VLOOKUP(A50,MDT!A$2:G$55,2,0)</f>
        <v>64.81</v>
      </c>
      <c r="BN50">
        <f>VLOOKUP(A50,MET!A$2:G$55,2,0)</f>
        <v>54.81</v>
      </c>
      <c r="BO50">
        <f>VLOOKUP(A50,MMM!A$2:G$55,2,0)</f>
        <v>144.69999999999999</v>
      </c>
      <c r="BP50">
        <f>VLOOKUP(A50,MO!A$2:G$55,2,0)</f>
        <v>43.61</v>
      </c>
      <c r="BQ50">
        <f>VLOOKUP(A50,MON!A$2:G$55,2,0)</f>
        <v>114.12</v>
      </c>
      <c r="BR50">
        <f>VLOOKUP(A50,MRK!A$2:G$55,2,0)</f>
        <v>60.84</v>
      </c>
      <c r="BS50">
        <f>VLOOKUP(A50,MS!A$2:G$55,2,0)</f>
        <v>34.44</v>
      </c>
      <c r="BT50">
        <f>VLOOKUP(A50,MSFT!A$2:G$55,2,0)</f>
        <v>46.47</v>
      </c>
      <c r="BU50">
        <f>VLOOKUP(A50,NKE!A$2:G$55,2,0)</f>
        <v>82.27</v>
      </c>
      <c r="BV50">
        <f>VLOOKUP(A50,NOV!A$2:G$55,2,0)</f>
        <v>82.5</v>
      </c>
      <c r="BW50">
        <f>VLOOKUP(A50,NSC!A$2:G$55,2,0)</f>
        <v>108.64</v>
      </c>
      <c r="BX50">
        <f>VLOOKUP(A50,ORCL!A$2:G$55,2,0)</f>
        <v>40.51</v>
      </c>
      <c r="BY50">
        <f>VLOOKUP(A50,OXY!A$2:G$55,2,0)</f>
        <v>98.52</v>
      </c>
      <c r="BZ50">
        <f>VLOOKUP(A50,PEP!A$2:G$55,2,0)</f>
        <v>91.5</v>
      </c>
      <c r="CA50">
        <f>VLOOKUP(A50,PFE!A$2:G$55,2,0)</f>
        <v>29.42</v>
      </c>
      <c r="CB50">
        <f>VLOOKUP(A50,PG!A$2:G$55,2,0)</f>
        <v>83.05</v>
      </c>
      <c r="CC50">
        <f>VLOOKUP(A50,PM!A$2:G$55,2,0)</f>
        <v>84.1</v>
      </c>
      <c r="CD50">
        <f>VLOOKUP(A50,QCOM!A$2:G$55,2,0)</f>
        <v>75.900000000000006</v>
      </c>
      <c r="CE50">
        <f>VLOOKUP(A50,RTN!A$2:G$55,2,0)</f>
        <v>99.08</v>
      </c>
      <c r="CF50">
        <f>VLOOKUP(A50,SBUX!A$2:G$55,2,0)</f>
        <v>77.45</v>
      </c>
      <c r="CG50">
        <f>VLOOKUP(A50,SLB!A$2:G$55,2,0)</f>
        <v>104.67</v>
      </c>
      <c r="CH50">
        <f>VLOOKUP(A50,SO!A$2:G$55,2,0)</f>
        <v>44.42</v>
      </c>
      <c r="CI50">
        <f>VLOOKUP(A50,SPG!A$2:G$55,2,0)</f>
        <v>172.05</v>
      </c>
      <c r="CJ50">
        <f>VLOOKUP(A50,T!A$2:G$55,2,0)</f>
        <v>35.04</v>
      </c>
      <c r="CK50">
        <f>VLOOKUP(A50,TGT!A$2:G$55,2,0)</f>
        <v>60.47</v>
      </c>
      <c r="CL50">
        <f>VLOOKUP(A50,TWX!A$2:G$55,2,0)</f>
        <v>77.25</v>
      </c>
      <c r="CM50">
        <f>VLOOKUP(A50,TXN!A$2:G$55,2,0)</f>
        <v>48.39</v>
      </c>
      <c r="CN50">
        <f>VLOOKUP(A50,UNH!A$2:G$55,2,0)</f>
        <v>88</v>
      </c>
      <c r="CO50">
        <f>VLOOKUP(A50,UNP!A$2:G$55,2,0)</f>
        <v>107.61</v>
      </c>
      <c r="CP50">
        <f>VLOOKUP(A50,UPS!A$2:G$55,2,0)</f>
        <v>98.27</v>
      </c>
      <c r="CQ50">
        <f>VLOOKUP(A50,USB!A$2:G$55,2,0)</f>
        <v>41.88</v>
      </c>
      <c r="CR50">
        <f>VLOOKUP(A50,UTX!A$2:G$55,2,0)</f>
        <v>108.76</v>
      </c>
      <c r="CS50">
        <f>VLOOKUP(A50,V!A$2:G$55,2,0)</f>
        <v>215.29</v>
      </c>
      <c r="CT50">
        <f>VLOOKUP(A50,VZ!A$2:G$55,2,0)</f>
        <v>49.42</v>
      </c>
      <c r="CU50">
        <f>VLOOKUP(A50,WAG!A$2:G$55,2,0)</f>
        <v>63.24</v>
      </c>
      <c r="CV50">
        <f>VLOOKUP(A50,WFC!A$2:G$55,2,0)</f>
        <v>51.23</v>
      </c>
      <c r="CW50">
        <f>VLOOKUP(A50,WMT!A$2:G$55,2,0)</f>
        <v>76.56</v>
      </c>
    </row>
    <row r="51" spans="1:101" x14ac:dyDescent="0.25">
      <c r="A51" s="34">
        <v>41892</v>
      </c>
      <c r="B51" s="36">
        <v>98.01</v>
      </c>
      <c r="C51">
        <f>VLOOKUP(A51,ABBV!A$2:G$55,2,0)</f>
        <v>56.9</v>
      </c>
      <c r="D51">
        <f>VLOOKUP(A51,ABT!A$2:G$55,2,0)</f>
        <v>42.98</v>
      </c>
      <c r="E51">
        <f>VLOOKUP(A51,ACN!A$2:G$55,2,0)</f>
        <v>80.95</v>
      </c>
      <c r="F51">
        <f>VLOOKUP(A51,AIG!A$2:G$55,2,0)</f>
        <v>55.11</v>
      </c>
      <c r="G51">
        <f>VLOOKUP(A51,ALL!A$2:G$55,2,0)</f>
        <v>61.06</v>
      </c>
      <c r="H51">
        <f>VLOOKUP(A51,AMGN!A$2:G$55,2,0)</f>
        <v>137.38999999999999</v>
      </c>
      <c r="I51">
        <f>VLOOKUP(A51,AMZN!A$2:G$55,2,0)</f>
        <v>334.3</v>
      </c>
      <c r="J51">
        <f>VLOOKUP(A51,APA!A$2:G$55,2,0)</f>
        <v>96.74</v>
      </c>
      <c r="K51">
        <f>VLOOKUP(A51,APC!A$2:G$55,2,0)</f>
        <v>106.63</v>
      </c>
      <c r="L51">
        <f>VLOOKUP(A51,AXP!A$2:G$55,2,0)</f>
        <v>88.1</v>
      </c>
      <c r="M51">
        <f>VLOOKUP(A51,BA!A$2:G$55,2,0)</f>
        <v>128.47</v>
      </c>
      <c r="N51">
        <f>VLOOKUP(A51,BAC!A$2:G$55,2,0)</f>
        <v>16.16</v>
      </c>
      <c r="O51">
        <f>VLOOKUP(A51,BAX!A$2:G$55,2,0)</f>
        <v>74.41</v>
      </c>
      <c r="P51">
        <f>VLOOKUP(A51,BIIB!A$2:G$55,2,0)</f>
        <v>325.99</v>
      </c>
      <c r="Q51">
        <f>VLOOKUP(A51,BK!A$2:G$55,2,0)</f>
        <v>38.9</v>
      </c>
      <c r="R51">
        <f>VLOOKUP(A51,BMY!A$2:G$55,2,0)</f>
        <v>50.58</v>
      </c>
      <c r="T51">
        <f>VLOOKUP(A51,'C'!A$2:G$55,2,0)</f>
        <v>51.24</v>
      </c>
      <c r="U51">
        <f>VLOOKUP(A51,CAT!A$2:G$55,2,0)</f>
        <v>105.61</v>
      </c>
      <c r="V51">
        <f>VLOOKUP(A51,CL!A$2:G$55,2,0)</f>
        <v>63.5</v>
      </c>
      <c r="W51">
        <f>VLOOKUP(A51,CMCSA!A$2:G$55,2,0)</f>
        <v>56.54</v>
      </c>
      <c r="X51">
        <f>VLOOKUP(A51,COF!A$2:G$55,2,0)</f>
        <v>81.61</v>
      </c>
      <c r="Y51">
        <f>VLOOKUP(A51,COP!A$2:G$55,2,0)</f>
        <v>78.760000000000005</v>
      </c>
      <c r="Z51">
        <f>VLOOKUP(A51,COST!A$2:G$55,2,0)</f>
        <v>126.31</v>
      </c>
      <c r="AA51">
        <f>VLOOKUP(A51,CSCO!A$2:G$55,2,0)</f>
        <v>24.84</v>
      </c>
      <c r="AB51">
        <f>VLOOKUP(A51,CVS!A$2:G$55,2,0)</f>
        <v>80.78</v>
      </c>
      <c r="AC51">
        <f>VLOOKUP(A51,CVX!A$2:G$55,2,0)</f>
        <v>124.46</v>
      </c>
      <c r="AD51">
        <f>VLOOKUP(A51,DD!A$2:G$55,2,0)</f>
        <v>65.150000000000006</v>
      </c>
      <c r="AE51">
        <f>VLOOKUP(A51,DIS!A$2:G$55,2,0)</f>
        <v>89.54</v>
      </c>
      <c r="AF51">
        <f>VLOOKUP(A51,DOW!A$2:G$55,2,0)</f>
        <v>53.34</v>
      </c>
      <c r="AG51">
        <f>VLOOKUP(A51,DVN!A$2:G$55,2,0)</f>
        <v>70.78</v>
      </c>
      <c r="AH51">
        <f>VLOOKUP(A51,EBAY!A$2:G$55,2,0)</f>
        <v>51.48</v>
      </c>
      <c r="AI51">
        <f>VLOOKUP(A51,EMC!A$2:G$55,2,0)</f>
        <v>29.21</v>
      </c>
      <c r="AJ51">
        <f>VLOOKUP(A51,EMR!A$2:G$55,2,0)</f>
        <v>65.19</v>
      </c>
      <c r="AK51">
        <f>VLOOKUP(A51,EXC!A$2:G$55,2,0)</f>
        <v>33.14</v>
      </c>
      <c r="AL51">
        <f>VLOOKUP(A51,F!A$2:G$55,2,0)</f>
        <v>16.649999999999999</v>
      </c>
      <c r="AM51">
        <f>VLOOKUP(A51,FB!A$2:G$55,2,0)</f>
        <v>76.52</v>
      </c>
      <c r="AN51">
        <f>VLOOKUP(A51,FCX!A$2:G$55,2,0)</f>
        <v>34.35</v>
      </c>
      <c r="AO51">
        <f>VLOOKUP(A51,FDX!A$2:G$55,2,0)</f>
        <v>150.94999999999999</v>
      </c>
      <c r="AP51">
        <f>VLOOKUP(A51,FOXA!A$2:G$55,2,0)</f>
        <v>35.590000000000003</v>
      </c>
      <c r="AQ51">
        <f>VLOOKUP(A51,GD!A$2:G$55,2,0)</f>
        <v>126.13</v>
      </c>
      <c r="AR51">
        <f>VLOOKUP(A51,GE!A$2:G$55,2,0)</f>
        <v>25.99</v>
      </c>
      <c r="AS51">
        <f>VLOOKUP(A51,GILD!A$2:G$55,2,0)</f>
        <v>106.2</v>
      </c>
      <c r="AT51">
        <f>VLOOKUP(A51,GM!A$2:G$55,2,0)</f>
        <v>33.119999999999997</v>
      </c>
      <c r="AU51">
        <f>VLOOKUP(A51,GOOG!A$2:G$55,2,0)</f>
        <v>581.5</v>
      </c>
      <c r="AV51">
        <f>VLOOKUP(A51,GOOGL!A$2:G$55,2,0)</f>
        <v>591.74</v>
      </c>
      <c r="AW51">
        <f>VLOOKUP(A51,GS!A$2:G$55,2,0)</f>
        <v>178.33</v>
      </c>
      <c r="AX51">
        <f>VLOOKUP(A51,HAL!A$2:G$55,2,0)</f>
        <v>65.790000000000006</v>
      </c>
      <c r="AY51">
        <f>VLOOKUP(A51,HD!A$2:G$55,2,0)</f>
        <v>88.66</v>
      </c>
      <c r="AZ51">
        <f>VLOOKUP(A51,HON!A$2:G$55,2,0)</f>
        <v>94.33</v>
      </c>
      <c r="BA51">
        <f>VLOOKUP(A51,HPQ!A$2:G$55,2,0)</f>
        <v>36.93</v>
      </c>
      <c r="BB51">
        <f>VLOOKUP(A51,IBM!A$2:G$55,2,0)</f>
        <v>190.12</v>
      </c>
      <c r="BC51">
        <f>VLOOKUP(A51,INTC!A$2:G$55,2,0)</f>
        <v>34.85</v>
      </c>
      <c r="BD51">
        <f>VLOOKUP(A51,JNJ!A$2:G$55,2,0)</f>
        <v>104.19</v>
      </c>
      <c r="BE51">
        <f>VLOOKUP(A51,JPM!A$2:G$55,2,0)</f>
        <v>59.15</v>
      </c>
      <c r="BF51">
        <f>VLOOKUP(A51,KO!A$2:G$55,2,0)</f>
        <v>41.9</v>
      </c>
      <c r="BG51">
        <f>VLOOKUP(A51,LLY!A$2:G$55,2,0)</f>
        <v>64.84</v>
      </c>
      <c r="BH51">
        <f>VLOOKUP(A51,LMT!A$2:G$55,2,0)</f>
        <v>174.96</v>
      </c>
      <c r="BI51">
        <f>VLOOKUP(A51,LOW!A$2:G$55,2,0)</f>
        <v>53.11</v>
      </c>
      <c r="BJ51">
        <f>VLOOKUP(A51,MA!A$2:G$55,2,0)</f>
        <v>76.09</v>
      </c>
      <c r="BK51">
        <f>VLOOKUP(A51,MCD!A$2:G$55,2,0)</f>
        <v>90.84</v>
      </c>
      <c r="BL51">
        <f>VLOOKUP(A51,MDLZ!A$2:G$55,2,0)</f>
        <v>35.67</v>
      </c>
      <c r="BM51">
        <f>VLOOKUP(A51,MDT!A$2:G$55,2,0)</f>
        <v>65.77</v>
      </c>
      <c r="BN51">
        <f>VLOOKUP(A51,MET!A$2:G$55,2,0)</f>
        <v>54.51</v>
      </c>
      <c r="BO51">
        <f>VLOOKUP(A51,MMM!A$2:G$55,2,0)</f>
        <v>144.63</v>
      </c>
      <c r="BP51">
        <f>VLOOKUP(A51,MO!A$2:G$55,2,0)</f>
        <v>43.7</v>
      </c>
      <c r="BQ51">
        <f>VLOOKUP(A51,MON!A$2:G$55,2,0)</f>
        <v>113.74</v>
      </c>
      <c r="BR51">
        <f>VLOOKUP(A51,MRK!A$2:G$55,2,0)</f>
        <v>60.67</v>
      </c>
      <c r="BS51">
        <f>VLOOKUP(A51,MS!A$2:G$55,2,0)</f>
        <v>34.04</v>
      </c>
      <c r="BT51">
        <f>VLOOKUP(A51,MSFT!A$2:G$55,2,0)</f>
        <v>46.82</v>
      </c>
      <c r="BU51">
        <f>VLOOKUP(A51,NKE!A$2:G$55,2,0)</f>
        <v>81.73</v>
      </c>
      <c r="BV51">
        <f>VLOOKUP(A51,NOV!A$2:G$55,2,0)</f>
        <v>81.27</v>
      </c>
      <c r="BW51">
        <f>VLOOKUP(A51,NSC!A$2:G$55,2,0)</f>
        <v>108.87</v>
      </c>
      <c r="BX51">
        <f>VLOOKUP(A51,ORCL!A$2:G$55,2,0)</f>
        <v>40.700000000000003</v>
      </c>
      <c r="BY51">
        <f>VLOOKUP(A51,OXY!A$2:G$55,2,0)</f>
        <v>98.46</v>
      </c>
      <c r="BZ51">
        <f>VLOOKUP(A51,PEP!A$2:G$55,2,0)</f>
        <v>91.67</v>
      </c>
      <c r="CA51">
        <f>VLOOKUP(A51,PFE!A$2:G$55,2,0)</f>
        <v>29.25</v>
      </c>
      <c r="CB51">
        <f>VLOOKUP(A51,PG!A$2:G$55,2,0)</f>
        <v>83.2</v>
      </c>
      <c r="CC51">
        <f>VLOOKUP(A51,PM!A$2:G$55,2,0)</f>
        <v>84.12</v>
      </c>
      <c r="CD51">
        <f>VLOOKUP(A51,QCOM!A$2:G$55,2,0)</f>
        <v>75.8</v>
      </c>
      <c r="CE51">
        <f>VLOOKUP(A51,RTN!A$2:G$55,2,0)</f>
        <v>99.43</v>
      </c>
      <c r="CF51">
        <f>VLOOKUP(A51,SBUX!A$2:G$55,2,0)</f>
        <v>77.010000000000005</v>
      </c>
      <c r="CG51">
        <f>VLOOKUP(A51,SLB!A$2:G$55,2,0)</f>
        <v>104.07</v>
      </c>
      <c r="CH51">
        <f>VLOOKUP(A51,SO!A$2:G$55,2,0)</f>
        <v>43.9</v>
      </c>
      <c r="CI51">
        <f>VLOOKUP(A51,SPG!A$2:G$55,2,0)</f>
        <v>172.11</v>
      </c>
      <c r="CJ51">
        <f>VLOOKUP(A51,T!A$2:G$55,2,0)</f>
        <v>34.729999999999997</v>
      </c>
      <c r="CK51">
        <f>VLOOKUP(A51,TGT!A$2:G$55,2,0)</f>
        <v>61.01</v>
      </c>
      <c r="CL51">
        <f>VLOOKUP(A51,TWX!A$2:G$55,2,0)</f>
        <v>76.510000000000005</v>
      </c>
      <c r="CM51">
        <f>VLOOKUP(A51,TXN!A$2:G$55,2,0)</f>
        <v>48.42</v>
      </c>
      <c r="CN51">
        <f>VLOOKUP(A51,UNH!A$2:G$55,2,0)</f>
        <v>88.44</v>
      </c>
      <c r="CO51">
        <f>VLOOKUP(A51,UNP!A$2:G$55,2,0)</f>
        <v>107.42</v>
      </c>
      <c r="CP51">
        <f>VLOOKUP(A51,UPS!A$2:G$55,2,0)</f>
        <v>97.56</v>
      </c>
      <c r="CQ51">
        <f>VLOOKUP(A51,USB!A$2:G$55,2,0)</f>
        <v>41.63</v>
      </c>
      <c r="CR51">
        <f>VLOOKUP(A51,UTX!A$2:G$55,2,0)</f>
        <v>108.67</v>
      </c>
      <c r="CS51">
        <f>VLOOKUP(A51,V!A$2:G$55,2,0)</f>
        <v>214.07</v>
      </c>
      <c r="CT51">
        <f>VLOOKUP(A51,VZ!A$2:G$55,2,0)</f>
        <v>49.03</v>
      </c>
      <c r="CU51">
        <f>VLOOKUP(A51,WAG!A$2:G$55,2,0)</f>
        <v>62.69</v>
      </c>
      <c r="CV51">
        <f>VLOOKUP(A51,WFC!A$2:G$55,2,0)</f>
        <v>51.08</v>
      </c>
      <c r="CW51">
        <f>VLOOKUP(A51,WMT!A$2:G$55,2,0)</f>
        <v>76.790000000000006</v>
      </c>
    </row>
    <row r="52" spans="1:101" x14ac:dyDescent="0.25">
      <c r="A52" s="34">
        <v>41893</v>
      </c>
      <c r="B52" s="36">
        <v>100.41</v>
      </c>
      <c r="C52">
        <f>VLOOKUP(A52,ABBV!A$2:G$55,2,0)</f>
        <v>57</v>
      </c>
      <c r="D52">
        <f>VLOOKUP(A52,ABT!A$2:G$55,2,0)</f>
        <v>42.69</v>
      </c>
      <c r="E52">
        <f>VLOOKUP(A52,ACN!A$2:G$55,2,0)</f>
        <v>81.06</v>
      </c>
      <c r="F52">
        <f>VLOOKUP(A52,AIG!A$2:G$55,2,0)</f>
        <v>55.08</v>
      </c>
      <c r="G52">
        <f>VLOOKUP(A52,ALL!A$2:G$55,2,0)</f>
        <v>60.8</v>
      </c>
      <c r="H52">
        <f>VLOOKUP(A52,AMGN!A$2:G$55,2,0)</f>
        <v>138.53</v>
      </c>
      <c r="I52">
        <f>VLOOKUP(A52,AMZN!A$2:G$55,2,0)</f>
        <v>329.94</v>
      </c>
      <c r="J52">
        <f>VLOOKUP(A52,APA!A$2:G$55,2,0)</f>
        <v>96.1</v>
      </c>
      <c r="K52">
        <f>VLOOKUP(A52,APC!A$2:G$55,2,0)</f>
        <v>106.2</v>
      </c>
      <c r="L52">
        <f>VLOOKUP(A52,AXP!A$2:G$55,2,0)</f>
        <v>88.01</v>
      </c>
      <c r="M52">
        <f>VLOOKUP(A52,BA!A$2:G$55,2,0)</f>
        <v>127.82</v>
      </c>
      <c r="N52">
        <f>VLOOKUP(A52,BAC!A$2:G$55,2,0)</f>
        <v>16.32</v>
      </c>
      <c r="O52">
        <f>VLOOKUP(A52,BAX!A$2:G$55,2,0)</f>
        <v>74.92</v>
      </c>
      <c r="P52">
        <f>VLOOKUP(A52,BIIB!A$2:G$55,2,0)</f>
        <v>330.41</v>
      </c>
      <c r="Q52">
        <f>VLOOKUP(A52,BK!A$2:G$55,2,0)</f>
        <v>38.97</v>
      </c>
      <c r="R52">
        <f>VLOOKUP(A52,BMY!A$2:G$55,2,0)</f>
        <v>51</v>
      </c>
      <c r="T52">
        <f>VLOOKUP(A52,'C'!A$2:G$55,2,0)</f>
        <v>51.61</v>
      </c>
      <c r="U52">
        <f>VLOOKUP(A52,CAT!A$2:G$55,2,0)</f>
        <v>105.66</v>
      </c>
      <c r="V52">
        <f>VLOOKUP(A52,CL!A$2:G$55,2,0)</f>
        <v>63.97</v>
      </c>
      <c r="W52">
        <f>VLOOKUP(A52,CMCSA!A$2:G$55,2,0)</f>
        <v>56.87</v>
      </c>
      <c r="X52">
        <f>VLOOKUP(A52,COF!A$2:G$55,2,0)</f>
        <v>81.040000000000006</v>
      </c>
      <c r="Y52">
        <f>VLOOKUP(A52,COP!A$2:G$55,2,0)</f>
        <v>78.23</v>
      </c>
      <c r="Z52">
        <f>VLOOKUP(A52,COST!A$2:G$55,2,0)</f>
        <v>126.16</v>
      </c>
      <c r="AA52">
        <f>VLOOKUP(A52,CSCO!A$2:G$55,2,0)</f>
        <v>24.92</v>
      </c>
      <c r="AB52">
        <f>VLOOKUP(A52,CVS!A$2:G$55,2,0)</f>
        <v>80.760000000000005</v>
      </c>
      <c r="AC52">
        <f>VLOOKUP(A52,CVX!A$2:G$55,2,0)</f>
        <v>123.28</v>
      </c>
      <c r="AD52">
        <f>VLOOKUP(A52,DD!A$2:G$55,2,0)</f>
        <v>65.02</v>
      </c>
      <c r="AE52">
        <f>VLOOKUP(A52,DIS!A$2:G$55,2,0)</f>
        <v>89.2</v>
      </c>
      <c r="AF52">
        <f>VLOOKUP(A52,DOW!A$2:G$55,2,0)</f>
        <v>52.9</v>
      </c>
      <c r="AG52">
        <f>VLOOKUP(A52,DVN!A$2:G$55,2,0)</f>
        <v>70.069999999999993</v>
      </c>
      <c r="AH52">
        <f>VLOOKUP(A52,EBAY!A$2:G$55,2,0)</f>
        <v>50.78</v>
      </c>
      <c r="AI52">
        <f>VLOOKUP(A52,EMC!A$2:G$55,2,0)</f>
        <v>29.62</v>
      </c>
      <c r="AJ52">
        <f>VLOOKUP(A52,EMR!A$2:G$55,2,0)</f>
        <v>64.760000000000005</v>
      </c>
      <c r="AK52">
        <f>VLOOKUP(A52,EXC!A$2:G$55,2,0)</f>
        <v>33.07</v>
      </c>
      <c r="AL52">
        <f>VLOOKUP(A52,F!A$2:G$55,2,0)</f>
        <v>16.59</v>
      </c>
      <c r="AM52">
        <f>VLOOKUP(A52,FB!A$2:G$55,2,0)</f>
        <v>77.13</v>
      </c>
      <c r="AN52">
        <f>VLOOKUP(A52,FCX!A$2:G$55,2,0)</f>
        <v>34.35</v>
      </c>
      <c r="AO52">
        <f>VLOOKUP(A52,FDX!A$2:G$55,2,0)</f>
        <v>150.08000000000001</v>
      </c>
      <c r="AP52">
        <f>VLOOKUP(A52,FOXA!A$2:G$55,2,0)</f>
        <v>34.83</v>
      </c>
      <c r="AQ52">
        <f>VLOOKUP(A52,GD!A$2:G$55,2,0)</f>
        <v>127.09</v>
      </c>
      <c r="AR52">
        <f>VLOOKUP(A52,GE!A$2:G$55,2,0)</f>
        <v>25.91</v>
      </c>
      <c r="AS52">
        <f>VLOOKUP(A52,GILD!A$2:G$55,2,0)</f>
        <v>108</v>
      </c>
      <c r="AT52">
        <f>VLOOKUP(A52,GM!A$2:G$55,2,0)</f>
        <v>33.159999999999997</v>
      </c>
      <c r="AU52">
        <f>VLOOKUP(A52,GOOG!A$2:G$55,2,0)</f>
        <v>580.36</v>
      </c>
      <c r="AV52">
        <f>VLOOKUP(A52,GOOGL!A$2:G$55,2,0)</f>
        <v>590</v>
      </c>
      <c r="AW52">
        <f>VLOOKUP(A52,GS!A$2:G$55,2,0)</f>
        <v>178.77</v>
      </c>
      <c r="AX52">
        <f>VLOOKUP(A52,HAL!A$2:G$55,2,0)</f>
        <v>66.12</v>
      </c>
      <c r="AY52">
        <f>VLOOKUP(A52,HD!A$2:G$55,2,0)</f>
        <v>89.07</v>
      </c>
      <c r="AZ52">
        <f>VLOOKUP(A52,HON!A$2:G$55,2,0)</f>
        <v>94.13</v>
      </c>
      <c r="BA52">
        <f>VLOOKUP(A52,HPQ!A$2:G$55,2,0)</f>
        <v>37</v>
      </c>
      <c r="BB52">
        <f>VLOOKUP(A52,IBM!A$2:G$55,2,0)</f>
        <v>191.08</v>
      </c>
      <c r="BC52">
        <f>VLOOKUP(A52,INTC!A$2:G$55,2,0)</f>
        <v>34.79</v>
      </c>
      <c r="BD52">
        <f>VLOOKUP(A52,JNJ!A$2:G$55,2,0)</f>
        <v>104.78</v>
      </c>
      <c r="BE52">
        <f>VLOOKUP(A52,JPM!A$2:G$55,2,0)</f>
        <v>59.18</v>
      </c>
      <c r="BF52">
        <f>VLOOKUP(A52,KO!A$2:G$55,2,0)</f>
        <v>41.68</v>
      </c>
      <c r="BG52">
        <f>VLOOKUP(A52,LLY!A$2:G$55,2,0)</f>
        <v>64.650000000000006</v>
      </c>
      <c r="BH52">
        <f>VLOOKUP(A52,LMT!A$2:G$55,2,0)</f>
        <v>174.38</v>
      </c>
      <c r="BI52">
        <f>VLOOKUP(A52,LOW!A$2:G$55,2,0)</f>
        <v>53.04</v>
      </c>
      <c r="BJ52">
        <f>VLOOKUP(A52,MA!A$2:G$55,2,0)</f>
        <v>76.319999999999993</v>
      </c>
      <c r="BK52">
        <f>VLOOKUP(A52,MCD!A$2:G$55,2,0)</f>
        <v>92.94</v>
      </c>
      <c r="BL52">
        <f>VLOOKUP(A52,MDLZ!A$2:G$55,2,0)</f>
        <v>35.200000000000003</v>
      </c>
      <c r="BM52">
        <f>VLOOKUP(A52,MDT!A$2:G$55,2,0)</f>
        <v>65.599999999999994</v>
      </c>
      <c r="BN52">
        <f>VLOOKUP(A52,MET!A$2:G$55,2,0)</f>
        <v>54.24</v>
      </c>
      <c r="BO52">
        <f>VLOOKUP(A52,MMM!A$2:G$55,2,0)</f>
        <v>143.99</v>
      </c>
      <c r="BP52">
        <f>VLOOKUP(A52,MO!A$2:G$55,2,0)</f>
        <v>43.33</v>
      </c>
      <c r="BQ52">
        <f>VLOOKUP(A52,MON!A$2:G$55,2,0)</f>
        <v>112.82</v>
      </c>
      <c r="BR52">
        <f>VLOOKUP(A52,MRK!A$2:G$55,2,0)</f>
        <v>60.21</v>
      </c>
      <c r="BS52">
        <f>VLOOKUP(A52,MS!A$2:G$55,2,0)</f>
        <v>34.119999999999997</v>
      </c>
      <c r="BT52">
        <f>VLOOKUP(A52,MSFT!A$2:G$55,2,0)</f>
        <v>46.74</v>
      </c>
      <c r="BU52">
        <f>VLOOKUP(A52,NKE!A$2:G$55,2,0)</f>
        <v>82.16</v>
      </c>
      <c r="BV52">
        <f>VLOOKUP(A52,NOV!A$2:G$55,2,0)</f>
        <v>80.959999999999994</v>
      </c>
      <c r="BW52">
        <f>VLOOKUP(A52,NSC!A$2:G$55,2,0)</f>
        <v>107.7</v>
      </c>
      <c r="BX52">
        <f>VLOOKUP(A52,ORCL!A$2:G$55,2,0)</f>
        <v>40.25</v>
      </c>
      <c r="BY52">
        <f>VLOOKUP(A52,OXY!A$2:G$55,2,0)</f>
        <v>97.86</v>
      </c>
      <c r="BZ52">
        <f>VLOOKUP(A52,PEP!A$2:G$55,2,0)</f>
        <v>91.69</v>
      </c>
      <c r="CA52">
        <f>VLOOKUP(A52,PFE!A$2:G$55,2,0)</f>
        <v>29.39</v>
      </c>
      <c r="CB52">
        <f>VLOOKUP(A52,PG!A$2:G$55,2,0)</f>
        <v>83.61</v>
      </c>
      <c r="CC52">
        <f>VLOOKUP(A52,PM!A$2:G$55,2,0)</f>
        <v>84.15</v>
      </c>
      <c r="CD52">
        <f>VLOOKUP(A52,QCOM!A$2:G$55,2,0)</f>
        <v>75.58</v>
      </c>
      <c r="CE52">
        <f>VLOOKUP(A52,RTN!A$2:G$55,2,0)</f>
        <v>101.05</v>
      </c>
      <c r="CF52">
        <f>VLOOKUP(A52,SBUX!A$2:G$55,2,0)</f>
        <v>76.98</v>
      </c>
      <c r="CG52">
        <f>VLOOKUP(A52,SLB!A$2:G$55,2,0)</f>
        <v>103.22</v>
      </c>
      <c r="CH52">
        <f>VLOOKUP(A52,SO!A$2:G$55,2,0)</f>
        <v>43.81</v>
      </c>
      <c r="CI52">
        <f>VLOOKUP(A52,SPG!A$2:G$55,2,0)</f>
        <v>170.3</v>
      </c>
      <c r="CJ52">
        <f>VLOOKUP(A52,T!A$2:G$55,2,0)</f>
        <v>34.61</v>
      </c>
      <c r="CK52">
        <f>VLOOKUP(A52,TGT!A$2:G$55,2,0)</f>
        <v>61.83</v>
      </c>
      <c r="CL52">
        <f>VLOOKUP(A52,TWX!A$2:G$55,2,0)</f>
        <v>75.400000000000006</v>
      </c>
      <c r="CM52">
        <f>VLOOKUP(A52,TXN!A$2:G$55,2,0)</f>
        <v>47.8</v>
      </c>
      <c r="CN52">
        <f>VLOOKUP(A52,UNH!A$2:G$55,2,0)</f>
        <v>86.76</v>
      </c>
      <c r="CO52">
        <f>VLOOKUP(A52,UNP!A$2:G$55,2,0)</f>
        <v>106.98</v>
      </c>
      <c r="CP52">
        <f>VLOOKUP(A52,UPS!A$2:G$55,2,0)</f>
        <v>96.9</v>
      </c>
      <c r="CQ52">
        <f>VLOOKUP(A52,USB!A$2:G$55,2,0)</f>
        <v>41.75</v>
      </c>
      <c r="CR52">
        <f>VLOOKUP(A52,UTX!A$2:G$55,2,0)</f>
        <v>108.28</v>
      </c>
      <c r="CS52">
        <f>VLOOKUP(A52,V!A$2:G$55,2,0)</f>
        <v>216.7</v>
      </c>
      <c r="CT52">
        <f>VLOOKUP(A52,VZ!A$2:G$55,2,0)</f>
        <v>48.65</v>
      </c>
      <c r="CU52">
        <f>VLOOKUP(A52,WAG!A$2:G$55,2,0)</f>
        <v>63.23</v>
      </c>
      <c r="CV52">
        <f>VLOOKUP(A52,WFC!A$2:G$55,2,0)</f>
        <v>51.4</v>
      </c>
      <c r="CW52">
        <f>VLOOKUP(A52,WMT!A$2:G$55,2,0)</f>
        <v>76.349999999999994</v>
      </c>
    </row>
    <row r="53" spans="1:101" x14ac:dyDescent="0.25">
      <c r="A53" s="34">
        <v>41894</v>
      </c>
      <c r="B53" s="36">
        <v>101.21</v>
      </c>
      <c r="C53">
        <f>VLOOKUP(A53,ABBV!A$2:G$55,2,0)</f>
        <v>57.85</v>
      </c>
      <c r="D53">
        <f>VLOOKUP(A53,ABT!A$2:G$55,2,0)</f>
        <v>42.62</v>
      </c>
      <c r="E53">
        <f>VLOOKUP(A53,ACN!A$2:G$55,2,0)</f>
        <v>81.3</v>
      </c>
      <c r="F53">
        <f>VLOOKUP(A53,AIG!A$2:G$55,2,0)</f>
        <v>55.29</v>
      </c>
      <c r="G53">
        <f>VLOOKUP(A53,ALL!A$2:G$55,2,0)</f>
        <v>61.08</v>
      </c>
      <c r="H53">
        <f>VLOOKUP(A53,AMGN!A$2:G$55,2,0)</f>
        <v>138.51</v>
      </c>
      <c r="I53">
        <f>VLOOKUP(A53,AMZN!A$2:G$55,2,0)</f>
        <v>329.56</v>
      </c>
      <c r="J53">
        <f>VLOOKUP(A53,APA!A$2:G$55,2,0)</f>
        <v>97.25</v>
      </c>
      <c r="K53">
        <f>VLOOKUP(A53,APC!A$2:G$55,2,0)</f>
        <v>107.12</v>
      </c>
      <c r="L53">
        <f>VLOOKUP(A53,AXP!A$2:G$55,2,0)</f>
        <v>88.18</v>
      </c>
      <c r="M53">
        <f>VLOOKUP(A53,BA!A$2:G$55,2,0)</f>
        <v>127.49</v>
      </c>
      <c r="N53">
        <f>VLOOKUP(A53,BAC!A$2:G$55,2,0)</f>
        <v>16.62</v>
      </c>
      <c r="O53">
        <f>VLOOKUP(A53,BAX!A$2:G$55,2,0)</f>
        <v>75.05</v>
      </c>
      <c r="P53">
        <f>VLOOKUP(A53,BIIB!A$2:G$55,2,0)</f>
        <v>327.31</v>
      </c>
      <c r="Q53">
        <f>VLOOKUP(A53,BK!A$2:G$55,2,0)</f>
        <v>39.409999999999997</v>
      </c>
      <c r="R53">
        <f>VLOOKUP(A53,BMY!A$2:G$55,2,0)</f>
        <v>50.64</v>
      </c>
      <c r="T53">
        <f>VLOOKUP(A53,'C'!A$2:G$55,2,0)</f>
        <v>52.2</v>
      </c>
      <c r="U53">
        <f>VLOOKUP(A53,CAT!A$2:G$55,2,0)</f>
        <v>104.97</v>
      </c>
      <c r="V53">
        <f>VLOOKUP(A53,CL!A$2:G$55,2,0)</f>
        <v>64.180000000000007</v>
      </c>
      <c r="W53">
        <f>VLOOKUP(A53,CMCSA!A$2:G$55,2,0)</f>
        <v>56.9</v>
      </c>
      <c r="X53">
        <f>VLOOKUP(A53,COF!A$2:G$55,2,0)</f>
        <v>81.12</v>
      </c>
      <c r="Y53">
        <f>VLOOKUP(A53,COP!A$2:G$55,2,0)</f>
        <v>79.209999999999994</v>
      </c>
      <c r="Z53">
        <f>VLOOKUP(A53,COST!A$2:G$55,2,0)</f>
        <v>126.25</v>
      </c>
      <c r="AA53">
        <f>VLOOKUP(A53,CSCO!A$2:G$55,2,0)</f>
        <v>25.16</v>
      </c>
      <c r="AB53">
        <f>VLOOKUP(A53,CVS!A$2:G$55,2,0)</f>
        <v>81.36</v>
      </c>
      <c r="AC53">
        <f>VLOOKUP(A53,CVX!A$2:G$55,2,0)</f>
        <v>123.54</v>
      </c>
      <c r="AD53">
        <f>VLOOKUP(A53,DD!A$2:G$55,2,0)</f>
        <v>65.22</v>
      </c>
      <c r="AE53">
        <f>VLOOKUP(A53,DIS!A$2:G$55,2,0)</f>
        <v>90.1</v>
      </c>
      <c r="AF53">
        <f>VLOOKUP(A53,DOW!A$2:G$55,2,0)</f>
        <v>53.04</v>
      </c>
      <c r="AG53">
        <f>VLOOKUP(A53,DVN!A$2:G$55,2,0)</f>
        <v>70.349999999999994</v>
      </c>
      <c r="AH53">
        <f>VLOOKUP(A53,EBAY!A$2:G$55,2,0)</f>
        <v>50.6</v>
      </c>
      <c r="AI53">
        <f>VLOOKUP(A53,EMC!A$2:G$55,2,0)</f>
        <v>29.62</v>
      </c>
      <c r="AJ53">
        <f>VLOOKUP(A53,EMR!A$2:G$55,2,0)</f>
        <v>64.53</v>
      </c>
      <c r="AK53">
        <f>VLOOKUP(A53,EXC!A$2:G$55,2,0)</f>
        <v>33.090000000000003</v>
      </c>
      <c r="AL53">
        <f>VLOOKUP(A53,F!A$2:G$55,2,0)</f>
        <v>16.64</v>
      </c>
      <c r="AM53">
        <f>VLOOKUP(A53,FB!A$2:G$55,2,0)</f>
        <v>78.02</v>
      </c>
      <c r="AN53">
        <f>VLOOKUP(A53,FCX!A$2:G$55,2,0)</f>
        <v>34.39</v>
      </c>
      <c r="AO53">
        <f>VLOOKUP(A53,FDX!A$2:G$55,2,0)</f>
        <v>153.18</v>
      </c>
      <c r="AP53">
        <f>VLOOKUP(A53,FOXA!A$2:G$55,2,0)</f>
        <v>35.340000000000003</v>
      </c>
      <c r="AQ53">
        <f>VLOOKUP(A53,GD!A$2:G$55,2,0)</f>
        <v>126.61</v>
      </c>
      <c r="AR53">
        <f>VLOOKUP(A53,GE!A$2:G$55,2,0)</f>
        <v>25.97</v>
      </c>
      <c r="AS53">
        <f>VLOOKUP(A53,GILD!A$2:G$55,2,0)</f>
        <v>106.17</v>
      </c>
      <c r="AT53">
        <f>VLOOKUP(A53,GM!A$2:G$55,2,0)</f>
        <v>33.479999999999997</v>
      </c>
      <c r="AU53">
        <f>VLOOKUP(A53,GOOG!A$2:G$55,2,0)</f>
        <v>581</v>
      </c>
      <c r="AV53">
        <f>VLOOKUP(A53,GOOGL!A$2:G$55,2,0)</f>
        <v>590.39</v>
      </c>
      <c r="AW53">
        <f>VLOOKUP(A53,GS!A$2:G$55,2,0)</f>
        <v>180.63</v>
      </c>
      <c r="AX53">
        <f>VLOOKUP(A53,HAL!A$2:G$55,2,0)</f>
        <v>66.69</v>
      </c>
      <c r="AY53">
        <f>VLOOKUP(A53,HD!A$2:G$55,2,0)</f>
        <v>89.38</v>
      </c>
      <c r="AZ53">
        <f>VLOOKUP(A53,HON!A$2:G$55,2,0)</f>
        <v>94.76</v>
      </c>
      <c r="BA53">
        <f>VLOOKUP(A53,HPQ!A$2:G$55,2,0)</f>
        <v>36.76</v>
      </c>
      <c r="BB53">
        <f>VLOOKUP(A53,IBM!A$2:G$55,2,0)</f>
        <v>191.47</v>
      </c>
      <c r="BC53">
        <f>VLOOKUP(A53,INTC!A$2:G$55,2,0)</f>
        <v>34.9</v>
      </c>
      <c r="BD53">
        <f>VLOOKUP(A53,JNJ!A$2:G$55,2,0)</f>
        <v>104.54</v>
      </c>
      <c r="BE53">
        <f>VLOOKUP(A53,JPM!A$2:G$55,2,0)</f>
        <v>59.8</v>
      </c>
      <c r="BF53">
        <f>VLOOKUP(A53,KO!A$2:G$55,2,0)</f>
        <v>41.9</v>
      </c>
      <c r="BG53">
        <f>VLOOKUP(A53,LLY!A$2:G$55,2,0)</f>
        <v>65.25</v>
      </c>
      <c r="BH53">
        <f>VLOOKUP(A53,LMT!A$2:G$55,2,0)</f>
        <v>174.17</v>
      </c>
      <c r="BI53">
        <f>VLOOKUP(A53,LOW!A$2:G$55,2,0)</f>
        <v>53.12</v>
      </c>
      <c r="BJ53">
        <f>VLOOKUP(A53,MA!A$2:G$55,2,0)</f>
        <v>75.680000000000007</v>
      </c>
      <c r="BK53">
        <f>VLOOKUP(A53,MCD!A$2:G$55,2,0)</f>
        <v>92.94</v>
      </c>
      <c r="BL53">
        <f>VLOOKUP(A53,MDLZ!A$2:G$55,2,0)</f>
        <v>35.590000000000003</v>
      </c>
      <c r="BM53">
        <f>VLOOKUP(A53,MDT!A$2:G$55,2,0)</f>
        <v>65.41</v>
      </c>
      <c r="BN53">
        <f>VLOOKUP(A53,MET!A$2:G$55,2,0)</f>
        <v>54.88</v>
      </c>
      <c r="BO53">
        <f>VLOOKUP(A53,MMM!A$2:G$55,2,0)</f>
        <v>144.44999999999999</v>
      </c>
      <c r="BP53">
        <f>VLOOKUP(A53,MO!A$2:G$55,2,0)</f>
        <v>43.19</v>
      </c>
      <c r="BQ53">
        <f>VLOOKUP(A53,MON!A$2:G$55,2,0)</f>
        <v>113.42</v>
      </c>
      <c r="BR53">
        <f>VLOOKUP(A53,MRK!A$2:G$55,2,0)</f>
        <v>59.88</v>
      </c>
      <c r="BS53">
        <f>VLOOKUP(A53,MS!A$2:G$55,2,0)</f>
        <v>34.729999999999997</v>
      </c>
      <c r="BT53">
        <f>VLOOKUP(A53,MSFT!A$2:G$55,2,0)</f>
        <v>46.91</v>
      </c>
      <c r="BU53">
        <f>VLOOKUP(A53,NKE!A$2:G$55,2,0)</f>
        <v>81.97</v>
      </c>
      <c r="BV53">
        <f>VLOOKUP(A53,NOV!A$2:G$55,2,0)</f>
        <v>82.15</v>
      </c>
      <c r="BW53">
        <f>VLOOKUP(A53,NSC!A$2:G$55,2,0)</f>
        <v>108.74</v>
      </c>
      <c r="BX53">
        <f>VLOOKUP(A53,ORCL!A$2:G$55,2,0)</f>
        <v>40.74</v>
      </c>
      <c r="BY53">
        <f>VLOOKUP(A53,OXY!A$2:G$55,2,0)</f>
        <v>98</v>
      </c>
      <c r="BZ53">
        <f>VLOOKUP(A53,PEP!A$2:G$55,2,0)</f>
        <v>91.6</v>
      </c>
      <c r="CA53">
        <f>VLOOKUP(A53,PFE!A$2:G$55,2,0)</f>
        <v>29.47</v>
      </c>
      <c r="CB53">
        <f>VLOOKUP(A53,PG!A$2:G$55,2,0)</f>
        <v>83.21</v>
      </c>
      <c r="CC53">
        <f>VLOOKUP(A53,PM!A$2:G$55,2,0)</f>
        <v>84.71</v>
      </c>
      <c r="CD53">
        <f>VLOOKUP(A53,QCOM!A$2:G$55,2,0)</f>
        <v>75.8</v>
      </c>
      <c r="CE53">
        <f>VLOOKUP(A53,RTN!A$2:G$55,2,0)</f>
        <v>100.65</v>
      </c>
      <c r="CF53">
        <f>VLOOKUP(A53,SBUX!A$2:G$55,2,0)</f>
        <v>75.83</v>
      </c>
      <c r="CG53">
        <f>VLOOKUP(A53,SLB!A$2:G$55,2,0)</f>
        <v>103.73</v>
      </c>
      <c r="CH53">
        <f>VLOOKUP(A53,SO!A$2:G$55,2,0)</f>
        <v>43.85</v>
      </c>
      <c r="CI53">
        <f>VLOOKUP(A53,SPG!A$2:G$55,2,0)</f>
        <v>169.49</v>
      </c>
      <c r="CJ53">
        <f>VLOOKUP(A53,T!A$2:G$55,2,0)</f>
        <v>34.83</v>
      </c>
      <c r="CK53">
        <f>VLOOKUP(A53,TGT!A$2:G$55,2,0)</f>
        <v>62.54</v>
      </c>
      <c r="CL53">
        <f>VLOOKUP(A53,TWX!A$2:G$55,2,0)</f>
        <v>76.73</v>
      </c>
      <c r="CM53">
        <f>VLOOKUP(A53,TXN!A$2:G$55,2,0)</f>
        <v>47.93</v>
      </c>
      <c r="CN53">
        <f>VLOOKUP(A53,UNH!A$2:G$55,2,0)</f>
        <v>87.24</v>
      </c>
      <c r="CO53">
        <f>VLOOKUP(A53,UNP!A$2:G$55,2,0)</f>
        <v>107.02</v>
      </c>
      <c r="CP53">
        <f>VLOOKUP(A53,UPS!A$2:G$55,2,0)</f>
        <v>98.1</v>
      </c>
      <c r="CQ53">
        <f>VLOOKUP(A53,USB!A$2:G$55,2,0)</f>
        <v>42.02</v>
      </c>
      <c r="CR53">
        <f>VLOOKUP(A53,UTX!A$2:G$55,2,0)</f>
        <v>108.21</v>
      </c>
      <c r="CS53">
        <f>VLOOKUP(A53,V!A$2:G$55,2,0)</f>
        <v>214.88</v>
      </c>
      <c r="CT53">
        <f>VLOOKUP(A53,VZ!A$2:G$55,2,0)</f>
        <v>49</v>
      </c>
      <c r="CU53">
        <f>VLOOKUP(A53,WAG!A$2:G$55,2,0)</f>
        <v>63.46</v>
      </c>
      <c r="CV53">
        <f>VLOOKUP(A53,WFC!A$2:G$55,2,0)</f>
        <v>51.67</v>
      </c>
      <c r="CW53">
        <f>VLOOKUP(A53,WMT!A$2:G$55,2,0)</f>
        <v>75.97</v>
      </c>
    </row>
    <row r="54" spans="1:101" x14ac:dyDescent="0.25">
      <c r="A54" s="34">
        <v>41897</v>
      </c>
      <c r="B54" s="36">
        <v>102.81</v>
      </c>
      <c r="C54">
        <f>VLOOKUP(A54,ABBV!A$2:G$55,2,0)</f>
        <v>57.75</v>
      </c>
      <c r="D54">
        <f>VLOOKUP(A54,ABT!A$2:G$55,2,0)</f>
        <v>42.61</v>
      </c>
      <c r="E54">
        <f>VLOOKUP(A54,ACN!A$2:G$55,2,0)</f>
        <v>80.989999999999995</v>
      </c>
      <c r="F54">
        <f>VLOOKUP(A54,AIG!A$2:G$55,2,0)</f>
        <v>55.11</v>
      </c>
      <c r="G54">
        <f>VLOOKUP(A54,ALL!A$2:G$55,2,0)</f>
        <v>61.15</v>
      </c>
      <c r="H54">
        <f>VLOOKUP(A54,AMGN!A$2:G$55,2,0)</f>
        <v>137.57</v>
      </c>
      <c r="I54">
        <f>VLOOKUP(A54,AMZN!A$2:G$55,2,0)</f>
        <v>330.91</v>
      </c>
      <c r="J54">
        <f>VLOOKUP(A54,APA!A$2:G$55,2,0)</f>
        <v>95.92</v>
      </c>
      <c r="K54">
        <f>VLOOKUP(A54,APC!A$2:G$55,2,0)</f>
        <v>105.28</v>
      </c>
      <c r="L54">
        <f>VLOOKUP(A54,AXP!A$2:G$55,2,0)</f>
        <v>88.35</v>
      </c>
      <c r="M54">
        <f>VLOOKUP(A54,BA!A$2:G$55,2,0)</f>
        <v>126.92</v>
      </c>
      <c r="N54">
        <f>VLOOKUP(A54,BAC!A$2:G$55,2,0)</f>
        <v>16.8</v>
      </c>
      <c r="O54">
        <f>VLOOKUP(A54,BAX!A$2:G$55,2,0)</f>
        <v>74.739999999999995</v>
      </c>
      <c r="P54">
        <f>VLOOKUP(A54,BIIB!A$2:G$55,2,0)</f>
        <v>323.39999999999998</v>
      </c>
      <c r="Q54">
        <f>VLOOKUP(A54,BK!A$2:G$55,2,0)</f>
        <v>39.590000000000003</v>
      </c>
      <c r="R54">
        <f>VLOOKUP(A54,BMY!A$2:G$55,2,0)</f>
        <v>50.19</v>
      </c>
      <c r="T54">
        <f>VLOOKUP(A54,'C'!A$2:G$55,2,0)</f>
        <v>52.37</v>
      </c>
      <c r="U54">
        <f>VLOOKUP(A54,CAT!A$2:G$55,2,0)</f>
        <v>104.32</v>
      </c>
      <c r="V54">
        <f>VLOOKUP(A54,CL!A$2:G$55,2,0)</f>
        <v>64.22</v>
      </c>
      <c r="W54">
        <f>VLOOKUP(A54,CMCSA!A$2:G$55,2,0)</f>
        <v>57.16</v>
      </c>
      <c r="X54">
        <f>VLOOKUP(A54,COF!A$2:G$55,2,0)</f>
        <v>81.12</v>
      </c>
      <c r="Y54">
        <f>VLOOKUP(A54,COP!A$2:G$55,2,0)</f>
        <v>78.239999999999995</v>
      </c>
      <c r="Z54">
        <f>VLOOKUP(A54,COST!A$2:G$55,2,0)</f>
        <v>125.57</v>
      </c>
      <c r="AA54">
        <f>VLOOKUP(A54,CSCO!A$2:G$55,2,0)</f>
        <v>24.95</v>
      </c>
      <c r="AB54">
        <f>VLOOKUP(A54,CVS!A$2:G$55,2,0)</f>
        <v>81.05</v>
      </c>
      <c r="AC54">
        <f>VLOOKUP(A54,CVX!A$2:G$55,2,0)</f>
        <v>122.35</v>
      </c>
      <c r="AD54">
        <f>VLOOKUP(A54,DD!A$2:G$55,2,0)</f>
        <v>64.959999999999994</v>
      </c>
      <c r="AE54">
        <f>VLOOKUP(A54,DIS!A$2:G$55,2,0)</f>
        <v>89.74</v>
      </c>
      <c r="AF54">
        <f>VLOOKUP(A54,DOW!A$2:G$55,2,0)</f>
        <v>52.7</v>
      </c>
      <c r="AG54">
        <f>VLOOKUP(A54,DVN!A$2:G$55,2,0)</f>
        <v>69.92</v>
      </c>
      <c r="AH54">
        <f>VLOOKUP(A54,EBAY!A$2:G$55,2,0)</f>
        <v>52.22</v>
      </c>
      <c r="AI54">
        <f>VLOOKUP(A54,EMC!A$2:G$55,2,0)</f>
        <v>29.67</v>
      </c>
      <c r="AJ54">
        <f>VLOOKUP(A54,EMR!A$2:G$55,2,0)</f>
        <v>64.31</v>
      </c>
      <c r="AK54">
        <f>VLOOKUP(A54,EXC!A$2:G$55,2,0)</f>
        <v>32.9</v>
      </c>
      <c r="AL54">
        <f>VLOOKUP(A54,F!A$2:G$55,2,0)</f>
        <v>16.559999999999999</v>
      </c>
      <c r="AM54">
        <f>VLOOKUP(A54,FB!A$2:G$55,2,0)</f>
        <v>77.150000000000006</v>
      </c>
      <c r="AN54">
        <f>VLOOKUP(A54,FCX!A$2:G$55,2,0)</f>
        <v>34.24</v>
      </c>
      <c r="AO54">
        <f>VLOOKUP(A54,FDX!A$2:G$55,2,0)</f>
        <v>154</v>
      </c>
      <c r="AP54">
        <f>VLOOKUP(A54,FOXA!A$2:G$55,2,0)</f>
        <v>34.950000000000003</v>
      </c>
      <c r="AQ54">
        <f>VLOOKUP(A54,GD!A$2:G$55,2,0)</f>
        <v>126.34</v>
      </c>
      <c r="AR54">
        <f>VLOOKUP(A54,GE!A$2:G$55,2,0)</f>
        <v>25.83</v>
      </c>
      <c r="AS54">
        <f>VLOOKUP(A54,GILD!A$2:G$55,2,0)</f>
        <v>101.9</v>
      </c>
      <c r="AT54">
        <f>VLOOKUP(A54,GM!A$2:G$55,2,0)</f>
        <v>33.159999999999997</v>
      </c>
      <c r="AU54">
        <f>VLOOKUP(A54,GOOG!A$2:G$55,2,0)</f>
        <v>572.94000000000005</v>
      </c>
      <c r="AV54">
        <f>VLOOKUP(A54,GOOGL!A$2:G$55,2,0)</f>
        <v>582.24</v>
      </c>
      <c r="AW54">
        <f>VLOOKUP(A54,GS!A$2:G$55,2,0)</f>
        <v>182.91</v>
      </c>
      <c r="AX54">
        <f>VLOOKUP(A54,HAL!A$2:G$55,2,0)</f>
        <v>65.650000000000006</v>
      </c>
      <c r="AY54">
        <f>VLOOKUP(A54,HD!A$2:G$55,2,0)</f>
        <v>89.18</v>
      </c>
      <c r="AZ54">
        <f>VLOOKUP(A54,HON!A$2:G$55,2,0)</f>
        <v>94.31</v>
      </c>
      <c r="BA54">
        <f>VLOOKUP(A54,HPQ!A$2:G$55,2,0)</f>
        <v>36.54</v>
      </c>
      <c r="BB54">
        <f>VLOOKUP(A54,IBM!A$2:G$55,2,0)</f>
        <v>191.42</v>
      </c>
      <c r="BC54">
        <f>VLOOKUP(A54,INTC!A$2:G$55,2,0)</f>
        <v>34.71</v>
      </c>
      <c r="BD54">
        <f>VLOOKUP(A54,JNJ!A$2:G$55,2,0)</f>
        <v>104.59</v>
      </c>
      <c r="BE54">
        <f>VLOOKUP(A54,JPM!A$2:G$55,2,0)</f>
        <v>59.78</v>
      </c>
      <c r="BF54">
        <f>VLOOKUP(A54,KO!A$2:G$55,2,0)</f>
        <v>41.45</v>
      </c>
      <c r="BG54">
        <f>VLOOKUP(A54,LLY!A$2:G$55,2,0)</f>
        <v>65.14</v>
      </c>
      <c r="BH54">
        <f>VLOOKUP(A54,LMT!A$2:G$55,2,0)</f>
        <v>174.42</v>
      </c>
      <c r="BI54">
        <f>VLOOKUP(A54,LOW!A$2:G$55,2,0)</f>
        <v>52.95</v>
      </c>
      <c r="BJ54">
        <f>VLOOKUP(A54,MA!A$2:G$55,2,0)</f>
        <v>75.19</v>
      </c>
      <c r="BK54">
        <f>VLOOKUP(A54,MCD!A$2:G$55,2,0)</f>
        <v>93.26</v>
      </c>
      <c r="BL54">
        <f>VLOOKUP(A54,MDLZ!A$2:G$55,2,0)</f>
        <v>35.29</v>
      </c>
      <c r="BM54">
        <f>VLOOKUP(A54,MDT!A$2:G$55,2,0)</f>
        <v>65.25</v>
      </c>
      <c r="BN54">
        <f>VLOOKUP(A54,MET!A$2:G$55,2,0)</f>
        <v>55.45</v>
      </c>
      <c r="BO54">
        <f>VLOOKUP(A54,MMM!A$2:G$55,2,0)</f>
        <v>144.16999999999999</v>
      </c>
      <c r="BP54">
        <f>VLOOKUP(A54,MO!A$2:G$55,2,0)</f>
        <v>43.6</v>
      </c>
      <c r="BQ54">
        <f>VLOOKUP(A54,MON!A$2:G$55,2,0)</f>
        <v>113.13</v>
      </c>
      <c r="BR54">
        <f>VLOOKUP(A54,MRK!A$2:G$55,2,0)</f>
        <v>59.65</v>
      </c>
      <c r="BS54">
        <f>VLOOKUP(A54,MS!A$2:G$55,2,0)</f>
        <v>34.97</v>
      </c>
      <c r="BT54">
        <f>VLOOKUP(A54,MSFT!A$2:G$55,2,0)</f>
        <v>46.54</v>
      </c>
      <c r="BU54">
        <f>VLOOKUP(A54,NKE!A$2:G$55,2,0)</f>
        <v>82.1</v>
      </c>
      <c r="BV54">
        <f>VLOOKUP(A54,NOV!A$2:G$55,2,0)</f>
        <v>80.78</v>
      </c>
      <c r="BW54">
        <f>VLOOKUP(A54,NSC!A$2:G$55,2,0)</f>
        <v>108.07</v>
      </c>
      <c r="BX54">
        <f>VLOOKUP(A54,ORCL!A$2:G$55,2,0)</f>
        <v>40.5</v>
      </c>
      <c r="BY54">
        <f>VLOOKUP(A54,OXY!A$2:G$55,2,0)</f>
        <v>97.1</v>
      </c>
      <c r="BZ54">
        <f>VLOOKUP(A54,PEP!A$2:G$55,2,0)</f>
        <v>91.07</v>
      </c>
      <c r="CA54">
        <f>VLOOKUP(A54,PFE!A$2:G$55,2,0)</f>
        <v>29.44</v>
      </c>
      <c r="CB54">
        <f>VLOOKUP(A54,PG!A$2:G$55,2,0)</f>
        <v>83.18</v>
      </c>
      <c r="CC54">
        <f>VLOOKUP(A54,PM!A$2:G$55,2,0)</f>
        <v>84.29</v>
      </c>
      <c r="CD54">
        <f>VLOOKUP(A54,QCOM!A$2:G$55,2,0)</f>
        <v>75.5</v>
      </c>
      <c r="CE54">
        <f>VLOOKUP(A54,RTN!A$2:G$55,2,0)</f>
        <v>100.96</v>
      </c>
      <c r="CF54">
        <f>VLOOKUP(A54,SBUX!A$2:G$55,2,0)</f>
        <v>75.260000000000005</v>
      </c>
      <c r="CG54">
        <f>VLOOKUP(A54,SLB!A$2:G$55,2,0)</f>
        <v>102.03</v>
      </c>
      <c r="CH54">
        <f>VLOOKUP(A54,SO!A$2:G$55,2,0)</f>
        <v>43.42</v>
      </c>
      <c r="CI54">
        <f>VLOOKUP(A54,SPG!A$2:G$55,2,0)</f>
        <v>165.52</v>
      </c>
      <c r="CJ54">
        <f>VLOOKUP(A54,T!A$2:G$55,2,0)</f>
        <v>34.61</v>
      </c>
      <c r="CK54">
        <f>VLOOKUP(A54,TGT!A$2:G$55,2,0)</f>
        <v>62.43</v>
      </c>
      <c r="CL54">
        <f>VLOOKUP(A54,TWX!A$2:G$55,2,0)</f>
        <v>76.63</v>
      </c>
      <c r="CM54">
        <f>VLOOKUP(A54,TXN!A$2:G$55,2,0)</f>
        <v>47.11</v>
      </c>
      <c r="CN54">
        <f>VLOOKUP(A54,UNH!A$2:G$55,2,0)</f>
        <v>86.3</v>
      </c>
      <c r="CO54">
        <f>VLOOKUP(A54,UNP!A$2:G$55,2,0)</f>
        <v>107.09</v>
      </c>
      <c r="CP54">
        <f>VLOOKUP(A54,UPS!A$2:G$55,2,0)</f>
        <v>98.03</v>
      </c>
      <c r="CQ54">
        <f>VLOOKUP(A54,USB!A$2:G$55,2,0)</f>
        <v>42.15</v>
      </c>
      <c r="CR54">
        <f>VLOOKUP(A54,UTX!A$2:G$55,2,0)</f>
        <v>108.28</v>
      </c>
      <c r="CS54">
        <f>VLOOKUP(A54,V!A$2:G$55,2,0)</f>
        <v>213.85</v>
      </c>
      <c r="CT54">
        <f>VLOOKUP(A54,VZ!A$2:G$55,2,0)</f>
        <v>48.49</v>
      </c>
      <c r="CU54">
        <f>VLOOKUP(A54,WAG!A$2:G$55,2,0)</f>
        <v>63.07</v>
      </c>
      <c r="CV54">
        <f>VLOOKUP(A54,WFC!A$2:G$55,2,0)</f>
        <v>51.73</v>
      </c>
      <c r="CW54">
        <f>VLOOKUP(A54,WMT!A$2:G$55,2,0)</f>
        <v>75.78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54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35</v>
      </c>
      <c r="C1" t="s">
        <v>222</v>
      </c>
      <c r="D1" t="s">
        <v>41</v>
      </c>
      <c r="E1" t="s">
        <v>42</v>
      </c>
      <c r="F1" t="s">
        <v>223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219</v>
      </c>
      <c r="Q1" t="s">
        <v>52</v>
      </c>
      <c r="R1" t="s">
        <v>53</v>
      </c>
      <c r="S1" t="s">
        <v>142</v>
      </c>
      <c r="T1" t="s">
        <v>34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224</v>
      </c>
      <c r="AN1" t="s">
        <v>72</v>
      </c>
      <c r="AO1" t="s">
        <v>73</v>
      </c>
      <c r="AP1" t="s">
        <v>225</v>
      </c>
      <c r="AQ1" t="s">
        <v>74</v>
      </c>
      <c r="AR1" t="s">
        <v>75</v>
      </c>
      <c r="AS1" t="s">
        <v>76</v>
      </c>
      <c r="AT1" t="s">
        <v>226</v>
      </c>
      <c r="AU1" t="s">
        <v>77</v>
      </c>
      <c r="AV1" t="s">
        <v>227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83</v>
      </c>
      <c r="BC1" t="s">
        <v>84</v>
      </c>
      <c r="BD1" t="s">
        <v>85</v>
      </c>
      <c r="BE1" t="s">
        <v>86</v>
      </c>
      <c r="BF1" t="s">
        <v>87</v>
      </c>
      <c r="BG1" t="s">
        <v>88</v>
      </c>
      <c r="BH1" t="s">
        <v>89</v>
      </c>
      <c r="BI1" t="s">
        <v>90</v>
      </c>
      <c r="BJ1" t="s">
        <v>91</v>
      </c>
      <c r="BK1" t="s">
        <v>92</v>
      </c>
      <c r="BL1" t="s">
        <v>93</v>
      </c>
      <c r="BM1" t="s">
        <v>94</v>
      </c>
      <c r="BN1" t="s">
        <v>95</v>
      </c>
      <c r="BO1" t="s">
        <v>96</v>
      </c>
      <c r="BP1" t="s">
        <v>97</v>
      </c>
      <c r="BQ1" t="s">
        <v>98</v>
      </c>
      <c r="BR1" t="s">
        <v>99</v>
      </c>
      <c r="BS1" t="s">
        <v>100</v>
      </c>
      <c r="BT1" t="s">
        <v>26</v>
      </c>
      <c r="BU1" t="s">
        <v>101</v>
      </c>
      <c r="BV1" t="s">
        <v>102</v>
      </c>
      <c r="BW1" t="s">
        <v>103</v>
      </c>
      <c r="BX1" t="s">
        <v>104</v>
      </c>
      <c r="BY1" t="s">
        <v>105</v>
      </c>
      <c r="BZ1" t="s">
        <v>106</v>
      </c>
      <c r="CA1" t="s">
        <v>107</v>
      </c>
      <c r="CB1" t="s">
        <v>108</v>
      </c>
      <c r="CC1" t="s">
        <v>109</v>
      </c>
      <c r="CD1" t="s">
        <v>110</v>
      </c>
      <c r="CE1" t="s">
        <v>111</v>
      </c>
      <c r="CF1" t="s">
        <v>112</v>
      </c>
      <c r="CG1" t="s">
        <v>113</v>
      </c>
      <c r="CH1" t="s">
        <v>114</v>
      </c>
      <c r="CI1" t="s">
        <v>115</v>
      </c>
      <c r="CJ1" t="s">
        <v>116</v>
      </c>
      <c r="CK1" t="s">
        <v>117</v>
      </c>
      <c r="CL1" t="s">
        <v>118</v>
      </c>
      <c r="CM1" t="s">
        <v>119</v>
      </c>
      <c r="CN1" t="s">
        <v>120</v>
      </c>
      <c r="CO1" t="s">
        <v>121</v>
      </c>
      <c r="CP1" t="s">
        <v>122</v>
      </c>
      <c r="CQ1" t="s">
        <v>123</v>
      </c>
      <c r="CR1" t="s">
        <v>124</v>
      </c>
      <c r="CS1" t="s">
        <v>125</v>
      </c>
      <c r="CT1" t="s">
        <v>126</v>
      </c>
      <c r="CU1" t="s">
        <v>127</v>
      </c>
      <c r="CV1" t="s">
        <v>128</v>
      </c>
      <c r="CW1" t="s">
        <v>22</v>
      </c>
    </row>
    <row r="2" spans="1:101" x14ac:dyDescent="0.25">
      <c r="A2" s="34">
        <v>41821</v>
      </c>
      <c r="B2" s="36">
        <v>94.07</v>
      </c>
      <c r="C2">
        <f>VLOOKUP(A2,ABBV!A$2:G$55,3,0)</f>
        <v>57.2</v>
      </c>
      <c r="D2">
        <f>VLOOKUP(A2,ABT!A$2:G$55,3,0)</f>
        <v>41.3</v>
      </c>
      <c r="E2">
        <f>VLOOKUP(A2,ACN!A$2:G$55,3,0)</f>
        <v>81.62</v>
      </c>
      <c r="F2">
        <f>VLOOKUP(A2,AIG!A$2:G$55,3,0)</f>
        <v>55.71</v>
      </c>
      <c r="G2">
        <f>VLOOKUP(A2,ALL!A$2:G$55,3,0)</f>
        <v>59.29</v>
      </c>
      <c r="H2">
        <f>VLOOKUP(A2,AMGN!A$2:G$55,3,0)</f>
        <v>120.5</v>
      </c>
      <c r="I2">
        <f>VLOOKUP(A2,AMZN!A$2:G$55,3,0)</f>
        <v>333.2</v>
      </c>
      <c r="J2">
        <f>VLOOKUP(A2,APA!A$2:G$55,3,0)</f>
        <v>101.44</v>
      </c>
      <c r="K2">
        <f>VLOOKUP(A2,APC!A$2:G$55,3,0)</f>
        <v>110.72</v>
      </c>
      <c r="L2">
        <f>VLOOKUP(A2,AXP!A$2:G$55,3,0)</f>
        <v>96.24</v>
      </c>
      <c r="M2">
        <f>VLOOKUP(A2,BA!A$2:G$55,3,0)</f>
        <v>128.33000000000001</v>
      </c>
      <c r="N2">
        <f>VLOOKUP(A2,BAC!A$2:G$55,3,0)</f>
        <v>15.65</v>
      </c>
      <c r="O2">
        <f>VLOOKUP(A2,BAX!A$2:G$55,3,0)</f>
        <v>73.989999999999995</v>
      </c>
      <c r="P2">
        <f>VLOOKUP(A2,BIIB!A$2:G$55,3,0)</f>
        <v>326.23</v>
      </c>
      <c r="Q2">
        <f>VLOOKUP(A2,BK!A$2:G$55,3,0)</f>
        <v>38.31</v>
      </c>
      <c r="R2">
        <f>VLOOKUP(A2,BMY!A$2:G$55,3,0)</f>
        <v>48.52</v>
      </c>
      <c r="T2">
        <f>VLOOKUP(A2,'C'!A$2:G$55,3,0)</f>
        <v>47.9</v>
      </c>
      <c r="U2">
        <f>VLOOKUP(A2,CAT!A$2:G$55,3,0)</f>
        <v>109.75</v>
      </c>
      <c r="V2">
        <f>VLOOKUP(A2,CL!A$2:G$55,3,0)</f>
        <v>68.599999999999994</v>
      </c>
      <c r="W2">
        <f>VLOOKUP(A2,CMCSA!A$2:G$55,3,0)</f>
        <v>54.34</v>
      </c>
      <c r="X2">
        <f>VLOOKUP(A2,COF!A$2:G$55,3,0)</f>
        <v>83.53</v>
      </c>
      <c r="Y2">
        <f>VLOOKUP(A2,COP!A$2:G$55,3,0)</f>
        <v>86.39</v>
      </c>
      <c r="Z2">
        <f>VLOOKUP(A2,COST!A$2:G$55,3,0)</f>
        <v>115.7</v>
      </c>
      <c r="AA2">
        <f>VLOOKUP(A2,CSCO!A$2:G$55,3,0)</f>
        <v>25.11</v>
      </c>
      <c r="AB2">
        <f>VLOOKUP(A2,CVS!A$2:G$55,3,0)</f>
        <v>76.33</v>
      </c>
      <c r="AC2">
        <f>VLOOKUP(A2,CVX!A$2:G$55,3,0)</f>
        <v>131.41999999999999</v>
      </c>
      <c r="AD2">
        <f>VLOOKUP(A2,DD!A$2:G$55,3,0)</f>
        <v>65.75</v>
      </c>
      <c r="AE2">
        <f>VLOOKUP(A2,DIS!A$2:G$55,3,0)</f>
        <v>86.87</v>
      </c>
      <c r="AF2">
        <f>VLOOKUP(A2,DOW!A$2:G$55,3,0)</f>
        <v>51.73</v>
      </c>
      <c r="AG2">
        <f>VLOOKUP(A2,DVN!A$2:G$55,3,0)</f>
        <v>80.010000000000005</v>
      </c>
      <c r="AH2">
        <f>VLOOKUP(A2,EBAY!A$2:G$55,3,0)</f>
        <v>50.67</v>
      </c>
      <c r="AI2">
        <f>VLOOKUP(A2,EMC!A$2:G$55,3,0)</f>
        <v>26.76</v>
      </c>
      <c r="AJ2">
        <f>VLOOKUP(A2,EMR!A$2:G$55,3,0)</f>
        <v>66.95</v>
      </c>
      <c r="AK2">
        <f>VLOOKUP(A2,EXC!A$2:G$55,3,0)</f>
        <v>36.26</v>
      </c>
      <c r="AL2">
        <f>VLOOKUP(A2,F!A$2:G$55,3,0)</f>
        <v>17.399999999999999</v>
      </c>
      <c r="AM2">
        <f>VLOOKUP(A2,FB!A$2:G$55,3,0)</f>
        <v>68.44</v>
      </c>
      <c r="AN2">
        <f>VLOOKUP(A2,FCX!A$2:G$55,3,0)</f>
        <v>37.32</v>
      </c>
      <c r="AO2">
        <f>VLOOKUP(A2,FDX!A$2:G$55,3,0)</f>
        <v>152.84</v>
      </c>
      <c r="AP2">
        <f>VLOOKUP(A2,FOXA!A$2:G$55,3,0)</f>
        <v>35.450000000000003</v>
      </c>
      <c r="AQ2">
        <f>VLOOKUP(A2,GD!A$2:G$55,3,0)</f>
        <v>117.07</v>
      </c>
      <c r="AR2">
        <f>VLOOKUP(A2,GE!A$2:G$55,3,0)</f>
        <v>26.5</v>
      </c>
      <c r="AS2">
        <f>VLOOKUP(A2,GILD!A$2:G$55,3,0)</f>
        <v>85.49</v>
      </c>
      <c r="AT2">
        <f>VLOOKUP(A2,GM!A$2:G$55,3,0)</f>
        <v>37.64</v>
      </c>
      <c r="AU2">
        <f>VLOOKUP(A2,GOOG!A$2:G$55,3,0)</f>
        <v>584.4</v>
      </c>
      <c r="AV2">
        <f>VLOOKUP(A2,GOOGL!A$2:G$55,3,0)</f>
        <v>593.66</v>
      </c>
      <c r="AW2">
        <f>VLOOKUP(A2,GS!A$2:G$55,3,0)</f>
        <v>168.27</v>
      </c>
      <c r="AX2">
        <f>VLOOKUP(A2,HAL!A$2:G$55,3,0)</f>
        <v>71.459999999999994</v>
      </c>
      <c r="AY2">
        <f>VLOOKUP(A2,HD!A$2:G$55,3,0)</f>
        <v>81.97</v>
      </c>
      <c r="AZ2">
        <f>VLOOKUP(A2,HON!A$2:G$55,3,0)</f>
        <v>94.82</v>
      </c>
      <c r="BA2">
        <f>VLOOKUP(A2,HPQ!A$2:G$55,3,0)</f>
        <v>34.42</v>
      </c>
      <c r="BB2">
        <f>VLOOKUP(A2,IBM!A$2:G$55,3,0)</f>
        <v>187.27</v>
      </c>
      <c r="BC2">
        <f>VLOOKUP(A2,INTC!A$2:G$55,3,0)</f>
        <v>31.09</v>
      </c>
      <c r="BD2">
        <f>VLOOKUP(A2,JNJ!A$2:G$55,3,0)</f>
        <v>106</v>
      </c>
      <c r="BE2">
        <f>VLOOKUP(A2,JPM!A$2:G$55,3,0)</f>
        <v>57.99</v>
      </c>
      <c r="BF2">
        <f>VLOOKUP(A2,KO!A$2:G$55,3,0)</f>
        <v>42.45</v>
      </c>
      <c r="BG2">
        <f>VLOOKUP(A2,LLY!A$2:G$55,3,0)</f>
        <v>62.85</v>
      </c>
      <c r="BH2">
        <f>VLOOKUP(A2,LMT!A$2:G$55,3,0)</f>
        <v>161.77000000000001</v>
      </c>
      <c r="BI2">
        <f>VLOOKUP(A2,LOW!A$2:G$55,3,0)</f>
        <v>48.42</v>
      </c>
      <c r="BJ2">
        <f>VLOOKUP(A2,MA!A$2:G$55,3,0)</f>
        <v>75.91</v>
      </c>
      <c r="BK2">
        <f>VLOOKUP(A2,MCD!A$2:G$55,3,0)</f>
        <v>101.36</v>
      </c>
      <c r="BL2">
        <f>VLOOKUP(A2,MDLZ!A$2:G$55,3,0)</f>
        <v>38.07</v>
      </c>
      <c r="BM2">
        <f>VLOOKUP(A2,MDT!A$2:G$55,3,0)</f>
        <v>64.069999999999993</v>
      </c>
      <c r="BN2">
        <f>VLOOKUP(A2,MET!A$2:G$55,3,0)</f>
        <v>56.63</v>
      </c>
      <c r="BO2">
        <f>VLOOKUP(A2,MMM!A$2:G$55,3,0)</f>
        <v>144.82</v>
      </c>
      <c r="BP2">
        <f>VLOOKUP(A2,MO!A$2:G$55,3,0)</f>
        <v>42</v>
      </c>
      <c r="BQ2">
        <f>VLOOKUP(A2,MON!A$2:G$55,3,0)</f>
        <v>125.07</v>
      </c>
      <c r="BR2">
        <f>VLOOKUP(A2,MRK!A$2:G$55,3,0)</f>
        <v>58.64</v>
      </c>
      <c r="BS2">
        <f>VLOOKUP(A2,MS!A$2:G$55,3,0)</f>
        <v>32.590000000000003</v>
      </c>
      <c r="BT2">
        <f>VLOOKUP(A2,MSFT!A$2:G$55,3,0)</f>
        <v>42.15</v>
      </c>
      <c r="BU2">
        <f>VLOOKUP(A2,NKE!A$2:G$55,3,0)</f>
        <v>78.540000000000006</v>
      </c>
      <c r="BV2">
        <f>VLOOKUP(A2,NOV!A$2:G$55,3,0)</f>
        <v>82.77</v>
      </c>
      <c r="BW2">
        <f>VLOOKUP(A2,NSC!A$2:G$55,3,0)</f>
        <v>103.75</v>
      </c>
      <c r="BX2">
        <f>VLOOKUP(A2,ORCL!A$2:G$55,3,0)</f>
        <v>40.909999999999997</v>
      </c>
      <c r="BY2">
        <f>VLOOKUP(A2,OXY!A$2:G$55,3,0)</f>
        <v>104.04</v>
      </c>
      <c r="BZ2">
        <f>VLOOKUP(A2,PEP!A$2:G$55,3,0)</f>
        <v>89.28</v>
      </c>
      <c r="CA2">
        <f>VLOOKUP(A2,PFE!A$2:G$55,3,0)</f>
        <v>30.22</v>
      </c>
      <c r="CB2">
        <f>VLOOKUP(A2,PG!A$2:G$55,3,0)</f>
        <v>79.41</v>
      </c>
      <c r="CC2">
        <f>VLOOKUP(A2,PM!A$2:G$55,3,0)</f>
        <v>84.54</v>
      </c>
      <c r="CD2">
        <f>VLOOKUP(A2,QCOM!A$2:G$55,3,0)</f>
        <v>79.819999999999993</v>
      </c>
      <c r="CE2">
        <f>VLOOKUP(A2,RTN!A$2:G$55,3,0)</f>
        <v>93.63</v>
      </c>
      <c r="CF2">
        <f>VLOOKUP(A2,SBUX!A$2:G$55,3,0)</f>
        <v>78.2</v>
      </c>
      <c r="CG2">
        <f>VLOOKUP(A2,SLB!A$2:G$55,3,0)</f>
        <v>118.76</v>
      </c>
      <c r="CH2">
        <f>VLOOKUP(A2,SO!A$2:G$55,3,0)</f>
        <v>45.37</v>
      </c>
      <c r="CI2">
        <f>VLOOKUP(A2,SPG!A$2:G$55,3,0)</f>
        <v>167.51</v>
      </c>
      <c r="CJ2">
        <f>VLOOKUP(A2,T!A$2:G$55,3,0)</f>
        <v>35.53</v>
      </c>
      <c r="CK2">
        <f>VLOOKUP(A2,TGT!A$2:G$55,3,0)</f>
        <v>58.45</v>
      </c>
      <c r="CL2">
        <f>VLOOKUP(A2,TWX!A$2:G$55,3,0)</f>
        <v>71.099999999999994</v>
      </c>
      <c r="CM2">
        <f>VLOOKUP(A2,TXN!A$2:G$55,3,0)</f>
        <v>48.73</v>
      </c>
      <c r="CN2">
        <f>VLOOKUP(A2,UNH!A$2:G$55,3,0)</f>
        <v>82.35</v>
      </c>
      <c r="CO2">
        <f>VLOOKUP(A2,UNP!A$2:G$55,3,0)</f>
        <v>100.68</v>
      </c>
      <c r="CP2">
        <f>VLOOKUP(A2,UPS!A$2:G$55,3,0)</f>
        <v>103.5</v>
      </c>
      <c r="CQ2">
        <f>VLOOKUP(A2,USB!A$2:G$55,3,0)</f>
        <v>43.66</v>
      </c>
      <c r="CR2">
        <f>VLOOKUP(A2,UTX!A$2:G$55,3,0)</f>
        <v>116.47</v>
      </c>
      <c r="CS2">
        <f>VLOOKUP(A2,V!A$2:G$55,3,0)</f>
        <v>215.35</v>
      </c>
      <c r="CT2">
        <f>VLOOKUP(A2,VZ!A$2:G$55,3,0)</f>
        <v>49.55</v>
      </c>
      <c r="CU2">
        <f>VLOOKUP(A2,WAG!A$2:G$55,3,0)</f>
        <v>74.33</v>
      </c>
      <c r="CV2">
        <f>VLOOKUP(A2,WFC!A$2:G$55,3,0)</f>
        <v>52.95</v>
      </c>
      <c r="CW2">
        <f>VLOOKUP(A2,WMT!A$2:G$55,3,0)</f>
        <v>75.42</v>
      </c>
    </row>
    <row r="3" spans="1:101" x14ac:dyDescent="0.25">
      <c r="A3" s="34">
        <v>41822</v>
      </c>
      <c r="B3" s="36">
        <v>94.06</v>
      </c>
      <c r="C3">
        <f>VLOOKUP(A3,ABBV!A$2:G$55,3,0)</f>
        <v>58.11</v>
      </c>
      <c r="D3">
        <f>VLOOKUP(A3,ABT!A$2:G$55,3,0)</f>
        <v>41.85</v>
      </c>
      <c r="E3">
        <f>VLOOKUP(A3,ACN!A$2:G$55,3,0)</f>
        <v>81.489999999999995</v>
      </c>
      <c r="F3">
        <f>VLOOKUP(A3,AIG!A$2:G$55,3,0)</f>
        <v>55.63</v>
      </c>
      <c r="G3">
        <f>VLOOKUP(A3,ALL!A$2:G$55,3,0)</f>
        <v>59.49</v>
      </c>
      <c r="H3">
        <f>VLOOKUP(A3,AMGN!A$2:G$55,3,0)</f>
        <v>121.22</v>
      </c>
      <c r="I3">
        <f>VLOOKUP(A3,AMZN!A$2:G$55,3,0)</f>
        <v>336.76</v>
      </c>
      <c r="J3">
        <f>VLOOKUP(A3,APA!A$2:G$55,3,0)</f>
        <v>100.5</v>
      </c>
      <c r="K3">
        <f>VLOOKUP(A3,APC!A$2:G$55,3,0)</f>
        <v>109.75</v>
      </c>
      <c r="L3">
        <f>VLOOKUP(A3,AXP!A$2:G$55,3,0)</f>
        <v>95.78</v>
      </c>
      <c r="M3">
        <f>VLOOKUP(A3,BA!A$2:G$55,3,0)</f>
        <v>128.5</v>
      </c>
      <c r="N3">
        <f>VLOOKUP(A3,BAC!A$2:G$55,3,0)</f>
        <v>16.03</v>
      </c>
      <c r="O3">
        <f>VLOOKUP(A3,BAX!A$2:G$55,3,0)</f>
        <v>75</v>
      </c>
      <c r="P3">
        <f>VLOOKUP(A3,BIIB!A$2:G$55,3,0)</f>
        <v>332.78</v>
      </c>
      <c r="Q3">
        <f>VLOOKUP(A3,BK!A$2:G$55,3,0)</f>
        <v>38.07</v>
      </c>
      <c r="R3">
        <f>VLOOKUP(A3,BMY!A$2:G$55,3,0)</f>
        <v>48.37</v>
      </c>
      <c r="T3">
        <f>VLOOKUP(A3,'C'!A$2:G$55,3,0)</f>
        <v>48.25</v>
      </c>
      <c r="U3">
        <f>VLOOKUP(A3,CAT!A$2:G$55,3,0)</f>
        <v>109.95</v>
      </c>
      <c r="V3">
        <f>VLOOKUP(A3,CL!A$2:G$55,3,0)</f>
        <v>68.75</v>
      </c>
      <c r="W3">
        <f>VLOOKUP(A3,CMCSA!A$2:G$55,3,0)</f>
        <v>54.6</v>
      </c>
      <c r="X3">
        <f>VLOOKUP(A3,COF!A$2:G$55,3,0)</f>
        <v>83.68</v>
      </c>
      <c r="Y3">
        <f>VLOOKUP(A3,COP!A$2:G$55,3,0)</f>
        <v>85.98</v>
      </c>
      <c r="Z3">
        <f>VLOOKUP(A3,COST!A$2:G$55,3,0)</f>
        <v>115.91</v>
      </c>
      <c r="AA3">
        <f>VLOOKUP(A3,CSCO!A$2:G$55,3,0)</f>
        <v>25.14</v>
      </c>
      <c r="AB3">
        <f>VLOOKUP(A3,CVS!A$2:G$55,3,0)</f>
        <v>76.73</v>
      </c>
      <c r="AC3">
        <f>VLOOKUP(A3,CVX!A$2:G$55,3,0)</f>
        <v>130.91999999999999</v>
      </c>
      <c r="AD3">
        <f>VLOOKUP(A3,DD!A$2:G$55,3,0)</f>
        <v>65.400000000000006</v>
      </c>
      <c r="AE3">
        <f>VLOOKUP(A3,DIS!A$2:G$55,3,0)</f>
        <v>86.71</v>
      </c>
      <c r="AF3">
        <f>VLOOKUP(A3,DOW!A$2:G$55,3,0)</f>
        <v>51.98</v>
      </c>
      <c r="AG3">
        <f>VLOOKUP(A3,DVN!A$2:G$55,3,0)</f>
        <v>79.650000000000006</v>
      </c>
      <c r="AH3">
        <f>VLOOKUP(A3,EBAY!A$2:G$55,3,0)</f>
        <v>50.8</v>
      </c>
      <c r="AI3">
        <f>VLOOKUP(A3,EMC!A$2:G$55,3,0)</f>
        <v>26.72</v>
      </c>
      <c r="AJ3">
        <f>VLOOKUP(A3,EMR!A$2:G$55,3,0)</f>
        <v>66.73</v>
      </c>
      <c r="AK3">
        <f>VLOOKUP(A3,EXC!A$2:G$55,3,0)</f>
        <v>35.590000000000003</v>
      </c>
      <c r="AL3">
        <f>VLOOKUP(A3,F!A$2:G$55,3,0)</f>
        <v>17.3</v>
      </c>
      <c r="AM3">
        <f>VLOOKUP(A3,FB!A$2:G$55,3,0)</f>
        <v>68.3</v>
      </c>
      <c r="AN3">
        <f>VLOOKUP(A3,FCX!A$2:G$55,3,0)</f>
        <v>37.99</v>
      </c>
      <c r="AO3">
        <f>VLOOKUP(A3,FDX!A$2:G$55,3,0)</f>
        <v>153.24</v>
      </c>
      <c r="AP3">
        <f>VLOOKUP(A3,FOXA!A$2:G$55,3,0)</f>
        <v>35.78</v>
      </c>
      <c r="AQ3">
        <f>VLOOKUP(A3,GD!A$2:G$55,3,0)</f>
        <v>116.45</v>
      </c>
      <c r="AR3">
        <f>VLOOKUP(A3,GE!A$2:G$55,3,0)</f>
        <v>26.65</v>
      </c>
      <c r="AS3">
        <f>VLOOKUP(A3,GILD!A$2:G$55,3,0)</f>
        <v>87.88</v>
      </c>
      <c r="AT3">
        <f>VLOOKUP(A3,GM!A$2:G$55,3,0)</f>
        <v>38.15</v>
      </c>
      <c r="AU3">
        <f>VLOOKUP(A3,GOOG!A$2:G$55,3,0)</f>
        <v>585.44000000000005</v>
      </c>
      <c r="AV3">
        <f>VLOOKUP(A3,GOOGL!A$2:G$55,3,0)</f>
        <v>594.15</v>
      </c>
      <c r="AW3">
        <f>VLOOKUP(A3,GS!A$2:G$55,3,0)</f>
        <v>167.81</v>
      </c>
      <c r="AX3">
        <f>VLOOKUP(A3,HAL!A$2:G$55,3,0)</f>
        <v>71.27</v>
      </c>
      <c r="AY3">
        <f>VLOOKUP(A3,HD!A$2:G$55,3,0)</f>
        <v>82.18</v>
      </c>
      <c r="AZ3">
        <f>VLOOKUP(A3,HON!A$2:G$55,3,0)</f>
        <v>94.6</v>
      </c>
      <c r="BA3">
        <f>VLOOKUP(A3,HPQ!A$2:G$55,3,0)</f>
        <v>34.24</v>
      </c>
      <c r="BB3">
        <f>VLOOKUP(A3,IBM!A$2:G$55,3,0)</f>
        <v>188.99</v>
      </c>
      <c r="BC3">
        <f>VLOOKUP(A3,INTC!A$2:G$55,3,0)</f>
        <v>31.05</v>
      </c>
      <c r="BD3">
        <f>VLOOKUP(A3,JNJ!A$2:G$55,3,0)</f>
        <v>105.97</v>
      </c>
      <c r="BE3">
        <f>VLOOKUP(A3,JPM!A$2:G$55,3,0)</f>
        <v>57.48</v>
      </c>
      <c r="BF3">
        <f>VLOOKUP(A3,KO!A$2:G$55,3,0)</f>
        <v>42.41</v>
      </c>
      <c r="BG3">
        <f>VLOOKUP(A3,LLY!A$2:G$55,3,0)</f>
        <v>63.08</v>
      </c>
      <c r="BH3">
        <f>VLOOKUP(A3,LMT!A$2:G$55,3,0)</f>
        <v>160.88</v>
      </c>
      <c r="BI3">
        <f>VLOOKUP(A3,LOW!A$2:G$55,3,0)</f>
        <v>48.39</v>
      </c>
      <c r="BJ3">
        <f>VLOOKUP(A3,MA!A$2:G$55,3,0)</f>
        <v>76.39</v>
      </c>
      <c r="BK3">
        <f>VLOOKUP(A3,MCD!A$2:G$55,3,0)</f>
        <v>101.08</v>
      </c>
      <c r="BL3">
        <f>VLOOKUP(A3,MDLZ!A$2:G$55,3,0)</f>
        <v>37.94</v>
      </c>
      <c r="BM3">
        <f>VLOOKUP(A3,MDT!A$2:G$55,3,0)</f>
        <v>64.209999999999994</v>
      </c>
      <c r="BN3">
        <f>VLOOKUP(A3,MET!A$2:G$55,3,0)</f>
        <v>56.87</v>
      </c>
      <c r="BO3">
        <f>VLOOKUP(A3,MMM!A$2:G$55,3,0)</f>
        <v>145.30000000000001</v>
      </c>
      <c r="BP3">
        <f>VLOOKUP(A3,MO!A$2:G$55,3,0)</f>
        <v>41.97</v>
      </c>
      <c r="BQ3">
        <f>VLOOKUP(A3,MON!A$2:G$55,3,0)</f>
        <v>127.48</v>
      </c>
      <c r="BR3">
        <f>VLOOKUP(A3,MRK!A$2:G$55,3,0)</f>
        <v>59.1</v>
      </c>
      <c r="BS3">
        <f>VLOOKUP(A3,MS!A$2:G$55,3,0)</f>
        <v>32.68</v>
      </c>
      <c r="BT3">
        <f>VLOOKUP(A3,MSFT!A$2:G$55,3,0)</f>
        <v>41.9</v>
      </c>
      <c r="BU3">
        <f>VLOOKUP(A3,NKE!A$2:G$55,3,0)</f>
        <v>78.41</v>
      </c>
      <c r="BV3">
        <f>VLOOKUP(A3,NOV!A$2:G$55,3,0)</f>
        <v>82.87</v>
      </c>
      <c r="BW3">
        <f>VLOOKUP(A3,NSC!A$2:G$55,3,0)</f>
        <v>103.63</v>
      </c>
      <c r="BX3">
        <f>VLOOKUP(A3,ORCL!A$2:G$55,3,0)</f>
        <v>41.2</v>
      </c>
      <c r="BY3">
        <f>VLOOKUP(A3,OXY!A$2:G$55,3,0)</f>
        <v>102.93</v>
      </c>
      <c r="BZ3">
        <f>VLOOKUP(A3,PEP!A$2:G$55,3,0)</f>
        <v>89.69</v>
      </c>
      <c r="CA3">
        <f>VLOOKUP(A3,PFE!A$2:G$55,3,0)</f>
        <v>30.42</v>
      </c>
      <c r="CB3">
        <f>VLOOKUP(A3,PG!A$2:G$55,3,0)</f>
        <v>79.86</v>
      </c>
      <c r="CC3">
        <f>VLOOKUP(A3,PM!A$2:G$55,3,0)</f>
        <v>85.1</v>
      </c>
      <c r="CD3">
        <f>VLOOKUP(A3,QCOM!A$2:G$55,3,0)</f>
        <v>80.430000000000007</v>
      </c>
      <c r="CE3">
        <f>VLOOKUP(A3,RTN!A$2:G$55,3,0)</f>
        <v>93.56</v>
      </c>
      <c r="CF3">
        <f>VLOOKUP(A3,SBUX!A$2:G$55,3,0)</f>
        <v>78.41</v>
      </c>
      <c r="CG3">
        <f>VLOOKUP(A3,SLB!A$2:G$55,3,0)</f>
        <v>118.25</v>
      </c>
      <c r="CH3">
        <f>VLOOKUP(A3,SO!A$2:G$55,3,0)</f>
        <v>45.04</v>
      </c>
      <c r="CI3">
        <f>VLOOKUP(A3,SPG!A$2:G$55,3,0)</f>
        <v>166.9</v>
      </c>
      <c r="CJ3">
        <f>VLOOKUP(A3,T!A$2:G$55,3,0)</f>
        <v>35.67</v>
      </c>
      <c r="CK3">
        <f>VLOOKUP(A3,TGT!A$2:G$55,3,0)</f>
        <v>59.1</v>
      </c>
      <c r="CL3">
        <f>VLOOKUP(A3,TWX!A$2:G$55,3,0)</f>
        <v>71.19</v>
      </c>
      <c r="CM3">
        <f>VLOOKUP(A3,TXN!A$2:G$55,3,0)</f>
        <v>48.67</v>
      </c>
      <c r="CN3">
        <f>VLOOKUP(A3,UNH!A$2:G$55,3,0)</f>
        <v>82.52</v>
      </c>
      <c r="CO3">
        <f>VLOOKUP(A3,UNP!A$2:G$55,3,0)</f>
        <v>100.78</v>
      </c>
      <c r="CP3">
        <f>VLOOKUP(A3,UPS!A$2:G$55,3,0)</f>
        <v>103.56</v>
      </c>
      <c r="CQ3">
        <f>VLOOKUP(A3,USB!A$2:G$55,3,0)</f>
        <v>43.45</v>
      </c>
      <c r="CR3">
        <f>VLOOKUP(A3,UTX!A$2:G$55,3,0)</f>
        <v>115.98</v>
      </c>
      <c r="CS3">
        <f>VLOOKUP(A3,V!A$2:G$55,3,0)</f>
        <v>215.49</v>
      </c>
      <c r="CT3">
        <f>VLOOKUP(A3,VZ!A$2:G$55,3,0)</f>
        <v>49.73</v>
      </c>
      <c r="CU3">
        <f>VLOOKUP(A3,WAG!A$2:G$55,3,0)</f>
        <v>74.13</v>
      </c>
      <c r="CV3">
        <f>VLOOKUP(A3,WFC!A$2:G$55,3,0)</f>
        <v>52.84</v>
      </c>
      <c r="CW3">
        <f>VLOOKUP(A3,WMT!A$2:G$55,3,0)</f>
        <v>75.900000000000006</v>
      </c>
    </row>
    <row r="4" spans="1:101" x14ac:dyDescent="0.25">
      <c r="A4" s="34">
        <v>41823</v>
      </c>
      <c r="B4" s="36">
        <v>94.1</v>
      </c>
      <c r="C4">
        <f>VLOOKUP(A4,ABBV!A$2:G$55,3,0)</f>
        <v>58.27</v>
      </c>
      <c r="D4">
        <f>VLOOKUP(A4,ABT!A$2:G$55,3,0)</f>
        <v>41.96</v>
      </c>
      <c r="E4">
        <f>VLOOKUP(A4,ACN!A$2:G$55,3,0)</f>
        <v>81.69</v>
      </c>
      <c r="F4">
        <f>VLOOKUP(A4,AIG!A$2:G$55,3,0)</f>
        <v>55.99</v>
      </c>
      <c r="G4">
        <f>VLOOKUP(A4,ALL!A$2:G$55,3,0)</f>
        <v>59.4</v>
      </c>
      <c r="H4">
        <f>VLOOKUP(A4,AMGN!A$2:G$55,3,0)</f>
        <v>122.85</v>
      </c>
      <c r="I4">
        <f>VLOOKUP(A4,AMZN!A$2:G$55,3,0)</f>
        <v>338.3</v>
      </c>
      <c r="J4">
        <f>VLOOKUP(A4,APA!A$2:G$55,3,0)</f>
        <v>100.22</v>
      </c>
      <c r="K4">
        <f>VLOOKUP(A4,APC!A$2:G$55,3,0)</f>
        <v>108.5</v>
      </c>
      <c r="L4">
        <f>VLOOKUP(A4,AXP!A$2:G$55,3,0)</f>
        <v>95.94</v>
      </c>
      <c r="M4">
        <f>VLOOKUP(A4,BA!A$2:G$55,3,0)</f>
        <v>128.62</v>
      </c>
      <c r="N4">
        <f>VLOOKUP(A4,BAC!A$2:G$55,3,0)</f>
        <v>16.23</v>
      </c>
      <c r="O4">
        <f>VLOOKUP(A4,BAX!A$2:G$55,3,0)</f>
        <v>75.239999999999995</v>
      </c>
      <c r="P4">
        <f>VLOOKUP(A4,BIIB!A$2:G$55,3,0)</f>
        <v>332.93</v>
      </c>
      <c r="Q4">
        <f>VLOOKUP(A4,BK!A$2:G$55,3,0)</f>
        <v>38.090000000000003</v>
      </c>
      <c r="R4">
        <f>VLOOKUP(A4,BMY!A$2:G$55,3,0)</f>
        <v>48.62</v>
      </c>
      <c r="T4">
        <f>VLOOKUP(A4,'C'!A$2:G$55,3,0)</f>
        <v>48.71</v>
      </c>
      <c r="U4">
        <f>VLOOKUP(A4,CAT!A$2:G$55,3,0)</f>
        <v>111.16</v>
      </c>
      <c r="V4">
        <f>VLOOKUP(A4,CL!A$2:G$55,3,0)</f>
        <v>68.819999999999993</v>
      </c>
      <c r="W4">
        <f>VLOOKUP(A4,CMCSA!A$2:G$55,3,0)</f>
        <v>54.97</v>
      </c>
      <c r="X4">
        <f>VLOOKUP(A4,COF!A$2:G$55,3,0)</f>
        <v>84.98</v>
      </c>
      <c r="Y4">
        <f>VLOOKUP(A4,COP!A$2:G$55,3,0)</f>
        <v>86.4</v>
      </c>
      <c r="Z4">
        <f>VLOOKUP(A4,COST!A$2:G$55,3,0)</f>
        <v>116.59</v>
      </c>
      <c r="AA4">
        <f>VLOOKUP(A4,CSCO!A$2:G$55,3,0)</f>
        <v>25.25</v>
      </c>
      <c r="AB4">
        <f>VLOOKUP(A4,CVS!A$2:G$55,3,0)</f>
        <v>76.930000000000007</v>
      </c>
      <c r="AC4">
        <f>VLOOKUP(A4,CVX!A$2:G$55,3,0)</f>
        <v>131.59</v>
      </c>
      <c r="AD4">
        <f>VLOOKUP(A4,DD!A$2:G$55,3,0)</f>
        <v>65.98</v>
      </c>
      <c r="AE4">
        <f>VLOOKUP(A4,DIS!A$2:G$55,3,0)</f>
        <v>86.98</v>
      </c>
      <c r="AF4">
        <f>VLOOKUP(A4,DOW!A$2:G$55,3,0)</f>
        <v>52.19</v>
      </c>
      <c r="AG4">
        <f>VLOOKUP(A4,DVN!A$2:G$55,3,0)</f>
        <v>79.260000000000005</v>
      </c>
      <c r="AH4">
        <f>VLOOKUP(A4,EBAY!A$2:G$55,3,0)</f>
        <v>51.08</v>
      </c>
      <c r="AI4">
        <f>VLOOKUP(A4,EMC!A$2:G$55,3,0)</f>
        <v>26.93</v>
      </c>
      <c r="AJ4">
        <f>VLOOKUP(A4,EMR!A$2:G$55,3,0)</f>
        <v>67.650000000000006</v>
      </c>
      <c r="AK4">
        <f>VLOOKUP(A4,EXC!A$2:G$55,3,0)</f>
        <v>34.369999999999997</v>
      </c>
      <c r="AL4">
        <f>VLOOKUP(A4,F!A$2:G$55,3,0)</f>
        <v>17.34</v>
      </c>
      <c r="AM4">
        <f>VLOOKUP(A4,FB!A$2:G$55,3,0)</f>
        <v>67</v>
      </c>
      <c r="AN4">
        <f>VLOOKUP(A4,FCX!A$2:G$55,3,0)</f>
        <v>38.590000000000003</v>
      </c>
      <c r="AO4">
        <f>VLOOKUP(A4,FDX!A$2:G$55,3,0)</f>
        <v>153.74</v>
      </c>
      <c r="AP4">
        <f>VLOOKUP(A4,FOXA!A$2:G$55,3,0)</f>
        <v>36.21</v>
      </c>
      <c r="AQ4">
        <f>VLOOKUP(A4,GD!A$2:G$55,3,0)</f>
        <v>116.52</v>
      </c>
      <c r="AR4">
        <f>VLOOKUP(A4,GE!A$2:G$55,3,0)</f>
        <v>26.89</v>
      </c>
      <c r="AS4">
        <f>VLOOKUP(A4,GILD!A$2:G$55,3,0)</f>
        <v>88.4</v>
      </c>
      <c r="AT4">
        <f>VLOOKUP(A4,GM!A$2:G$55,3,0)</f>
        <v>38.11</v>
      </c>
      <c r="AU4">
        <f>VLOOKUP(A4,GOOG!A$2:G$55,3,0)</f>
        <v>585.01</v>
      </c>
      <c r="AV4">
        <f>VLOOKUP(A4,GOOGL!A$2:G$55,3,0)</f>
        <v>594.25</v>
      </c>
      <c r="AW4">
        <f>VLOOKUP(A4,GS!A$2:G$55,3,0)</f>
        <v>169.9</v>
      </c>
      <c r="AX4">
        <f>VLOOKUP(A4,HAL!A$2:G$55,3,0)</f>
        <v>71.03</v>
      </c>
      <c r="AY4">
        <f>VLOOKUP(A4,HD!A$2:G$55,3,0)</f>
        <v>82.35</v>
      </c>
      <c r="AZ4">
        <f>VLOOKUP(A4,HON!A$2:G$55,3,0)</f>
        <v>95.19</v>
      </c>
      <c r="BA4">
        <f>VLOOKUP(A4,HPQ!A$2:G$55,3,0)</f>
        <v>34.119999999999997</v>
      </c>
      <c r="BB4">
        <f>VLOOKUP(A4,IBM!A$2:G$55,3,0)</f>
        <v>188.81</v>
      </c>
      <c r="BC4">
        <f>VLOOKUP(A4,INTC!A$2:G$55,3,0)</f>
        <v>31.36</v>
      </c>
      <c r="BD4">
        <f>VLOOKUP(A4,JNJ!A$2:G$55,3,0)</f>
        <v>106.25</v>
      </c>
      <c r="BE4">
        <f>VLOOKUP(A4,JPM!A$2:G$55,3,0)</f>
        <v>57.65</v>
      </c>
      <c r="BF4">
        <f>VLOOKUP(A4,KO!A$2:G$55,3,0)</f>
        <v>42.32</v>
      </c>
      <c r="BG4">
        <f>VLOOKUP(A4,LLY!A$2:G$55,3,0)</f>
        <v>63.1</v>
      </c>
      <c r="BH4">
        <f>VLOOKUP(A4,LMT!A$2:G$55,3,0)</f>
        <v>160.38</v>
      </c>
      <c r="BI4">
        <f>VLOOKUP(A4,LOW!A$2:G$55,3,0)</f>
        <v>48.44</v>
      </c>
      <c r="BJ4">
        <f>VLOOKUP(A4,MA!A$2:G$55,3,0)</f>
        <v>76.900000000000006</v>
      </c>
      <c r="BK4">
        <f>VLOOKUP(A4,MCD!A$2:G$55,3,0)</f>
        <v>101.32</v>
      </c>
      <c r="BL4">
        <f>VLOOKUP(A4,MDLZ!A$2:G$55,3,0)</f>
        <v>38.29</v>
      </c>
      <c r="BM4">
        <f>VLOOKUP(A4,MDT!A$2:G$55,3,0)</f>
        <v>64.56</v>
      </c>
      <c r="BN4">
        <f>VLOOKUP(A4,MET!A$2:G$55,3,0)</f>
        <v>57.57</v>
      </c>
      <c r="BO4">
        <f>VLOOKUP(A4,MMM!A$2:G$55,3,0)</f>
        <v>145.72999999999999</v>
      </c>
      <c r="BP4">
        <f>VLOOKUP(A4,MO!A$2:G$55,3,0)</f>
        <v>42.58</v>
      </c>
      <c r="BQ4">
        <f>VLOOKUP(A4,MON!A$2:G$55,3,0)</f>
        <v>126.85</v>
      </c>
      <c r="BR4">
        <f>VLOOKUP(A4,MRK!A$2:G$55,3,0)</f>
        <v>59.45</v>
      </c>
      <c r="BS4">
        <f>VLOOKUP(A4,MS!A$2:G$55,3,0)</f>
        <v>33.07</v>
      </c>
      <c r="BT4">
        <f>VLOOKUP(A4,MSFT!A$2:G$55,3,0)</f>
        <v>41.99</v>
      </c>
      <c r="BU4">
        <f>VLOOKUP(A4,NKE!A$2:G$55,3,0)</f>
        <v>78.62</v>
      </c>
      <c r="BV4">
        <f>VLOOKUP(A4,NOV!A$2:G$55,3,0)</f>
        <v>83.04</v>
      </c>
      <c r="BW4">
        <f>VLOOKUP(A4,NSC!A$2:G$55,3,0)</f>
        <v>104.29</v>
      </c>
      <c r="BX4">
        <f>VLOOKUP(A4,ORCL!A$2:G$55,3,0)</f>
        <v>41.36</v>
      </c>
      <c r="BY4">
        <f>VLOOKUP(A4,OXY!A$2:G$55,3,0)</f>
        <v>102.75</v>
      </c>
      <c r="BZ4">
        <f>VLOOKUP(A4,PEP!A$2:G$55,3,0)</f>
        <v>90.14</v>
      </c>
      <c r="CA4">
        <f>VLOOKUP(A4,PFE!A$2:G$55,3,0)</f>
        <v>30.64</v>
      </c>
      <c r="CB4">
        <f>VLOOKUP(A4,PG!A$2:G$55,3,0)</f>
        <v>80.14</v>
      </c>
      <c r="CC4">
        <f>VLOOKUP(A4,PM!A$2:G$55,3,0)</f>
        <v>86.09</v>
      </c>
      <c r="CD4">
        <f>VLOOKUP(A4,QCOM!A$2:G$55,3,0)</f>
        <v>81.28</v>
      </c>
      <c r="CE4">
        <f>VLOOKUP(A4,RTN!A$2:G$55,3,0)</f>
        <v>93.5</v>
      </c>
      <c r="CF4">
        <f>VLOOKUP(A4,SBUX!A$2:G$55,3,0)</f>
        <v>79.400000000000006</v>
      </c>
      <c r="CG4">
        <f>VLOOKUP(A4,SLB!A$2:G$55,3,0)</f>
        <v>117.94</v>
      </c>
      <c r="CH4">
        <f>VLOOKUP(A4,SO!A$2:G$55,3,0)</f>
        <v>44.07</v>
      </c>
      <c r="CI4">
        <f>VLOOKUP(A4,SPG!A$2:G$55,3,0)</f>
        <v>166.68</v>
      </c>
      <c r="CJ4">
        <f>VLOOKUP(A4,T!A$2:G$55,3,0)</f>
        <v>35.869999999999997</v>
      </c>
      <c r="CK4">
        <f>VLOOKUP(A4,TGT!A$2:G$55,3,0)</f>
        <v>59.53</v>
      </c>
      <c r="CL4">
        <f>VLOOKUP(A4,TWX!A$2:G$55,3,0)</f>
        <v>71.62</v>
      </c>
      <c r="CM4">
        <f>VLOOKUP(A4,TXN!A$2:G$55,3,0)</f>
        <v>48.98</v>
      </c>
      <c r="CN4">
        <f>VLOOKUP(A4,UNH!A$2:G$55,3,0)</f>
        <v>83.44</v>
      </c>
      <c r="CO4">
        <f>VLOOKUP(A4,UNP!A$2:G$55,3,0)</f>
        <v>101.09</v>
      </c>
      <c r="CP4">
        <f>VLOOKUP(A4,UPS!A$2:G$55,3,0)</f>
        <v>103.96</v>
      </c>
      <c r="CQ4">
        <f>VLOOKUP(A4,USB!A$2:G$55,3,0)</f>
        <v>43.75</v>
      </c>
      <c r="CR4">
        <f>VLOOKUP(A4,UTX!A$2:G$55,3,0)</f>
        <v>116</v>
      </c>
      <c r="CS4">
        <f>VLOOKUP(A4,V!A$2:G$55,3,0)</f>
        <v>217</v>
      </c>
      <c r="CT4">
        <f>VLOOKUP(A4,VZ!A$2:G$55,3,0)</f>
        <v>49.94</v>
      </c>
      <c r="CU4">
        <f>VLOOKUP(A4,WAG!A$2:G$55,3,0)</f>
        <v>74.37</v>
      </c>
      <c r="CV4">
        <f>VLOOKUP(A4,WFC!A$2:G$55,3,0)</f>
        <v>53.08</v>
      </c>
      <c r="CW4">
        <f>VLOOKUP(A4,WMT!A$2:G$55,3,0)</f>
        <v>76.05</v>
      </c>
    </row>
    <row r="5" spans="1:101" x14ac:dyDescent="0.25">
      <c r="A5" s="34">
        <v>41827</v>
      </c>
      <c r="B5" s="36">
        <v>95.99</v>
      </c>
      <c r="C5">
        <f>VLOOKUP(A5,ABBV!A$2:G$55,3,0)</f>
        <v>58.15</v>
      </c>
      <c r="D5">
        <f>VLOOKUP(A5,ABT!A$2:G$55,3,0)</f>
        <v>41.82</v>
      </c>
      <c r="E5">
        <f>VLOOKUP(A5,ACN!A$2:G$55,3,0)</f>
        <v>81.319999999999993</v>
      </c>
      <c r="F5">
        <f>VLOOKUP(A5,AIG!A$2:G$55,3,0)</f>
        <v>55.49</v>
      </c>
      <c r="G5">
        <f>VLOOKUP(A5,ALL!A$2:G$55,3,0)</f>
        <v>58.81</v>
      </c>
      <c r="H5">
        <f>VLOOKUP(A5,AMGN!A$2:G$55,3,0)</f>
        <v>123.11</v>
      </c>
      <c r="I5">
        <f>VLOOKUP(A5,AMZN!A$2:G$55,3,0)</f>
        <v>337.55</v>
      </c>
      <c r="J5">
        <f>VLOOKUP(A5,APA!A$2:G$55,3,0)</f>
        <v>100.46</v>
      </c>
      <c r="K5">
        <f>VLOOKUP(A5,APC!A$2:G$55,3,0)</f>
        <v>107.64</v>
      </c>
      <c r="L5">
        <f>VLOOKUP(A5,AXP!A$2:G$55,3,0)</f>
        <v>95.66</v>
      </c>
      <c r="M5">
        <f>VLOOKUP(A5,BA!A$2:G$55,3,0)</f>
        <v>129.5</v>
      </c>
      <c r="N5">
        <f>VLOOKUP(A5,BAC!A$2:G$55,3,0)</f>
        <v>16</v>
      </c>
      <c r="O5">
        <f>VLOOKUP(A5,BAX!A$2:G$55,3,0)</f>
        <v>75.209999999999994</v>
      </c>
      <c r="P5">
        <f>VLOOKUP(A5,BIIB!A$2:G$55,3,0)</f>
        <v>332.97</v>
      </c>
      <c r="Q5">
        <f>VLOOKUP(A5,BK!A$2:G$55,3,0)</f>
        <v>37.770000000000003</v>
      </c>
      <c r="R5">
        <f>VLOOKUP(A5,BMY!A$2:G$55,3,0)</f>
        <v>48.58</v>
      </c>
      <c r="T5">
        <f>VLOOKUP(A5,'C'!A$2:G$55,3,0)</f>
        <v>48.11</v>
      </c>
      <c r="U5">
        <f>VLOOKUP(A5,CAT!A$2:G$55,3,0)</f>
        <v>110.45</v>
      </c>
      <c r="V5">
        <f>VLOOKUP(A5,CL!A$2:G$55,3,0)</f>
        <v>68.95</v>
      </c>
      <c r="W5">
        <f>VLOOKUP(A5,CMCSA!A$2:G$55,3,0)</f>
        <v>54.75</v>
      </c>
      <c r="X5">
        <f>VLOOKUP(A5,COF!A$2:G$55,3,0)</f>
        <v>84.6</v>
      </c>
      <c r="Y5">
        <f>VLOOKUP(A5,COP!A$2:G$55,3,0)</f>
        <v>86.21</v>
      </c>
      <c r="Z5">
        <f>VLOOKUP(A5,COST!A$2:G$55,3,0)</f>
        <v>116.49</v>
      </c>
      <c r="AA5">
        <f>VLOOKUP(A5,CSCO!A$2:G$55,3,0)</f>
        <v>25.25</v>
      </c>
      <c r="AB5">
        <f>VLOOKUP(A5,CVS!A$2:G$55,3,0)</f>
        <v>76.989999999999995</v>
      </c>
      <c r="AC5">
        <f>VLOOKUP(A5,CVX!A$2:G$55,3,0)</f>
        <v>130.63999999999999</v>
      </c>
      <c r="AD5">
        <f>VLOOKUP(A5,DD!A$2:G$55,3,0)</f>
        <v>65.75</v>
      </c>
      <c r="AE5">
        <f>VLOOKUP(A5,DIS!A$2:G$55,3,0)</f>
        <v>86.82</v>
      </c>
      <c r="AF5">
        <f>VLOOKUP(A5,DOW!A$2:G$55,3,0)</f>
        <v>51.77</v>
      </c>
      <c r="AG5">
        <f>VLOOKUP(A5,DVN!A$2:G$55,3,0)</f>
        <v>79.86</v>
      </c>
      <c r="AH5">
        <f>VLOOKUP(A5,EBAY!A$2:G$55,3,0)</f>
        <v>50.98</v>
      </c>
      <c r="AI5">
        <f>VLOOKUP(A5,EMC!A$2:G$55,3,0)</f>
        <v>26.93</v>
      </c>
      <c r="AJ5">
        <f>VLOOKUP(A5,EMR!A$2:G$55,3,0)</f>
        <v>67.95</v>
      </c>
      <c r="AK5">
        <f>VLOOKUP(A5,EXC!A$2:G$55,3,0)</f>
        <v>34.51</v>
      </c>
      <c r="AL5">
        <f>VLOOKUP(A5,F!A$2:G$55,3,0)</f>
        <v>17.399999999999999</v>
      </c>
      <c r="AM5">
        <f>VLOOKUP(A5,FB!A$2:G$55,3,0)</f>
        <v>66.569999999999993</v>
      </c>
      <c r="AN5">
        <f>VLOOKUP(A5,FCX!A$2:G$55,3,0)</f>
        <v>38.9</v>
      </c>
      <c r="AO5">
        <f>VLOOKUP(A5,FDX!A$2:G$55,3,0)</f>
        <v>153.1</v>
      </c>
      <c r="AP5">
        <f>VLOOKUP(A5,FOXA!A$2:G$55,3,0)</f>
        <v>36.14</v>
      </c>
      <c r="AQ5">
        <f>VLOOKUP(A5,GD!A$2:G$55,3,0)</f>
        <v>116.23</v>
      </c>
      <c r="AR5">
        <f>VLOOKUP(A5,GE!A$2:G$55,3,0)</f>
        <v>26.84</v>
      </c>
      <c r="AS5">
        <f>VLOOKUP(A5,GILD!A$2:G$55,3,0)</f>
        <v>88.6</v>
      </c>
      <c r="AT5">
        <f>VLOOKUP(A5,GM!A$2:G$55,3,0)</f>
        <v>37.909999999999997</v>
      </c>
      <c r="AU5">
        <f>VLOOKUP(A5,GOOG!A$2:G$55,3,0)</f>
        <v>586.42999999999995</v>
      </c>
      <c r="AV5">
        <f>VLOOKUP(A5,GOOGL!A$2:G$55,3,0)</f>
        <v>595.65</v>
      </c>
      <c r="AW5">
        <f>VLOOKUP(A5,GS!A$2:G$55,3,0)</f>
        <v>168.97</v>
      </c>
      <c r="AX5">
        <f>VLOOKUP(A5,HAL!A$2:G$55,3,0)</f>
        <v>70.459999999999994</v>
      </c>
      <c r="AY5">
        <f>VLOOKUP(A5,HD!A$2:G$55,3,0)</f>
        <v>82.09</v>
      </c>
      <c r="AZ5">
        <f>VLOOKUP(A5,HON!A$2:G$55,3,0)</f>
        <v>94.76</v>
      </c>
      <c r="BA5">
        <f>VLOOKUP(A5,HPQ!A$2:G$55,3,0)</f>
        <v>34</v>
      </c>
      <c r="BB5">
        <f>VLOOKUP(A5,IBM!A$2:G$55,3,0)</f>
        <v>188.27</v>
      </c>
      <c r="BC5">
        <f>VLOOKUP(A5,INTC!A$2:G$55,3,0)</f>
        <v>31.2</v>
      </c>
      <c r="BD5">
        <f>VLOOKUP(A5,JNJ!A$2:G$55,3,0)</f>
        <v>106.74</v>
      </c>
      <c r="BE5">
        <f>VLOOKUP(A5,JPM!A$2:G$55,3,0)</f>
        <v>56.99</v>
      </c>
      <c r="BF5">
        <f>VLOOKUP(A5,KO!A$2:G$55,3,0)</f>
        <v>42.2</v>
      </c>
      <c r="BG5">
        <f>VLOOKUP(A5,LLY!A$2:G$55,3,0)</f>
        <v>63.23</v>
      </c>
      <c r="BH5">
        <f>VLOOKUP(A5,LMT!A$2:G$55,3,0)</f>
        <v>159.71</v>
      </c>
      <c r="BI5">
        <f>VLOOKUP(A5,LOW!A$2:G$55,3,0)</f>
        <v>48.4</v>
      </c>
      <c r="BJ5">
        <f>VLOOKUP(A5,MA!A$2:G$55,3,0)</f>
        <v>76.64</v>
      </c>
      <c r="BK5">
        <f>VLOOKUP(A5,MCD!A$2:G$55,3,0)</f>
        <v>100.75</v>
      </c>
      <c r="BL5">
        <f>VLOOKUP(A5,MDLZ!A$2:G$55,3,0)</f>
        <v>37.99</v>
      </c>
      <c r="BM5">
        <f>VLOOKUP(A5,MDT!A$2:G$55,3,0)</f>
        <v>64.22</v>
      </c>
      <c r="BN5">
        <f>VLOOKUP(A5,MET!A$2:G$55,3,0)</f>
        <v>57.04</v>
      </c>
      <c r="BO5">
        <f>VLOOKUP(A5,MMM!A$2:G$55,3,0)</f>
        <v>145.58000000000001</v>
      </c>
      <c r="BP5">
        <f>VLOOKUP(A5,MO!A$2:G$55,3,0)</f>
        <v>42.78</v>
      </c>
      <c r="BQ5">
        <f>VLOOKUP(A5,MON!A$2:G$55,3,0)</f>
        <v>126.63</v>
      </c>
      <c r="BR5">
        <f>VLOOKUP(A5,MRK!A$2:G$55,3,0)</f>
        <v>59.65</v>
      </c>
      <c r="BS5">
        <f>VLOOKUP(A5,MS!A$2:G$55,3,0)</f>
        <v>32.56</v>
      </c>
      <c r="BT5">
        <f>VLOOKUP(A5,MSFT!A$2:G$55,3,0)</f>
        <v>42.12</v>
      </c>
      <c r="BU5">
        <f>VLOOKUP(A5,NKE!A$2:G$55,3,0)</f>
        <v>78.83</v>
      </c>
      <c r="BV5">
        <f>VLOOKUP(A5,NOV!A$2:G$55,3,0)</f>
        <v>83.23</v>
      </c>
      <c r="BW5">
        <f>VLOOKUP(A5,NSC!A$2:G$55,3,0)</f>
        <v>103.84</v>
      </c>
      <c r="BX5">
        <f>VLOOKUP(A5,ORCL!A$2:G$55,3,0)</f>
        <v>41.11</v>
      </c>
      <c r="BY5">
        <f>VLOOKUP(A5,OXY!A$2:G$55,3,0)</f>
        <v>102.32</v>
      </c>
      <c r="BZ5">
        <f>VLOOKUP(A5,PEP!A$2:G$55,3,0)</f>
        <v>89.94</v>
      </c>
      <c r="CA5">
        <f>VLOOKUP(A5,PFE!A$2:G$55,3,0)</f>
        <v>30.63</v>
      </c>
      <c r="CB5">
        <f>VLOOKUP(A5,PG!A$2:G$55,3,0)</f>
        <v>80.2</v>
      </c>
      <c r="CC5">
        <f>VLOOKUP(A5,PM!A$2:G$55,3,0)</f>
        <v>86.45</v>
      </c>
      <c r="CD5">
        <f>VLOOKUP(A5,QCOM!A$2:G$55,3,0)</f>
        <v>80.95</v>
      </c>
      <c r="CE5">
        <f>VLOOKUP(A5,RTN!A$2:G$55,3,0)</f>
        <v>93.39</v>
      </c>
      <c r="CF5">
        <f>VLOOKUP(A5,SBUX!A$2:G$55,3,0)</f>
        <v>79.38</v>
      </c>
      <c r="CG5">
        <f>VLOOKUP(A5,SLB!A$2:G$55,3,0)</f>
        <v>117.63</v>
      </c>
      <c r="CH5">
        <f>VLOOKUP(A5,SO!A$2:G$55,3,0)</f>
        <v>44.3</v>
      </c>
      <c r="CI5">
        <f>VLOOKUP(A5,SPG!A$2:G$55,3,0)</f>
        <v>166.81</v>
      </c>
      <c r="CJ5">
        <f>VLOOKUP(A5,T!A$2:G$55,3,0)</f>
        <v>36.1</v>
      </c>
      <c r="CK5">
        <f>VLOOKUP(A5,TGT!A$2:G$55,3,0)</f>
        <v>60.05</v>
      </c>
      <c r="CL5">
        <f>VLOOKUP(A5,TWX!A$2:G$55,3,0)</f>
        <v>71.39</v>
      </c>
      <c r="CM5">
        <f>VLOOKUP(A5,TXN!A$2:G$55,3,0)</f>
        <v>49.09</v>
      </c>
      <c r="CN5">
        <f>VLOOKUP(A5,UNH!A$2:G$55,3,0)</f>
        <v>83.1</v>
      </c>
      <c r="CO5">
        <f>VLOOKUP(A5,UNP!A$2:G$55,3,0)</f>
        <v>101.2</v>
      </c>
      <c r="CP5">
        <f>VLOOKUP(A5,UPS!A$2:G$55,3,0)</f>
        <v>103.95</v>
      </c>
      <c r="CQ5">
        <f>VLOOKUP(A5,USB!A$2:G$55,3,0)</f>
        <v>43.71</v>
      </c>
      <c r="CR5">
        <f>VLOOKUP(A5,UTX!A$2:G$55,3,0)</f>
        <v>115.8</v>
      </c>
      <c r="CS5">
        <f>VLOOKUP(A5,V!A$2:G$55,3,0)</f>
        <v>217.55</v>
      </c>
      <c r="CT5">
        <f>VLOOKUP(A5,VZ!A$2:G$55,3,0)</f>
        <v>49.88</v>
      </c>
      <c r="CU5">
        <f>VLOOKUP(A5,WAG!A$2:G$55,3,0)</f>
        <v>73.959999999999994</v>
      </c>
      <c r="CV5">
        <f>VLOOKUP(A5,WFC!A$2:G$55,3,0)</f>
        <v>52.98</v>
      </c>
      <c r="CW5">
        <f>VLOOKUP(A5,WMT!A$2:G$55,3,0)</f>
        <v>76.209999999999994</v>
      </c>
    </row>
    <row r="6" spans="1:101" x14ac:dyDescent="0.25">
      <c r="A6" s="34">
        <v>41828</v>
      </c>
      <c r="B6" s="36">
        <v>96.8</v>
      </c>
      <c r="C6">
        <f>VLOOKUP(A6,ABBV!A$2:G$55,3,0)</f>
        <v>56.97</v>
      </c>
      <c r="D6">
        <f>VLOOKUP(A6,ABT!A$2:G$55,3,0)</f>
        <v>41.43</v>
      </c>
      <c r="E6">
        <f>VLOOKUP(A6,ACN!A$2:G$55,3,0)</f>
        <v>81.260000000000005</v>
      </c>
      <c r="F6">
        <f>VLOOKUP(A6,AIG!A$2:G$55,3,0)</f>
        <v>55.15</v>
      </c>
      <c r="G6">
        <f>VLOOKUP(A6,ALL!A$2:G$55,3,0)</f>
        <v>58.72</v>
      </c>
      <c r="H6">
        <f>VLOOKUP(A6,AMGN!A$2:G$55,3,0)</f>
        <v>120.98</v>
      </c>
      <c r="I6">
        <f>VLOOKUP(A6,AMZN!A$2:G$55,3,0)</f>
        <v>333.74</v>
      </c>
      <c r="J6">
        <f>VLOOKUP(A6,APA!A$2:G$55,3,0)</f>
        <v>99.43</v>
      </c>
      <c r="K6">
        <f>VLOOKUP(A6,APC!A$2:G$55,3,0)</f>
        <v>107.68</v>
      </c>
      <c r="L6">
        <f>VLOOKUP(A6,AXP!A$2:G$55,3,0)</f>
        <v>95.01</v>
      </c>
      <c r="M6">
        <f>VLOOKUP(A6,BA!A$2:G$55,3,0)</f>
        <v>128.97</v>
      </c>
      <c r="N6">
        <f>VLOOKUP(A6,BAC!A$2:G$55,3,0)</f>
        <v>15.83</v>
      </c>
      <c r="O6">
        <f>VLOOKUP(A6,BAX!A$2:G$55,3,0)</f>
        <v>75.56</v>
      </c>
      <c r="P6">
        <f>VLOOKUP(A6,BIIB!A$2:G$55,3,0)</f>
        <v>324.60000000000002</v>
      </c>
      <c r="Q6">
        <f>VLOOKUP(A6,BK!A$2:G$55,3,0)</f>
        <v>37.65</v>
      </c>
      <c r="R6">
        <f>VLOOKUP(A6,BMY!A$2:G$55,3,0)</f>
        <v>47.89</v>
      </c>
      <c r="T6">
        <f>VLOOKUP(A6,'C'!A$2:G$55,3,0)</f>
        <v>47.73</v>
      </c>
      <c r="U6">
        <f>VLOOKUP(A6,CAT!A$2:G$55,3,0)</f>
        <v>110.38</v>
      </c>
      <c r="V6">
        <f>VLOOKUP(A6,CL!A$2:G$55,3,0)</f>
        <v>69.58</v>
      </c>
      <c r="W6">
        <f>VLOOKUP(A6,CMCSA!A$2:G$55,3,0)</f>
        <v>54.22</v>
      </c>
      <c r="X6">
        <f>VLOOKUP(A6,COF!A$2:G$55,3,0)</f>
        <v>83.61</v>
      </c>
      <c r="Y6">
        <f>VLOOKUP(A6,COP!A$2:G$55,3,0)</f>
        <v>86.65</v>
      </c>
      <c r="Z6">
        <f>VLOOKUP(A6,COST!A$2:G$55,3,0)</f>
        <v>117.65</v>
      </c>
      <c r="AA6">
        <f>VLOOKUP(A6,CSCO!A$2:G$55,3,0)</f>
        <v>25.31</v>
      </c>
      <c r="AB6">
        <f>VLOOKUP(A6,CVS!A$2:G$55,3,0)</f>
        <v>76.66</v>
      </c>
      <c r="AC6">
        <f>VLOOKUP(A6,CVX!A$2:G$55,3,0)</f>
        <v>130.38</v>
      </c>
      <c r="AD6">
        <f>VLOOKUP(A6,DD!A$2:G$55,3,0)</f>
        <v>65.650000000000006</v>
      </c>
      <c r="AE6">
        <f>VLOOKUP(A6,DIS!A$2:G$55,3,0)</f>
        <v>86.32</v>
      </c>
      <c r="AF6">
        <f>VLOOKUP(A6,DOW!A$2:G$55,3,0)</f>
        <v>51.3</v>
      </c>
      <c r="AG6">
        <f>VLOOKUP(A6,DVN!A$2:G$55,3,0)</f>
        <v>79.14</v>
      </c>
      <c r="AH6">
        <f>VLOOKUP(A6,EBAY!A$2:G$55,3,0)</f>
        <v>50.77</v>
      </c>
      <c r="AI6">
        <f>VLOOKUP(A6,EMC!A$2:G$55,3,0)</f>
        <v>26.83</v>
      </c>
      <c r="AJ6">
        <f>VLOOKUP(A6,EMR!A$2:G$55,3,0)</f>
        <v>68.05</v>
      </c>
      <c r="AK6">
        <f>VLOOKUP(A6,EXC!A$2:G$55,3,0)</f>
        <v>34.520000000000003</v>
      </c>
      <c r="AL6">
        <f>VLOOKUP(A6,F!A$2:G$55,3,0)</f>
        <v>17.239999999999998</v>
      </c>
      <c r="AM6">
        <f>VLOOKUP(A6,FB!A$2:G$55,3,0)</f>
        <v>65.56</v>
      </c>
      <c r="AN6">
        <f>VLOOKUP(A6,FCX!A$2:G$55,3,0)</f>
        <v>38.9</v>
      </c>
      <c r="AO6">
        <f>VLOOKUP(A6,FDX!A$2:G$55,3,0)</f>
        <v>151.59</v>
      </c>
      <c r="AP6">
        <f>VLOOKUP(A6,FOXA!A$2:G$55,3,0)</f>
        <v>35.770000000000003</v>
      </c>
      <c r="AQ6">
        <f>VLOOKUP(A6,GD!A$2:G$55,3,0)</f>
        <v>115.75</v>
      </c>
      <c r="AR6">
        <f>VLOOKUP(A6,GE!A$2:G$55,3,0)</f>
        <v>26.65</v>
      </c>
      <c r="AS6">
        <f>VLOOKUP(A6,GILD!A$2:G$55,3,0)</f>
        <v>87.52</v>
      </c>
      <c r="AT6">
        <f>VLOOKUP(A6,GM!A$2:G$55,3,0)</f>
        <v>37.770000000000003</v>
      </c>
      <c r="AU6">
        <f>VLOOKUP(A6,GOOG!A$2:G$55,3,0)</f>
        <v>579.53</v>
      </c>
      <c r="AV6">
        <f>VLOOKUP(A6,GOOGL!A$2:G$55,3,0)</f>
        <v>587.97</v>
      </c>
      <c r="AW6">
        <f>VLOOKUP(A6,GS!A$2:G$55,3,0)</f>
        <v>166.78</v>
      </c>
      <c r="AX6">
        <f>VLOOKUP(A6,HAL!A$2:G$55,3,0)</f>
        <v>70.14</v>
      </c>
      <c r="AY6">
        <f>VLOOKUP(A6,HD!A$2:G$55,3,0)</f>
        <v>81.53</v>
      </c>
      <c r="AZ6">
        <f>VLOOKUP(A6,HON!A$2:G$55,3,0)</f>
        <v>94.52</v>
      </c>
      <c r="BA6">
        <f>VLOOKUP(A6,HPQ!A$2:G$55,3,0)</f>
        <v>33.93</v>
      </c>
      <c r="BB6">
        <f>VLOOKUP(A6,IBM!A$2:G$55,3,0)</f>
        <v>188.08</v>
      </c>
      <c r="BC6">
        <f>VLOOKUP(A6,INTC!A$2:G$55,3,0)</f>
        <v>31.08</v>
      </c>
      <c r="BD6">
        <f>VLOOKUP(A6,JNJ!A$2:G$55,3,0)</f>
        <v>106.25</v>
      </c>
      <c r="BE6">
        <f>VLOOKUP(A6,JPM!A$2:G$55,3,0)</f>
        <v>56.47</v>
      </c>
      <c r="BF6">
        <f>VLOOKUP(A6,KO!A$2:G$55,3,0)</f>
        <v>42.25</v>
      </c>
      <c r="BG6">
        <f>VLOOKUP(A6,LLY!A$2:G$55,3,0)</f>
        <v>62.54</v>
      </c>
      <c r="BH6">
        <f>VLOOKUP(A6,LMT!A$2:G$55,3,0)</f>
        <v>158.44</v>
      </c>
      <c r="BI6">
        <f>VLOOKUP(A6,LOW!A$2:G$55,3,0)</f>
        <v>48.15</v>
      </c>
      <c r="BJ6">
        <f>VLOOKUP(A6,MA!A$2:G$55,3,0)</f>
        <v>76.150000000000006</v>
      </c>
      <c r="BK6">
        <f>VLOOKUP(A6,MCD!A$2:G$55,3,0)</f>
        <v>100.57</v>
      </c>
      <c r="BL6">
        <f>VLOOKUP(A6,MDLZ!A$2:G$55,3,0)</f>
        <v>38.39</v>
      </c>
      <c r="BM6">
        <f>VLOOKUP(A6,MDT!A$2:G$55,3,0)</f>
        <v>64.22</v>
      </c>
      <c r="BN6">
        <f>VLOOKUP(A6,MET!A$2:G$55,3,0)</f>
        <v>56.61</v>
      </c>
      <c r="BO6">
        <f>VLOOKUP(A6,MMM!A$2:G$55,3,0)</f>
        <v>145.4</v>
      </c>
      <c r="BP6">
        <f>VLOOKUP(A6,MO!A$2:G$55,3,0)</f>
        <v>42.81</v>
      </c>
      <c r="BQ6">
        <f>VLOOKUP(A6,MON!A$2:G$55,3,0)</f>
        <v>125.28</v>
      </c>
      <c r="BR6">
        <f>VLOOKUP(A6,MRK!A$2:G$55,3,0)</f>
        <v>58.67</v>
      </c>
      <c r="BS6">
        <f>VLOOKUP(A6,MS!A$2:G$55,3,0)</f>
        <v>32.24</v>
      </c>
      <c r="BT6">
        <f>VLOOKUP(A6,MSFT!A$2:G$55,3,0)</f>
        <v>42</v>
      </c>
      <c r="BU6">
        <f>VLOOKUP(A6,NKE!A$2:G$55,3,0)</f>
        <v>78.41</v>
      </c>
      <c r="BV6">
        <f>VLOOKUP(A6,NOV!A$2:G$55,3,0)</f>
        <v>83.32</v>
      </c>
      <c r="BW6">
        <f>VLOOKUP(A6,NSC!A$2:G$55,3,0)</f>
        <v>103.49</v>
      </c>
      <c r="BX6">
        <f>VLOOKUP(A6,ORCL!A$2:G$55,3,0)</f>
        <v>40.85</v>
      </c>
      <c r="BY6">
        <f>VLOOKUP(A6,OXY!A$2:G$55,3,0)</f>
        <v>102.39</v>
      </c>
      <c r="BZ6">
        <f>VLOOKUP(A6,PEP!A$2:G$55,3,0)</f>
        <v>90.08</v>
      </c>
      <c r="CA6">
        <f>VLOOKUP(A6,PFE!A$2:G$55,3,0)</f>
        <v>30.49</v>
      </c>
      <c r="CB6">
        <f>VLOOKUP(A6,PG!A$2:G$55,3,0)</f>
        <v>80.849999999999994</v>
      </c>
      <c r="CC6">
        <f>VLOOKUP(A6,PM!A$2:G$55,3,0)</f>
        <v>86.66</v>
      </c>
      <c r="CD6">
        <f>VLOOKUP(A6,QCOM!A$2:G$55,3,0)</f>
        <v>80.86</v>
      </c>
      <c r="CE6">
        <f>VLOOKUP(A6,RTN!A$2:G$55,3,0)</f>
        <v>92.22</v>
      </c>
      <c r="CF6">
        <f>VLOOKUP(A6,SBUX!A$2:G$55,3,0)</f>
        <v>78.900000000000006</v>
      </c>
      <c r="CG6">
        <f>VLOOKUP(A6,SLB!A$2:G$55,3,0)</f>
        <v>117.35</v>
      </c>
      <c r="CH6">
        <f>VLOOKUP(A6,SO!A$2:G$55,3,0)</f>
        <v>44.79</v>
      </c>
      <c r="CI6">
        <f>VLOOKUP(A6,SPG!A$2:G$55,3,0)</f>
        <v>167.69</v>
      </c>
      <c r="CJ6">
        <f>VLOOKUP(A6,T!A$2:G$55,3,0)</f>
        <v>35.729999999999997</v>
      </c>
      <c r="CK6">
        <f>VLOOKUP(A6,TGT!A$2:G$55,3,0)</f>
        <v>59.94</v>
      </c>
      <c r="CL6">
        <f>VLOOKUP(A6,TWX!A$2:G$55,3,0)</f>
        <v>71.22</v>
      </c>
      <c r="CM6">
        <f>VLOOKUP(A6,TXN!A$2:G$55,3,0)</f>
        <v>49.04</v>
      </c>
      <c r="CN6">
        <f>VLOOKUP(A6,UNH!A$2:G$55,3,0)</f>
        <v>82.07</v>
      </c>
      <c r="CO6">
        <f>VLOOKUP(A6,UNP!A$2:G$55,3,0)</f>
        <v>100.34</v>
      </c>
      <c r="CP6">
        <f>VLOOKUP(A6,UPS!A$2:G$55,3,0)</f>
        <v>103.12</v>
      </c>
      <c r="CQ6">
        <f>VLOOKUP(A6,USB!A$2:G$55,3,0)</f>
        <v>43.47</v>
      </c>
      <c r="CR6">
        <f>VLOOKUP(A6,UTX!A$2:G$55,3,0)</f>
        <v>115.1</v>
      </c>
      <c r="CS6">
        <f>VLOOKUP(A6,V!A$2:G$55,3,0)</f>
        <v>216.89</v>
      </c>
      <c r="CT6">
        <f>VLOOKUP(A6,VZ!A$2:G$55,3,0)</f>
        <v>49.07</v>
      </c>
      <c r="CU6">
        <f>VLOOKUP(A6,WAG!A$2:G$55,3,0)</f>
        <v>73.25</v>
      </c>
      <c r="CV6">
        <f>VLOOKUP(A6,WFC!A$2:G$55,3,0)</f>
        <v>52.45</v>
      </c>
      <c r="CW6">
        <f>VLOOKUP(A6,WMT!A$2:G$55,3,0)</f>
        <v>76.98</v>
      </c>
    </row>
    <row r="7" spans="1:101" x14ac:dyDescent="0.25">
      <c r="A7" s="34">
        <v>41829</v>
      </c>
      <c r="B7" s="36">
        <v>95.95</v>
      </c>
      <c r="C7">
        <f>VLOOKUP(A7,ABBV!A$2:G$55,3,0)</f>
        <v>55.64</v>
      </c>
      <c r="D7">
        <f>VLOOKUP(A7,ABT!A$2:G$55,3,0)</f>
        <v>41.38</v>
      </c>
      <c r="E7">
        <f>VLOOKUP(A7,ACN!A$2:G$55,3,0)</f>
        <v>81.48</v>
      </c>
      <c r="F7">
        <f>VLOOKUP(A7,AIG!A$2:G$55,3,0)</f>
        <v>55.32</v>
      </c>
      <c r="G7">
        <f>VLOOKUP(A7,ALL!A$2:G$55,3,0)</f>
        <v>58.7</v>
      </c>
      <c r="H7">
        <f>VLOOKUP(A7,AMGN!A$2:G$55,3,0)</f>
        <v>120.62</v>
      </c>
      <c r="I7">
        <f>VLOOKUP(A7,AMZN!A$2:G$55,3,0)</f>
        <v>330.2</v>
      </c>
      <c r="J7">
        <f>VLOOKUP(A7,APA!A$2:G$55,3,0)</f>
        <v>99.75</v>
      </c>
      <c r="K7">
        <f>VLOOKUP(A7,APC!A$2:G$55,3,0)</f>
        <v>107.64</v>
      </c>
      <c r="L7">
        <f>VLOOKUP(A7,AXP!A$2:G$55,3,0)</f>
        <v>95.55</v>
      </c>
      <c r="M7">
        <f>VLOOKUP(A7,BA!A$2:G$55,3,0)</f>
        <v>128.32</v>
      </c>
      <c r="N7">
        <f>VLOOKUP(A7,BAC!A$2:G$55,3,0)</f>
        <v>15.69</v>
      </c>
      <c r="O7">
        <f>VLOOKUP(A7,BAX!A$2:G$55,3,0)</f>
        <v>76.05</v>
      </c>
      <c r="P7">
        <f>VLOOKUP(A7,BIIB!A$2:G$55,3,0)</f>
        <v>322.87</v>
      </c>
      <c r="Q7">
        <f>VLOOKUP(A7,BK!A$2:G$55,3,0)</f>
        <v>38.21</v>
      </c>
      <c r="R7">
        <f>VLOOKUP(A7,BMY!A$2:G$55,3,0)</f>
        <v>47.93</v>
      </c>
      <c r="T7">
        <f>VLOOKUP(A7,'C'!A$2:G$55,3,0)</f>
        <v>47.67</v>
      </c>
      <c r="U7">
        <f>VLOOKUP(A7,CAT!A$2:G$55,3,0)</f>
        <v>110.29</v>
      </c>
      <c r="V7">
        <f>VLOOKUP(A7,CL!A$2:G$55,3,0)</f>
        <v>69.89</v>
      </c>
      <c r="W7">
        <f>VLOOKUP(A7,CMCSA!A$2:G$55,3,0)</f>
        <v>54.74</v>
      </c>
      <c r="X7">
        <f>VLOOKUP(A7,COF!A$2:G$55,3,0)</f>
        <v>84.95</v>
      </c>
      <c r="Y7">
        <f>VLOOKUP(A7,COP!A$2:G$55,3,0)</f>
        <v>86.29</v>
      </c>
      <c r="Z7">
        <f>VLOOKUP(A7,COST!A$2:G$55,3,0)</f>
        <v>117.99</v>
      </c>
      <c r="AA7">
        <f>VLOOKUP(A7,CSCO!A$2:G$55,3,0)</f>
        <v>25.5</v>
      </c>
      <c r="AB7">
        <f>VLOOKUP(A7,CVS!A$2:G$55,3,0)</f>
        <v>76.959999999999994</v>
      </c>
      <c r="AC7">
        <f>VLOOKUP(A7,CVX!A$2:G$55,3,0)</f>
        <v>131.69</v>
      </c>
      <c r="AD7">
        <f>VLOOKUP(A7,DD!A$2:G$55,3,0)</f>
        <v>65.489999999999995</v>
      </c>
      <c r="AE7">
        <f>VLOOKUP(A7,DIS!A$2:G$55,3,0)</f>
        <v>87.29</v>
      </c>
      <c r="AF7">
        <f>VLOOKUP(A7,DOW!A$2:G$55,3,0)</f>
        <v>51.4</v>
      </c>
      <c r="AG7">
        <f>VLOOKUP(A7,DVN!A$2:G$55,3,0)</f>
        <v>79.41</v>
      </c>
      <c r="AH7">
        <f>VLOOKUP(A7,EBAY!A$2:G$55,3,0)</f>
        <v>50.93</v>
      </c>
      <c r="AI7">
        <f>VLOOKUP(A7,EMC!A$2:G$55,3,0)</f>
        <v>26.7</v>
      </c>
      <c r="AJ7">
        <f>VLOOKUP(A7,EMR!A$2:G$55,3,0)</f>
        <v>68.16</v>
      </c>
      <c r="AK7">
        <f>VLOOKUP(A7,EXC!A$2:G$55,3,0)</f>
        <v>34.479999999999997</v>
      </c>
      <c r="AL7">
        <f>VLOOKUP(A7,F!A$2:G$55,3,0)</f>
        <v>17.45</v>
      </c>
      <c r="AM7">
        <f>VLOOKUP(A7,FB!A$2:G$55,3,0)</f>
        <v>65.12</v>
      </c>
      <c r="AN7">
        <f>VLOOKUP(A7,FCX!A$2:G$55,3,0)</f>
        <v>39.299999999999997</v>
      </c>
      <c r="AO7">
        <f>VLOOKUP(A7,FDX!A$2:G$55,3,0)</f>
        <v>152.44</v>
      </c>
      <c r="AP7">
        <f>VLOOKUP(A7,FOXA!A$2:G$55,3,0)</f>
        <v>35.979999999999997</v>
      </c>
      <c r="AQ7">
        <f>VLOOKUP(A7,GD!A$2:G$55,3,0)</f>
        <v>115.68</v>
      </c>
      <c r="AR7">
        <f>VLOOKUP(A7,GE!A$2:G$55,3,0)</f>
        <v>26.43</v>
      </c>
      <c r="AS7">
        <f>VLOOKUP(A7,GILD!A$2:G$55,3,0)</f>
        <v>88.96</v>
      </c>
      <c r="AT7">
        <f>VLOOKUP(A7,GM!A$2:G$55,3,0)</f>
        <v>38.130000000000003</v>
      </c>
      <c r="AU7">
        <f>VLOOKUP(A7,GOOG!A$2:G$55,3,0)</f>
        <v>576.72</v>
      </c>
      <c r="AV7">
        <f>VLOOKUP(A7,GOOGL!A$2:G$55,3,0)</f>
        <v>584.1</v>
      </c>
      <c r="AW7">
        <f>VLOOKUP(A7,GS!A$2:G$55,3,0)</f>
        <v>165.33</v>
      </c>
      <c r="AX7">
        <f>VLOOKUP(A7,HAL!A$2:G$55,3,0)</f>
        <v>70.75</v>
      </c>
      <c r="AY7">
        <f>VLOOKUP(A7,HD!A$2:G$55,3,0)</f>
        <v>81.23</v>
      </c>
      <c r="AZ7">
        <f>VLOOKUP(A7,HON!A$2:G$55,3,0)</f>
        <v>94.87</v>
      </c>
      <c r="BA7">
        <f>VLOOKUP(A7,HPQ!A$2:G$55,3,0)</f>
        <v>33.79</v>
      </c>
      <c r="BB7">
        <f>VLOOKUP(A7,IBM!A$2:G$55,3,0)</f>
        <v>188.9</v>
      </c>
      <c r="BC7">
        <f>VLOOKUP(A7,INTC!A$2:G$55,3,0)</f>
        <v>30.98</v>
      </c>
      <c r="BD7">
        <f>VLOOKUP(A7,JNJ!A$2:G$55,3,0)</f>
        <v>106.21</v>
      </c>
      <c r="BE7">
        <f>VLOOKUP(A7,JPM!A$2:G$55,3,0)</f>
        <v>56.12</v>
      </c>
      <c r="BF7">
        <f>VLOOKUP(A7,KO!A$2:G$55,3,0)</f>
        <v>42.16</v>
      </c>
      <c r="BG7">
        <f>VLOOKUP(A7,LLY!A$2:G$55,3,0)</f>
        <v>62.71</v>
      </c>
      <c r="BH7">
        <f>VLOOKUP(A7,LMT!A$2:G$55,3,0)</f>
        <v>158.72999999999999</v>
      </c>
      <c r="BI7">
        <f>VLOOKUP(A7,LOW!A$2:G$55,3,0)</f>
        <v>48.32</v>
      </c>
      <c r="BJ7">
        <f>VLOOKUP(A7,MA!A$2:G$55,3,0)</f>
        <v>76.67</v>
      </c>
      <c r="BK7">
        <f>VLOOKUP(A7,MCD!A$2:G$55,3,0)</f>
        <v>101.25</v>
      </c>
      <c r="BL7">
        <f>VLOOKUP(A7,MDLZ!A$2:G$55,3,0)</f>
        <v>38.450000000000003</v>
      </c>
      <c r="BM7">
        <f>VLOOKUP(A7,MDT!A$2:G$55,3,0)</f>
        <v>64.3</v>
      </c>
      <c r="BN7">
        <f>VLOOKUP(A7,MET!A$2:G$55,3,0)</f>
        <v>56.76</v>
      </c>
      <c r="BO7">
        <f>VLOOKUP(A7,MMM!A$2:G$55,3,0)</f>
        <v>145.04</v>
      </c>
      <c r="BP7">
        <f>VLOOKUP(A7,MO!A$2:G$55,3,0)</f>
        <v>43.05</v>
      </c>
      <c r="BQ7">
        <f>VLOOKUP(A7,MON!A$2:G$55,3,0)</f>
        <v>124.95</v>
      </c>
      <c r="BR7">
        <f>VLOOKUP(A7,MRK!A$2:G$55,3,0)</f>
        <v>58.72</v>
      </c>
      <c r="BS7">
        <f>VLOOKUP(A7,MS!A$2:G$55,3,0)</f>
        <v>32.049999999999997</v>
      </c>
      <c r="BT7">
        <f>VLOOKUP(A7,MSFT!A$2:G$55,3,0)</f>
        <v>41.99</v>
      </c>
      <c r="BU7">
        <f>VLOOKUP(A7,NKE!A$2:G$55,3,0)</f>
        <v>78.77</v>
      </c>
      <c r="BV7">
        <f>VLOOKUP(A7,NOV!A$2:G$55,3,0)</f>
        <v>84.67</v>
      </c>
      <c r="BW7">
        <f>VLOOKUP(A7,NSC!A$2:G$55,3,0)</f>
        <v>103.83</v>
      </c>
      <c r="BX7">
        <f>VLOOKUP(A7,ORCL!A$2:G$55,3,0)</f>
        <v>40.72</v>
      </c>
      <c r="BY7">
        <f>VLOOKUP(A7,OXY!A$2:G$55,3,0)</f>
        <v>102.29</v>
      </c>
      <c r="BZ7">
        <f>VLOOKUP(A7,PEP!A$2:G$55,3,0)</f>
        <v>90.1</v>
      </c>
      <c r="CA7">
        <f>VLOOKUP(A7,PFE!A$2:G$55,3,0)</f>
        <v>30.2</v>
      </c>
      <c r="CB7">
        <f>VLOOKUP(A7,PG!A$2:G$55,3,0)</f>
        <v>81.8</v>
      </c>
      <c r="CC7">
        <f>VLOOKUP(A7,PM!A$2:G$55,3,0)</f>
        <v>86.85</v>
      </c>
      <c r="CD7">
        <f>VLOOKUP(A7,QCOM!A$2:G$55,3,0)</f>
        <v>81.11</v>
      </c>
      <c r="CE7">
        <f>VLOOKUP(A7,RTN!A$2:G$55,3,0)</f>
        <v>91.87</v>
      </c>
      <c r="CF7">
        <f>VLOOKUP(A7,SBUX!A$2:G$55,3,0)</f>
        <v>79.48</v>
      </c>
      <c r="CG7">
        <f>VLOOKUP(A7,SLB!A$2:G$55,3,0)</f>
        <v>117.32</v>
      </c>
      <c r="CH7">
        <f>VLOOKUP(A7,SO!A$2:G$55,3,0)</f>
        <v>44.68</v>
      </c>
      <c r="CI7">
        <f>VLOOKUP(A7,SPG!A$2:G$55,3,0)</f>
        <v>167.87</v>
      </c>
      <c r="CJ7">
        <f>VLOOKUP(A7,T!A$2:G$55,3,0)</f>
        <v>35.72</v>
      </c>
      <c r="CK7">
        <f>VLOOKUP(A7,TGT!A$2:G$55,3,0)</f>
        <v>60.19</v>
      </c>
      <c r="CL7">
        <f>VLOOKUP(A7,TWX!A$2:G$55,3,0)</f>
        <v>73.069999999999993</v>
      </c>
      <c r="CM7">
        <f>VLOOKUP(A7,TXN!A$2:G$55,3,0)</f>
        <v>49.41</v>
      </c>
      <c r="CN7">
        <f>VLOOKUP(A7,UNH!A$2:G$55,3,0)</f>
        <v>82.75</v>
      </c>
      <c r="CO7">
        <f>VLOOKUP(A7,UNP!A$2:G$55,3,0)</f>
        <v>101</v>
      </c>
      <c r="CP7">
        <f>VLOOKUP(A7,UPS!A$2:G$55,3,0)</f>
        <v>103.32</v>
      </c>
      <c r="CQ7">
        <f>VLOOKUP(A7,USB!A$2:G$55,3,0)</f>
        <v>43.44</v>
      </c>
      <c r="CR7">
        <f>VLOOKUP(A7,UTX!A$2:G$55,3,0)</f>
        <v>114.5</v>
      </c>
      <c r="CS7">
        <f>VLOOKUP(A7,V!A$2:G$55,3,0)</f>
        <v>216.28</v>
      </c>
      <c r="CT7">
        <f>VLOOKUP(A7,VZ!A$2:G$55,3,0)</f>
        <v>49.11</v>
      </c>
      <c r="CU7">
        <f>VLOOKUP(A7,WAG!A$2:G$55,3,0)</f>
        <v>72.290000000000006</v>
      </c>
      <c r="CV7">
        <f>VLOOKUP(A7,WFC!A$2:G$55,3,0)</f>
        <v>52.3</v>
      </c>
      <c r="CW7">
        <f>VLOOKUP(A7,WMT!A$2:G$55,3,0)</f>
        <v>77.33</v>
      </c>
    </row>
    <row r="8" spans="1:101" x14ac:dyDescent="0.25">
      <c r="A8" s="34">
        <v>41830</v>
      </c>
      <c r="B8" s="36">
        <v>95.55</v>
      </c>
      <c r="C8">
        <f>VLOOKUP(A8,ABBV!A$2:G$55,3,0)</f>
        <v>55.88</v>
      </c>
      <c r="D8">
        <f>VLOOKUP(A8,ABT!A$2:G$55,3,0)</f>
        <v>41.3</v>
      </c>
      <c r="E8">
        <f>VLOOKUP(A8,ACN!A$2:G$55,3,0)</f>
        <v>80.42</v>
      </c>
      <c r="F8">
        <f>VLOOKUP(A8,AIG!A$2:G$55,3,0)</f>
        <v>54.57</v>
      </c>
      <c r="G8">
        <f>VLOOKUP(A8,ALL!A$2:G$55,3,0)</f>
        <v>58.29</v>
      </c>
      <c r="H8">
        <f>VLOOKUP(A8,AMGN!A$2:G$55,3,0)</f>
        <v>119.2</v>
      </c>
      <c r="I8">
        <f>VLOOKUP(A8,AMZN!A$2:G$55,3,0)</f>
        <v>329.98</v>
      </c>
      <c r="J8">
        <f>VLOOKUP(A8,APA!A$2:G$55,3,0)</f>
        <v>99.62</v>
      </c>
      <c r="K8">
        <f>VLOOKUP(A8,APC!A$2:G$55,3,0)</f>
        <v>106.78</v>
      </c>
      <c r="L8">
        <f>VLOOKUP(A8,AXP!A$2:G$55,3,0)</f>
        <v>94.81</v>
      </c>
      <c r="M8">
        <f>VLOOKUP(A8,BA!A$2:G$55,3,0)</f>
        <v>127.63</v>
      </c>
      <c r="N8">
        <f>VLOOKUP(A8,BAC!A$2:G$55,3,0)</f>
        <v>15.53</v>
      </c>
      <c r="O8">
        <f>VLOOKUP(A8,BAX!A$2:G$55,3,0)</f>
        <v>76.78</v>
      </c>
      <c r="P8">
        <f>VLOOKUP(A8,BIIB!A$2:G$55,3,0)</f>
        <v>321.41000000000003</v>
      </c>
      <c r="Q8">
        <f>VLOOKUP(A8,BK!A$2:G$55,3,0)</f>
        <v>37.78</v>
      </c>
      <c r="R8">
        <f>VLOOKUP(A8,BMY!A$2:G$55,3,0)</f>
        <v>48.81</v>
      </c>
      <c r="T8">
        <f>VLOOKUP(A8,'C'!A$2:G$55,3,0)</f>
        <v>47.05</v>
      </c>
      <c r="U8">
        <f>VLOOKUP(A8,CAT!A$2:G$55,3,0)</f>
        <v>109.57</v>
      </c>
      <c r="V8">
        <f>VLOOKUP(A8,CL!A$2:G$55,3,0)</f>
        <v>69.72</v>
      </c>
      <c r="W8">
        <f>VLOOKUP(A8,CMCSA!A$2:G$55,3,0)</f>
        <v>54.78</v>
      </c>
      <c r="X8">
        <f>VLOOKUP(A8,COF!A$2:G$55,3,0)</f>
        <v>84.08</v>
      </c>
      <c r="Y8">
        <f>VLOOKUP(A8,COP!A$2:G$55,3,0)</f>
        <v>85.93</v>
      </c>
      <c r="Z8">
        <f>VLOOKUP(A8,COST!A$2:G$55,3,0)</f>
        <v>118.64</v>
      </c>
      <c r="AA8">
        <f>VLOOKUP(A8,CSCO!A$2:G$55,3,0)</f>
        <v>25.52</v>
      </c>
      <c r="AB8">
        <f>VLOOKUP(A8,CVS!A$2:G$55,3,0)</f>
        <v>76.930000000000007</v>
      </c>
      <c r="AC8">
        <f>VLOOKUP(A8,CVX!A$2:G$55,3,0)</f>
        <v>130.86000000000001</v>
      </c>
      <c r="AD8">
        <f>VLOOKUP(A8,DD!A$2:G$55,3,0)</f>
        <v>65.11</v>
      </c>
      <c r="AE8">
        <f>VLOOKUP(A8,DIS!A$2:G$55,3,0)</f>
        <v>87.61</v>
      </c>
      <c r="AF8">
        <f>VLOOKUP(A8,DOW!A$2:G$55,3,0)</f>
        <v>51.59</v>
      </c>
      <c r="AG8">
        <f>VLOOKUP(A8,DVN!A$2:G$55,3,0)</f>
        <v>78.739999999999995</v>
      </c>
      <c r="AH8">
        <f>VLOOKUP(A8,EBAY!A$2:G$55,3,0)</f>
        <v>50.54</v>
      </c>
      <c r="AI8">
        <f>VLOOKUP(A8,EMC!A$2:G$55,3,0)</f>
        <v>26.78</v>
      </c>
      <c r="AJ8">
        <f>VLOOKUP(A8,EMR!A$2:G$55,3,0)</f>
        <v>67.59</v>
      </c>
      <c r="AK8">
        <f>VLOOKUP(A8,EXC!A$2:G$55,3,0)</f>
        <v>34.47</v>
      </c>
      <c r="AL8">
        <f>VLOOKUP(A8,F!A$2:G$55,3,0)</f>
        <v>17.39</v>
      </c>
      <c r="AM8">
        <f>VLOOKUP(A8,FB!A$2:G$55,3,0)</f>
        <v>65.34</v>
      </c>
      <c r="AN8">
        <f>VLOOKUP(A8,FCX!A$2:G$55,3,0)</f>
        <v>39.32</v>
      </c>
      <c r="AO8">
        <f>VLOOKUP(A8,FDX!A$2:G$55,3,0)</f>
        <v>150.88</v>
      </c>
      <c r="AP8">
        <f>VLOOKUP(A8,FOXA!A$2:G$55,3,0)</f>
        <v>35.9</v>
      </c>
      <c r="AQ8">
        <f>VLOOKUP(A8,GD!A$2:G$55,3,0)</f>
        <v>116.12</v>
      </c>
      <c r="AR8">
        <f>VLOOKUP(A8,GE!A$2:G$55,3,0)</f>
        <v>26.29</v>
      </c>
      <c r="AS8">
        <f>VLOOKUP(A8,GILD!A$2:G$55,3,0)</f>
        <v>89.25</v>
      </c>
      <c r="AT8">
        <f>VLOOKUP(A8,GM!A$2:G$55,3,0)</f>
        <v>37.9</v>
      </c>
      <c r="AU8">
        <f>VLOOKUP(A8,GOOG!A$2:G$55,3,0)</f>
        <v>576.59</v>
      </c>
      <c r="AV8">
        <f>VLOOKUP(A8,GOOGL!A$2:G$55,3,0)</f>
        <v>585.25</v>
      </c>
      <c r="AW8">
        <f>VLOOKUP(A8,GS!A$2:G$55,3,0)</f>
        <v>163.78</v>
      </c>
      <c r="AX8">
        <f>VLOOKUP(A8,HAL!A$2:G$55,3,0)</f>
        <v>69.900000000000006</v>
      </c>
      <c r="AY8">
        <f>VLOOKUP(A8,HD!A$2:G$55,3,0)</f>
        <v>79.58</v>
      </c>
      <c r="AZ8">
        <f>VLOOKUP(A8,HON!A$2:G$55,3,0)</f>
        <v>94.54</v>
      </c>
      <c r="BA8">
        <f>VLOOKUP(A8,HPQ!A$2:G$55,3,0)</f>
        <v>34.01</v>
      </c>
      <c r="BB8">
        <f>VLOOKUP(A8,IBM!A$2:G$55,3,0)</f>
        <v>188.05</v>
      </c>
      <c r="BC8">
        <f>VLOOKUP(A8,INTC!A$2:G$55,3,0)</f>
        <v>31.33</v>
      </c>
      <c r="BD8">
        <f>VLOOKUP(A8,JNJ!A$2:G$55,3,0)</f>
        <v>106</v>
      </c>
      <c r="BE8">
        <f>VLOOKUP(A8,JPM!A$2:G$55,3,0)</f>
        <v>55.81</v>
      </c>
      <c r="BF8">
        <f>VLOOKUP(A8,KO!A$2:G$55,3,0)</f>
        <v>42.29</v>
      </c>
      <c r="BG8">
        <f>VLOOKUP(A8,LLY!A$2:G$55,3,0)</f>
        <v>62.71</v>
      </c>
      <c r="BH8">
        <f>VLOOKUP(A8,LMT!A$2:G$55,3,0)</f>
        <v>159.04</v>
      </c>
      <c r="BI8">
        <f>VLOOKUP(A8,LOW!A$2:G$55,3,0)</f>
        <v>47.42</v>
      </c>
      <c r="BJ8">
        <f>VLOOKUP(A8,MA!A$2:G$55,3,0)</f>
        <v>75.959999999999994</v>
      </c>
      <c r="BK8">
        <f>VLOOKUP(A8,MCD!A$2:G$55,3,0)</f>
        <v>101.05</v>
      </c>
      <c r="BL8">
        <f>VLOOKUP(A8,MDLZ!A$2:G$55,3,0)</f>
        <v>38.049999999999997</v>
      </c>
      <c r="BM8">
        <f>VLOOKUP(A8,MDT!A$2:G$55,3,0)</f>
        <v>63.57</v>
      </c>
      <c r="BN8">
        <f>VLOOKUP(A8,MET!A$2:G$55,3,0)</f>
        <v>55.71</v>
      </c>
      <c r="BO8">
        <f>VLOOKUP(A8,MMM!A$2:G$55,3,0)</f>
        <v>144.19999999999999</v>
      </c>
      <c r="BP8">
        <f>VLOOKUP(A8,MO!A$2:G$55,3,0)</f>
        <v>42.95</v>
      </c>
      <c r="BQ8">
        <f>VLOOKUP(A8,MON!A$2:G$55,3,0)</f>
        <v>123.05</v>
      </c>
      <c r="BR8">
        <f>VLOOKUP(A8,MRK!A$2:G$55,3,0)</f>
        <v>58.77</v>
      </c>
      <c r="BS8">
        <f>VLOOKUP(A8,MS!A$2:G$55,3,0)</f>
        <v>31.74</v>
      </c>
      <c r="BT8">
        <f>VLOOKUP(A8,MSFT!A$2:G$55,3,0)</f>
        <v>42</v>
      </c>
      <c r="BU8">
        <f>VLOOKUP(A8,NKE!A$2:G$55,3,0)</f>
        <v>77.81</v>
      </c>
      <c r="BV8">
        <f>VLOOKUP(A8,NOV!A$2:G$55,3,0)</f>
        <v>83.77</v>
      </c>
      <c r="BW8">
        <f>VLOOKUP(A8,NSC!A$2:G$55,3,0)</f>
        <v>102.72</v>
      </c>
      <c r="BX8">
        <f>VLOOKUP(A8,ORCL!A$2:G$55,3,0)</f>
        <v>40.520000000000003</v>
      </c>
      <c r="BY8">
        <f>VLOOKUP(A8,OXY!A$2:G$55,3,0)</f>
        <v>101.55</v>
      </c>
      <c r="BZ8">
        <f>VLOOKUP(A8,PEP!A$2:G$55,3,0)</f>
        <v>90.22</v>
      </c>
      <c r="CA8">
        <f>VLOOKUP(A8,PFE!A$2:G$55,3,0)</f>
        <v>30.04</v>
      </c>
      <c r="CB8">
        <f>VLOOKUP(A8,PG!A$2:G$55,3,0)</f>
        <v>81.91</v>
      </c>
      <c r="CC8">
        <f>VLOOKUP(A8,PM!A$2:G$55,3,0)</f>
        <v>86.04</v>
      </c>
      <c r="CD8">
        <f>VLOOKUP(A8,QCOM!A$2:G$55,3,0)</f>
        <v>80.680000000000007</v>
      </c>
      <c r="CE8">
        <f>VLOOKUP(A8,RTN!A$2:G$55,3,0)</f>
        <v>92.68</v>
      </c>
      <c r="CF8">
        <f>VLOOKUP(A8,SBUX!A$2:G$55,3,0)</f>
        <v>79.05</v>
      </c>
      <c r="CG8">
        <f>VLOOKUP(A8,SLB!A$2:G$55,3,0)</f>
        <v>116.38</v>
      </c>
      <c r="CH8">
        <f>VLOOKUP(A8,SO!A$2:G$55,3,0)</f>
        <v>44.91</v>
      </c>
      <c r="CI8">
        <f>VLOOKUP(A8,SPG!A$2:G$55,3,0)</f>
        <v>169.13</v>
      </c>
      <c r="CJ8">
        <f>VLOOKUP(A8,T!A$2:G$55,3,0)</f>
        <v>35.770000000000003</v>
      </c>
      <c r="CK8">
        <f>VLOOKUP(A8,TGT!A$2:G$55,3,0)</f>
        <v>59.98</v>
      </c>
      <c r="CL8">
        <f>VLOOKUP(A8,TWX!A$2:G$55,3,0)</f>
        <v>72.44</v>
      </c>
      <c r="CM8">
        <f>VLOOKUP(A8,TXN!A$2:G$55,3,0)</f>
        <v>49.09</v>
      </c>
      <c r="CN8">
        <f>VLOOKUP(A8,UNH!A$2:G$55,3,0)</f>
        <v>82.51</v>
      </c>
      <c r="CO8">
        <f>VLOOKUP(A8,UNP!A$2:G$55,3,0)</f>
        <v>99.98</v>
      </c>
      <c r="CP8">
        <f>VLOOKUP(A8,UPS!A$2:G$55,3,0)</f>
        <v>102.45</v>
      </c>
      <c r="CQ8">
        <f>VLOOKUP(A8,USB!A$2:G$55,3,0)</f>
        <v>43.19</v>
      </c>
      <c r="CR8">
        <f>VLOOKUP(A8,UTX!A$2:G$55,3,0)</f>
        <v>113.92</v>
      </c>
      <c r="CS8">
        <f>VLOOKUP(A8,V!A$2:G$55,3,0)</f>
        <v>216.89</v>
      </c>
      <c r="CT8">
        <f>VLOOKUP(A8,VZ!A$2:G$55,3,0)</f>
        <v>49.77</v>
      </c>
      <c r="CU8">
        <f>VLOOKUP(A8,WAG!A$2:G$55,3,0)</f>
        <v>71.63</v>
      </c>
      <c r="CV8">
        <f>VLOOKUP(A8,WFC!A$2:G$55,3,0)</f>
        <v>51.96</v>
      </c>
      <c r="CW8">
        <f>VLOOKUP(A8,WMT!A$2:G$55,3,0)</f>
        <v>77.569999999999993</v>
      </c>
    </row>
    <row r="9" spans="1:101" x14ac:dyDescent="0.25">
      <c r="A9" s="34">
        <v>41831</v>
      </c>
      <c r="B9" s="36">
        <v>95.89</v>
      </c>
      <c r="C9">
        <f>VLOOKUP(A9,ABBV!A$2:G$55,3,0)</f>
        <v>56.6</v>
      </c>
      <c r="D9">
        <f>VLOOKUP(A9,ABT!A$2:G$55,3,0)</f>
        <v>41.36</v>
      </c>
      <c r="E9">
        <f>VLOOKUP(A9,ACN!A$2:G$55,3,0)</f>
        <v>80.11</v>
      </c>
      <c r="F9">
        <f>VLOOKUP(A9,AIG!A$2:G$55,3,0)</f>
        <v>54.67</v>
      </c>
      <c r="G9">
        <f>VLOOKUP(A9,ALL!A$2:G$55,3,0)</f>
        <v>58.25</v>
      </c>
      <c r="H9">
        <f>VLOOKUP(A9,AMGN!A$2:G$55,3,0)</f>
        <v>120.8</v>
      </c>
      <c r="I9">
        <f>VLOOKUP(A9,AMZN!A$2:G$55,3,0)</f>
        <v>347</v>
      </c>
      <c r="J9">
        <f>VLOOKUP(A9,APA!A$2:G$55,3,0)</f>
        <v>99.09</v>
      </c>
      <c r="K9">
        <f>VLOOKUP(A9,APC!A$2:G$55,3,0)</f>
        <v>106.06</v>
      </c>
      <c r="L9">
        <f>VLOOKUP(A9,AXP!A$2:G$55,3,0)</f>
        <v>94.59</v>
      </c>
      <c r="M9">
        <f>VLOOKUP(A9,BA!A$2:G$55,3,0)</f>
        <v>128.24</v>
      </c>
      <c r="N9">
        <f>VLOOKUP(A9,BAC!A$2:G$55,3,0)</f>
        <v>15.43</v>
      </c>
      <c r="O9">
        <f>VLOOKUP(A9,BAX!A$2:G$55,3,0)</f>
        <v>76.8</v>
      </c>
      <c r="P9">
        <f>VLOOKUP(A9,BIIB!A$2:G$55,3,0)</f>
        <v>323.44</v>
      </c>
      <c r="Q9">
        <f>VLOOKUP(A9,BK!A$2:G$55,3,0)</f>
        <v>37.65</v>
      </c>
      <c r="R9">
        <f>VLOOKUP(A9,BMY!A$2:G$55,3,0)</f>
        <v>48.7</v>
      </c>
      <c r="T9">
        <f>VLOOKUP(A9,'C'!A$2:G$55,3,0)</f>
        <v>47.01</v>
      </c>
      <c r="U9">
        <f>VLOOKUP(A9,CAT!A$2:G$55,3,0)</f>
        <v>109.99</v>
      </c>
      <c r="V9">
        <f>VLOOKUP(A9,CL!A$2:G$55,3,0)</f>
        <v>69.62</v>
      </c>
      <c r="W9">
        <f>VLOOKUP(A9,CMCSA!A$2:G$55,3,0)</f>
        <v>54.64</v>
      </c>
      <c r="X9">
        <f>VLOOKUP(A9,COF!A$2:G$55,3,0)</f>
        <v>84.08</v>
      </c>
      <c r="Y9">
        <f>VLOOKUP(A9,COP!A$2:G$55,3,0)</f>
        <v>85.61</v>
      </c>
      <c r="Z9">
        <f>VLOOKUP(A9,COST!A$2:G$55,3,0)</f>
        <v>118.25</v>
      </c>
      <c r="AA9">
        <f>VLOOKUP(A9,CSCO!A$2:G$55,3,0)</f>
        <v>25.65</v>
      </c>
      <c r="AB9">
        <f>VLOOKUP(A9,CVS!A$2:G$55,3,0)</f>
        <v>77.03</v>
      </c>
      <c r="AC9">
        <f>VLOOKUP(A9,CVX!A$2:G$55,3,0)</f>
        <v>129.88999999999999</v>
      </c>
      <c r="AD9">
        <f>VLOOKUP(A9,DD!A$2:G$55,3,0)</f>
        <v>65.2</v>
      </c>
      <c r="AE9">
        <f>VLOOKUP(A9,DIS!A$2:G$55,3,0)</f>
        <v>87.36</v>
      </c>
      <c r="AF9">
        <f>VLOOKUP(A9,DOW!A$2:G$55,3,0)</f>
        <v>51.68</v>
      </c>
      <c r="AG9">
        <f>VLOOKUP(A9,DVN!A$2:G$55,3,0)</f>
        <v>78.14</v>
      </c>
      <c r="AH9">
        <f>VLOOKUP(A9,EBAY!A$2:G$55,3,0)</f>
        <v>51.83</v>
      </c>
      <c r="AI9">
        <f>VLOOKUP(A9,EMC!A$2:G$55,3,0)</f>
        <v>26.74</v>
      </c>
      <c r="AJ9">
        <f>VLOOKUP(A9,EMR!A$2:G$55,3,0)</f>
        <v>67.760000000000005</v>
      </c>
      <c r="AK9">
        <f>VLOOKUP(A9,EXC!A$2:G$55,3,0)</f>
        <v>34.369999999999997</v>
      </c>
      <c r="AL9">
        <f>VLOOKUP(A9,F!A$2:G$55,3,0)</f>
        <v>17.489999999999998</v>
      </c>
      <c r="AM9">
        <f>VLOOKUP(A9,FB!A$2:G$55,3,0)</f>
        <v>66.59</v>
      </c>
      <c r="AN9">
        <f>VLOOKUP(A9,FCX!A$2:G$55,3,0)</f>
        <v>38.81</v>
      </c>
      <c r="AO9">
        <f>VLOOKUP(A9,FDX!A$2:G$55,3,0)</f>
        <v>151.32</v>
      </c>
      <c r="AP9">
        <f>VLOOKUP(A9,FOXA!A$2:G$55,3,0)</f>
        <v>35.880000000000003</v>
      </c>
      <c r="AQ9">
        <f>VLOOKUP(A9,GD!A$2:G$55,3,0)</f>
        <v>117.02</v>
      </c>
      <c r="AR9">
        <f>VLOOKUP(A9,GE!A$2:G$55,3,0)</f>
        <v>26.55</v>
      </c>
      <c r="AS9">
        <f>VLOOKUP(A9,GILD!A$2:G$55,3,0)</f>
        <v>89.98</v>
      </c>
      <c r="AT9">
        <f>VLOOKUP(A9,GM!A$2:G$55,3,0)</f>
        <v>38.01</v>
      </c>
      <c r="AU9">
        <f>VLOOKUP(A9,GOOG!A$2:G$55,3,0)</f>
        <v>580.85</v>
      </c>
      <c r="AV9">
        <f>VLOOKUP(A9,GOOGL!A$2:G$55,3,0)</f>
        <v>588.23</v>
      </c>
      <c r="AW9">
        <f>VLOOKUP(A9,GS!A$2:G$55,3,0)</f>
        <v>165.14</v>
      </c>
      <c r="AX9">
        <f>VLOOKUP(A9,HAL!A$2:G$55,3,0)</f>
        <v>69.349999999999994</v>
      </c>
      <c r="AY9">
        <f>VLOOKUP(A9,HD!A$2:G$55,3,0)</f>
        <v>79.900000000000006</v>
      </c>
      <c r="AZ9">
        <f>VLOOKUP(A9,HON!A$2:G$55,3,0)</f>
        <v>94.98</v>
      </c>
      <c r="BA9">
        <f>VLOOKUP(A9,HPQ!A$2:G$55,3,0)</f>
        <v>34.18</v>
      </c>
      <c r="BB9">
        <f>VLOOKUP(A9,IBM!A$2:G$55,3,0)</f>
        <v>188.35</v>
      </c>
      <c r="BC9">
        <f>VLOOKUP(A9,INTC!A$2:G$55,3,0)</f>
        <v>31.45</v>
      </c>
      <c r="BD9">
        <f>VLOOKUP(A9,JNJ!A$2:G$55,3,0)</f>
        <v>106.01</v>
      </c>
      <c r="BE9">
        <f>VLOOKUP(A9,JPM!A$2:G$55,3,0)</f>
        <v>55.91</v>
      </c>
      <c r="BF9">
        <f>VLOOKUP(A9,KO!A$2:G$55,3,0)</f>
        <v>42.25</v>
      </c>
      <c r="BG9">
        <f>VLOOKUP(A9,LLY!A$2:G$55,3,0)</f>
        <v>62.95</v>
      </c>
      <c r="BH9">
        <f>VLOOKUP(A9,LMT!A$2:G$55,3,0)</f>
        <v>160.62</v>
      </c>
      <c r="BI9">
        <f>VLOOKUP(A9,LOW!A$2:G$55,3,0)</f>
        <v>47.51</v>
      </c>
      <c r="BJ9">
        <f>VLOOKUP(A9,MA!A$2:G$55,3,0)</f>
        <v>75.849999999999994</v>
      </c>
      <c r="BK9">
        <f>VLOOKUP(A9,MCD!A$2:G$55,3,0)</f>
        <v>100.81</v>
      </c>
      <c r="BL9">
        <f>VLOOKUP(A9,MDLZ!A$2:G$55,3,0)</f>
        <v>39.54</v>
      </c>
      <c r="BM9">
        <f>VLOOKUP(A9,MDT!A$2:G$55,3,0)</f>
        <v>63.85</v>
      </c>
      <c r="BN9">
        <f>VLOOKUP(A9,MET!A$2:G$55,3,0)</f>
        <v>55.93</v>
      </c>
      <c r="BO9">
        <f>VLOOKUP(A9,MMM!A$2:G$55,3,0)</f>
        <v>144.49</v>
      </c>
      <c r="BP9">
        <f>VLOOKUP(A9,MO!A$2:G$55,3,0)</f>
        <v>43.6</v>
      </c>
      <c r="BQ9">
        <f>VLOOKUP(A9,MON!A$2:G$55,3,0)</f>
        <v>122.56</v>
      </c>
      <c r="BR9">
        <f>VLOOKUP(A9,MRK!A$2:G$55,3,0)</f>
        <v>58.74</v>
      </c>
      <c r="BS9">
        <f>VLOOKUP(A9,MS!A$2:G$55,3,0)</f>
        <v>31.69</v>
      </c>
      <c r="BT9">
        <f>VLOOKUP(A9,MSFT!A$2:G$55,3,0)</f>
        <v>42.09</v>
      </c>
      <c r="BU9">
        <f>VLOOKUP(A9,NKE!A$2:G$55,3,0)</f>
        <v>77.59</v>
      </c>
      <c r="BV9">
        <f>VLOOKUP(A9,NOV!A$2:G$55,3,0)</f>
        <v>83.3</v>
      </c>
      <c r="BW9">
        <f>VLOOKUP(A9,NSC!A$2:G$55,3,0)</f>
        <v>104.06</v>
      </c>
      <c r="BX9">
        <f>VLOOKUP(A9,ORCL!A$2:G$55,3,0)</f>
        <v>40.49</v>
      </c>
      <c r="BY9">
        <f>VLOOKUP(A9,OXY!A$2:G$55,3,0)</f>
        <v>100.72</v>
      </c>
      <c r="BZ9">
        <f>VLOOKUP(A9,PEP!A$2:G$55,3,0)</f>
        <v>90.21</v>
      </c>
      <c r="CA9">
        <f>VLOOKUP(A9,PFE!A$2:G$55,3,0)</f>
        <v>30.12</v>
      </c>
      <c r="CB9">
        <f>VLOOKUP(A9,PG!A$2:G$55,3,0)</f>
        <v>81.569999999999993</v>
      </c>
      <c r="CC9">
        <f>VLOOKUP(A9,PM!A$2:G$55,3,0)</f>
        <v>86.08</v>
      </c>
      <c r="CD9">
        <f>VLOOKUP(A9,QCOM!A$2:G$55,3,0)</f>
        <v>80.2</v>
      </c>
      <c r="CE9">
        <f>VLOOKUP(A9,RTN!A$2:G$55,3,0)</f>
        <v>93.3</v>
      </c>
      <c r="CF9">
        <f>VLOOKUP(A9,SBUX!A$2:G$55,3,0)</f>
        <v>78.989999999999995</v>
      </c>
      <c r="CG9">
        <f>VLOOKUP(A9,SLB!A$2:G$55,3,0)</f>
        <v>115.46</v>
      </c>
      <c r="CH9">
        <f>VLOOKUP(A9,SO!A$2:G$55,3,0)</f>
        <v>44.9</v>
      </c>
      <c r="CI9">
        <f>VLOOKUP(A9,SPG!A$2:G$55,3,0)</f>
        <v>169.08</v>
      </c>
      <c r="CJ9">
        <f>VLOOKUP(A9,T!A$2:G$55,3,0)</f>
        <v>35.83</v>
      </c>
      <c r="CK9">
        <f>VLOOKUP(A9,TGT!A$2:G$55,3,0)</f>
        <v>60.05</v>
      </c>
      <c r="CL9">
        <f>VLOOKUP(A9,TWX!A$2:G$55,3,0)</f>
        <v>72.33</v>
      </c>
      <c r="CM9">
        <f>VLOOKUP(A9,TXN!A$2:G$55,3,0)</f>
        <v>49.29</v>
      </c>
      <c r="CN9">
        <f>VLOOKUP(A9,UNH!A$2:G$55,3,0)</f>
        <v>83.13</v>
      </c>
      <c r="CO9">
        <f>VLOOKUP(A9,UNP!A$2:G$55,3,0)</f>
        <v>100.43</v>
      </c>
      <c r="CP9">
        <f>VLOOKUP(A9,UPS!A$2:G$55,3,0)</f>
        <v>102.9</v>
      </c>
      <c r="CQ9">
        <f>VLOOKUP(A9,USB!A$2:G$55,3,0)</f>
        <v>43.22</v>
      </c>
      <c r="CR9">
        <f>VLOOKUP(A9,UTX!A$2:G$55,3,0)</f>
        <v>114.55</v>
      </c>
      <c r="CS9">
        <f>VLOOKUP(A9,V!A$2:G$55,3,0)</f>
        <v>217.04</v>
      </c>
      <c r="CT9">
        <f>VLOOKUP(A9,VZ!A$2:G$55,3,0)</f>
        <v>50.43</v>
      </c>
      <c r="CU9">
        <f>VLOOKUP(A9,WAG!A$2:G$55,3,0)</f>
        <v>71.760000000000005</v>
      </c>
      <c r="CV9">
        <f>VLOOKUP(A9,WFC!A$2:G$55,3,0)</f>
        <v>51.67</v>
      </c>
      <c r="CW9">
        <f>VLOOKUP(A9,WMT!A$2:G$55,3,0)</f>
        <v>76.97</v>
      </c>
    </row>
    <row r="10" spans="1:101" x14ac:dyDescent="0.25">
      <c r="A10" s="34">
        <v>41834</v>
      </c>
      <c r="B10" s="36">
        <v>96.89</v>
      </c>
      <c r="C10">
        <f>VLOOKUP(A10,ABBV!A$2:G$55,3,0)</f>
        <v>55.05</v>
      </c>
      <c r="D10">
        <f>VLOOKUP(A10,ABT!A$2:G$55,3,0)</f>
        <v>41.95</v>
      </c>
      <c r="E10">
        <f>VLOOKUP(A10,ACN!A$2:G$55,3,0)</f>
        <v>80.319999999999993</v>
      </c>
      <c r="F10">
        <f>VLOOKUP(A10,AIG!A$2:G$55,3,0)</f>
        <v>55.25</v>
      </c>
      <c r="G10">
        <f>VLOOKUP(A10,ALL!A$2:G$55,3,0)</f>
        <v>58.68</v>
      </c>
      <c r="H10">
        <f>VLOOKUP(A10,AMGN!A$2:G$55,3,0)</f>
        <v>120.86</v>
      </c>
      <c r="I10">
        <f>VLOOKUP(A10,AMZN!A$2:G$55,3,0)</f>
        <v>355.77</v>
      </c>
      <c r="J10">
        <f>VLOOKUP(A10,APA!A$2:G$55,3,0)</f>
        <v>98.91</v>
      </c>
      <c r="K10">
        <f>VLOOKUP(A10,APC!A$2:G$55,3,0)</f>
        <v>106.33</v>
      </c>
      <c r="L10">
        <f>VLOOKUP(A10,AXP!A$2:G$55,3,0)</f>
        <v>95.58</v>
      </c>
      <c r="M10">
        <f>VLOOKUP(A10,BA!A$2:G$55,3,0)</f>
        <v>130.58000000000001</v>
      </c>
      <c r="N10">
        <f>VLOOKUP(A10,BAC!A$2:G$55,3,0)</f>
        <v>15.67</v>
      </c>
      <c r="O10">
        <f>VLOOKUP(A10,BAX!A$2:G$55,3,0)</f>
        <v>77.14</v>
      </c>
      <c r="P10">
        <f>VLOOKUP(A10,BIIB!A$2:G$55,3,0)</f>
        <v>325.12</v>
      </c>
      <c r="Q10">
        <f>VLOOKUP(A10,BK!A$2:G$55,3,0)</f>
        <v>38.090000000000003</v>
      </c>
      <c r="R10">
        <f>VLOOKUP(A10,BMY!A$2:G$55,3,0)</f>
        <v>49.22</v>
      </c>
      <c r="T10">
        <f>VLOOKUP(A10,'C'!A$2:G$55,3,0)</f>
        <v>48.83</v>
      </c>
      <c r="U10">
        <f>VLOOKUP(A10,CAT!A$2:G$55,3,0)</f>
        <v>111.04</v>
      </c>
      <c r="V10">
        <f>VLOOKUP(A10,CL!A$2:G$55,3,0)</f>
        <v>70.11</v>
      </c>
      <c r="W10">
        <f>VLOOKUP(A10,CMCSA!A$2:G$55,3,0)</f>
        <v>55.25</v>
      </c>
      <c r="X10">
        <f>VLOOKUP(A10,COF!A$2:G$55,3,0)</f>
        <v>84.9</v>
      </c>
      <c r="Y10">
        <f>VLOOKUP(A10,COP!A$2:G$55,3,0)</f>
        <v>85.9</v>
      </c>
      <c r="Z10">
        <f>VLOOKUP(A10,COST!A$2:G$55,3,0)</f>
        <v>118.49</v>
      </c>
      <c r="AA10">
        <f>VLOOKUP(A10,CSCO!A$2:G$55,3,0)</f>
        <v>25.65</v>
      </c>
      <c r="AB10">
        <f>VLOOKUP(A10,CVS!A$2:G$55,3,0)</f>
        <v>77.540000000000006</v>
      </c>
      <c r="AC10">
        <f>VLOOKUP(A10,CVX!A$2:G$55,3,0)</f>
        <v>129.5</v>
      </c>
      <c r="AD10">
        <f>VLOOKUP(A10,DD!A$2:G$55,3,0)</f>
        <v>65.510000000000005</v>
      </c>
      <c r="AE10">
        <f>VLOOKUP(A10,DIS!A$2:G$55,3,0)</f>
        <v>87.49</v>
      </c>
      <c r="AF10">
        <f>VLOOKUP(A10,DOW!A$2:G$55,3,0)</f>
        <v>51.94</v>
      </c>
      <c r="AG10">
        <f>VLOOKUP(A10,DVN!A$2:G$55,3,0)</f>
        <v>78.06</v>
      </c>
      <c r="AH10">
        <f>VLOOKUP(A10,EBAY!A$2:G$55,3,0)</f>
        <v>51.31</v>
      </c>
      <c r="AI10">
        <f>VLOOKUP(A10,EMC!A$2:G$55,3,0)</f>
        <v>26.95</v>
      </c>
      <c r="AJ10">
        <f>VLOOKUP(A10,EMR!A$2:G$55,3,0)</f>
        <v>67.77</v>
      </c>
      <c r="AK10">
        <f>VLOOKUP(A10,EXC!A$2:G$55,3,0)</f>
        <v>33.950000000000003</v>
      </c>
      <c r="AL10">
        <f>VLOOKUP(A10,F!A$2:G$55,3,0)</f>
        <v>17.600000000000001</v>
      </c>
      <c r="AM10">
        <f>VLOOKUP(A10,FB!A$2:G$55,3,0)</f>
        <v>68.17</v>
      </c>
      <c r="AN10">
        <f>VLOOKUP(A10,FCX!A$2:G$55,3,0)</f>
        <v>38.729999999999997</v>
      </c>
      <c r="AO10">
        <f>VLOOKUP(A10,FDX!A$2:G$55,3,0)</f>
        <v>151.91</v>
      </c>
      <c r="AP10">
        <f>VLOOKUP(A10,FOXA!A$2:G$55,3,0)</f>
        <v>35.93</v>
      </c>
      <c r="AQ10">
        <f>VLOOKUP(A10,GD!A$2:G$55,3,0)</f>
        <v>117.45</v>
      </c>
      <c r="AR10">
        <f>VLOOKUP(A10,GE!A$2:G$55,3,0)</f>
        <v>26.86</v>
      </c>
      <c r="AS10">
        <f>VLOOKUP(A10,GILD!A$2:G$55,3,0)</f>
        <v>90.27</v>
      </c>
      <c r="AT10">
        <f>VLOOKUP(A10,GM!A$2:G$55,3,0)</f>
        <v>38.130000000000003</v>
      </c>
      <c r="AU10">
        <f>VLOOKUP(A10,GOOG!A$2:G$55,3,0)</f>
        <v>585.21</v>
      </c>
      <c r="AV10">
        <f>VLOOKUP(A10,GOOGL!A$2:G$55,3,0)</f>
        <v>594.86</v>
      </c>
      <c r="AW10">
        <f>VLOOKUP(A10,GS!A$2:G$55,3,0)</f>
        <v>167.72</v>
      </c>
      <c r="AX10">
        <f>VLOOKUP(A10,HAL!A$2:G$55,3,0)</f>
        <v>70.010000000000005</v>
      </c>
      <c r="AY10">
        <f>VLOOKUP(A10,HD!A$2:G$55,3,0)</f>
        <v>80.06</v>
      </c>
      <c r="AZ10">
        <f>VLOOKUP(A10,HON!A$2:G$55,3,0)</f>
        <v>95.86</v>
      </c>
      <c r="BA10">
        <f>VLOOKUP(A10,HPQ!A$2:G$55,3,0)</f>
        <v>34.340000000000003</v>
      </c>
      <c r="BB10">
        <f>VLOOKUP(A10,IBM!A$2:G$55,3,0)</f>
        <v>190.44</v>
      </c>
      <c r="BC10">
        <f>VLOOKUP(A10,INTC!A$2:G$55,3,0)</f>
        <v>31.58</v>
      </c>
      <c r="BD10">
        <f>VLOOKUP(A10,JNJ!A$2:G$55,3,0)</f>
        <v>105.49</v>
      </c>
      <c r="BE10">
        <f>VLOOKUP(A10,JPM!A$2:G$55,3,0)</f>
        <v>56.84</v>
      </c>
      <c r="BF10">
        <f>VLOOKUP(A10,KO!A$2:G$55,3,0)</f>
        <v>42.39</v>
      </c>
      <c r="BG10">
        <f>VLOOKUP(A10,LLY!A$2:G$55,3,0)</f>
        <v>63.29</v>
      </c>
      <c r="BH10">
        <f>VLOOKUP(A10,LMT!A$2:G$55,3,0)</f>
        <v>161.97999999999999</v>
      </c>
      <c r="BI10">
        <f>VLOOKUP(A10,LOW!A$2:G$55,3,0)</f>
        <v>47.7</v>
      </c>
      <c r="BJ10">
        <f>VLOOKUP(A10,MA!A$2:G$55,3,0)</f>
        <v>77.709999999999994</v>
      </c>
      <c r="BK10">
        <f>VLOOKUP(A10,MCD!A$2:G$55,3,0)</f>
        <v>100.73</v>
      </c>
      <c r="BL10">
        <f>VLOOKUP(A10,MDLZ!A$2:G$55,3,0)</f>
        <v>38.75</v>
      </c>
      <c r="BM10">
        <f>VLOOKUP(A10,MDT!A$2:G$55,3,0)</f>
        <v>64.09</v>
      </c>
      <c r="BN10">
        <f>VLOOKUP(A10,MET!A$2:G$55,3,0)</f>
        <v>56.74</v>
      </c>
      <c r="BO10">
        <f>VLOOKUP(A10,MMM!A$2:G$55,3,0)</f>
        <v>145.71</v>
      </c>
      <c r="BP10">
        <f>VLOOKUP(A10,MO!A$2:G$55,3,0)</f>
        <v>43.7</v>
      </c>
      <c r="BQ10">
        <f>VLOOKUP(A10,MON!A$2:G$55,3,0)</f>
        <v>121.54</v>
      </c>
      <c r="BR10">
        <f>VLOOKUP(A10,MRK!A$2:G$55,3,0)</f>
        <v>58.67</v>
      </c>
      <c r="BS10">
        <f>VLOOKUP(A10,MS!A$2:G$55,3,0)</f>
        <v>32.159999999999997</v>
      </c>
      <c r="BT10">
        <f>VLOOKUP(A10,MSFT!A$2:G$55,3,0)</f>
        <v>42.45</v>
      </c>
      <c r="BU10">
        <f>VLOOKUP(A10,NKE!A$2:G$55,3,0)</f>
        <v>78.19</v>
      </c>
      <c r="BV10">
        <f>VLOOKUP(A10,NOV!A$2:G$55,3,0)</f>
        <v>83.76</v>
      </c>
      <c r="BW10">
        <f>VLOOKUP(A10,NSC!A$2:G$55,3,0)</f>
        <v>105.05</v>
      </c>
      <c r="BX10">
        <f>VLOOKUP(A10,ORCL!A$2:G$55,3,0)</f>
        <v>40.68</v>
      </c>
      <c r="BY10">
        <f>VLOOKUP(A10,OXY!A$2:G$55,3,0)</f>
        <v>101.39</v>
      </c>
      <c r="BZ10">
        <f>VLOOKUP(A10,PEP!A$2:G$55,3,0)</f>
        <v>91.39</v>
      </c>
      <c r="CA10">
        <f>VLOOKUP(A10,PFE!A$2:G$55,3,0)</f>
        <v>30.33</v>
      </c>
      <c r="CB10">
        <f>VLOOKUP(A10,PG!A$2:G$55,3,0)</f>
        <v>81.739999999999995</v>
      </c>
      <c r="CC10">
        <f>VLOOKUP(A10,PM!A$2:G$55,3,0)</f>
        <v>86.26</v>
      </c>
      <c r="CD10">
        <f>VLOOKUP(A10,QCOM!A$2:G$55,3,0)</f>
        <v>79.78</v>
      </c>
      <c r="CE10">
        <f>VLOOKUP(A10,RTN!A$2:G$55,3,0)</f>
        <v>94.13</v>
      </c>
      <c r="CF10">
        <f>VLOOKUP(A10,SBUX!A$2:G$55,3,0)</f>
        <v>78.98</v>
      </c>
      <c r="CG10">
        <f>VLOOKUP(A10,SLB!A$2:G$55,3,0)</f>
        <v>116.06</v>
      </c>
      <c r="CH10">
        <f>VLOOKUP(A10,SO!A$2:G$55,3,0)</f>
        <v>44.66</v>
      </c>
      <c r="CI10">
        <f>VLOOKUP(A10,SPG!A$2:G$55,3,0)</f>
        <v>169.59</v>
      </c>
      <c r="CJ10">
        <f>VLOOKUP(A10,T!A$2:G$55,3,0)</f>
        <v>35.94</v>
      </c>
      <c r="CK10">
        <f>VLOOKUP(A10,TGT!A$2:G$55,3,0)</f>
        <v>60.19</v>
      </c>
      <c r="CL10">
        <f>VLOOKUP(A10,TWX!A$2:G$55,3,0)</f>
        <v>72.61</v>
      </c>
      <c r="CM10">
        <f>VLOOKUP(A10,TXN!A$2:G$55,3,0)</f>
        <v>49.53</v>
      </c>
      <c r="CN10">
        <f>VLOOKUP(A10,UNH!A$2:G$55,3,0)</f>
        <v>84.69</v>
      </c>
      <c r="CO10">
        <f>VLOOKUP(A10,UNP!A$2:G$55,3,0)</f>
        <v>101.35</v>
      </c>
      <c r="CP10">
        <f>VLOOKUP(A10,UPS!A$2:G$55,3,0)</f>
        <v>103.72</v>
      </c>
      <c r="CQ10">
        <f>VLOOKUP(A10,USB!A$2:G$55,3,0)</f>
        <v>43.64</v>
      </c>
      <c r="CR10">
        <f>VLOOKUP(A10,UTX!A$2:G$55,3,0)</f>
        <v>115.35</v>
      </c>
      <c r="CS10">
        <f>VLOOKUP(A10,V!A$2:G$55,3,0)</f>
        <v>222.36</v>
      </c>
      <c r="CT10">
        <f>VLOOKUP(A10,VZ!A$2:G$55,3,0)</f>
        <v>50.6</v>
      </c>
      <c r="CU10">
        <f>VLOOKUP(A10,WAG!A$2:G$55,3,0)</f>
        <v>72.08</v>
      </c>
      <c r="CV10">
        <f>VLOOKUP(A10,WFC!A$2:G$55,3,0)</f>
        <v>51.84</v>
      </c>
      <c r="CW10">
        <f>VLOOKUP(A10,WMT!A$2:G$55,3,0)</f>
        <v>77.25</v>
      </c>
    </row>
    <row r="11" spans="1:101" x14ac:dyDescent="0.25">
      <c r="A11" s="34">
        <v>41835</v>
      </c>
      <c r="B11" s="36">
        <v>96.85</v>
      </c>
      <c r="C11">
        <f>VLOOKUP(A11,ABBV!A$2:G$55,3,0)</f>
        <v>54.69</v>
      </c>
      <c r="D11">
        <f>VLOOKUP(A11,ABT!A$2:G$55,3,0)</f>
        <v>41.8</v>
      </c>
      <c r="E11">
        <f>VLOOKUP(A11,ACN!A$2:G$55,3,0)</f>
        <v>79.86</v>
      </c>
      <c r="F11">
        <f>VLOOKUP(A11,AIG!A$2:G$55,3,0)</f>
        <v>55.52</v>
      </c>
      <c r="G11">
        <f>VLOOKUP(A11,ALL!A$2:G$55,3,0)</f>
        <v>58.65</v>
      </c>
      <c r="H11">
        <f>VLOOKUP(A11,AMGN!A$2:G$55,3,0)</f>
        <v>119.47</v>
      </c>
      <c r="I11">
        <f>VLOOKUP(A11,AMZN!A$2:G$55,3,0)</f>
        <v>355.59</v>
      </c>
      <c r="J11">
        <f>VLOOKUP(A11,APA!A$2:G$55,3,0)</f>
        <v>98.8</v>
      </c>
      <c r="K11">
        <f>VLOOKUP(A11,APC!A$2:G$55,3,0)</f>
        <v>110.31</v>
      </c>
      <c r="L11">
        <f>VLOOKUP(A11,AXP!A$2:G$55,3,0)</f>
        <v>95.16</v>
      </c>
      <c r="M11">
        <f>VLOOKUP(A11,BA!A$2:G$55,3,0)</f>
        <v>130.31</v>
      </c>
      <c r="N11">
        <f>VLOOKUP(A11,BAC!A$2:G$55,3,0)</f>
        <v>15.85</v>
      </c>
      <c r="O11">
        <f>VLOOKUP(A11,BAX!A$2:G$55,3,0)</f>
        <v>77</v>
      </c>
      <c r="P11">
        <f>VLOOKUP(A11,BIIB!A$2:G$55,3,0)</f>
        <v>321.81</v>
      </c>
      <c r="Q11">
        <f>VLOOKUP(A11,BK!A$2:G$55,3,0)</f>
        <v>38.479999999999997</v>
      </c>
      <c r="R11">
        <f>VLOOKUP(A11,BMY!A$2:G$55,3,0)</f>
        <v>49.34</v>
      </c>
      <c r="T11">
        <f>VLOOKUP(A11,'C'!A$2:G$55,3,0)</f>
        <v>49.46</v>
      </c>
      <c r="U11">
        <f>VLOOKUP(A11,CAT!A$2:G$55,3,0)</f>
        <v>110.42</v>
      </c>
      <c r="V11">
        <f>VLOOKUP(A11,CL!A$2:G$55,3,0)</f>
        <v>69.8</v>
      </c>
      <c r="W11">
        <f>VLOOKUP(A11,CMCSA!A$2:G$55,3,0)</f>
        <v>55.17</v>
      </c>
      <c r="X11">
        <f>VLOOKUP(A11,COF!A$2:G$55,3,0)</f>
        <v>85.39</v>
      </c>
      <c r="Y11">
        <f>VLOOKUP(A11,COP!A$2:G$55,3,0)</f>
        <v>85.8</v>
      </c>
      <c r="Z11">
        <f>VLOOKUP(A11,COST!A$2:G$55,3,0)</f>
        <v>118.25</v>
      </c>
      <c r="AA11">
        <f>VLOOKUP(A11,CSCO!A$2:G$55,3,0)</f>
        <v>25.68</v>
      </c>
      <c r="AB11">
        <f>VLOOKUP(A11,CVS!A$2:G$55,3,0)</f>
        <v>77.650000000000006</v>
      </c>
      <c r="AC11">
        <f>VLOOKUP(A11,CVX!A$2:G$55,3,0)</f>
        <v>129.5</v>
      </c>
      <c r="AD11">
        <f>VLOOKUP(A11,DD!A$2:G$55,3,0)</f>
        <v>65.36</v>
      </c>
      <c r="AE11">
        <f>VLOOKUP(A11,DIS!A$2:G$55,3,0)</f>
        <v>86.65</v>
      </c>
      <c r="AF11">
        <f>VLOOKUP(A11,DOW!A$2:G$55,3,0)</f>
        <v>52.06</v>
      </c>
      <c r="AG11">
        <f>VLOOKUP(A11,DVN!A$2:G$55,3,0)</f>
        <v>77.900000000000006</v>
      </c>
      <c r="AH11">
        <f>VLOOKUP(A11,EBAY!A$2:G$55,3,0)</f>
        <v>51.49</v>
      </c>
      <c r="AI11">
        <f>VLOOKUP(A11,EMC!A$2:G$55,3,0)</f>
        <v>26.94</v>
      </c>
      <c r="AJ11">
        <f>VLOOKUP(A11,EMR!A$2:G$55,3,0)</f>
        <v>67.72</v>
      </c>
      <c r="AK11">
        <f>VLOOKUP(A11,EXC!A$2:G$55,3,0)</f>
        <v>33.06</v>
      </c>
      <c r="AL11">
        <f>VLOOKUP(A11,F!A$2:G$55,3,0)</f>
        <v>17.649999999999999</v>
      </c>
      <c r="AM11">
        <f>VLOOKUP(A11,FB!A$2:G$55,3,0)</f>
        <v>68.09</v>
      </c>
      <c r="AN11">
        <f>VLOOKUP(A11,FCX!A$2:G$55,3,0)</f>
        <v>38.869999999999997</v>
      </c>
      <c r="AO11">
        <f>VLOOKUP(A11,FDX!A$2:G$55,3,0)</f>
        <v>152.66999999999999</v>
      </c>
      <c r="AP11">
        <f>VLOOKUP(A11,FOXA!A$2:G$55,3,0)</f>
        <v>35.54</v>
      </c>
      <c r="AQ11">
        <f>VLOOKUP(A11,GD!A$2:G$55,3,0)</f>
        <v>118.1</v>
      </c>
      <c r="AR11">
        <f>VLOOKUP(A11,GE!A$2:G$55,3,0)</f>
        <v>26.8</v>
      </c>
      <c r="AS11">
        <f>VLOOKUP(A11,GILD!A$2:G$55,3,0)</f>
        <v>90.74</v>
      </c>
      <c r="AT11">
        <f>VLOOKUP(A11,GM!A$2:G$55,3,0)</f>
        <v>37.950000000000003</v>
      </c>
      <c r="AU11">
        <f>VLOOKUP(A11,GOOG!A$2:G$55,3,0)</f>
        <v>585.79999999999995</v>
      </c>
      <c r="AV11">
        <f>VLOOKUP(A11,GOOGL!A$2:G$55,3,0)</f>
        <v>595.29999999999995</v>
      </c>
      <c r="AW11">
        <f>VLOOKUP(A11,GS!A$2:G$55,3,0)</f>
        <v>170.15</v>
      </c>
      <c r="AX11">
        <f>VLOOKUP(A11,HAL!A$2:G$55,3,0)</f>
        <v>70.37</v>
      </c>
      <c r="AY11">
        <f>VLOOKUP(A11,HD!A$2:G$55,3,0)</f>
        <v>80.06</v>
      </c>
      <c r="AZ11">
        <f>VLOOKUP(A11,HON!A$2:G$55,3,0)</f>
        <v>96.27</v>
      </c>
      <c r="BA11">
        <f>VLOOKUP(A11,HPQ!A$2:G$55,3,0)</f>
        <v>34.47</v>
      </c>
      <c r="BB11">
        <f>VLOOKUP(A11,IBM!A$2:G$55,3,0)</f>
        <v>190.08</v>
      </c>
      <c r="BC11">
        <f>VLOOKUP(A11,INTC!A$2:G$55,3,0)</f>
        <v>31.8</v>
      </c>
      <c r="BD11">
        <f>VLOOKUP(A11,JNJ!A$2:G$55,3,0)</f>
        <v>105.47</v>
      </c>
      <c r="BE11">
        <f>VLOOKUP(A11,JPM!A$2:G$55,3,0)</f>
        <v>58.69</v>
      </c>
      <c r="BF11">
        <f>VLOOKUP(A11,KO!A$2:G$55,3,0)</f>
        <v>42.43</v>
      </c>
      <c r="BG11">
        <f>VLOOKUP(A11,LLY!A$2:G$55,3,0)</f>
        <v>63.12</v>
      </c>
      <c r="BH11">
        <f>VLOOKUP(A11,LMT!A$2:G$55,3,0)</f>
        <v>163.49</v>
      </c>
      <c r="BI11">
        <f>VLOOKUP(A11,LOW!A$2:G$55,3,0)</f>
        <v>47.73</v>
      </c>
      <c r="BJ11">
        <f>VLOOKUP(A11,MA!A$2:G$55,3,0)</f>
        <v>79.22</v>
      </c>
      <c r="BK11">
        <f>VLOOKUP(A11,MCD!A$2:G$55,3,0)</f>
        <v>100.37</v>
      </c>
      <c r="BL11">
        <f>VLOOKUP(A11,MDLZ!A$2:G$55,3,0)</f>
        <v>38.61</v>
      </c>
      <c r="BM11">
        <f>VLOOKUP(A11,MDT!A$2:G$55,3,0)</f>
        <v>64.349999999999994</v>
      </c>
      <c r="BN11">
        <f>VLOOKUP(A11,MET!A$2:G$55,3,0)</f>
        <v>56.66</v>
      </c>
      <c r="BO11">
        <f>VLOOKUP(A11,MMM!A$2:G$55,3,0)</f>
        <v>145.47999999999999</v>
      </c>
      <c r="BP11">
        <f>VLOOKUP(A11,MO!A$2:G$55,3,0)</f>
        <v>43.08</v>
      </c>
      <c r="BQ11">
        <f>VLOOKUP(A11,MON!A$2:G$55,3,0)</f>
        <v>121.17</v>
      </c>
      <c r="BR11">
        <f>VLOOKUP(A11,MRK!A$2:G$55,3,0)</f>
        <v>58.4</v>
      </c>
      <c r="BS11">
        <f>VLOOKUP(A11,MS!A$2:G$55,3,0)</f>
        <v>32.270000000000003</v>
      </c>
      <c r="BT11">
        <f>VLOOKUP(A11,MSFT!A$2:G$55,3,0)</f>
        <v>42.47</v>
      </c>
      <c r="BU11">
        <f>VLOOKUP(A11,NKE!A$2:G$55,3,0)</f>
        <v>78.209999999999994</v>
      </c>
      <c r="BV11">
        <f>VLOOKUP(A11,NOV!A$2:G$55,3,0)</f>
        <v>84.1</v>
      </c>
      <c r="BW11">
        <f>VLOOKUP(A11,NSC!A$2:G$55,3,0)</f>
        <v>105.11</v>
      </c>
      <c r="BX11">
        <f>VLOOKUP(A11,ORCL!A$2:G$55,3,0)</f>
        <v>40.81</v>
      </c>
      <c r="BY11">
        <f>VLOOKUP(A11,OXY!A$2:G$55,3,0)</f>
        <v>101.53</v>
      </c>
      <c r="BZ11">
        <f>VLOOKUP(A11,PEP!A$2:G$55,3,0)</f>
        <v>90.95</v>
      </c>
      <c r="CA11">
        <f>VLOOKUP(A11,PFE!A$2:G$55,3,0)</f>
        <v>30.62</v>
      </c>
      <c r="CB11">
        <f>VLOOKUP(A11,PG!A$2:G$55,3,0)</f>
        <v>81.52</v>
      </c>
      <c r="CC11">
        <f>VLOOKUP(A11,PM!A$2:G$55,3,0)</f>
        <v>85.61</v>
      </c>
      <c r="CD11">
        <f>VLOOKUP(A11,QCOM!A$2:G$55,3,0)</f>
        <v>79.91</v>
      </c>
      <c r="CE11">
        <f>VLOOKUP(A11,RTN!A$2:G$55,3,0)</f>
        <v>95.26</v>
      </c>
      <c r="CF11">
        <f>VLOOKUP(A11,SBUX!A$2:G$55,3,0)</f>
        <v>79.150000000000006</v>
      </c>
      <c r="CG11">
        <f>VLOOKUP(A11,SLB!A$2:G$55,3,0)</f>
        <v>115.76</v>
      </c>
      <c r="CH11">
        <f>VLOOKUP(A11,SO!A$2:G$55,3,0)</f>
        <v>44.5</v>
      </c>
      <c r="CI11">
        <f>VLOOKUP(A11,SPG!A$2:G$55,3,0)</f>
        <v>170.39</v>
      </c>
      <c r="CJ11">
        <f>VLOOKUP(A11,T!A$2:G$55,3,0)</f>
        <v>36.35</v>
      </c>
      <c r="CK11">
        <f>VLOOKUP(A11,TGT!A$2:G$55,3,0)</f>
        <v>60.72</v>
      </c>
      <c r="CL11">
        <f>VLOOKUP(A11,TWX!A$2:G$55,3,0)</f>
        <v>71.459999999999994</v>
      </c>
      <c r="CM11">
        <f>VLOOKUP(A11,TXN!A$2:G$55,3,0)</f>
        <v>49.12</v>
      </c>
      <c r="CN11">
        <f>VLOOKUP(A11,UNH!A$2:G$55,3,0)</f>
        <v>84.74</v>
      </c>
      <c r="CO11">
        <f>VLOOKUP(A11,UNP!A$2:G$55,3,0)</f>
        <v>101.64</v>
      </c>
      <c r="CP11">
        <f>VLOOKUP(A11,UPS!A$2:G$55,3,0)</f>
        <v>104.37</v>
      </c>
      <c r="CQ11">
        <f>VLOOKUP(A11,USB!A$2:G$55,3,0)</f>
        <v>43.42</v>
      </c>
      <c r="CR11">
        <f>VLOOKUP(A11,UTX!A$2:G$55,3,0)</f>
        <v>116.25</v>
      </c>
      <c r="CS11">
        <f>VLOOKUP(A11,V!A$2:G$55,3,0)</f>
        <v>224.75</v>
      </c>
      <c r="CT11">
        <f>VLOOKUP(A11,VZ!A$2:G$55,3,0)</f>
        <v>50.82</v>
      </c>
      <c r="CU11">
        <f>VLOOKUP(A11,WAG!A$2:G$55,3,0)</f>
        <v>71.89</v>
      </c>
      <c r="CV11">
        <f>VLOOKUP(A11,WFC!A$2:G$55,3,0)</f>
        <v>51.66</v>
      </c>
      <c r="CW11">
        <f>VLOOKUP(A11,WMT!A$2:G$55,3,0)</f>
        <v>76.930000000000007</v>
      </c>
    </row>
    <row r="12" spans="1:101" x14ac:dyDescent="0.25">
      <c r="A12" s="34">
        <v>41836</v>
      </c>
      <c r="B12" s="36">
        <v>97.1</v>
      </c>
      <c r="C12">
        <f>VLOOKUP(A12,ABBV!A$2:G$55,3,0)</f>
        <v>53.67</v>
      </c>
      <c r="D12">
        <f>VLOOKUP(A12,ABT!A$2:G$55,3,0)</f>
        <v>41.58</v>
      </c>
      <c r="E12">
        <f>VLOOKUP(A12,ACN!A$2:G$55,3,0)</f>
        <v>80.11</v>
      </c>
      <c r="F12">
        <f>VLOOKUP(A12,AIG!A$2:G$55,3,0)</f>
        <v>55.46</v>
      </c>
      <c r="G12">
        <f>VLOOKUP(A12,ALL!A$2:G$55,3,0)</f>
        <v>58.67</v>
      </c>
      <c r="H12">
        <f>VLOOKUP(A12,AMGN!A$2:G$55,3,0)</f>
        <v>117.85</v>
      </c>
      <c r="I12">
        <f>VLOOKUP(A12,AMZN!A$2:G$55,3,0)</f>
        <v>359.32</v>
      </c>
      <c r="J12">
        <f>VLOOKUP(A12,APA!A$2:G$55,3,0)</f>
        <v>99.9</v>
      </c>
      <c r="K12">
        <f>VLOOKUP(A12,APC!A$2:G$55,3,0)</f>
        <v>112.8</v>
      </c>
      <c r="L12">
        <f>VLOOKUP(A12,AXP!A$2:G$55,3,0)</f>
        <v>95.09</v>
      </c>
      <c r="M12">
        <f>VLOOKUP(A12,BA!A$2:G$55,3,0)</f>
        <v>129.56</v>
      </c>
      <c r="N12">
        <f>VLOOKUP(A12,BAC!A$2:G$55,3,0)</f>
        <v>15.66</v>
      </c>
      <c r="O12">
        <f>VLOOKUP(A12,BAX!A$2:G$55,3,0)</f>
        <v>77.09</v>
      </c>
      <c r="P12">
        <f>VLOOKUP(A12,BIIB!A$2:G$55,3,0)</f>
        <v>313.83</v>
      </c>
      <c r="Q12">
        <f>VLOOKUP(A12,BK!A$2:G$55,3,0)</f>
        <v>38.39</v>
      </c>
      <c r="R12">
        <f>VLOOKUP(A12,BMY!A$2:G$55,3,0)</f>
        <v>49.09</v>
      </c>
      <c r="T12">
        <f>VLOOKUP(A12,'C'!A$2:G$55,3,0)</f>
        <v>49.87</v>
      </c>
      <c r="U12">
        <f>VLOOKUP(A12,CAT!A$2:G$55,3,0)</f>
        <v>111.46</v>
      </c>
      <c r="V12">
        <f>VLOOKUP(A12,CL!A$2:G$55,3,0)</f>
        <v>69.900000000000006</v>
      </c>
      <c r="W12">
        <f>VLOOKUP(A12,CMCSA!A$2:G$55,3,0)</f>
        <v>55.53</v>
      </c>
      <c r="X12">
        <f>VLOOKUP(A12,COF!A$2:G$55,3,0)</f>
        <v>85.16</v>
      </c>
      <c r="Y12">
        <f>VLOOKUP(A12,COP!A$2:G$55,3,0)</f>
        <v>86.76</v>
      </c>
      <c r="Z12">
        <f>VLOOKUP(A12,COST!A$2:G$55,3,0)</f>
        <v>118.44</v>
      </c>
      <c r="AA12">
        <f>VLOOKUP(A12,CSCO!A$2:G$55,3,0)</f>
        <v>26.05</v>
      </c>
      <c r="AB12">
        <f>VLOOKUP(A12,CVS!A$2:G$55,3,0)</f>
        <v>77.849999999999994</v>
      </c>
      <c r="AC12">
        <f>VLOOKUP(A12,CVX!A$2:G$55,3,0)</f>
        <v>130.94</v>
      </c>
      <c r="AD12">
        <f>VLOOKUP(A12,DD!A$2:G$55,3,0)</f>
        <v>65.05</v>
      </c>
      <c r="AE12">
        <f>VLOOKUP(A12,DIS!A$2:G$55,3,0)</f>
        <v>87.63</v>
      </c>
      <c r="AF12">
        <f>VLOOKUP(A12,DOW!A$2:G$55,3,0)</f>
        <v>52.21</v>
      </c>
      <c r="AG12">
        <f>VLOOKUP(A12,DVN!A$2:G$55,3,0)</f>
        <v>77.959999999999994</v>
      </c>
      <c r="AH12">
        <f>VLOOKUP(A12,EBAY!A$2:G$55,3,0)</f>
        <v>51.18</v>
      </c>
      <c r="AI12">
        <f>VLOOKUP(A12,EMC!A$2:G$55,3,0)</f>
        <v>27.06</v>
      </c>
      <c r="AJ12">
        <f>VLOOKUP(A12,EMR!A$2:G$55,3,0)</f>
        <v>68.23</v>
      </c>
      <c r="AK12">
        <f>VLOOKUP(A12,EXC!A$2:G$55,3,0)</f>
        <v>32.950000000000003</v>
      </c>
      <c r="AL12">
        <f>VLOOKUP(A12,F!A$2:G$55,3,0)</f>
        <v>17.87</v>
      </c>
      <c r="AM12">
        <f>VLOOKUP(A12,FB!A$2:G$55,3,0)</f>
        <v>67.94</v>
      </c>
      <c r="AN12">
        <f>VLOOKUP(A12,FCX!A$2:G$55,3,0)</f>
        <v>39</v>
      </c>
      <c r="AO12">
        <f>VLOOKUP(A12,FDX!A$2:G$55,3,0)</f>
        <v>154.5</v>
      </c>
      <c r="AP12">
        <f>VLOOKUP(A12,FOXA!A$2:G$55,3,0)</f>
        <v>35.29</v>
      </c>
      <c r="AQ12">
        <f>VLOOKUP(A12,GD!A$2:G$55,3,0)</f>
        <v>118.15</v>
      </c>
      <c r="AR12">
        <f>VLOOKUP(A12,GE!A$2:G$55,3,0)</f>
        <v>27.15</v>
      </c>
      <c r="AS12">
        <f>VLOOKUP(A12,GILD!A$2:G$55,3,0)</f>
        <v>89.44</v>
      </c>
      <c r="AT12">
        <f>VLOOKUP(A12,GM!A$2:G$55,3,0)</f>
        <v>37.909999999999997</v>
      </c>
      <c r="AU12">
        <f>VLOOKUP(A12,GOOG!A$2:G$55,3,0)</f>
        <v>588.4</v>
      </c>
      <c r="AV12">
        <f>VLOOKUP(A12,GOOGL!A$2:G$55,3,0)</f>
        <v>597</v>
      </c>
      <c r="AW12">
        <f>VLOOKUP(A12,GS!A$2:G$55,3,0)</f>
        <v>170.99</v>
      </c>
      <c r="AX12">
        <f>VLOOKUP(A12,HAL!A$2:G$55,3,0)</f>
        <v>71.94</v>
      </c>
      <c r="AY12">
        <f>VLOOKUP(A12,HD!A$2:G$55,3,0)</f>
        <v>80.239999999999995</v>
      </c>
      <c r="AZ12">
        <f>VLOOKUP(A12,HON!A$2:G$55,3,0)</f>
        <v>96.76</v>
      </c>
      <c r="BA12">
        <f>VLOOKUP(A12,HPQ!A$2:G$55,3,0)</f>
        <v>35.119999999999997</v>
      </c>
      <c r="BB12">
        <f>VLOOKUP(A12,IBM!A$2:G$55,3,0)</f>
        <v>193.36</v>
      </c>
      <c r="BC12">
        <f>VLOOKUP(A12,INTC!A$2:G$55,3,0)</f>
        <v>34.74</v>
      </c>
      <c r="BD12">
        <f>VLOOKUP(A12,JNJ!A$2:G$55,3,0)</f>
        <v>103.67</v>
      </c>
      <c r="BE12">
        <f>VLOOKUP(A12,JPM!A$2:G$55,3,0)</f>
        <v>58.98</v>
      </c>
      <c r="BF12">
        <f>VLOOKUP(A12,KO!A$2:G$55,3,0)</f>
        <v>42.39</v>
      </c>
      <c r="BG12">
        <f>VLOOKUP(A12,LLY!A$2:G$55,3,0)</f>
        <v>63.17</v>
      </c>
      <c r="BH12">
        <f>VLOOKUP(A12,LMT!A$2:G$55,3,0)</f>
        <v>163.46</v>
      </c>
      <c r="BI12">
        <f>VLOOKUP(A12,LOW!A$2:G$55,3,0)</f>
        <v>47.77</v>
      </c>
      <c r="BJ12">
        <f>VLOOKUP(A12,MA!A$2:G$55,3,0)</f>
        <v>78.69</v>
      </c>
      <c r="BK12">
        <f>VLOOKUP(A12,MCD!A$2:G$55,3,0)</f>
        <v>99.8</v>
      </c>
      <c r="BL12">
        <f>VLOOKUP(A12,MDLZ!A$2:G$55,3,0)</f>
        <v>38.31</v>
      </c>
      <c r="BM12">
        <f>VLOOKUP(A12,MDT!A$2:G$55,3,0)</f>
        <v>63.8</v>
      </c>
      <c r="BN12">
        <f>VLOOKUP(A12,MET!A$2:G$55,3,0)</f>
        <v>56.7</v>
      </c>
      <c r="BO12">
        <f>VLOOKUP(A12,MMM!A$2:G$55,3,0)</f>
        <v>146.25</v>
      </c>
      <c r="BP12">
        <f>VLOOKUP(A12,MO!A$2:G$55,3,0)</f>
        <v>42.36</v>
      </c>
      <c r="BQ12">
        <f>VLOOKUP(A12,MON!A$2:G$55,3,0)</f>
        <v>121.29</v>
      </c>
      <c r="BR12">
        <f>VLOOKUP(A12,MRK!A$2:G$55,3,0)</f>
        <v>58.21</v>
      </c>
      <c r="BS12">
        <f>VLOOKUP(A12,MS!A$2:G$55,3,0)</f>
        <v>32.61</v>
      </c>
      <c r="BT12">
        <f>VLOOKUP(A12,MSFT!A$2:G$55,3,0)</f>
        <v>44.31</v>
      </c>
      <c r="BU12">
        <f>VLOOKUP(A12,NKE!A$2:G$55,3,0)</f>
        <v>78.23</v>
      </c>
      <c r="BV12">
        <f>VLOOKUP(A12,NOV!A$2:G$55,3,0)</f>
        <v>85.47</v>
      </c>
      <c r="BW12">
        <f>VLOOKUP(A12,NSC!A$2:G$55,3,0)</f>
        <v>105.37</v>
      </c>
      <c r="BX12">
        <f>VLOOKUP(A12,ORCL!A$2:G$55,3,0)</f>
        <v>40.880000000000003</v>
      </c>
      <c r="BY12">
        <f>VLOOKUP(A12,OXY!A$2:G$55,3,0)</f>
        <v>101.91</v>
      </c>
      <c r="BZ12">
        <f>VLOOKUP(A12,PEP!A$2:G$55,3,0)</f>
        <v>90.88</v>
      </c>
      <c r="CA12">
        <f>VLOOKUP(A12,PFE!A$2:G$55,3,0)</f>
        <v>30.97</v>
      </c>
      <c r="CB12">
        <f>VLOOKUP(A12,PG!A$2:G$55,3,0)</f>
        <v>81.2</v>
      </c>
      <c r="CC12">
        <f>VLOOKUP(A12,PM!A$2:G$55,3,0)</f>
        <v>85.55</v>
      </c>
      <c r="CD12">
        <f>VLOOKUP(A12,QCOM!A$2:G$55,3,0)</f>
        <v>79.94</v>
      </c>
      <c r="CE12">
        <f>VLOOKUP(A12,RTN!A$2:G$55,3,0)</f>
        <v>95.12</v>
      </c>
      <c r="CF12">
        <f>VLOOKUP(A12,SBUX!A$2:G$55,3,0)</f>
        <v>79.06</v>
      </c>
      <c r="CG12">
        <f>VLOOKUP(A12,SLB!A$2:G$55,3,0)</f>
        <v>115.9</v>
      </c>
      <c r="CH12">
        <f>VLOOKUP(A12,SO!A$2:G$55,3,0)</f>
        <v>44.78</v>
      </c>
      <c r="CI12">
        <f>VLOOKUP(A12,SPG!A$2:G$55,3,0)</f>
        <v>170.98</v>
      </c>
      <c r="CJ12">
        <f>VLOOKUP(A12,T!A$2:G$55,3,0)</f>
        <v>36.549999999999997</v>
      </c>
      <c r="CK12">
        <f>VLOOKUP(A12,TGT!A$2:G$55,3,0)</f>
        <v>60.74</v>
      </c>
      <c r="CL12">
        <f>VLOOKUP(A12,TWX!A$2:G$55,3,0)</f>
        <v>84.4</v>
      </c>
      <c r="CM12">
        <f>VLOOKUP(A12,TXN!A$2:G$55,3,0)</f>
        <v>49.2</v>
      </c>
      <c r="CN12">
        <f>VLOOKUP(A12,UNH!A$2:G$55,3,0)</f>
        <v>84.13</v>
      </c>
      <c r="CO12">
        <f>VLOOKUP(A12,UNP!A$2:G$55,3,0)</f>
        <v>102</v>
      </c>
      <c r="CP12">
        <f>VLOOKUP(A12,UPS!A$2:G$55,3,0)</f>
        <v>105.09</v>
      </c>
      <c r="CQ12">
        <f>VLOOKUP(A12,USB!A$2:G$55,3,0)</f>
        <v>43.49</v>
      </c>
      <c r="CR12">
        <f>VLOOKUP(A12,UTX!A$2:G$55,3,0)</f>
        <v>115.27</v>
      </c>
      <c r="CS12">
        <f>VLOOKUP(A12,V!A$2:G$55,3,0)</f>
        <v>223.16</v>
      </c>
      <c r="CT12">
        <f>VLOOKUP(A12,VZ!A$2:G$55,3,0)</f>
        <v>51.02</v>
      </c>
      <c r="CU12">
        <f>VLOOKUP(A12,WAG!A$2:G$55,3,0)</f>
        <v>72.41</v>
      </c>
      <c r="CV12">
        <f>VLOOKUP(A12,WFC!A$2:G$55,3,0)</f>
        <v>51.66</v>
      </c>
      <c r="CW12">
        <f>VLOOKUP(A12,WMT!A$2:G$55,3,0)</f>
        <v>77.05</v>
      </c>
    </row>
    <row r="13" spans="1:101" x14ac:dyDescent="0.25">
      <c r="A13" s="34">
        <v>41837</v>
      </c>
      <c r="B13" s="36">
        <v>95.28</v>
      </c>
      <c r="C13">
        <f>VLOOKUP(A13,ABBV!A$2:G$55,3,0)</f>
        <v>55</v>
      </c>
      <c r="D13">
        <f>VLOOKUP(A13,ABT!A$2:G$55,3,0)</f>
        <v>42.99</v>
      </c>
      <c r="E13">
        <f>VLOOKUP(A13,ACN!A$2:G$55,3,0)</f>
        <v>80.099999999999994</v>
      </c>
      <c r="F13">
        <f>VLOOKUP(A13,AIG!A$2:G$55,3,0)</f>
        <v>55.33</v>
      </c>
      <c r="G13">
        <f>VLOOKUP(A13,ALL!A$2:G$55,3,0)</f>
        <v>58.6</v>
      </c>
      <c r="H13">
        <f>VLOOKUP(A13,AMGN!A$2:G$55,3,0)</f>
        <v>117.17</v>
      </c>
      <c r="I13">
        <f>VLOOKUP(A13,AMZN!A$2:G$55,3,0)</f>
        <v>356.96</v>
      </c>
      <c r="J13">
        <f>VLOOKUP(A13,APA!A$2:G$55,3,0)</f>
        <v>101.5</v>
      </c>
      <c r="K13">
        <f>VLOOKUP(A13,APC!A$2:G$55,3,0)</f>
        <v>112.5</v>
      </c>
      <c r="L13">
        <f>VLOOKUP(A13,AXP!A$2:G$55,3,0)</f>
        <v>94.7</v>
      </c>
      <c r="M13">
        <f>VLOOKUP(A13,BA!A$2:G$55,3,0)</f>
        <v>128.18</v>
      </c>
      <c r="N13">
        <f>VLOOKUP(A13,BAC!A$2:G$55,3,0)</f>
        <v>15.48</v>
      </c>
      <c r="O13">
        <f>VLOOKUP(A13,BAX!A$2:G$55,3,0)</f>
        <v>77.239999999999995</v>
      </c>
      <c r="P13">
        <f>VLOOKUP(A13,BIIB!A$2:G$55,3,0)</f>
        <v>307.99</v>
      </c>
      <c r="Q13">
        <f>VLOOKUP(A13,BK!A$2:G$55,3,0)</f>
        <v>38.24</v>
      </c>
      <c r="R13">
        <f>VLOOKUP(A13,BMY!A$2:G$55,3,0)</f>
        <v>48.89</v>
      </c>
      <c r="T13">
        <f>VLOOKUP(A13,'C'!A$2:G$55,3,0)</f>
        <v>49.98</v>
      </c>
      <c r="U13">
        <f>VLOOKUP(A13,CAT!A$2:G$55,3,0)</f>
        <v>110.67</v>
      </c>
      <c r="V13">
        <f>VLOOKUP(A13,CL!A$2:G$55,3,0)</f>
        <v>69.5</v>
      </c>
      <c r="W13">
        <f>VLOOKUP(A13,CMCSA!A$2:G$55,3,0)</f>
        <v>55.16</v>
      </c>
      <c r="X13">
        <f>VLOOKUP(A13,COF!A$2:G$55,3,0)</f>
        <v>84.28</v>
      </c>
      <c r="Y13">
        <f>VLOOKUP(A13,COP!A$2:G$55,3,0)</f>
        <v>86.4</v>
      </c>
      <c r="Z13">
        <f>VLOOKUP(A13,COST!A$2:G$55,3,0)</f>
        <v>117.54</v>
      </c>
      <c r="AA13">
        <f>VLOOKUP(A13,CSCO!A$2:G$55,3,0)</f>
        <v>26</v>
      </c>
      <c r="AB13">
        <f>VLOOKUP(A13,CVS!A$2:G$55,3,0)</f>
        <v>77.010000000000005</v>
      </c>
      <c r="AC13">
        <f>VLOOKUP(A13,CVX!A$2:G$55,3,0)</f>
        <v>131.5</v>
      </c>
      <c r="AD13">
        <f>VLOOKUP(A13,DD!A$2:G$55,3,0)</f>
        <v>65.33</v>
      </c>
      <c r="AE13">
        <f>VLOOKUP(A13,DIS!A$2:G$55,3,0)</f>
        <v>86.19</v>
      </c>
      <c r="AF13">
        <f>VLOOKUP(A13,DOW!A$2:G$55,3,0)</f>
        <v>52.13</v>
      </c>
      <c r="AG13">
        <f>VLOOKUP(A13,DVN!A$2:G$55,3,0)</f>
        <v>78.63</v>
      </c>
      <c r="AH13">
        <f>VLOOKUP(A13,EBAY!A$2:G$55,3,0)</f>
        <v>51.84</v>
      </c>
      <c r="AI13">
        <f>VLOOKUP(A13,EMC!A$2:G$55,3,0)</f>
        <v>27</v>
      </c>
      <c r="AJ13">
        <f>VLOOKUP(A13,EMR!A$2:G$55,3,0)</f>
        <v>67.61</v>
      </c>
      <c r="AK13">
        <f>VLOOKUP(A13,EXC!A$2:G$55,3,0)</f>
        <v>33.1</v>
      </c>
      <c r="AL13">
        <f>VLOOKUP(A13,F!A$2:G$55,3,0)</f>
        <v>18.079999999999998</v>
      </c>
      <c r="AM13">
        <f>VLOOKUP(A13,FB!A$2:G$55,3,0)</f>
        <v>67.849999999999994</v>
      </c>
      <c r="AN13">
        <f>VLOOKUP(A13,FCX!A$2:G$55,3,0)</f>
        <v>38.85</v>
      </c>
      <c r="AO13">
        <f>VLOOKUP(A13,FDX!A$2:G$55,3,0)</f>
        <v>155.31</v>
      </c>
      <c r="AP13">
        <f>VLOOKUP(A13,FOXA!A$2:G$55,3,0)</f>
        <v>33.31</v>
      </c>
      <c r="AQ13">
        <f>VLOOKUP(A13,GD!A$2:G$55,3,0)</f>
        <v>117.55</v>
      </c>
      <c r="AR13">
        <f>VLOOKUP(A13,GE!A$2:G$55,3,0)</f>
        <v>26.98</v>
      </c>
      <c r="AS13">
        <f>VLOOKUP(A13,GILD!A$2:G$55,3,0)</f>
        <v>88.17</v>
      </c>
      <c r="AT13">
        <f>VLOOKUP(A13,GM!A$2:G$55,3,0)</f>
        <v>37.67</v>
      </c>
      <c r="AU13">
        <f>VLOOKUP(A13,GOOG!A$2:G$55,3,0)</f>
        <v>580.99</v>
      </c>
      <c r="AV13">
        <f>VLOOKUP(A13,GOOGL!A$2:G$55,3,0)</f>
        <v>589.5</v>
      </c>
      <c r="AW13">
        <f>VLOOKUP(A13,GS!A$2:G$55,3,0)</f>
        <v>171.6</v>
      </c>
      <c r="AX13">
        <f>VLOOKUP(A13,HAL!A$2:G$55,3,0)</f>
        <v>71.900000000000006</v>
      </c>
      <c r="AY13">
        <f>VLOOKUP(A13,HD!A$2:G$55,3,0)</f>
        <v>79.88</v>
      </c>
      <c r="AZ13">
        <f>VLOOKUP(A13,HON!A$2:G$55,3,0)</f>
        <v>96.35</v>
      </c>
      <c r="BA13">
        <f>VLOOKUP(A13,HPQ!A$2:G$55,3,0)</f>
        <v>34.69</v>
      </c>
      <c r="BB13">
        <f>VLOOKUP(A13,IBM!A$2:G$55,3,0)</f>
        <v>195.95</v>
      </c>
      <c r="BC13">
        <f>VLOOKUP(A13,INTC!A$2:G$55,3,0)</f>
        <v>34.36</v>
      </c>
      <c r="BD13">
        <f>VLOOKUP(A13,JNJ!A$2:G$55,3,0)</f>
        <v>102.1</v>
      </c>
      <c r="BE13">
        <f>VLOOKUP(A13,JPM!A$2:G$55,3,0)</f>
        <v>58.86</v>
      </c>
      <c r="BF13">
        <f>VLOOKUP(A13,KO!A$2:G$55,3,0)</f>
        <v>42.15</v>
      </c>
      <c r="BG13">
        <f>VLOOKUP(A13,LLY!A$2:G$55,3,0)</f>
        <v>62.87</v>
      </c>
      <c r="BH13">
        <f>VLOOKUP(A13,LMT!A$2:G$55,3,0)</f>
        <v>163.19999999999999</v>
      </c>
      <c r="BI13">
        <f>VLOOKUP(A13,LOW!A$2:G$55,3,0)</f>
        <v>47.78</v>
      </c>
      <c r="BJ13">
        <f>VLOOKUP(A13,MA!A$2:G$55,3,0)</f>
        <v>77.87</v>
      </c>
      <c r="BK13">
        <f>VLOOKUP(A13,MCD!A$2:G$55,3,0)</f>
        <v>99.09</v>
      </c>
      <c r="BL13">
        <f>VLOOKUP(A13,MDLZ!A$2:G$55,3,0)</f>
        <v>38.17</v>
      </c>
      <c r="BM13">
        <f>VLOOKUP(A13,MDT!A$2:G$55,3,0)</f>
        <v>62.76</v>
      </c>
      <c r="BN13">
        <f>VLOOKUP(A13,MET!A$2:G$55,3,0)</f>
        <v>56.27</v>
      </c>
      <c r="BO13">
        <f>VLOOKUP(A13,MMM!A$2:G$55,3,0)</f>
        <v>145.66999999999999</v>
      </c>
      <c r="BP13">
        <f>VLOOKUP(A13,MO!A$2:G$55,3,0)</f>
        <v>41.98</v>
      </c>
      <c r="BQ13">
        <f>VLOOKUP(A13,MON!A$2:G$55,3,0)</f>
        <v>120.61</v>
      </c>
      <c r="BR13">
        <f>VLOOKUP(A13,MRK!A$2:G$55,3,0)</f>
        <v>58.24</v>
      </c>
      <c r="BS13">
        <f>VLOOKUP(A13,MS!A$2:G$55,3,0)</f>
        <v>33.159999999999997</v>
      </c>
      <c r="BT13">
        <f>VLOOKUP(A13,MSFT!A$2:G$55,3,0)</f>
        <v>45.71</v>
      </c>
      <c r="BU13">
        <f>VLOOKUP(A13,NKE!A$2:G$55,3,0)</f>
        <v>76.97</v>
      </c>
      <c r="BV13">
        <f>VLOOKUP(A13,NOV!A$2:G$55,3,0)</f>
        <v>85.75</v>
      </c>
      <c r="BW13">
        <f>VLOOKUP(A13,NSC!A$2:G$55,3,0)</f>
        <v>105.47</v>
      </c>
      <c r="BX13">
        <f>VLOOKUP(A13,ORCL!A$2:G$55,3,0)</f>
        <v>40.71</v>
      </c>
      <c r="BY13">
        <f>VLOOKUP(A13,OXY!A$2:G$55,3,0)</f>
        <v>102.17</v>
      </c>
      <c r="BZ13">
        <f>VLOOKUP(A13,PEP!A$2:G$55,3,0)</f>
        <v>90.67</v>
      </c>
      <c r="CA13">
        <f>VLOOKUP(A13,PFE!A$2:G$55,3,0)</f>
        <v>31.31</v>
      </c>
      <c r="CB13">
        <f>VLOOKUP(A13,PG!A$2:G$55,3,0)</f>
        <v>81.22</v>
      </c>
      <c r="CC13">
        <f>VLOOKUP(A13,PM!A$2:G$55,3,0)</f>
        <v>86.65</v>
      </c>
      <c r="CD13">
        <f>VLOOKUP(A13,QCOM!A$2:G$55,3,0)</f>
        <v>79.209999999999994</v>
      </c>
      <c r="CE13">
        <f>VLOOKUP(A13,RTN!A$2:G$55,3,0)</f>
        <v>95.14</v>
      </c>
      <c r="CF13">
        <f>VLOOKUP(A13,SBUX!A$2:G$55,3,0)</f>
        <v>78.459999999999994</v>
      </c>
      <c r="CG13">
        <f>VLOOKUP(A13,SLB!A$2:G$55,3,0)</f>
        <v>115.65</v>
      </c>
      <c r="CH13">
        <f>VLOOKUP(A13,SO!A$2:G$55,3,0)</f>
        <v>44.85</v>
      </c>
      <c r="CI13">
        <f>VLOOKUP(A13,SPG!A$2:G$55,3,0)</f>
        <v>170.93</v>
      </c>
      <c r="CJ13">
        <f>VLOOKUP(A13,T!A$2:G$55,3,0)</f>
        <v>36.47</v>
      </c>
      <c r="CK13">
        <f>VLOOKUP(A13,TGT!A$2:G$55,3,0)</f>
        <v>60.2</v>
      </c>
      <c r="CL13">
        <f>VLOOKUP(A13,TWX!A$2:G$55,3,0)</f>
        <v>87.14</v>
      </c>
      <c r="CM13">
        <f>VLOOKUP(A13,TXN!A$2:G$55,3,0)</f>
        <v>48.93</v>
      </c>
      <c r="CN13">
        <f>VLOOKUP(A13,UNH!A$2:G$55,3,0)</f>
        <v>87.24</v>
      </c>
      <c r="CO13">
        <f>VLOOKUP(A13,UNP!A$2:G$55,3,0)</f>
        <v>101.73</v>
      </c>
      <c r="CP13">
        <f>VLOOKUP(A13,UPS!A$2:G$55,3,0)</f>
        <v>104.23</v>
      </c>
      <c r="CQ13">
        <f>VLOOKUP(A13,USB!A$2:G$55,3,0)</f>
        <v>42.32</v>
      </c>
      <c r="CR13">
        <f>VLOOKUP(A13,UTX!A$2:G$55,3,0)</f>
        <v>114.11</v>
      </c>
      <c r="CS13">
        <f>VLOOKUP(A13,V!A$2:G$55,3,0)</f>
        <v>222</v>
      </c>
      <c r="CT13">
        <f>VLOOKUP(A13,VZ!A$2:G$55,3,0)</f>
        <v>50.98</v>
      </c>
      <c r="CU13">
        <f>VLOOKUP(A13,WAG!A$2:G$55,3,0)</f>
        <v>71.62</v>
      </c>
      <c r="CV13">
        <f>VLOOKUP(A13,WFC!A$2:G$55,3,0)</f>
        <v>51.12</v>
      </c>
      <c r="CW13">
        <f>VLOOKUP(A13,WMT!A$2:G$55,3,0)</f>
        <v>77.05</v>
      </c>
    </row>
    <row r="14" spans="1:101" x14ac:dyDescent="0.25">
      <c r="A14" s="34">
        <v>41838</v>
      </c>
      <c r="B14" s="36">
        <v>94.74</v>
      </c>
      <c r="C14">
        <f>VLOOKUP(A14,ABBV!A$2:G$55,3,0)</f>
        <v>55.12</v>
      </c>
      <c r="D14">
        <f>VLOOKUP(A14,ABT!A$2:G$55,3,0)</f>
        <v>42.8</v>
      </c>
      <c r="E14">
        <f>VLOOKUP(A14,ACN!A$2:G$55,3,0)</f>
        <v>79.790000000000006</v>
      </c>
      <c r="F14">
        <f>VLOOKUP(A14,AIG!A$2:G$55,3,0)</f>
        <v>55.26</v>
      </c>
      <c r="G14">
        <f>VLOOKUP(A14,ALL!A$2:G$55,3,0)</f>
        <v>58.1</v>
      </c>
      <c r="H14">
        <f>VLOOKUP(A14,AMGN!A$2:G$55,3,0)</f>
        <v>118.68</v>
      </c>
      <c r="I14">
        <f>VLOOKUP(A14,AMZN!A$2:G$55,3,0)</f>
        <v>359.68</v>
      </c>
      <c r="J14">
        <f>VLOOKUP(A14,APA!A$2:G$55,3,0)</f>
        <v>99.24</v>
      </c>
      <c r="K14">
        <f>VLOOKUP(A14,APC!A$2:G$55,3,0)</f>
        <v>108.77</v>
      </c>
      <c r="L14">
        <f>VLOOKUP(A14,AXP!A$2:G$55,3,0)</f>
        <v>93.93</v>
      </c>
      <c r="M14">
        <f>VLOOKUP(A14,BA!A$2:G$55,3,0)</f>
        <v>127.82</v>
      </c>
      <c r="N14">
        <f>VLOOKUP(A14,BAC!A$2:G$55,3,0)</f>
        <v>15.5</v>
      </c>
      <c r="O14">
        <f>VLOOKUP(A14,BAX!A$2:G$55,3,0)</f>
        <v>76.56</v>
      </c>
      <c r="P14">
        <f>VLOOKUP(A14,BIIB!A$2:G$55,3,0)</f>
        <v>305.82</v>
      </c>
      <c r="Q14">
        <f>VLOOKUP(A14,BK!A$2:G$55,3,0)</f>
        <v>38.5</v>
      </c>
      <c r="R14">
        <f>VLOOKUP(A14,BMY!A$2:G$55,3,0)</f>
        <v>49.19</v>
      </c>
      <c r="T14">
        <f>VLOOKUP(A14,'C'!A$2:G$55,3,0)</f>
        <v>49.81</v>
      </c>
      <c r="U14">
        <f>VLOOKUP(A14,CAT!A$2:G$55,3,0)</f>
        <v>110.17</v>
      </c>
      <c r="V14">
        <f>VLOOKUP(A14,CL!A$2:G$55,3,0)</f>
        <v>69.010000000000005</v>
      </c>
      <c r="W14">
        <f>VLOOKUP(A14,CMCSA!A$2:G$55,3,0)</f>
        <v>54.74</v>
      </c>
      <c r="X14">
        <f>VLOOKUP(A14,COF!A$2:G$55,3,0)</f>
        <v>83.9</v>
      </c>
      <c r="Y14">
        <f>VLOOKUP(A14,COP!A$2:G$55,3,0)</f>
        <v>85.21</v>
      </c>
      <c r="Z14">
        <f>VLOOKUP(A14,COST!A$2:G$55,3,0)</f>
        <v>117.8</v>
      </c>
      <c r="AA14">
        <f>VLOOKUP(A14,CSCO!A$2:G$55,3,0)</f>
        <v>25.96</v>
      </c>
      <c r="AB14">
        <f>VLOOKUP(A14,CVS!A$2:G$55,3,0)</f>
        <v>77.52</v>
      </c>
      <c r="AC14">
        <f>VLOOKUP(A14,CVX!A$2:G$55,3,0)</f>
        <v>130.72999999999999</v>
      </c>
      <c r="AD14">
        <f>VLOOKUP(A14,DD!A$2:G$55,3,0)</f>
        <v>65.61</v>
      </c>
      <c r="AE14">
        <f>VLOOKUP(A14,DIS!A$2:G$55,3,0)</f>
        <v>85.98</v>
      </c>
      <c r="AF14">
        <f>VLOOKUP(A14,DOW!A$2:G$55,3,0)</f>
        <v>52.16</v>
      </c>
      <c r="AG14">
        <f>VLOOKUP(A14,DVN!A$2:G$55,3,0)</f>
        <v>77.34</v>
      </c>
      <c r="AH14">
        <f>VLOOKUP(A14,EBAY!A$2:G$55,3,0)</f>
        <v>51.64</v>
      </c>
      <c r="AI14">
        <f>VLOOKUP(A14,EMC!A$2:G$55,3,0)</f>
        <v>27</v>
      </c>
      <c r="AJ14">
        <f>VLOOKUP(A14,EMR!A$2:G$55,3,0)</f>
        <v>67.48</v>
      </c>
      <c r="AK14">
        <f>VLOOKUP(A14,EXC!A$2:G$55,3,0)</f>
        <v>32.35</v>
      </c>
      <c r="AL14">
        <f>VLOOKUP(A14,F!A$2:G$55,3,0)</f>
        <v>17.84</v>
      </c>
      <c r="AM14">
        <f>VLOOKUP(A14,FB!A$2:G$55,3,0)</f>
        <v>68.459999999999994</v>
      </c>
      <c r="AN14">
        <f>VLOOKUP(A14,FCX!A$2:G$55,3,0)</f>
        <v>38.61</v>
      </c>
      <c r="AO14">
        <f>VLOOKUP(A14,FDX!A$2:G$55,3,0)</f>
        <v>153.15</v>
      </c>
      <c r="AP14">
        <f>VLOOKUP(A14,FOXA!A$2:G$55,3,0)</f>
        <v>33.14</v>
      </c>
      <c r="AQ14">
        <f>VLOOKUP(A14,GD!A$2:G$55,3,0)</f>
        <v>117.88</v>
      </c>
      <c r="AR14">
        <f>VLOOKUP(A14,GE!A$2:G$55,3,0)</f>
        <v>26.78</v>
      </c>
      <c r="AS14">
        <f>VLOOKUP(A14,GILD!A$2:G$55,3,0)</f>
        <v>89.75</v>
      </c>
      <c r="AT14">
        <f>VLOOKUP(A14,GM!A$2:G$55,3,0)</f>
        <v>37.42</v>
      </c>
      <c r="AU14">
        <f>VLOOKUP(A14,GOOG!A$2:G$55,3,0)</f>
        <v>596.79999999999995</v>
      </c>
      <c r="AV14">
        <f>VLOOKUP(A14,GOOGL!A$2:G$55,3,0)</f>
        <v>606.70000000000005</v>
      </c>
      <c r="AW14">
        <f>VLOOKUP(A14,GS!A$2:G$55,3,0)</f>
        <v>171.79</v>
      </c>
      <c r="AX14">
        <f>VLOOKUP(A14,HAL!A$2:G$55,3,0)</f>
        <v>71.150000000000006</v>
      </c>
      <c r="AY14">
        <f>VLOOKUP(A14,HD!A$2:G$55,3,0)</f>
        <v>80.28</v>
      </c>
      <c r="AZ14">
        <f>VLOOKUP(A14,HON!A$2:G$55,3,0)</f>
        <v>97.28</v>
      </c>
      <c r="BA14">
        <f>VLOOKUP(A14,HPQ!A$2:G$55,3,0)</f>
        <v>34.840000000000003</v>
      </c>
      <c r="BB14">
        <f>VLOOKUP(A14,IBM!A$2:G$55,3,0)</f>
        <v>193.44</v>
      </c>
      <c r="BC14">
        <f>VLOOKUP(A14,INTC!A$2:G$55,3,0)</f>
        <v>33.840000000000003</v>
      </c>
      <c r="BD14">
        <f>VLOOKUP(A14,JNJ!A$2:G$55,3,0)</f>
        <v>101.96</v>
      </c>
      <c r="BE14">
        <f>VLOOKUP(A14,JPM!A$2:G$55,3,0)</f>
        <v>58.48</v>
      </c>
      <c r="BF14">
        <f>VLOOKUP(A14,KO!A$2:G$55,3,0)</f>
        <v>42.47</v>
      </c>
      <c r="BG14">
        <f>VLOOKUP(A14,LLY!A$2:G$55,3,0)</f>
        <v>63.5</v>
      </c>
      <c r="BH14">
        <f>VLOOKUP(A14,LMT!A$2:G$55,3,0)</f>
        <v>162.54</v>
      </c>
      <c r="BI14">
        <f>VLOOKUP(A14,LOW!A$2:G$55,3,0)</f>
        <v>47.87</v>
      </c>
      <c r="BJ14">
        <f>VLOOKUP(A14,MA!A$2:G$55,3,0)</f>
        <v>77.650000000000006</v>
      </c>
      <c r="BK14">
        <f>VLOOKUP(A14,MCD!A$2:G$55,3,0)</f>
        <v>99.09</v>
      </c>
      <c r="BL14">
        <f>VLOOKUP(A14,MDLZ!A$2:G$55,3,0)</f>
        <v>38.5</v>
      </c>
      <c r="BM14">
        <f>VLOOKUP(A14,MDT!A$2:G$55,3,0)</f>
        <v>62.62</v>
      </c>
      <c r="BN14">
        <f>VLOOKUP(A14,MET!A$2:G$55,3,0)</f>
        <v>55.93</v>
      </c>
      <c r="BO14">
        <f>VLOOKUP(A14,MMM!A$2:G$55,3,0)</f>
        <v>145.06</v>
      </c>
      <c r="BP14">
        <f>VLOOKUP(A14,MO!A$2:G$55,3,0)</f>
        <v>42.26</v>
      </c>
      <c r="BQ14">
        <f>VLOOKUP(A14,MON!A$2:G$55,3,0)</f>
        <v>120.6</v>
      </c>
      <c r="BR14">
        <f>VLOOKUP(A14,MRK!A$2:G$55,3,0)</f>
        <v>58.43</v>
      </c>
      <c r="BS14">
        <f>VLOOKUP(A14,MS!A$2:G$55,3,0)</f>
        <v>32.78</v>
      </c>
      <c r="BT14">
        <f>VLOOKUP(A14,MSFT!A$2:G$55,3,0)</f>
        <v>44.84</v>
      </c>
      <c r="BU14">
        <f>VLOOKUP(A14,NKE!A$2:G$55,3,0)</f>
        <v>77.709999999999994</v>
      </c>
      <c r="BV14">
        <f>VLOOKUP(A14,NOV!A$2:G$55,3,0)</f>
        <v>85.45</v>
      </c>
      <c r="BW14">
        <f>VLOOKUP(A14,NSC!A$2:G$55,3,0)</f>
        <v>106.22</v>
      </c>
      <c r="BX14">
        <f>VLOOKUP(A14,ORCL!A$2:G$55,3,0)</f>
        <v>40.159999999999997</v>
      </c>
      <c r="BY14">
        <f>VLOOKUP(A14,OXY!A$2:G$55,3,0)</f>
        <v>101.01</v>
      </c>
      <c r="BZ14">
        <f>VLOOKUP(A14,PEP!A$2:G$55,3,0)</f>
        <v>90.28</v>
      </c>
      <c r="CA14">
        <f>VLOOKUP(A14,PFE!A$2:G$55,3,0)</f>
        <v>30.75</v>
      </c>
      <c r="CB14">
        <f>VLOOKUP(A14,PG!A$2:G$55,3,0)</f>
        <v>80.75</v>
      </c>
      <c r="CC14">
        <f>VLOOKUP(A14,PM!A$2:G$55,3,0)</f>
        <v>86.15</v>
      </c>
      <c r="CD14">
        <f>VLOOKUP(A14,QCOM!A$2:G$55,3,0)</f>
        <v>79.430000000000007</v>
      </c>
      <c r="CE14">
        <f>VLOOKUP(A14,RTN!A$2:G$55,3,0)</f>
        <v>94.96</v>
      </c>
      <c r="CF14">
        <f>VLOOKUP(A14,SBUX!A$2:G$55,3,0)</f>
        <v>78.150000000000006</v>
      </c>
      <c r="CG14">
        <f>VLOOKUP(A14,SLB!A$2:G$55,3,0)</f>
        <v>113.65</v>
      </c>
      <c r="CH14">
        <f>VLOOKUP(A14,SO!A$2:G$55,3,0)</f>
        <v>44.95</v>
      </c>
      <c r="CI14">
        <f>VLOOKUP(A14,SPG!A$2:G$55,3,0)</f>
        <v>171.27</v>
      </c>
      <c r="CJ14">
        <f>VLOOKUP(A14,T!A$2:G$55,3,0)</f>
        <v>36.19</v>
      </c>
      <c r="CK14">
        <f>VLOOKUP(A14,TGT!A$2:G$55,3,0)</f>
        <v>60.04</v>
      </c>
      <c r="CL14">
        <f>VLOOKUP(A14,TWX!A$2:G$55,3,0)</f>
        <v>87.23</v>
      </c>
      <c r="CM14">
        <f>VLOOKUP(A14,TXN!A$2:G$55,3,0)</f>
        <v>48.97</v>
      </c>
      <c r="CN14">
        <f>VLOOKUP(A14,UNH!A$2:G$55,3,0)</f>
        <v>85.78</v>
      </c>
      <c r="CO14">
        <f>VLOOKUP(A14,UNP!A$2:G$55,3,0)</f>
        <v>101.35</v>
      </c>
      <c r="CP14">
        <f>VLOOKUP(A14,UPS!A$2:G$55,3,0)</f>
        <v>103.82</v>
      </c>
      <c r="CQ14">
        <f>VLOOKUP(A14,USB!A$2:G$55,3,0)</f>
        <v>42.31</v>
      </c>
      <c r="CR14">
        <f>VLOOKUP(A14,UTX!A$2:G$55,3,0)</f>
        <v>113.66</v>
      </c>
      <c r="CS14">
        <f>VLOOKUP(A14,V!A$2:G$55,3,0)</f>
        <v>221.89</v>
      </c>
      <c r="CT14">
        <f>VLOOKUP(A14,VZ!A$2:G$55,3,0)</f>
        <v>50.85</v>
      </c>
      <c r="CU14">
        <f>VLOOKUP(A14,WAG!A$2:G$55,3,0)</f>
        <v>72.33</v>
      </c>
      <c r="CV14">
        <f>VLOOKUP(A14,WFC!A$2:G$55,3,0)</f>
        <v>51.36</v>
      </c>
      <c r="CW14">
        <f>VLOOKUP(A14,WMT!A$2:G$55,3,0)</f>
        <v>77.099999999999994</v>
      </c>
    </row>
    <row r="15" spans="1:101" x14ac:dyDescent="0.25">
      <c r="A15" s="34">
        <v>41841</v>
      </c>
      <c r="B15" s="36">
        <v>95</v>
      </c>
      <c r="C15">
        <f>VLOOKUP(A15,ABBV!A$2:G$55,3,0)</f>
        <v>54.45</v>
      </c>
      <c r="D15">
        <f>VLOOKUP(A15,ABT!A$2:G$55,3,0)</f>
        <v>43.03</v>
      </c>
      <c r="E15">
        <f>VLOOKUP(A15,ACN!A$2:G$55,3,0)</f>
        <v>80.2</v>
      </c>
      <c r="F15">
        <f>VLOOKUP(A15,AIG!A$2:G$55,3,0)</f>
        <v>55.19</v>
      </c>
      <c r="G15">
        <f>VLOOKUP(A15,ALL!A$2:G$55,3,0)</f>
        <v>58.13</v>
      </c>
      <c r="H15">
        <f>VLOOKUP(A15,AMGN!A$2:G$55,3,0)</f>
        <v>119.34</v>
      </c>
      <c r="I15">
        <f>VLOOKUP(A15,AMZN!A$2:G$55,3,0)</f>
        <v>361.71</v>
      </c>
      <c r="J15">
        <f>VLOOKUP(A15,APA!A$2:G$55,3,0)</f>
        <v>98.69</v>
      </c>
      <c r="K15">
        <f>VLOOKUP(A15,APC!A$2:G$55,3,0)</f>
        <v>109.3</v>
      </c>
      <c r="L15">
        <f>VLOOKUP(A15,AXP!A$2:G$55,3,0)</f>
        <v>93.4</v>
      </c>
      <c r="M15">
        <f>VLOOKUP(A15,BA!A$2:G$55,3,0)</f>
        <v>128.41999999999999</v>
      </c>
      <c r="N15">
        <f>VLOOKUP(A15,BAC!A$2:G$55,3,0)</f>
        <v>15.55</v>
      </c>
      <c r="O15">
        <f>VLOOKUP(A15,BAX!A$2:G$55,3,0)</f>
        <v>76.319999999999993</v>
      </c>
      <c r="P15">
        <f>VLOOKUP(A15,BIIB!A$2:G$55,3,0)</f>
        <v>304.24</v>
      </c>
      <c r="Q15">
        <f>VLOOKUP(A15,BK!A$2:G$55,3,0)</f>
        <v>38.700000000000003</v>
      </c>
      <c r="R15">
        <f>VLOOKUP(A15,BMY!A$2:G$55,3,0)</f>
        <v>49.22</v>
      </c>
      <c r="T15">
        <f>VLOOKUP(A15,'C'!A$2:G$55,3,0)</f>
        <v>49.47</v>
      </c>
      <c r="U15">
        <f>VLOOKUP(A15,CAT!A$2:G$55,3,0)</f>
        <v>110.55</v>
      </c>
      <c r="V15">
        <f>VLOOKUP(A15,CL!A$2:G$55,3,0)</f>
        <v>68.89</v>
      </c>
      <c r="W15">
        <f>VLOOKUP(A15,CMCSA!A$2:G$55,3,0)</f>
        <v>54.46</v>
      </c>
      <c r="X15">
        <f>VLOOKUP(A15,COF!A$2:G$55,3,0)</f>
        <v>82.42</v>
      </c>
      <c r="Y15">
        <f>VLOOKUP(A15,COP!A$2:G$55,3,0)</f>
        <v>85.17</v>
      </c>
      <c r="Z15">
        <f>VLOOKUP(A15,COST!A$2:G$55,3,0)</f>
        <v>117.91</v>
      </c>
      <c r="AA15">
        <f>VLOOKUP(A15,CSCO!A$2:G$55,3,0)</f>
        <v>25.95</v>
      </c>
      <c r="AB15">
        <f>VLOOKUP(A15,CVS!A$2:G$55,3,0)</f>
        <v>77.290000000000006</v>
      </c>
      <c r="AC15">
        <f>VLOOKUP(A15,CVX!A$2:G$55,3,0)</f>
        <v>131.34</v>
      </c>
      <c r="AD15">
        <f>VLOOKUP(A15,DD!A$2:G$55,3,0)</f>
        <v>65.75</v>
      </c>
      <c r="AE15">
        <f>VLOOKUP(A15,DIS!A$2:G$55,3,0)</f>
        <v>86</v>
      </c>
      <c r="AF15">
        <f>VLOOKUP(A15,DOW!A$2:G$55,3,0)</f>
        <v>52.05</v>
      </c>
      <c r="AG15">
        <f>VLOOKUP(A15,DVN!A$2:G$55,3,0)</f>
        <v>77.209999999999994</v>
      </c>
      <c r="AH15">
        <f>VLOOKUP(A15,EBAY!A$2:G$55,3,0)</f>
        <v>51.86</v>
      </c>
      <c r="AI15">
        <f>VLOOKUP(A15,EMC!A$2:G$55,3,0)</f>
        <v>28.37</v>
      </c>
      <c r="AJ15">
        <f>VLOOKUP(A15,EMR!A$2:G$55,3,0)</f>
        <v>67.61</v>
      </c>
      <c r="AK15">
        <f>VLOOKUP(A15,EXC!A$2:G$55,3,0)</f>
        <v>32.32</v>
      </c>
      <c r="AL15">
        <f>VLOOKUP(A15,F!A$2:G$55,3,0)</f>
        <v>17.899999999999999</v>
      </c>
      <c r="AM15">
        <f>VLOOKUP(A15,FB!A$2:G$55,3,0)</f>
        <v>69.959999999999994</v>
      </c>
      <c r="AN15">
        <f>VLOOKUP(A15,FCX!A$2:G$55,3,0)</f>
        <v>38.75</v>
      </c>
      <c r="AO15">
        <f>VLOOKUP(A15,FDX!A$2:G$55,3,0)</f>
        <v>153.31</v>
      </c>
      <c r="AP15">
        <f>VLOOKUP(A15,FOXA!A$2:G$55,3,0)</f>
        <v>33.15</v>
      </c>
      <c r="AQ15">
        <f>VLOOKUP(A15,GD!A$2:G$55,3,0)</f>
        <v>118.47</v>
      </c>
      <c r="AR15">
        <f>VLOOKUP(A15,GE!A$2:G$55,3,0)</f>
        <v>26.33</v>
      </c>
      <c r="AS15">
        <f>VLOOKUP(A15,GILD!A$2:G$55,3,0)</f>
        <v>90.98</v>
      </c>
      <c r="AT15">
        <f>VLOOKUP(A15,GM!A$2:G$55,3,0)</f>
        <v>37.53</v>
      </c>
      <c r="AU15">
        <f>VLOOKUP(A15,GOOG!A$2:G$55,3,0)</f>
        <v>594.4</v>
      </c>
      <c r="AV15">
        <f>VLOOKUP(A15,GOOGL!A$2:G$55,3,0)</f>
        <v>604.16</v>
      </c>
      <c r="AW15">
        <f>VLOOKUP(A15,GS!A$2:G$55,3,0)</f>
        <v>172.1</v>
      </c>
      <c r="AX15">
        <f>VLOOKUP(A15,HAL!A$2:G$55,3,0)</f>
        <v>72.2</v>
      </c>
      <c r="AY15">
        <f>VLOOKUP(A15,HD!A$2:G$55,3,0)</f>
        <v>80.03</v>
      </c>
      <c r="AZ15">
        <f>VLOOKUP(A15,HON!A$2:G$55,3,0)</f>
        <v>97.5</v>
      </c>
      <c r="BA15">
        <f>VLOOKUP(A15,HPQ!A$2:G$55,3,0)</f>
        <v>34.840000000000003</v>
      </c>
      <c r="BB15">
        <f>VLOOKUP(A15,IBM!A$2:G$55,3,0)</f>
        <v>191.7</v>
      </c>
      <c r="BC15">
        <f>VLOOKUP(A15,INTC!A$2:G$55,3,0)</f>
        <v>34.229999999999997</v>
      </c>
      <c r="BD15">
        <f>VLOOKUP(A15,JNJ!A$2:G$55,3,0)</f>
        <v>101.58</v>
      </c>
      <c r="BE15">
        <f>VLOOKUP(A15,JPM!A$2:G$55,3,0)</f>
        <v>58.41</v>
      </c>
      <c r="BF15">
        <f>VLOOKUP(A15,KO!A$2:G$55,3,0)</f>
        <v>42.57</v>
      </c>
      <c r="BG15">
        <f>VLOOKUP(A15,LLY!A$2:G$55,3,0)</f>
        <v>63.69</v>
      </c>
      <c r="BH15">
        <f>VLOOKUP(A15,LMT!A$2:G$55,3,0)</f>
        <v>163.66999999999999</v>
      </c>
      <c r="BI15">
        <f>VLOOKUP(A15,LOW!A$2:G$55,3,0)</f>
        <v>47.76</v>
      </c>
      <c r="BJ15">
        <f>VLOOKUP(A15,MA!A$2:G$55,3,0)</f>
        <v>77.44</v>
      </c>
      <c r="BK15">
        <f>VLOOKUP(A15,MCD!A$2:G$55,3,0)</f>
        <v>98.63</v>
      </c>
      <c r="BL15">
        <f>VLOOKUP(A15,MDLZ!A$2:G$55,3,0)</f>
        <v>38.479999999999997</v>
      </c>
      <c r="BM15">
        <f>VLOOKUP(A15,MDT!A$2:G$55,3,0)</f>
        <v>62.54</v>
      </c>
      <c r="BN15">
        <f>VLOOKUP(A15,MET!A$2:G$55,3,0)</f>
        <v>55.81</v>
      </c>
      <c r="BO15">
        <f>VLOOKUP(A15,MMM!A$2:G$55,3,0)</f>
        <v>144.87</v>
      </c>
      <c r="BP15">
        <f>VLOOKUP(A15,MO!A$2:G$55,3,0)</f>
        <v>42.05</v>
      </c>
      <c r="BQ15">
        <f>VLOOKUP(A15,MON!A$2:G$55,3,0)</f>
        <v>119.83</v>
      </c>
      <c r="BR15">
        <f>VLOOKUP(A15,MRK!A$2:G$55,3,0)</f>
        <v>58.19</v>
      </c>
      <c r="BS15">
        <f>VLOOKUP(A15,MS!A$2:G$55,3,0)</f>
        <v>32.700000000000003</v>
      </c>
      <c r="BT15">
        <f>VLOOKUP(A15,MSFT!A$2:G$55,3,0)</f>
        <v>45.16</v>
      </c>
      <c r="BU15">
        <f>VLOOKUP(A15,NKE!A$2:G$55,3,0)</f>
        <v>77.3</v>
      </c>
      <c r="BV15">
        <f>VLOOKUP(A15,NOV!A$2:G$55,3,0)</f>
        <v>85.76</v>
      </c>
      <c r="BW15">
        <f>VLOOKUP(A15,NSC!A$2:G$55,3,0)</f>
        <v>106.37</v>
      </c>
      <c r="BX15">
        <f>VLOOKUP(A15,ORCL!A$2:G$55,3,0)</f>
        <v>40.24</v>
      </c>
      <c r="BY15">
        <f>VLOOKUP(A15,OXY!A$2:G$55,3,0)</f>
        <v>101.16</v>
      </c>
      <c r="BZ15">
        <f>VLOOKUP(A15,PEP!A$2:G$55,3,0)</f>
        <v>90.14</v>
      </c>
      <c r="CA15">
        <f>VLOOKUP(A15,PFE!A$2:G$55,3,0)</f>
        <v>30.64</v>
      </c>
      <c r="CB15">
        <f>VLOOKUP(A15,PG!A$2:G$55,3,0)</f>
        <v>80.400000000000006</v>
      </c>
      <c r="CC15">
        <f>VLOOKUP(A15,PM!A$2:G$55,3,0)</f>
        <v>85.78</v>
      </c>
      <c r="CD15">
        <f>VLOOKUP(A15,QCOM!A$2:G$55,3,0)</f>
        <v>79.97</v>
      </c>
      <c r="CE15">
        <f>VLOOKUP(A15,RTN!A$2:G$55,3,0)</f>
        <v>95.98</v>
      </c>
      <c r="CF15">
        <f>VLOOKUP(A15,SBUX!A$2:G$55,3,0)</f>
        <v>77.930000000000007</v>
      </c>
      <c r="CG15">
        <f>VLOOKUP(A15,SLB!A$2:G$55,3,0)</f>
        <v>113.97</v>
      </c>
      <c r="CH15">
        <f>VLOOKUP(A15,SO!A$2:G$55,3,0)</f>
        <v>45.05</v>
      </c>
      <c r="CI15">
        <f>VLOOKUP(A15,SPG!A$2:G$55,3,0)</f>
        <v>170.8</v>
      </c>
      <c r="CJ15">
        <f>VLOOKUP(A15,T!A$2:G$55,3,0)</f>
        <v>36.159999999999997</v>
      </c>
      <c r="CK15">
        <f>VLOOKUP(A15,TGT!A$2:G$55,3,0)</f>
        <v>60.02</v>
      </c>
      <c r="CL15">
        <f>VLOOKUP(A15,TWX!A$2:G$55,3,0)</f>
        <v>88.13</v>
      </c>
      <c r="CM15">
        <f>VLOOKUP(A15,TXN!A$2:G$55,3,0)</f>
        <v>49.34</v>
      </c>
      <c r="CN15">
        <f>VLOOKUP(A15,UNH!A$2:G$55,3,0)</f>
        <v>85.29</v>
      </c>
      <c r="CO15">
        <f>VLOOKUP(A15,UNP!A$2:G$55,3,0)</f>
        <v>101.89</v>
      </c>
      <c r="CP15">
        <f>VLOOKUP(A15,UPS!A$2:G$55,3,0)</f>
        <v>104.47</v>
      </c>
      <c r="CQ15">
        <f>VLOOKUP(A15,USB!A$2:G$55,3,0)</f>
        <v>42.21</v>
      </c>
      <c r="CR15">
        <f>VLOOKUP(A15,UTX!A$2:G$55,3,0)</f>
        <v>113.5</v>
      </c>
      <c r="CS15">
        <f>VLOOKUP(A15,V!A$2:G$55,3,0)</f>
        <v>220.13</v>
      </c>
      <c r="CT15">
        <f>VLOOKUP(A15,VZ!A$2:G$55,3,0)</f>
        <v>51</v>
      </c>
      <c r="CU15">
        <f>VLOOKUP(A15,WAG!A$2:G$55,3,0)</f>
        <v>72.09</v>
      </c>
      <c r="CV15">
        <f>VLOOKUP(A15,WFC!A$2:G$55,3,0)</f>
        <v>51.15</v>
      </c>
      <c r="CW15">
        <f>VLOOKUP(A15,WMT!A$2:G$55,3,0)</f>
        <v>76.91</v>
      </c>
    </row>
    <row r="16" spans="1:101" x14ac:dyDescent="0.25">
      <c r="A16" s="34">
        <v>41842</v>
      </c>
      <c r="B16" s="36">
        <v>94.89</v>
      </c>
      <c r="C16">
        <f>VLOOKUP(A16,ABBV!A$2:G$55,3,0)</f>
        <v>54.38</v>
      </c>
      <c r="D16">
        <f>VLOOKUP(A16,ABT!A$2:G$55,3,0)</f>
        <v>43.23</v>
      </c>
      <c r="E16">
        <f>VLOOKUP(A16,ACN!A$2:G$55,3,0)</f>
        <v>80.67</v>
      </c>
      <c r="F16">
        <f>VLOOKUP(A16,AIG!A$2:G$55,3,0)</f>
        <v>55.05</v>
      </c>
      <c r="G16">
        <f>VLOOKUP(A16,ALL!A$2:G$55,3,0)</f>
        <v>58.18</v>
      </c>
      <c r="H16">
        <f>VLOOKUP(A16,AMGN!A$2:G$55,3,0)</f>
        <v>121.27</v>
      </c>
      <c r="I16">
        <f>VLOOKUP(A16,AMZN!A$2:G$55,3,0)</f>
        <v>362.93</v>
      </c>
      <c r="J16">
        <f>VLOOKUP(A16,APA!A$2:G$55,3,0)</f>
        <v>104</v>
      </c>
      <c r="K16">
        <f>VLOOKUP(A16,APC!A$2:G$55,3,0)</f>
        <v>109.51</v>
      </c>
      <c r="L16">
        <f>VLOOKUP(A16,AXP!A$2:G$55,3,0)</f>
        <v>94.06</v>
      </c>
      <c r="M16">
        <f>VLOOKUP(A16,BA!A$2:G$55,3,0)</f>
        <v>130.01</v>
      </c>
      <c r="N16">
        <f>VLOOKUP(A16,BAC!A$2:G$55,3,0)</f>
        <v>15.62</v>
      </c>
      <c r="O16">
        <f>VLOOKUP(A16,BAX!A$2:G$55,3,0)</f>
        <v>77.150000000000006</v>
      </c>
      <c r="P16">
        <f>VLOOKUP(A16,BIIB!A$2:G$55,3,0)</f>
        <v>308.68</v>
      </c>
      <c r="Q16">
        <f>VLOOKUP(A16,BK!A$2:G$55,3,0)</f>
        <v>39.07</v>
      </c>
      <c r="R16">
        <f>VLOOKUP(A16,BMY!A$2:G$55,3,0)</f>
        <v>49.57</v>
      </c>
      <c r="T16">
        <f>VLOOKUP(A16,'C'!A$2:G$55,3,0)</f>
        <v>49.83</v>
      </c>
      <c r="U16">
        <f>VLOOKUP(A16,CAT!A$2:G$55,3,0)</f>
        <v>111.28</v>
      </c>
      <c r="V16">
        <f>VLOOKUP(A16,CL!A$2:G$55,3,0)</f>
        <v>68.989999999999995</v>
      </c>
      <c r="W16">
        <f>VLOOKUP(A16,CMCSA!A$2:G$55,3,0)</f>
        <v>55.24</v>
      </c>
      <c r="X16">
        <f>VLOOKUP(A16,COF!A$2:G$55,3,0)</f>
        <v>82.39</v>
      </c>
      <c r="Y16">
        <f>VLOOKUP(A16,COP!A$2:G$55,3,0)</f>
        <v>86.11</v>
      </c>
      <c r="Z16">
        <f>VLOOKUP(A16,COST!A$2:G$55,3,0)</f>
        <v>118.04</v>
      </c>
      <c r="AA16">
        <f>VLOOKUP(A16,CSCO!A$2:G$55,3,0)</f>
        <v>26.08</v>
      </c>
      <c r="AB16">
        <f>VLOOKUP(A16,CVS!A$2:G$55,3,0)</f>
        <v>78.05</v>
      </c>
      <c r="AC16">
        <f>VLOOKUP(A16,CVX!A$2:G$55,3,0)</f>
        <v>133.19999999999999</v>
      </c>
      <c r="AD16">
        <f>VLOOKUP(A16,DD!A$2:G$55,3,0)</f>
        <v>65.849999999999994</v>
      </c>
      <c r="AE16">
        <f>VLOOKUP(A16,DIS!A$2:G$55,3,0)</f>
        <v>86.56</v>
      </c>
      <c r="AF16">
        <f>VLOOKUP(A16,DOW!A$2:G$55,3,0)</f>
        <v>52.36</v>
      </c>
      <c r="AG16">
        <f>VLOOKUP(A16,DVN!A$2:G$55,3,0)</f>
        <v>78.44</v>
      </c>
      <c r="AH16">
        <f>VLOOKUP(A16,EBAY!A$2:G$55,3,0)</f>
        <v>52.29</v>
      </c>
      <c r="AI16">
        <f>VLOOKUP(A16,EMC!A$2:G$55,3,0)</f>
        <v>28.86</v>
      </c>
      <c r="AJ16">
        <f>VLOOKUP(A16,EMR!A$2:G$55,3,0)</f>
        <v>67.86</v>
      </c>
      <c r="AK16">
        <f>VLOOKUP(A16,EXC!A$2:G$55,3,0)</f>
        <v>32.299999999999997</v>
      </c>
      <c r="AL16">
        <f>VLOOKUP(A16,F!A$2:G$55,3,0)</f>
        <v>17.86</v>
      </c>
      <c r="AM16">
        <f>VLOOKUP(A16,FB!A$2:G$55,3,0)</f>
        <v>69.77</v>
      </c>
      <c r="AN16">
        <f>VLOOKUP(A16,FCX!A$2:G$55,3,0)</f>
        <v>39.04</v>
      </c>
      <c r="AO16">
        <f>VLOOKUP(A16,FDX!A$2:G$55,3,0)</f>
        <v>153.93</v>
      </c>
      <c r="AP16">
        <f>VLOOKUP(A16,FOXA!A$2:G$55,3,0)</f>
        <v>33.47</v>
      </c>
      <c r="AQ16">
        <f>VLOOKUP(A16,GD!A$2:G$55,3,0)</f>
        <v>119.14</v>
      </c>
      <c r="AR16">
        <f>VLOOKUP(A16,GE!A$2:G$55,3,0)</f>
        <v>26.1</v>
      </c>
      <c r="AS16">
        <f>VLOOKUP(A16,GILD!A$2:G$55,3,0)</f>
        <v>89.9</v>
      </c>
      <c r="AT16">
        <f>VLOOKUP(A16,GM!A$2:G$55,3,0)</f>
        <v>37.9</v>
      </c>
      <c r="AU16">
        <f>VLOOKUP(A16,GOOG!A$2:G$55,3,0)</f>
        <v>599.65</v>
      </c>
      <c r="AV16">
        <f>VLOOKUP(A16,GOOGL!A$2:G$55,3,0)</f>
        <v>608.89</v>
      </c>
      <c r="AW16">
        <f>VLOOKUP(A16,GS!A$2:G$55,3,0)</f>
        <v>175.38</v>
      </c>
      <c r="AX16">
        <f>VLOOKUP(A16,HAL!A$2:G$55,3,0)</f>
        <v>73.430000000000007</v>
      </c>
      <c r="AY16">
        <f>VLOOKUP(A16,HD!A$2:G$55,3,0)</f>
        <v>80.75</v>
      </c>
      <c r="AZ16">
        <f>VLOOKUP(A16,HON!A$2:G$55,3,0)</f>
        <v>98.09</v>
      </c>
      <c r="BA16">
        <f>VLOOKUP(A16,HPQ!A$2:G$55,3,0)</f>
        <v>35.29</v>
      </c>
      <c r="BB16">
        <f>VLOOKUP(A16,IBM!A$2:G$55,3,0)</f>
        <v>194.72</v>
      </c>
      <c r="BC16">
        <f>VLOOKUP(A16,INTC!A$2:G$55,3,0)</f>
        <v>34.83</v>
      </c>
      <c r="BD16">
        <f>VLOOKUP(A16,JNJ!A$2:G$55,3,0)</f>
        <v>102.54</v>
      </c>
      <c r="BE16">
        <f>VLOOKUP(A16,JPM!A$2:G$55,3,0)</f>
        <v>58.8</v>
      </c>
      <c r="BF16">
        <f>VLOOKUP(A16,KO!A$2:G$55,3,0)</f>
        <v>41.33</v>
      </c>
      <c r="BG16">
        <f>VLOOKUP(A16,LLY!A$2:G$55,3,0)</f>
        <v>64.150000000000006</v>
      </c>
      <c r="BH16">
        <f>VLOOKUP(A16,LMT!A$2:G$55,3,0)</f>
        <v>168.18</v>
      </c>
      <c r="BI16">
        <f>VLOOKUP(A16,LOW!A$2:G$55,3,0)</f>
        <v>48.08</v>
      </c>
      <c r="BJ16">
        <f>VLOOKUP(A16,MA!A$2:G$55,3,0)</f>
        <v>78.39</v>
      </c>
      <c r="BK16">
        <f>VLOOKUP(A16,MCD!A$2:G$55,3,0)</f>
        <v>96.85</v>
      </c>
      <c r="BL16">
        <f>VLOOKUP(A16,MDLZ!A$2:G$55,3,0)</f>
        <v>38.630000000000003</v>
      </c>
      <c r="BM16">
        <f>VLOOKUP(A16,MDT!A$2:G$55,3,0)</f>
        <v>63.11</v>
      </c>
      <c r="BN16">
        <f>VLOOKUP(A16,MET!A$2:G$55,3,0)</f>
        <v>55.85</v>
      </c>
      <c r="BO16">
        <f>VLOOKUP(A16,MMM!A$2:G$55,3,0)</f>
        <v>145.66999999999999</v>
      </c>
      <c r="BP16">
        <f>VLOOKUP(A16,MO!A$2:G$55,3,0)</f>
        <v>42.25</v>
      </c>
      <c r="BQ16">
        <f>VLOOKUP(A16,MON!A$2:G$55,3,0)</f>
        <v>120.01</v>
      </c>
      <c r="BR16">
        <f>VLOOKUP(A16,MRK!A$2:G$55,3,0)</f>
        <v>58.88</v>
      </c>
      <c r="BS16">
        <f>VLOOKUP(A16,MS!A$2:G$55,3,0)</f>
        <v>33.119999999999997</v>
      </c>
      <c r="BT16">
        <f>VLOOKUP(A16,MSFT!A$2:G$55,3,0)</f>
        <v>45.15</v>
      </c>
      <c r="BU16">
        <f>VLOOKUP(A16,NKE!A$2:G$55,3,0)</f>
        <v>77.64</v>
      </c>
      <c r="BV16">
        <f>VLOOKUP(A16,NOV!A$2:G$55,3,0)</f>
        <v>86.34</v>
      </c>
      <c r="BW16">
        <f>VLOOKUP(A16,NSC!A$2:G$55,3,0)</f>
        <v>107.81</v>
      </c>
      <c r="BX16">
        <f>VLOOKUP(A16,ORCL!A$2:G$55,3,0)</f>
        <v>40.700000000000003</v>
      </c>
      <c r="BY16">
        <f>VLOOKUP(A16,OXY!A$2:G$55,3,0)</f>
        <v>102.01</v>
      </c>
      <c r="BZ16">
        <f>VLOOKUP(A16,PEP!A$2:G$55,3,0)</f>
        <v>89.64</v>
      </c>
      <c r="CA16">
        <f>VLOOKUP(A16,PFE!A$2:G$55,3,0)</f>
        <v>30.71</v>
      </c>
      <c r="CB16">
        <f>VLOOKUP(A16,PG!A$2:G$55,3,0)</f>
        <v>80.58</v>
      </c>
      <c r="CC16">
        <f>VLOOKUP(A16,PM!A$2:G$55,3,0)</f>
        <v>85.89</v>
      </c>
      <c r="CD16">
        <f>VLOOKUP(A16,QCOM!A$2:G$55,3,0)</f>
        <v>81.87</v>
      </c>
      <c r="CE16">
        <f>VLOOKUP(A16,RTN!A$2:G$55,3,0)</f>
        <v>97.01</v>
      </c>
      <c r="CF16">
        <f>VLOOKUP(A16,SBUX!A$2:G$55,3,0)</f>
        <v>79.03</v>
      </c>
      <c r="CG16">
        <f>VLOOKUP(A16,SLB!A$2:G$55,3,0)</f>
        <v>114.15</v>
      </c>
      <c r="CH16">
        <f>VLOOKUP(A16,SO!A$2:G$55,3,0)</f>
        <v>45.12</v>
      </c>
      <c r="CI16">
        <f>VLOOKUP(A16,SPG!A$2:G$55,3,0)</f>
        <v>172.01</v>
      </c>
      <c r="CJ16">
        <f>VLOOKUP(A16,T!A$2:G$55,3,0)</f>
        <v>36.1</v>
      </c>
      <c r="CK16">
        <f>VLOOKUP(A16,TGT!A$2:G$55,3,0)</f>
        <v>59.52</v>
      </c>
      <c r="CL16">
        <f>VLOOKUP(A16,TWX!A$2:G$55,3,0)</f>
        <v>87.32</v>
      </c>
      <c r="CM16">
        <f>VLOOKUP(A16,TXN!A$2:G$55,3,0)</f>
        <v>49.24</v>
      </c>
      <c r="CN16">
        <f>VLOOKUP(A16,UNH!A$2:G$55,3,0)</f>
        <v>86.76</v>
      </c>
      <c r="CO16">
        <f>VLOOKUP(A16,UNP!A$2:G$55,3,0)</f>
        <v>102.98</v>
      </c>
      <c r="CP16">
        <f>VLOOKUP(A16,UPS!A$2:G$55,3,0)</f>
        <v>105.04</v>
      </c>
      <c r="CQ16">
        <f>VLOOKUP(A16,USB!A$2:G$55,3,0)</f>
        <v>42.55</v>
      </c>
      <c r="CR16">
        <f>VLOOKUP(A16,UTX!A$2:G$55,3,0)</f>
        <v>114</v>
      </c>
      <c r="CS16">
        <f>VLOOKUP(A16,V!A$2:G$55,3,0)</f>
        <v>222.59</v>
      </c>
      <c r="CT16">
        <f>VLOOKUP(A16,VZ!A$2:G$55,3,0)</f>
        <v>51.14</v>
      </c>
      <c r="CU16">
        <f>VLOOKUP(A16,WAG!A$2:G$55,3,0)</f>
        <v>73.260000000000005</v>
      </c>
      <c r="CV16">
        <f>VLOOKUP(A16,WFC!A$2:G$55,3,0)</f>
        <v>51.48</v>
      </c>
      <c r="CW16">
        <f>VLOOKUP(A16,WMT!A$2:G$55,3,0)</f>
        <v>76.89</v>
      </c>
    </row>
    <row r="17" spans="1:101" x14ac:dyDescent="0.25">
      <c r="A17" s="34">
        <v>41843</v>
      </c>
      <c r="B17" s="36">
        <v>97.88</v>
      </c>
      <c r="C17">
        <f>VLOOKUP(A17,ABBV!A$2:G$55,3,0)</f>
        <v>54.81</v>
      </c>
      <c r="D17">
        <f>VLOOKUP(A17,ABT!A$2:G$55,3,0)</f>
        <v>43.27</v>
      </c>
      <c r="E17">
        <f>VLOOKUP(A17,ACN!A$2:G$55,3,0)</f>
        <v>80.78</v>
      </c>
      <c r="F17">
        <f>VLOOKUP(A17,AIG!A$2:G$55,3,0)</f>
        <v>55.13</v>
      </c>
      <c r="G17">
        <f>VLOOKUP(A17,ALL!A$2:G$55,3,0)</f>
        <v>58.49</v>
      </c>
      <c r="H17">
        <f>VLOOKUP(A17,AMGN!A$2:G$55,3,0)</f>
        <v>122.39</v>
      </c>
      <c r="I17">
        <f>VLOOKUP(A17,AMZN!A$2:G$55,3,0)</f>
        <v>360.63</v>
      </c>
      <c r="J17">
        <f>VLOOKUP(A17,APA!A$2:G$55,3,0)</f>
        <v>103.51</v>
      </c>
      <c r="K17">
        <f>VLOOKUP(A17,APC!A$2:G$55,3,0)</f>
        <v>111.11</v>
      </c>
      <c r="L17">
        <f>VLOOKUP(A17,AXP!A$2:G$55,3,0)</f>
        <v>93.59</v>
      </c>
      <c r="M17">
        <f>VLOOKUP(A17,BA!A$2:G$55,3,0)</f>
        <v>128.4</v>
      </c>
      <c r="N17">
        <f>VLOOKUP(A17,BAC!A$2:G$55,3,0)</f>
        <v>15.63</v>
      </c>
      <c r="O17">
        <f>VLOOKUP(A17,BAX!A$2:G$55,3,0)</f>
        <v>77.31</v>
      </c>
      <c r="P17">
        <f>VLOOKUP(A17,BIIB!A$2:G$55,3,0)</f>
        <v>343.59</v>
      </c>
      <c r="Q17">
        <f>VLOOKUP(A17,BK!A$2:G$55,3,0)</f>
        <v>39.17</v>
      </c>
      <c r="R17">
        <f>VLOOKUP(A17,BMY!A$2:G$55,3,0)</f>
        <v>49.49</v>
      </c>
      <c r="T17">
        <f>VLOOKUP(A17,'C'!A$2:G$55,3,0)</f>
        <v>50.59</v>
      </c>
      <c r="U17">
        <f>VLOOKUP(A17,CAT!A$2:G$55,3,0)</f>
        <v>109.98</v>
      </c>
      <c r="V17">
        <f>VLOOKUP(A17,CL!A$2:G$55,3,0)</f>
        <v>68.69</v>
      </c>
      <c r="W17">
        <f>VLOOKUP(A17,CMCSA!A$2:G$55,3,0)</f>
        <v>55</v>
      </c>
      <c r="X17">
        <f>VLOOKUP(A17,COF!A$2:G$55,3,0)</f>
        <v>82.39</v>
      </c>
      <c r="Y17">
        <f>VLOOKUP(A17,COP!A$2:G$55,3,0)</f>
        <v>86.87</v>
      </c>
      <c r="Z17">
        <f>VLOOKUP(A17,COST!A$2:G$55,3,0)</f>
        <v>117.76</v>
      </c>
      <c r="AA17">
        <f>VLOOKUP(A17,CSCO!A$2:G$55,3,0)</f>
        <v>25.79</v>
      </c>
      <c r="AB17">
        <f>VLOOKUP(A17,CVS!A$2:G$55,3,0)</f>
        <v>78.19</v>
      </c>
      <c r="AC17">
        <f>VLOOKUP(A17,CVX!A$2:G$55,3,0)</f>
        <v>133.93</v>
      </c>
      <c r="AD17">
        <f>VLOOKUP(A17,DD!A$2:G$55,3,0)</f>
        <v>65.69</v>
      </c>
      <c r="AE17">
        <f>VLOOKUP(A17,DIS!A$2:G$55,3,0)</f>
        <v>86.53</v>
      </c>
      <c r="AF17">
        <f>VLOOKUP(A17,DOW!A$2:G$55,3,0)</f>
        <v>54.28</v>
      </c>
      <c r="AG17">
        <f>VLOOKUP(A17,DVN!A$2:G$55,3,0)</f>
        <v>78.540000000000006</v>
      </c>
      <c r="AH17">
        <f>VLOOKUP(A17,EBAY!A$2:G$55,3,0)</f>
        <v>52.72</v>
      </c>
      <c r="AI17">
        <f>VLOOKUP(A17,EMC!A$2:G$55,3,0)</f>
        <v>29.59</v>
      </c>
      <c r="AJ17">
        <f>VLOOKUP(A17,EMR!A$2:G$55,3,0)</f>
        <v>67.47</v>
      </c>
      <c r="AK17">
        <f>VLOOKUP(A17,EXC!A$2:G$55,3,0)</f>
        <v>31.97</v>
      </c>
      <c r="AL17">
        <f>VLOOKUP(A17,F!A$2:G$55,3,0)</f>
        <v>17.95</v>
      </c>
      <c r="AM17">
        <f>VLOOKUP(A17,FB!A$2:G$55,3,0)</f>
        <v>71.33</v>
      </c>
      <c r="AN17">
        <f>VLOOKUP(A17,FCX!A$2:G$55,3,0)</f>
        <v>39.049999999999997</v>
      </c>
      <c r="AO17">
        <f>VLOOKUP(A17,FDX!A$2:G$55,3,0)</f>
        <v>153.88999999999999</v>
      </c>
      <c r="AP17">
        <f>VLOOKUP(A17,FOXA!A$2:G$55,3,0)</f>
        <v>33.18</v>
      </c>
      <c r="AQ17">
        <f>VLOOKUP(A17,GD!A$2:G$55,3,0)</f>
        <v>121.11</v>
      </c>
      <c r="AR17">
        <f>VLOOKUP(A17,GE!A$2:G$55,3,0)</f>
        <v>26.09</v>
      </c>
      <c r="AS17">
        <f>VLOOKUP(A17,GILD!A$2:G$55,3,0)</f>
        <v>90.73</v>
      </c>
      <c r="AT17">
        <f>VLOOKUP(A17,GM!A$2:G$55,3,0)</f>
        <v>37.92</v>
      </c>
      <c r="AU17">
        <f>VLOOKUP(A17,GOOG!A$2:G$55,3,0)</f>
        <v>597.85</v>
      </c>
      <c r="AV17">
        <f>VLOOKUP(A17,GOOGL!A$2:G$55,3,0)</f>
        <v>607.04999999999995</v>
      </c>
      <c r="AW17">
        <f>VLOOKUP(A17,GS!A$2:G$55,3,0)</f>
        <v>177.22</v>
      </c>
      <c r="AX17">
        <f>VLOOKUP(A17,HAL!A$2:G$55,3,0)</f>
        <v>74.33</v>
      </c>
      <c r="AY17">
        <f>VLOOKUP(A17,HD!A$2:G$55,3,0)</f>
        <v>81.09</v>
      </c>
      <c r="AZ17">
        <f>VLOOKUP(A17,HON!A$2:G$55,3,0)</f>
        <v>97.8</v>
      </c>
      <c r="BA17">
        <f>VLOOKUP(A17,HPQ!A$2:G$55,3,0)</f>
        <v>35.35</v>
      </c>
      <c r="BB17">
        <f>VLOOKUP(A17,IBM!A$2:G$55,3,0)</f>
        <v>194.9</v>
      </c>
      <c r="BC17">
        <f>VLOOKUP(A17,INTC!A$2:G$55,3,0)</f>
        <v>34.71</v>
      </c>
      <c r="BD17">
        <f>VLOOKUP(A17,JNJ!A$2:G$55,3,0)</f>
        <v>102.93</v>
      </c>
      <c r="BE17">
        <f>VLOOKUP(A17,JPM!A$2:G$55,3,0)</f>
        <v>59.19</v>
      </c>
      <c r="BF17">
        <f>VLOOKUP(A17,KO!A$2:G$55,3,0)</f>
        <v>41.05</v>
      </c>
      <c r="BG17">
        <f>VLOOKUP(A17,LLY!A$2:G$55,3,0)</f>
        <v>64.44</v>
      </c>
      <c r="BH17">
        <f>VLOOKUP(A17,LMT!A$2:G$55,3,0)</f>
        <v>169.21</v>
      </c>
      <c r="BI17">
        <f>VLOOKUP(A17,LOW!A$2:G$55,3,0)</f>
        <v>48</v>
      </c>
      <c r="BJ17">
        <f>VLOOKUP(A17,MA!A$2:G$55,3,0)</f>
        <v>78.38</v>
      </c>
      <c r="BK17">
        <f>VLOOKUP(A17,MCD!A$2:G$55,3,0)</f>
        <v>95.82</v>
      </c>
      <c r="BL17">
        <f>VLOOKUP(A17,MDLZ!A$2:G$55,3,0)</f>
        <v>38.61</v>
      </c>
      <c r="BM17">
        <f>VLOOKUP(A17,MDT!A$2:G$55,3,0)</f>
        <v>63.57</v>
      </c>
      <c r="BN17">
        <f>VLOOKUP(A17,MET!A$2:G$55,3,0)</f>
        <v>55.68</v>
      </c>
      <c r="BO17">
        <f>VLOOKUP(A17,MMM!A$2:G$55,3,0)</f>
        <v>145.44999999999999</v>
      </c>
      <c r="BP17">
        <f>VLOOKUP(A17,MO!A$2:G$55,3,0)</f>
        <v>42</v>
      </c>
      <c r="BQ17">
        <f>VLOOKUP(A17,MON!A$2:G$55,3,0)</f>
        <v>118.79</v>
      </c>
      <c r="BR17">
        <f>VLOOKUP(A17,MRK!A$2:G$55,3,0)</f>
        <v>58.5</v>
      </c>
      <c r="BS17">
        <f>VLOOKUP(A17,MS!A$2:G$55,3,0)</f>
        <v>33.450000000000003</v>
      </c>
      <c r="BT17">
        <f>VLOOKUP(A17,MSFT!A$2:G$55,3,0)</f>
        <v>45.45</v>
      </c>
      <c r="BU17">
        <f>VLOOKUP(A17,NKE!A$2:G$55,3,0)</f>
        <v>77.45</v>
      </c>
      <c r="BV17">
        <f>VLOOKUP(A17,NOV!A$2:G$55,3,0)</f>
        <v>86.3</v>
      </c>
      <c r="BW17">
        <f>VLOOKUP(A17,NSC!A$2:G$55,3,0)</f>
        <v>108.84</v>
      </c>
      <c r="BX17">
        <f>VLOOKUP(A17,ORCL!A$2:G$55,3,0)</f>
        <v>40.65</v>
      </c>
      <c r="BY17">
        <f>VLOOKUP(A17,OXY!A$2:G$55,3,0)</f>
        <v>101.73</v>
      </c>
      <c r="BZ17">
        <f>VLOOKUP(A17,PEP!A$2:G$55,3,0)</f>
        <v>93.09</v>
      </c>
      <c r="CA17">
        <f>VLOOKUP(A17,PFE!A$2:G$55,3,0)</f>
        <v>30.69</v>
      </c>
      <c r="CB17">
        <f>VLOOKUP(A17,PG!A$2:G$55,3,0)</f>
        <v>80.5</v>
      </c>
      <c r="CC17">
        <f>VLOOKUP(A17,PM!A$2:G$55,3,0)</f>
        <v>85.73</v>
      </c>
      <c r="CD17">
        <f>VLOOKUP(A17,QCOM!A$2:G$55,3,0)</f>
        <v>81.97</v>
      </c>
      <c r="CE17">
        <f>VLOOKUP(A17,RTN!A$2:G$55,3,0)</f>
        <v>96.54</v>
      </c>
      <c r="CF17">
        <f>VLOOKUP(A17,SBUX!A$2:G$55,3,0)</f>
        <v>79.28</v>
      </c>
      <c r="CG17">
        <f>VLOOKUP(A17,SLB!A$2:G$55,3,0)</f>
        <v>113.59</v>
      </c>
      <c r="CH17">
        <f>VLOOKUP(A17,SO!A$2:G$55,3,0)</f>
        <v>45.09</v>
      </c>
      <c r="CI17">
        <f>VLOOKUP(A17,SPG!A$2:G$55,3,0)</f>
        <v>172.72</v>
      </c>
      <c r="CJ17">
        <f>VLOOKUP(A17,T!A$2:G$55,3,0)</f>
        <v>35.96</v>
      </c>
      <c r="CK17">
        <f>VLOOKUP(A17,TGT!A$2:G$55,3,0)</f>
        <v>60.84</v>
      </c>
      <c r="CL17">
        <f>VLOOKUP(A17,TWX!A$2:G$55,3,0)</f>
        <v>86.22</v>
      </c>
      <c r="CM17">
        <f>VLOOKUP(A17,TXN!A$2:G$55,3,0)</f>
        <v>49.24</v>
      </c>
      <c r="CN17">
        <f>VLOOKUP(A17,UNH!A$2:G$55,3,0)</f>
        <v>86.55</v>
      </c>
      <c r="CO17">
        <f>VLOOKUP(A17,UNP!A$2:G$55,3,0)</f>
        <v>103.25</v>
      </c>
      <c r="CP17">
        <f>VLOOKUP(A17,UPS!A$2:G$55,3,0)</f>
        <v>104.79</v>
      </c>
      <c r="CQ17">
        <f>VLOOKUP(A17,USB!A$2:G$55,3,0)</f>
        <v>42.53</v>
      </c>
      <c r="CR17">
        <f>VLOOKUP(A17,UTX!A$2:G$55,3,0)</f>
        <v>110.91</v>
      </c>
      <c r="CS17">
        <f>VLOOKUP(A17,V!A$2:G$55,3,0)</f>
        <v>222.54</v>
      </c>
      <c r="CT17">
        <f>VLOOKUP(A17,VZ!A$2:G$55,3,0)</f>
        <v>51.2</v>
      </c>
      <c r="CU17">
        <f>VLOOKUP(A17,WAG!A$2:G$55,3,0)</f>
        <v>72.97</v>
      </c>
      <c r="CV17">
        <f>VLOOKUP(A17,WFC!A$2:G$55,3,0)</f>
        <v>51.62</v>
      </c>
      <c r="CW17">
        <f>VLOOKUP(A17,WMT!A$2:G$55,3,0)</f>
        <v>77.06</v>
      </c>
    </row>
    <row r="18" spans="1:101" x14ac:dyDescent="0.25">
      <c r="A18" s="34">
        <v>41844</v>
      </c>
      <c r="B18" s="36">
        <v>97.32</v>
      </c>
      <c r="C18">
        <f>VLOOKUP(A18,ABBV!A$2:G$55,3,0)</f>
        <v>54.56</v>
      </c>
      <c r="D18">
        <f>VLOOKUP(A18,ABT!A$2:G$55,3,0)</f>
        <v>43.17</v>
      </c>
      <c r="E18">
        <f>VLOOKUP(A18,ACN!A$2:G$55,3,0)</f>
        <v>80.900000000000006</v>
      </c>
      <c r="F18">
        <f>VLOOKUP(A18,AIG!A$2:G$55,3,0)</f>
        <v>55.39</v>
      </c>
      <c r="G18">
        <f>VLOOKUP(A18,ALL!A$2:G$55,3,0)</f>
        <v>58.57</v>
      </c>
      <c r="H18">
        <f>VLOOKUP(A18,AMGN!A$2:G$55,3,0)</f>
        <v>122.36</v>
      </c>
      <c r="I18">
        <f>VLOOKUP(A18,AMZN!A$2:G$55,3,0)</f>
        <v>364.85</v>
      </c>
      <c r="J18">
        <f>VLOOKUP(A18,APA!A$2:G$55,3,0)</f>
        <v>103.37</v>
      </c>
      <c r="K18">
        <f>VLOOKUP(A18,APC!A$2:G$55,3,0)</f>
        <v>112.11</v>
      </c>
      <c r="L18">
        <f>VLOOKUP(A18,AXP!A$2:G$55,3,0)</f>
        <v>93.62</v>
      </c>
      <c r="M18">
        <f>VLOOKUP(A18,BA!A$2:G$55,3,0)</f>
        <v>126.05</v>
      </c>
      <c r="N18">
        <f>VLOOKUP(A18,BAC!A$2:G$55,3,0)</f>
        <v>15.64</v>
      </c>
      <c r="O18">
        <f>VLOOKUP(A18,BAX!A$2:G$55,3,0)</f>
        <v>77.290000000000006</v>
      </c>
      <c r="P18">
        <f>VLOOKUP(A18,BIIB!A$2:G$55,3,0)</f>
        <v>339.83</v>
      </c>
      <c r="Q18">
        <f>VLOOKUP(A18,BK!A$2:G$55,3,0)</f>
        <v>39.85</v>
      </c>
      <c r="R18">
        <f>VLOOKUP(A18,BMY!A$2:G$55,3,0)</f>
        <v>49.89</v>
      </c>
      <c r="T18">
        <f>VLOOKUP(A18,'C'!A$2:G$55,3,0)</f>
        <v>50.47</v>
      </c>
      <c r="U18">
        <f>VLOOKUP(A18,CAT!A$2:G$55,3,0)</f>
        <v>106.23</v>
      </c>
      <c r="V18">
        <f>VLOOKUP(A18,CL!A$2:G$55,3,0)</f>
        <v>68.34</v>
      </c>
      <c r="W18">
        <f>VLOOKUP(A18,CMCSA!A$2:G$55,3,0)</f>
        <v>55.25</v>
      </c>
      <c r="X18">
        <f>VLOOKUP(A18,COF!A$2:G$55,3,0)</f>
        <v>82.61</v>
      </c>
      <c r="Y18">
        <f>VLOOKUP(A18,COP!A$2:G$55,3,0)</f>
        <v>87.09</v>
      </c>
      <c r="Z18">
        <f>VLOOKUP(A18,COST!A$2:G$55,3,0)</f>
        <v>118.28</v>
      </c>
      <c r="AA18">
        <f>VLOOKUP(A18,CSCO!A$2:G$55,3,0)</f>
        <v>25.9</v>
      </c>
      <c r="AB18">
        <f>VLOOKUP(A18,CVS!A$2:G$55,3,0)</f>
        <v>79.010000000000005</v>
      </c>
      <c r="AC18">
        <f>VLOOKUP(A18,CVX!A$2:G$55,3,0)</f>
        <v>135.1</v>
      </c>
      <c r="AD18">
        <f>VLOOKUP(A18,DD!A$2:G$55,3,0)</f>
        <v>65.69</v>
      </c>
      <c r="AE18">
        <f>VLOOKUP(A18,DIS!A$2:G$55,3,0)</f>
        <v>86.96</v>
      </c>
      <c r="AF18">
        <f>VLOOKUP(A18,DOW!A$2:G$55,3,0)</f>
        <v>54.12</v>
      </c>
      <c r="AG18">
        <f>VLOOKUP(A18,DVN!A$2:G$55,3,0)</f>
        <v>79.31</v>
      </c>
      <c r="AH18">
        <f>VLOOKUP(A18,EBAY!A$2:G$55,3,0)</f>
        <v>53.5</v>
      </c>
      <c r="AI18">
        <f>VLOOKUP(A18,EMC!A$2:G$55,3,0)</f>
        <v>28.98</v>
      </c>
      <c r="AJ18">
        <f>VLOOKUP(A18,EMR!A$2:G$55,3,0)</f>
        <v>67.510000000000005</v>
      </c>
      <c r="AK18">
        <f>VLOOKUP(A18,EXC!A$2:G$55,3,0)</f>
        <v>31.94</v>
      </c>
      <c r="AL18">
        <f>VLOOKUP(A18,F!A$2:G$55,3,0)</f>
        <v>18.12</v>
      </c>
      <c r="AM18">
        <f>VLOOKUP(A18,FB!A$2:G$55,3,0)</f>
        <v>76.739999999999995</v>
      </c>
      <c r="AN18">
        <f>VLOOKUP(A18,FCX!A$2:G$55,3,0)</f>
        <v>38.14</v>
      </c>
      <c r="AO18">
        <f>VLOOKUP(A18,FDX!A$2:G$55,3,0)</f>
        <v>153.25</v>
      </c>
      <c r="AP18">
        <f>VLOOKUP(A18,FOXA!A$2:G$55,3,0)</f>
        <v>33.01</v>
      </c>
      <c r="AQ18">
        <f>VLOOKUP(A18,GD!A$2:G$55,3,0)</f>
        <v>121.93</v>
      </c>
      <c r="AR18">
        <f>VLOOKUP(A18,GE!A$2:G$55,3,0)</f>
        <v>26.08</v>
      </c>
      <c r="AS18">
        <f>VLOOKUP(A18,GILD!A$2:G$55,3,0)</f>
        <v>92.97</v>
      </c>
      <c r="AT18">
        <f>VLOOKUP(A18,GM!A$2:G$55,3,0)</f>
        <v>36.85</v>
      </c>
      <c r="AU18">
        <f>VLOOKUP(A18,GOOG!A$2:G$55,3,0)</f>
        <v>599.5</v>
      </c>
      <c r="AV18">
        <f>VLOOKUP(A18,GOOGL!A$2:G$55,3,0)</f>
        <v>608.91</v>
      </c>
      <c r="AW18">
        <f>VLOOKUP(A18,GS!A$2:G$55,3,0)</f>
        <v>177.32</v>
      </c>
      <c r="AX18">
        <f>VLOOKUP(A18,HAL!A$2:G$55,3,0)</f>
        <v>74.33</v>
      </c>
      <c r="AY18">
        <f>VLOOKUP(A18,HD!A$2:G$55,3,0)</f>
        <v>81.540000000000006</v>
      </c>
      <c r="AZ18">
        <f>VLOOKUP(A18,HON!A$2:G$55,3,0)</f>
        <v>96.8</v>
      </c>
      <c r="BA18">
        <f>VLOOKUP(A18,HPQ!A$2:G$55,3,0)</f>
        <v>35.18</v>
      </c>
      <c r="BB18">
        <f>VLOOKUP(A18,IBM!A$2:G$55,3,0)</f>
        <v>195.62</v>
      </c>
      <c r="BC18">
        <f>VLOOKUP(A18,INTC!A$2:G$55,3,0)</f>
        <v>34.67</v>
      </c>
      <c r="BD18">
        <f>VLOOKUP(A18,JNJ!A$2:G$55,3,0)</f>
        <v>102.73</v>
      </c>
      <c r="BE18">
        <f>VLOOKUP(A18,JPM!A$2:G$55,3,0)</f>
        <v>59.35</v>
      </c>
      <c r="BF18">
        <f>VLOOKUP(A18,KO!A$2:G$55,3,0)</f>
        <v>41.1</v>
      </c>
      <c r="BG18">
        <f>VLOOKUP(A18,LLY!A$2:G$55,3,0)</f>
        <v>65.7</v>
      </c>
      <c r="BH18">
        <f>VLOOKUP(A18,LMT!A$2:G$55,3,0)</f>
        <v>170.12</v>
      </c>
      <c r="BI18">
        <f>VLOOKUP(A18,LOW!A$2:G$55,3,0)</f>
        <v>48.36</v>
      </c>
      <c r="BJ18">
        <f>VLOOKUP(A18,MA!A$2:G$55,3,0)</f>
        <v>78.06</v>
      </c>
      <c r="BK18">
        <f>VLOOKUP(A18,MCD!A$2:G$55,3,0)</f>
        <v>95.62</v>
      </c>
      <c r="BL18">
        <f>VLOOKUP(A18,MDLZ!A$2:G$55,3,0)</f>
        <v>38.47</v>
      </c>
      <c r="BM18">
        <f>VLOOKUP(A18,MDT!A$2:G$55,3,0)</f>
        <v>63.97</v>
      </c>
      <c r="BN18">
        <f>VLOOKUP(A18,MET!A$2:G$55,3,0)</f>
        <v>55.47</v>
      </c>
      <c r="BO18">
        <f>VLOOKUP(A18,MMM!A$2:G$55,3,0)</f>
        <v>146.43</v>
      </c>
      <c r="BP18">
        <f>VLOOKUP(A18,MO!A$2:G$55,3,0)</f>
        <v>42.15</v>
      </c>
      <c r="BQ18">
        <f>VLOOKUP(A18,MON!A$2:G$55,3,0)</f>
        <v>116.5</v>
      </c>
      <c r="BR18">
        <f>VLOOKUP(A18,MRK!A$2:G$55,3,0)</f>
        <v>58.5</v>
      </c>
      <c r="BS18">
        <f>VLOOKUP(A18,MS!A$2:G$55,3,0)</f>
        <v>33.6</v>
      </c>
      <c r="BT18">
        <f>VLOOKUP(A18,MSFT!A$2:G$55,3,0)</f>
        <v>45</v>
      </c>
      <c r="BU18">
        <f>VLOOKUP(A18,NKE!A$2:G$55,3,0)</f>
        <v>78.77</v>
      </c>
      <c r="BV18">
        <f>VLOOKUP(A18,NOV!A$2:G$55,3,0)</f>
        <v>86.41</v>
      </c>
      <c r="BW18">
        <f>VLOOKUP(A18,NSC!A$2:G$55,3,0)</f>
        <v>108.3</v>
      </c>
      <c r="BX18">
        <f>VLOOKUP(A18,ORCL!A$2:G$55,3,0)</f>
        <v>40.67</v>
      </c>
      <c r="BY18">
        <f>VLOOKUP(A18,OXY!A$2:G$55,3,0)</f>
        <v>101.59</v>
      </c>
      <c r="BZ18">
        <f>VLOOKUP(A18,PEP!A$2:G$55,3,0)</f>
        <v>92.34</v>
      </c>
      <c r="CA18">
        <f>VLOOKUP(A18,PFE!A$2:G$55,3,0)</f>
        <v>30.57</v>
      </c>
      <c r="CB18">
        <f>VLOOKUP(A18,PG!A$2:G$55,3,0)</f>
        <v>80.319999999999993</v>
      </c>
      <c r="CC18">
        <f>VLOOKUP(A18,PM!A$2:G$55,3,0)</f>
        <v>85.78</v>
      </c>
      <c r="CD18">
        <f>VLOOKUP(A18,QCOM!A$2:G$55,3,0)</f>
        <v>77.63</v>
      </c>
      <c r="CE18">
        <f>VLOOKUP(A18,RTN!A$2:G$55,3,0)</f>
        <v>95.39</v>
      </c>
      <c r="CF18">
        <f>VLOOKUP(A18,SBUX!A$2:G$55,3,0)</f>
        <v>80.64</v>
      </c>
      <c r="CG18">
        <f>VLOOKUP(A18,SLB!A$2:G$55,3,0)</f>
        <v>113.29</v>
      </c>
      <c r="CH18">
        <f>VLOOKUP(A18,SO!A$2:G$55,3,0)</f>
        <v>44.91</v>
      </c>
      <c r="CI18">
        <f>VLOOKUP(A18,SPG!A$2:G$55,3,0)</f>
        <v>171.31</v>
      </c>
      <c r="CJ18">
        <f>VLOOKUP(A18,T!A$2:G$55,3,0)</f>
        <v>35.72</v>
      </c>
      <c r="CK18">
        <f>VLOOKUP(A18,TGT!A$2:G$55,3,0)</f>
        <v>61.07</v>
      </c>
      <c r="CL18">
        <f>VLOOKUP(A18,TWX!A$2:G$55,3,0)</f>
        <v>84.62</v>
      </c>
      <c r="CM18">
        <f>VLOOKUP(A18,TXN!A$2:G$55,3,0)</f>
        <v>48.61</v>
      </c>
      <c r="CN18">
        <f>VLOOKUP(A18,UNH!A$2:G$55,3,0)</f>
        <v>86.33</v>
      </c>
      <c r="CO18">
        <f>VLOOKUP(A18,UNP!A$2:G$55,3,0)</f>
        <v>102.2</v>
      </c>
      <c r="CP18">
        <f>VLOOKUP(A18,UPS!A$2:G$55,3,0)</f>
        <v>104.56</v>
      </c>
      <c r="CQ18">
        <f>VLOOKUP(A18,USB!A$2:G$55,3,0)</f>
        <v>42.84</v>
      </c>
      <c r="CR18">
        <f>VLOOKUP(A18,UTX!A$2:G$55,3,0)</f>
        <v>110.19</v>
      </c>
      <c r="CS18">
        <f>VLOOKUP(A18,V!A$2:G$55,3,0)</f>
        <v>223.85</v>
      </c>
      <c r="CT18">
        <f>VLOOKUP(A18,VZ!A$2:G$55,3,0)</f>
        <v>51.45</v>
      </c>
      <c r="CU18">
        <f>VLOOKUP(A18,WAG!A$2:G$55,3,0)</f>
        <v>73.75</v>
      </c>
      <c r="CV18">
        <f>VLOOKUP(A18,WFC!A$2:G$55,3,0)</f>
        <v>51.66</v>
      </c>
      <c r="CW18">
        <f>VLOOKUP(A18,WMT!A$2:G$55,3,0)</f>
        <v>76.790000000000006</v>
      </c>
    </row>
    <row r="19" spans="1:101" x14ac:dyDescent="0.25">
      <c r="A19" s="34">
        <v>41845</v>
      </c>
      <c r="B19" s="36">
        <v>97.84</v>
      </c>
      <c r="C19">
        <f>VLOOKUP(A19,ABBV!A$2:G$55,3,0)</f>
        <v>54.49</v>
      </c>
      <c r="D19">
        <f>VLOOKUP(A19,ABT!A$2:G$55,3,0)</f>
        <v>43.11</v>
      </c>
      <c r="E19">
        <f>VLOOKUP(A19,ACN!A$2:G$55,3,0)</f>
        <v>80.83</v>
      </c>
      <c r="F19">
        <f>VLOOKUP(A19,AIG!A$2:G$55,3,0)</f>
        <v>54.98</v>
      </c>
      <c r="G19">
        <f>VLOOKUP(A19,ALL!A$2:G$55,3,0)</f>
        <v>58.34</v>
      </c>
      <c r="H19">
        <f>VLOOKUP(A19,AMGN!A$2:G$55,3,0)</f>
        <v>122.88</v>
      </c>
      <c r="I19">
        <f>VLOOKUP(A19,AMZN!A$2:G$55,3,0)</f>
        <v>324.87</v>
      </c>
      <c r="J19">
        <f>VLOOKUP(A19,APA!A$2:G$55,3,0)</f>
        <v>103.44</v>
      </c>
      <c r="K19">
        <f>VLOOKUP(A19,APC!A$2:G$55,3,0)</f>
        <v>110.44</v>
      </c>
      <c r="L19">
        <f>VLOOKUP(A19,AXP!A$2:G$55,3,0)</f>
        <v>93.07</v>
      </c>
      <c r="M19">
        <f>VLOOKUP(A19,BA!A$2:G$55,3,0)</f>
        <v>124.53</v>
      </c>
      <c r="N19">
        <f>VLOOKUP(A19,BAC!A$2:G$55,3,0)</f>
        <v>15.63</v>
      </c>
      <c r="O19">
        <f>VLOOKUP(A19,BAX!A$2:G$55,3,0)</f>
        <v>77.17</v>
      </c>
      <c r="P19">
        <f>VLOOKUP(A19,BIIB!A$2:G$55,3,0)</f>
        <v>337.5</v>
      </c>
      <c r="Q19">
        <f>VLOOKUP(A19,BK!A$2:G$55,3,0)</f>
        <v>39.520000000000003</v>
      </c>
      <c r="R19">
        <f>VLOOKUP(A19,BMY!A$2:G$55,3,0)</f>
        <v>49.48</v>
      </c>
      <c r="T19">
        <f>VLOOKUP(A19,'C'!A$2:G$55,3,0)</f>
        <v>50.2</v>
      </c>
      <c r="U19">
        <f>VLOOKUP(A19,CAT!A$2:G$55,3,0)</f>
        <v>105.35</v>
      </c>
      <c r="V19">
        <f>VLOOKUP(A19,CL!A$2:G$55,3,0)</f>
        <v>68.17</v>
      </c>
      <c r="W19">
        <f>VLOOKUP(A19,CMCSA!A$2:G$55,3,0)</f>
        <v>55.21</v>
      </c>
      <c r="X19">
        <f>VLOOKUP(A19,COF!A$2:G$55,3,0)</f>
        <v>82.52</v>
      </c>
      <c r="Y19">
        <f>VLOOKUP(A19,COP!A$2:G$55,3,0)</f>
        <v>86.64</v>
      </c>
      <c r="Z19">
        <f>VLOOKUP(A19,COST!A$2:G$55,3,0)</f>
        <v>118.03</v>
      </c>
      <c r="AA19">
        <f>VLOOKUP(A19,CSCO!A$2:G$55,3,0)</f>
        <v>26.02</v>
      </c>
      <c r="AB19">
        <f>VLOOKUP(A19,CVS!A$2:G$55,3,0)</f>
        <v>79.209999999999994</v>
      </c>
      <c r="AC19">
        <f>VLOOKUP(A19,CVX!A$2:G$55,3,0)</f>
        <v>134.61000000000001</v>
      </c>
      <c r="AD19">
        <f>VLOOKUP(A19,DD!A$2:G$55,3,0)</f>
        <v>65.5</v>
      </c>
      <c r="AE19">
        <f>VLOOKUP(A19,DIS!A$2:G$55,3,0)</f>
        <v>86.7</v>
      </c>
      <c r="AF19">
        <f>VLOOKUP(A19,DOW!A$2:G$55,3,0)</f>
        <v>54.14</v>
      </c>
      <c r="AG19">
        <f>VLOOKUP(A19,DVN!A$2:G$55,3,0)</f>
        <v>78.66</v>
      </c>
      <c r="AH19">
        <f>VLOOKUP(A19,EBAY!A$2:G$55,3,0)</f>
        <v>53.1</v>
      </c>
      <c r="AI19">
        <f>VLOOKUP(A19,EMC!A$2:G$55,3,0)</f>
        <v>29.24</v>
      </c>
      <c r="AJ19">
        <f>VLOOKUP(A19,EMR!A$2:G$55,3,0)</f>
        <v>67.77</v>
      </c>
      <c r="AK19">
        <f>VLOOKUP(A19,EXC!A$2:G$55,3,0)</f>
        <v>31.99</v>
      </c>
      <c r="AL19">
        <f>VLOOKUP(A19,F!A$2:G$55,3,0)</f>
        <v>17.920000000000002</v>
      </c>
      <c r="AM19">
        <f>VLOOKUP(A19,FB!A$2:G$55,3,0)</f>
        <v>75.67</v>
      </c>
      <c r="AN19">
        <f>VLOOKUP(A19,FCX!A$2:G$55,3,0)</f>
        <v>38.22</v>
      </c>
      <c r="AO19">
        <f>VLOOKUP(A19,FDX!A$2:G$55,3,0)</f>
        <v>152.41</v>
      </c>
      <c r="AP19">
        <f>VLOOKUP(A19,FOXA!A$2:G$55,3,0)</f>
        <v>33.49</v>
      </c>
      <c r="AQ19">
        <f>VLOOKUP(A19,GD!A$2:G$55,3,0)</f>
        <v>122.17</v>
      </c>
      <c r="AR19">
        <f>VLOOKUP(A19,GE!A$2:G$55,3,0)</f>
        <v>25.99</v>
      </c>
      <c r="AS19">
        <f>VLOOKUP(A19,GILD!A$2:G$55,3,0)</f>
        <v>90.78</v>
      </c>
      <c r="AT19">
        <f>VLOOKUP(A19,GM!A$2:G$55,3,0)</f>
        <v>35.29</v>
      </c>
      <c r="AU19">
        <f>VLOOKUP(A19,GOOG!A$2:G$55,3,0)</f>
        <v>591.86</v>
      </c>
      <c r="AV19">
        <f>VLOOKUP(A19,GOOGL!A$2:G$55,3,0)</f>
        <v>601</v>
      </c>
      <c r="AW19">
        <f>VLOOKUP(A19,GS!A$2:G$55,3,0)</f>
        <v>176.46</v>
      </c>
      <c r="AX19">
        <f>VLOOKUP(A19,HAL!A$2:G$55,3,0)</f>
        <v>73.66</v>
      </c>
      <c r="AY19">
        <f>VLOOKUP(A19,HD!A$2:G$55,3,0)</f>
        <v>81.3</v>
      </c>
      <c r="AZ19">
        <f>VLOOKUP(A19,HON!A$2:G$55,3,0)</f>
        <v>96.23</v>
      </c>
      <c r="BA19">
        <f>VLOOKUP(A19,HPQ!A$2:G$55,3,0)</f>
        <v>35.57</v>
      </c>
      <c r="BB19">
        <f>VLOOKUP(A19,IBM!A$2:G$55,3,0)</f>
        <v>195.9</v>
      </c>
      <c r="BC19">
        <f>VLOOKUP(A19,INTC!A$2:G$55,3,0)</f>
        <v>34.369999999999997</v>
      </c>
      <c r="BD19">
        <f>VLOOKUP(A19,JNJ!A$2:G$55,3,0)</f>
        <v>102.4</v>
      </c>
      <c r="BE19">
        <f>VLOOKUP(A19,JPM!A$2:G$55,3,0)</f>
        <v>59.27</v>
      </c>
      <c r="BF19">
        <f>VLOOKUP(A19,KO!A$2:G$55,3,0)</f>
        <v>41.04</v>
      </c>
      <c r="BG19">
        <f>VLOOKUP(A19,LLY!A$2:G$55,3,0)</f>
        <v>64.099999999999994</v>
      </c>
      <c r="BH19">
        <f>VLOOKUP(A19,LMT!A$2:G$55,3,0)</f>
        <v>170.69</v>
      </c>
      <c r="BI19">
        <f>VLOOKUP(A19,LOW!A$2:G$55,3,0)</f>
        <v>48.13</v>
      </c>
      <c r="BJ19">
        <f>VLOOKUP(A19,MA!A$2:G$55,3,0)</f>
        <v>76.03</v>
      </c>
      <c r="BK19">
        <f>VLOOKUP(A19,MCD!A$2:G$55,3,0)</f>
        <v>95.85</v>
      </c>
      <c r="BL19">
        <f>VLOOKUP(A19,MDLZ!A$2:G$55,3,0)</f>
        <v>38.31</v>
      </c>
      <c r="BM19">
        <f>VLOOKUP(A19,MDT!A$2:G$55,3,0)</f>
        <v>63.46</v>
      </c>
      <c r="BN19">
        <f>VLOOKUP(A19,MET!A$2:G$55,3,0)</f>
        <v>55.39</v>
      </c>
      <c r="BO19">
        <f>VLOOKUP(A19,MMM!A$2:G$55,3,0)</f>
        <v>145.94</v>
      </c>
      <c r="BP19">
        <f>VLOOKUP(A19,MO!A$2:G$55,3,0)</f>
        <v>42.02</v>
      </c>
      <c r="BQ19">
        <f>VLOOKUP(A19,MON!A$2:G$55,3,0)</f>
        <v>116.87</v>
      </c>
      <c r="BR19">
        <f>VLOOKUP(A19,MRK!A$2:G$55,3,0)</f>
        <v>58.36</v>
      </c>
      <c r="BS19">
        <f>VLOOKUP(A19,MS!A$2:G$55,3,0)</f>
        <v>33.450000000000003</v>
      </c>
      <c r="BT19">
        <f>VLOOKUP(A19,MSFT!A$2:G$55,3,0)</f>
        <v>44.66</v>
      </c>
      <c r="BU19">
        <f>VLOOKUP(A19,NKE!A$2:G$55,3,0)</f>
        <v>78.78</v>
      </c>
      <c r="BV19">
        <f>VLOOKUP(A19,NOV!A$2:G$55,3,0)</f>
        <v>85.39</v>
      </c>
      <c r="BW19">
        <f>VLOOKUP(A19,NSC!A$2:G$55,3,0)</f>
        <v>107.89</v>
      </c>
      <c r="BX19">
        <f>VLOOKUP(A19,ORCL!A$2:G$55,3,0)</f>
        <v>40.64</v>
      </c>
      <c r="BY19">
        <f>VLOOKUP(A19,OXY!A$2:G$55,3,0)</f>
        <v>100.93</v>
      </c>
      <c r="BZ19">
        <f>VLOOKUP(A19,PEP!A$2:G$55,3,0)</f>
        <v>92.15</v>
      </c>
      <c r="CA19">
        <f>VLOOKUP(A19,PFE!A$2:G$55,3,0)</f>
        <v>30.35</v>
      </c>
      <c r="CB19">
        <f>VLOOKUP(A19,PG!A$2:G$55,3,0)</f>
        <v>80.16</v>
      </c>
      <c r="CC19">
        <f>VLOOKUP(A19,PM!A$2:G$55,3,0)</f>
        <v>85.53</v>
      </c>
      <c r="CD19">
        <f>VLOOKUP(A19,QCOM!A$2:G$55,3,0)</f>
        <v>76.58</v>
      </c>
      <c r="CE19">
        <f>VLOOKUP(A19,RTN!A$2:G$55,3,0)</f>
        <v>93.54</v>
      </c>
      <c r="CF19">
        <f>VLOOKUP(A19,SBUX!A$2:G$55,3,0)</f>
        <v>79.319999999999993</v>
      </c>
      <c r="CG19">
        <f>VLOOKUP(A19,SLB!A$2:G$55,3,0)</f>
        <v>112.9</v>
      </c>
      <c r="CH19">
        <f>VLOOKUP(A19,SO!A$2:G$55,3,0)</f>
        <v>44.99</v>
      </c>
      <c r="CI19">
        <f>VLOOKUP(A19,SPG!A$2:G$55,3,0)</f>
        <v>171.11</v>
      </c>
      <c r="CJ19">
        <f>VLOOKUP(A19,T!A$2:G$55,3,0)</f>
        <v>35.700000000000003</v>
      </c>
      <c r="CK19">
        <f>VLOOKUP(A19,TGT!A$2:G$55,3,0)</f>
        <v>60.89</v>
      </c>
      <c r="CL19">
        <f>VLOOKUP(A19,TWX!A$2:G$55,3,0)</f>
        <v>85.29</v>
      </c>
      <c r="CM19">
        <f>VLOOKUP(A19,TXN!A$2:G$55,3,0)</f>
        <v>47.73</v>
      </c>
      <c r="CN19">
        <f>VLOOKUP(A19,UNH!A$2:G$55,3,0)</f>
        <v>85.01</v>
      </c>
      <c r="CO19">
        <f>VLOOKUP(A19,UNP!A$2:G$55,3,0)</f>
        <v>102.35</v>
      </c>
      <c r="CP19">
        <f>VLOOKUP(A19,UPS!A$2:G$55,3,0)</f>
        <v>104.25</v>
      </c>
      <c r="CQ19">
        <f>VLOOKUP(A19,USB!A$2:G$55,3,0)</f>
        <v>42.82</v>
      </c>
      <c r="CR19">
        <f>VLOOKUP(A19,UTX!A$2:G$55,3,0)</f>
        <v>109.2</v>
      </c>
      <c r="CS19">
        <f>VLOOKUP(A19,V!A$2:G$55,3,0)</f>
        <v>216.7</v>
      </c>
      <c r="CT19">
        <f>VLOOKUP(A19,VZ!A$2:G$55,3,0)</f>
        <v>51.48</v>
      </c>
      <c r="CU19">
        <f>VLOOKUP(A19,WAG!A$2:G$55,3,0)</f>
        <v>73.33</v>
      </c>
      <c r="CV19">
        <f>VLOOKUP(A19,WFC!A$2:G$55,3,0)</f>
        <v>51.77</v>
      </c>
      <c r="CW19">
        <f>VLOOKUP(A19,WMT!A$2:G$55,3,0)</f>
        <v>76.36</v>
      </c>
    </row>
    <row r="20" spans="1:101" x14ac:dyDescent="0.25">
      <c r="A20" s="34">
        <v>41848</v>
      </c>
      <c r="B20" s="36">
        <v>99.24</v>
      </c>
      <c r="C20">
        <f>VLOOKUP(A20,ABBV!A$2:G$55,3,0)</f>
        <v>54</v>
      </c>
      <c r="D20">
        <f>VLOOKUP(A20,ABT!A$2:G$55,3,0)</f>
        <v>43.05</v>
      </c>
      <c r="E20">
        <f>VLOOKUP(A20,ACN!A$2:G$55,3,0)</f>
        <v>80.92</v>
      </c>
      <c r="F20">
        <f>VLOOKUP(A20,AIG!A$2:G$55,3,0)</f>
        <v>54.17</v>
      </c>
      <c r="G20">
        <f>VLOOKUP(A20,ALL!A$2:G$55,3,0)</f>
        <v>57.96</v>
      </c>
      <c r="H20">
        <f>VLOOKUP(A20,AMGN!A$2:G$55,3,0)</f>
        <v>123.05</v>
      </c>
      <c r="I20">
        <f>VLOOKUP(A20,AMZN!A$2:G$55,3,0)</f>
        <v>324.82</v>
      </c>
      <c r="J20">
        <f>VLOOKUP(A20,APA!A$2:G$55,3,0)</f>
        <v>101.94</v>
      </c>
      <c r="K20">
        <f>VLOOKUP(A20,APC!A$2:G$55,3,0)</f>
        <v>109.57</v>
      </c>
      <c r="L20">
        <f>VLOOKUP(A20,AXP!A$2:G$55,3,0)</f>
        <v>92.03</v>
      </c>
      <c r="M20">
        <f>VLOOKUP(A20,BA!A$2:G$55,3,0)</f>
        <v>124.56</v>
      </c>
      <c r="N20">
        <f>VLOOKUP(A20,BAC!A$2:G$55,3,0)</f>
        <v>15.61</v>
      </c>
      <c r="O20">
        <f>VLOOKUP(A20,BAX!A$2:G$55,3,0)</f>
        <v>76.739999999999995</v>
      </c>
      <c r="P20">
        <f>VLOOKUP(A20,BIIB!A$2:G$55,3,0)</f>
        <v>338.34</v>
      </c>
      <c r="Q20">
        <f>VLOOKUP(A20,BK!A$2:G$55,3,0)</f>
        <v>39.630000000000003</v>
      </c>
      <c r="R20">
        <f>VLOOKUP(A20,BMY!A$2:G$55,3,0)</f>
        <v>49.91</v>
      </c>
      <c r="T20">
        <f>VLOOKUP(A20,'C'!A$2:G$55,3,0)</f>
        <v>50.08</v>
      </c>
      <c r="U20">
        <f>VLOOKUP(A20,CAT!A$2:G$55,3,0)</f>
        <v>104.9</v>
      </c>
      <c r="V20">
        <f>VLOOKUP(A20,CL!A$2:G$55,3,0)</f>
        <v>67.89</v>
      </c>
      <c r="W20">
        <f>VLOOKUP(A20,CMCSA!A$2:G$55,3,0)</f>
        <v>54.82</v>
      </c>
      <c r="X20">
        <f>VLOOKUP(A20,COF!A$2:G$55,3,0)</f>
        <v>83.52</v>
      </c>
      <c r="Y20">
        <f>VLOOKUP(A20,COP!A$2:G$55,3,0)</f>
        <v>86.11</v>
      </c>
      <c r="Z20">
        <f>VLOOKUP(A20,COST!A$2:G$55,3,0)</f>
        <v>117.66</v>
      </c>
      <c r="AA20">
        <f>VLOOKUP(A20,CSCO!A$2:G$55,3,0)</f>
        <v>26</v>
      </c>
      <c r="AB20">
        <f>VLOOKUP(A20,CVS!A$2:G$55,3,0)</f>
        <v>79.150000000000006</v>
      </c>
      <c r="AC20">
        <f>VLOOKUP(A20,CVX!A$2:G$55,3,0)</f>
        <v>133.80000000000001</v>
      </c>
      <c r="AD20">
        <f>VLOOKUP(A20,DD!A$2:G$55,3,0)</f>
        <v>65.569999999999993</v>
      </c>
      <c r="AE20">
        <f>VLOOKUP(A20,DIS!A$2:G$55,3,0)</f>
        <v>87.22</v>
      </c>
      <c r="AF20">
        <f>VLOOKUP(A20,DOW!A$2:G$55,3,0)</f>
        <v>54.15</v>
      </c>
      <c r="AG20">
        <f>VLOOKUP(A20,DVN!A$2:G$55,3,0)</f>
        <v>78.680000000000007</v>
      </c>
      <c r="AH20">
        <f>VLOOKUP(A20,EBAY!A$2:G$55,3,0)</f>
        <v>53.09</v>
      </c>
      <c r="AI20">
        <f>VLOOKUP(A20,EMC!A$2:G$55,3,0)</f>
        <v>29.77</v>
      </c>
      <c r="AJ20">
        <f>VLOOKUP(A20,EMR!A$2:G$55,3,0)</f>
        <v>67.239999999999995</v>
      </c>
      <c r="AK20">
        <f>VLOOKUP(A20,EXC!A$2:G$55,3,0)</f>
        <v>32.130000000000003</v>
      </c>
      <c r="AL20">
        <f>VLOOKUP(A20,F!A$2:G$55,3,0)</f>
        <v>17.71</v>
      </c>
      <c r="AM20">
        <f>VLOOKUP(A20,FB!A$2:G$55,3,0)</f>
        <v>75.5</v>
      </c>
      <c r="AN20">
        <f>VLOOKUP(A20,FCX!A$2:G$55,3,0)</f>
        <v>38.200000000000003</v>
      </c>
      <c r="AO20">
        <f>VLOOKUP(A20,FDX!A$2:G$55,3,0)</f>
        <v>151.46</v>
      </c>
      <c r="AP20">
        <f>VLOOKUP(A20,FOXA!A$2:G$55,3,0)</f>
        <v>32.93</v>
      </c>
      <c r="AQ20">
        <f>VLOOKUP(A20,GD!A$2:G$55,3,0)</f>
        <v>121.11</v>
      </c>
      <c r="AR20">
        <f>VLOOKUP(A20,GE!A$2:G$55,3,0)</f>
        <v>25.73</v>
      </c>
      <c r="AS20">
        <f>VLOOKUP(A20,GILD!A$2:G$55,3,0)</f>
        <v>91.73</v>
      </c>
      <c r="AT20">
        <f>VLOOKUP(A20,GM!A$2:G$55,3,0)</f>
        <v>35.090000000000003</v>
      </c>
      <c r="AU20">
        <f>VLOOKUP(A20,GOOG!A$2:G$55,3,0)</f>
        <v>592.5</v>
      </c>
      <c r="AV20">
        <f>VLOOKUP(A20,GOOGL!A$2:G$55,3,0)</f>
        <v>601.1</v>
      </c>
      <c r="AW20">
        <f>VLOOKUP(A20,GS!A$2:G$55,3,0)</f>
        <v>176.46</v>
      </c>
      <c r="AX20">
        <f>VLOOKUP(A20,HAL!A$2:G$55,3,0)</f>
        <v>73.16</v>
      </c>
      <c r="AY20">
        <f>VLOOKUP(A20,HD!A$2:G$55,3,0)</f>
        <v>81.34</v>
      </c>
      <c r="AZ20">
        <f>VLOOKUP(A20,HON!A$2:G$55,3,0)</f>
        <v>96</v>
      </c>
      <c r="BA20">
        <f>VLOOKUP(A20,HPQ!A$2:G$55,3,0)</f>
        <v>35.61</v>
      </c>
      <c r="BB20">
        <f>VLOOKUP(A20,IBM!A$2:G$55,3,0)</f>
        <v>196.4</v>
      </c>
      <c r="BC20">
        <f>VLOOKUP(A20,INTC!A$2:G$55,3,0)</f>
        <v>34.32</v>
      </c>
      <c r="BD20">
        <f>VLOOKUP(A20,JNJ!A$2:G$55,3,0)</f>
        <v>102.4</v>
      </c>
      <c r="BE20">
        <f>VLOOKUP(A20,JPM!A$2:G$55,3,0)</f>
        <v>59.26</v>
      </c>
      <c r="BF20">
        <f>VLOOKUP(A20,KO!A$2:G$55,3,0)</f>
        <v>41</v>
      </c>
      <c r="BG20">
        <f>VLOOKUP(A20,LLY!A$2:G$55,3,0)</f>
        <v>64.8</v>
      </c>
      <c r="BH20">
        <f>VLOOKUP(A20,LMT!A$2:G$55,3,0)</f>
        <v>170.57</v>
      </c>
      <c r="BI20">
        <f>VLOOKUP(A20,LOW!A$2:G$55,3,0)</f>
        <v>47.85</v>
      </c>
      <c r="BJ20">
        <f>VLOOKUP(A20,MA!A$2:G$55,3,0)</f>
        <v>76.209999999999994</v>
      </c>
      <c r="BK20">
        <f>VLOOKUP(A20,MCD!A$2:G$55,3,0)</f>
        <v>95.97</v>
      </c>
      <c r="BL20">
        <f>VLOOKUP(A20,MDLZ!A$2:G$55,3,0)</f>
        <v>38.33</v>
      </c>
      <c r="BM20">
        <f>VLOOKUP(A20,MDT!A$2:G$55,3,0)</f>
        <v>63.03</v>
      </c>
      <c r="BN20">
        <f>VLOOKUP(A20,MET!A$2:G$55,3,0)</f>
        <v>54.92</v>
      </c>
      <c r="BO20">
        <f>VLOOKUP(A20,MMM!A$2:G$55,3,0)</f>
        <v>145.63</v>
      </c>
      <c r="BP20">
        <f>VLOOKUP(A20,MO!A$2:G$55,3,0)</f>
        <v>41.86</v>
      </c>
      <c r="BQ20">
        <f>VLOOKUP(A20,MON!A$2:G$55,3,0)</f>
        <v>116.21</v>
      </c>
      <c r="BR20">
        <f>VLOOKUP(A20,MRK!A$2:G$55,3,0)</f>
        <v>58.34</v>
      </c>
      <c r="BS20">
        <f>VLOOKUP(A20,MS!A$2:G$55,3,0)</f>
        <v>33.380000000000003</v>
      </c>
      <c r="BT20">
        <f>VLOOKUP(A20,MSFT!A$2:G$55,3,0)</f>
        <v>44.51</v>
      </c>
      <c r="BU20">
        <f>VLOOKUP(A20,NKE!A$2:G$55,3,0)</f>
        <v>78.599999999999994</v>
      </c>
      <c r="BV20">
        <f>VLOOKUP(A20,NOV!A$2:G$55,3,0)</f>
        <v>85.2</v>
      </c>
      <c r="BW20">
        <f>VLOOKUP(A20,NSC!A$2:G$55,3,0)</f>
        <v>107.4</v>
      </c>
      <c r="BX20">
        <f>VLOOKUP(A20,ORCL!A$2:G$55,3,0)</f>
        <v>40.82</v>
      </c>
      <c r="BY20">
        <f>VLOOKUP(A20,OXY!A$2:G$55,3,0)</f>
        <v>100.6</v>
      </c>
      <c r="BZ20">
        <f>VLOOKUP(A20,PEP!A$2:G$55,3,0)</f>
        <v>91.8</v>
      </c>
      <c r="CA20">
        <f>VLOOKUP(A20,PFE!A$2:G$55,3,0)</f>
        <v>30.17</v>
      </c>
      <c r="CB20">
        <f>VLOOKUP(A20,PG!A$2:G$55,3,0)</f>
        <v>79.62</v>
      </c>
      <c r="CC20">
        <f>VLOOKUP(A20,PM!A$2:G$55,3,0)</f>
        <v>84.98</v>
      </c>
      <c r="CD20">
        <f>VLOOKUP(A20,QCOM!A$2:G$55,3,0)</f>
        <v>76.25</v>
      </c>
      <c r="CE20">
        <f>VLOOKUP(A20,RTN!A$2:G$55,3,0)</f>
        <v>93.53</v>
      </c>
      <c r="CF20">
        <f>VLOOKUP(A20,SBUX!A$2:G$55,3,0)</f>
        <v>79</v>
      </c>
      <c r="CG20">
        <f>VLOOKUP(A20,SLB!A$2:G$55,3,0)</f>
        <v>112.27</v>
      </c>
      <c r="CH20">
        <f>VLOOKUP(A20,SO!A$2:G$55,3,0)</f>
        <v>45.43</v>
      </c>
      <c r="CI20">
        <f>VLOOKUP(A20,SPG!A$2:G$55,3,0)</f>
        <v>171</v>
      </c>
      <c r="CJ20">
        <f>VLOOKUP(A20,T!A$2:G$55,3,0)</f>
        <v>35.770000000000003</v>
      </c>
      <c r="CK20">
        <f>VLOOKUP(A20,TGT!A$2:G$55,3,0)</f>
        <v>60.58</v>
      </c>
      <c r="CL20">
        <f>VLOOKUP(A20,TWX!A$2:G$55,3,0)</f>
        <v>85.58</v>
      </c>
      <c r="CM20">
        <f>VLOOKUP(A20,TXN!A$2:G$55,3,0)</f>
        <v>47.44</v>
      </c>
      <c r="CN20">
        <f>VLOOKUP(A20,UNH!A$2:G$55,3,0)</f>
        <v>85.9</v>
      </c>
      <c r="CO20">
        <f>VLOOKUP(A20,UNP!A$2:G$55,3,0)</f>
        <v>101.63</v>
      </c>
      <c r="CP20">
        <f>VLOOKUP(A20,UPS!A$2:G$55,3,0)</f>
        <v>103.44</v>
      </c>
      <c r="CQ20">
        <f>VLOOKUP(A20,USB!A$2:G$55,3,0)</f>
        <v>42.7</v>
      </c>
      <c r="CR20">
        <f>VLOOKUP(A20,UTX!A$2:G$55,3,0)</f>
        <v>109.17</v>
      </c>
      <c r="CS20">
        <f>VLOOKUP(A20,V!A$2:G$55,3,0)</f>
        <v>214.96</v>
      </c>
      <c r="CT20">
        <f>VLOOKUP(A20,VZ!A$2:G$55,3,0)</f>
        <v>51.58</v>
      </c>
      <c r="CU20">
        <f>VLOOKUP(A20,WAG!A$2:G$55,3,0)</f>
        <v>73.349999999999994</v>
      </c>
      <c r="CV20">
        <f>VLOOKUP(A20,WFC!A$2:G$55,3,0)</f>
        <v>51.71</v>
      </c>
      <c r="CW20">
        <f>VLOOKUP(A20,WMT!A$2:G$55,3,0)</f>
        <v>75.930000000000007</v>
      </c>
    </row>
    <row r="21" spans="1:101" x14ac:dyDescent="0.25">
      <c r="A21" s="34">
        <v>41849</v>
      </c>
      <c r="B21" s="36">
        <v>99.44</v>
      </c>
      <c r="C21">
        <f>VLOOKUP(A21,ABBV!A$2:G$55,3,0)</f>
        <v>53.66</v>
      </c>
      <c r="D21">
        <f>VLOOKUP(A21,ABT!A$2:G$55,3,0)</f>
        <v>42.98</v>
      </c>
      <c r="E21">
        <f>VLOOKUP(A21,ACN!A$2:G$55,3,0)</f>
        <v>80.959999999999994</v>
      </c>
      <c r="F21">
        <f>VLOOKUP(A21,AIG!A$2:G$55,3,0)</f>
        <v>54.14</v>
      </c>
      <c r="G21">
        <f>VLOOKUP(A21,ALL!A$2:G$55,3,0)</f>
        <v>57.79</v>
      </c>
      <c r="H21">
        <f>VLOOKUP(A21,AMGN!A$2:G$55,3,0)</f>
        <v>124.39</v>
      </c>
      <c r="I21">
        <f>VLOOKUP(A21,AMZN!A$2:G$55,3,0)</f>
        <v>322.89999999999998</v>
      </c>
      <c r="J21">
        <f>VLOOKUP(A21,APA!A$2:G$55,3,0)</f>
        <v>101.96</v>
      </c>
      <c r="K21">
        <f>VLOOKUP(A21,APC!A$2:G$55,3,0)</f>
        <v>110.15</v>
      </c>
      <c r="L21">
        <f>VLOOKUP(A21,AXP!A$2:G$55,3,0)</f>
        <v>92.23</v>
      </c>
      <c r="M21">
        <f>VLOOKUP(A21,BA!A$2:G$55,3,0)</f>
        <v>123.63</v>
      </c>
      <c r="N21">
        <f>VLOOKUP(A21,BAC!A$2:G$55,3,0)</f>
        <v>15.53</v>
      </c>
      <c r="O21">
        <f>VLOOKUP(A21,BAX!A$2:G$55,3,0)</f>
        <v>76.94</v>
      </c>
      <c r="P21">
        <f>VLOOKUP(A21,BIIB!A$2:G$55,3,0)</f>
        <v>344.07</v>
      </c>
      <c r="Q21">
        <f>VLOOKUP(A21,BK!A$2:G$55,3,0)</f>
        <v>39.57</v>
      </c>
      <c r="R21">
        <f>VLOOKUP(A21,BMY!A$2:G$55,3,0)</f>
        <v>51.34</v>
      </c>
      <c r="T21">
        <f>VLOOKUP(A21,'C'!A$2:G$55,3,0)</f>
        <v>49.87</v>
      </c>
      <c r="U21">
        <f>VLOOKUP(A21,CAT!A$2:G$55,3,0)</f>
        <v>106.44</v>
      </c>
      <c r="V21">
        <f>VLOOKUP(A21,CL!A$2:G$55,3,0)</f>
        <v>67.319999999999993</v>
      </c>
      <c r="W21">
        <f>VLOOKUP(A21,CMCSA!A$2:G$55,3,0)</f>
        <v>56.49</v>
      </c>
      <c r="X21">
        <f>VLOOKUP(A21,COF!A$2:G$55,3,0)</f>
        <v>81.91</v>
      </c>
      <c r="Y21">
        <f>VLOOKUP(A21,COP!A$2:G$55,3,0)</f>
        <v>85.44</v>
      </c>
      <c r="Z21">
        <f>VLOOKUP(A21,COST!A$2:G$55,3,0)</f>
        <v>119.6</v>
      </c>
      <c r="AA21">
        <f>VLOOKUP(A21,CSCO!A$2:G$55,3,0)</f>
        <v>26.01</v>
      </c>
      <c r="AB21">
        <f>VLOOKUP(A21,CVS!A$2:G$55,3,0)</f>
        <v>78.64</v>
      </c>
      <c r="AC21">
        <f>VLOOKUP(A21,CVX!A$2:G$55,3,0)</f>
        <v>133.72</v>
      </c>
      <c r="AD21">
        <f>VLOOKUP(A21,DD!A$2:G$55,3,0)</f>
        <v>66.95</v>
      </c>
      <c r="AE21">
        <f>VLOOKUP(A21,DIS!A$2:G$55,3,0)</f>
        <v>87.3</v>
      </c>
      <c r="AF21">
        <f>VLOOKUP(A21,DOW!A$2:G$55,3,0)</f>
        <v>54.03</v>
      </c>
      <c r="AG21">
        <f>VLOOKUP(A21,DVN!A$2:G$55,3,0)</f>
        <v>78.23</v>
      </c>
      <c r="AH21">
        <f>VLOOKUP(A21,EBAY!A$2:G$55,3,0)</f>
        <v>53.38</v>
      </c>
      <c r="AI21">
        <f>VLOOKUP(A21,EMC!A$2:G$55,3,0)</f>
        <v>29.72</v>
      </c>
      <c r="AJ21">
        <f>VLOOKUP(A21,EMR!A$2:G$55,3,0)</f>
        <v>67.17</v>
      </c>
      <c r="AK21">
        <f>VLOOKUP(A21,EXC!A$2:G$55,3,0)</f>
        <v>32.049999999999997</v>
      </c>
      <c r="AL21">
        <f>VLOOKUP(A21,F!A$2:G$55,3,0)</f>
        <v>17.850000000000001</v>
      </c>
      <c r="AM21">
        <f>VLOOKUP(A21,FB!A$2:G$55,3,0)</f>
        <v>74.92</v>
      </c>
      <c r="AN21">
        <f>VLOOKUP(A21,FCX!A$2:G$55,3,0)</f>
        <v>38.26</v>
      </c>
      <c r="AO21">
        <f>VLOOKUP(A21,FDX!A$2:G$55,3,0)</f>
        <v>149.86000000000001</v>
      </c>
      <c r="AP21">
        <f>VLOOKUP(A21,FOXA!A$2:G$55,3,0)</f>
        <v>32.64</v>
      </c>
      <c r="AQ21">
        <f>VLOOKUP(A21,GD!A$2:G$55,3,0)</f>
        <v>120.71</v>
      </c>
      <c r="AR21">
        <f>VLOOKUP(A21,GE!A$2:G$55,3,0)</f>
        <v>25.72</v>
      </c>
      <c r="AS21">
        <f>VLOOKUP(A21,GILD!A$2:G$55,3,0)</f>
        <v>93.25</v>
      </c>
      <c r="AT21">
        <f>VLOOKUP(A21,GM!A$2:G$55,3,0)</f>
        <v>35.200000000000003</v>
      </c>
      <c r="AU21">
        <f>VLOOKUP(A21,GOOG!A$2:G$55,3,0)</f>
        <v>589.70000000000005</v>
      </c>
      <c r="AV21">
        <f>VLOOKUP(A21,GOOGL!A$2:G$55,3,0)</f>
        <v>598.49</v>
      </c>
      <c r="AW21">
        <f>VLOOKUP(A21,GS!A$2:G$55,3,0)</f>
        <v>177.11</v>
      </c>
      <c r="AX21">
        <f>VLOOKUP(A21,HAL!A$2:G$55,3,0)</f>
        <v>72.78</v>
      </c>
      <c r="AY21">
        <f>VLOOKUP(A21,HD!A$2:G$55,3,0)</f>
        <v>81.81</v>
      </c>
      <c r="AZ21">
        <f>VLOOKUP(A21,HON!A$2:G$55,3,0)</f>
        <v>95.37</v>
      </c>
      <c r="BA21">
        <f>VLOOKUP(A21,HPQ!A$2:G$55,3,0)</f>
        <v>36.21</v>
      </c>
      <c r="BB21">
        <f>VLOOKUP(A21,IBM!A$2:G$55,3,0)</f>
        <v>195.89</v>
      </c>
      <c r="BC21">
        <f>VLOOKUP(A21,INTC!A$2:G$55,3,0)</f>
        <v>34.369999999999997</v>
      </c>
      <c r="BD21">
        <f>VLOOKUP(A21,JNJ!A$2:G$55,3,0)</f>
        <v>102.51</v>
      </c>
      <c r="BE21">
        <f>VLOOKUP(A21,JPM!A$2:G$55,3,0)</f>
        <v>59.13</v>
      </c>
      <c r="BF21">
        <f>VLOOKUP(A21,KO!A$2:G$55,3,0)</f>
        <v>40.78</v>
      </c>
      <c r="BG21">
        <f>VLOOKUP(A21,LLY!A$2:G$55,3,0)</f>
        <v>63.81</v>
      </c>
      <c r="BH21">
        <f>VLOOKUP(A21,LMT!A$2:G$55,3,0)</f>
        <v>170.66</v>
      </c>
      <c r="BI21">
        <f>VLOOKUP(A21,LOW!A$2:G$55,3,0)</f>
        <v>48.26</v>
      </c>
      <c r="BJ21">
        <f>VLOOKUP(A21,MA!A$2:G$55,3,0)</f>
        <v>76.61</v>
      </c>
      <c r="BK21">
        <f>VLOOKUP(A21,MCD!A$2:G$55,3,0)</f>
        <v>96.42</v>
      </c>
      <c r="BL21">
        <f>VLOOKUP(A21,MDLZ!A$2:G$55,3,0)</f>
        <v>38.39</v>
      </c>
      <c r="BM21">
        <f>VLOOKUP(A21,MDT!A$2:G$55,3,0)</f>
        <v>62.98</v>
      </c>
      <c r="BN21">
        <f>VLOOKUP(A21,MET!A$2:G$55,3,0)</f>
        <v>54.94</v>
      </c>
      <c r="BO21">
        <f>VLOOKUP(A21,MMM!A$2:G$55,3,0)</f>
        <v>146.27000000000001</v>
      </c>
      <c r="BP21">
        <f>VLOOKUP(A21,MO!A$2:G$55,3,0)</f>
        <v>41.82</v>
      </c>
      <c r="BQ21">
        <f>VLOOKUP(A21,MON!A$2:G$55,3,0)</f>
        <v>115.59</v>
      </c>
      <c r="BR21">
        <f>VLOOKUP(A21,MRK!A$2:G$55,3,0)</f>
        <v>59.28</v>
      </c>
      <c r="BS21">
        <f>VLOOKUP(A21,MS!A$2:G$55,3,0)</f>
        <v>33.1</v>
      </c>
      <c r="BT21">
        <f>VLOOKUP(A21,MSFT!A$2:G$55,3,0)</f>
        <v>44.09</v>
      </c>
      <c r="BU21">
        <f>VLOOKUP(A21,NKE!A$2:G$55,3,0)</f>
        <v>78.86</v>
      </c>
      <c r="BV21">
        <f>VLOOKUP(A21,NOV!A$2:G$55,3,0)</f>
        <v>85.79</v>
      </c>
      <c r="BW21">
        <f>VLOOKUP(A21,NSC!A$2:G$55,3,0)</f>
        <v>105.4</v>
      </c>
      <c r="BX21">
        <f>VLOOKUP(A21,ORCL!A$2:G$55,3,0)</f>
        <v>40.92</v>
      </c>
      <c r="BY21">
        <f>VLOOKUP(A21,OXY!A$2:G$55,3,0)</f>
        <v>99.94</v>
      </c>
      <c r="BZ21">
        <f>VLOOKUP(A21,PEP!A$2:G$55,3,0)</f>
        <v>90.97</v>
      </c>
      <c r="CA21">
        <f>VLOOKUP(A21,PFE!A$2:G$55,3,0)</f>
        <v>30.49</v>
      </c>
      <c r="CB21">
        <f>VLOOKUP(A21,PG!A$2:G$55,3,0)</f>
        <v>79.5</v>
      </c>
      <c r="CC21">
        <f>VLOOKUP(A21,PM!A$2:G$55,3,0)</f>
        <v>85.38</v>
      </c>
      <c r="CD21">
        <f>VLOOKUP(A21,QCOM!A$2:G$55,3,0)</f>
        <v>75.95</v>
      </c>
      <c r="CE21">
        <f>VLOOKUP(A21,RTN!A$2:G$55,3,0)</f>
        <v>93.39</v>
      </c>
      <c r="CF21">
        <f>VLOOKUP(A21,SBUX!A$2:G$55,3,0)</f>
        <v>79.25</v>
      </c>
      <c r="CG21">
        <f>VLOOKUP(A21,SLB!A$2:G$55,3,0)</f>
        <v>112.61</v>
      </c>
      <c r="CH21">
        <f>VLOOKUP(A21,SO!A$2:G$55,3,0)</f>
        <v>45.47</v>
      </c>
      <c r="CI21">
        <f>VLOOKUP(A21,SPG!A$2:G$55,3,0)</f>
        <v>171.01</v>
      </c>
      <c r="CJ21">
        <f>VLOOKUP(A21,T!A$2:G$55,3,0)</f>
        <v>37.479999999999997</v>
      </c>
      <c r="CK21">
        <f>VLOOKUP(A21,TGT!A$2:G$55,3,0)</f>
        <v>61.32</v>
      </c>
      <c r="CL21">
        <f>VLOOKUP(A21,TWX!A$2:G$55,3,0)</f>
        <v>85.39</v>
      </c>
      <c r="CM21">
        <f>VLOOKUP(A21,TXN!A$2:G$55,3,0)</f>
        <v>47.48</v>
      </c>
      <c r="CN21">
        <f>VLOOKUP(A21,UNH!A$2:G$55,3,0)</f>
        <v>85.56</v>
      </c>
      <c r="CO21">
        <f>VLOOKUP(A21,UNP!A$2:G$55,3,0)</f>
        <v>100.59</v>
      </c>
      <c r="CP21">
        <f>VLOOKUP(A21,UPS!A$2:G$55,3,0)</f>
        <v>99.75</v>
      </c>
      <c r="CQ21">
        <f>VLOOKUP(A21,USB!A$2:G$55,3,0)</f>
        <v>42.97</v>
      </c>
      <c r="CR21">
        <f>VLOOKUP(A21,UTX!A$2:G$55,3,0)</f>
        <v>109.25</v>
      </c>
      <c r="CS21">
        <f>VLOOKUP(A21,V!A$2:G$55,3,0)</f>
        <v>215.71</v>
      </c>
      <c r="CT21">
        <f>VLOOKUP(A21,VZ!A$2:G$55,3,0)</f>
        <v>53.66</v>
      </c>
      <c r="CU21">
        <f>VLOOKUP(A21,WAG!A$2:G$55,3,0)</f>
        <v>71.489999999999995</v>
      </c>
      <c r="CV21">
        <f>VLOOKUP(A21,WFC!A$2:G$55,3,0)</f>
        <v>52.15</v>
      </c>
      <c r="CW21">
        <f>VLOOKUP(A21,WMT!A$2:G$55,3,0)</f>
        <v>76.010000000000005</v>
      </c>
    </row>
    <row r="22" spans="1:101" x14ac:dyDescent="0.25">
      <c r="A22" s="34">
        <v>41850</v>
      </c>
      <c r="B22" s="36">
        <v>98.7</v>
      </c>
      <c r="C22">
        <f>VLOOKUP(A22,ABBV!A$2:G$55,3,0)</f>
        <v>53.89</v>
      </c>
      <c r="D22">
        <f>VLOOKUP(A22,ABT!A$2:G$55,3,0)</f>
        <v>43.09</v>
      </c>
      <c r="E22">
        <f>VLOOKUP(A22,ACN!A$2:G$55,3,0)</f>
        <v>80.87</v>
      </c>
      <c r="F22">
        <f>VLOOKUP(A22,AIG!A$2:G$55,3,0)</f>
        <v>53.74</v>
      </c>
      <c r="G22">
        <f>VLOOKUP(A22,ALL!A$2:G$55,3,0)</f>
        <v>57.18</v>
      </c>
      <c r="H22">
        <f>VLOOKUP(A22,AMGN!A$2:G$55,3,0)</f>
        <v>131.24</v>
      </c>
      <c r="I22">
        <f>VLOOKUP(A22,AMZN!A$2:G$55,3,0)</f>
        <v>322.73</v>
      </c>
      <c r="J22">
        <f>VLOOKUP(A22,APA!A$2:G$55,3,0)</f>
        <v>102.65</v>
      </c>
      <c r="K22">
        <f>VLOOKUP(A22,APC!A$2:G$55,3,0)</f>
        <v>113</v>
      </c>
      <c r="L22">
        <f>VLOOKUP(A22,AXP!A$2:G$55,3,0)</f>
        <v>92.32</v>
      </c>
      <c r="M22">
        <f>VLOOKUP(A22,BA!A$2:G$55,3,0)</f>
        <v>123.8</v>
      </c>
      <c r="N22">
        <f>VLOOKUP(A22,BAC!A$2:G$55,3,0)</f>
        <v>15.67</v>
      </c>
      <c r="O22">
        <f>VLOOKUP(A22,BAX!A$2:G$55,3,0)</f>
        <v>77.2</v>
      </c>
      <c r="P22">
        <f>VLOOKUP(A22,BIIB!A$2:G$55,3,0)</f>
        <v>349</v>
      </c>
      <c r="Q22">
        <f>VLOOKUP(A22,BK!A$2:G$55,3,0)</f>
        <v>40.06</v>
      </c>
      <c r="R22">
        <f>VLOOKUP(A22,BMY!A$2:G$55,3,0)</f>
        <v>51.3</v>
      </c>
      <c r="T22">
        <f>VLOOKUP(A22,'C'!A$2:G$55,3,0)</f>
        <v>50.27</v>
      </c>
      <c r="U22">
        <f>VLOOKUP(A22,CAT!A$2:G$55,3,0)</f>
        <v>105.32</v>
      </c>
      <c r="V22">
        <f>VLOOKUP(A22,CL!A$2:G$55,3,0)</f>
        <v>66.73</v>
      </c>
      <c r="W22">
        <f>VLOOKUP(A22,CMCSA!A$2:G$55,3,0)</f>
        <v>55.45</v>
      </c>
      <c r="X22">
        <f>VLOOKUP(A22,COF!A$2:G$55,3,0)</f>
        <v>81.8</v>
      </c>
      <c r="Y22">
        <f>VLOOKUP(A22,COP!A$2:G$55,3,0)</f>
        <v>85.89</v>
      </c>
      <c r="Z22">
        <f>VLOOKUP(A22,COST!A$2:G$55,3,0)</f>
        <v>119.07</v>
      </c>
      <c r="AA22">
        <f>VLOOKUP(A22,CSCO!A$2:G$55,3,0)</f>
        <v>25.84</v>
      </c>
      <c r="AB22">
        <f>VLOOKUP(A22,CVS!A$2:G$55,3,0)</f>
        <v>78.2</v>
      </c>
      <c r="AC22">
        <f>VLOOKUP(A22,CVX!A$2:G$55,3,0)</f>
        <v>133.69</v>
      </c>
      <c r="AD22">
        <f>VLOOKUP(A22,DD!A$2:G$55,3,0)</f>
        <v>66.540000000000006</v>
      </c>
      <c r="AE22">
        <f>VLOOKUP(A22,DIS!A$2:G$55,3,0)</f>
        <v>87.27</v>
      </c>
      <c r="AF22">
        <f>VLOOKUP(A22,DOW!A$2:G$55,3,0)</f>
        <v>53.8</v>
      </c>
      <c r="AG22">
        <f>VLOOKUP(A22,DVN!A$2:G$55,3,0)</f>
        <v>78.47</v>
      </c>
      <c r="AH22">
        <f>VLOOKUP(A22,EBAY!A$2:G$55,3,0)</f>
        <v>53.58</v>
      </c>
      <c r="AI22">
        <f>VLOOKUP(A22,EMC!A$2:G$55,3,0)</f>
        <v>29.9</v>
      </c>
      <c r="AJ22">
        <f>VLOOKUP(A22,EMR!A$2:G$55,3,0)</f>
        <v>66.23</v>
      </c>
      <c r="AK22">
        <f>VLOOKUP(A22,EXC!A$2:G$55,3,0)</f>
        <v>31.66</v>
      </c>
      <c r="AL22">
        <f>VLOOKUP(A22,F!A$2:G$55,3,0)</f>
        <v>17.600000000000001</v>
      </c>
      <c r="AM22">
        <f>VLOOKUP(A22,FB!A$2:G$55,3,0)</f>
        <v>75.19</v>
      </c>
      <c r="AN22">
        <f>VLOOKUP(A22,FCX!A$2:G$55,3,0)</f>
        <v>38.22</v>
      </c>
      <c r="AO22">
        <f>VLOOKUP(A22,FDX!A$2:G$55,3,0)</f>
        <v>150.34</v>
      </c>
      <c r="AP22">
        <f>VLOOKUP(A22,FOXA!A$2:G$55,3,0)</f>
        <v>32.53</v>
      </c>
      <c r="AQ22">
        <f>VLOOKUP(A22,GD!A$2:G$55,3,0)</f>
        <v>119.98</v>
      </c>
      <c r="AR22">
        <f>VLOOKUP(A22,GE!A$2:G$55,3,0)</f>
        <v>25.79</v>
      </c>
      <c r="AS22">
        <f>VLOOKUP(A22,GILD!A$2:G$55,3,0)</f>
        <v>94.34</v>
      </c>
      <c r="AT22">
        <f>VLOOKUP(A22,GM!A$2:G$55,3,0)</f>
        <v>34.659999999999997</v>
      </c>
      <c r="AU22">
        <f>VLOOKUP(A22,GOOG!A$2:G$55,3,0)</f>
        <v>589.5</v>
      </c>
      <c r="AV22">
        <f>VLOOKUP(A22,GOOGL!A$2:G$55,3,0)</f>
        <v>598.45000000000005</v>
      </c>
      <c r="AW22">
        <f>VLOOKUP(A22,GS!A$2:G$55,3,0)</f>
        <v>177.48</v>
      </c>
      <c r="AX22">
        <f>VLOOKUP(A22,HAL!A$2:G$55,3,0)</f>
        <v>71.86</v>
      </c>
      <c r="AY22">
        <f>VLOOKUP(A22,HD!A$2:G$55,3,0)</f>
        <v>81.849999999999994</v>
      </c>
      <c r="AZ22">
        <f>VLOOKUP(A22,HON!A$2:G$55,3,0)</f>
        <v>94.83</v>
      </c>
      <c r="BA22">
        <f>VLOOKUP(A22,HPQ!A$2:G$55,3,0)</f>
        <v>36.200000000000003</v>
      </c>
      <c r="BB22">
        <f>VLOOKUP(A22,IBM!A$2:G$55,3,0)</f>
        <v>195.99</v>
      </c>
      <c r="BC22">
        <f>VLOOKUP(A22,INTC!A$2:G$55,3,0)</f>
        <v>34.57</v>
      </c>
      <c r="BD22">
        <f>VLOOKUP(A22,JNJ!A$2:G$55,3,0)</f>
        <v>102.85</v>
      </c>
      <c r="BE22">
        <f>VLOOKUP(A22,JPM!A$2:G$55,3,0)</f>
        <v>59.28</v>
      </c>
      <c r="BF22">
        <f>VLOOKUP(A22,KO!A$2:G$55,3,0)</f>
        <v>40.5</v>
      </c>
      <c r="BG22">
        <f>VLOOKUP(A22,LLY!A$2:G$55,3,0)</f>
        <v>63.18</v>
      </c>
      <c r="BH22">
        <f>VLOOKUP(A22,LMT!A$2:G$55,3,0)</f>
        <v>171.36</v>
      </c>
      <c r="BI22">
        <f>VLOOKUP(A22,LOW!A$2:G$55,3,0)</f>
        <v>48.54</v>
      </c>
      <c r="BJ22">
        <f>VLOOKUP(A22,MA!A$2:G$55,3,0)</f>
        <v>76.290000000000006</v>
      </c>
      <c r="BK22">
        <f>VLOOKUP(A22,MCD!A$2:G$55,3,0)</f>
        <v>96.34</v>
      </c>
      <c r="BL22">
        <f>VLOOKUP(A22,MDLZ!A$2:G$55,3,0)</f>
        <v>38.18</v>
      </c>
      <c r="BM22">
        <f>VLOOKUP(A22,MDT!A$2:G$55,3,0)</f>
        <v>62.96</v>
      </c>
      <c r="BN22">
        <f>VLOOKUP(A22,MET!A$2:G$55,3,0)</f>
        <v>54.85</v>
      </c>
      <c r="BO22">
        <f>VLOOKUP(A22,MMM!A$2:G$55,3,0)</f>
        <v>144.78</v>
      </c>
      <c r="BP22">
        <f>VLOOKUP(A22,MO!A$2:G$55,3,0)</f>
        <v>41.89</v>
      </c>
      <c r="BQ22">
        <f>VLOOKUP(A22,MON!A$2:G$55,3,0)</f>
        <v>115.59</v>
      </c>
      <c r="BR22">
        <f>VLOOKUP(A22,MRK!A$2:G$55,3,0)</f>
        <v>58.85</v>
      </c>
      <c r="BS22">
        <f>VLOOKUP(A22,MS!A$2:G$55,3,0)</f>
        <v>33.49</v>
      </c>
      <c r="BT22">
        <f>VLOOKUP(A22,MSFT!A$2:G$55,3,0)</f>
        <v>44.1</v>
      </c>
      <c r="BU22">
        <f>VLOOKUP(A22,NKE!A$2:G$55,3,0)</f>
        <v>79.94</v>
      </c>
      <c r="BV22">
        <f>VLOOKUP(A22,NOV!A$2:G$55,3,0)</f>
        <v>83.45</v>
      </c>
      <c r="BW22">
        <f>VLOOKUP(A22,NSC!A$2:G$55,3,0)</f>
        <v>104.05</v>
      </c>
      <c r="BX22">
        <f>VLOOKUP(A22,ORCL!A$2:G$55,3,0)</f>
        <v>41.03</v>
      </c>
      <c r="BY22">
        <f>VLOOKUP(A22,OXY!A$2:G$55,3,0)</f>
        <v>100.31</v>
      </c>
      <c r="BZ22">
        <f>VLOOKUP(A22,PEP!A$2:G$55,3,0)</f>
        <v>90.55</v>
      </c>
      <c r="CA22">
        <f>VLOOKUP(A22,PFE!A$2:G$55,3,0)</f>
        <v>29.54</v>
      </c>
      <c r="CB22">
        <f>VLOOKUP(A22,PG!A$2:G$55,3,0)</f>
        <v>79.010000000000005</v>
      </c>
      <c r="CC22">
        <f>VLOOKUP(A22,PM!A$2:G$55,3,0)</f>
        <v>85.07</v>
      </c>
      <c r="CD22">
        <f>VLOOKUP(A22,QCOM!A$2:G$55,3,0)</f>
        <v>76.23</v>
      </c>
      <c r="CE22">
        <f>VLOOKUP(A22,RTN!A$2:G$55,3,0)</f>
        <v>93.42</v>
      </c>
      <c r="CF22">
        <f>VLOOKUP(A22,SBUX!A$2:G$55,3,0)</f>
        <v>79.180000000000007</v>
      </c>
      <c r="CG22">
        <f>VLOOKUP(A22,SLB!A$2:G$55,3,0)</f>
        <v>111.97</v>
      </c>
      <c r="CH22">
        <f>VLOOKUP(A22,SO!A$2:G$55,3,0)</f>
        <v>45</v>
      </c>
      <c r="CI22">
        <f>VLOOKUP(A22,SPG!A$2:G$55,3,0)</f>
        <v>171.01</v>
      </c>
      <c r="CJ22">
        <f>VLOOKUP(A22,T!A$2:G$55,3,0)</f>
        <v>36.630000000000003</v>
      </c>
      <c r="CK22">
        <f>VLOOKUP(A22,TGT!A$2:G$55,3,0)</f>
        <v>61.63</v>
      </c>
      <c r="CL22">
        <f>VLOOKUP(A22,TWX!A$2:G$55,3,0)</f>
        <v>85.02</v>
      </c>
      <c r="CM22">
        <f>VLOOKUP(A22,TXN!A$2:G$55,3,0)</f>
        <v>47.38</v>
      </c>
      <c r="CN22">
        <f>VLOOKUP(A22,UNH!A$2:G$55,3,0)</f>
        <v>84.87</v>
      </c>
      <c r="CO22">
        <f>VLOOKUP(A22,UNP!A$2:G$55,3,0)</f>
        <v>100.31</v>
      </c>
      <c r="CP22">
        <f>VLOOKUP(A22,UPS!A$2:G$55,3,0)</f>
        <v>99.76</v>
      </c>
      <c r="CQ22">
        <f>VLOOKUP(A22,USB!A$2:G$55,3,0)</f>
        <v>43.1</v>
      </c>
      <c r="CR22">
        <f>VLOOKUP(A22,UTX!A$2:G$55,3,0)</f>
        <v>108.15</v>
      </c>
      <c r="CS22">
        <f>VLOOKUP(A22,V!A$2:G$55,3,0)</f>
        <v>214.79</v>
      </c>
      <c r="CT22">
        <f>VLOOKUP(A22,VZ!A$2:G$55,3,0)</f>
        <v>52.15</v>
      </c>
      <c r="CU22">
        <f>VLOOKUP(A22,WAG!A$2:G$55,3,0)</f>
        <v>71.02</v>
      </c>
      <c r="CV22">
        <f>VLOOKUP(A22,WFC!A$2:G$55,3,0)</f>
        <v>52.3</v>
      </c>
      <c r="CW22">
        <f>VLOOKUP(A22,WMT!A$2:G$55,3,0)</f>
        <v>75.92</v>
      </c>
    </row>
    <row r="23" spans="1:101" x14ac:dyDescent="0.25">
      <c r="A23" s="34">
        <v>41851</v>
      </c>
      <c r="B23" s="36">
        <v>97.45</v>
      </c>
      <c r="C23">
        <f>VLOOKUP(A23,ABBV!A$2:G$55,3,0)</f>
        <v>53.4</v>
      </c>
      <c r="D23">
        <f>VLOOKUP(A23,ABT!A$2:G$55,3,0)</f>
        <v>42.88</v>
      </c>
      <c r="E23">
        <f>VLOOKUP(A23,ACN!A$2:G$55,3,0)</f>
        <v>80.66</v>
      </c>
      <c r="F23">
        <f>VLOOKUP(A23,AIG!A$2:G$55,3,0)</f>
        <v>52.96</v>
      </c>
      <c r="G23">
        <f>VLOOKUP(A23,ALL!A$2:G$55,3,0)</f>
        <v>59.89</v>
      </c>
      <c r="H23">
        <f>VLOOKUP(A23,AMGN!A$2:G$55,3,0)</f>
        <v>129.34</v>
      </c>
      <c r="I23">
        <f>VLOOKUP(A23,AMZN!A$2:G$55,3,0)</f>
        <v>320.68</v>
      </c>
      <c r="J23">
        <f>VLOOKUP(A23,APA!A$2:G$55,3,0)</f>
        <v>104.57</v>
      </c>
      <c r="K23">
        <f>VLOOKUP(A23,APC!A$2:G$55,3,0)</f>
        <v>109.14</v>
      </c>
      <c r="L23">
        <f>VLOOKUP(A23,AXP!A$2:G$55,3,0)</f>
        <v>90.26</v>
      </c>
      <c r="M23">
        <f>VLOOKUP(A23,BA!A$2:G$55,3,0)</f>
        <v>122.05</v>
      </c>
      <c r="N23">
        <f>VLOOKUP(A23,BAC!A$2:G$55,3,0)</f>
        <v>15.55</v>
      </c>
      <c r="O23">
        <f>VLOOKUP(A23,BAX!A$2:G$55,3,0)</f>
        <v>75.67</v>
      </c>
      <c r="P23">
        <f>VLOOKUP(A23,BIIB!A$2:G$55,3,0)</f>
        <v>342.86</v>
      </c>
      <c r="Q23">
        <f>VLOOKUP(A23,BK!A$2:G$55,3,0)</f>
        <v>39.54</v>
      </c>
      <c r="R23">
        <f>VLOOKUP(A23,BMY!A$2:G$55,3,0)</f>
        <v>51.14</v>
      </c>
      <c r="T23">
        <f>VLOOKUP(A23,'C'!A$2:G$55,3,0)</f>
        <v>49.92</v>
      </c>
      <c r="U23">
        <f>VLOOKUP(A23,CAT!A$2:G$55,3,0)</f>
        <v>102.69</v>
      </c>
      <c r="V23">
        <f>VLOOKUP(A23,CL!A$2:G$55,3,0)</f>
        <v>64.989999999999995</v>
      </c>
      <c r="W23">
        <f>VLOOKUP(A23,CMCSA!A$2:G$55,3,0)</f>
        <v>55.05</v>
      </c>
      <c r="X23">
        <f>VLOOKUP(A23,COF!A$2:G$55,3,0)</f>
        <v>81.180000000000007</v>
      </c>
      <c r="Y23">
        <f>VLOOKUP(A23,COP!A$2:G$55,3,0)</f>
        <v>84.56</v>
      </c>
      <c r="Z23">
        <f>VLOOKUP(A23,COST!A$2:G$55,3,0)</f>
        <v>118.34</v>
      </c>
      <c r="AA23">
        <f>VLOOKUP(A23,CSCO!A$2:G$55,3,0)</f>
        <v>25.5</v>
      </c>
      <c r="AB23">
        <f>VLOOKUP(A23,CVS!A$2:G$55,3,0)</f>
        <v>77.739999999999995</v>
      </c>
      <c r="AC23">
        <f>VLOOKUP(A23,CVX!A$2:G$55,3,0)</f>
        <v>131.97</v>
      </c>
      <c r="AD23">
        <f>VLOOKUP(A23,DD!A$2:G$55,3,0)</f>
        <v>65.099999999999994</v>
      </c>
      <c r="AE23">
        <f>VLOOKUP(A23,DIS!A$2:G$55,3,0)</f>
        <v>86.95</v>
      </c>
      <c r="AF23">
        <f>VLOOKUP(A23,DOW!A$2:G$55,3,0)</f>
        <v>52.12</v>
      </c>
      <c r="AG23">
        <f>VLOOKUP(A23,DVN!A$2:G$55,3,0)</f>
        <v>77.040000000000006</v>
      </c>
      <c r="AH23">
        <f>VLOOKUP(A23,EBAY!A$2:G$55,3,0)</f>
        <v>53.06</v>
      </c>
      <c r="AI23">
        <f>VLOOKUP(A23,EMC!A$2:G$55,3,0)</f>
        <v>29.74</v>
      </c>
      <c r="AJ23">
        <f>VLOOKUP(A23,EMR!A$2:G$55,3,0)</f>
        <v>64.92</v>
      </c>
      <c r="AK23">
        <f>VLOOKUP(A23,EXC!A$2:G$55,3,0)</f>
        <v>31.49</v>
      </c>
      <c r="AL23">
        <f>VLOOKUP(A23,F!A$2:G$55,3,0)</f>
        <v>17.329999999999998</v>
      </c>
      <c r="AM23">
        <f>VLOOKUP(A23,FB!A$2:G$55,3,0)</f>
        <v>74.17</v>
      </c>
      <c r="AN23">
        <f>VLOOKUP(A23,FCX!A$2:G$55,3,0)</f>
        <v>37.770000000000003</v>
      </c>
      <c r="AO23">
        <f>VLOOKUP(A23,FDX!A$2:G$55,3,0)</f>
        <v>149.11000000000001</v>
      </c>
      <c r="AP23">
        <f>VLOOKUP(A23,FOXA!A$2:G$55,3,0)</f>
        <v>32.270000000000003</v>
      </c>
      <c r="AQ23">
        <f>VLOOKUP(A23,GD!A$2:G$55,3,0)</f>
        <v>118.87</v>
      </c>
      <c r="AR23">
        <f>VLOOKUP(A23,GE!A$2:G$55,3,0)</f>
        <v>25.56</v>
      </c>
      <c r="AS23">
        <f>VLOOKUP(A23,GILD!A$2:G$55,3,0)</f>
        <v>93.37</v>
      </c>
      <c r="AT23">
        <f>VLOOKUP(A23,GM!A$2:G$55,3,0)</f>
        <v>34.24</v>
      </c>
      <c r="AU23">
        <f>VLOOKUP(A23,GOOG!A$2:G$55,3,0)</f>
        <v>583.65</v>
      </c>
      <c r="AV23">
        <f>VLOOKUP(A23,GOOGL!A$2:G$55,3,0)</f>
        <v>591.99</v>
      </c>
      <c r="AW23">
        <f>VLOOKUP(A23,GS!A$2:G$55,3,0)</f>
        <v>175.27</v>
      </c>
      <c r="AX23">
        <f>VLOOKUP(A23,HAL!A$2:G$55,3,0)</f>
        <v>70.31</v>
      </c>
      <c r="AY23">
        <f>VLOOKUP(A23,HD!A$2:G$55,3,0)</f>
        <v>81.58</v>
      </c>
      <c r="AZ23">
        <f>VLOOKUP(A23,HON!A$2:G$55,3,0)</f>
        <v>93.44</v>
      </c>
      <c r="BA23">
        <f>VLOOKUP(A23,HPQ!A$2:G$55,3,0)</f>
        <v>35.86</v>
      </c>
      <c r="BB23">
        <f>VLOOKUP(A23,IBM!A$2:G$55,3,0)</f>
        <v>194.29</v>
      </c>
      <c r="BC23">
        <f>VLOOKUP(A23,INTC!A$2:G$55,3,0)</f>
        <v>34.25</v>
      </c>
      <c r="BD23">
        <f>VLOOKUP(A23,JNJ!A$2:G$55,3,0)</f>
        <v>101.84</v>
      </c>
      <c r="BE23">
        <f>VLOOKUP(A23,JPM!A$2:G$55,3,0)</f>
        <v>58.68</v>
      </c>
      <c r="BF23">
        <f>VLOOKUP(A23,KO!A$2:G$55,3,0)</f>
        <v>39.729999999999997</v>
      </c>
      <c r="BG23">
        <f>VLOOKUP(A23,LLY!A$2:G$55,3,0)</f>
        <v>62.45</v>
      </c>
      <c r="BH23">
        <f>VLOOKUP(A23,LMT!A$2:G$55,3,0)</f>
        <v>169.24</v>
      </c>
      <c r="BI23">
        <f>VLOOKUP(A23,LOW!A$2:G$55,3,0)</f>
        <v>48.47</v>
      </c>
      <c r="BJ23">
        <f>VLOOKUP(A23,MA!A$2:G$55,3,0)</f>
        <v>76.319999999999993</v>
      </c>
      <c r="BK23">
        <f>VLOOKUP(A23,MCD!A$2:G$55,3,0)</f>
        <v>95.36</v>
      </c>
      <c r="BL23">
        <f>VLOOKUP(A23,MDLZ!A$2:G$55,3,0)</f>
        <v>36.79</v>
      </c>
      <c r="BM23">
        <f>VLOOKUP(A23,MDT!A$2:G$55,3,0)</f>
        <v>62.35</v>
      </c>
      <c r="BN23">
        <f>VLOOKUP(A23,MET!A$2:G$55,3,0)</f>
        <v>54.02</v>
      </c>
      <c r="BO23">
        <f>VLOOKUP(A23,MMM!A$2:G$55,3,0)</f>
        <v>143.55000000000001</v>
      </c>
      <c r="BP23">
        <f>VLOOKUP(A23,MO!A$2:G$55,3,0)</f>
        <v>41.04</v>
      </c>
      <c r="BQ23">
        <f>VLOOKUP(A23,MON!A$2:G$55,3,0)</f>
        <v>114.58</v>
      </c>
      <c r="BR23">
        <f>VLOOKUP(A23,MRK!A$2:G$55,3,0)</f>
        <v>58.07</v>
      </c>
      <c r="BS23">
        <f>VLOOKUP(A23,MS!A$2:G$55,3,0)</f>
        <v>33.14</v>
      </c>
      <c r="BT23">
        <f>VLOOKUP(A23,MSFT!A$2:G$55,3,0)</f>
        <v>43.69</v>
      </c>
      <c r="BU23">
        <f>VLOOKUP(A23,NKE!A$2:G$55,3,0)</f>
        <v>79.02</v>
      </c>
      <c r="BV23">
        <f>VLOOKUP(A23,NOV!A$2:G$55,3,0)</f>
        <v>81.93</v>
      </c>
      <c r="BW23">
        <f>VLOOKUP(A23,NSC!A$2:G$55,3,0)</f>
        <v>103.46</v>
      </c>
      <c r="BX23">
        <f>VLOOKUP(A23,ORCL!A$2:G$55,3,0)</f>
        <v>40.94</v>
      </c>
      <c r="BY23">
        <f>VLOOKUP(A23,OXY!A$2:G$55,3,0)</f>
        <v>99.09</v>
      </c>
      <c r="BZ23">
        <f>VLOOKUP(A23,PEP!A$2:G$55,3,0)</f>
        <v>88.91</v>
      </c>
      <c r="CA23">
        <f>VLOOKUP(A23,PFE!A$2:G$55,3,0)</f>
        <v>29.32</v>
      </c>
      <c r="CB23">
        <f>VLOOKUP(A23,PG!A$2:G$55,3,0)</f>
        <v>78.010000000000005</v>
      </c>
      <c r="CC23">
        <f>VLOOKUP(A23,PM!A$2:G$55,3,0)</f>
        <v>82.99</v>
      </c>
      <c r="CD23">
        <f>VLOOKUP(A23,QCOM!A$2:G$55,3,0)</f>
        <v>75.599999999999994</v>
      </c>
      <c r="CE23">
        <f>VLOOKUP(A23,RTN!A$2:G$55,3,0)</f>
        <v>92.15</v>
      </c>
      <c r="CF23">
        <f>VLOOKUP(A23,SBUX!A$2:G$55,3,0)</f>
        <v>78.7</v>
      </c>
      <c r="CG23">
        <f>VLOOKUP(A23,SLB!A$2:G$55,3,0)</f>
        <v>109.93</v>
      </c>
      <c r="CH23">
        <f>VLOOKUP(A23,SO!A$2:G$55,3,0)</f>
        <v>43.89</v>
      </c>
      <c r="CI23">
        <f>VLOOKUP(A23,SPG!A$2:G$55,3,0)</f>
        <v>169.96</v>
      </c>
      <c r="CJ23">
        <f>VLOOKUP(A23,T!A$2:G$55,3,0)</f>
        <v>36.21</v>
      </c>
      <c r="CK23">
        <f>VLOOKUP(A23,TGT!A$2:G$55,3,0)</f>
        <v>61</v>
      </c>
      <c r="CL23">
        <f>VLOOKUP(A23,TWX!A$2:G$55,3,0)</f>
        <v>84.75</v>
      </c>
      <c r="CM23">
        <f>VLOOKUP(A23,TXN!A$2:G$55,3,0)</f>
        <v>46.94</v>
      </c>
      <c r="CN23">
        <f>VLOOKUP(A23,UNH!A$2:G$55,3,0)</f>
        <v>82.18</v>
      </c>
      <c r="CO23">
        <f>VLOOKUP(A23,UNP!A$2:G$55,3,0)</f>
        <v>99.2</v>
      </c>
      <c r="CP23">
        <f>VLOOKUP(A23,UPS!A$2:G$55,3,0)</f>
        <v>98.86</v>
      </c>
      <c r="CQ23">
        <f>VLOOKUP(A23,USB!A$2:G$55,3,0)</f>
        <v>42.78</v>
      </c>
      <c r="CR23">
        <f>VLOOKUP(A23,UTX!A$2:G$55,3,0)</f>
        <v>106.57</v>
      </c>
      <c r="CS23">
        <f>VLOOKUP(A23,V!A$2:G$55,3,0)</f>
        <v>213.36</v>
      </c>
      <c r="CT23">
        <f>VLOOKUP(A23,VZ!A$2:G$55,3,0)</f>
        <v>51.38</v>
      </c>
      <c r="CU23">
        <f>VLOOKUP(A23,WAG!A$2:G$55,3,0)</f>
        <v>70.760000000000005</v>
      </c>
      <c r="CV23">
        <f>VLOOKUP(A23,WFC!A$2:G$55,3,0)</f>
        <v>51.88</v>
      </c>
      <c r="CW23">
        <f>VLOOKUP(A23,WMT!A$2:G$55,3,0)</f>
        <v>74.25</v>
      </c>
    </row>
    <row r="24" spans="1:101" x14ac:dyDescent="0.25">
      <c r="A24" s="34">
        <v>41852</v>
      </c>
      <c r="B24" s="36">
        <v>96.62</v>
      </c>
      <c r="C24">
        <f>VLOOKUP(A24,ABBV!A$2:G$55,3,0)</f>
        <v>52.64</v>
      </c>
      <c r="D24">
        <f>VLOOKUP(A24,ABT!A$2:G$55,3,0)</f>
        <v>42.36</v>
      </c>
      <c r="E24">
        <f>VLOOKUP(A24,ACN!A$2:G$55,3,0)</f>
        <v>79.48</v>
      </c>
      <c r="F24">
        <f>VLOOKUP(A24,AIG!A$2:G$55,3,0)</f>
        <v>52.41</v>
      </c>
      <c r="G24">
        <f>VLOOKUP(A24,ALL!A$2:G$55,3,0)</f>
        <v>58.73</v>
      </c>
      <c r="H24">
        <f>VLOOKUP(A24,AMGN!A$2:G$55,3,0)</f>
        <v>127.3</v>
      </c>
      <c r="I24">
        <f>VLOOKUP(A24,AMZN!A$2:G$55,3,0)</f>
        <v>315.83</v>
      </c>
      <c r="J24">
        <f>VLOOKUP(A24,APA!A$2:G$55,3,0)</f>
        <v>102.69</v>
      </c>
      <c r="K24">
        <f>VLOOKUP(A24,APC!A$2:G$55,3,0)</f>
        <v>106.89</v>
      </c>
      <c r="L24">
        <f>VLOOKUP(A24,AXP!A$2:G$55,3,0)</f>
        <v>87.74</v>
      </c>
      <c r="M24">
        <f>VLOOKUP(A24,BA!A$2:G$55,3,0)</f>
        <v>121.71</v>
      </c>
      <c r="N24">
        <f>VLOOKUP(A24,BAC!A$2:G$55,3,0)</f>
        <v>15.39</v>
      </c>
      <c r="O24">
        <f>VLOOKUP(A24,BAX!A$2:G$55,3,0)</f>
        <v>75.48</v>
      </c>
      <c r="P24">
        <f>VLOOKUP(A24,BIIB!A$2:G$55,3,0)</f>
        <v>337.82</v>
      </c>
      <c r="Q24">
        <f>VLOOKUP(A24,BK!A$2:G$55,3,0)</f>
        <v>39.200000000000003</v>
      </c>
      <c r="R24">
        <f>VLOOKUP(A24,BMY!A$2:G$55,3,0)</f>
        <v>50.97</v>
      </c>
      <c r="T24">
        <f>VLOOKUP(A24,'C'!A$2:G$55,3,0)</f>
        <v>49.03</v>
      </c>
      <c r="U24">
        <f>VLOOKUP(A24,CAT!A$2:G$55,3,0)</f>
        <v>100.85</v>
      </c>
      <c r="V24">
        <f>VLOOKUP(A24,CL!A$2:G$55,3,0)</f>
        <v>64.67</v>
      </c>
      <c r="W24">
        <f>VLOOKUP(A24,CMCSA!A$2:G$55,3,0)</f>
        <v>53.88</v>
      </c>
      <c r="X24">
        <f>VLOOKUP(A24,COF!A$2:G$55,3,0)</f>
        <v>80.02</v>
      </c>
      <c r="Y24">
        <f>VLOOKUP(A24,COP!A$2:G$55,3,0)</f>
        <v>81.93</v>
      </c>
      <c r="Z24">
        <f>VLOOKUP(A24,COST!A$2:G$55,3,0)</f>
        <v>118.33</v>
      </c>
      <c r="AA24">
        <f>VLOOKUP(A24,CSCO!A$2:G$55,3,0)</f>
        <v>25.21</v>
      </c>
      <c r="AB24">
        <f>VLOOKUP(A24,CVS!A$2:G$55,3,0)</f>
        <v>77.09</v>
      </c>
      <c r="AC24">
        <f>VLOOKUP(A24,CVX!A$2:G$55,3,0)</f>
        <v>128.96</v>
      </c>
      <c r="AD24">
        <f>VLOOKUP(A24,DD!A$2:G$55,3,0)</f>
        <v>64.44</v>
      </c>
      <c r="AE24">
        <f>VLOOKUP(A24,DIS!A$2:G$55,3,0)</f>
        <v>86.01</v>
      </c>
      <c r="AF24">
        <f>VLOOKUP(A24,DOW!A$2:G$55,3,0)</f>
        <v>51.25</v>
      </c>
      <c r="AG24">
        <f>VLOOKUP(A24,DVN!A$2:G$55,3,0)</f>
        <v>75.819999999999993</v>
      </c>
      <c r="AH24">
        <f>VLOOKUP(A24,EBAY!A$2:G$55,3,0)</f>
        <v>52.91</v>
      </c>
      <c r="AI24">
        <f>VLOOKUP(A24,EMC!A$2:G$55,3,0)</f>
        <v>29.2</v>
      </c>
      <c r="AJ24">
        <f>VLOOKUP(A24,EMR!A$2:G$55,3,0)</f>
        <v>63.78</v>
      </c>
      <c r="AK24">
        <f>VLOOKUP(A24,EXC!A$2:G$55,3,0)</f>
        <v>32.08</v>
      </c>
      <c r="AL24">
        <f>VLOOKUP(A24,F!A$2:G$55,3,0)</f>
        <v>17.18</v>
      </c>
      <c r="AM24">
        <f>VLOOKUP(A24,FB!A$2:G$55,3,0)</f>
        <v>73.22</v>
      </c>
      <c r="AN24">
        <f>VLOOKUP(A24,FCX!A$2:G$55,3,0)</f>
        <v>37.42</v>
      </c>
      <c r="AO24">
        <f>VLOOKUP(A24,FDX!A$2:G$55,3,0)</f>
        <v>147.99</v>
      </c>
      <c r="AP24">
        <f>VLOOKUP(A24,FOXA!A$2:G$55,3,0)</f>
        <v>32.08</v>
      </c>
      <c r="AQ24">
        <f>VLOOKUP(A24,GD!A$2:G$55,3,0)</f>
        <v>118.08</v>
      </c>
      <c r="AR24">
        <f>VLOOKUP(A24,GE!A$2:G$55,3,0)</f>
        <v>25.36</v>
      </c>
      <c r="AS24">
        <f>VLOOKUP(A24,GILD!A$2:G$55,3,0)</f>
        <v>92.6</v>
      </c>
      <c r="AT24">
        <f>VLOOKUP(A24,GM!A$2:G$55,3,0)</f>
        <v>34</v>
      </c>
      <c r="AU24">
        <f>VLOOKUP(A24,GOOG!A$2:G$55,3,0)</f>
        <v>575.96</v>
      </c>
      <c r="AV24">
        <f>VLOOKUP(A24,GOOGL!A$2:G$55,3,0)</f>
        <v>583.42999999999995</v>
      </c>
      <c r="AW24">
        <f>VLOOKUP(A24,GS!A$2:G$55,3,0)</f>
        <v>172.76</v>
      </c>
      <c r="AX24">
        <f>VLOOKUP(A24,HAL!A$2:G$55,3,0)</f>
        <v>69.16</v>
      </c>
      <c r="AY24">
        <f>VLOOKUP(A24,HD!A$2:G$55,3,0)</f>
        <v>81.08</v>
      </c>
      <c r="AZ24">
        <f>VLOOKUP(A24,HON!A$2:G$55,3,0)</f>
        <v>92.3</v>
      </c>
      <c r="BA24">
        <f>VLOOKUP(A24,HPQ!A$2:G$55,3,0)</f>
        <v>35.43</v>
      </c>
      <c r="BB24">
        <f>VLOOKUP(A24,IBM!A$2:G$55,3,0)</f>
        <v>191.5</v>
      </c>
      <c r="BC24">
        <f>VLOOKUP(A24,INTC!A$2:G$55,3,0)</f>
        <v>34.03</v>
      </c>
      <c r="BD24">
        <f>VLOOKUP(A24,JNJ!A$2:G$55,3,0)</f>
        <v>100.41</v>
      </c>
      <c r="BE24">
        <f>VLOOKUP(A24,JPM!A$2:G$55,3,0)</f>
        <v>57.49</v>
      </c>
      <c r="BF24">
        <f>VLOOKUP(A24,KO!A$2:G$55,3,0)</f>
        <v>39.49</v>
      </c>
      <c r="BG24">
        <f>VLOOKUP(A24,LLY!A$2:G$55,3,0)</f>
        <v>61.06</v>
      </c>
      <c r="BH24">
        <f>VLOOKUP(A24,LMT!A$2:G$55,3,0)</f>
        <v>168.77</v>
      </c>
      <c r="BI24">
        <f>VLOOKUP(A24,LOW!A$2:G$55,3,0)</f>
        <v>48.13</v>
      </c>
      <c r="BJ24">
        <f>VLOOKUP(A24,MA!A$2:G$55,3,0)</f>
        <v>75.44</v>
      </c>
      <c r="BK24">
        <f>VLOOKUP(A24,MCD!A$2:G$55,3,0)</f>
        <v>94.73</v>
      </c>
      <c r="BL24">
        <f>VLOOKUP(A24,MDLZ!A$2:G$55,3,0)</f>
        <v>36.43</v>
      </c>
      <c r="BM24">
        <f>VLOOKUP(A24,MDT!A$2:G$55,3,0)</f>
        <v>61.94</v>
      </c>
      <c r="BN24">
        <f>VLOOKUP(A24,MET!A$2:G$55,3,0)</f>
        <v>52.7</v>
      </c>
      <c r="BO24">
        <f>VLOOKUP(A24,MMM!A$2:G$55,3,0)</f>
        <v>141.04</v>
      </c>
      <c r="BP24">
        <f>VLOOKUP(A24,MO!A$2:G$55,3,0)</f>
        <v>40.799999999999997</v>
      </c>
      <c r="BQ24">
        <f>VLOOKUP(A24,MON!A$2:G$55,3,0)</f>
        <v>113.98</v>
      </c>
      <c r="BR24">
        <f>VLOOKUP(A24,MRK!A$2:G$55,3,0)</f>
        <v>57.12</v>
      </c>
      <c r="BS24">
        <f>VLOOKUP(A24,MS!A$2:G$55,3,0)</f>
        <v>32.33</v>
      </c>
      <c r="BT24">
        <f>VLOOKUP(A24,MSFT!A$2:G$55,3,0)</f>
        <v>43.25</v>
      </c>
      <c r="BU24">
        <f>VLOOKUP(A24,NKE!A$2:G$55,3,0)</f>
        <v>77.25</v>
      </c>
      <c r="BV24">
        <f>VLOOKUP(A24,NOV!A$2:G$55,3,0)</f>
        <v>81.599999999999994</v>
      </c>
      <c r="BW24">
        <f>VLOOKUP(A24,NSC!A$2:G$55,3,0)</f>
        <v>102.02</v>
      </c>
      <c r="BX24">
        <f>VLOOKUP(A24,ORCL!A$2:G$55,3,0)</f>
        <v>40.53</v>
      </c>
      <c r="BY24">
        <f>VLOOKUP(A24,OXY!A$2:G$55,3,0)</f>
        <v>98.93</v>
      </c>
      <c r="BZ24">
        <f>VLOOKUP(A24,PEP!A$2:G$55,3,0)</f>
        <v>88.93</v>
      </c>
      <c r="CA24">
        <f>VLOOKUP(A24,PFE!A$2:G$55,3,0)</f>
        <v>29.1</v>
      </c>
      <c r="CB24">
        <f>VLOOKUP(A24,PG!A$2:G$55,3,0)</f>
        <v>80.67</v>
      </c>
      <c r="CC24">
        <f>VLOOKUP(A24,PM!A$2:G$55,3,0)</f>
        <v>82.59</v>
      </c>
      <c r="CD24">
        <f>VLOOKUP(A24,QCOM!A$2:G$55,3,0)</f>
        <v>73.849999999999994</v>
      </c>
      <c r="CE24">
        <f>VLOOKUP(A24,RTN!A$2:G$55,3,0)</f>
        <v>92.24</v>
      </c>
      <c r="CF24">
        <f>VLOOKUP(A24,SBUX!A$2:G$55,3,0)</f>
        <v>77.89</v>
      </c>
      <c r="CG24">
        <f>VLOOKUP(A24,SLB!A$2:G$55,3,0)</f>
        <v>109.09</v>
      </c>
      <c r="CH24">
        <f>VLOOKUP(A24,SO!A$2:G$55,3,0)</f>
        <v>43.83</v>
      </c>
      <c r="CI24">
        <f>VLOOKUP(A24,SPG!A$2:G$55,3,0)</f>
        <v>169.36</v>
      </c>
      <c r="CJ24">
        <f>VLOOKUP(A24,T!A$2:G$55,3,0)</f>
        <v>35.82</v>
      </c>
      <c r="CK24">
        <f>VLOOKUP(A24,TGT!A$2:G$55,3,0)</f>
        <v>60</v>
      </c>
      <c r="CL24">
        <f>VLOOKUP(A24,TWX!A$2:G$55,3,0)</f>
        <v>84.41</v>
      </c>
      <c r="CM24">
        <f>VLOOKUP(A24,TXN!A$2:G$55,3,0)</f>
        <v>46.63</v>
      </c>
      <c r="CN24">
        <f>VLOOKUP(A24,UNH!A$2:G$55,3,0)</f>
        <v>82.07</v>
      </c>
      <c r="CO24">
        <f>VLOOKUP(A24,UNP!A$2:G$55,3,0)</f>
        <v>99.19</v>
      </c>
      <c r="CP24">
        <f>VLOOKUP(A24,UPS!A$2:G$55,3,0)</f>
        <v>97.39</v>
      </c>
      <c r="CQ24">
        <f>VLOOKUP(A24,USB!A$2:G$55,3,0)</f>
        <v>42.08</v>
      </c>
      <c r="CR24">
        <f>VLOOKUP(A24,UTX!A$2:G$55,3,0)</f>
        <v>105.81</v>
      </c>
      <c r="CS24">
        <f>VLOOKUP(A24,V!A$2:G$55,3,0)</f>
        <v>213.06</v>
      </c>
      <c r="CT24">
        <f>VLOOKUP(A24,VZ!A$2:G$55,3,0)</f>
        <v>50.52</v>
      </c>
      <c r="CU24">
        <f>VLOOKUP(A24,WAG!A$2:G$55,3,0)</f>
        <v>70.94</v>
      </c>
      <c r="CV24">
        <f>VLOOKUP(A24,WFC!A$2:G$55,3,0)</f>
        <v>51.11</v>
      </c>
      <c r="CW24">
        <f>VLOOKUP(A24,WMT!A$2:G$55,3,0)</f>
        <v>73.88</v>
      </c>
    </row>
    <row r="25" spans="1:101" x14ac:dyDescent="0.25">
      <c r="A25" s="34">
        <v>41855</v>
      </c>
      <c r="B25" s="36">
        <v>96.58</v>
      </c>
      <c r="C25">
        <f>VLOOKUP(A25,ABBV!A$2:G$55,3,0)</f>
        <v>53.4</v>
      </c>
      <c r="D25">
        <f>VLOOKUP(A25,ABT!A$2:G$55,3,0)</f>
        <v>42.5</v>
      </c>
      <c r="E25">
        <f>VLOOKUP(A25,ACN!A$2:G$55,3,0)</f>
        <v>79.489999999999995</v>
      </c>
      <c r="F25">
        <f>VLOOKUP(A25,AIG!A$2:G$55,3,0)</f>
        <v>52.76</v>
      </c>
      <c r="G25">
        <f>VLOOKUP(A25,ALL!A$2:G$55,3,0)</f>
        <v>59</v>
      </c>
      <c r="H25">
        <f>VLOOKUP(A25,AMGN!A$2:G$55,3,0)</f>
        <v>129.38999999999999</v>
      </c>
      <c r="I25">
        <f>VLOOKUP(A25,AMZN!A$2:G$55,3,0)</f>
        <v>316.18</v>
      </c>
      <c r="J25">
        <f>VLOOKUP(A25,APA!A$2:G$55,3,0)</f>
        <v>102.6</v>
      </c>
      <c r="K25">
        <f>VLOOKUP(A25,APC!A$2:G$55,3,0)</f>
        <v>112.19</v>
      </c>
      <c r="L25">
        <f>VLOOKUP(A25,AXP!A$2:G$55,3,0)</f>
        <v>87.24</v>
      </c>
      <c r="M25">
        <f>VLOOKUP(A25,BA!A$2:G$55,3,0)</f>
        <v>121.19</v>
      </c>
      <c r="N25">
        <f>VLOOKUP(A25,BAC!A$2:G$55,3,0)</f>
        <v>15.12</v>
      </c>
      <c r="O25">
        <f>VLOOKUP(A25,BAX!A$2:G$55,3,0)</f>
        <v>75</v>
      </c>
      <c r="P25">
        <f>VLOOKUP(A25,BIIB!A$2:G$55,3,0)</f>
        <v>330.94</v>
      </c>
      <c r="Q25">
        <f>VLOOKUP(A25,BK!A$2:G$55,3,0)</f>
        <v>39.28</v>
      </c>
      <c r="R25">
        <f>VLOOKUP(A25,BMY!A$2:G$55,3,0)</f>
        <v>50.21</v>
      </c>
      <c r="T25">
        <f>VLOOKUP(A25,'C'!A$2:G$55,3,0)</f>
        <v>48.5</v>
      </c>
      <c r="U25">
        <f>VLOOKUP(A25,CAT!A$2:G$55,3,0)</f>
        <v>102.05</v>
      </c>
      <c r="V25">
        <f>VLOOKUP(A25,CL!A$2:G$55,3,0)</f>
        <v>64.13</v>
      </c>
      <c r="W25">
        <f>VLOOKUP(A25,CMCSA!A$2:G$55,3,0)</f>
        <v>54.08</v>
      </c>
      <c r="X25">
        <f>VLOOKUP(A25,COF!A$2:G$55,3,0)</f>
        <v>80.22</v>
      </c>
      <c r="Y25">
        <f>VLOOKUP(A25,COP!A$2:G$55,3,0)</f>
        <v>82.16</v>
      </c>
      <c r="Z25">
        <f>VLOOKUP(A25,COST!A$2:G$55,3,0)</f>
        <v>118.38</v>
      </c>
      <c r="AA25">
        <f>VLOOKUP(A25,CSCO!A$2:G$55,3,0)</f>
        <v>25.22</v>
      </c>
      <c r="AB25">
        <f>VLOOKUP(A25,CVS!A$2:G$55,3,0)</f>
        <v>77.48</v>
      </c>
      <c r="AC25">
        <f>VLOOKUP(A25,CVX!A$2:G$55,3,0)</f>
        <v>128.36000000000001</v>
      </c>
      <c r="AD25">
        <f>VLOOKUP(A25,DD!A$2:G$55,3,0)</f>
        <v>64.739999999999995</v>
      </c>
      <c r="AE25">
        <f>VLOOKUP(A25,DIS!A$2:G$55,3,0)</f>
        <v>87.52</v>
      </c>
      <c r="AF25">
        <f>VLOOKUP(A25,DOW!A$2:G$55,3,0)</f>
        <v>51.83</v>
      </c>
      <c r="AG25">
        <f>VLOOKUP(A25,DVN!A$2:G$55,3,0)</f>
        <v>77.010000000000005</v>
      </c>
      <c r="AH25">
        <f>VLOOKUP(A25,EBAY!A$2:G$55,3,0)</f>
        <v>53.13</v>
      </c>
      <c r="AI25">
        <f>VLOOKUP(A25,EMC!A$2:G$55,3,0)</f>
        <v>29.62</v>
      </c>
      <c r="AJ25">
        <f>VLOOKUP(A25,EMR!A$2:G$55,3,0)</f>
        <v>64.14</v>
      </c>
      <c r="AK25">
        <f>VLOOKUP(A25,EXC!A$2:G$55,3,0)</f>
        <v>31.53</v>
      </c>
      <c r="AL25">
        <f>VLOOKUP(A25,F!A$2:G$55,3,0)</f>
        <v>17.14</v>
      </c>
      <c r="AM25">
        <f>VLOOKUP(A25,FB!A$2:G$55,3,0)</f>
        <v>73.88</v>
      </c>
      <c r="AN25">
        <f>VLOOKUP(A25,FCX!A$2:G$55,3,0)</f>
        <v>37.32</v>
      </c>
      <c r="AO25">
        <f>VLOOKUP(A25,FDX!A$2:G$55,3,0)</f>
        <v>149.08000000000001</v>
      </c>
      <c r="AP25">
        <f>VLOOKUP(A25,FOXA!A$2:G$55,3,0)</f>
        <v>32.08</v>
      </c>
      <c r="AQ25">
        <f>VLOOKUP(A25,GD!A$2:G$55,3,0)</f>
        <v>117.6</v>
      </c>
      <c r="AR25">
        <f>VLOOKUP(A25,GE!A$2:G$55,3,0)</f>
        <v>25.42</v>
      </c>
      <c r="AS25">
        <f>VLOOKUP(A25,GILD!A$2:G$55,3,0)</f>
        <v>92.89</v>
      </c>
      <c r="AT25">
        <f>VLOOKUP(A25,GM!A$2:G$55,3,0)</f>
        <v>34.020000000000003</v>
      </c>
      <c r="AU25">
        <f>VLOOKUP(A25,GOOG!A$2:G$55,3,0)</f>
        <v>575.35</v>
      </c>
      <c r="AV25">
        <f>VLOOKUP(A25,GOOGL!A$2:G$55,3,0)</f>
        <v>583.82000000000005</v>
      </c>
      <c r="AW25">
        <f>VLOOKUP(A25,GS!A$2:G$55,3,0)</f>
        <v>171.89</v>
      </c>
      <c r="AX25">
        <f>VLOOKUP(A25,HAL!A$2:G$55,3,0)</f>
        <v>70.33</v>
      </c>
      <c r="AY25">
        <f>VLOOKUP(A25,HD!A$2:G$55,3,0)</f>
        <v>80.25</v>
      </c>
      <c r="AZ25">
        <f>VLOOKUP(A25,HON!A$2:G$55,3,0)</f>
        <v>92.86</v>
      </c>
      <c r="BA25">
        <f>VLOOKUP(A25,HPQ!A$2:G$55,3,0)</f>
        <v>35.450000000000003</v>
      </c>
      <c r="BB25">
        <f>VLOOKUP(A25,IBM!A$2:G$55,3,0)</f>
        <v>189.95</v>
      </c>
      <c r="BC25">
        <f>VLOOKUP(A25,INTC!A$2:G$55,3,0)</f>
        <v>34.090000000000003</v>
      </c>
      <c r="BD25">
        <f>VLOOKUP(A25,JNJ!A$2:G$55,3,0)</f>
        <v>100.38</v>
      </c>
      <c r="BE25">
        <f>VLOOKUP(A25,JPM!A$2:G$55,3,0)</f>
        <v>56.98</v>
      </c>
      <c r="BF25">
        <f>VLOOKUP(A25,KO!A$2:G$55,3,0)</f>
        <v>39.46</v>
      </c>
      <c r="BG25">
        <f>VLOOKUP(A25,LLY!A$2:G$55,3,0)</f>
        <v>61.69</v>
      </c>
      <c r="BH25">
        <f>VLOOKUP(A25,LMT!A$2:G$55,3,0)</f>
        <v>168.58</v>
      </c>
      <c r="BI25">
        <f>VLOOKUP(A25,LOW!A$2:G$55,3,0)</f>
        <v>48.05</v>
      </c>
      <c r="BJ25">
        <f>VLOOKUP(A25,MA!A$2:G$55,3,0)</f>
        <v>75.849999999999994</v>
      </c>
      <c r="BK25">
        <f>VLOOKUP(A25,MCD!A$2:G$55,3,0)</f>
        <v>94.35</v>
      </c>
      <c r="BL25">
        <f>VLOOKUP(A25,MDLZ!A$2:G$55,3,0)</f>
        <v>36.51</v>
      </c>
      <c r="BM25">
        <f>VLOOKUP(A25,MDT!A$2:G$55,3,0)</f>
        <v>62.59</v>
      </c>
      <c r="BN25">
        <f>VLOOKUP(A25,MET!A$2:G$55,3,0)</f>
        <v>52.53</v>
      </c>
      <c r="BO25">
        <f>VLOOKUP(A25,MMM!A$2:G$55,3,0)</f>
        <v>140.97999999999999</v>
      </c>
      <c r="BP25">
        <f>VLOOKUP(A25,MO!A$2:G$55,3,0)</f>
        <v>40.83</v>
      </c>
      <c r="BQ25">
        <f>VLOOKUP(A25,MON!A$2:G$55,3,0)</f>
        <v>115.15</v>
      </c>
      <c r="BR25">
        <f>VLOOKUP(A25,MRK!A$2:G$55,3,0)</f>
        <v>57.27</v>
      </c>
      <c r="BS25">
        <f>VLOOKUP(A25,MS!A$2:G$55,3,0)</f>
        <v>31.95</v>
      </c>
      <c r="BT25">
        <f>VLOOKUP(A25,MSFT!A$2:G$55,3,0)</f>
        <v>43.47</v>
      </c>
      <c r="BU25">
        <f>VLOOKUP(A25,NKE!A$2:G$55,3,0)</f>
        <v>77.41</v>
      </c>
      <c r="BV25">
        <f>VLOOKUP(A25,NOV!A$2:G$55,3,0)</f>
        <v>82.99</v>
      </c>
      <c r="BW25">
        <f>VLOOKUP(A25,NSC!A$2:G$55,3,0)</f>
        <v>101.42</v>
      </c>
      <c r="BX25">
        <f>VLOOKUP(A25,ORCL!A$2:G$55,3,0)</f>
        <v>40.22</v>
      </c>
      <c r="BY25">
        <f>VLOOKUP(A25,OXY!A$2:G$55,3,0)</f>
        <v>101.23</v>
      </c>
      <c r="BZ25">
        <f>VLOOKUP(A25,PEP!A$2:G$55,3,0)</f>
        <v>89.72</v>
      </c>
      <c r="CA25">
        <f>VLOOKUP(A25,PFE!A$2:G$55,3,0)</f>
        <v>28.96</v>
      </c>
      <c r="CB25">
        <f>VLOOKUP(A25,PG!A$2:G$55,3,0)</f>
        <v>79.459999999999994</v>
      </c>
      <c r="CC25">
        <f>VLOOKUP(A25,PM!A$2:G$55,3,0)</f>
        <v>82.33</v>
      </c>
      <c r="CD25">
        <f>VLOOKUP(A25,QCOM!A$2:G$55,3,0)</f>
        <v>73.47</v>
      </c>
      <c r="CE25">
        <f>VLOOKUP(A25,RTN!A$2:G$55,3,0)</f>
        <v>92</v>
      </c>
      <c r="CF25">
        <f>VLOOKUP(A25,SBUX!A$2:G$55,3,0)</f>
        <v>77.760000000000005</v>
      </c>
      <c r="CG25">
        <f>VLOOKUP(A25,SLB!A$2:G$55,3,0)</f>
        <v>110.05</v>
      </c>
      <c r="CH25">
        <f>VLOOKUP(A25,SO!A$2:G$55,3,0)</f>
        <v>43.41</v>
      </c>
      <c r="CI25">
        <f>VLOOKUP(A25,SPG!A$2:G$55,3,0)</f>
        <v>168.93</v>
      </c>
      <c r="CJ25">
        <f>VLOOKUP(A25,T!A$2:G$55,3,0)</f>
        <v>35.53</v>
      </c>
      <c r="CK25">
        <f>VLOOKUP(A25,TGT!A$2:G$55,3,0)</f>
        <v>61</v>
      </c>
      <c r="CL25">
        <f>VLOOKUP(A25,TWX!A$2:G$55,3,0)</f>
        <v>87.27</v>
      </c>
      <c r="CM25">
        <f>VLOOKUP(A25,TXN!A$2:G$55,3,0)</f>
        <v>46.51</v>
      </c>
      <c r="CN25">
        <f>VLOOKUP(A25,UNH!A$2:G$55,3,0)</f>
        <v>82.53</v>
      </c>
      <c r="CO25">
        <f>VLOOKUP(A25,UNP!A$2:G$55,3,0)</f>
        <v>98.55</v>
      </c>
      <c r="CP25">
        <f>VLOOKUP(A25,UPS!A$2:G$55,3,0)</f>
        <v>97.61</v>
      </c>
      <c r="CQ25">
        <f>VLOOKUP(A25,USB!A$2:G$55,3,0)</f>
        <v>41.67</v>
      </c>
      <c r="CR25">
        <f>VLOOKUP(A25,UTX!A$2:G$55,3,0)</f>
        <v>105.34</v>
      </c>
      <c r="CS25">
        <f>VLOOKUP(A25,V!A$2:G$55,3,0)</f>
        <v>213.17</v>
      </c>
      <c r="CT25">
        <f>VLOOKUP(A25,VZ!A$2:G$55,3,0)</f>
        <v>50.3</v>
      </c>
      <c r="CU25">
        <f>VLOOKUP(A25,WAG!A$2:G$55,3,0)</f>
        <v>72.91</v>
      </c>
      <c r="CV25">
        <f>VLOOKUP(A25,WFC!A$2:G$55,3,0)</f>
        <v>51.03</v>
      </c>
      <c r="CW25">
        <f>VLOOKUP(A25,WMT!A$2:G$55,3,0)</f>
        <v>73.63</v>
      </c>
    </row>
    <row r="26" spans="1:101" x14ac:dyDescent="0.25">
      <c r="A26" s="34">
        <v>41856</v>
      </c>
      <c r="B26" s="36">
        <v>95.68</v>
      </c>
      <c r="C26">
        <f>VLOOKUP(A26,ABBV!A$2:G$55,3,0)</f>
        <v>53.19</v>
      </c>
      <c r="D26">
        <f>VLOOKUP(A26,ABT!A$2:G$55,3,0)</f>
        <v>42.37</v>
      </c>
      <c r="E26">
        <f>VLOOKUP(A26,ACN!A$2:G$55,3,0)</f>
        <v>79.27</v>
      </c>
      <c r="F26">
        <f>VLOOKUP(A26,AIG!A$2:G$55,3,0)</f>
        <v>53.7</v>
      </c>
      <c r="G26">
        <f>VLOOKUP(A26,ALL!A$2:G$55,3,0)</f>
        <v>59.28</v>
      </c>
      <c r="H26">
        <f>VLOOKUP(A26,AMGN!A$2:G$55,3,0)</f>
        <v>129</v>
      </c>
      <c r="I26">
        <f>VLOOKUP(A26,AMZN!A$2:G$55,3,0)</f>
        <v>314.55</v>
      </c>
      <c r="J26">
        <f>VLOOKUP(A26,APA!A$2:G$55,3,0)</f>
        <v>101.71</v>
      </c>
      <c r="K26">
        <f>VLOOKUP(A26,APC!A$2:G$55,3,0)</f>
        <v>110.4</v>
      </c>
      <c r="L26">
        <f>VLOOKUP(A26,AXP!A$2:G$55,3,0)</f>
        <v>87.02</v>
      </c>
      <c r="M26">
        <f>VLOOKUP(A26,BA!A$2:G$55,3,0)</f>
        <v>121.98</v>
      </c>
      <c r="N26">
        <f>VLOOKUP(A26,BAC!A$2:G$55,3,0)</f>
        <v>15.2</v>
      </c>
      <c r="O26">
        <f>VLOOKUP(A26,BAX!A$2:G$55,3,0)</f>
        <v>75.3</v>
      </c>
      <c r="P26">
        <f>VLOOKUP(A26,BIIB!A$2:G$55,3,0)</f>
        <v>328.55</v>
      </c>
      <c r="Q26">
        <f>VLOOKUP(A26,BK!A$2:G$55,3,0)</f>
        <v>39.28</v>
      </c>
      <c r="R26">
        <f>VLOOKUP(A26,BMY!A$2:G$55,3,0)</f>
        <v>49.93</v>
      </c>
      <c r="T26">
        <f>VLOOKUP(A26,'C'!A$2:G$55,3,0)</f>
        <v>48.49</v>
      </c>
      <c r="U26">
        <f>VLOOKUP(A26,CAT!A$2:G$55,3,0)</f>
        <v>102.47</v>
      </c>
      <c r="V26">
        <f>VLOOKUP(A26,CL!A$2:G$55,3,0)</f>
        <v>64.069999999999993</v>
      </c>
      <c r="W26">
        <f>VLOOKUP(A26,CMCSA!A$2:G$55,3,0)</f>
        <v>53.86</v>
      </c>
      <c r="X26">
        <f>VLOOKUP(A26,COF!A$2:G$55,3,0)</f>
        <v>79.92</v>
      </c>
      <c r="Y26">
        <f>VLOOKUP(A26,COP!A$2:G$55,3,0)</f>
        <v>81.59</v>
      </c>
      <c r="Z26">
        <f>VLOOKUP(A26,COST!A$2:G$55,3,0)</f>
        <v>118.2</v>
      </c>
      <c r="AA26">
        <f>VLOOKUP(A26,CSCO!A$2:G$55,3,0)</f>
        <v>25.12</v>
      </c>
      <c r="AB26">
        <f>VLOOKUP(A26,CVS!A$2:G$55,3,0)</f>
        <v>78.959999999999994</v>
      </c>
      <c r="AC26">
        <f>VLOOKUP(A26,CVX!A$2:G$55,3,0)</f>
        <v>127.81</v>
      </c>
      <c r="AD26">
        <f>VLOOKUP(A26,DD!A$2:G$55,3,0)</f>
        <v>64.56</v>
      </c>
      <c r="AE26">
        <f>VLOOKUP(A26,DIS!A$2:G$55,3,0)</f>
        <v>87.24</v>
      </c>
      <c r="AF26">
        <f>VLOOKUP(A26,DOW!A$2:G$55,3,0)</f>
        <v>51.82</v>
      </c>
      <c r="AG26">
        <f>VLOOKUP(A26,DVN!A$2:G$55,3,0)</f>
        <v>76.69</v>
      </c>
      <c r="AH26">
        <f>VLOOKUP(A26,EBAY!A$2:G$55,3,0)</f>
        <v>53.32</v>
      </c>
      <c r="AI26">
        <f>VLOOKUP(A26,EMC!A$2:G$55,3,0)</f>
        <v>29.48</v>
      </c>
      <c r="AJ26">
        <f>VLOOKUP(A26,EMR!A$2:G$55,3,0)</f>
        <v>63.96</v>
      </c>
      <c r="AK26">
        <f>VLOOKUP(A26,EXC!A$2:G$55,3,0)</f>
        <v>31.56</v>
      </c>
      <c r="AL26">
        <f>VLOOKUP(A26,F!A$2:G$55,3,0)</f>
        <v>17.14</v>
      </c>
      <c r="AM26">
        <f>VLOOKUP(A26,FB!A$2:G$55,3,0)</f>
        <v>73.59</v>
      </c>
      <c r="AN26">
        <f>VLOOKUP(A26,FCX!A$2:G$55,3,0)</f>
        <v>37.15</v>
      </c>
      <c r="AO26">
        <f>VLOOKUP(A26,FDX!A$2:G$55,3,0)</f>
        <v>148.55000000000001</v>
      </c>
      <c r="AP26">
        <f>VLOOKUP(A26,FOXA!A$2:G$55,3,0)</f>
        <v>31.78</v>
      </c>
      <c r="AQ26">
        <f>VLOOKUP(A26,GD!A$2:G$55,3,0)</f>
        <v>118.5</v>
      </c>
      <c r="AR26">
        <f>VLOOKUP(A26,GE!A$2:G$55,3,0)</f>
        <v>25.29</v>
      </c>
      <c r="AS26">
        <f>VLOOKUP(A26,GILD!A$2:G$55,3,0)</f>
        <v>93.08</v>
      </c>
      <c r="AT26">
        <f>VLOOKUP(A26,GM!A$2:G$55,3,0)</f>
        <v>33.81</v>
      </c>
      <c r="AU26">
        <f>VLOOKUP(A26,GOOG!A$2:G$55,3,0)</f>
        <v>571.98</v>
      </c>
      <c r="AV26">
        <f>VLOOKUP(A26,GOOGL!A$2:G$55,3,0)</f>
        <v>580.20000000000005</v>
      </c>
      <c r="AW26">
        <f>VLOOKUP(A26,GS!A$2:G$55,3,0)</f>
        <v>171.77</v>
      </c>
      <c r="AX26">
        <f>VLOOKUP(A26,HAL!A$2:G$55,3,0)</f>
        <v>69.819999999999993</v>
      </c>
      <c r="AY26">
        <f>VLOOKUP(A26,HD!A$2:G$55,3,0)</f>
        <v>80.86</v>
      </c>
      <c r="AZ26">
        <f>VLOOKUP(A26,HON!A$2:G$55,3,0)</f>
        <v>92.28</v>
      </c>
      <c r="BA26">
        <f>VLOOKUP(A26,HPQ!A$2:G$55,3,0)</f>
        <v>35.33</v>
      </c>
      <c r="BB26">
        <f>VLOOKUP(A26,IBM!A$2:G$55,3,0)</f>
        <v>189.2</v>
      </c>
      <c r="BC26">
        <f>VLOOKUP(A26,INTC!A$2:G$55,3,0)</f>
        <v>33.78</v>
      </c>
      <c r="BD26">
        <f>VLOOKUP(A26,JNJ!A$2:G$55,3,0)</f>
        <v>100.24</v>
      </c>
      <c r="BE26">
        <f>VLOOKUP(A26,JPM!A$2:G$55,3,0)</f>
        <v>56.6</v>
      </c>
      <c r="BF26">
        <f>VLOOKUP(A26,KO!A$2:G$55,3,0)</f>
        <v>39.53</v>
      </c>
      <c r="BG26">
        <f>VLOOKUP(A26,LLY!A$2:G$55,3,0)</f>
        <v>61.7</v>
      </c>
      <c r="BH26">
        <f>VLOOKUP(A26,LMT!A$2:G$55,3,0)</f>
        <v>169.16</v>
      </c>
      <c r="BI26">
        <f>VLOOKUP(A26,LOW!A$2:G$55,3,0)</f>
        <v>48.23</v>
      </c>
      <c r="BJ26">
        <f>VLOOKUP(A26,MA!A$2:G$55,3,0)</f>
        <v>75.66</v>
      </c>
      <c r="BK26">
        <f>VLOOKUP(A26,MCD!A$2:G$55,3,0)</f>
        <v>94.3</v>
      </c>
      <c r="BL26">
        <f>VLOOKUP(A26,MDLZ!A$2:G$55,3,0)</f>
        <v>36.43</v>
      </c>
      <c r="BM26">
        <f>VLOOKUP(A26,MDT!A$2:G$55,3,0)</f>
        <v>62.91</v>
      </c>
      <c r="BN26">
        <f>VLOOKUP(A26,MET!A$2:G$55,3,0)</f>
        <v>52.2</v>
      </c>
      <c r="BO26">
        <f>VLOOKUP(A26,MMM!A$2:G$55,3,0)</f>
        <v>141.12</v>
      </c>
      <c r="BP26">
        <f>VLOOKUP(A26,MO!A$2:G$55,3,0)</f>
        <v>40.96</v>
      </c>
      <c r="BQ26">
        <f>VLOOKUP(A26,MON!A$2:G$55,3,0)</f>
        <v>115.39</v>
      </c>
      <c r="BR26">
        <f>VLOOKUP(A26,MRK!A$2:G$55,3,0)</f>
        <v>56.97</v>
      </c>
      <c r="BS26">
        <f>VLOOKUP(A26,MS!A$2:G$55,3,0)</f>
        <v>31.95</v>
      </c>
      <c r="BT26">
        <f>VLOOKUP(A26,MSFT!A$2:G$55,3,0)</f>
        <v>43.46</v>
      </c>
      <c r="BU26">
        <f>VLOOKUP(A26,NKE!A$2:G$55,3,0)</f>
        <v>77.64</v>
      </c>
      <c r="BV26">
        <f>VLOOKUP(A26,NOV!A$2:G$55,3,0)</f>
        <v>82.56</v>
      </c>
      <c r="BW26">
        <f>VLOOKUP(A26,NSC!A$2:G$55,3,0)</f>
        <v>101.92</v>
      </c>
      <c r="BX26">
        <f>VLOOKUP(A26,ORCL!A$2:G$55,3,0)</f>
        <v>40.380000000000003</v>
      </c>
      <c r="BY26">
        <f>VLOOKUP(A26,OXY!A$2:G$55,3,0)</f>
        <v>100.26</v>
      </c>
      <c r="BZ26">
        <f>VLOOKUP(A26,PEP!A$2:G$55,3,0)</f>
        <v>89.68</v>
      </c>
      <c r="CA26">
        <f>VLOOKUP(A26,PFE!A$2:G$55,3,0)</f>
        <v>28.71</v>
      </c>
      <c r="CB26">
        <f>VLOOKUP(A26,PG!A$2:G$55,3,0)</f>
        <v>79.739999999999995</v>
      </c>
      <c r="CC26">
        <f>VLOOKUP(A26,PM!A$2:G$55,3,0)</f>
        <v>82.26</v>
      </c>
      <c r="CD26">
        <f>VLOOKUP(A26,QCOM!A$2:G$55,3,0)</f>
        <v>73.349999999999994</v>
      </c>
      <c r="CE26">
        <f>VLOOKUP(A26,RTN!A$2:G$55,3,0)</f>
        <v>92.79</v>
      </c>
      <c r="CF26">
        <f>VLOOKUP(A26,SBUX!A$2:G$55,3,0)</f>
        <v>77.459999999999994</v>
      </c>
      <c r="CG26">
        <f>VLOOKUP(A26,SLB!A$2:G$55,3,0)</f>
        <v>108.97</v>
      </c>
      <c r="CH26">
        <f>VLOOKUP(A26,SO!A$2:G$55,3,0)</f>
        <v>43.2</v>
      </c>
      <c r="CI26">
        <f>VLOOKUP(A26,SPG!A$2:G$55,3,0)</f>
        <v>168.29</v>
      </c>
      <c r="CJ26">
        <f>VLOOKUP(A26,T!A$2:G$55,3,0)</f>
        <v>35.46</v>
      </c>
      <c r="CK26">
        <f>VLOOKUP(A26,TGT!A$2:G$55,3,0)</f>
        <v>59.41</v>
      </c>
      <c r="CL26">
        <f>VLOOKUP(A26,TWX!A$2:G$55,3,0)</f>
        <v>85.33</v>
      </c>
      <c r="CM26">
        <f>VLOOKUP(A26,TXN!A$2:G$55,3,0)</f>
        <v>46.46</v>
      </c>
      <c r="CN26">
        <f>VLOOKUP(A26,UNH!A$2:G$55,3,0)</f>
        <v>82.53</v>
      </c>
      <c r="CO26">
        <f>VLOOKUP(A26,UNP!A$2:G$55,3,0)</f>
        <v>98.75</v>
      </c>
      <c r="CP26">
        <f>VLOOKUP(A26,UPS!A$2:G$55,3,0)</f>
        <v>97.5</v>
      </c>
      <c r="CQ26">
        <f>VLOOKUP(A26,USB!A$2:G$55,3,0)</f>
        <v>41.64</v>
      </c>
      <c r="CR26">
        <f>VLOOKUP(A26,UTX!A$2:G$55,3,0)</f>
        <v>105.72</v>
      </c>
      <c r="CS26">
        <f>VLOOKUP(A26,V!A$2:G$55,3,0)</f>
        <v>212.39</v>
      </c>
      <c r="CT26">
        <f>VLOOKUP(A26,VZ!A$2:G$55,3,0)</f>
        <v>50.2</v>
      </c>
      <c r="CU26">
        <f>VLOOKUP(A26,WAG!A$2:G$55,3,0)</f>
        <v>72.760000000000005</v>
      </c>
      <c r="CV26">
        <f>VLOOKUP(A26,WFC!A$2:G$55,3,0)</f>
        <v>50.93</v>
      </c>
      <c r="CW26">
        <f>VLOOKUP(A26,WMT!A$2:G$55,3,0)</f>
        <v>73.52</v>
      </c>
    </row>
    <row r="27" spans="1:101" x14ac:dyDescent="0.25">
      <c r="A27" s="34">
        <v>41857</v>
      </c>
      <c r="B27" s="36">
        <v>95.48</v>
      </c>
      <c r="C27">
        <f>VLOOKUP(A27,ABBV!A$2:G$55,3,0)</f>
        <v>52.66</v>
      </c>
      <c r="D27">
        <f>VLOOKUP(A27,ABT!A$2:G$55,3,0)</f>
        <v>41.97</v>
      </c>
      <c r="E27">
        <f>VLOOKUP(A27,ACN!A$2:G$55,3,0)</f>
        <v>78.14</v>
      </c>
      <c r="F27">
        <f>VLOOKUP(A27,AIG!A$2:G$55,3,0)</f>
        <v>52.65</v>
      </c>
      <c r="G27">
        <f>VLOOKUP(A27,ALL!A$2:G$55,3,0)</f>
        <v>59.59</v>
      </c>
      <c r="H27">
        <f>VLOOKUP(A27,AMGN!A$2:G$55,3,0)</f>
        <v>128.78</v>
      </c>
      <c r="I27">
        <f>VLOOKUP(A27,AMZN!A$2:G$55,3,0)</f>
        <v>315.77999999999997</v>
      </c>
      <c r="J27">
        <f>VLOOKUP(A27,APA!A$2:G$55,3,0)</f>
        <v>101.67</v>
      </c>
      <c r="K27">
        <f>VLOOKUP(A27,APC!A$2:G$55,3,0)</f>
        <v>108.51</v>
      </c>
      <c r="L27">
        <f>VLOOKUP(A27,AXP!A$2:G$55,3,0)</f>
        <v>86.79</v>
      </c>
      <c r="M27">
        <f>VLOOKUP(A27,BA!A$2:G$55,3,0)</f>
        <v>119.36</v>
      </c>
      <c r="N27">
        <f>VLOOKUP(A27,BAC!A$2:G$55,3,0)</f>
        <v>15.36</v>
      </c>
      <c r="O27">
        <f>VLOOKUP(A27,BAX!A$2:G$55,3,0)</f>
        <v>74.73</v>
      </c>
      <c r="P27">
        <f>VLOOKUP(A27,BIIB!A$2:G$55,3,0)</f>
        <v>328.49</v>
      </c>
      <c r="Q27">
        <f>VLOOKUP(A27,BK!A$2:G$55,3,0)</f>
        <v>39.51</v>
      </c>
      <c r="R27">
        <f>VLOOKUP(A27,BMY!A$2:G$55,3,0)</f>
        <v>49.9</v>
      </c>
      <c r="T27">
        <f>VLOOKUP(A27,'C'!A$2:G$55,3,0)</f>
        <v>48.53</v>
      </c>
      <c r="U27">
        <f>VLOOKUP(A27,CAT!A$2:G$55,3,0)</f>
        <v>101.85</v>
      </c>
      <c r="V27">
        <f>VLOOKUP(A27,CL!A$2:G$55,3,0)</f>
        <v>65.25</v>
      </c>
      <c r="W27">
        <f>VLOOKUP(A27,CMCSA!A$2:G$55,3,0)</f>
        <v>53.4</v>
      </c>
      <c r="X27">
        <f>VLOOKUP(A27,COF!A$2:G$55,3,0)</f>
        <v>79.08</v>
      </c>
      <c r="Y27">
        <f>VLOOKUP(A27,COP!A$2:G$55,3,0)</f>
        <v>81.5</v>
      </c>
      <c r="Z27">
        <f>VLOOKUP(A27,COST!A$2:G$55,3,0)</f>
        <v>119.97</v>
      </c>
      <c r="AA27">
        <f>VLOOKUP(A27,CSCO!A$2:G$55,3,0)</f>
        <v>25.21</v>
      </c>
      <c r="AB27">
        <f>VLOOKUP(A27,CVS!A$2:G$55,3,0)</f>
        <v>77.430000000000007</v>
      </c>
      <c r="AC27">
        <f>VLOOKUP(A27,CVX!A$2:G$55,3,0)</f>
        <v>126.97</v>
      </c>
      <c r="AD27">
        <f>VLOOKUP(A27,DD!A$2:G$55,3,0)</f>
        <v>64.849999999999994</v>
      </c>
      <c r="AE27">
        <f>VLOOKUP(A27,DIS!A$2:G$55,3,0)</f>
        <v>87.62</v>
      </c>
      <c r="AF27">
        <f>VLOOKUP(A27,DOW!A$2:G$55,3,0)</f>
        <v>51.55</v>
      </c>
      <c r="AG27">
        <f>VLOOKUP(A27,DVN!A$2:G$55,3,0)</f>
        <v>75.66</v>
      </c>
      <c r="AH27">
        <f>VLOOKUP(A27,EBAY!A$2:G$55,3,0)</f>
        <v>53.69</v>
      </c>
      <c r="AI27">
        <f>VLOOKUP(A27,EMC!A$2:G$55,3,0)</f>
        <v>29.3</v>
      </c>
      <c r="AJ27">
        <f>VLOOKUP(A27,EMR!A$2:G$55,3,0)</f>
        <v>62.51</v>
      </c>
      <c r="AK27">
        <f>VLOOKUP(A27,EXC!A$2:G$55,3,0)</f>
        <v>31.25</v>
      </c>
      <c r="AL27">
        <f>VLOOKUP(A27,F!A$2:G$55,3,0)</f>
        <v>17.079999999999998</v>
      </c>
      <c r="AM27">
        <f>VLOOKUP(A27,FB!A$2:G$55,3,0)</f>
        <v>73.72</v>
      </c>
      <c r="AN27">
        <f>VLOOKUP(A27,FCX!A$2:G$55,3,0)</f>
        <v>37.53</v>
      </c>
      <c r="AO27">
        <f>VLOOKUP(A27,FDX!A$2:G$55,3,0)</f>
        <v>146.41999999999999</v>
      </c>
      <c r="AP27">
        <f>VLOOKUP(A27,FOXA!A$2:G$55,3,0)</f>
        <v>33.25</v>
      </c>
      <c r="AQ27">
        <f>VLOOKUP(A27,GD!A$2:G$55,3,0)</f>
        <v>115.99</v>
      </c>
      <c r="AR27">
        <f>VLOOKUP(A27,GE!A$2:G$55,3,0)</f>
        <v>25.57</v>
      </c>
      <c r="AS27">
        <f>VLOOKUP(A27,GILD!A$2:G$55,3,0)</f>
        <v>93.02</v>
      </c>
      <c r="AT27">
        <f>VLOOKUP(A27,GM!A$2:G$55,3,0)</f>
        <v>33.67</v>
      </c>
      <c r="AU27">
        <f>VLOOKUP(A27,GOOG!A$2:G$55,3,0)</f>
        <v>570.70000000000005</v>
      </c>
      <c r="AV27">
        <f>VLOOKUP(A27,GOOGL!A$2:G$55,3,0)</f>
        <v>578.64</v>
      </c>
      <c r="AW27">
        <f>VLOOKUP(A27,GS!A$2:G$55,3,0)</f>
        <v>170.85</v>
      </c>
      <c r="AX27">
        <f>VLOOKUP(A27,HAL!A$2:G$55,3,0)</f>
        <v>69.23</v>
      </c>
      <c r="AY27">
        <f>VLOOKUP(A27,HD!A$2:G$55,3,0)</f>
        <v>81.02</v>
      </c>
      <c r="AZ27">
        <f>VLOOKUP(A27,HON!A$2:G$55,3,0)</f>
        <v>91.01</v>
      </c>
      <c r="BA27">
        <f>VLOOKUP(A27,HPQ!A$2:G$55,3,0)</f>
        <v>35.28</v>
      </c>
      <c r="BB27">
        <f>VLOOKUP(A27,IBM!A$2:G$55,3,0)</f>
        <v>186.88</v>
      </c>
      <c r="BC27">
        <f>VLOOKUP(A27,INTC!A$2:G$55,3,0)</f>
        <v>33.19</v>
      </c>
      <c r="BD27">
        <f>VLOOKUP(A27,JNJ!A$2:G$55,3,0)</f>
        <v>100.83</v>
      </c>
      <c r="BE27">
        <f>VLOOKUP(A27,JPM!A$2:G$55,3,0)</f>
        <v>56.69</v>
      </c>
      <c r="BF27">
        <f>VLOOKUP(A27,KO!A$2:G$55,3,0)</f>
        <v>39.96</v>
      </c>
      <c r="BG27">
        <f>VLOOKUP(A27,LLY!A$2:G$55,3,0)</f>
        <v>61.42</v>
      </c>
      <c r="BH27">
        <f>VLOOKUP(A27,LMT!A$2:G$55,3,0)</f>
        <v>166.08</v>
      </c>
      <c r="BI27">
        <f>VLOOKUP(A27,LOW!A$2:G$55,3,0)</f>
        <v>48.22</v>
      </c>
      <c r="BJ27">
        <f>VLOOKUP(A27,MA!A$2:G$55,3,0)</f>
        <v>75.58</v>
      </c>
      <c r="BK27">
        <f>VLOOKUP(A27,MCD!A$2:G$55,3,0)</f>
        <v>93.95</v>
      </c>
      <c r="BL27">
        <f>VLOOKUP(A27,MDLZ!A$2:G$55,3,0)</f>
        <v>36.76</v>
      </c>
      <c r="BM27">
        <f>VLOOKUP(A27,MDT!A$2:G$55,3,0)</f>
        <v>61.81</v>
      </c>
      <c r="BN27">
        <f>VLOOKUP(A27,MET!A$2:G$55,3,0)</f>
        <v>51.57</v>
      </c>
      <c r="BO27">
        <f>VLOOKUP(A27,MMM!A$2:G$55,3,0)</f>
        <v>139.94</v>
      </c>
      <c r="BP27">
        <f>VLOOKUP(A27,MO!A$2:G$55,3,0)</f>
        <v>41.55</v>
      </c>
      <c r="BQ27">
        <f>VLOOKUP(A27,MON!A$2:G$55,3,0)</f>
        <v>116.17</v>
      </c>
      <c r="BR27">
        <f>VLOOKUP(A27,MRK!A$2:G$55,3,0)</f>
        <v>56.14</v>
      </c>
      <c r="BS27">
        <f>VLOOKUP(A27,MS!A$2:G$55,3,0)</f>
        <v>31.92</v>
      </c>
      <c r="BT27">
        <f>VLOOKUP(A27,MSFT!A$2:G$55,3,0)</f>
        <v>43.17</v>
      </c>
      <c r="BU27">
        <f>VLOOKUP(A27,NKE!A$2:G$55,3,0)</f>
        <v>77.239999999999995</v>
      </c>
      <c r="BV27">
        <f>VLOOKUP(A27,NOV!A$2:G$55,3,0)</f>
        <v>82.71</v>
      </c>
      <c r="BW27">
        <f>VLOOKUP(A27,NSC!A$2:G$55,3,0)</f>
        <v>100.85</v>
      </c>
      <c r="BX27">
        <f>VLOOKUP(A27,ORCL!A$2:G$55,3,0)</f>
        <v>40.35</v>
      </c>
      <c r="BY27">
        <f>VLOOKUP(A27,OXY!A$2:G$55,3,0)</f>
        <v>100.55</v>
      </c>
      <c r="BZ27">
        <f>VLOOKUP(A27,PEP!A$2:G$55,3,0)</f>
        <v>90.76</v>
      </c>
      <c r="CA27">
        <f>VLOOKUP(A27,PFE!A$2:G$55,3,0)</f>
        <v>28.39</v>
      </c>
      <c r="CB27">
        <f>VLOOKUP(A27,PG!A$2:G$55,3,0)</f>
        <v>81.3</v>
      </c>
      <c r="CC27">
        <f>VLOOKUP(A27,PM!A$2:G$55,3,0)</f>
        <v>83.95</v>
      </c>
      <c r="CD27">
        <f>VLOOKUP(A27,QCOM!A$2:G$55,3,0)</f>
        <v>73.150000000000006</v>
      </c>
      <c r="CE27">
        <f>VLOOKUP(A27,RTN!A$2:G$55,3,0)</f>
        <v>90.91</v>
      </c>
      <c r="CF27">
        <f>VLOOKUP(A27,SBUX!A$2:G$55,3,0)</f>
        <v>77.44</v>
      </c>
      <c r="CG27">
        <f>VLOOKUP(A27,SLB!A$2:G$55,3,0)</f>
        <v>108.9</v>
      </c>
      <c r="CH27">
        <f>VLOOKUP(A27,SO!A$2:G$55,3,0)</f>
        <v>42.43</v>
      </c>
      <c r="CI27">
        <f>VLOOKUP(A27,SPG!A$2:G$55,3,0)</f>
        <v>166.77</v>
      </c>
      <c r="CJ27">
        <f>VLOOKUP(A27,T!A$2:G$55,3,0)</f>
        <v>35.020000000000003</v>
      </c>
      <c r="CK27">
        <f>VLOOKUP(A27,TGT!A$2:G$55,3,0)</f>
        <v>58.24</v>
      </c>
      <c r="CL27">
        <f>VLOOKUP(A27,TWX!A$2:G$55,3,0)</f>
        <v>76.55</v>
      </c>
      <c r="CM27">
        <f>VLOOKUP(A27,TXN!A$2:G$55,3,0)</f>
        <v>46.44</v>
      </c>
      <c r="CN27">
        <f>VLOOKUP(A27,UNH!A$2:G$55,3,0)</f>
        <v>82.12</v>
      </c>
      <c r="CO27">
        <f>VLOOKUP(A27,UNP!A$2:G$55,3,0)</f>
        <v>98.02</v>
      </c>
      <c r="CP27">
        <f>VLOOKUP(A27,UPS!A$2:G$55,3,0)</f>
        <v>96</v>
      </c>
      <c r="CQ27">
        <f>VLOOKUP(A27,USB!A$2:G$55,3,0)</f>
        <v>41.36</v>
      </c>
      <c r="CR27">
        <f>VLOOKUP(A27,UTX!A$2:G$55,3,0)</f>
        <v>104.55</v>
      </c>
      <c r="CS27">
        <f>VLOOKUP(A27,V!A$2:G$55,3,0)</f>
        <v>211.38</v>
      </c>
      <c r="CT27">
        <f>VLOOKUP(A27,VZ!A$2:G$55,3,0)</f>
        <v>49.45</v>
      </c>
      <c r="CU27">
        <f>VLOOKUP(A27,WAG!A$2:G$55,3,0)</f>
        <v>61.5</v>
      </c>
      <c r="CV27">
        <f>VLOOKUP(A27,WFC!A$2:G$55,3,0)</f>
        <v>50.52</v>
      </c>
      <c r="CW27">
        <f>VLOOKUP(A27,WMT!A$2:G$55,3,0)</f>
        <v>74.290000000000006</v>
      </c>
    </row>
    <row r="28" spans="1:101" x14ac:dyDescent="0.25">
      <c r="A28" s="34">
        <v>41858</v>
      </c>
      <c r="B28" s="36">
        <v>95.95</v>
      </c>
      <c r="C28">
        <f>VLOOKUP(A28,ABBV!A$2:G$55,3,0)</f>
        <v>52.71</v>
      </c>
      <c r="D28">
        <f>VLOOKUP(A28,ABT!A$2:G$55,3,0)</f>
        <v>41.98</v>
      </c>
      <c r="E28">
        <f>VLOOKUP(A28,ACN!A$2:G$55,3,0)</f>
        <v>78.59</v>
      </c>
      <c r="F28">
        <f>VLOOKUP(A28,AIG!A$2:G$55,3,0)</f>
        <v>53</v>
      </c>
      <c r="G28">
        <f>VLOOKUP(A28,ALL!A$2:G$55,3,0)</f>
        <v>59.97</v>
      </c>
      <c r="H28">
        <f>VLOOKUP(A28,AMGN!A$2:G$55,3,0)</f>
        <v>128.88999999999999</v>
      </c>
      <c r="I28">
        <f>VLOOKUP(A28,AMZN!A$2:G$55,3,0)</f>
        <v>315.88</v>
      </c>
      <c r="J28">
        <f>VLOOKUP(A28,APA!A$2:G$55,3,0)</f>
        <v>100.66</v>
      </c>
      <c r="K28">
        <f>VLOOKUP(A28,APC!A$2:G$55,3,0)</f>
        <v>107.75</v>
      </c>
      <c r="L28">
        <f>VLOOKUP(A28,AXP!A$2:G$55,3,0)</f>
        <v>87.14</v>
      </c>
      <c r="M28">
        <f>VLOOKUP(A28,BA!A$2:G$55,3,0)</f>
        <v>120.22</v>
      </c>
      <c r="N28">
        <f>VLOOKUP(A28,BAC!A$2:G$55,3,0)</f>
        <v>15.44</v>
      </c>
      <c r="O28">
        <f>VLOOKUP(A28,BAX!A$2:G$55,3,0)</f>
        <v>74.739999999999995</v>
      </c>
      <c r="P28">
        <f>VLOOKUP(A28,BIIB!A$2:G$55,3,0)</f>
        <v>327.36</v>
      </c>
      <c r="Q28">
        <f>VLOOKUP(A28,BK!A$2:G$55,3,0)</f>
        <v>39.49</v>
      </c>
      <c r="R28">
        <f>VLOOKUP(A28,BMY!A$2:G$55,3,0)</f>
        <v>49.69</v>
      </c>
      <c r="T28">
        <f>VLOOKUP(A28,'C'!A$2:G$55,3,0)</f>
        <v>48.63</v>
      </c>
      <c r="U28">
        <f>VLOOKUP(A28,CAT!A$2:G$55,3,0)</f>
        <v>103.47</v>
      </c>
      <c r="V28">
        <f>VLOOKUP(A28,CL!A$2:G$55,3,0)</f>
        <v>65.069999999999993</v>
      </c>
      <c r="W28">
        <f>VLOOKUP(A28,CMCSA!A$2:G$55,3,0)</f>
        <v>53.19</v>
      </c>
      <c r="X28">
        <f>VLOOKUP(A28,COF!A$2:G$55,3,0)</f>
        <v>78.92</v>
      </c>
      <c r="Y28">
        <f>VLOOKUP(A28,COP!A$2:G$55,3,0)</f>
        <v>80.98</v>
      </c>
      <c r="Z28">
        <f>VLOOKUP(A28,COST!A$2:G$55,3,0)</f>
        <v>119</v>
      </c>
      <c r="AA28">
        <f>VLOOKUP(A28,CSCO!A$2:G$55,3,0)</f>
        <v>25.11</v>
      </c>
      <c r="AB28">
        <f>VLOOKUP(A28,CVS!A$2:G$55,3,0)</f>
        <v>77.63</v>
      </c>
      <c r="AC28">
        <f>VLOOKUP(A28,CVX!A$2:G$55,3,0)</f>
        <v>126.73</v>
      </c>
      <c r="AD28">
        <f>VLOOKUP(A28,DD!A$2:G$55,3,0)</f>
        <v>65.14</v>
      </c>
      <c r="AE28">
        <f>VLOOKUP(A28,DIS!A$2:G$55,3,0)</f>
        <v>87.01</v>
      </c>
      <c r="AF28">
        <f>VLOOKUP(A28,DOW!A$2:G$55,3,0)</f>
        <v>52.13</v>
      </c>
      <c r="AG28">
        <f>VLOOKUP(A28,DVN!A$2:G$55,3,0)</f>
        <v>74.67</v>
      </c>
      <c r="AH28">
        <f>VLOOKUP(A28,EBAY!A$2:G$55,3,0)</f>
        <v>54.25</v>
      </c>
      <c r="AI28">
        <f>VLOOKUP(A28,EMC!A$2:G$55,3,0)</f>
        <v>29.5</v>
      </c>
      <c r="AJ28">
        <f>VLOOKUP(A28,EMR!A$2:G$55,3,0)</f>
        <v>62.39</v>
      </c>
      <c r="AK28">
        <f>VLOOKUP(A28,EXC!A$2:G$55,3,0)</f>
        <v>31.8</v>
      </c>
      <c r="AL28">
        <f>VLOOKUP(A28,F!A$2:G$55,3,0)</f>
        <v>17.100000000000001</v>
      </c>
      <c r="AM28">
        <f>VLOOKUP(A28,FB!A$2:G$55,3,0)</f>
        <v>74</v>
      </c>
      <c r="AN28">
        <f>VLOOKUP(A28,FCX!A$2:G$55,3,0)</f>
        <v>37</v>
      </c>
      <c r="AO28">
        <f>VLOOKUP(A28,FDX!A$2:G$55,3,0)</f>
        <v>148.41</v>
      </c>
      <c r="AP28">
        <f>VLOOKUP(A28,FOXA!A$2:G$55,3,0)</f>
        <v>34.92</v>
      </c>
      <c r="AQ28">
        <f>VLOOKUP(A28,GD!A$2:G$55,3,0)</f>
        <v>116.1</v>
      </c>
      <c r="AR28">
        <f>VLOOKUP(A28,GE!A$2:G$55,3,0)</f>
        <v>25.7</v>
      </c>
      <c r="AS28">
        <f>VLOOKUP(A28,GILD!A$2:G$55,3,0)</f>
        <v>93.64</v>
      </c>
      <c r="AT28">
        <f>VLOOKUP(A28,GM!A$2:G$55,3,0)</f>
        <v>33.630000000000003</v>
      </c>
      <c r="AU28">
        <f>VLOOKUP(A28,GOOG!A$2:G$55,3,0)</f>
        <v>569.89</v>
      </c>
      <c r="AV28">
        <f>VLOOKUP(A28,GOOGL!A$2:G$55,3,0)</f>
        <v>578.30999999999995</v>
      </c>
      <c r="AW28">
        <f>VLOOKUP(A28,GS!A$2:G$55,3,0)</f>
        <v>171.07</v>
      </c>
      <c r="AX28">
        <f>VLOOKUP(A28,HAL!A$2:G$55,3,0)</f>
        <v>68.55</v>
      </c>
      <c r="AY28">
        <f>VLOOKUP(A28,HD!A$2:G$55,3,0)</f>
        <v>81.069999999999993</v>
      </c>
      <c r="AZ28">
        <f>VLOOKUP(A28,HON!A$2:G$55,3,0)</f>
        <v>91.4</v>
      </c>
      <c r="BA28">
        <f>VLOOKUP(A28,HPQ!A$2:G$55,3,0)</f>
        <v>35.380000000000003</v>
      </c>
      <c r="BB28">
        <f>VLOOKUP(A28,IBM!A$2:G$55,3,0)</f>
        <v>186.68</v>
      </c>
      <c r="BC28">
        <f>VLOOKUP(A28,INTC!A$2:G$55,3,0)</f>
        <v>33.15</v>
      </c>
      <c r="BD28">
        <f>VLOOKUP(A28,JNJ!A$2:G$55,3,0)</f>
        <v>101.19</v>
      </c>
      <c r="BE28">
        <f>VLOOKUP(A28,JPM!A$2:G$55,3,0)</f>
        <v>56.69</v>
      </c>
      <c r="BF28">
        <f>VLOOKUP(A28,KO!A$2:G$55,3,0)</f>
        <v>40.01</v>
      </c>
      <c r="BG28">
        <f>VLOOKUP(A28,LLY!A$2:G$55,3,0)</f>
        <v>61.42</v>
      </c>
      <c r="BH28">
        <f>VLOOKUP(A28,LMT!A$2:G$55,3,0)</f>
        <v>164.62</v>
      </c>
      <c r="BI28">
        <f>VLOOKUP(A28,LOW!A$2:G$55,3,0)</f>
        <v>48.5</v>
      </c>
      <c r="BJ28">
        <f>VLOOKUP(A28,MA!A$2:G$55,3,0)</f>
        <v>75.680000000000007</v>
      </c>
      <c r="BK28">
        <f>VLOOKUP(A28,MCD!A$2:G$55,3,0)</f>
        <v>94</v>
      </c>
      <c r="BL28">
        <f>VLOOKUP(A28,MDLZ!A$2:G$55,3,0)</f>
        <v>36.56</v>
      </c>
      <c r="BM28">
        <f>VLOOKUP(A28,MDT!A$2:G$55,3,0)</f>
        <v>61.65</v>
      </c>
      <c r="BN28">
        <f>VLOOKUP(A28,MET!A$2:G$55,3,0)</f>
        <v>52.06</v>
      </c>
      <c r="BO28">
        <f>VLOOKUP(A28,MMM!A$2:G$55,3,0)</f>
        <v>140.37</v>
      </c>
      <c r="BP28">
        <f>VLOOKUP(A28,MO!A$2:G$55,3,0)</f>
        <v>41.52</v>
      </c>
      <c r="BQ28">
        <f>VLOOKUP(A28,MON!A$2:G$55,3,0)</f>
        <v>116.71</v>
      </c>
      <c r="BR28">
        <f>VLOOKUP(A28,MRK!A$2:G$55,3,0)</f>
        <v>56.56</v>
      </c>
      <c r="BS28">
        <f>VLOOKUP(A28,MS!A$2:G$55,3,0)</f>
        <v>31.84</v>
      </c>
      <c r="BT28">
        <f>VLOOKUP(A28,MSFT!A$2:G$55,3,0)</f>
        <v>43.45</v>
      </c>
      <c r="BU28">
        <f>VLOOKUP(A28,NKE!A$2:G$55,3,0)</f>
        <v>77.73</v>
      </c>
      <c r="BV28">
        <f>VLOOKUP(A28,NOV!A$2:G$55,3,0)</f>
        <v>82.72</v>
      </c>
      <c r="BW28">
        <f>VLOOKUP(A28,NSC!A$2:G$55,3,0)</f>
        <v>101.1</v>
      </c>
      <c r="BX28">
        <f>VLOOKUP(A28,ORCL!A$2:G$55,3,0)</f>
        <v>40.43</v>
      </c>
      <c r="BY28">
        <f>VLOOKUP(A28,OXY!A$2:G$55,3,0)</f>
        <v>99.75</v>
      </c>
      <c r="BZ28">
        <f>VLOOKUP(A28,PEP!A$2:G$55,3,0)</f>
        <v>90.85</v>
      </c>
      <c r="CA28">
        <f>VLOOKUP(A28,PFE!A$2:G$55,3,0)</f>
        <v>28.44</v>
      </c>
      <c r="CB28">
        <f>VLOOKUP(A28,PG!A$2:G$55,3,0)</f>
        <v>81.180000000000007</v>
      </c>
      <c r="CC28">
        <f>VLOOKUP(A28,PM!A$2:G$55,3,0)</f>
        <v>83.9</v>
      </c>
      <c r="CD28">
        <f>VLOOKUP(A28,QCOM!A$2:G$55,3,0)</f>
        <v>73.349999999999994</v>
      </c>
      <c r="CE28">
        <f>VLOOKUP(A28,RTN!A$2:G$55,3,0)</f>
        <v>90.4</v>
      </c>
      <c r="CF28">
        <f>VLOOKUP(A28,SBUX!A$2:G$55,3,0)</f>
        <v>77.44</v>
      </c>
      <c r="CG28">
        <f>VLOOKUP(A28,SLB!A$2:G$55,3,0)</f>
        <v>108.62</v>
      </c>
      <c r="CH28">
        <f>VLOOKUP(A28,SO!A$2:G$55,3,0)</f>
        <v>42.87</v>
      </c>
      <c r="CI28">
        <f>VLOOKUP(A28,SPG!A$2:G$55,3,0)</f>
        <v>166.76</v>
      </c>
      <c r="CJ28">
        <f>VLOOKUP(A28,T!A$2:G$55,3,0)</f>
        <v>34.79</v>
      </c>
      <c r="CK28">
        <f>VLOOKUP(A28,TGT!A$2:G$55,3,0)</f>
        <v>58.36</v>
      </c>
      <c r="CL28">
        <f>VLOOKUP(A28,TWX!A$2:G$55,3,0)</f>
        <v>73.92</v>
      </c>
      <c r="CM28">
        <f>VLOOKUP(A28,TXN!A$2:G$55,3,0)</f>
        <v>46.5</v>
      </c>
      <c r="CN28">
        <f>VLOOKUP(A28,UNH!A$2:G$55,3,0)</f>
        <v>81.09</v>
      </c>
      <c r="CO28">
        <f>VLOOKUP(A28,UNP!A$2:G$55,3,0)</f>
        <v>98.46</v>
      </c>
      <c r="CP28">
        <f>VLOOKUP(A28,UPS!A$2:G$55,3,0)</f>
        <v>96.4</v>
      </c>
      <c r="CQ28">
        <f>VLOOKUP(A28,USB!A$2:G$55,3,0)</f>
        <v>41.25</v>
      </c>
      <c r="CR28">
        <f>VLOOKUP(A28,UTX!A$2:G$55,3,0)</f>
        <v>104.57</v>
      </c>
      <c r="CS28">
        <f>VLOOKUP(A28,V!A$2:G$55,3,0)</f>
        <v>211.45</v>
      </c>
      <c r="CT28">
        <f>VLOOKUP(A28,VZ!A$2:G$55,3,0)</f>
        <v>49.32</v>
      </c>
      <c r="CU28">
        <f>VLOOKUP(A28,WAG!A$2:G$55,3,0)</f>
        <v>61.18</v>
      </c>
      <c r="CV28">
        <f>VLOOKUP(A28,WFC!A$2:G$55,3,0)</f>
        <v>50.41</v>
      </c>
      <c r="CW28">
        <f>VLOOKUP(A28,WMT!A$2:G$55,3,0)</f>
        <v>74.81</v>
      </c>
    </row>
    <row r="29" spans="1:101" x14ac:dyDescent="0.25">
      <c r="A29" s="34">
        <v>41859</v>
      </c>
      <c r="B29" s="36">
        <v>94.82</v>
      </c>
      <c r="C29">
        <f>VLOOKUP(A29,ABBV!A$2:G$55,3,0)</f>
        <v>52.89</v>
      </c>
      <c r="D29">
        <f>VLOOKUP(A29,ABT!A$2:G$55,3,0)</f>
        <v>41.72</v>
      </c>
      <c r="E29">
        <f>VLOOKUP(A29,ACN!A$2:G$55,3,0)</f>
        <v>78.92</v>
      </c>
      <c r="F29">
        <f>VLOOKUP(A29,AIG!A$2:G$55,3,0)</f>
        <v>52.48</v>
      </c>
      <c r="G29">
        <f>VLOOKUP(A29,ALL!A$2:G$55,3,0)</f>
        <v>59.7</v>
      </c>
      <c r="H29">
        <f>VLOOKUP(A29,AMGN!A$2:G$55,3,0)</f>
        <v>127.41</v>
      </c>
      <c r="I29">
        <f>VLOOKUP(A29,AMZN!A$2:G$55,3,0)</f>
        <v>317.32</v>
      </c>
      <c r="J29">
        <f>VLOOKUP(A29,APA!A$2:G$55,3,0)</f>
        <v>100.7</v>
      </c>
      <c r="K29">
        <f>VLOOKUP(A29,APC!A$2:G$55,3,0)</f>
        <v>109.34</v>
      </c>
      <c r="L29">
        <f>VLOOKUP(A29,AXP!A$2:G$55,3,0)</f>
        <v>87.51</v>
      </c>
      <c r="M29">
        <f>VLOOKUP(A29,BA!A$2:G$55,3,0)</f>
        <v>120.65</v>
      </c>
      <c r="N29">
        <f>VLOOKUP(A29,BAC!A$2:G$55,3,0)</f>
        <v>15.2</v>
      </c>
      <c r="O29">
        <f>VLOOKUP(A29,BAX!A$2:G$55,3,0)</f>
        <v>74.319999999999993</v>
      </c>
      <c r="P29">
        <f>VLOOKUP(A29,BIIB!A$2:G$55,3,0)</f>
        <v>326.39999999999998</v>
      </c>
      <c r="Q29">
        <f>VLOOKUP(A29,BK!A$2:G$55,3,0)</f>
        <v>38.549999999999997</v>
      </c>
      <c r="R29">
        <f>VLOOKUP(A29,BMY!A$2:G$55,3,0)</f>
        <v>49.22</v>
      </c>
      <c r="T29">
        <f>VLOOKUP(A29,'C'!A$2:G$55,3,0)</f>
        <v>48.5</v>
      </c>
      <c r="U29">
        <f>VLOOKUP(A29,CAT!A$2:G$55,3,0)</f>
        <v>103.44</v>
      </c>
      <c r="V29">
        <f>VLOOKUP(A29,CL!A$2:G$55,3,0)</f>
        <v>65.22</v>
      </c>
      <c r="W29">
        <f>VLOOKUP(A29,CMCSA!A$2:G$55,3,0)</f>
        <v>53.56</v>
      </c>
      <c r="X29">
        <f>VLOOKUP(A29,COF!A$2:G$55,3,0)</f>
        <v>78.900000000000006</v>
      </c>
      <c r="Y29">
        <f>VLOOKUP(A29,COP!A$2:G$55,3,0)</f>
        <v>81.430000000000007</v>
      </c>
      <c r="Z29">
        <f>VLOOKUP(A29,COST!A$2:G$55,3,0)</f>
        <v>119.4</v>
      </c>
      <c r="AA29">
        <f>VLOOKUP(A29,CSCO!A$2:G$55,3,0)</f>
        <v>25.06</v>
      </c>
      <c r="AB29">
        <f>VLOOKUP(A29,CVS!A$2:G$55,3,0)</f>
        <v>77.92</v>
      </c>
      <c r="AC29">
        <f>VLOOKUP(A29,CVX!A$2:G$55,3,0)</f>
        <v>127.96</v>
      </c>
      <c r="AD29">
        <f>VLOOKUP(A29,DD!A$2:G$55,3,0)</f>
        <v>65.06</v>
      </c>
      <c r="AE29">
        <f>VLOOKUP(A29,DIS!A$2:G$55,3,0)</f>
        <v>86.89</v>
      </c>
      <c r="AF29">
        <f>VLOOKUP(A29,DOW!A$2:G$55,3,0)</f>
        <v>52.3</v>
      </c>
      <c r="AG29">
        <f>VLOOKUP(A29,DVN!A$2:G$55,3,0)</f>
        <v>74.44</v>
      </c>
      <c r="AH29">
        <f>VLOOKUP(A29,EBAY!A$2:G$55,3,0)</f>
        <v>54.17</v>
      </c>
      <c r="AI29">
        <f>VLOOKUP(A29,EMC!A$2:G$55,3,0)</f>
        <v>29.15</v>
      </c>
      <c r="AJ29">
        <f>VLOOKUP(A29,EMR!A$2:G$55,3,0)</f>
        <v>62.84</v>
      </c>
      <c r="AK29">
        <f>VLOOKUP(A29,EXC!A$2:G$55,3,0)</f>
        <v>32.15</v>
      </c>
      <c r="AL29">
        <f>VLOOKUP(A29,F!A$2:G$55,3,0)</f>
        <v>17.12</v>
      </c>
      <c r="AM29">
        <f>VLOOKUP(A29,FB!A$2:G$55,3,0)</f>
        <v>73.430000000000007</v>
      </c>
      <c r="AN29">
        <f>VLOOKUP(A29,FCX!A$2:G$55,3,0)</f>
        <v>36.57</v>
      </c>
      <c r="AO29">
        <f>VLOOKUP(A29,FDX!A$2:G$55,3,0)</f>
        <v>147.91999999999999</v>
      </c>
      <c r="AP29">
        <f>VLOOKUP(A29,FOXA!A$2:G$55,3,0)</f>
        <v>34.409999999999997</v>
      </c>
      <c r="AQ29">
        <f>VLOOKUP(A29,GD!A$2:G$55,3,0)</f>
        <v>117.29</v>
      </c>
      <c r="AR29">
        <f>VLOOKUP(A29,GE!A$2:G$55,3,0)</f>
        <v>25.67</v>
      </c>
      <c r="AS29">
        <f>VLOOKUP(A29,GILD!A$2:G$55,3,0)</f>
        <v>92.54</v>
      </c>
      <c r="AT29">
        <f>VLOOKUP(A29,GM!A$2:G$55,3,0)</f>
        <v>33.56</v>
      </c>
      <c r="AU29">
        <f>VLOOKUP(A29,GOOG!A$2:G$55,3,0)</f>
        <v>570.25</v>
      </c>
      <c r="AV29">
        <f>VLOOKUP(A29,GOOGL!A$2:G$55,3,0)</f>
        <v>579.55999999999995</v>
      </c>
      <c r="AW29">
        <f>VLOOKUP(A29,GS!A$2:G$55,3,0)</f>
        <v>172.49</v>
      </c>
      <c r="AX29">
        <f>VLOOKUP(A29,HAL!A$2:G$55,3,0)</f>
        <v>68.38</v>
      </c>
      <c r="AY29">
        <f>VLOOKUP(A29,HD!A$2:G$55,3,0)</f>
        <v>82.46</v>
      </c>
      <c r="AZ29">
        <f>VLOOKUP(A29,HON!A$2:G$55,3,0)</f>
        <v>92.79</v>
      </c>
      <c r="BA29">
        <f>VLOOKUP(A29,HPQ!A$2:G$55,3,0)</f>
        <v>35.22</v>
      </c>
      <c r="BB29">
        <f>VLOOKUP(A29,IBM!A$2:G$55,3,0)</f>
        <v>186.67</v>
      </c>
      <c r="BC29">
        <f>VLOOKUP(A29,INTC!A$2:G$55,3,0)</f>
        <v>33</v>
      </c>
      <c r="BD29">
        <f>VLOOKUP(A29,JNJ!A$2:G$55,3,0)</f>
        <v>101.15</v>
      </c>
      <c r="BE29">
        <f>VLOOKUP(A29,JPM!A$2:G$55,3,0)</f>
        <v>56.36</v>
      </c>
      <c r="BF29">
        <f>VLOOKUP(A29,KO!A$2:G$55,3,0)</f>
        <v>39.58</v>
      </c>
      <c r="BG29">
        <f>VLOOKUP(A29,LLY!A$2:G$55,3,0)</f>
        <v>61.04</v>
      </c>
      <c r="BH29">
        <f>VLOOKUP(A29,LMT!A$2:G$55,3,0)</f>
        <v>166.19</v>
      </c>
      <c r="BI29">
        <f>VLOOKUP(A29,LOW!A$2:G$55,3,0)</f>
        <v>49.79</v>
      </c>
      <c r="BJ29">
        <f>VLOOKUP(A29,MA!A$2:G$55,3,0)</f>
        <v>75.23</v>
      </c>
      <c r="BK29">
        <f>VLOOKUP(A29,MCD!A$2:G$55,3,0)</f>
        <v>93.84</v>
      </c>
      <c r="BL29">
        <f>VLOOKUP(A29,MDLZ!A$2:G$55,3,0)</f>
        <v>35.520000000000003</v>
      </c>
      <c r="BM29">
        <f>VLOOKUP(A29,MDT!A$2:G$55,3,0)</f>
        <v>62.27</v>
      </c>
      <c r="BN29">
        <f>VLOOKUP(A29,MET!A$2:G$55,3,0)</f>
        <v>51.73</v>
      </c>
      <c r="BO29">
        <f>VLOOKUP(A29,MMM!A$2:G$55,3,0)</f>
        <v>140.88999999999999</v>
      </c>
      <c r="BP29">
        <f>VLOOKUP(A29,MO!A$2:G$55,3,0)</f>
        <v>41.66</v>
      </c>
      <c r="BQ29">
        <f>VLOOKUP(A29,MON!A$2:G$55,3,0)</f>
        <v>115.83</v>
      </c>
      <c r="BR29">
        <f>VLOOKUP(A29,MRK!A$2:G$55,3,0)</f>
        <v>56.61</v>
      </c>
      <c r="BS29">
        <f>VLOOKUP(A29,MS!A$2:G$55,3,0)</f>
        <v>32.03</v>
      </c>
      <c r="BT29">
        <f>VLOOKUP(A29,MSFT!A$2:G$55,3,0)</f>
        <v>43.32</v>
      </c>
      <c r="BU29">
        <f>VLOOKUP(A29,NKE!A$2:G$55,3,0)</f>
        <v>77.099999999999994</v>
      </c>
      <c r="BV29">
        <f>VLOOKUP(A29,NOV!A$2:G$55,3,0)</f>
        <v>82.38</v>
      </c>
      <c r="BW29">
        <f>VLOOKUP(A29,NSC!A$2:G$55,3,0)</f>
        <v>101.44</v>
      </c>
      <c r="BX29">
        <f>VLOOKUP(A29,ORCL!A$2:G$55,3,0)</f>
        <v>39.97</v>
      </c>
      <c r="BY29">
        <f>VLOOKUP(A29,OXY!A$2:G$55,3,0)</f>
        <v>99.85</v>
      </c>
      <c r="BZ29">
        <f>VLOOKUP(A29,PEP!A$2:G$55,3,0)</f>
        <v>90.35</v>
      </c>
      <c r="CA29">
        <f>VLOOKUP(A29,PFE!A$2:G$55,3,0)</f>
        <v>28.4</v>
      </c>
      <c r="CB29">
        <f>VLOOKUP(A29,PG!A$2:G$55,3,0)</f>
        <v>81.03</v>
      </c>
      <c r="CC29">
        <f>VLOOKUP(A29,PM!A$2:G$55,3,0)</f>
        <v>83.95</v>
      </c>
      <c r="CD29">
        <f>VLOOKUP(A29,QCOM!A$2:G$55,3,0)</f>
        <v>73.959999999999994</v>
      </c>
      <c r="CE29">
        <f>VLOOKUP(A29,RTN!A$2:G$55,3,0)</f>
        <v>91.66</v>
      </c>
      <c r="CF29">
        <f>VLOOKUP(A29,SBUX!A$2:G$55,3,0)</f>
        <v>77.67</v>
      </c>
      <c r="CG29">
        <f>VLOOKUP(A29,SLB!A$2:G$55,3,0)</f>
        <v>108.48</v>
      </c>
      <c r="CH29">
        <f>VLOOKUP(A29,SO!A$2:G$55,3,0)</f>
        <v>43.54</v>
      </c>
      <c r="CI29">
        <f>VLOOKUP(A29,SPG!A$2:G$55,3,0)</f>
        <v>166.74</v>
      </c>
      <c r="CJ29">
        <f>VLOOKUP(A29,T!A$2:G$55,3,0)</f>
        <v>34.5</v>
      </c>
      <c r="CK29">
        <f>VLOOKUP(A29,TGT!A$2:G$55,3,0)</f>
        <v>58.59</v>
      </c>
      <c r="CL29">
        <f>VLOOKUP(A29,TWX!A$2:G$55,3,0)</f>
        <v>73.319999999999993</v>
      </c>
      <c r="CM29">
        <f>VLOOKUP(A29,TXN!A$2:G$55,3,0)</f>
        <v>46.39</v>
      </c>
      <c r="CN29">
        <f>VLOOKUP(A29,UNH!A$2:G$55,3,0)</f>
        <v>80.19</v>
      </c>
      <c r="CO29">
        <f>VLOOKUP(A29,UNP!A$2:G$55,3,0)</f>
        <v>98.7</v>
      </c>
      <c r="CP29">
        <f>VLOOKUP(A29,UPS!A$2:G$55,3,0)</f>
        <v>96.05</v>
      </c>
      <c r="CQ29">
        <f>VLOOKUP(A29,USB!A$2:G$55,3,0)</f>
        <v>41.2</v>
      </c>
      <c r="CR29">
        <f>VLOOKUP(A29,UTX!A$2:G$55,3,0)</f>
        <v>105.98</v>
      </c>
      <c r="CS29">
        <f>VLOOKUP(A29,V!A$2:G$55,3,0)</f>
        <v>210.55</v>
      </c>
      <c r="CT29">
        <f>VLOOKUP(A29,VZ!A$2:G$55,3,0)</f>
        <v>49.1</v>
      </c>
      <c r="CU29">
        <f>VLOOKUP(A29,WAG!A$2:G$55,3,0)</f>
        <v>62.56</v>
      </c>
      <c r="CV29">
        <f>VLOOKUP(A29,WFC!A$2:G$55,3,0)</f>
        <v>50.04</v>
      </c>
      <c r="CW29">
        <f>VLOOKUP(A29,WMT!A$2:G$55,3,0)</f>
        <v>74.73</v>
      </c>
    </row>
    <row r="30" spans="1:101" x14ac:dyDescent="0.25">
      <c r="A30" s="34">
        <v>41862</v>
      </c>
      <c r="B30" s="36">
        <v>96.08</v>
      </c>
      <c r="C30">
        <f>VLOOKUP(A30,ABBV!A$2:G$55,3,0)</f>
        <v>53.65</v>
      </c>
      <c r="D30">
        <f>VLOOKUP(A30,ABT!A$2:G$55,3,0)</f>
        <v>42.16</v>
      </c>
      <c r="E30">
        <f>VLOOKUP(A30,ACN!A$2:G$55,3,0)</f>
        <v>79.52</v>
      </c>
      <c r="F30">
        <f>VLOOKUP(A30,AIG!A$2:G$55,3,0)</f>
        <v>53.04</v>
      </c>
      <c r="G30">
        <f>VLOOKUP(A30,ALL!A$2:G$55,3,0)</f>
        <v>59.87</v>
      </c>
      <c r="H30">
        <f>VLOOKUP(A30,AMGN!A$2:G$55,3,0)</f>
        <v>128</v>
      </c>
      <c r="I30">
        <f>VLOOKUP(A30,AMZN!A$2:G$55,3,0)</f>
        <v>320.38</v>
      </c>
      <c r="J30">
        <f>VLOOKUP(A30,APA!A$2:G$55,3,0)</f>
        <v>101.11</v>
      </c>
      <c r="K30">
        <f>VLOOKUP(A30,APC!A$2:G$55,3,0)</f>
        <v>110.23</v>
      </c>
      <c r="L30">
        <f>VLOOKUP(A30,AXP!A$2:G$55,3,0)</f>
        <v>88.16</v>
      </c>
      <c r="M30">
        <f>VLOOKUP(A30,BA!A$2:G$55,3,0)</f>
        <v>121.76</v>
      </c>
      <c r="N30">
        <f>VLOOKUP(A30,BAC!A$2:G$55,3,0)</f>
        <v>15.27</v>
      </c>
      <c r="O30">
        <f>VLOOKUP(A30,BAX!A$2:G$55,3,0)</f>
        <v>74.97</v>
      </c>
      <c r="P30">
        <f>VLOOKUP(A30,BIIB!A$2:G$55,3,0)</f>
        <v>327.44</v>
      </c>
      <c r="Q30">
        <f>VLOOKUP(A30,BK!A$2:G$55,3,0)</f>
        <v>38.75</v>
      </c>
      <c r="R30">
        <f>VLOOKUP(A30,BMY!A$2:G$55,3,0)</f>
        <v>49.73</v>
      </c>
      <c r="T30">
        <f>VLOOKUP(A30,'C'!A$2:G$55,3,0)</f>
        <v>48.6</v>
      </c>
      <c r="U30">
        <f>VLOOKUP(A30,CAT!A$2:G$55,3,0)</f>
        <v>104.85</v>
      </c>
      <c r="V30">
        <f>VLOOKUP(A30,CL!A$2:G$55,3,0)</f>
        <v>65.7</v>
      </c>
      <c r="W30">
        <f>VLOOKUP(A30,CMCSA!A$2:G$55,3,0)</f>
        <v>54.18</v>
      </c>
      <c r="X30">
        <f>VLOOKUP(A30,COF!A$2:G$55,3,0)</f>
        <v>79.34</v>
      </c>
      <c r="Y30">
        <f>VLOOKUP(A30,COP!A$2:G$55,3,0)</f>
        <v>81.88</v>
      </c>
      <c r="Z30">
        <f>VLOOKUP(A30,COST!A$2:G$55,3,0)</f>
        <v>119.51</v>
      </c>
      <c r="AA30">
        <f>VLOOKUP(A30,CSCO!A$2:G$55,3,0)</f>
        <v>25.37</v>
      </c>
      <c r="AB30">
        <f>VLOOKUP(A30,CVS!A$2:G$55,3,0)</f>
        <v>78.69</v>
      </c>
      <c r="AC30">
        <f>VLOOKUP(A30,CVX!A$2:G$55,3,0)</f>
        <v>128.66999999999999</v>
      </c>
      <c r="AD30">
        <f>VLOOKUP(A30,DD!A$2:G$55,3,0)</f>
        <v>65.5</v>
      </c>
      <c r="AE30">
        <f>VLOOKUP(A30,DIS!A$2:G$55,3,0)</f>
        <v>87.98</v>
      </c>
      <c r="AF30">
        <f>VLOOKUP(A30,DOW!A$2:G$55,3,0)</f>
        <v>52.8</v>
      </c>
      <c r="AG30">
        <f>VLOOKUP(A30,DVN!A$2:G$55,3,0)</f>
        <v>75.11</v>
      </c>
      <c r="AH30">
        <f>VLOOKUP(A30,EBAY!A$2:G$55,3,0)</f>
        <v>54.44</v>
      </c>
      <c r="AI30">
        <f>VLOOKUP(A30,EMC!A$2:G$55,3,0)</f>
        <v>29.45</v>
      </c>
      <c r="AJ30">
        <f>VLOOKUP(A30,EMR!A$2:G$55,3,0)</f>
        <v>63.13</v>
      </c>
      <c r="AK30">
        <f>VLOOKUP(A30,EXC!A$2:G$55,3,0)</f>
        <v>32.33</v>
      </c>
      <c r="AL30">
        <f>VLOOKUP(A30,F!A$2:G$55,3,0)</f>
        <v>17.25</v>
      </c>
      <c r="AM30">
        <f>VLOOKUP(A30,FB!A$2:G$55,3,0)</f>
        <v>73.91</v>
      </c>
      <c r="AN30">
        <f>VLOOKUP(A30,FCX!A$2:G$55,3,0)</f>
        <v>37.07</v>
      </c>
      <c r="AO30">
        <f>VLOOKUP(A30,FDX!A$2:G$55,3,0)</f>
        <v>149.07</v>
      </c>
      <c r="AP30">
        <f>VLOOKUP(A30,FOXA!A$2:G$55,3,0)</f>
        <v>34.979999999999997</v>
      </c>
      <c r="AQ30">
        <f>VLOOKUP(A30,GD!A$2:G$55,3,0)</f>
        <v>118.51</v>
      </c>
      <c r="AR30">
        <f>VLOOKUP(A30,GE!A$2:G$55,3,0)</f>
        <v>26</v>
      </c>
      <c r="AS30">
        <f>VLOOKUP(A30,GILD!A$2:G$55,3,0)</f>
        <v>93.31</v>
      </c>
      <c r="AT30">
        <f>VLOOKUP(A30,GM!A$2:G$55,3,0)</f>
        <v>33.85</v>
      </c>
      <c r="AU30">
        <f>VLOOKUP(A30,GOOG!A$2:G$55,3,0)</f>
        <v>570.49</v>
      </c>
      <c r="AV30">
        <f>VLOOKUP(A30,GOOGL!A$2:G$55,3,0)</f>
        <v>579.69000000000005</v>
      </c>
      <c r="AW30">
        <f>VLOOKUP(A30,GS!A$2:G$55,3,0)</f>
        <v>173.41</v>
      </c>
      <c r="AX30">
        <f>VLOOKUP(A30,HAL!A$2:G$55,3,0)</f>
        <v>69.94</v>
      </c>
      <c r="AY30">
        <f>VLOOKUP(A30,HD!A$2:G$55,3,0)</f>
        <v>83.07</v>
      </c>
      <c r="AZ30">
        <f>VLOOKUP(A30,HON!A$2:G$55,3,0)</f>
        <v>93.84</v>
      </c>
      <c r="BA30">
        <f>VLOOKUP(A30,HPQ!A$2:G$55,3,0)</f>
        <v>35.53</v>
      </c>
      <c r="BB30">
        <f>VLOOKUP(A30,IBM!A$2:G$55,3,0)</f>
        <v>188.36</v>
      </c>
      <c r="BC30">
        <f>VLOOKUP(A30,INTC!A$2:G$55,3,0)</f>
        <v>33.24</v>
      </c>
      <c r="BD30">
        <f>VLOOKUP(A30,JNJ!A$2:G$55,3,0)</f>
        <v>101.78</v>
      </c>
      <c r="BE30">
        <f>VLOOKUP(A30,JPM!A$2:G$55,3,0)</f>
        <v>56.58</v>
      </c>
      <c r="BF30">
        <f>VLOOKUP(A30,KO!A$2:G$55,3,0)</f>
        <v>39.869999999999997</v>
      </c>
      <c r="BG30">
        <f>VLOOKUP(A30,LLY!A$2:G$55,3,0)</f>
        <v>61.87</v>
      </c>
      <c r="BH30">
        <f>VLOOKUP(A30,LMT!A$2:G$55,3,0)</f>
        <v>166.93</v>
      </c>
      <c r="BI30">
        <f>VLOOKUP(A30,LOW!A$2:G$55,3,0)</f>
        <v>49.95</v>
      </c>
      <c r="BJ30">
        <f>VLOOKUP(A30,MA!A$2:G$55,3,0)</f>
        <v>76.069999999999993</v>
      </c>
      <c r="BK30">
        <f>VLOOKUP(A30,MCD!A$2:G$55,3,0)</f>
        <v>93.92</v>
      </c>
      <c r="BL30">
        <f>VLOOKUP(A30,MDLZ!A$2:G$55,3,0)</f>
        <v>35.9</v>
      </c>
      <c r="BM30">
        <f>VLOOKUP(A30,MDT!A$2:G$55,3,0)</f>
        <v>62.61</v>
      </c>
      <c r="BN30">
        <f>VLOOKUP(A30,MET!A$2:G$55,3,0)</f>
        <v>51.99</v>
      </c>
      <c r="BO30">
        <f>VLOOKUP(A30,MMM!A$2:G$55,3,0)</f>
        <v>141.5</v>
      </c>
      <c r="BP30">
        <f>VLOOKUP(A30,MO!A$2:G$55,3,0)</f>
        <v>42.31</v>
      </c>
      <c r="BQ30">
        <f>VLOOKUP(A30,MON!A$2:G$55,3,0)</f>
        <v>116.42</v>
      </c>
      <c r="BR30">
        <f>VLOOKUP(A30,MRK!A$2:G$55,3,0)</f>
        <v>57.05</v>
      </c>
      <c r="BS30">
        <f>VLOOKUP(A30,MS!A$2:G$55,3,0)</f>
        <v>32.299999999999997</v>
      </c>
      <c r="BT30">
        <f>VLOOKUP(A30,MSFT!A$2:G$55,3,0)</f>
        <v>43.45</v>
      </c>
      <c r="BU30">
        <f>VLOOKUP(A30,NKE!A$2:G$55,3,0)</f>
        <v>77.5</v>
      </c>
      <c r="BV30">
        <f>VLOOKUP(A30,NOV!A$2:G$55,3,0)</f>
        <v>82.89</v>
      </c>
      <c r="BW30">
        <f>VLOOKUP(A30,NSC!A$2:G$55,3,0)</f>
        <v>103.42</v>
      </c>
      <c r="BX30">
        <f>VLOOKUP(A30,ORCL!A$2:G$55,3,0)</f>
        <v>40.14</v>
      </c>
      <c r="BY30">
        <f>VLOOKUP(A30,OXY!A$2:G$55,3,0)</f>
        <v>101.05</v>
      </c>
      <c r="BZ30">
        <f>VLOOKUP(A30,PEP!A$2:G$55,3,0)</f>
        <v>91.86</v>
      </c>
      <c r="CA30">
        <f>VLOOKUP(A30,PFE!A$2:G$55,3,0)</f>
        <v>28.59</v>
      </c>
      <c r="CB30">
        <f>VLOOKUP(A30,PG!A$2:G$55,3,0)</f>
        <v>81.87</v>
      </c>
      <c r="CC30">
        <f>VLOOKUP(A30,PM!A$2:G$55,3,0)</f>
        <v>84.96</v>
      </c>
      <c r="CD30">
        <f>VLOOKUP(A30,QCOM!A$2:G$55,3,0)</f>
        <v>74.98</v>
      </c>
      <c r="CE30">
        <f>VLOOKUP(A30,RTN!A$2:G$55,3,0)</f>
        <v>92.16</v>
      </c>
      <c r="CF30">
        <f>VLOOKUP(A30,SBUX!A$2:G$55,3,0)</f>
        <v>78.25</v>
      </c>
      <c r="CG30">
        <f>VLOOKUP(A30,SLB!A$2:G$55,3,0)</f>
        <v>110.35</v>
      </c>
      <c r="CH30">
        <f>VLOOKUP(A30,SO!A$2:G$55,3,0)</f>
        <v>43.6</v>
      </c>
      <c r="CI30">
        <f>VLOOKUP(A30,SPG!A$2:G$55,3,0)</f>
        <v>168.38</v>
      </c>
      <c r="CJ30">
        <f>VLOOKUP(A30,T!A$2:G$55,3,0)</f>
        <v>34.76</v>
      </c>
      <c r="CK30">
        <f>VLOOKUP(A30,TGT!A$2:G$55,3,0)</f>
        <v>58.67</v>
      </c>
      <c r="CL30">
        <f>VLOOKUP(A30,TWX!A$2:G$55,3,0)</f>
        <v>74.709999999999994</v>
      </c>
      <c r="CM30">
        <f>VLOOKUP(A30,TXN!A$2:G$55,3,0)</f>
        <v>46.82</v>
      </c>
      <c r="CN30">
        <f>VLOOKUP(A30,UNH!A$2:G$55,3,0)</f>
        <v>80.650000000000006</v>
      </c>
      <c r="CO30">
        <f>VLOOKUP(A30,UNP!A$2:G$55,3,0)</f>
        <v>100.32</v>
      </c>
      <c r="CP30">
        <f>VLOOKUP(A30,UPS!A$2:G$55,3,0)</f>
        <v>96.57</v>
      </c>
      <c r="CQ30">
        <f>VLOOKUP(A30,USB!A$2:G$55,3,0)</f>
        <v>41.28</v>
      </c>
      <c r="CR30">
        <f>VLOOKUP(A30,UTX!A$2:G$55,3,0)</f>
        <v>106.85</v>
      </c>
      <c r="CS30">
        <f>VLOOKUP(A30,V!A$2:G$55,3,0)</f>
        <v>211.22</v>
      </c>
      <c r="CT30">
        <f>VLOOKUP(A30,VZ!A$2:G$55,3,0)</f>
        <v>49.04</v>
      </c>
      <c r="CU30">
        <f>VLOOKUP(A30,WAG!A$2:G$55,3,0)</f>
        <v>62.17</v>
      </c>
      <c r="CV30">
        <f>VLOOKUP(A30,WFC!A$2:G$55,3,0)</f>
        <v>50.25</v>
      </c>
      <c r="CW30">
        <f>VLOOKUP(A30,WMT!A$2:G$55,3,0)</f>
        <v>74.599999999999994</v>
      </c>
    </row>
    <row r="31" spans="1:101" x14ac:dyDescent="0.25">
      <c r="A31" s="34">
        <v>41863</v>
      </c>
      <c r="B31" s="36">
        <v>96.88</v>
      </c>
      <c r="C31">
        <f>VLOOKUP(A31,ABBV!A$2:G$55,3,0)</f>
        <v>53.3</v>
      </c>
      <c r="D31">
        <f>VLOOKUP(A31,ABT!A$2:G$55,3,0)</f>
        <v>42.11</v>
      </c>
      <c r="E31">
        <f>VLOOKUP(A31,ACN!A$2:G$55,3,0)</f>
        <v>79.25</v>
      </c>
      <c r="F31">
        <f>VLOOKUP(A31,AIG!A$2:G$55,3,0)</f>
        <v>53.5</v>
      </c>
      <c r="G31">
        <f>VLOOKUP(A31,ALL!A$2:G$55,3,0)</f>
        <v>60.19</v>
      </c>
      <c r="H31">
        <f>VLOOKUP(A31,AMGN!A$2:G$55,3,0)</f>
        <v>126.9</v>
      </c>
      <c r="I31">
        <f>VLOOKUP(A31,AMZN!A$2:G$55,3,0)</f>
        <v>321.31</v>
      </c>
      <c r="J31">
        <f>VLOOKUP(A31,APA!A$2:G$55,3,0)</f>
        <v>99.86</v>
      </c>
      <c r="K31">
        <f>VLOOKUP(A31,APC!A$2:G$55,3,0)</f>
        <v>107.79</v>
      </c>
      <c r="L31">
        <f>VLOOKUP(A31,AXP!A$2:G$55,3,0)</f>
        <v>87.09</v>
      </c>
      <c r="M31">
        <f>VLOOKUP(A31,BA!A$2:G$55,3,0)</f>
        <v>120.94</v>
      </c>
      <c r="N31">
        <f>VLOOKUP(A31,BAC!A$2:G$55,3,0)</f>
        <v>15.3</v>
      </c>
      <c r="O31">
        <f>VLOOKUP(A31,BAX!A$2:G$55,3,0)</f>
        <v>74.650000000000006</v>
      </c>
      <c r="P31">
        <f>VLOOKUP(A31,BIIB!A$2:G$55,3,0)</f>
        <v>325.64</v>
      </c>
      <c r="Q31">
        <f>VLOOKUP(A31,BK!A$2:G$55,3,0)</f>
        <v>38.47</v>
      </c>
      <c r="R31">
        <f>VLOOKUP(A31,BMY!A$2:G$55,3,0)</f>
        <v>49.39</v>
      </c>
      <c r="T31">
        <f>VLOOKUP(A31,'C'!A$2:G$55,3,0)</f>
        <v>48.68</v>
      </c>
      <c r="U31">
        <f>VLOOKUP(A31,CAT!A$2:G$55,3,0)</f>
        <v>105.16</v>
      </c>
      <c r="V31">
        <f>VLOOKUP(A31,CL!A$2:G$55,3,0)</f>
        <v>64.84</v>
      </c>
      <c r="W31">
        <f>VLOOKUP(A31,CMCSA!A$2:G$55,3,0)</f>
        <v>54.13</v>
      </c>
      <c r="X31">
        <f>VLOOKUP(A31,COF!A$2:G$55,3,0)</f>
        <v>79.42</v>
      </c>
      <c r="Y31">
        <f>VLOOKUP(A31,COP!A$2:G$55,3,0)</f>
        <v>80.760000000000005</v>
      </c>
      <c r="Z31">
        <f>VLOOKUP(A31,COST!A$2:G$55,3,0)</f>
        <v>119.27</v>
      </c>
      <c r="AA31">
        <f>VLOOKUP(A31,CSCO!A$2:G$55,3,0)</f>
        <v>25.27</v>
      </c>
      <c r="AB31">
        <f>VLOOKUP(A31,CVS!A$2:G$55,3,0)</f>
        <v>78.84</v>
      </c>
      <c r="AC31">
        <f>VLOOKUP(A31,CVX!A$2:G$55,3,0)</f>
        <v>127.28</v>
      </c>
      <c r="AD31">
        <f>VLOOKUP(A31,DD!A$2:G$55,3,0)</f>
        <v>65.61</v>
      </c>
      <c r="AE31">
        <f>VLOOKUP(A31,DIS!A$2:G$55,3,0)</f>
        <v>87.62</v>
      </c>
      <c r="AF31">
        <f>VLOOKUP(A31,DOW!A$2:G$55,3,0)</f>
        <v>52</v>
      </c>
      <c r="AG31">
        <f>VLOOKUP(A31,DVN!A$2:G$55,3,0)</f>
        <v>74.040000000000006</v>
      </c>
      <c r="AH31">
        <f>VLOOKUP(A31,EBAY!A$2:G$55,3,0)</f>
        <v>53.93</v>
      </c>
      <c r="AI31">
        <f>VLOOKUP(A31,EMC!A$2:G$55,3,0)</f>
        <v>29.42</v>
      </c>
      <c r="AJ31">
        <f>VLOOKUP(A31,EMR!A$2:G$55,3,0)</f>
        <v>63.1</v>
      </c>
      <c r="AK31">
        <f>VLOOKUP(A31,EXC!A$2:G$55,3,0)</f>
        <v>32.159999999999997</v>
      </c>
      <c r="AL31">
        <f>VLOOKUP(A31,F!A$2:G$55,3,0)</f>
        <v>17.41</v>
      </c>
      <c r="AM31">
        <f>VLOOKUP(A31,FB!A$2:G$55,3,0)</f>
        <v>73.33</v>
      </c>
      <c r="AN31">
        <f>VLOOKUP(A31,FCX!A$2:G$55,3,0)</f>
        <v>37.07</v>
      </c>
      <c r="AO31">
        <f>VLOOKUP(A31,FDX!A$2:G$55,3,0)</f>
        <v>149.19</v>
      </c>
      <c r="AP31">
        <f>VLOOKUP(A31,FOXA!A$2:G$55,3,0)</f>
        <v>35.26</v>
      </c>
      <c r="AQ31">
        <f>VLOOKUP(A31,GD!A$2:G$55,3,0)</f>
        <v>118.6</v>
      </c>
      <c r="AR31">
        <f>VLOOKUP(A31,GE!A$2:G$55,3,0)</f>
        <v>25.86</v>
      </c>
      <c r="AS31">
        <f>VLOOKUP(A31,GILD!A$2:G$55,3,0)</f>
        <v>93.38</v>
      </c>
      <c r="AT31">
        <f>VLOOKUP(A31,GM!A$2:G$55,3,0)</f>
        <v>34.14</v>
      </c>
      <c r="AU31">
        <f>VLOOKUP(A31,GOOG!A$2:G$55,3,0)</f>
        <v>565.9</v>
      </c>
      <c r="AV31">
        <f>VLOOKUP(A31,GOOGL!A$2:G$55,3,0)</f>
        <v>575.9</v>
      </c>
      <c r="AW31">
        <f>VLOOKUP(A31,GS!A$2:G$55,3,0)</f>
        <v>173.11</v>
      </c>
      <c r="AX31">
        <f>VLOOKUP(A31,HAL!A$2:G$55,3,0)</f>
        <v>69.39</v>
      </c>
      <c r="AY31">
        <f>VLOOKUP(A31,HD!A$2:G$55,3,0)</f>
        <v>83.09</v>
      </c>
      <c r="AZ31">
        <f>VLOOKUP(A31,HON!A$2:G$55,3,0)</f>
        <v>93.54</v>
      </c>
      <c r="BA31">
        <f>VLOOKUP(A31,HPQ!A$2:G$55,3,0)</f>
        <v>35.33</v>
      </c>
      <c r="BB31">
        <f>VLOOKUP(A31,IBM!A$2:G$55,3,0)</f>
        <v>188.69</v>
      </c>
      <c r="BC31">
        <f>VLOOKUP(A31,INTC!A$2:G$55,3,0)</f>
        <v>33.15</v>
      </c>
      <c r="BD31">
        <f>VLOOKUP(A31,JNJ!A$2:G$55,3,0)</f>
        <v>101.22</v>
      </c>
      <c r="BE31">
        <f>VLOOKUP(A31,JPM!A$2:G$55,3,0)</f>
        <v>56.55</v>
      </c>
      <c r="BF31">
        <f>VLOOKUP(A31,KO!A$2:G$55,3,0)</f>
        <v>39.840000000000003</v>
      </c>
      <c r="BG31">
        <f>VLOOKUP(A31,LLY!A$2:G$55,3,0)</f>
        <v>61.46</v>
      </c>
      <c r="BH31">
        <f>VLOOKUP(A31,LMT!A$2:G$55,3,0)</f>
        <v>167.15</v>
      </c>
      <c r="BI31">
        <f>VLOOKUP(A31,LOW!A$2:G$55,3,0)</f>
        <v>49.95</v>
      </c>
      <c r="BJ31">
        <f>VLOOKUP(A31,MA!A$2:G$55,3,0)</f>
        <v>75.819999999999993</v>
      </c>
      <c r="BK31">
        <f>VLOOKUP(A31,MCD!A$2:G$55,3,0)</f>
        <v>93.65</v>
      </c>
      <c r="BL31">
        <f>VLOOKUP(A31,MDLZ!A$2:G$55,3,0)</f>
        <v>35.79</v>
      </c>
      <c r="BM31">
        <f>VLOOKUP(A31,MDT!A$2:G$55,3,0)</f>
        <v>62.35</v>
      </c>
      <c r="BN31">
        <f>VLOOKUP(A31,MET!A$2:G$55,3,0)</f>
        <v>52.27</v>
      </c>
      <c r="BO31">
        <f>VLOOKUP(A31,MMM!A$2:G$55,3,0)</f>
        <v>141.21</v>
      </c>
      <c r="BP31">
        <f>VLOOKUP(A31,MO!A$2:G$55,3,0)</f>
        <v>42.01</v>
      </c>
      <c r="BQ31">
        <f>VLOOKUP(A31,MON!A$2:G$55,3,0)</f>
        <v>115.96</v>
      </c>
      <c r="BR31">
        <f>VLOOKUP(A31,MRK!A$2:G$55,3,0)</f>
        <v>57.14</v>
      </c>
      <c r="BS31">
        <f>VLOOKUP(A31,MS!A$2:G$55,3,0)</f>
        <v>32.340000000000003</v>
      </c>
      <c r="BT31">
        <f>VLOOKUP(A31,MSFT!A$2:G$55,3,0)</f>
        <v>43.59</v>
      </c>
      <c r="BU31">
        <f>VLOOKUP(A31,NKE!A$2:G$55,3,0)</f>
        <v>77.44</v>
      </c>
      <c r="BV31">
        <f>VLOOKUP(A31,NOV!A$2:G$55,3,0)</f>
        <v>82.45</v>
      </c>
      <c r="BW31">
        <f>VLOOKUP(A31,NSC!A$2:G$55,3,0)</f>
        <v>103.04</v>
      </c>
      <c r="BX31">
        <f>VLOOKUP(A31,ORCL!A$2:G$55,3,0)</f>
        <v>40.04</v>
      </c>
      <c r="BY31">
        <f>VLOOKUP(A31,OXY!A$2:G$55,3,0)</f>
        <v>100.38</v>
      </c>
      <c r="BZ31">
        <f>VLOOKUP(A31,PEP!A$2:G$55,3,0)</f>
        <v>91.89</v>
      </c>
      <c r="CA31">
        <f>VLOOKUP(A31,PFE!A$2:G$55,3,0)</f>
        <v>28.36</v>
      </c>
      <c r="CB31">
        <f>VLOOKUP(A31,PG!A$2:G$55,3,0)</f>
        <v>81.86</v>
      </c>
      <c r="CC31">
        <f>VLOOKUP(A31,PM!A$2:G$55,3,0)</f>
        <v>84.26</v>
      </c>
      <c r="CD31">
        <f>VLOOKUP(A31,QCOM!A$2:G$55,3,0)</f>
        <v>74.930000000000007</v>
      </c>
      <c r="CE31">
        <f>VLOOKUP(A31,RTN!A$2:G$55,3,0)</f>
        <v>92.25</v>
      </c>
      <c r="CF31">
        <f>VLOOKUP(A31,SBUX!A$2:G$55,3,0)</f>
        <v>78.14</v>
      </c>
      <c r="CG31">
        <f>VLOOKUP(A31,SLB!A$2:G$55,3,0)</f>
        <v>109.31</v>
      </c>
      <c r="CH31">
        <f>VLOOKUP(A31,SO!A$2:G$55,3,0)</f>
        <v>43.38</v>
      </c>
      <c r="CI31">
        <f>VLOOKUP(A31,SPG!A$2:G$55,3,0)</f>
        <v>168.26</v>
      </c>
      <c r="CJ31">
        <f>VLOOKUP(A31,T!A$2:G$55,3,0)</f>
        <v>34.700000000000003</v>
      </c>
      <c r="CK31">
        <f>VLOOKUP(A31,TGT!A$2:G$55,3,0)</f>
        <v>58.54</v>
      </c>
      <c r="CL31">
        <f>VLOOKUP(A31,TWX!A$2:G$55,3,0)</f>
        <v>74.150000000000006</v>
      </c>
      <c r="CM31">
        <f>VLOOKUP(A31,TXN!A$2:G$55,3,0)</f>
        <v>46.74</v>
      </c>
      <c r="CN31">
        <f>VLOOKUP(A31,UNH!A$2:G$55,3,0)</f>
        <v>80.39</v>
      </c>
      <c r="CO31">
        <f>VLOOKUP(A31,UNP!A$2:G$55,3,0)</f>
        <v>100.3</v>
      </c>
      <c r="CP31">
        <f>VLOOKUP(A31,UPS!A$2:G$55,3,0)</f>
        <v>96.74</v>
      </c>
      <c r="CQ31">
        <f>VLOOKUP(A31,USB!A$2:G$55,3,0)</f>
        <v>41.3</v>
      </c>
      <c r="CR31">
        <f>VLOOKUP(A31,UTX!A$2:G$55,3,0)</f>
        <v>105.8</v>
      </c>
      <c r="CS31">
        <f>VLOOKUP(A31,V!A$2:G$55,3,0)</f>
        <v>211.2</v>
      </c>
      <c r="CT31">
        <f>VLOOKUP(A31,VZ!A$2:G$55,3,0)</f>
        <v>48.95</v>
      </c>
      <c r="CU31">
        <f>VLOOKUP(A31,WAG!A$2:G$55,3,0)</f>
        <v>62.28</v>
      </c>
      <c r="CV31">
        <f>VLOOKUP(A31,WFC!A$2:G$55,3,0)</f>
        <v>50.27</v>
      </c>
      <c r="CW31">
        <f>VLOOKUP(A31,WMT!A$2:G$55,3,0)</f>
        <v>74.44</v>
      </c>
    </row>
    <row r="32" spans="1:101" x14ac:dyDescent="0.25">
      <c r="A32" s="34">
        <v>41864</v>
      </c>
      <c r="B32" s="36">
        <v>97.24</v>
      </c>
      <c r="C32">
        <f>VLOOKUP(A32,ABBV!A$2:G$55,3,0)</f>
        <v>53.64</v>
      </c>
      <c r="D32">
        <f>VLOOKUP(A32,ABT!A$2:G$55,3,0)</f>
        <v>42.16</v>
      </c>
      <c r="E32">
        <f>VLOOKUP(A32,ACN!A$2:G$55,3,0)</f>
        <v>79.25</v>
      </c>
      <c r="F32">
        <f>VLOOKUP(A32,AIG!A$2:G$55,3,0)</f>
        <v>53.78</v>
      </c>
      <c r="G32">
        <f>VLOOKUP(A32,ALL!A$2:G$55,3,0)</f>
        <v>60.47</v>
      </c>
      <c r="H32">
        <f>VLOOKUP(A32,AMGN!A$2:G$55,3,0)</f>
        <v>127.8</v>
      </c>
      <c r="I32">
        <f>VLOOKUP(A32,AMZN!A$2:G$55,3,0)</f>
        <v>331.72</v>
      </c>
      <c r="J32">
        <f>VLOOKUP(A32,APA!A$2:G$55,3,0)</f>
        <v>100</v>
      </c>
      <c r="K32">
        <f>VLOOKUP(A32,APC!A$2:G$55,3,0)</f>
        <v>107.39</v>
      </c>
      <c r="L32">
        <f>VLOOKUP(A32,AXP!A$2:G$55,3,0)</f>
        <v>88.07</v>
      </c>
      <c r="M32">
        <f>VLOOKUP(A32,BA!A$2:G$55,3,0)</f>
        <v>122.23</v>
      </c>
      <c r="N32">
        <f>VLOOKUP(A32,BAC!A$2:G$55,3,0)</f>
        <v>15.29</v>
      </c>
      <c r="O32">
        <f>VLOOKUP(A32,BAX!A$2:G$55,3,0)</f>
        <v>75</v>
      </c>
      <c r="P32">
        <f>VLOOKUP(A32,BIIB!A$2:G$55,3,0)</f>
        <v>335.39</v>
      </c>
      <c r="Q32">
        <f>VLOOKUP(A32,BK!A$2:G$55,3,0)</f>
        <v>38.72</v>
      </c>
      <c r="R32">
        <f>VLOOKUP(A32,BMY!A$2:G$55,3,0)</f>
        <v>49.66</v>
      </c>
      <c r="T32">
        <f>VLOOKUP(A32,'C'!A$2:G$55,3,0)</f>
        <v>48.89</v>
      </c>
      <c r="U32">
        <f>VLOOKUP(A32,CAT!A$2:G$55,3,0)</f>
        <v>105.5</v>
      </c>
      <c r="V32">
        <f>VLOOKUP(A32,CL!A$2:G$55,3,0)</f>
        <v>64.7</v>
      </c>
      <c r="W32">
        <f>VLOOKUP(A32,CMCSA!A$2:G$55,3,0)</f>
        <v>54.37</v>
      </c>
      <c r="X32">
        <f>VLOOKUP(A32,COF!A$2:G$55,3,0)</f>
        <v>79.959999999999994</v>
      </c>
      <c r="Y32">
        <f>VLOOKUP(A32,COP!A$2:G$55,3,0)</f>
        <v>81.42</v>
      </c>
      <c r="Z32">
        <f>VLOOKUP(A32,COST!A$2:G$55,3,0)</f>
        <v>119.1</v>
      </c>
      <c r="AA32">
        <f>VLOOKUP(A32,CSCO!A$2:G$55,3,0)</f>
        <v>25.27</v>
      </c>
      <c r="AB32">
        <f>VLOOKUP(A32,CVS!A$2:G$55,3,0)</f>
        <v>79.150000000000006</v>
      </c>
      <c r="AC32">
        <f>VLOOKUP(A32,CVX!A$2:G$55,3,0)</f>
        <v>128.24</v>
      </c>
      <c r="AD32">
        <f>VLOOKUP(A32,DD!A$2:G$55,3,0)</f>
        <v>65.349999999999994</v>
      </c>
      <c r="AE32">
        <f>VLOOKUP(A32,DIS!A$2:G$55,3,0)</f>
        <v>87.95</v>
      </c>
      <c r="AF32">
        <f>VLOOKUP(A32,DOW!A$2:G$55,3,0)</f>
        <v>52.67</v>
      </c>
      <c r="AG32">
        <f>VLOOKUP(A32,DVN!A$2:G$55,3,0)</f>
        <v>73.66</v>
      </c>
      <c r="AH32">
        <f>VLOOKUP(A32,EBAY!A$2:G$55,3,0)</f>
        <v>53.15</v>
      </c>
      <c r="AI32">
        <f>VLOOKUP(A32,EMC!A$2:G$55,3,0)</f>
        <v>29.59</v>
      </c>
      <c r="AJ32">
        <f>VLOOKUP(A32,EMR!A$2:G$55,3,0)</f>
        <v>63.14</v>
      </c>
      <c r="AK32">
        <f>VLOOKUP(A32,EXC!A$2:G$55,3,0)</f>
        <v>31.72</v>
      </c>
      <c r="AL32">
        <f>VLOOKUP(A32,F!A$2:G$55,3,0)</f>
        <v>17.48</v>
      </c>
      <c r="AM32">
        <f>VLOOKUP(A32,FB!A$2:G$55,3,0)</f>
        <v>74.25</v>
      </c>
      <c r="AN32">
        <f>VLOOKUP(A32,FCX!A$2:G$55,3,0)</f>
        <v>36.869999999999997</v>
      </c>
      <c r="AO32">
        <f>VLOOKUP(A32,FDX!A$2:G$55,3,0)</f>
        <v>149.66999999999999</v>
      </c>
      <c r="AP32">
        <f>VLOOKUP(A32,FOXA!A$2:G$55,3,0)</f>
        <v>35.450000000000003</v>
      </c>
      <c r="AQ32">
        <f>VLOOKUP(A32,GD!A$2:G$55,3,0)</f>
        <v>119.3</v>
      </c>
      <c r="AR32">
        <f>VLOOKUP(A32,GE!A$2:G$55,3,0)</f>
        <v>25.92</v>
      </c>
      <c r="AS32">
        <f>VLOOKUP(A32,GILD!A$2:G$55,3,0)</f>
        <v>94.61</v>
      </c>
      <c r="AT32">
        <f>VLOOKUP(A32,GM!A$2:G$55,3,0)</f>
        <v>34.07</v>
      </c>
      <c r="AU32">
        <f>VLOOKUP(A32,GOOG!A$2:G$55,3,0)</f>
        <v>575</v>
      </c>
      <c r="AV32">
        <f>VLOOKUP(A32,GOOGL!A$2:G$55,3,0)</f>
        <v>586.13</v>
      </c>
      <c r="AW32">
        <f>VLOOKUP(A32,GS!A$2:G$55,3,0)</f>
        <v>172.89</v>
      </c>
      <c r="AX32">
        <f>VLOOKUP(A32,HAL!A$2:G$55,3,0)</f>
        <v>69.86</v>
      </c>
      <c r="AY32">
        <f>VLOOKUP(A32,HD!A$2:G$55,3,0)</f>
        <v>83.39</v>
      </c>
      <c r="AZ32">
        <f>VLOOKUP(A32,HON!A$2:G$55,3,0)</f>
        <v>94.35</v>
      </c>
      <c r="BA32">
        <f>VLOOKUP(A32,HPQ!A$2:G$55,3,0)</f>
        <v>35.43</v>
      </c>
      <c r="BB32">
        <f>VLOOKUP(A32,IBM!A$2:G$55,3,0)</f>
        <v>188.48</v>
      </c>
      <c r="BC32">
        <f>VLOOKUP(A32,INTC!A$2:G$55,3,0)</f>
        <v>34.15</v>
      </c>
      <c r="BD32">
        <f>VLOOKUP(A32,JNJ!A$2:G$55,3,0)</f>
        <v>101.95</v>
      </c>
      <c r="BE32">
        <f>VLOOKUP(A32,JPM!A$2:G$55,3,0)</f>
        <v>56.84</v>
      </c>
      <c r="BF32">
        <f>VLOOKUP(A32,KO!A$2:G$55,3,0)</f>
        <v>40.1</v>
      </c>
      <c r="BG32">
        <f>VLOOKUP(A32,LLY!A$2:G$55,3,0)</f>
        <v>61.49</v>
      </c>
      <c r="BH32">
        <f>VLOOKUP(A32,LMT!A$2:G$55,3,0)</f>
        <v>169.4</v>
      </c>
      <c r="BI32">
        <f>VLOOKUP(A32,LOW!A$2:G$55,3,0)</f>
        <v>50.3</v>
      </c>
      <c r="BJ32">
        <f>VLOOKUP(A32,MA!A$2:G$55,3,0)</f>
        <v>76.510000000000005</v>
      </c>
      <c r="BK32">
        <f>VLOOKUP(A32,MCD!A$2:G$55,3,0)</f>
        <v>94.32</v>
      </c>
      <c r="BL32">
        <f>VLOOKUP(A32,MDLZ!A$2:G$55,3,0)</f>
        <v>35.92</v>
      </c>
      <c r="BM32">
        <f>VLOOKUP(A32,MDT!A$2:G$55,3,0)</f>
        <v>63.48</v>
      </c>
      <c r="BN32">
        <f>VLOOKUP(A32,MET!A$2:G$55,3,0)</f>
        <v>52.7</v>
      </c>
      <c r="BO32">
        <f>VLOOKUP(A32,MMM!A$2:G$55,3,0)</f>
        <v>141.83000000000001</v>
      </c>
      <c r="BP32">
        <f>VLOOKUP(A32,MO!A$2:G$55,3,0)</f>
        <v>42.28</v>
      </c>
      <c r="BQ32">
        <f>VLOOKUP(A32,MON!A$2:G$55,3,0)</f>
        <v>117</v>
      </c>
      <c r="BR32">
        <f>VLOOKUP(A32,MRK!A$2:G$55,3,0)</f>
        <v>57.89</v>
      </c>
      <c r="BS32">
        <f>VLOOKUP(A32,MS!A$2:G$55,3,0)</f>
        <v>32.26</v>
      </c>
      <c r="BT32">
        <f>VLOOKUP(A32,MSFT!A$2:G$55,3,0)</f>
        <v>44.18</v>
      </c>
      <c r="BU32">
        <f>VLOOKUP(A32,NKE!A$2:G$55,3,0)</f>
        <v>77.790000000000006</v>
      </c>
      <c r="BV32">
        <f>VLOOKUP(A32,NOV!A$2:G$55,3,0)</f>
        <v>82.83</v>
      </c>
      <c r="BW32">
        <f>VLOOKUP(A32,NSC!A$2:G$55,3,0)</f>
        <v>103.37</v>
      </c>
      <c r="BX32">
        <f>VLOOKUP(A32,ORCL!A$2:G$55,3,0)</f>
        <v>40.299999999999997</v>
      </c>
      <c r="BY32">
        <f>VLOOKUP(A32,OXY!A$2:G$55,3,0)</f>
        <v>100.96</v>
      </c>
      <c r="BZ32">
        <f>VLOOKUP(A32,PEP!A$2:G$55,3,0)</f>
        <v>91.87</v>
      </c>
      <c r="CA32">
        <f>VLOOKUP(A32,PFE!A$2:G$55,3,0)</f>
        <v>28.44</v>
      </c>
      <c r="CB32">
        <f>VLOOKUP(A32,PG!A$2:G$55,3,0)</f>
        <v>81.8</v>
      </c>
      <c r="CC32">
        <f>VLOOKUP(A32,PM!A$2:G$55,3,0)</f>
        <v>84.82</v>
      </c>
      <c r="CD32">
        <f>VLOOKUP(A32,QCOM!A$2:G$55,3,0)</f>
        <v>74.650000000000006</v>
      </c>
      <c r="CE32">
        <f>VLOOKUP(A32,RTN!A$2:G$55,3,0)</f>
        <v>93.79</v>
      </c>
      <c r="CF32">
        <f>VLOOKUP(A32,SBUX!A$2:G$55,3,0)</f>
        <v>78.099999999999994</v>
      </c>
      <c r="CG32">
        <f>VLOOKUP(A32,SLB!A$2:G$55,3,0)</f>
        <v>109.24</v>
      </c>
      <c r="CH32">
        <f>VLOOKUP(A32,SO!A$2:G$55,3,0)</f>
        <v>43.28</v>
      </c>
      <c r="CI32">
        <f>VLOOKUP(A32,SPG!A$2:G$55,3,0)</f>
        <v>168.52</v>
      </c>
      <c r="CJ32">
        <f>VLOOKUP(A32,T!A$2:G$55,3,0)</f>
        <v>34.83</v>
      </c>
      <c r="CK32">
        <f>VLOOKUP(A32,TGT!A$2:G$55,3,0)</f>
        <v>58.48</v>
      </c>
      <c r="CL32">
        <f>VLOOKUP(A32,TWX!A$2:G$55,3,0)</f>
        <v>74.3</v>
      </c>
      <c r="CM32">
        <f>VLOOKUP(A32,TXN!A$2:G$55,3,0)</f>
        <v>47.2</v>
      </c>
      <c r="CN32">
        <f>VLOOKUP(A32,UNH!A$2:G$55,3,0)</f>
        <v>81.67</v>
      </c>
      <c r="CO32">
        <f>VLOOKUP(A32,UNP!A$2:G$55,3,0)</f>
        <v>100.69</v>
      </c>
      <c r="CP32">
        <f>VLOOKUP(A32,UPS!A$2:G$55,3,0)</f>
        <v>97.05</v>
      </c>
      <c r="CQ32">
        <f>VLOOKUP(A32,USB!A$2:G$55,3,0)</f>
        <v>41.46</v>
      </c>
      <c r="CR32">
        <f>VLOOKUP(A32,UTX!A$2:G$55,3,0)</f>
        <v>105.77</v>
      </c>
      <c r="CS32">
        <f>VLOOKUP(A32,V!A$2:G$55,3,0)</f>
        <v>212.1</v>
      </c>
      <c r="CT32">
        <f>VLOOKUP(A32,VZ!A$2:G$55,3,0)</f>
        <v>49.02</v>
      </c>
      <c r="CU32">
        <f>VLOOKUP(A32,WAG!A$2:G$55,3,0)</f>
        <v>62.84</v>
      </c>
      <c r="CV32">
        <f>VLOOKUP(A32,WFC!A$2:G$55,3,0)</f>
        <v>50.12</v>
      </c>
      <c r="CW32">
        <f>VLOOKUP(A32,WMT!A$2:G$55,3,0)</f>
        <v>74.41</v>
      </c>
    </row>
    <row r="33" spans="1:101" x14ac:dyDescent="0.25">
      <c r="A33" s="34">
        <v>41865</v>
      </c>
      <c r="B33" s="36">
        <v>97.57</v>
      </c>
      <c r="C33">
        <f>VLOOKUP(A33,ABBV!A$2:G$55,3,0)</f>
        <v>54.23</v>
      </c>
      <c r="D33">
        <f>VLOOKUP(A33,ABT!A$2:G$55,3,0)</f>
        <v>42.45</v>
      </c>
      <c r="E33">
        <f>VLOOKUP(A33,ACN!A$2:G$55,3,0)</f>
        <v>79.27</v>
      </c>
      <c r="F33">
        <f>VLOOKUP(A33,AIG!A$2:G$55,3,0)</f>
        <v>54.27</v>
      </c>
      <c r="G33">
        <f>VLOOKUP(A33,ALL!A$2:G$55,3,0)</f>
        <v>60.79</v>
      </c>
      <c r="H33">
        <f>VLOOKUP(A33,AMGN!A$2:G$55,3,0)</f>
        <v>132.52000000000001</v>
      </c>
      <c r="I33">
        <f>VLOOKUP(A33,AMZN!A$2:G$55,3,0)</f>
        <v>334.09</v>
      </c>
      <c r="J33">
        <f>VLOOKUP(A33,APA!A$2:G$55,3,0)</f>
        <v>99.34</v>
      </c>
      <c r="K33">
        <f>VLOOKUP(A33,APC!A$2:G$55,3,0)</f>
        <v>106.86</v>
      </c>
      <c r="L33">
        <f>VLOOKUP(A33,AXP!A$2:G$55,3,0)</f>
        <v>87.8</v>
      </c>
      <c r="M33">
        <f>VLOOKUP(A33,BA!A$2:G$55,3,0)</f>
        <v>124.69</v>
      </c>
      <c r="N33">
        <f>VLOOKUP(A33,BAC!A$2:G$55,3,0)</f>
        <v>15.32</v>
      </c>
      <c r="O33">
        <f>VLOOKUP(A33,BAX!A$2:G$55,3,0)</f>
        <v>75.22</v>
      </c>
      <c r="P33">
        <f>VLOOKUP(A33,BIIB!A$2:G$55,3,0)</f>
        <v>338.51</v>
      </c>
      <c r="Q33">
        <f>VLOOKUP(A33,BK!A$2:G$55,3,0)</f>
        <v>38.54</v>
      </c>
      <c r="R33">
        <f>VLOOKUP(A33,BMY!A$2:G$55,3,0)</f>
        <v>49.93</v>
      </c>
      <c r="T33">
        <f>VLOOKUP(A33,'C'!A$2:G$55,3,0)</f>
        <v>49.15</v>
      </c>
      <c r="U33">
        <f>VLOOKUP(A33,CAT!A$2:G$55,3,0)</f>
        <v>106</v>
      </c>
      <c r="V33">
        <f>VLOOKUP(A33,CL!A$2:G$55,3,0)</f>
        <v>64.55</v>
      </c>
      <c r="W33">
        <f>VLOOKUP(A33,CMCSA!A$2:G$55,3,0)</f>
        <v>54.42</v>
      </c>
      <c r="X33">
        <f>VLOOKUP(A33,COF!A$2:G$55,3,0)</f>
        <v>80.150000000000006</v>
      </c>
      <c r="Y33">
        <f>VLOOKUP(A33,COP!A$2:G$55,3,0)</f>
        <v>81.209999999999994</v>
      </c>
      <c r="Z33">
        <f>VLOOKUP(A33,COST!A$2:G$55,3,0)</f>
        <v>119.27</v>
      </c>
      <c r="AA33">
        <f>VLOOKUP(A33,CSCO!A$2:G$55,3,0)</f>
        <v>24.94</v>
      </c>
      <c r="AB33">
        <f>VLOOKUP(A33,CVS!A$2:G$55,3,0)</f>
        <v>79.34</v>
      </c>
      <c r="AC33">
        <f>VLOOKUP(A33,CVX!A$2:G$55,3,0)</f>
        <v>127.7</v>
      </c>
      <c r="AD33">
        <f>VLOOKUP(A33,DD!A$2:G$55,3,0)</f>
        <v>65.3</v>
      </c>
      <c r="AE33">
        <f>VLOOKUP(A33,DIS!A$2:G$55,3,0)</f>
        <v>88.91</v>
      </c>
      <c r="AF33">
        <f>VLOOKUP(A33,DOW!A$2:G$55,3,0)</f>
        <v>52.67</v>
      </c>
      <c r="AG33">
        <f>VLOOKUP(A33,DVN!A$2:G$55,3,0)</f>
        <v>73.27</v>
      </c>
      <c r="AH33">
        <f>VLOOKUP(A33,EBAY!A$2:G$55,3,0)</f>
        <v>53.16</v>
      </c>
      <c r="AI33">
        <f>VLOOKUP(A33,EMC!A$2:G$55,3,0)</f>
        <v>29.82</v>
      </c>
      <c r="AJ33">
        <f>VLOOKUP(A33,EMR!A$2:G$55,3,0)</f>
        <v>63.23</v>
      </c>
      <c r="AK33">
        <f>VLOOKUP(A33,EXC!A$2:G$55,3,0)</f>
        <v>31.92</v>
      </c>
      <c r="AL33">
        <f>VLOOKUP(A33,F!A$2:G$55,3,0)</f>
        <v>17.48</v>
      </c>
      <c r="AM33">
        <f>VLOOKUP(A33,FB!A$2:G$55,3,0)</f>
        <v>74.38</v>
      </c>
      <c r="AN33">
        <f>VLOOKUP(A33,FCX!A$2:G$55,3,0)</f>
        <v>36.08</v>
      </c>
      <c r="AO33">
        <f>VLOOKUP(A33,FDX!A$2:G$55,3,0)</f>
        <v>149.72</v>
      </c>
      <c r="AP33">
        <f>VLOOKUP(A33,FOXA!A$2:G$55,3,0)</f>
        <v>35.81</v>
      </c>
      <c r="AQ33">
        <f>VLOOKUP(A33,GD!A$2:G$55,3,0)</f>
        <v>119.93</v>
      </c>
      <c r="AR33">
        <f>VLOOKUP(A33,GE!A$2:G$55,3,0)</f>
        <v>25.95</v>
      </c>
      <c r="AS33">
        <f>VLOOKUP(A33,GILD!A$2:G$55,3,0)</f>
        <v>96.37</v>
      </c>
      <c r="AT33">
        <f>VLOOKUP(A33,GM!A$2:G$55,3,0)</f>
        <v>33.96</v>
      </c>
      <c r="AU33">
        <f>VLOOKUP(A33,GOOG!A$2:G$55,3,0)</f>
        <v>577.9</v>
      </c>
      <c r="AV33">
        <f>VLOOKUP(A33,GOOGL!A$2:G$55,3,0)</f>
        <v>587.79999999999995</v>
      </c>
      <c r="AW33">
        <f>VLOOKUP(A33,GS!A$2:G$55,3,0)</f>
        <v>173.1</v>
      </c>
      <c r="AX33">
        <f>VLOOKUP(A33,HAL!A$2:G$55,3,0)</f>
        <v>69.849999999999994</v>
      </c>
      <c r="AY33">
        <f>VLOOKUP(A33,HD!A$2:G$55,3,0)</f>
        <v>83.97</v>
      </c>
      <c r="AZ33">
        <f>VLOOKUP(A33,HON!A$2:G$55,3,0)</f>
        <v>94.77</v>
      </c>
      <c r="BA33">
        <f>VLOOKUP(A33,HPQ!A$2:G$55,3,0)</f>
        <v>35.619999999999997</v>
      </c>
      <c r="BB33">
        <f>VLOOKUP(A33,IBM!A$2:G$55,3,0)</f>
        <v>188.17</v>
      </c>
      <c r="BC33">
        <f>VLOOKUP(A33,INTC!A$2:G$55,3,0)</f>
        <v>34.229999999999997</v>
      </c>
      <c r="BD33">
        <f>VLOOKUP(A33,JNJ!A$2:G$55,3,0)</f>
        <v>102.05</v>
      </c>
      <c r="BE33">
        <f>VLOOKUP(A33,JPM!A$2:G$55,3,0)</f>
        <v>57</v>
      </c>
      <c r="BF33">
        <f>VLOOKUP(A33,KO!A$2:G$55,3,0)</f>
        <v>40.19</v>
      </c>
      <c r="BG33">
        <f>VLOOKUP(A33,LLY!A$2:G$55,3,0)</f>
        <v>61.22</v>
      </c>
      <c r="BH33">
        <f>VLOOKUP(A33,LMT!A$2:G$55,3,0)</f>
        <v>170.21</v>
      </c>
      <c r="BI33">
        <f>VLOOKUP(A33,LOW!A$2:G$55,3,0)</f>
        <v>50.41</v>
      </c>
      <c r="BJ33">
        <f>VLOOKUP(A33,MA!A$2:G$55,3,0)</f>
        <v>76.61</v>
      </c>
      <c r="BK33">
        <f>VLOOKUP(A33,MCD!A$2:G$55,3,0)</f>
        <v>93.89</v>
      </c>
      <c r="BL33">
        <f>VLOOKUP(A33,MDLZ!A$2:G$55,3,0)</f>
        <v>35.9</v>
      </c>
      <c r="BM33">
        <f>VLOOKUP(A33,MDT!A$2:G$55,3,0)</f>
        <v>64.040000000000006</v>
      </c>
      <c r="BN33">
        <f>VLOOKUP(A33,MET!A$2:G$55,3,0)</f>
        <v>52.96</v>
      </c>
      <c r="BO33">
        <f>VLOOKUP(A33,MMM!A$2:G$55,3,0)</f>
        <v>142.38999999999999</v>
      </c>
      <c r="BP33">
        <f>VLOOKUP(A33,MO!A$2:G$55,3,0)</f>
        <v>42.26</v>
      </c>
      <c r="BQ33">
        <f>VLOOKUP(A33,MON!A$2:G$55,3,0)</f>
        <v>117.44</v>
      </c>
      <c r="BR33">
        <f>VLOOKUP(A33,MRK!A$2:G$55,3,0)</f>
        <v>58.79</v>
      </c>
      <c r="BS33">
        <f>VLOOKUP(A33,MS!A$2:G$55,3,0)</f>
        <v>32.26</v>
      </c>
      <c r="BT33">
        <f>VLOOKUP(A33,MSFT!A$2:G$55,3,0)</f>
        <v>44.42</v>
      </c>
      <c r="BU33">
        <f>VLOOKUP(A33,NKE!A$2:G$55,3,0)</f>
        <v>77.81</v>
      </c>
      <c r="BV33">
        <f>VLOOKUP(A33,NOV!A$2:G$55,3,0)</f>
        <v>82.7</v>
      </c>
      <c r="BW33">
        <f>VLOOKUP(A33,NSC!A$2:G$55,3,0)</f>
        <v>104.08</v>
      </c>
      <c r="BX33">
        <f>VLOOKUP(A33,ORCL!A$2:G$55,3,0)</f>
        <v>40.4</v>
      </c>
      <c r="BY33">
        <f>VLOOKUP(A33,OXY!A$2:G$55,3,0)</f>
        <v>100.82</v>
      </c>
      <c r="BZ33">
        <f>VLOOKUP(A33,PEP!A$2:G$55,3,0)</f>
        <v>92.08</v>
      </c>
      <c r="CA33">
        <f>VLOOKUP(A33,PFE!A$2:G$55,3,0)</f>
        <v>28.79</v>
      </c>
      <c r="CB33">
        <f>VLOOKUP(A33,PG!A$2:G$55,3,0)</f>
        <v>82.04</v>
      </c>
      <c r="CC33">
        <f>VLOOKUP(A33,PM!A$2:G$55,3,0)</f>
        <v>84.99</v>
      </c>
      <c r="CD33">
        <f>VLOOKUP(A33,QCOM!A$2:G$55,3,0)</f>
        <v>74.989999999999995</v>
      </c>
      <c r="CE33">
        <f>VLOOKUP(A33,RTN!A$2:G$55,3,0)</f>
        <v>93.88</v>
      </c>
      <c r="CF33">
        <f>VLOOKUP(A33,SBUX!A$2:G$55,3,0)</f>
        <v>77.5</v>
      </c>
      <c r="CG33">
        <f>VLOOKUP(A33,SLB!A$2:G$55,3,0)</f>
        <v>108.41</v>
      </c>
      <c r="CH33">
        <f>VLOOKUP(A33,SO!A$2:G$55,3,0)</f>
        <v>43.47</v>
      </c>
      <c r="CI33">
        <f>VLOOKUP(A33,SPG!A$2:G$55,3,0)</f>
        <v>169.28</v>
      </c>
      <c r="CJ33">
        <f>VLOOKUP(A33,T!A$2:G$55,3,0)</f>
        <v>34.93</v>
      </c>
      <c r="CK33">
        <f>VLOOKUP(A33,TGT!A$2:G$55,3,0)</f>
        <v>58.77</v>
      </c>
      <c r="CL33">
        <f>VLOOKUP(A33,TWX!A$2:G$55,3,0)</f>
        <v>76.739999999999995</v>
      </c>
      <c r="CM33">
        <f>VLOOKUP(A33,TXN!A$2:G$55,3,0)</f>
        <v>47.33</v>
      </c>
      <c r="CN33">
        <f>VLOOKUP(A33,UNH!A$2:G$55,3,0)</f>
        <v>82.07</v>
      </c>
      <c r="CO33">
        <f>VLOOKUP(A33,UNP!A$2:G$55,3,0)</f>
        <v>101.73</v>
      </c>
      <c r="CP33">
        <f>VLOOKUP(A33,UPS!A$2:G$55,3,0)</f>
        <v>96.31</v>
      </c>
      <c r="CQ33">
        <f>VLOOKUP(A33,USB!A$2:G$55,3,0)</f>
        <v>41.61</v>
      </c>
      <c r="CR33">
        <f>VLOOKUP(A33,UTX!A$2:G$55,3,0)</f>
        <v>106.05</v>
      </c>
      <c r="CS33">
        <f>VLOOKUP(A33,V!A$2:G$55,3,0)</f>
        <v>212.59</v>
      </c>
      <c r="CT33">
        <f>VLOOKUP(A33,VZ!A$2:G$55,3,0)</f>
        <v>49.02</v>
      </c>
      <c r="CU33">
        <f>VLOOKUP(A33,WAG!A$2:G$55,3,0)</f>
        <v>62.84</v>
      </c>
      <c r="CV33">
        <f>VLOOKUP(A33,WFC!A$2:G$55,3,0)</f>
        <v>50.49</v>
      </c>
      <c r="CW33">
        <f>VLOOKUP(A33,WMT!A$2:G$55,3,0)</f>
        <v>74.430000000000007</v>
      </c>
    </row>
    <row r="34" spans="1:101" x14ac:dyDescent="0.25">
      <c r="A34" s="34">
        <v>41866</v>
      </c>
      <c r="B34" s="36">
        <v>98.19</v>
      </c>
      <c r="C34">
        <f>VLOOKUP(A34,ABBV!A$2:G$55,3,0)</f>
        <v>54.59</v>
      </c>
      <c r="D34">
        <f>VLOOKUP(A34,ABT!A$2:G$55,3,0)</f>
        <v>42.65</v>
      </c>
      <c r="E34">
        <f>VLOOKUP(A34,ACN!A$2:G$55,3,0)</f>
        <v>79.930000000000007</v>
      </c>
      <c r="F34">
        <f>VLOOKUP(A34,AIG!A$2:G$55,3,0)</f>
        <v>54.37</v>
      </c>
      <c r="G34">
        <f>VLOOKUP(A34,ALL!A$2:G$55,3,0)</f>
        <v>61.12</v>
      </c>
      <c r="H34">
        <f>VLOOKUP(A34,AMGN!A$2:G$55,3,0)</f>
        <v>133.31</v>
      </c>
      <c r="I34">
        <f>VLOOKUP(A34,AMZN!A$2:G$55,3,0)</f>
        <v>335</v>
      </c>
      <c r="J34">
        <f>VLOOKUP(A34,APA!A$2:G$55,3,0)</f>
        <v>99.11</v>
      </c>
      <c r="K34">
        <f>VLOOKUP(A34,APC!A$2:G$55,3,0)</f>
        <v>108.29</v>
      </c>
      <c r="L34">
        <f>VLOOKUP(A34,AXP!A$2:G$55,3,0)</f>
        <v>87.88</v>
      </c>
      <c r="M34">
        <f>VLOOKUP(A34,BA!A$2:G$55,3,0)</f>
        <v>124.5</v>
      </c>
      <c r="N34">
        <f>VLOOKUP(A34,BAC!A$2:G$55,3,0)</f>
        <v>15.41</v>
      </c>
      <c r="O34">
        <f>VLOOKUP(A34,BAX!A$2:G$55,3,0)</f>
        <v>75.25</v>
      </c>
      <c r="P34">
        <f>VLOOKUP(A34,BIIB!A$2:G$55,3,0)</f>
        <v>343.03</v>
      </c>
      <c r="Q34">
        <f>VLOOKUP(A34,BK!A$2:G$55,3,0)</f>
        <v>38.54</v>
      </c>
      <c r="R34">
        <f>VLOOKUP(A34,BMY!A$2:G$55,3,0)</f>
        <v>50.18</v>
      </c>
      <c r="T34">
        <f>VLOOKUP(A34,'C'!A$2:G$55,3,0)</f>
        <v>49.48</v>
      </c>
      <c r="U34">
        <f>VLOOKUP(A34,CAT!A$2:G$55,3,0)</f>
        <v>106.42</v>
      </c>
      <c r="V34">
        <f>VLOOKUP(A34,CL!A$2:G$55,3,0)</f>
        <v>64.67</v>
      </c>
      <c r="W34">
        <f>VLOOKUP(A34,CMCSA!A$2:G$55,3,0)</f>
        <v>54.89</v>
      </c>
      <c r="X34">
        <f>VLOOKUP(A34,COF!A$2:G$55,3,0)</f>
        <v>80.239999999999995</v>
      </c>
      <c r="Y34">
        <f>VLOOKUP(A34,COP!A$2:G$55,3,0)</f>
        <v>80.89</v>
      </c>
      <c r="Z34">
        <f>VLOOKUP(A34,COST!A$2:G$55,3,0)</f>
        <v>119.95</v>
      </c>
      <c r="AA34">
        <f>VLOOKUP(A34,CSCO!A$2:G$55,3,0)</f>
        <v>24.66</v>
      </c>
      <c r="AB34">
        <f>VLOOKUP(A34,CVS!A$2:G$55,3,0)</f>
        <v>79.5</v>
      </c>
      <c r="AC34">
        <f>VLOOKUP(A34,CVX!A$2:G$55,3,0)</f>
        <v>126.79</v>
      </c>
      <c r="AD34">
        <f>VLOOKUP(A34,DD!A$2:G$55,3,0)</f>
        <v>65.75</v>
      </c>
      <c r="AE34">
        <f>VLOOKUP(A34,DIS!A$2:G$55,3,0)</f>
        <v>89.47</v>
      </c>
      <c r="AF34">
        <f>VLOOKUP(A34,DOW!A$2:G$55,3,0)</f>
        <v>52.52</v>
      </c>
      <c r="AG34">
        <f>VLOOKUP(A34,DVN!A$2:G$55,3,0)</f>
        <v>73.61</v>
      </c>
      <c r="AH34">
        <f>VLOOKUP(A34,EBAY!A$2:G$55,3,0)</f>
        <v>53.38</v>
      </c>
      <c r="AI34">
        <f>VLOOKUP(A34,EMC!A$2:G$55,3,0)</f>
        <v>29.89</v>
      </c>
      <c r="AJ34">
        <f>VLOOKUP(A34,EMR!A$2:G$55,3,0)</f>
        <v>63.41</v>
      </c>
      <c r="AK34">
        <f>VLOOKUP(A34,EXC!A$2:G$55,3,0)</f>
        <v>32.200000000000003</v>
      </c>
      <c r="AL34">
        <f>VLOOKUP(A34,F!A$2:G$55,3,0)</f>
        <v>17.489999999999998</v>
      </c>
      <c r="AM34">
        <f>VLOOKUP(A34,FB!A$2:G$55,3,0)</f>
        <v>74.650000000000006</v>
      </c>
      <c r="AN34">
        <f>VLOOKUP(A34,FCX!A$2:G$55,3,0)</f>
        <v>36.14</v>
      </c>
      <c r="AO34">
        <f>VLOOKUP(A34,FDX!A$2:G$55,3,0)</f>
        <v>150.24</v>
      </c>
      <c r="AP34">
        <f>VLOOKUP(A34,FOXA!A$2:G$55,3,0)</f>
        <v>36.11</v>
      </c>
      <c r="AQ34">
        <f>VLOOKUP(A34,GD!A$2:G$55,3,0)</f>
        <v>120</v>
      </c>
      <c r="AR34">
        <f>VLOOKUP(A34,GE!A$2:G$55,3,0)</f>
        <v>25.97</v>
      </c>
      <c r="AS34">
        <f>VLOOKUP(A34,GILD!A$2:G$55,3,0)</f>
        <v>99.49</v>
      </c>
      <c r="AT34">
        <f>VLOOKUP(A34,GM!A$2:G$55,3,0)</f>
        <v>34.159999999999997</v>
      </c>
      <c r="AU34">
        <f>VLOOKUP(A34,GOOG!A$2:G$55,3,0)</f>
        <v>579.38</v>
      </c>
      <c r="AV34">
        <f>VLOOKUP(A34,GOOGL!A$2:G$55,3,0)</f>
        <v>589.47</v>
      </c>
      <c r="AW34">
        <f>VLOOKUP(A34,GS!A$2:G$55,3,0)</f>
        <v>174.6</v>
      </c>
      <c r="AX34">
        <f>VLOOKUP(A34,HAL!A$2:G$55,3,0)</f>
        <v>68.47</v>
      </c>
      <c r="AY34">
        <f>VLOOKUP(A34,HD!A$2:G$55,3,0)</f>
        <v>84.09</v>
      </c>
      <c r="AZ34">
        <f>VLOOKUP(A34,HON!A$2:G$55,3,0)</f>
        <v>94.78</v>
      </c>
      <c r="BA34">
        <f>VLOOKUP(A34,HPQ!A$2:G$55,3,0)</f>
        <v>35.75</v>
      </c>
      <c r="BB34">
        <f>VLOOKUP(A34,IBM!A$2:G$55,3,0)</f>
        <v>188.88</v>
      </c>
      <c r="BC34">
        <f>VLOOKUP(A34,INTC!A$2:G$55,3,0)</f>
        <v>34.21</v>
      </c>
      <c r="BD34">
        <f>VLOOKUP(A34,JNJ!A$2:G$55,3,0)</f>
        <v>102.44</v>
      </c>
      <c r="BE34">
        <f>VLOOKUP(A34,JPM!A$2:G$55,3,0)</f>
        <v>57.5</v>
      </c>
      <c r="BF34">
        <f>VLOOKUP(A34,KO!A$2:G$55,3,0)</f>
        <v>41.15</v>
      </c>
      <c r="BG34">
        <f>VLOOKUP(A34,LLY!A$2:G$55,3,0)</f>
        <v>61.46</v>
      </c>
      <c r="BH34">
        <f>VLOOKUP(A34,LMT!A$2:G$55,3,0)</f>
        <v>170.5</v>
      </c>
      <c r="BI34">
        <f>VLOOKUP(A34,LOW!A$2:G$55,3,0)</f>
        <v>51.19</v>
      </c>
      <c r="BJ34">
        <f>VLOOKUP(A34,MA!A$2:G$55,3,0)</f>
        <v>76.569999999999993</v>
      </c>
      <c r="BK34">
        <f>VLOOKUP(A34,MCD!A$2:G$55,3,0)</f>
        <v>94.47</v>
      </c>
      <c r="BL34">
        <f>VLOOKUP(A34,MDLZ!A$2:G$55,3,0)</f>
        <v>36</v>
      </c>
      <c r="BM34">
        <f>VLOOKUP(A34,MDT!A$2:G$55,3,0)</f>
        <v>63.82</v>
      </c>
      <c r="BN34">
        <f>VLOOKUP(A34,MET!A$2:G$55,3,0)</f>
        <v>53.23</v>
      </c>
      <c r="BO34">
        <f>VLOOKUP(A34,MMM!A$2:G$55,3,0)</f>
        <v>142.97999999999999</v>
      </c>
      <c r="BP34">
        <f>VLOOKUP(A34,MO!A$2:G$55,3,0)</f>
        <v>42.47</v>
      </c>
      <c r="BQ34">
        <f>VLOOKUP(A34,MON!A$2:G$55,3,0)</f>
        <v>119.17</v>
      </c>
      <c r="BR34">
        <f>VLOOKUP(A34,MRK!A$2:G$55,3,0)</f>
        <v>59</v>
      </c>
      <c r="BS34">
        <f>VLOOKUP(A34,MS!A$2:G$55,3,0)</f>
        <v>32.71</v>
      </c>
      <c r="BT34">
        <f>VLOOKUP(A34,MSFT!A$2:G$55,3,0)</f>
        <v>44.9</v>
      </c>
      <c r="BU34">
        <f>VLOOKUP(A34,NKE!A$2:G$55,3,0)</f>
        <v>78</v>
      </c>
      <c r="BV34">
        <f>VLOOKUP(A34,NOV!A$2:G$55,3,0)</f>
        <v>82.2</v>
      </c>
      <c r="BW34">
        <f>VLOOKUP(A34,NSC!A$2:G$55,3,0)</f>
        <v>104.68</v>
      </c>
      <c r="BX34">
        <f>VLOOKUP(A34,ORCL!A$2:G$55,3,0)</f>
        <v>40.590000000000003</v>
      </c>
      <c r="BY34">
        <f>VLOOKUP(A34,OXY!A$2:G$55,3,0)</f>
        <v>100.61</v>
      </c>
      <c r="BZ34">
        <f>VLOOKUP(A34,PEP!A$2:G$55,3,0)</f>
        <v>92.75</v>
      </c>
      <c r="CA34">
        <f>VLOOKUP(A34,PFE!A$2:G$55,3,0)</f>
        <v>28.9</v>
      </c>
      <c r="CB34">
        <f>VLOOKUP(A34,PG!A$2:G$55,3,0)</f>
        <v>82.23</v>
      </c>
      <c r="CC34">
        <f>VLOOKUP(A34,PM!A$2:G$55,3,0)</f>
        <v>85.17</v>
      </c>
      <c r="CD34">
        <f>VLOOKUP(A34,QCOM!A$2:G$55,3,0)</f>
        <v>75.13</v>
      </c>
      <c r="CE34">
        <f>VLOOKUP(A34,RTN!A$2:G$55,3,0)</f>
        <v>93.98</v>
      </c>
      <c r="CF34">
        <f>VLOOKUP(A34,SBUX!A$2:G$55,3,0)</f>
        <v>77.28</v>
      </c>
      <c r="CG34">
        <f>VLOOKUP(A34,SLB!A$2:G$55,3,0)</f>
        <v>106.88</v>
      </c>
      <c r="CH34">
        <f>VLOOKUP(A34,SO!A$2:G$55,3,0)</f>
        <v>43.82</v>
      </c>
      <c r="CI34">
        <f>VLOOKUP(A34,SPG!A$2:G$55,3,0)</f>
        <v>169.41</v>
      </c>
      <c r="CJ34">
        <f>VLOOKUP(A34,T!A$2:G$55,3,0)</f>
        <v>34.97</v>
      </c>
      <c r="CK34">
        <f>VLOOKUP(A34,TGT!A$2:G$55,3,0)</f>
        <v>58.77</v>
      </c>
      <c r="CL34">
        <f>VLOOKUP(A34,TWX!A$2:G$55,3,0)</f>
        <v>76.989999999999995</v>
      </c>
      <c r="CM34">
        <f>VLOOKUP(A34,TXN!A$2:G$55,3,0)</f>
        <v>47.73</v>
      </c>
      <c r="CN34">
        <f>VLOOKUP(A34,UNH!A$2:G$55,3,0)</f>
        <v>82.28</v>
      </c>
      <c r="CO34">
        <f>VLOOKUP(A34,UNP!A$2:G$55,3,0)</f>
        <v>102.28</v>
      </c>
      <c r="CP34">
        <f>VLOOKUP(A34,UPS!A$2:G$55,3,0)</f>
        <v>97.03</v>
      </c>
      <c r="CQ34">
        <f>VLOOKUP(A34,USB!A$2:G$55,3,0)</f>
        <v>41.78</v>
      </c>
      <c r="CR34">
        <f>VLOOKUP(A34,UTX!A$2:G$55,3,0)</f>
        <v>106.36</v>
      </c>
      <c r="CS34">
        <f>VLOOKUP(A34,V!A$2:G$55,3,0)</f>
        <v>213.32</v>
      </c>
      <c r="CT34">
        <f>VLOOKUP(A34,VZ!A$2:G$55,3,0)</f>
        <v>49.05</v>
      </c>
      <c r="CU34">
        <f>VLOOKUP(A34,WAG!A$2:G$55,3,0)</f>
        <v>62.49</v>
      </c>
      <c r="CV34">
        <f>VLOOKUP(A34,WFC!A$2:G$55,3,0)</f>
        <v>50.62</v>
      </c>
      <c r="CW34">
        <f>VLOOKUP(A34,WMT!A$2:G$55,3,0)</f>
        <v>74.650000000000006</v>
      </c>
    </row>
    <row r="35" spans="1:101" x14ac:dyDescent="0.25">
      <c r="A35" s="34">
        <v>41869</v>
      </c>
      <c r="B35" s="36">
        <v>99.37</v>
      </c>
      <c r="C35">
        <f>VLOOKUP(A35,ABBV!A$2:G$55,3,0)</f>
        <v>54.52</v>
      </c>
      <c r="D35">
        <f>VLOOKUP(A35,ABT!A$2:G$55,3,0)</f>
        <v>42.62</v>
      </c>
      <c r="E35">
        <f>VLOOKUP(A35,ACN!A$2:G$55,3,0)</f>
        <v>79.98</v>
      </c>
      <c r="F35">
        <f>VLOOKUP(A35,AIG!A$2:G$55,3,0)</f>
        <v>54.55</v>
      </c>
      <c r="G35">
        <f>VLOOKUP(A35,ALL!A$2:G$55,3,0)</f>
        <v>61.3</v>
      </c>
      <c r="H35">
        <f>VLOOKUP(A35,AMGN!A$2:G$55,3,0)</f>
        <v>133.97999999999999</v>
      </c>
      <c r="I35">
        <f>VLOOKUP(A35,AMZN!A$2:G$55,3,0)</f>
        <v>337.8</v>
      </c>
      <c r="J35">
        <f>VLOOKUP(A35,APA!A$2:G$55,3,0)</f>
        <v>99.87</v>
      </c>
      <c r="K35">
        <f>VLOOKUP(A35,APC!A$2:G$55,3,0)</f>
        <v>108.93</v>
      </c>
      <c r="L35">
        <f>VLOOKUP(A35,AXP!A$2:G$55,3,0)</f>
        <v>87.48</v>
      </c>
      <c r="M35">
        <f>VLOOKUP(A35,BA!A$2:G$55,3,0)</f>
        <v>125.24</v>
      </c>
      <c r="N35">
        <f>VLOOKUP(A35,BAC!A$2:G$55,3,0)</f>
        <v>15.45</v>
      </c>
      <c r="O35">
        <f>VLOOKUP(A35,BAX!A$2:G$55,3,0)</f>
        <v>75.37</v>
      </c>
      <c r="P35">
        <f>VLOOKUP(A35,BIIB!A$2:G$55,3,0)</f>
        <v>348.4</v>
      </c>
      <c r="Q35">
        <f>VLOOKUP(A35,BK!A$2:G$55,3,0)</f>
        <v>38.68</v>
      </c>
      <c r="R35">
        <f>VLOOKUP(A35,BMY!A$2:G$55,3,0)</f>
        <v>50.13</v>
      </c>
      <c r="T35">
        <f>VLOOKUP(A35,'C'!A$2:G$55,3,0)</f>
        <v>49.58</v>
      </c>
      <c r="U35">
        <f>VLOOKUP(A35,CAT!A$2:G$55,3,0)</f>
        <v>107.1</v>
      </c>
      <c r="V35">
        <f>VLOOKUP(A35,CL!A$2:G$55,3,0)</f>
        <v>65</v>
      </c>
      <c r="W35">
        <f>VLOOKUP(A35,CMCSA!A$2:G$55,3,0)</f>
        <v>55.1</v>
      </c>
      <c r="X35">
        <f>VLOOKUP(A35,COF!A$2:G$55,3,0)</f>
        <v>80.42</v>
      </c>
      <c r="Y35">
        <f>VLOOKUP(A35,COP!A$2:G$55,3,0)</f>
        <v>80.95</v>
      </c>
      <c r="Z35">
        <f>VLOOKUP(A35,COST!A$2:G$55,3,0)</f>
        <v>119.68</v>
      </c>
      <c r="AA35">
        <f>VLOOKUP(A35,CSCO!A$2:G$55,3,0)</f>
        <v>24.66</v>
      </c>
      <c r="AB35">
        <f>VLOOKUP(A35,CVS!A$2:G$55,3,0)</f>
        <v>79.430000000000007</v>
      </c>
      <c r="AC35">
        <f>VLOOKUP(A35,CVX!A$2:G$55,3,0)</f>
        <v>126.59</v>
      </c>
      <c r="AD35">
        <f>VLOOKUP(A35,DD!A$2:G$55,3,0)</f>
        <v>65.95</v>
      </c>
      <c r="AE35">
        <f>VLOOKUP(A35,DIS!A$2:G$55,3,0)</f>
        <v>90.37</v>
      </c>
      <c r="AF35">
        <f>VLOOKUP(A35,DOW!A$2:G$55,3,0)</f>
        <v>52.89</v>
      </c>
      <c r="AG35">
        <f>VLOOKUP(A35,DVN!A$2:G$55,3,0)</f>
        <v>73.7</v>
      </c>
      <c r="AH35">
        <f>VLOOKUP(A35,EBAY!A$2:G$55,3,0)</f>
        <v>53.17</v>
      </c>
      <c r="AI35">
        <f>VLOOKUP(A35,EMC!A$2:G$55,3,0)</f>
        <v>30.13</v>
      </c>
      <c r="AJ35">
        <f>VLOOKUP(A35,EMR!A$2:G$55,3,0)</f>
        <v>63.84</v>
      </c>
      <c r="AK35">
        <f>VLOOKUP(A35,EXC!A$2:G$55,3,0)</f>
        <v>32.1</v>
      </c>
      <c r="AL35">
        <f>VLOOKUP(A35,F!A$2:G$55,3,0)</f>
        <v>17.52</v>
      </c>
      <c r="AM35">
        <f>VLOOKUP(A35,FB!A$2:G$55,3,0)</f>
        <v>74.72</v>
      </c>
      <c r="AN35">
        <f>VLOOKUP(A35,FCX!A$2:G$55,3,0)</f>
        <v>36.39</v>
      </c>
      <c r="AO35">
        <f>VLOOKUP(A35,FDX!A$2:G$55,3,0)</f>
        <v>150.44999999999999</v>
      </c>
      <c r="AP35">
        <f>VLOOKUP(A35,FOXA!A$2:G$55,3,0)</f>
        <v>36.24</v>
      </c>
      <c r="AQ35">
        <f>VLOOKUP(A35,GD!A$2:G$55,3,0)</f>
        <v>121.49</v>
      </c>
      <c r="AR35">
        <f>VLOOKUP(A35,GE!A$2:G$55,3,0)</f>
        <v>26.07</v>
      </c>
      <c r="AS35">
        <f>VLOOKUP(A35,GILD!A$2:G$55,3,0)</f>
        <v>101.5</v>
      </c>
      <c r="AT35">
        <f>VLOOKUP(A35,GM!A$2:G$55,3,0)</f>
        <v>34.44</v>
      </c>
      <c r="AU35">
        <f>VLOOKUP(A35,GOOG!A$2:G$55,3,0)</f>
        <v>584.51</v>
      </c>
      <c r="AV35">
        <f>VLOOKUP(A35,GOOGL!A$2:G$55,3,0)</f>
        <v>595.04999999999995</v>
      </c>
      <c r="AW35">
        <f>VLOOKUP(A35,GS!A$2:G$55,3,0)</f>
        <v>174.63</v>
      </c>
      <c r="AX35">
        <f>VLOOKUP(A35,HAL!A$2:G$55,3,0)</f>
        <v>69.27</v>
      </c>
      <c r="AY35">
        <f>VLOOKUP(A35,HD!A$2:G$55,3,0)</f>
        <v>84.62</v>
      </c>
      <c r="AZ35">
        <f>VLOOKUP(A35,HON!A$2:G$55,3,0)</f>
        <v>95.4</v>
      </c>
      <c r="BA35">
        <f>VLOOKUP(A35,HPQ!A$2:G$55,3,0)</f>
        <v>35.54</v>
      </c>
      <c r="BB35">
        <f>VLOOKUP(A35,IBM!A$2:G$55,3,0)</f>
        <v>189.81</v>
      </c>
      <c r="BC35">
        <f>VLOOKUP(A35,INTC!A$2:G$55,3,0)</f>
        <v>34.47</v>
      </c>
      <c r="BD35">
        <f>VLOOKUP(A35,JNJ!A$2:G$55,3,0)</f>
        <v>102.72</v>
      </c>
      <c r="BE35">
        <f>VLOOKUP(A35,JPM!A$2:G$55,3,0)</f>
        <v>57.43</v>
      </c>
      <c r="BF35">
        <f>VLOOKUP(A35,KO!A$2:G$55,3,0)</f>
        <v>41.42</v>
      </c>
      <c r="BG35">
        <f>VLOOKUP(A35,LLY!A$2:G$55,3,0)</f>
        <v>61.45</v>
      </c>
      <c r="BH35">
        <f>VLOOKUP(A35,LMT!A$2:G$55,3,0)</f>
        <v>172.1</v>
      </c>
      <c r="BI35">
        <f>VLOOKUP(A35,LOW!A$2:G$55,3,0)</f>
        <v>50.7</v>
      </c>
      <c r="BJ35">
        <f>VLOOKUP(A35,MA!A$2:G$55,3,0)</f>
        <v>76.819999999999993</v>
      </c>
      <c r="BK35">
        <f>VLOOKUP(A35,MCD!A$2:G$55,3,0)</f>
        <v>94.74</v>
      </c>
      <c r="BL35">
        <f>VLOOKUP(A35,MDLZ!A$2:G$55,3,0)</f>
        <v>36.08</v>
      </c>
      <c r="BM35">
        <f>VLOOKUP(A35,MDT!A$2:G$55,3,0)</f>
        <v>63.78</v>
      </c>
      <c r="BN35">
        <f>VLOOKUP(A35,MET!A$2:G$55,3,0)</f>
        <v>53.57</v>
      </c>
      <c r="BO35">
        <f>VLOOKUP(A35,MMM!A$2:G$55,3,0)</f>
        <v>144.19</v>
      </c>
      <c r="BP35">
        <f>VLOOKUP(A35,MO!A$2:G$55,3,0)</f>
        <v>42.59</v>
      </c>
      <c r="BQ35">
        <f>VLOOKUP(A35,MON!A$2:G$55,3,0)</f>
        <v>120.1</v>
      </c>
      <c r="BR35">
        <f>VLOOKUP(A35,MRK!A$2:G$55,3,0)</f>
        <v>58.87</v>
      </c>
      <c r="BS35">
        <f>VLOOKUP(A35,MS!A$2:G$55,3,0)</f>
        <v>32.74</v>
      </c>
      <c r="BT35">
        <f>VLOOKUP(A35,MSFT!A$2:G$55,3,0)</f>
        <v>45.11</v>
      </c>
      <c r="BU35">
        <f>VLOOKUP(A35,NKE!A$2:G$55,3,0)</f>
        <v>78.69</v>
      </c>
      <c r="BV35">
        <f>VLOOKUP(A35,NOV!A$2:G$55,3,0)</f>
        <v>82.86</v>
      </c>
      <c r="BW35">
        <f>VLOOKUP(A35,NSC!A$2:G$55,3,0)</f>
        <v>106.14</v>
      </c>
      <c r="BX35">
        <f>VLOOKUP(A35,ORCL!A$2:G$55,3,0)</f>
        <v>40.770000000000003</v>
      </c>
      <c r="BY35">
        <f>VLOOKUP(A35,OXY!A$2:G$55,3,0)</f>
        <v>100.91</v>
      </c>
      <c r="BZ35">
        <f>VLOOKUP(A35,PEP!A$2:G$55,3,0)</f>
        <v>92.52</v>
      </c>
      <c r="CA35">
        <f>VLOOKUP(A35,PFE!A$2:G$55,3,0)</f>
        <v>28.94</v>
      </c>
      <c r="CB35">
        <f>VLOOKUP(A35,PG!A$2:G$55,3,0)</f>
        <v>82.85</v>
      </c>
      <c r="CC35">
        <f>VLOOKUP(A35,PM!A$2:G$55,3,0)</f>
        <v>85.1</v>
      </c>
      <c r="CD35">
        <f>VLOOKUP(A35,QCOM!A$2:G$55,3,0)</f>
        <v>75.099999999999994</v>
      </c>
      <c r="CE35">
        <f>VLOOKUP(A35,RTN!A$2:G$55,3,0)</f>
        <v>94.98</v>
      </c>
      <c r="CF35">
        <f>VLOOKUP(A35,SBUX!A$2:G$55,3,0)</f>
        <v>77.86</v>
      </c>
      <c r="CG35">
        <f>VLOOKUP(A35,SLB!A$2:G$55,3,0)</f>
        <v>109.49</v>
      </c>
      <c r="CH35">
        <f>VLOOKUP(A35,SO!A$2:G$55,3,0)</f>
        <v>43.72</v>
      </c>
      <c r="CI35">
        <f>VLOOKUP(A35,SPG!A$2:G$55,3,0)</f>
        <v>170.42</v>
      </c>
      <c r="CJ35">
        <f>VLOOKUP(A35,T!A$2:G$55,3,0)</f>
        <v>34.9</v>
      </c>
      <c r="CK35">
        <f>VLOOKUP(A35,TGT!A$2:G$55,3,0)</f>
        <v>58.69</v>
      </c>
      <c r="CL35">
        <f>VLOOKUP(A35,TWX!A$2:G$55,3,0)</f>
        <v>77.25</v>
      </c>
      <c r="CM35">
        <f>VLOOKUP(A35,TXN!A$2:G$55,3,0)</f>
        <v>47.74</v>
      </c>
      <c r="CN35">
        <f>VLOOKUP(A35,UNH!A$2:G$55,3,0)</f>
        <v>82.48</v>
      </c>
      <c r="CO35">
        <f>VLOOKUP(A35,UNP!A$2:G$55,3,0)</f>
        <v>104.07</v>
      </c>
      <c r="CP35">
        <f>VLOOKUP(A35,UPS!A$2:G$55,3,0)</f>
        <v>97.79</v>
      </c>
      <c r="CQ35">
        <f>VLOOKUP(A35,USB!A$2:G$55,3,0)</f>
        <v>41.82</v>
      </c>
      <c r="CR35">
        <f>VLOOKUP(A35,UTX!A$2:G$55,3,0)</f>
        <v>108.12</v>
      </c>
      <c r="CS35">
        <f>VLOOKUP(A35,V!A$2:G$55,3,0)</f>
        <v>214.43</v>
      </c>
      <c r="CT35">
        <f>VLOOKUP(A35,VZ!A$2:G$55,3,0)</f>
        <v>49.14</v>
      </c>
      <c r="CU35">
        <f>VLOOKUP(A35,WAG!A$2:G$55,3,0)</f>
        <v>62.39</v>
      </c>
      <c r="CV35">
        <f>VLOOKUP(A35,WFC!A$2:G$55,3,0)</f>
        <v>50.73</v>
      </c>
      <c r="CW35">
        <f>VLOOKUP(A35,WMT!A$2:G$55,3,0)</f>
        <v>74.680000000000007</v>
      </c>
    </row>
    <row r="36" spans="1:101" x14ac:dyDescent="0.25">
      <c r="A36" s="34">
        <v>41870</v>
      </c>
      <c r="B36" s="36">
        <v>100.68</v>
      </c>
      <c r="C36">
        <f>VLOOKUP(A36,ABBV!A$2:G$55,3,0)</f>
        <v>55.31</v>
      </c>
      <c r="D36">
        <f>VLOOKUP(A36,ABT!A$2:G$55,3,0)</f>
        <v>42.62</v>
      </c>
      <c r="E36">
        <f>VLOOKUP(A36,ACN!A$2:G$55,3,0)</f>
        <v>80.5</v>
      </c>
      <c r="F36">
        <f>VLOOKUP(A36,AIG!A$2:G$55,3,0)</f>
        <v>54.9</v>
      </c>
      <c r="G36">
        <f>VLOOKUP(A36,ALL!A$2:G$55,3,0)</f>
        <v>61.29</v>
      </c>
      <c r="H36">
        <f>VLOOKUP(A36,AMGN!A$2:G$55,3,0)</f>
        <v>133.69</v>
      </c>
      <c r="I36">
        <f>VLOOKUP(A36,AMZN!A$2:G$55,3,0)</f>
        <v>335.81</v>
      </c>
      <c r="J36">
        <f>VLOOKUP(A36,APA!A$2:G$55,3,0)</f>
        <v>99.89</v>
      </c>
      <c r="K36">
        <f>VLOOKUP(A36,APC!A$2:G$55,3,0)</f>
        <v>110.18</v>
      </c>
      <c r="L36">
        <f>VLOOKUP(A36,AXP!A$2:G$55,3,0)</f>
        <v>88.28</v>
      </c>
      <c r="M36">
        <f>VLOOKUP(A36,BA!A$2:G$55,3,0)</f>
        <v>125.79</v>
      </c>
      <c r="N36">
        <f>VLOOKUP(A36,BAC!A$2:G$55,3,0)</f>
        <v>15.65</v>
      </c>
      <c r="O36">
        <f>VLOOKUP(A36,BAX!A$2:G$55,3,0)</f>
        <v>75.459999999999994</v>
      </c>
      <c r="P36">
        <f>VLOOKUP(A36,BIIB!A$2:G$55,3,0)</f>
        <v>348.49</v>
      </c>
      <c r="Q36">
        <f>VLOOKUP(A36,BK!A$2:G$55,3,0)</f>
        <v>38.65</v>
      </c>
      <c r="R36">
        <f>VLOOKUP(A36,BMY!A$2:G$55,3,0)</f>
        <v>50.3</v>
      </c>
      <c r="T36">
        <f>VLOOKUP(A36,'C'!A$2:G$55,3,0)</f>
        <v>50.25</v>
      </c>
      <c r="U36">
        <f>VLOOKUP(A36,CAT!A$2:G$55,3,0)</f>
        <v>107.7</v>
      </c>
      <c r="V36">
        <f>VLOOKUP(A36,CL!A$2:G$55,3,0)</f>
        <v>64.540000000000006</v>
      </c>
      <c r="W36">
        <f>VLOOKUP(A36,CMCSA!A$2:G$55,3,0)</f>
        <v>54.89</v>
      </c>
      <c r="X36">
        <f>VLOOKUP(A36,COF!A$2:G$55,3,0)</f>
        <v>80.680000000000007</v>
      </c>
      <c r="Y36">
        <f>VLOOKUP(A36,COP!A$2:G$55,3,0)</f>
        <v>80.180000000000007</v>
      </c>
      <c r="Z36">
        <f>VLOOKUP(A36,COST!A$2:G$55,3,0)</f>
        <v>120.75</v>
      </c>
      <c r="AA36">
        <f>VLOOKUP(A36,CSCO!A$2:G$55,3,0)</f>
        <v>24.69</v>
      </c>
      <c r="AB36">
        <f>VLOOKUP(A36,CVS!A$2:G$55,3,0)</f>
        <v>79.540000000000006</v>
      </c>
      <c r="AC36">
        <f>VLOOKUP(A36,CVX!A$2:G$55,3,0)</f>
        <v>127.7</v>
      </c>
      <c r="AD36">
        <f>VLOOKUP(A36,DD!A$2:G$55,3,0)</f>
        <v>66.31</v>
      </c>
      <c r="AE36">
        <f>VLOOKUP(A36,DIS!A$2:G$55,3,0)</f>
        <v>90.29</v>
      </c>
      <c r="AF36">
        <f>VLOOKUP(A36,DOW!A$2:G$55,3,0)</f>
        <v>53.2</v>
      </c>
      <c r="AG36">
        <f>VLOOKUP(A36,DVN!A$2:G$55,3,0)</f>
        <v>74.73</v>
      </c>
      <c r="AH36">
        <f>VLOOKUP(A36,EBAY!A$2:G$55,3,0)</f>
        <v>53.76</v>
      </c>
      <c r="AI36">
        <f>VLOOKUP(A36,EMC!A$2:G$55,3,0)</f>
        <v>29.96</v>
      </c>
      <c r="AJ36">
        <f>VLOOKUP(A36,EMR!A$2:G$55,3,0)</f>
        <v>64.19</v>
      </c>
      <c r="AK36">
        <f>VLOOKUP(A36,EXC!A$2:G$55,3,0)</f>
        <v>32</v>
      </c>
      <c r="AL36">
        <f>VLOOKUP(A36,F!A$2:G$55,3,0)</f>
        <v>17.52</v>
      </c>
      <c r="AM36">
        <f>VLOOKUP(A36,FB!A$2:G$55,3,0)</f>
        <v>75.58</v>
      </c>
      <c r="AN36">
        <f>VLOOKUP(A36,FCX!A$2:G$55,3,0)</f>
        <v>36.57</v>
      </c>
      <c r="AO36">
        <f>VLOOKUP(A36,FDX!A$2:G$55,3,0)</f>
        <v>150.6</v>
      </c>
      <c r="AP36">
        <f>VLOOKUP(A36,FOXA!A$2:G$55,3,0)</f>
        <v>36.04</v>
      </c>
      <c r="AQ36">
        <f>VLOOKUP(A36,GD!A$2:G$55,3,0)</f>
        <v>121.98</v>
      </c>
      <c r="AR36">
        <f>VLOOKUP(A36,GE!A$2:G$55,3,0)</f>
        <v>26.16</v>
      </c>
      <c r="AS36">
        <f>VLOOKUP(A36,GILD!A$2:G$55,3,0)</f>
        <v>101.65</v>
      </c>
      <c r="AT36">
        <f>VLOOKUP(A36,GM!A$2:G$55,3,0)</f>
        <v>34.75</v>
      </c>
      <c r="AU36">
        <f>VLOOKUP(A36,GOOG!A$2:G$55,3,0)</f>
        <v>587.34</v>
      </c>
      <c r="AV36">
        <f>VLOOKUP(A36,GOOGL!A$2:G$55,3,0)</f>
        <v>597.80999999999995</v>
      </c>
      <c r="AW36">
        <f>VLOOKUP(A36,GS!A$2:G$55,3,0)</f>
        <v>175.1</v>
      </c>
      <c r="AX36">
        <f>VLOOKUP(A36,HAL!A$2:G$55,3,0)</f>
        <v>69.459999999999994</v>
      </c>
      <c r="AY36">
        <f>VLOOKUP(A36,HD!A$2:G$55,3,0)</f>
        <v>88.99</v>
      </c>
      <c r="AZ36">
        <f>VLOOKUP(A36,HON!A$2:G$55,3,0)</f>
        <v>95.15</v>
      </c>
      <c r="BA36">
        <f>VLOOKUP(A36,HPQ!A$2:G$55,3,0)</f>
        <v>35.770000000000003</v>
      </c>
      <c r="BB36">
        <f>VLOOKUP(A36,IBM!A$2:G$55,3,0)</f>
        <v>190.25</v>
      </c>
      <c r="BC36">
        <f>VLOOKUP(A36,INTC!A$2:G$55,3,0)</f>
        <v>34.5</v>
      </c>
      <c r="BD36">
        <f>VLOOKUP(A36,JNJ!A$2:G$55,3,0)</f>
        <v>102.96</v>
      </c>
      <c r="BE36">
        <f>VLOOKUP(A36,JPM!A$2:G$55,3,0)</f>
        <v>57.72</v>
      </c>
      <c r="BF36">
        <f>VLOOKUP(A36,KO!A$2:G$55,3,0)</f>
        <v>41.48</v>
      </c>
      <c r="BG36">
        <f>VLOOKUP(A36,LLY!A$2:G$55,3,0)</f>
        <v>62.36</v>
      </c>
      <c r="BH36">
        <f>VLOOKUP(A36,LMT!A$2:G$55,3,0)</f>
        <v>172.4</v>
      </c>
      <c r="BI36">
        <f>VLOOKUP(A36,LOW!A$2:G$55,3,0)</f>
        <v>52</v>
      </c>
      <c r="BJ36">
        <f>VLOOKUP(A36,MA!A$2:G$55,3,0)</f>
        <v>76.8</v>
      </c>
      <c r="BK36">
        <f>VLOOKUP(A36,MCD!A$2:G$55,3,0)</f>
        <v>94.75</v>
      </c>
      <c r="BL36">
        <f>VLOOKUP(A36,MDLZ!A$2:G$55,3,0)</f>
        <v>36.35</v>
      </c>
      <c r="BM36">
        <f>VLOOKUP(A36,MDT!A$2:G$55,3,0)</f>
        <v>64.069999999999993</v>
      </c>
      <c r="BN36">
        <f>VLOOKUP(A36,MET!A$2:G$55,3,0)</f>
        <v>53.93</v>
      </c>
      <c r="BO36">
        <f>VLOOKUP(A36,MMM!A$2:G$55,3,0)</f>
        <v>145.01</v>
      </c>
      <c r="BP36">
        <f>VLOOKUP(A36,MO!A$2:G$55,3,0)</f>
        <v>42.71</v>
      </c>
      <c r="BQ36">
        <f>VLOOKUP(A36,MON!A$2:G$55,3,0)</f>
        <v>120.14</v>
      </c>
      <c r="BR36">
        <f>VLOOKUP(A36,MRK!A$2:G$55,3,0)</f>
        <v>58.95</v>
      </c>
      <c r="BS36">
        <f>VLOOKUP(A36,MS!A$2:G$55,3,0)</f>
        <v>32.840000000000003</v>
      </c>
      <c r="BT36">
        <f>VLOOKUP(A36,MSFT!A$2:G$55,3,0)</f>
        <v>45.34</v>
      </c>
      <c r="BU36">
        <f>VLOOKUP(A36,NKE!A$2:G$55,3,0)</f>
        <v>79.09</v>
      </c>
      <c r="BV36">
        <f>VLOOKUP(A36,NOV!A$2:G$55,3,0)</f>
        <v>84.14</v>
      </c>
      <c r="BW36">
        <f>VLOOKUP(A36,NSC!A$2:G$55,3,0)</f>
        <v>106.59</v>
      </c>
      <c r="BX36">
        <f>VLOOKUP(A36,ORCL!A$2:G$55,3,0)</f>
        <v>41.58</v>
      </c>
      <c r="BY36">
        <f>VLOOKUP(A36,OXY!A$2:G$55,3,0)</f>
        <v>102.11</v>
      </c>
      <c r="BZ36">
        <f>VLOOKUP(A36,PEP!A$2:G$55,3,0)</f>
        <v>92.36</v>
      </c>
      <c r="CA36">
        <f>VLOOKUP(A36,PFE!A$2:G$55,3,0)</f>
        <v>29.03</v>
      </c>
      <c r="CB36">
        <f>VLOOKUP(A36,PG!A$2:G$55,3,0)</f>
        <v>82.87</v>
      </c>
      <c r="CC36">
        <f>VLOOKUP(A36,PM!A$2:G$55,3,0)</f>
        <v>85.47</v>
      </c>
      <c r="CD36">
        <f>VLOOKUP(A36,QCOM!A$2:G$55,3,0)</f>
        <v>75.22</v>
      </c>
      <c r="CE36">
        <f>VLOOKUP(A36,RTN!A$2:G$55,3,0)</f>
        <v>95.22</v>
      </c>
      <c r="CF36">
        <f>VLOOKUP(A36,SBUX!A$2:G$55,3,0)</f>
        <v>78.2</v>
      </c>
      <c r="CG36">
        <f>VLOOKUP(A36,SLB!A$2:G$55,3,0)</f>
        <v>109.65</v>
      </c>
      <c r="CH36">
        <f>VLOOKUP(A36,SO!A$2:G$55,3,0)</f>
        <v>43.81</v>
      </c>
      <c r="CI36">
        <f>VLOOKUP(A36,SPG!A$2:G$55,3,0)</f>
        <v>170.36</v>
      </c>
      <c r="CJ36">
        <f>VLOOKUP(A36,T!A$2:G$55,3,0)</f>
        <v>34.69</v>
      </c>
      <c r="CK36">
        <f>VLOOKUP(A36,TGT!A$2:G$55,3,0)</f>
        <v>59.41</v>
      </c>
      <c r="CL36">
        <f>VLOOKUP(A36,TWX!A$2:G$55,3,0)</f>
        <v>77.19</v>
      </c>
      <c r="CM36">
        <f>VLOOKUP(A36,TXN!A$2:G$55,3,0)</f>
        <v>47.92</v>
      </c>
      <c r="CN36">
        <f>VLOOKUP(A36,UNH!A$2:G$55,3,0)</f>
        <v>83.76</v>
      </c>
      <c r="CO36">
        <f>VLOOKUP(A36,UNP!A$2:G$55,3,0)</f>
        <v>104.75</v>
      </c>
      <c r="CP36">
        <f>VLOOKUP(A36,UPS!A$2:G$55,3,0)</f>
        <v>98.56</v>
      </c>
      <c r="CQ36">
        <f>VLOOKUP(A36,USB!A$2:G$55,3,0)</f>
        <v>41.87</v>
      </c>
      <c r="CR36">
        <f>VLOOKUP(A36,UTX!A$2:G$55,3,0)</f>
        <v>108.58</v>
      </c>
      <c r="CS36">
        <f>VLOOKUP(A36,V!A$2:G$55,3,0)</f>
        <v>215.69</v>
      </c>
      <c r="CT36">
        <f>VLOOKUP(A36,VZ!A$2:G$55,3,0)</f>
        <v>49.04</v>
      </c>
      <c r="CU36">
        <f>VLOOKUP(A36,WAG!A$2:G$55,3,0)</f>
        <v>62.47</v>
      </c>
      <c r="CV36">
        <f>VLOOKUP(A36,WFC!A$2:G$55,3,0)</f>
        <v>51.09</v>
      </c>
      <c r="CW36">
        <f>VLOOKUP(A36,WMT!A$2:G$55,3,0)</f>
        <v>74.94</v>
      </c>
    </row>
    <row r="37" spans="1:101" x14ac:dyDescent="0.25">
      <c r="A37" s="34">
        <v>41871</v>
      </c>
      <c r="B37" s="36">
        <v>101.09</v>
      </c>
      <c r="C37">
        <f>VLOOKUP(A37,ABBV!A$2:G$55,3,0)</f>
        <v>55.18</v>
      </c>
      <c r="D37">
        <f>VLOOKUP(A37,ABT!A$2:G$55,3,0)</f>
        <v>42.49</v>
      </c>
      <c r="E37">
        <f>VLOOKUP(A37,ACN!A$2:G$55,3,0)</f>
        <v>80.489999999999995</v>
      </c>
      <c r="F37">
        <f>VLOOKUP(A37,AIG!A$2:G$55,3,0)</f>
        <v>55.01</v>
      </c>
      <c r="G37">
        <f>VLOOKUP(A37,ALL!A$2:G$55,3,0)</f>
        <v>61.44</v>
      </c>
      <c r="H37">
        <f>VLOOKUP(A37,AMGN!A$2:G$55,3,0)</f>
        <v>133.27000000000001</v>
      </c>
      <c r="I37">
        <f>VLOOKUP(A37,AMZN!A$2:G$55,3,0)</f>
        <v>337.16</v>
      </c>
      <c r="J37">
        <f>VLOOKUP(A37,APA!A$2:G$55,3,0)</f>
        <v>100.47</v>
      </c>
      <c r="K37">
        <f>VLOOKUP(A37,APC!A$2:G$55,3,0)</f>
        <v>110.23</v>
      </c>
      <c r="L37">
        <f>VLOOKUP(A37,AXP!A$2:G$55,3,0)</f>
        <v>88.65</v>
      </c>
      <c r="M37">
        <f>VLOOKUP(A37,BA!A$2:G$55,3,0)</f>
        <v>127.71</v>
      </c>
      <c r="N37">
        <f>VLOOKUP(A37,BAC!A$2:G$55,3,0)</f>
        <v>15.63</v>
      </c>
      <c r="O37">
        <f>VLOOKUP(A37,BAX!A$2:G$55,3,0)</f>
        <v>75.41</v>
      </c>
      <c r="P37">
        <f>VLOOKUP(A37,BIIB!A$2:G$55,3,0)</f>
        <v>345.46</v>
      </c>
      <c r="Q37">
        <f>VLOOKUP(A37,BK!A$2:G$55,3,0)</f>
        <v>38.869999999999997</v>
      </c>
      <c r="R37">
        <f>VLOOKUP(A37,BMY!A$2:G$55,3,0)</f>
        <v>50.29</v>
      </c>
      <c r="T37">
        <f>VLOOKUP(A37,'C'!A$2:G$55,3,0)</f>
        <v>49.92</v>
      </c>
      <c r="U37">
        <f>VLOOKUP(A37,CAT!A$2:G$55,3,0)</f>
        <v>108.15</v>
      </c>
      <c r="V37">
        <f>VLOOKUP(A37,CL!A$2:G$55,3,0)</f>
        <v>64.81</v>
      </c>
      <c r="W37">
        <f>VLOOKUP(A37,CMCSA!A$2:G$55,3,0)</f>
        <v>54.79</v>
      </c>
      <c r="X37">
        <f>VLOOKUP(A37,COF!A$2:G$55,3,0)</f>
        <v>81.02</v>
      </c>
      <c r="Y37">
        <f>VLOOKUP(A37,COP!A$2:G$55,3,0)</f>
        <v>80.599999999999994</v>
      </c>
      <c r="Z37">
        <f>VLOOKUP(A37,COST!A$2:G$55,3,0)</f>
        <v>121.23</v>
      </c>
      <c r="AA37">
        <f>VLOOKUP(A37,CSCO!A$2:G$55,3,0)</f>
        <v>24.75</v>
      </c>
      <c r="AB37">
        <f>VLOOKUP(A37,CVS!A$2:G$55,3,0)</f>
        <v>79.760000000000005</v>
      </c>
      <c r="AC37">
        <f>VLOOKUP(A37,CVX!A$2:G$55,3,0)</f>
        <v>127.6</v>
      </c>
      <c r="AD37">
        <f>VLOOKUP(A37,DD!A$2:G$55,3,0)</f>
        <v>66.400000000000006</v>
      </c>
      <c r="AE37">
        <f>VLOOKUP(A37,DIS!A$2:G$55,3,0)</f>
        <v>90.05</v>
      </c>
      <c r="AF37">
        <f>VLOOKUP(A37,DOW!A$2:G$55,3,0)</f>
        <v>53.4</v>
      </c>
      <c r="AG37">
        <f>VLOOKUP(A37,DVN!A$2:G$55,3,0)</f>
        <v>74.349999999999994</v>
      </c>
      <c r="AH37">
        <f>VLOOKUP(A37,EBAY!A$2:G$55,3,0)</f>
        <v>53.67</v>
      </c>
      <c r="AI37">
        <f>VLOOKUP(A37,EMC!A$2:G$55,3,0)</f>
        <v>29.82</v>
      </c>
      <c r="AJ37">
        <f>VLOOKUP(A37,EMR!A$2:G$55,3,0)</f>
        <v>64.58</v>
      </c>
      <c r="AK37">
        <f>VLOOKUP(A37,EXC!A$2:G$55,3,0)</f>
        <v>32.020000000000003</v>
      </c>
      <c r="AL37">
        <f>VLOOKUP(A37,F!A$2:G$55,3,0)</f>
        <v>17.43</v>
      </c>
      <c r="AM37">
        <f>VLOOKUP(A37,FB!A$2:G$55,3,0)</f>
        <v>75.180000000000007</v>
      </c>
      <c r="AN37">
        <f>VLOOKUP(A37,FCX!A$2:G$55,3,0)</f>
        <v>37.1</v>
      </c>
      <c r="AO37">
        <f>VLOOKUP(A37,FDX!A$2:G$55,3,0)</f>
        <v>150.96</v>
      </c>
      <c r="AP37">
        <f>VLOOKUP(A37,FOXA!A$2:G$55,3,0)</f>
        <v>36.08</v>
      </c>
      <c r="AQ37">
        <f>VLOOKUP(A37,GD!A$2:G$55,3,0)</f>
        <v>123.75</v>
      </c>
      <c r="AR37">
        <f>VLOOKUP(A37,GE!A$2:G$55,3,0)</f>
        <v>26.4</v>
      </c>
      <c r="AS37">
        <f>VLOOKUP(A37,GILD!A$2:G$55,3,0)</f>
        <v>102.57</v>
      </c>
      <c r="AT37">
        <f>VLOOKUP(A37,GM!A$2:G$55,3,0)</f>
        <v>34.72</v>
      </c>
      <c r="AU37">
        <f>VLOOKUP(A37,GOOG!A$2:G$55,3,0)</f>
        <v>586.70000000000005</v>
      </c>
      <c r="AV37">
        <f>VLOOKUP(A37,GOOGL!A$2:G$55,3,0)</f>
        <v>596.99</v>
      </c>
      <c r="AW37">
        <f>VLOOKUP(A37,GS!A$2:G$55,3,0)</f>
        <v>174.18</v>
      </c>
      <c r="AX37">
        <f>VLOOKUP(A37,HAL!A$2:G$55,3,0)</f>
        <v>69</v>
      </c>
      <c r="AY37">
        <f>VLOOKUP(A37,HD!A$2:G$55,3,0)</f>
        <v>91.07</v>
      </c>
      <c r="AZ37">
        <f>VLOOKUP(A37,HON!A$2:G$55,3,0)</f>
        <v>95.98</v>
      </c>
      <c r="BA37">
        <f>VLOOKUP(A37,HPQ!A$2:G$55,3,0)</f>
        <v>35.72</v>
      </c>
      <c r="BB37">
        <f>VLOOKUP(A37,IBM!A$2:G$55,3,0)</f>
        <v>190.39</v>
      </c>
      <c r="BC37">
        <f>VLOOKUP(A37,INTC!A$2:G$55,3,0)</f>
        <v>34.51</v>
      </c>
      <c r="BD37">
        <f>VLOOKUP(A37,JNJ!A$2:G$55,3,0)</f>
        <v>103.3</v>
      </c>
      <c r="BE37">
        <f>VLOOKUP(A37,JPM!A$2:G$55,3,0)</f>
        <v>57.85</v>
      </c>
      <c r="BF37">
        <f>VLOOKUP(A37,KO!A$2:G$55,3,0)</f>
        <v>41.34</v>
      </c>
      <c r="BG37">
        <f>VLOOKUP(A37,LLY!A$2:G$55,3,0)</f>
        <v>62.24</v>
      </c>
      <c r="BH37">
        <f>VLOOKUP(A37,LMT!A$2:G$55,3,0)</f>
        <v>175.47</v>
      </c>
      <c r="BI37">
        <f>VLOOKUP(A37,LOW!A$2:G$55,3,0)</f>
        <v>52.66</v>
      </c>
      <c r="BJ37">
        <f>VLOOKUP(A37,MA!A$2:G$55,3,0)</f>
        <v>76.48</v>
      </c>
      <c r="BK37">
        <f>VLOOKUP(A37,MCD!A$2:G$55,3,0)</f>
        <v>94.66</v>
      </c>
      <c r="BL37">
        <f>VLOOKUP(A37,MDLZ!A$2:G$55,3,0)</f>
        <v>36.29</v>
      </c>
      <c r="BM37">
        <f>VLOOKUP(A37,MDT!A$2:G$55,3,0)</f>
        <v>64.349999999999994</v>
      </c>
      <c r="BN37">
        <f>VLOOKUP(A37,MET!A$2:G$55,3,0)</f>
        <v>53.88</v>
      </c>
      <c r="BO37">
        <f>VLOOKUP(A37,MMM!A$2:G$55,3,0)</f>
        <v>144.82</v>
      </c>
      <c r="BP37">
        <f>VLOOKUP(A37,MO!A$2:G$55,3,0)</f>
        <v>42.72</v>
      </c>
      <c r="BQ37">
        <f>VLOOKUP(A37,MON!A$2:G$55,3,0)</f>
        <v>121</v>
      </c>
      <c r="BR37">
        <f>VLOOKUP(A37,MRK!A$2:G$55,3,0)</f>
        <v>59.57</v>
      </c>
      <c r="BS37">
        <f>VLOOKUP(A37,MS!A$2:G$55,3,0)</f>
        <v>32.65</v>
      </c>
      <c r="BT37">
        <f>VLOOKUP(A37,MSFT!A$2:G$55,3,0)</f>
        <v>45.4</v>
      </c>
      <c r="BU37">
        <f>VLOOKUP(A37,NKE!A$2:G$55,3,0)</f>
        <v>79.08</v>
      </c>
      <c r="BV37">
        <f>VLOOKUP(A37,NOV!A$2:G$55,3,0)</f>
        <v>83.87</v>
      </c>
      <c r="BW37">
        <f>VLOOKUP(A37,NSC!A$2:G$55,3,0)</f>
        <v>106.92</v>
      </c>
      <c r="BX37">
        <f>VLOOKUP(A37,ORCL!A$2:G$55,3,0)</f>
        <v>41.58</v>
      </c>
      <c r="BY37">
        <f>VLOOKUP(A37,OXY!A$2:G$55,3,0)</f>
        <v>101.9</v>
      </c>
      <c r="BZ37">
        <f>VLOOKUP(A37,PEP!A$2:G$55,3,0)</f>
        <v>92.44</v>
      </c>
      <c r="CA37">
        <f>VLOOKUP(A37,PFE!A$2:G$55,3,0)</f>
        <v>28.98</v>
      </c>
      <c r="CB37">
        <f>VLOOKUP(A37,PG!A$2:G$55,3,0)</f>
        <v>82.94</v>
      </c>
      <c r="CC37">
        <f>VLOOKUP(A37,PM!A$2:G$55,3,0)</f>
        <v>85.37</v>
      </c>
      <c r="CD37">
        <f>VLOOKUP(A37,QCOM!A$2:G$55,3,0)</f>
        <v>76.64</v>
      </c>
      <c r="CE37">
        <f>VLOOKUP(A37,RTN!A$2:G$55,3,0)</f>
        <v>96.85</v>
      </c>
      <c r="CF37">
        <f>VLOOKUP(A37,SBUX!A$2:G$55,3,0)</f>
        <v>78.47</v>
      </c>
      <c r="CG37">
        <f>VLOOKUP(A37,SLB!A$2:G$55,3,0)</f>
        <v>110.03</v>
      </c>
      <c r="CH37">
        <f>VLOOKUP(A37,SO!A$2:G$55,3,0)</f>
        <v>43.84</v>
      </c>
      <c r="CI37">
        <f>VLOOKUP(A37,SPG!A$2:G$55,3,0)</f>
        <v>171</v>
      </c>
      <c r="CJ37">
        <f>VLOOKUP(A37,T!A$2:G$55,3,0)</f>
        <v>34.56</v>
      </c>
      <c r="CK37">
        <f>VLOOKUP(A37,TGT!A$2:G$55,3,0)</f>
        <v>60.79</v>
      </c>
      <c r="CL37">
        <f>VLOOKUP(A37,TWX!A$2:G$55,3,0)</f>
        <v>77.47</v>
      </c>
      <c r="CM37">
        <f>VLOOKUP(A37,TXN!A$2:G$55,3,0)</f>
        <v>47.99</v>
      </c>
      <c r="CN37">
        <f>VLOOKUP(A37,UNH!A$2:G$55,3,0)</f>
        <v>83.75</v>
      </c>
      <c r="CO37">
        <f>VLOOKUP(A37,UNP!A$2:G$55,3,0)</f>
        <v>105.87</v>
      </c>
      <c r="CP37">
        <f>VLOOKUP(A37,UPS!A$2:G$55,3,0)</f>
        <v>99.08</v>
      </c>
      <c r="CQ37">
        <f>VLOOKUP(A37,USB!A$2:G$55,3,0)</f>
        <v>41.78</v>
      </c>
      <c r="CR37">
        <f>VLOOKUP(A37,UTX!A$2:G$55,3,0)</f>
        <v>109.87</v>
      </c>
      <c r="CS37">
        <f>VLOOKUP(A37,V!A$2:G$55,3,0)</f>
        <v>216.44</v>
      </c>
      <c r="CT37">
        <f>VLOOKUP(A37,VZ!A$2:G$55,3,0)</f>
        <v>48.97</v>
      </c>
      <c r="CU37">
        <f>VLOOKUP(A37,WAG!A$2:G$55,3,0)</f>
        <v>62.3</v>
      </c>
      <c r="CV37">
        <f>VLOOKUP(A37,WFC!A$2:G$55,3,0)</f>
        <v>50.94</v>
      </c>
      <c r="CW37">
        <f>VLOOKUP(A37,WMT!A$2:G$55,3,0)</f>
        <v>75.05</v>
      </c>
    </row>
    <row r="38" spans="1:101" x14ac:dyDescent="0.25">
      <c r="A38" s="34">
        <v>41872</v>
      </c>
      <c r="B38" s="36">
        <v>100.94</v>
      </c>
      <c r="C38">
        <f>VLOOKUP(A38,ABBV!A$2:G$55,3,0)</f>
        <v>55.12</v>
      </c>
      <c r="D38">
        <f>VLOOKUP(A38,ABT!A$2:G$55,3,0)</f>
        <v>42.52</v>
      </c>
      <c r="E38">
        <f>VLOOKUP(A38,ACN!A$2:G$55,3,0)</f>
        <v>81.03</v>
      </c>
      <c r="F38">
        <f>VLOOKUP(A38,AIG!A$2:G$55,3,0)</f>
        <v>55.75</v>
      </c>
      <c r="G38">
        <f>VLOOKUP(A38,ALL!A$2:G$55,3,0)</f>
        <v>61.56</v>
      </c>
      <c r="H38">
        <f>VLOOKUP(A38,AMGN!A$2:G$55,3,0)</f>
        <v>133.01</v>
      </c>
      <c r="I38">
        <f>VLOOKUP(A38,AMZN!A$2:G$55,3,0)</f>
        <v>336.58</v>
      </c>
      <c r="J38">
        <f>VLOOKUP(A38,APA!A$2:G$55,3,0)</f>
        <v>101.42</v>
      </c>
      <c r="K38">
        <f>VLOOKUP(A38,APC!A$2:G$55,3,0)</f>
        <v>110.93</v>
      </c>
      <c r="L38">
        <f>VLOOKUP(A38,AXP!A$2:G$55,3,0)</f>
        <v>89.33</v>
      </c>
      <c r="M38">
        <f>VLOOKUP(A38,BA!A$2:G$55,3,0)</f>
        <v>127.78</v>
      </c>
      <c r="N38">
        <f>VLOOKUP(A38,BAC!A$2:G$55,3,0)</f>
        <v>16.22</v>
      </c>
      <c r="O38">
        <f>VLOOKUP(A38,BAX!A$2:G$55,3,0)</f>
        <v>76.34</v>
      </c>
      <c r="P38">
        <f>VLOOKUP(A38,BIIB!A$2:G$55,3,0)</f>
        <v>344.42</v>
      </c>
      <c r="Q38">
        <f>VLOOKUP(A38,BK!A$2:G$55,3,0)</f>
        <v>39.25</v>
      </c>
      <c r="R38">
        <f>VLOOKUP(A38,BMY!A$2:G$55,3,0)</f>
        <v>50.24</v>
      </c>
      <c r="T38">
        <f>VLOOKUP(A38,'C'!A$2:G$55,3,0)</f>
        <v>51.22</v>
      </c>
      <c r="U38">
        <f>VLOOKUP(A38,CAT!A$2:G$55,3,0)</f>
        <v>108.57</v>
      </c>
      <c r="V38">
        <f>VLOOKUP(A38,CL!A$2:G$55,3,0)</f>
        <v>65.010000000000005</v>
      </c>
      <c r="W38">
        <f>VLOOKUP(A38,CMCSA!A$2:G$55,3,0)</f>
        <v>54.83</v>
      </c>
      <c r="X38">
        <f>VLOOKUP(A38,COF!A$2:G$55,3,0)</f>
        <v>81.819999999999993</v>
      </c>
      <c r="Y38">
        <f>VLOOKUP(A38,COP!A$2:G$55,3,0)</f>
        <v>81.069999999999993</v>
      </c>
      <c r="Z38">
        <f>VLOOKUP(A38,COST!A$2:G$55,3,0)</f>
        <v>121.88</v>
      </c>
      <c r="AA38">
        <f>VLOOKUP(A38,CSCO!A$2:G$55,3,0)</f>
        <v>24.91</v>
      </c>
      <c r="AB38">
        <f>VLOOKUP(A38,CVS!A$2:G$55,3,0)</f>
        <v>79.819999999999993</v>
      </c>
      <c r="AC38">
        <f>VLOOKUP(A38,CVX!A$2:G$55,3,0)</f>
        <v>128.18</v>
      </c>
      <c r="AD38">
        <f>VLOOKUP(A38,DD!A$2:G$55,3,0)</f>
        <v>66.62</v>
      </c>
      <c r="AE38">
        <f>VLOOKUP(A38,DIS!A$2:G$55,3,0)</f>
        <v>90.53</v>
      </c>
      <c r="AF38">
        <f>VLOOKUP(A38,DOW!A$2:G$55,3,0)</f>
        <v>53.47</v>
      </c>
      <c r="AG38">
        <f>VLOOKUP(A38,DVN!A$2:G$55,3,0)</f>
        <v>74.989999999999995</v>
      </c>
      <c r="AH38">
        <f>VLOOKUP(A38,EBAY!A$2:G$55,3,0)</f>
        <v>57.05</v>
      </c>
      <c r="AI38">
        <f>VLOOKUP(A38,EMC!A$2:G$55,3,0)</f>
        <v>29.95</v>
      </c>
      <c r="AJ38">
        <f>VLOOKUP(A38,EMR!A$2:G$55,3,0)</f>
        <v>64.7</v>
      </c>
      <c r="AK38">
        <f>VLOOKUP(A38,EXC!A$2:G$55,3,0)</f>
        <v>32.49</v>
      </c>
      <c r="AL38">
        <f>VLOOKUP(A38,F!A$2:G$55,3,0)</f>
        <v>17.489999999999998</v>
      </c>
      <c r="AM38">
        <f>VLOOKUP(A38,FB!A$2:G$55,3,0)</f>
        <v>75.19</v>
      </c>
      <c r="AN38">
        <f>VLOOKUP(A38,FCX!A$2:G$55,3,0)</f>
        <v>36.9</v>
      </c>
      <c r="AO38">
        <f>VLOOKUP(A38,FDX!A$2:G$55,3,0)</f>
        <v>151.07</v>
      </c>
      <c r="AP38">
        <f>VLOOKUP(A38,FOXA!A$2:G$55,3,0)</f>
        <v>35.85</v>
      </c>
      <c r="AQ38">
        <f>VLOOKUP(A38,GD!A$2:G$55,3,0)</f>
        <v>124.25</v>
      </c>
      <c r="AR38">
        <f>VLOOKUP(A38,GE!A$2:G$55,3,0)</f>
        <v>26.45</v>
      </c>
      <c r="AS38">
        <f>VLOOKUP(A38,GILD!A$2:G$55,3,0)</f>
        <v>102.31</v>
      </c>
      <c r="AT38">
        <f>VLOOKUP(A38,GM!A$2:G$55,3,0)</f>
        <v>34.729999999999997</v>
      </c>
      <c r="AU38">
        <f>VLOOKUP(A38,GOOG!A$2:G$55,3,0)</f>
        <v>584.5</v>
      </c>
      <c r="AV38">
        <f>VLOOKUP(A38,GOOGL!A$2:G$55,3,0)</f>
        <v>595.25</v>
      </c>
      <c r="AW38">
        <f>VLOOKUP(A38,GS!A$2:G$55,3,0)</f>
        <v>175.92</v>
      </c>
      <c r="AX38">
        <f>VLOOKUP(A38,HAL!A$2:G$55,3,0)</f>
        <v>68.91</v>
      </c>
      <c r="AY38">
        <f>VLOOKUP(A38,HD!A$2:G$55,3,0)</f>
        <v>91.81</v>
      </c>
      <c r="AZ38">
        <f>VLOOKUP(A38,HON!A$2:G$55,3,0)</f>
        <v>96.33</v>
      </c>
      <c r="BA38">
        <f>VLOOKUP(A38,HPQ!A$2:G$55,3,0)</f>
        <v>37.4</v>
      </c>
      <c r="BB38">
        <f>VLOOKUP(A38,IBM!A$2:G$55,3,0)</f>
        <v>192.07</v>
      </c>
      <c r="BC38">
        <f>VLOOKUP(A38,INTC!A$2:G$55,3,0)</f>
        <v>35.19</v>
      </c>
      <c r="BD38">
        <f>VLOOKUP(A38,JNJ!A$2:G$55,3,0)</f>
        <v>104.42</v>
      </c>
      <c r="BE38">
        <f>VLOOKUP(A38,JPM!A$2:G$55,3,0)</f>
        <v>58.77</v>
      </c>
      <c r="BF38">
        <f>VLOOKUP(A38,KO!A$2:G$55,3,0)</f>
        <v>41.69</v>
      </c>
      <c r="BG38">
        <f>VLOOKUP(A38,LLY!A$2:G$55,3,0)</f>
        <v>62.44</v>
      </c>
      <c r="BH38">
        <f>VLOOKUP(A38,LMT!A$2:G$55,3,0)</f>
        <v>175.49</v>
      </c>
      <c r="BI38">
        <f>VLOOKUP(A38,LOW!A$2:G$55,3,0)</f>
        <v>53.04</v>
      </c>
      <c r="BJ38">
        <f>VLOOKUP(A38,MA!A$2:G$55,3,0)</f>
        <v>77.12</v>
      </c>
      <c r="BK38">
        <f>VLOOKUP(A38,MCD!A$2:G$55,3,0)</f>
        <v>94.76</v>
      </c>
      <c r="BL38">
        <f>VLOOKUP(A38,MDLZ!A$2:G$55,3,0)</f>
        <v>36.35</v>
      </c>
      <c r="BM38">
        <f>VLOOKUP(A38,MDT!A$2:G$55,3,0)</f>
        <v>64.62</v>
      </c>
      <c r="BN38">
        <f>VLOOKUP(A38,MET!A$2:G$55,3,0)</f>
        <v>54.17</v>
      </c>
      <c r="BO38">
        <f>VLOOKUP(A38,MMM!A$2:G$55,3,0)</f>
        <v>144.99</v>
      </c>
      <c r="BP38">
        <f>VLOOKUP(A38,MO!A$2:G$55,3,0)</f>
        <v>42.68</v>
      </c>
      <c r="BQ38">
        <f>VLOOKUP(A38,MON!A$2:G$55,3,0)</f>
        <v>121.23</v>
      </c>
      <c r="BR38">
        <f>VLOOKUP(A38,MRK!A$2:G$55,3,0)</f>
        <v>59.66</v>
      </c>
      <c r="BS38">
        <f>VLOOKUP(A38,MS!A$2:G$55,3,0)</f>
        <v>33.049999999999997</v>
      </c>
      <c r="BT38">
        <f>VLOOKUP(A38,MSFT!A$2:G$55,3,0)</f>
        <v>45.25</v>
      </c>
      <c r="BU38">
        <f>VLOOKUP(A38,NKE!A$2:G$55,3,0)</f>
        <v>79.400000000000006</v>
      </c>
      <c r="BV38">
        <f>VLOOKUP(A38,NOV!A$2:G$55,3,0)</f>
        <v>84.64</v>
      </c>
      <c r="BW38">
        <f>VLOOKUP(A38,NSC!A$2:G$55,3,0)</f>
        <v>106.62</v>
      </c>
      <c r="BX38">
        <f>VLOOKUP(A38,ORCL!A$2:G$55,3,0)</f>
        <v>41.81</v>
      </c>
      <c r="BY38">
        <f>VLOOKUP(A38,OXY!A$2:G$55,3,0)</f>
        <v>102.5</v>
      </c>
      <c r="BZ38">
        <f>VLOOKUP(A38,PEP!A$2:G$55,3,0)</f>
        <v>93.19</v>
      </c>
      <c r="CA38">
        <f>VLOOKUP(A38,PFE!A$2:G$55,3,0)</f>
        <v>28.99</v>
      </c>
      <c r="CB38">
        <f>VLOOKUP(A38,PG!A$2:G$55,3,0)</f>
        <v>83.47</v>
      </c>
      <c r="CC38">
        <f>VLOOKUP(A38,PM!A$2:G$55,3,0)</f>
        <v>85.69</v>
      </c>
      <c r="CD38">
        <f>VLOOKUP(A38,QCOM!A$2:G$55,3,0)</f>
        <v>77.31</v>
      </c>
      <c r="CE38">
        <f>VLOOKUP(A38,RTN!A$2:G$55,3,0)</f>
        <v>97</v>
      </c>
      <c r="CF38">
        <f>VLOOKUP(A38,SBUX!A$2:G$55,3,0)</f>
        <v>78.17</v>
      </c>
      <c r="CG38">
        <f>VLOOKUP(A38,SLB!A$2:G$55,3,0)</f>
        <v>109.99</v>
      </c>
      <c r="CH38">
        <f>VLOOKUP(A38,SO!A$2:G$55,3,0)</f>
        <v>44.14</v>
      </c>
      <c r="CI38">
        <f>VLOOKUP(A38,SPG!A$2:G$55,3,0)</f>
        <v>171.49</v>
      </c>
      <c r="CJ38">
        <f>VLOOKUP(A38,T!A$2:G$55,3,0)</f>
        <v>34.75</v>
      </c>
      <c r="CK38">
        <f>VLOOKUP(A38,TGT!A$2:G$55,3,0)</f>
        <v>61.09</v>
      </c>
      <c r="CL38">
        <f>VLOOKUP(A38,TWX!A$2:G$55,3,0)</f>
        <v>77.180000000000007</v>
      </c>
      <c r="CM38">
        <f>VLOOKUP(A38,TXN!A$2:G$55,3,0)</f>
        <v>48.23</v>
      </c>
      <c r="CN38">
        <f>VLOOKUP(A38,UNH!A$2:G$55,3,0)</f>
        <v>84.1</v>
      </c>
      <c r="CO38">
        <f>VLOOKUP(A38,UNP!A$2:G$55,3,0)</f>
        <v>106.3</v>
      </c>
      <c r="CP38">
        <f>VLOOKUP(A38,UPS!A$2:G$55,3,0)</f>
        <v>99.16</v>
      </c>
      <c r="CQ38">
        <f>VLOOKUP(A38,USB!A$2:G$55,3,0)</f>
        <v>42.24</v>
      </c>
      <c r="CR38">
        <f>VLOOKUP(A38,UTX!A$2:G$55,3,0)</f>
        <v>110.22</v>
      </c>
      <c r="CS38">
        <f>VLOOKUP(A38,V!A$2:G$55,3,0)</f>
        <v>216.97</v>
      </c>
      <c r="CT38">
        <f>VLOOKUP(A38,VZ!A$2:G$55,3,0)</f>
        <v>49.15</v>
      </c>
      <c r="CU38">
        <f>VLOOKUP(A38,WAG!A$2:G$55,3,0)</f>
        <v>62.11</v>
      </c>
      <c r="CV38">
        <f>VLOOKUP(A38,WFC!A$2:G$55,3,0)</f>
        <v>51.4</v>
      </c>
      <c r="CW38">
        <f>VLOOKUP(A38,WMT!A$2:G$55,3,0)</f>
        <v>75.91</v>
      </c>
    </row>
    <row r="39" spans="1:101" x14ac:dyDescent="0.25">
      <c r="A39" s="34">
        <v>41873</v>
      </c>
      <c r="B39" s="36">
        <v>101.47</v>
      </c>
      <c r="C39">
        <f>VLOOKUP(A39,ABBV!A$2:G$55,3,0)</f>
        <v>55.27</v>
      </c>
      <c r="D39">
        <f>VLOOKUP(A39,ABT!A$2:G$55,3,0)</f>
        <v>42.33</v>
      </c>
      <c r="E39">
        <f>VLOOKUP(A39,ACN!A$2:G$55,3,0)</f>
        <v>80.819999999999993</v>
      </c>
      <c r="F39">
        <f>VLOOKUP(A39,AIG!A$2:G$55,3,0)</f>
        <v>55.55</v>
      </c>
      <c r="G39">
        <f>VLOOKUP(A39,ALL!A$2:G$55,3,0)</f>
        <v>61.47</v>
      </c>
      <c r="H39">
        <f>VLOOKUP(A39,AMGN!A$2:G$55,3,0)</f>
        <v>133.46</v>
      </c>
      <c r="I39">
        <f>VLOOKUP(A39,AMZN!A$2:G$55,3,0)</f>
        <v>334.08</v>
      </c>
      <c r="J39">
        <f>VLOOKUP(A39,APA!A$2:G$55,3,0)</f>
        <v>100.95</v>
      </c>
      <c r="K39">
        <f>VLOOKUP(A39,APC!A$2:G$55,3,0)</f>
        <v>110.65</v>
      </c>
      <c r="L39">
        <f>VLOOKUP(A39,AXP!A$2:G$55,3,0)</f>
        <v>89.51</v>
      </c>
      <c r="M39">
        <f>VLOOKUP(A39,BA!A$2:G$55,3,0)</f>
        <v>127.8</v>
      </c>
      <c r="N39">
        <f>VLOOKUP(A39,BAC!A$2:G$55,3,0)</f>
        <v>16.29</v>
      </c>
      <c r="O39">
        <f>VLOOKUP(A39,BAX!A$2:G$55,3,0)</f>
        <v>75.739999999999995</v>
      </c>
      <c r="P39">
        <f>VLOOKUP(A39,BIIB!A$2:G$55,3,0)</f>
        <v>341.9</v>
      </c>
      <c r="Q39">
        <f>VLOOKUP(A39,BK!A$2:G$55,3,0)</f>
        <v>39.270000000000003</v>
      </c>
      <c r="R39">
        <f>VLOOKUP(A39,BMY!A$2:G$55,3,0)</f>
        <v>50.25</v>
      </c>
      <c r="T39">
        <f>VLOOKUP(A39,'C'!A$2:G$55,3,0)</f>
        <v>51.67</v>
      </c>
      <c r="U39">
        <f>VLOOKUP(A39,CAT!A$2:G$55,3,0)</f>
        <v>107.82</v>
      </c>
      <c r="V39">
        <f>VLOOKUP(A39,CL!A$2:G$55,3,0)</f>
        <v>64.97</v>
      </c>
      <c r="W39">
        <f>VLOOKUP(A39,CMCSA!A$2:G$55,3,0)</f>
        <v>54.59</v>
      </c>
      <c r="X39">
        <f>VLOOKUP(A39,COF!A$2:G$55,3,0)</f>
        <v>82</v>
      </c>
      <c r="Y39">
        <f>VLOOKUP(A39,COP!A$2:G$55,3,0)</f>
        <v>80.91</v>
      </c>
      <c r="Z39">
        <f>VLOOKUP(A39,COST!A$2:G$55,3,0)</f>
        <v>122.06</v>
      </c>
      <c r="AA39">
        <f>VLOOKUP(A39,CSCO!A$2:G$55,3,0)</f>
        <v>24.97</v>
      </c>
      <c r="AB39">
        <f>VLOOKUP(A39,CVS!A$2:G$55,3,0)</f>
        <v>79.599999999999994</v>
      </c>
      <c r="AC39">
        <f>VLOOKUP(A39,CVX!A$2:G$55,3,0)</f>
        <v>127.5</v>
      </c>
      <c r="AD39">
        <f>VLOOKUP(A39,DD!A$2:G$55,3,0)</f>
        <v>66.28</v>
      </c>
      <c r="AE39">
        <f>VLOOKUP(A39,DIS!A$2:G$55,3,0)</f>
        <v>90.9</v>
      </c>
      <c r="AF39">
        <f>VLOOKUP(A39,DOW!A$2:G$55,3,0)</f>
        <v>53.27</v>
      </c>
      <c r="AG39">
        <f>VLOOKUP(A39,DVN!A$2:G$55,3,0)</f>
        <v>74.73</v>
      </c>
      <c r="AH39">
        <f>VLOOKUP(A39,EBAY!A$2:G$55,3,0)</f>
        <v>55.98</v>
      </c>
      <c r="AI39">
        <f>VLOOKUP(A39,EMC!A$2:G$55,3,0)</f>
        <v>29.68</v>
      </c>
      <c r="AJ39">
        <f>VLOOKUP(A39,EMR!A$2:G$55,3,0)</f>
        <v>64.930000000000007</v>
      </c>
      <c r="AK39">
        <f>VLOOKUP(A39,EXC!A$2:G$55,3,0)</f>
        <v>32.619999999999997</v>
      </c>
      <c r="AL39">
        <f>VLOOKUP(A39,F!A$2:G$55,3,0)</f>
        <v>17.39</v>
      </c>
      <c r="AM39">
        <f>VLOOKUP(A39,FB!A$2:G$55,3,0)</f>
        <v>74.73</v>
      </c>
      <c r="AN39">
        <f>VLOOKUP(A39,FCX!A$2:G$55,3,0)</f>
        <v>36.619999999999997</v>
      </c>
      <c r="AO39">
        <f>VLOOKUP(A39,FDX!A$2:G$55,3,0)</f>
        <v>150.72999999999999</v>
      </c>
      <c r="AP39">
        <f>VLOOKUP(A39,FOXA!A$2:G$55,3,0)</f>
        <v>35.92</v>
      </c>
      <c r="AQ39">
        <f>VLOOKUP(A39,GD!A$2:G$55,3,0)</f>
        <v>124.38</v>
      </c>
      <c r="AR39">
        <f>VLOOKUP(A39,GE!A$2:G$55,3,0)</f>
        <v>26.37</v>
      </c>
      <c r="AS39">
        <f>VLOOKUP(A39,GILD!A$2:G$55,3,0)</f>
        <v>105.16</v>
      </c>
      <c r="AT39">
        <f>VLOOKUP(A39,GM!A$2:G$55,3,0)</f>
        <v>34.520000000000003</v>
      </c>
      <c r="AU39">
        <f>VLOOKUP(A39,GOOG!A$2:G$55,3,0)</f>
        <v>585.24</v>
      </c>
      <c r="AV39">
        <f>VLOOKUP(A39,GOOGL!A$2:G$55,3,0)</f>
        <v>594.99</v>
      </c>
      <c r="AW39">
        <f>VLOOKUP(A39,GS!A$2:G$55,3,0)</f>
        <v>176.98</v>
      </c>
      <c r="AX39">
        <f>VLOOKUP(A39,HAL!A$2:G$55,3,0)</f>
        <v>68.3</v>
      </c>
      <c r="AY39">
        <f>VLOOKUP(A39,HD!A$2:G$55,3,0)</f>
        <v>91.33</v>
      </c>
      <c r="AZ39">
        <f>VLOOKUP(A39,HON!A$2:G$55,3,0)</f>
        <v>95.89</v>
      </c>
      <c r="BA39">
        <f>VLOOKUP(A39,HPQ!A$2:G$55,3,0)</f>
        <v>37.07</v>
      </c>
      <c r="BB39">
        <f>VLOOKUP(A39,IBM!A$2:G$55,3,0)</f>
        <v>191.88</v>
      </c>
      <c r="BC39">
        <f>VLOOKUP(A39,INTC!A$2:G$55,3,0)</f>
        <v>35.200000000000003</v>
      </c>
      <c r="BD39">
        <f>VLOOKUP(A39,JNJ!A$2:G$55,3,0)</f>
        <v>104.03</v>
      </c>
      <c r="BE39">
        <f>VLOOKUP(A39,JPM!A$2:G$55,3,0)</f>
        <v>59.08</v>
      </c>
      <c r="BF39">
        <f>VLOOKUP(A39,KO!A$2:G$55,3,0)</f>
        <v>41.52</v>
      </c>
      <c r="BG39">
        <f>VLOOKUP(A39,LLY!A$2:G$55,3,0)</f>
        <v>62.81</v>
      </c>
      <c r="BH39">
        <f>VLOOKUP(A39,LMT!A$2:G$55,3,0)</f>
        <v>176.13</v>
      </c>
      <c r="BI39">
        <f>VLOOKUP(A39,LOW!A$2:G$55,3,0)</f>
        <v>52.9</v>
      </c>
      <c r="BJ39">
        <f>VLOOKUP(A39,MA!A$2:G$55,3,0)</f>
        <v>76.88</v>
      </c>
      <c r="BK39">
        <f>VLOOKUP(A39,MCD!A$2:G$55,3,0)</f>
        <v>94.86</v>
      </c>
      <c r="BL39">
        <f>VLOOKUP(A39,MDLZ!A$2:G$55,3,0)</f>
        <v>36.19</v>
      </c>
      <c r="BM39">
        <f>VLOOKUP(A39,MDT!A$2:G$55,3,0)</f>
        <v>64.400000000000006</v>
      </c>
      <c r="BN39">
        <f>VLOOKUP(A39,MET!A$2:G$55,3,0)</f>
        <v>54.18</v>
      </c>
      <c r="BO39">
        <f>VLOOKUP(A39,MMM!A$2:G$55,3,0)</f>
        <v>144.83000000000001</v>
      </c>
      <c r="BP39">
        <f>VLOOKUP(A39,MO!A$2:G$55,3,0)</f>
        <v>42.7</v>
      </c>
      <c r="BQ39">
        <f>VLOOKUP(A39,MON!A$2:G$55,3,0)</f>
        <v>118.13</v>
      </c>
      <c r="BR39">
        <f>VLOOKUP(A39,MRK!A$2:G$55,3,0)</f>
        <v>59.36</v>
      </c>
      <c r="BS39">
        <f>VLOOKUP(A39,MS!A$2:G$55,3,0)</f>
        <v>33.56</v>
      </c>
      <c r="BT39">
        <f>VLOOKUP(A39,MSFT!A$2:G$55,3,0)</f>
        <v>45.47</v>
      </c>
      <c r="BU39">
        <f>VLOOKUP(A39,NKE!A$2:G$55,3,0)</f>
        <v>79.73</v>
      </c>
      <c r="BV39">
        <f>VLOOKUP(A39,NOV!A$2:G$55,3,0)</f>
        <v>84.32</v>
      </c>
      <c r="BW39">
        <f>VLOOKUP(A39,NSC!A$2:G$55,3,0)</f>
        <v>105.88</v>
      </c>
      <c r="BX39">
        <f>VLOOKUP(A39,ORCL!A$2:G$55,3,0)</f>
        <v>41.8</v>
      </c>
      <c r="BY39">
        <f>VLOOKUP(A39,OXY!A$2:G$55,3,0)</f>
        <v>102.82</v>
      </c>
      <c r="BZ39">
        <f>VLOOKUP(A39,PEP!A$2:G$55,3,0)</f>
        <v>92.59</v>
      </c>
      <c r="CA39">
        <f>VLOOKUP(A39,PFE!A$2:G$55,3,0)</f>
        <v>28.98</v>
      </c>
      <c r="CB39">
        <f>VLOOKUP(A39,PG!A$2:G$55,3,0)</f>
        <v>83.66</v>
      </c>
      <c r="CC39">
        <f>VLOOKUP(A39,PM!A$2:G$55,3,0)</f>
        <v>85.23</v>
      </c>
      <c r="CD39">
        <f>VLOOKUP(A39,QCOM!A$2:G$55,3,0)</f>
        <v>77.22</v>
      </c>
      <c r="CE39">
        <f>VLOOKUP(A39,RTN!A$2:G$55,3,0)</f>
        <v>97.24</v>
      </c>
      <c r="CF39">
        <f>VLOOKUP(A39,SBUX!A$2:G$55,3,0)</f>
        <v>77.599999999999994</v>
      </c>
      <c r="CG39">
        <f>VLOOKUP(A39,SLB!A$2:G$55,3,0)</f>
        <v>109.71</v>
      </c>
      <c r="CH39">
        <f>VLOOKUP(A39,SO!A$2:G$55,3,0)</f>
        <v>44.04</v>
      </c>
      <c r="CI39">
        <f>VLOOKUP(A39,SPG!A$2:G$55,3,0)</f>
        <v>170.86</v>
      </c>
      <c r="CJ39">
        <f>VLOOKUP(A39,T!A$2:G$55,3,0)</f>
        <v>34.630000000000003</v>
      </c>
      <c r="CK39">
        <f>VLOOKUP(A39,TGT!A$2:G$55,3,0)</f>
        <v>61.46</v>
      </c>
      <c r="CL39">
        <f>VLOOKUP(A39,TWX!A$2:G$55,3,0)</f>
        <v>77.62</v>
      </c>
      <c r="CM39">
        <f>VLOOKUP(A39,TXN!A$2:G$55,3,0)</f>
        <v>48.35</v>
      </c>
      <c r="CN39">
        <f>VLOOKUP(A39,UNH!A$2:G$55,3,0)</f>
        <v>84</v>
      </c>
      <c r="CO39">
        <f>VLOOKUP(A39,UNP!A$2:G$55,3,0)</f>
        <v>106.34</v>
      </c>
      <c r="CP39">
        <f>VLOOKUP(A39,UPS!A$2:G$55,3,0)</f>
        <v>98.49</v>
      </c>
      <c r="CQ39">
        <f>VLOOKUP(A39,USB!A$2:G$55,3,0)</f>
        <v>42.47</v>
      </c>
      <c r="CR39">
        <f>VLOOKUP(A39,UTX!A$2:G$55,3,0)</f>
        <v>109.94</v>
      </c>
      <c r="CS39">
        <f>VLOOKUP(A39,V!A$2:G$55,3,0)</f>
        <v>216.95</v>
      </c>
      <c r="CT39">
        <f>VLOOKUP(A39,VZ!A$2:G$55,3,0)</f>
        <v>48.98</v>
      </c>
      <c r="CU39">
        <f>VLOOKUP(A39,WAG!A$2:G$55,3,0)</f>
        <v>61.58</v>
      </c>
      <c r="CV39">
        <f>VLOOKUP(A39,WFC!A$2:G$55,3,0)</f>
        <v>51.59</v>
      </c>
      <c r="CW39">
        <f>VLOOKUP(A39,WMT!A$2:G$55,3,0)</f>
        <v>76.2</v>
      </c>
    </row>
    <row r="40" spans="1:101" x14ac:dyDescent="0.25">
      <c r="A40" s="34">
        <v>41876</v>
      </c>
      <c r="B40" s="36">
        <v>102.17</v>
      </c>
      <c r="C40">
        <f>VLOOKUP(A40,ABBV!A$2:G$55,3,0)</f>
        <v>55.92</v>
      </c>
      <c r="D40">
        <f>VLOOKUP(A40,ABT!A$2:G$55,3,0)</f>
        <v>42.7</v>
      </c>
      <c r="E40">
        <f>VLOOKUP(A40,ACN!A$2:G$55,3,0)</f>
        <v>81.599999999999994</v>
      </c>
      <c r="F40">
        <f>VLOOKUP(A40,AIG!A$2:G$55,3,0)</f>
        <v>56.09</v>
      </c>
      <c r="G40">
        <f>VLOOKUP(A40,ALL!A$2:G$55,3,0)</f>
        <v>62.01</v>
      </c>
      <c r="H40">
        <f>VLOOKUP(A40,AMGN!A$2:G$55,3,0)</f>
        <v>134.93</v>
      </c>
      <c r="I40">
        <f>VLOOKUP(A40,AMZN!A$2:G$55,3,0)</f>
        <v>336.77</v>
      </c>
      <c r="J40">
        <f>VLOOKUP(A40,APA!A$2:G$55,3,0)</f>
        <v>101.66</v>
      </c>
      <c r="K40">
        <f>VLOOKUP(A40,APC!A$2:G$55,3,0)</f>
        <v>112.08</v>
      </c>
      <c r="L40">
        <f>VLOOKUP(A40,AXP!A$2:G$55,3,0)</f>
        <v>90.22</v>
      </c>
      <c r="M40">
        <f>VLOOKUP(A40,BA!A$2:G$55,3,0)</f>
        <v>128.49</v>
      </c>
      <c r="N40">
        <f>VLOOKUP(A40,BAC!A$2:G$55,3,0)</f>
        <v>16.399999999999999</v>
      </c>
      <c r="O40">
        <f>VLOOKUP(A40,BAX!A$2:G$55,3,0)</f>
        <v>75.61</v>
      </c>
      <c r="P40">
        <f>VLOOKUP(A40,BIIB!A$2:G$55,3,0)</f>
        <v>345.75</v>
      </c>
      <c r="Q40">
        <f>VLOOKUP(A40,BK!A$2:G$55,3,0)</f>
        <v>39.69</v>
      </c>
      <c r="R40">
        <f>VLOOKUP(A40,BMY!A$2:G$55,3,0)</f>
        <v>50.9</v>
      </c>
      <c r="T40">
        <f>VLOOKUP(A40,'C'!A$2:G$55,3,0)</f>
        <v>51.99</v>
      </c>
      <c r="U40">
        <f>VLOOKUP(A40,CAT!A$2:G$55,3,0)</f>
        <v>108.33</v>
      </c>
      <c r="V40">
        <f>VLOOKUP(A40,CL!A$2:G$55,3,0)</f>
        <v>65.14</v>
      </c>
      <c r="W40">
        <f>VLOOKUP(A40,CMCSA!A$2:G$55,3,0)</f>
        <v>54.73</v>
      </c>
      <c r="X40">
        <f>VLOOKUP(A40,COF!A$2:G$55,3,0)</f>
        <v>82.66</v>
      </c>
      <c r="Y40">
        <f>VLOOKUP(A40,COP!A$2:G$55,3,0)</f>
        <v>80.989999999999995</v>
      </c>
      <c r="Z40">
        <f>VLOOKUP(A40,COST!A$2:G$55,3,0)</f>
        <v>122</v>
      </c>
      <c r="AA40">
        <f>VLOOKUP(A40,CSCO!A$2:G$55,3,0)</f>
        <v>24.84</v>
      </c>
      <c r="AB40">
        <f>VLOOKUP(A40,CVS!A$2:G$55,3,0)</f>
        <v>79.77</v>
      </c>
      <c r="AC40">
        <f>VLOOKUP(A40,CVX!A$2:G$55,3,0)</f>
        <v>128.07</v>
      </c>
      <c r="AD40">
        <f>VLOOKUP(A40,DD!A$2:G$55,3,0)</f>
        <v>66.39</v>
      </c>
      <c r="AE40">
        <f>VLOOKUP(A40,DIS!A$2:G$55,3,0)</f>
        <v>91.14</v>
      </c>
      <c r="AF40">
        <f>VLOOKUP(A40,DOW!A$2:G$55,3,0)</f>
        <v>53.4</v>
      </c>
      <c r="AG40">
        <f>VLOOKUP(A40,DVN!A$2:G$55,3,0)</f>
        <v>74.98</v>
      </c>
      <c r="AH40">
        <f>VLOOKUP(A40,EBAY!A$2:G$55,3,0)</f>
        <v>56.12</v>
      </c>
      <c r="AI40">
        <f>VLOOKUP(A40,EMC!A$2:G$55,3,0)</f>
        <v>29.87</v>
      </c>
      <c r="AJ40">
        <f>VLOOKUP(A40,EMR!A$2:G$55,3,0)</f>
        <v>65.16</v>
      </c>
      <c r="AK40">
        <f>VLOOKUP(A40,EXC!A$2:G$55,3,0)</f>
        <v>32.92</v>
      </c>
      <c r="AL40">
        <f>VLOOKUP(A40,F!A$2:G$55,3,0)</f>
        <v>17.29</v>
      </c>
      <c r="AM40">
        <f>VLOOKUP(A40,FB!A$2:G$55,3,0)</f>
        <v>75.28</v>
      </c>
      <c r="AN40">
        <f>VLOOKUP(A40,FCX!A$2:G$55,3,0)</f>
        <v>36.76</v>
      </c>
      <c r="AO40">
        <f>VLOOKUP(A40,FDX!A$2:G$55,3,0)</f>
        <v>150.54</v>
      </c>
      <c r="AP40">
        <f>VLOOKUP(A40,FOXA!A$2:G$55,3,0)</f>
        <v>35.950000000000003</v>
      </c>
      <c r="AQ40">
        <f>VLOOKUP(A40,GD!A$2:G$55,3,0)</f>
        <v>124.85</v>
      </c>
      <c r="AR40">
        <f>VLOOKUP(A40,GE!A$2:G$55,3,0)</f>
        <v>26.29</v>
      </c>
      <c r="AS40">
        <f>VLOOKUP(A40,GILD!A$2:G$55,3,0)</f>
        <v>107.53</v>
      </c>
      <c r="AT40">
        <f>VLOOKUP(A40,GM!A$2:G$55,3,0)</f>
        <v>34.74</v>
      </c>
      <c r="AU40">
        <f>VLOOKUP(A40,GOOG!A$2:G$55,3,0)</f>
        <v>585</v>
      </c>
      <c r="AV40">
        <f>VLOOKUP(A40,GOOGL!A$2:G$55,3,0)</f>
        <v>595.58000000000004</v>
      </c>
      <c r="AW40">
        <f>VLOOKUP(A40,GS!A$2:G$55,3,0)</f>
        <v>179.86</v>
      </c>
      <c r="AX40">
        <f>VLOOKUP(A40,HAL!A$2:G$55,3,0)</f>
        <v>68.61</v>
      </c>
      <c r="AY40">
        <f>VLOOKUP(A40,HD!A$2:G$55,3,0)</f>
        <v>91.82</v>
      </c>
      <c r="AZ40">
        <f>VLOOKUP(A40,HON!A$2:G$55,3,0)</f>
        <v>96.17</v>
      </c>
      <c r="BA40">
        <f>VLOOKUP(A40,HPQ!A$2:G$55,3,0)</f>
        <v>37.36</v>
      </c>
      <c r="BB40">
        <f>VLOOKUP(A40,IBM!A$2:G$55,3,0)</f>
        <v>191.81</v>
      </c>
      <c r="BC40">
        <f>VLOOKUP(A40,INTC!A$2:G$55,3,0)</f>
        <v>35.15</v>
      </c>
      <c r="BD40">
        <f>VLOOKUP(A40,JNJ!A$2:G$55,3,0)</f>
        <v>103.81</v>
      </c>
      <c r="BE40">
        <f>VLOOKUP(A40,JPM!A$2:G$55,3,0)</f>
        <v>59.83</v>
      </c>
      <c r="BF40">
        <f>VLOOKUP(A40,KO!A$2:G$55,3,0)</f>
        <v>41.45</v>
      </c>
      <c r="BG40">
        <f>VLOOKUP(A40,LLY!A$2:G$55,3,0)</f>
        <v>63.13</v>
      </c>
      <c r="BH40">
        <f>VLOOKUP(A40,LMT!A$2:G$55,3,0)</f>
        <v>177.07</v>
      </c>
      <c r="BI40">
        <f>VLOOKUP(A40,LOW!A$2:G$55,3,0)</f>
        <v>52.95</v>
      </c>
      <c r="BJ40">
        <f>VLOOKUP(A40,MA!A$2:G$55,3,0)</f>
        <v>77.209999999999994</v>
      </c>
      <c r="BK40">
        <f>VLOOKUP(A40,MCD!A$2:G$55,3,0)</f>
        <v>95.37</v>
      </c>
      <c r="BL40">
        <f>VLOOKUP(A40,MDLZ!A$2:G$55,3,0)</f>
        <v>36.22</v>
      </c>
      <c r="BM40">
        <f>VLOOKUP(A40,MDT!A$2:G$55,3,0)</f>
        <v>64.08</v>
      </c>
      <c r="BN40">
        <f>VLOOKUP(A40,MET!A$2:G$55,3,0)</f>
        <v>54.4</v>
      </c>
      <c r="BO40">
        <f>VLOOKUP(A40,MMM!A$2:G$55,3,0)</f>
        <v>144.99</v>
      </c>
      <c r="BP40">
        <f>VLOOKUP(A40,MO!A$2:G$55,3,0)</f>
        <v>42.93</v>
      </c>
      <c r="BQ40">
        <f>VLOOKUP(A40,MON!A$2:G$55,3,0)</f>
        <v>117.61</v>
      </c>
      <c r="BR40">
        <f>VLOOKUP(A40,MRK!A$2:G$55,3,0)</f>
        <v>59.87</v>
      </c>
      <c r="BS40">
        <f>VLOOKUP(A40,MS!A$2:G$55,3,0)</f>
        <v>34.57</v>
      </c>
      <c r="BT40">
        <f>VLOOKUP(A40,MSFT!A$2:G$55,3,0)</f>
        <v>45.44</v>
      </c>
      <c r="BU40">
        <f>VLOOKUP(A40,NKE!A$2:G$55,3,0)</f>
        <v>80.3</v>
      </c>
      <c r="BV40">
        <f>VLOOKUP(A40,NOV!A$2:G$55,3,0)</f>
        <v>84.79</v>
      </c>
      <c r="BW40">
        <f>VLOOKUP(A40,NSC!A$2:G$55,3,0)</f>
        <v>106.08</v>
      </c>
      <c r="BX40">
        <f>VLOOKUP(A40,ORCL!A$2:G$55,3,0)</f>
        <v>42.04</v>
      </c>
      <c r="BY40">
        <f>VLOOKUP(A40,OXY!A$2:G$55,3,0)</f>
        <v>103.55</v>
      </c>
      <c r="BZ40">
        <f>VLOOKUP(A40,PEP!A$2:G$55,3,0)</f>
        <v>93.45</v>
      </c>
      <c r="CA40">
        <f>VLOOKUP(A40,PFE!A$2:G$55,3,0)</f>
        <v>29.09</v>
      </c>
      <c r="CB40">
        <f>VLOOKUP(A40,PG!A$2:G$55,3,0)</f>
        <v>83.82</v>
      </c>
      <c r="CC40">
        <f>VLOOKUP(A40,PM!A$2:G$55,3,0)</f>
        <v>85.54</v>
      </c>
      <c r="CD40">
        <f>VLOOKUP(A40,QCOM!A$2:G$55,3,0)</f>
        <v>77.3</v>
      </c>
      <c r="CE40">
        <f>VLOOKUP(A40,RTN!A$2:G$55,3,0)</f>
        <v>97.21</v>
      </c>
      <c r="CF40">
        <f>VLOOKUP(A40,SBUX!A$2:G$55,3,0)</f>
        <v>78.22</v>
      </c>
      <c r="CG40">
        <f>VLOOKUP(A40,SLB!A$2:G$55,3,0)</f>
        <v>110.5</v>
      </c>
      <c r="CH40">
        <f>VLOOKUP(A40,SO!A$2:G$55,3,0)</f>
        <v>44.02</v>
      </c>
      <c r="CI40">
        <f>VLOOKUP(A40,SPG!A$2:G$55,3,0)</f>
        <v>170.27</v>
      </c>
      <c r="CJ40">
        <f>VLOOKUP(A40,T!A$2:G$55,3,0)</f>
        <v>34.659999999999997</v>
      </c>
      <c r="CK40">
        <f>VLOOKUP(A40,TGT!A$2:G$55,3,0)</f>
        <v>61.5</v>
      </c>
      <c r="CL40">
        <f>VLOOKUP(A40,TWX!A$2:G$55,3,0)</f>
        <v>77.88</v>
      </c>
      <c r="CM40">
        <f>VLOOKUP(A40,TXN!A$2:G$55,3,0)</f>
        <v>48.5</v>
      </c>
      <c r="CN40">
        <f>VLOOKUP(A40,UNH!A$2:G$55,3,0)</f>
        <v>84.75</v>
      </c>
      <c r="CO40">
        <f>VLOOKUP(A40,UNP!A$2:G$55,3,0)</f>
        <v>106.23</v>
      </c>
      <c r="CP40">
        <f>VLOOKUP(A40,UPS!A$2:G$55,3,0)</f>
        <v>98.31</v>
      </c>
      <c r="CQ40">
        <f>VLOOKUP(A40,USB!A$2:G$55,3,0)</f>
        <v>42.42</v>
      </c>
      <c r="CR40">
        <f>VLOOKUP(A40,UTX!A$2:G$55,3,0)</f>
        <v>110.15</v>
      </c>
      <c r="CS40">
        <f>VLOOKUP(A40,V!A$2:G$55,3,0)</f>
        <v>217.32</v>
      </c>
      <c r="CT40">
        <f>VLOOKUP(A40,VZ!A$2:G$55,3,0)</f>
        <v>49.16</v>
      </c>
      <c r="CU40">
        <f>VLOOKUP(A40,WAG!A$2:G$55,3,0)</f>
        <v>61.34</v>
      </c>
      <c r="CV40">
        <f>VLOOKUP(A40,WFC!A$2:G$55,3,0)</f>
        <v>51.75</v>
      </c>
      <c r="CW40">
        <f>VLOOKUP(A40,WMT!A$2:G$55,3,0)</f>
        <v>76.02</v>
      </c>
    </row>
    <row r="41" spans="1:101" x14ac:dyDescent="0.25">
      <c r="A41" s="34">
        <v>41877</v>
      </c>
      <c r="B41" s="36">
        <v>101.5</v>
      </c>
      <c r="C41">
        <f>VLOOKUP(A41,ABBV!A$2:G$55,3,0)</f>
        <v>55.94</v>
      </c>
      <c r="D41">
        <f>VLOOKUP(A41,ABT!A$2:G$55,3,0)</f>
        <v>42.93</v>
      </c>
      <c r="E41">
        <f>VLOOKUP(A41,ACN!A$2:G$55,3,0)</f>
        <v>81.99</v>
      </c>
      <c r="F41">
        <f>VLOOKUP(A41,AIG!A$2:G$55,3,0)</f>
        <v>56.22</v>
      </c>
      <c r="G41">
        <f>VLOOKUP(A41,ALL!A$2:G$55,3,0)</f>
        <v>62.09</v>
      </c>
      <c r="H41">
        <f>VLOOKUP(A41,AMGN!A$2:G$55,3,0)</f>
        <v>137.66999999999999</v>
      </c>
      <c r="I41">
        <f>VLOOKUP(A41,AMZN!A$2:G$55,3,0)</f>
        <v>344.36</v>
      </c>
      <c r="J41">
        <f>VLOOKUP(A41,APA!A$2:G$55,3,0)</f>
        <v>102.55</v>
      </c>
      <c r="K41">
        <f>VLOOKUP(A41,APC!A$2:G$55,3,0)</f>
        <v>113.51</v>
      </c>
      <c r="L41">
        <f>VLOOKUP(A41,AXP!A$2:G$55,3,0)</f>
        <v>89.93</v>
      </c>
      <c r="M41">
        <f>VLOOKUP(A41,BA!A$2:G$55,3,0)</f>
        <v>129.13</v>
      </c>
      <c r="N41">
        <f>VLOOKUP(A41,BAC!A$2:G$55,3,0)</f>
        <v>16.46</v>
      </c>
      <c r="O41">
        <f>VLOOKUP(A41,BAX!A$2:G$55,3,0)</f>
        <v>75.66</v>
      </c>
      <c r="P41">
        <f>VLOOKUP(A41,BIIB!A$2:G$55,3,0)</f>
        <v>343.6</v>
      </c>
      <c r="Q41">
        <f>VLOOKUP(A41,BK!A$2:G$55,3,0)</f>
        <v>39.54</v>
      </c>
      <c r="R41">
        <f>VLOOKUP(A41,BMY!A$2:G$55,3,0)</f>
        <v>50.94</v>
      </c>
      <c r="T41">
        <f>VLOOKUP(A41,'C'!A$2:G$55,3,0)</f>
        <v>52.39</v>
      </c>
      <c r="U41">
        <f>VLOOKUP(A41,CAT!A$2:G$55,3,0)</f>
        <v>108.64</v>
      </c>
      <c r="V41">
        <f>VLOOKUP(A41,CL!A$2:G$55,3,0)</f>
        <v>65.11</v>
      </c>
      <c r="W41">
        <f>VLOOKUP(A41,CMCSA!A$2:G$55,3,0)</f>
        <v>54.75</v>
      </c>
      <c r="X41">
        <f>VLOOKUP(A41,COF!A$2:G$55,3,0)</f>
        <v>82.25</v>
      </c>
      <c r="Y41">
        <f>VLOOKUP(A41,COP!A$2:G$55,3,0)</f>
        <v>81</v>
      </c>
      <c r="Z41">
        <f>VLOOKUP(A41,COST!A$2:G$55,3,0)</f>
        <v>121.59</v>
      </c>
      <c r="AA41">
        <f>VLOOKUP(A41,CSCO!A$2:G$55,3,0)</f>
        <v>24.93</v>
      </c>
      <c r="AB41">
        <f>VLOOKUP(A41,CVS!A$2:G$55,3,0)</f>
        <v>79.64</v>
      </c>
      <c r="AC41">
        <f>VLOOKUP(A41,CVX!A$2:G$55,3,0)</f>
        <v>128.71</v>
      </c>
      <c r="AD41">
        <f>VLOOKUP(A41,DD!A$2:G$55,3,0)</f>
        <v>66.430000000000007</v>
      </c>
      <c r="AE41">
        <f>VLOOKUP(A41,DIS!A$2:G$55,3,0)</f>
        <v>90.67</v>
      </c>
      <c r="AF41">
        <f>VLOOKUP(A41,DOW!A$2:G$55,3,0)</f>
        <v>53.28</v>
      </c>
      <c r="AG41">
        <f>VLOOKUP(A41,DVN!A$2:G$55,3,0)</f>
        <v>75.63</v>
      </c>
      <c r="AH41">
        <f>VLOOKUP(A41,EBAY!A$2:G$55,3,0)</f>
        <v>56.5</v>
      </c>
      <c r="AI41">
        <f>VLOOKUP(A41,EMC!A$2:G$55,3,0)</f>
        <v>29.75</v>
      </c>
      <c r="AJ41">
        <f>VLOOKUP(A41,EMR!A$2:G$55,3,0)</f>
        <v>64.959999999999994</v>
      </c>
      <c r="AK41">
        <f>VLOOKUP(A41,EXC!A$2:G$55,3,0)</f>
        <v>33.04</v>
      </c>
      <c r="AL41">
        <f>VLOOKUP(A41,F!A$2:G$55,3,0)</f>
        <v>17.350000000000001</v>
      </c>
      <c r="AM41">
        <f>VLOOKUP(A41,FB!A$2:G$55,3,0)</f>
        <v>75.989999999999995</v>
      </c>
      <c r="AN41">
        <f>VLOOKUP(A41,FCX!A$2:G$55,3,0)</f>
        <v>36.630000000000003</v>
      </c>
      <c r="AO41">
        <f>VLOOKUP(A41,FDX!A$2:G$55,3,0)</f>
        <v>150.38999999999999</v>
      </c>
      <c r="AP41">
        <f>VLOOKUP(A41,FOXA!A$2:G$55,3,0)</f>
        <v>35.78</v>
      </c>
      <c r="AQ41">
        <f>VLOOKUP(A41,GD!A$2:G$55,3,0)</f>
        <v>124.89</v>
      </c>
      <c r="AR41">
        <f>VLOOKUP(A41,GE!A$2:G$55,3,0)</f>
        <v>26.28</v>
      </c>
      <c r="AS41">
        <f>VLOOKUP(A41,GILD!A$2:G$55,3,0)</f>
        <v>108.72</v>
      </c>
      <c r="AT41">
        <f>VLOOKUP(A41,GM!A$2:G$55,3,0)</f>
        <v>35</v>
      </c>
      <c r="AU41">
        <f>VLOOKUP(A41,GOOG!A$2:G$55,3,0)</f>
        <v>581.79999999999995</v>
      </c>
      <c r="AV41">
        <f>VLOOKUP(A41,GOOGL!A$2:G$55,3,0)</f>
        <v>592.04999999999995</v>
      </c>
      <c r="AW41">
        <f>VLOOKUP(A41,GS!A$2:G$55,3,0)</f>
        <v>179.15</v>
      </c>
      <c r="AX41">
        <f>VLOOKUP(A41,HAL!A$2:G$55,3,0)</f>
        <v>70.5</v>
      </c>
      <c r="AY41">
        <f>VLOOKUP(A41,HD!A$2:G$55,3,0)</f>
        <v>91.83</v>
      </c>
      <c r="AZ41">
        <f>VLOOKUP(A41,HON!A$2:G$55,3,0)</f>
        <v>96.04</v>
      </c>
      <c r="BA41">
        <f>VLOOKUP(A41,HPQ!A$2:G$55,3,0)</f>
        <v>38.130000000000003</v>
      </c>
      <c r="BB41">
        <f>VLOOKUP(A41,IBM!A$2:G$55,3,0)</f>
        <v>193.53</v>
      </c>
      <c r="BC41">
        <f>VLOOKUP(A41,INTC!A$2:G$55,3,0)</f>
        <v>35.049999999999997</v>
      </c>
      <c r="BD41">
        <f>VLOOKUP(A41,JNJ!A$2:G$55,3,0)</f>
        <v>103.72</v>
      </c>
      <c r="BE41">
        <f>VLOOKUP(A41,JPM!A$2:G$55,3,0)</f>
        <v>59.95</v>
      </c>
      <c r="BF41">
        <f>VLOOKUP(A41,KO!A$2:G$55,3,0)</f>
        <v>41.7</v>
      </c>
      <c r="BG41">
        <f>VLOOKUP(A41,LLY!A$2:G$55,3,0)</f>
        <v>63.02</v>
      </c>
      <c r="BH41">
        <f>VLOOKUP(A41,LMT!A$2:G$55,3,0)</f>
        <v>177.01</v>
      </c>
      <c r="BI41">
        <f>VLOOKUP(A41,LOW!A$2:G$55,3,0)</f>
        <v>52.97</v>
      </c>
      <c r="BJ41">
        <f>VLOOKUP(A41,MA!A$2:G$55,3,0)</f>
        <v>77.849999999999994</v>
      </c>
      <c r="BK41">
        <f>VLOOKUP(A41,MCD!A$2:G$55,3,0)</f>
        <v>94.79</v>
      </c>
      <c r="BL41">
        <f>VLOOKUP(A41,MDLZ!A$2:G$55,3,0)</f>
        <v>36.26</v>
      </c>
      <c r="BM41">
        <f>VLOOKUP(A41,MDT!A$2:G$55,3,0)</f>
        <v>63.93</v>
      </c>
      <c r="BN41">
        <f>VLOOKUP(A41,MET!A$2:G$55,3,0)</f>
        <v>54.57</v>
      </c>
      <c r="BO41">
        <f>VLOOKUP(A41,MMM!A$2:G$55,3,0)</f>
        <v>145.38999999999999</v>
      </c>
      <c r="BP41">
        <f>VLOOKUP(A41,MO!A$2:G$55,3,0)</f>
        <v>42.98</v>
      </c>
      <c r="BQ41">
        <f>VLOOKUP(A41,MON!A$2:G$55,3,0)</f>
        <v>117.91</v>
      </c>
      <c r="BR41">
        <f>VLOOKUP(A41,MRK!A$2:G$55,3,0)</f>
        <v>60.4</v>
      </c>
      <c r="BS41">
        <f>VLOOKUP(A41,MS!A$2:G$55,3,0)</f>
        <v>34.549999999999997</v>
      </c>
      <c r="BT41">
        <f>VLOOKUP(A41,MSFT!A$2:G$55,3,0)</f>
        <v>45.4</v>
      </c>
      <c r="BU41">
        <f>VLOOKUP(A41,NKE!A$2:G$55,3,0)</f>
        <v>80.099999999999994</v>
      </c>
      <c r="BV41">
        <f>VLOOKUP(A41,NOV!A$2:G$55,3,0)</f>
        <v>85.96</v>
      </c>
      <c r="BW41">
        <f>VLOOKUP(A41,NSC!A$2:G$55,3,0)</f>
        <v>106.06</v>
      </c>
      <c r="BX41">
        <f>VLOOKUP(A41,ORCL!A$2:G$55,3,0)</f>
        <v>42</v>
      </c>
      <c r="BY41">
        <f>VLOOKUP(A41,OXY!A$2:G$55,3,0)</f>
        <v>103.7</v>
      </c>
      <c r="BZ41">
        <f>VLOOKUP(A41,PEP!A$2:G$55,3,0)</f>
        <v>93.51</v>
      </c>
      <c r="CA41">
        <f>VLOOKUP(A41,PFE!A$2:G$55,3,0)</f>
        <v>29.31</v>
      </c>
      <c r="CB41">
        <f>VLOOKUP(A41,PG!A$2:G$55,3,0)</f>
        <v>83.83</v>
      </c>
      <c r="CC41">
        <f>VLOOKUP(A41,PM!A$2:G$55,3,0)</f>
        <v>85.46</v>
      </c>
      <c r="CD41">
        <f>VLOOKUP(A41,QCOM!A$2:G$55,3,0)</f>
        <v>77.099999999999994</v>
      </c>
      <c r="CE41">
        <f>VLOOKUP(A41,RTN!A$2:G$55,3,0)</f>
        <v>97.22</v>
      </c>
      <c r="CF41">
        <f>VLOOKUP(A41,SBUX!A$2:G$55,3,0)</f>
        <v>78.430000000000007</v>
      </c>
      <c r="CG41">
        <f>VLOOKUP(A41,SLB!A$2:G$55,3,0)</f>
        <v>111.88</v>
      </c>
      <c r="CH41">
        <f>VLOOKUP(A41,SO!A$2:G$55,3,0)</f>
        <v>44.08</v>
      </c>
      <c r="CI41">
        <f>VLOOKUP(A41,SPG!A$2:G$55,3,0)</f>
        <v>170.28</v>
      </c>
      <c r="CJ41">
        <f>VLOOKUP(A41,T!A$2:G$55,3,0)</f>
        <v>34.65</v>
      </c>
      <c r="CK41">
        <f>VLOOKUP(A41,TGT!A$2:G$55,3,0)</f>
        <v>61.2</v>
      </c>
      <c r="CL41">
        <f>VLOOKUP(A41,TWX!A$2:G$55,3,0)</f>
        <v>77.36</v>
      </c>
      <c r="CM41">
        <f>VLOOKUP(A41,TXN!A$2:G$55,3,0)</f>
        <v>47.65</v>
      </c>
      <c r="CN41">
        <f>VLOOKUP(A41,UNH!A$2:G$55,3,0)</f>
        <v>85.34</v>
      </c>
      <c r="CO41">
        <f>VLOOKUP(A41,UNP!A$2:G$55,3,0)</f>
        <v>106.08</v>
      </c>
      <c r="CP41">
        <f>VLOOKUP(A41,UPS!A$2:G$55,3,0)</f>
        <v>97.97</v>
      </c>
      <c r="CQ41">
        <f>VLOOKUP(A41,USB!A$2:G$55,3,0)</f>
        <v>42.61</v>
      </c>
      <c r="CR41">
        <f>VLOOKUP(A41,UTX!A$2:G$55,3,0)</f>
        <v>110.17</v>
      </c>
      <c r="CS41">
        <f>VLOOKUP(A41,V!A$2:G$55,3,0)</f>
        <v>218</v>
      </c>
      <c r="CT41">
        <f>VLOOKUP(A41,VZ!A$2:G$55,3,0)</f>
        <v>49.29</v>
      </c>
      <c r="CU41">
        <f>VLOOKUP(A41,WAG!A$2:G$55,3,0)</f>
        <v>61.08</v>
      </c>
      <c r="CV41">
        <f>VLOOKUP(A41,WFC!A$2:G$55,3,0)</f>
        <v>51.69</v>
      </c>
      <c r="CW41">
        <f>VLOOKUP(A41,WMT!A$2:G$55,3,0)</f>
        <v>76.150000000000006</v>
      </c>
    </row>
    <row r="42" spans="1:101" x14ac:dyDescent="0.25">
      <c r="A42" s="34">
        <v>41878</v>
      </c>
      <c r="B42" s="36">
        <v>102.57</v>
      </c>
      <c r="C42">
        <f>VLOOKUP(A42,ABBV!A$2:G$55,3,0)</f>
        <v>55.85</v>
      </c>
      <c r="D42">
        <f>VLOOKUP(A42,ABT!A$2:G$55,3,0)</f>
        <v>42.88</v>
      </c>
      <c r="E42">
        <f>VLOOKUP(A42,ACN!A$2:G$55,3,0)</f>
        <v>81.58</v>
      </c>
      <c r="F42">
        <f>VLOOKUP(A42,AIG!A$2:G$55,3,0)</f>
        <v>56.31</v>
      </c>
      <c r="G42">
        <f>VLOOKUP(A42,ALL!A$2:G$55,3,0)</f>
        <v>61.68</v>
      </c>
      <c r="H42">
        <f>VLOOKUP(A42,AMGN!A$2:G$55,3,0)</f>
        <v>138.57</v>
      </c>
      <c r="I42">
        <f>VLOOKUP(A42,AMZN!A$2:G$55,3,0)</f>
        <v>346.67</v>
      </c>
      <c r="J42">
        <f>VLOOKUP(A42,APA!A$2:G$55,3,0)</f>
        <v>102.29</v>
      </c>
      <c r="K42">
        <f>VLOOKUP(A42,APC!A$2:G$55,3,0)</f>
        <v>112.29</v>
      </c>
      <c r="L42">
        <f>VLOOKUP(A42,AXP!A$2:G$55,3,0)</f>
        <v>89.59</v>
      </c>
      <c r="M42">
        <f>VLOOKUP(A42,BA!A$2:G$55,3,0)</f>
        <v>128.99</v>
      </c>
      <c r="N42">
        <f>VLOOKUP(A42,BAC!A$2:G$55,3,0)</f>
        <v>16.39</v>
      </c>
      <c r="O42">
        <f>VLOOKUP(A42,BAX!A$2:G$55,3,0)</f>
        <v>75.650000000000006</v>
      </c>
      <c r="P42">
        <f>VLOOKUP(A42,BIIB!A$2:G$55,3,0)</f>
        <v>343.76</v>
      </c>
      <c r="Q42">
        <f>VLOOKUP(A42,BK!A$2:G$55,3,0)</f>
        <v>39.4</v>
      </c>
      <c r="R42">
        <f>VLOOKUP(A42,BMY!A$2:G$55,3,0)</f>
        <v>50.95</v>
      </c>
      <c r="T42">
        <f>VLOOKUP(A42,'C'!A$2:G$55,3,0)</f>
        <v>52.27</v>
      </c>
      <c r="U42">
        <f>VLOOKUP(A42,CAT!A$2:G$55,3,0)</f>
        <v>108.92</v>
      </c>
      <c r="V42">
        <f>VLOOKUP(A42,CL!A$2:G$55,3,0)</f>
        <v>64.930000000000007</v>
      </c>
      <c r="W42">
        <f>VLOOKUP(A42,CMCSA!A$2:G$55,3,0)</f>
        <v>54.9</v>
      </c>
      <c r="X42">
        <f>VLOOKUP(A42,COF!A$2:G$55,3,0)</f>
        <v>82.02</v>
      </c>
      <c r="Y42">
        <f>VLOOKUP(A42,COP!A$2:G$55,3,0)</f>
        <v>81.47</v>
      </c>
      <c r="Z42">
        <f>VLOOKUP(A42,COST!A$2:G$55,3,0)</f>
        <v>121.58</v>
      </c>
      <c r="AA42">
        <f>VLOOKUP(A42,CSCO!A$2:G$55,3,0)</f>
        <v>24.86</v>
      </c>
      <c r="AB42">
        <f>VLOOKUP(A42,CVS!A$2:G$55,3,0)</f>
        <v>79.75</v>
      </c>
      <c r="AC42">
        <f>VLOOKUP(A42,CVX!A$2:G$55,3,0)</f>
        <v>128.82</v>
      </c>
      <c r="AD42">
        <f>VLOOKUP(A42,DD!A$2:G$55,3,0)</f>
        <v>66.209999999999994</v>
      </c>
      <c r="AE42">
        <f>VLOOKUP(A42,DIS!A$2:G$55,3,0)</f>
        <v>90.41</v>
      </c>
      <c r="AF42">
        <f>VLOOKUP(A42,DOW!A$2:G$55,3,0)</f>
        <v>53.93</v>
      </c>
      <c r="AG42">
        <f>VLOOKUP(A42,DVN!A$2:G$55,3,0)</f>
        <v>74.8</v>
      </c>
      <c r="AH42">
        <f>VLOOKUP(A42,EBAY!A$2:G$55,3,0)</f>
        <v>56.71</v>
      </c>
      <c r="AI42">
        <f>VLOOKUP(A42,EMC!A$2:G$55,3,0)</f>
        <v>29.64</v>
      </c>
      <c r="AJ42">
        <f>VLOOKUP(A42,EMR!A$2:G$55,3,0)</f>
        <v>64.58</v>
      </c>
      <c r="AK42">
        <f>VLOOKUP(A42,EXC!A$2:G$55,3,0)</f>
        <v>32.78</v>
      </c>
      <c r="AL42">
        <f>VLOOKUP(A42,F!A$2:G$55,3,0)</f>
        <v>17.399999999999999</v>
      </c>
      <c r="AM42">
        <f>VLOOKUP(A42,FB!A$2:G$55,3,0)</f>
        <v>75.489999999999995</v>
      </c>
      <c r="AN42">
        <f>VLOOKUP(A42,FCX!A$2:G$55,3,0)</f>
        <v>36.65</v>
      </c>
      <c r="AO42">
        <f>VLOOKUP(A42,FDX!A$2:G$55,3,0)</f>
        <v>149.80000000000001</v>
      </c>
      <c r="AP42">
        <f>VLOOKUP(A42,FOXA!A$2:G$55,3,0)</f>
        <v>35.85</v>
      </c>
      <c r="AQ42">
        <f>VLOOKUP(A42,GD!A$2:G$55,3,0)</f>
        <v>124.76</v>
      </c>
      <c r="AR42">
        <f>VLOOKUP(A42,GE!A$2:G$55,3,0)</f>
        <v>26.2</v>
      </c>
      <c r="AS42">
        <f>VLOOKUP(A42,GILD!A$2:G$55,3,0)</f>
        <v>108.77</v>
      </c>
      <c r="AT42">
        <f>VLOOKUP(A42,GM!A$2:G$55,3,0)</f>
        <v>34.93</v>
      </c>
      <c r="AU42">
        <f>VLOOKUP(A42,GOOG!A$2:G$55,3,0)</f>
        <v>578.49</v>
      </c>
      <c r="AV42">
        <f>VLOOKUP(A42,GOOGL!A$2:G$55,3,0)</f>
        <v>589.37</v>
      </c>
      <c r="AW42">
        <f>VLOOKUP(A42,GS!A$2:G$55,3,0)</f>
        <v>178.36</v>
      </c>
      <c r="AX42">
        <f>VLOOKUP(A42,HAL!A$2:G$55,3,0)</f>
        <v>69.81</v>
      </c>
      <c r="AY42">
        <f>VLOOKUP(A42,HD!A$2:G$55,3,0)</f>
        <v>91.96</v>
      </c>
      <c r="AZ42">
        <f>VLOOKUP(A42,HON!A$2:G$55,3,0)</f>
        <v>95.89</v>
      </c>
      <c r="BA42">
        <f>VLOOKUP(A42,HPQ!A$2:G$55,3,0)</f>
        <v>38.200000000000003</v>
      </c>
      <c r="BB42">
        <f>VLOOKUP(A42,IBM!A$2:G$55,3,0)</f>
        <v>194.13</v>
      </c>
      <c r="BC42">
        <f>VLOOKUP(A42,INTC!A$2:G$55,3,0)</f>
        <v>34.94</v>
      </c>
      <c r="BD42">
        <f>VLOOKUP(A42,JNJ!A$2:G$55,3,0)</f>
        <v>103.72</v>
      </c>
      <c r="BE42">
        <f>VLOOKUP(A42,JPM!A$2:G$55,3,0)</f>
        <v>59.95</v>
      </c>
      <c r="BF42">
        <f>VLOOKUP(A42,KO!A$2:G$55,3,0)</f>
        <v>41.71</v>
      </c>
      <c r="BG42">
        <f>VLOOKUP(A42,LLY!A$2:G$55,3,0)</f>
        <v>63.29</v>
      </c>
      <c r="BH42">
        <f>VLOOKUP(A42,LMT!A$2:G$55,3,0)</f>
        <v>177.19</v>
      </c>
      <c r="BI42">
        <f>VLOOKUP(A42,LOW!A$2:G$55,3,0)</f>
        <v>52.84</v>
      </c>
      <c r="BJ42">
        <f>VLOOKUP(A42,MA!A$2:G$55,3,0)</f>
        <v>77.12</v>
      </c>
      <c r="BK42">
        <f>VLOOKUP(A42,MCD!A$2:G$55,3,0)</f>
        <v>94.68</v>
      </c>
      <c r="BL42">
        <f>VLOOKUP(A42,MDLZ!A$2:G$55,3,0)</f>
        <v>36.24</v>
      </c>
      <c r="BM42">
        <f>VLOOKUP(A42,MDT!A$2:G$55,3,0)</f>
        <v>63.71</v>
      </c>
      <c r="BN42">
        <f>VLOOKUP(A42,MET!A$2:G$55,3,0)</f>
        <v>54.99</v>
      </c>
      <c r="BO42">
        <f>VLOOKUP(A42,MMM!A$2:G$55,3,0)</f>
        <v>144.86000000000001</v>
      </c>
      <c r="BP42">
        <f>VLOOKUP(A42,MO!A$2:G$55,3,0)</f>
        <v>42.86</v>
      </c>
      <c r="BQ42">
        <f>VLOOKUP(A42,MON!A$2:G$55,3,0)</f>
        <v>117.61</v>
      </c>
      <c r="BR42">
        <f>VLOOKUP(A42,MRK!A$2:G$55,3,0)</f>
        <v>60.58</v>
      </c>
      <c r="BS42">
        <f>VLOOKUP(A42,MS!A$2:G$55,3,0)</f>
        <v>34.5</v>
      </c>
      <c r="BT42">
        <f>VLOOKUP(A42,MSFT!A$2:G$55,3,0)</f>
        <v>45</v>
      </c>
      <c r="BU42">
        <f>VLOOKUP(A42,NKE!A$2:G$55,3,0)</f>
        <v>79.989999999999995</v>
      </c>
      <c r="BV42">
        <f>VLOOKUP(A42,NOV!A$2:G$55,3,0)</f>
        <v>85.75</v>
      </c>
      <c r="BW42">
        <f>VLOOKUP(A42,NSC!A$2:G$55,3,0)</f>
        <v>106.93</v>
      </c>
      <c r="BX42">
        <f>VLOOKUP(A42,ORCL!A$2:G$55,3,0)</f>
        <v>41.8</v>
      </c>
      <c r="BY42">
        <f>VLOOKUP(A42,OXY!A$2:G$55,3,0)</f>
        <v>103.68</v>
      </c>
      <c r="BZ42">
        <f>VLOOKUP(A42,PEP!A$2:G$55,3,0)</f>
        <v>92.72</v>
      </c>
      <c r="CA42">
        <f>VLOOKUP(A42,PFE!A$2:G$55,3,0)</f>
        <v>29.57</v>
      </c>
      <c r="CB42">
        <f>VLOOKUP(A42,PG!A$2:G$55,3,0)</f>
        <v>83.6</v>
      </c>
      <c r="CC42">
        <f>VLOOKUP(A42,PM!A$2:G$55,3,0)</f>
        <v>85.29</v>
      </c>
      <c r="CD42">
        <f>VLOOKUP(A42,QCOM!A$2:G$55,3,0)</f>
        <v>77.19</v>
      </c>
      <c r="CE42">
        <f>VLOOKUP(A42,RTN!A$2:G$55,3,0)</f>
        <v>97</v>
      </c>
      <c r="CF42">
        <f>VLOOKUP(A42,SBUX!A$2:G$55,3,0)</f>
        <v>78.27</v>
      </c>
      <c r="CG42">
        <f>VLOOKUP(A42,SLB!A$2:G$55,3,0)</f>
        <v>112</v>
      </c>
      <c r="CH42">
        <f>VLOOKUP(A42,SO!A$2:G$55,3,0)</f>
        <v>43.84</v>
      </c>
      <c r="CI42">
        <f>VLOOKUP(A42,SPG!A$2:G$55,3,0)</f>
        <v>169.76</v>
      </c>
      <c r="CJ42">
        <f>VLOOKUP(A42,T!A$2:G$55,3,0)</f>
        <v>34.79</v>
      </c>
      <c r="CK42">
        <f>VLOOKUP(A42,TGT!A$2:G$55,3,0)</f>
        <v>60.96</v>
      </c>
      <c r="CL42">
        <f>VLOOKUP(A42,TWX!A$2:G$55,3,0)</f>
        <v>77.260000000000005</v>
      </c>
      <c r="CM42">
        <f>VLOOKUP(A42,TXN!A$2:G$55,3,0)</f>
        <v>47.84</v>
      </c>
      <c r="CN42">
        <f>VLOOKUP(A42,UNH!A$2:G$55,3,0)</f>
        <v>86.97</v>
      </c>
      <c r="CO42">
        <f>VLOOKUP(A42,UNP!A$2:G$55,3,0)</f>
        <v>105.65</v>
      </c>
      <c r="CP42">
        <f>VLOOKUP(A42,UPS!A$2:G$55,3,0)</f>
        <v>97.7</v>
      </c>
      <c r="CQ42">
        <f>VLOOKUP(A42,USB!A$2:G$55,3,0)</f>
        <v>42.49</v>
      </c>
      <c r="CR42">
        <f>VLOOKUP(A42,UTX!A$2:G$55,3,0)</f>
        <v>110.34</v>
      </c>
      <c r="CS42">
        <f>VLOOKUP(A42,V!A$2:G$55,3,0)</f>
        <v>217.53</v>
      </c>
      <c r="CT42">
        <f>VLOOKUP(A42,VZ!A$2:G$55,3,0)</f>
        <v>49.46</v>
      </c>
      <c r="CU42">
        <f>VLOOKUP(A42,WAG!A$2:G$55,3,0)</f>
        <v>61.18</v>
      </c>
      <c r="CV42">
        <f>VLOOKUP(A42,WFC!A$2:G$55,3,0)</f>
        <v>51.7</v>
      </c>
      <c r="CW42">
        <f>VLOOKUP(A42,WMT!A$2:G$55,3,0)</f>
        <v>75.86</v>
      </c>
    </row>
    <row r="43" spans="1:101" x14ac:dyDescent="0.25">
      <c r="A43" s="34">
        <v>41879</v>
      </c>
      <c r="B43" s="36">
        <v>102.78</v>
      </c>
      <c r="C43">
        <f>VLOOKUP(A43,ABBV!A$2:G$55,3,0)</f>
        <v>55.68</v>
      </c>
      <c r="D43">
        <f>VLOOKUP(A43,ABT!A$2:G$55,3,0)</f>
        <v>42.6</v>
      </c>
      <c r="E43">
        <f>VLOOKUP(A43,ACN!A$2:G$55,3,0)</f>
        <v>81.8</v>
      </c>
      <c r="F43">
        <f>VLOOKUP(A43,AIG!A$2:G$55,3,0)</f>
        <v>55.87</v>
      </c>
      <c r="G43">
        <f>VLOOKUP(A43,ALL!A$2:G$55,3,0)</f>
        <v>61.54</v>
      </c>
      <c r="H43">
        <f>VLOOKUP(A43,AMGN!A$2:G$55,3,0)</f>
        <v>139.38</v>
      </c>
      <c r="I43">
        <f>VLOOKUP(A43,AMZN!A$2:G$55,3,0)</f>
        <v>341.79</v>
      </c>
      <c r="J43">
        <f>VLOOKUP(A43,APA!A$2:G$55,3,0)</f>
        <v>101.87</v>
      </c>
      <c r="K43">
        <f>VLOOKUP(A43,APC!A$2:G$55,3,0)</f>
        <v>111.23</v>
      </c>
      <c r="L43">
        <f>VLOOKUP(A43,AXP!A$2:G$55,3,0)</f>
        <v>89.33</v>
      </c>
      <c r="M43">
        <f>VLOOKUP(A43,BA!A$2:G$55,3,0)</f>
        <v>127.75</v>
      </c>
      <c r="N43">
        <f>VLOOKUP(A43,BAC!A$2:G$55,3,0)</f>
        <v>16.100000000000001</v>
      </c>
      <c r="O43">
        <f>VLOOKUP(A43,BAX!A$2:G$55,3,0)</f>
        <v>75.19</v>
      </c>
      <c r="P43">
        <f>VLOOKUP(A43,BIIB!A$2:G$55,3,0)</f>
        <v>343.83</v>
      </c>
      <c r="Q43">
        <f>VLOOKUP(A43,BK!A$2:G$55,3,0)</f>
        <v>39.06</v>
      </c>
      <c r="R43">
        <f>VLOOKUP(A43,BMY!A$2:G$55,3,0)</f>
        <v>50.65</v>
      </c>
      <c r="T43">
        <f>VLOOKUP(A43,'C'!A$2:G$55,3,0)</f>
        <v>51.62</v>
      </c>
      <c r="U43">
        <f>VLOOKUP(A43,CAT!A$2:G$55,3,0)</f>
        <v>108.82</v>
      </c>
      <c r="V43">
        <f>VLOOKUP(A43,CL!A$2:G$55,3,0)</f>
        <v>64.739999999999995</v>
      </c>
      <c r="W43">
        <f>VLOOKUP(A43,CMCSA!A$2:G$55,3,0)</f>
        <v>54.66</v>
      </c>
      <c r="X43">
        <f>VLOOKUP(A43,COF!A$2:G$55,3,0)</f>
        <v>81.790000000000006</v>
      </c>
      <c r="Y43">
        <f>VLOOKUP(A43,COP!A$2:G$55,3,0)</f>
        <v>81</v>
      </c>
      <c r="Z43">
        <f>VLOOKUP(A43,COST!A$2:G$55,3,0)</f>
        <v>121.25</v>
      </c>
      <c r="AA43">
        <f>VLOOKUP(A43,CSCO!A$2:G$55,3,0)</f>
        <v>24.9</v>
      </c>
      <c r="AB43">
        <f>VLOOKUP(A43,CVS!A$2:G$55,3,0)</f>
        <v>79.599999999999994</v>
      </c>
      <c r="AC43">
        <f>VLOOKUP(A43,CVX!A$2:G$55,3,0)</f>
        <v>128.9</v>
      </c>
      <c r="AD43">
        <f>VLOOKUP(A43,DD!A$2:G$55,3,0)</f>
        <v>66.3</v>
      </c>
      <c r="AE43">
        <f>VLOOKUP(A43,DIS!A$2:G$55,3,0)</f>
        <v>90.49</v>
      </c>
      <c r="AF43">
        <f>VLOOKUP(A43,DOW!A$2:G$55,3,0)</f>
        <v>53.82</v>
      </c>
      <c r="AG43">
        <f>VLOOKUP(A43,DVN!A$2:G$55,3,0)</f>
        <v>74.849999999999994</v>
      </c>
      <c r="AH43">
        <f>VLOOKUP(A43,EBAY!A$2:G$55,3,0)</f>
        <v>55.86</v>
      </c>
      <c r="AI43">
        <f>VLOOKUP(A43,EMC!A$2:G$55,3,0)</f>
        <v>29.48</v>
      </c>
      <c r="AJ43">
        <f>VLOOKUP(A43,EMR!A$2:G$55,3,0)</f>
        <v>64.38</v>
      </c>
      <c r="AK43">
        <f>VLOOKUP(A43,EXC!A$2:G$55,3,0)</f>
        <v>33.17</v>
      </c>
      <c r="AL43">
        <f>VLOOKUP(A43,F!A$2:G$55,3,0)</f>
        <v>17.45</v>
      </c>
      <c r="AM43">
        <f>VLOOKUP(A43,FB!A$2:G$55,3,0)</f>
        <v>74.430000000000007</v>
      </c>
      <c r="AN43">
        <f>VLOOKUP(A43,FCX!A$2:G$55,3,0)</f>
        <v>36.17</v>
      </c>
      <c r="AO43">
        <f>VLOOKUP(A43,FDX!A$2:G$55,3,0)</f>
        <v>149</v>
      </c>
      <c r="AP43">
        <f>VLOOKUP(A43,FOXA!A$2:G$55,3,0)</f>
        <v>35.81</v>
      </c>
      <c r="AQ43">
        <f>VLOOKUP(A43,GD!A$2:G$55,3,0)</f>
        <v>123.79</v>
      </c>
      <c r="AR43">
        <f>VLOOKUP(A43,GE!A$2:G$55,3,0)</f>
        <v>26.09</v>
      </c>
      <c r="AS43">
        <f>VLOOKUP(A43,GILD!A$2:G$55,3,0)</f>
        <v>108.11</v>
      </c>
      <c r="AT43">
        <f>VLOOKUP(A43,GM!A$2:G$55,3,0)</f>
        <v>34.75</v>
      </c>
      <c r="AU43">
        <f>VLOOKUP(A43,GOOG!A$2:G$55,3,0)</f>
        <v>573.25</v>
      </c>
      <c r="AV43">
        <f>VLOOKUP(A43,GOOGL!A$2:G$55,3,0)</f>
        <v>584.71</v>
      </c>
      <c r="AW43">
        <f>VLOOKUP(A43,GS!A$2:G$55,3,0)</f>
        <v>177.75</v>
      </c>
      <c r="AX43">
        <f>VLOOKUP(A43,HAL!A$2:G$55,3,0)</f>
        <v>68.260000000000005</v>
      </c>
      <c r="AY43">
        <f>VLOOKUP(A43,HD!A$2:G$55,3,0)</f>
        <v>92.73</v>
      </c>
      <c r="AZ43">
        <f>VLOOKUP(A43,HON!A$2:G$55,3,0)</f>
        <v>95.4</v>
      </c>
      <c r="BA43">
        <f>VLOOKUP(A43,HPQ!A$2:G$55,3,0)</f>
        <v>38.090000000000003</v>
      </c>
      <c r="BB43">
        <f>VLOOKUP(A43,IBM!A$2:G$55,3,0)</f>
        <v>192.3</v>
      </c>
      <c r="BC43">
        <f>VLOOKUP(A43,INTC!A$2:G$55,3,0)</f>
        <v>34.81</v>
      </c>
      <c r="BD43">
        <f>VLOOKUP(A43,JNJ!A$2:G$55,3,0)</f>
        <v>103.19</v>
      </c>
      <c r="BE43">
        <f>VLOOKUP(A43,JPM!A$2:G$55,3,0)</f>
        <v>59.37</v>
      </c>
      <c r="BF43">
        <f>VLOOKUP(A43,KO!A$2:G$55,3,0)</f>
        <v>41.7</v>
      </c>
      <c r="BG43">
        <f>VLOOKUP(A43,LLY!A$2:G$55,3,0)</f>
        <v>63.27</v>
      </c>
      <c r="BH43">
        <f>VLOOKUP(A43,LMT!A$2:G$55,3,0)</f>
        <v>175.05</v>
      </c>
      <c r="BI43">
        <f>VLOOKUP(A43,LOW!A$2:G$55,3,0)</f>
        <v>52.69</v>
      </c>
      <c r="BJ43">
        <f>VLOOKUP(A43,MA!A$2:G$55,3,0)</f>
        <v>76.430000000000007</v>
      </c>
      <c r="BK43">
        <f>VLOOKUP(A43,MCD!A$2:G$55,3,0)</f>
        <v>94.76</v>
      </c>
      <c r="BL43">
        <f>VLOOKUP(A43,MDLZ!A$2:G$55,3,0)</f>
        <v>36.44</v>
      </c>
      <c r="BM43">
        <f>VLOOKUP(A43,MDT!A$2:G$55,3,0)</f>
        <v>63.48</v>
      </c>
      <c r="BN43">
        <f>VLOOKUP(A43,MET!A$2:G$55,3,0)</f>
        <v>54.54</v>
      </c>
      <c r="BO43">
        <f>VLOOKUP(A43,MMM!A$2:G$55,3,0)</f>
        <v>144.12</v>
      </c>
      <c r="BP43">
        <f>VLOOKUP(A43,MO!A$2:G$55,3,0)</f>
        <v>43</v>
      </c>
      <c r="BQ43">
        <f>VLOOKUP(A43,MON!A$2:G$55,3,0)</f>
        <v>115.93</v>
      </c>
      <c r="BR43">
        <f>VLOOKUP(A43,MRK!A$2:G$55,3,0)</f>
        <v>60.23</v>
      </c>
      <c r="BS43">
        <f>VLOOKUP(A43,MS!A$2:G$55,3,0)</f>
        <v>34.119999999999997</v>
      </c>
      <c r="BT43">
        <f>VLOOKUP(A43,MSFT!A$2:G$55,3,0)</f>
        <v>44.98</v>
      </c>
      <c r="BU43">
        <f>VLOOKUP(A43,NKE!A$2:G$55,3,0)</f>
        <v>79.22</v>
      </c>
      <c r="BV43">
        <f>VLOOKUP(A43,NOV!A$2:G$55,3,0)</f>
        <v>85.73</v>
      </c>
      <c r="BW43">
        <f>VLOOKUP(A43,NSC!A$2:G$55,3,0)</f>
        <v>106.77</v>
      </c>
      <c r="BX43">
        <f>VLOOKUP(A43,ORCL!A$2:G$55,3,0)</f>
        <v>41.67</v>
      </c>
      <c r="BY43">
        <f>VLOOKUP(A43,OXY!A$2:G$55,3,0)</f>
        <v>104.48</v>
      </c>
      <c r="BZ43">
        <f>VLOOKUP(A43,PEP!A$2:G$55,3,0)</f>
        <v>92.7</v>
      </c>
      <c r="CA43">
        <f>VLOOKUP(A43,PFE!A$2:G$55,3,0)</f>
        <v>29.67</v>
      </c>
      <c r="CB43">
        <f>VLOOKUP(A43,PG!A$2:G$55,3,0)</f>
        <v>83.22</v>
      </c>
      <c r="CC43">
        <f>VLOOKUP(A43,PM!A$2:G$55,3,0)</f>
        <v>85.38</v>
      </c>
      <c r="CD43">
        <f>VLOOKUP(A43,QCOM!A$2:G$55,3,0)</f>
        <v>76.900000000000006</v>
      </c>
      <c r="CE43">
        <f>VLOOKUP(A43,RTN!A$2:G$55,3,0)</f>
        <v>96.19</v>
      </c>
      <c r="CF43">
        <f>VLOOKUP(A43,SBUX!A$2:G$55,3,0)</f>
        <v>78.03</v>
      </c>
      <c r="CG43">
        <f>VLOOKUP(A43,SLB!A$2:G$55,3,0)</f>
        <v>110.84</v>
      </c>
      <c r="CH43">
        <f>VLOOKUP(A43,SO!A$2:G$55,3,0)</f>
        <v>44.27</v>
      </c>
      <c r="CI43">
        <f>VLOOKUP(A43,SPG!A$2:G$55,3,0)</f>
        <v>169.67</v>
      </c>
      <c r="CJ43">
        <f>VLOOKUP(A43,T!A$2:G$55,3,0)</f>
        <v>34.75</v>
      </c>
      <c r="CK43">
        <f>VLOOKUP(A43,TGT!A$2:G$55,3,0)</f>
        <v>60.59</v>
      </c>
      <c r="CL43">
        <f>VLOOKUP(A43,TWX!A$2:G$55,3,0)</f>
        <v>77.2</v>
      </c>
      <c r="CM43">
        <f>VLOOKUP(A43,TXN!A$2:G$55,3,0)</f>
        <v>48.16</v>
      </c>
      <c r="CN43">
        <f>VLOOKUP(A43,UNH!A$2:G$55,3,0)</f>
        <v>87</v>
      </c>
      <c r="CO43">
        <f>VLOOKUP(A43,UNP!A$2:G$55,3,0)</f>
        <v>105.15</v>
      </c>
      <c r="CP43">
        <f>VLOOKUP(A43,UPS!A$2:G$55,3,0)</f>
        <v>97.53</v>
      </c>
      <c r="CQ43">
        <f>VLOOKUP(A43,USB!A$2:G$55,3,0)</f>
        <v>42.19</v>
      </c>
      <c r="CR43">
        <f>VLOOKUP(A43,UTX!A$2:G$55,3,0)</f>
        <v>109.23</v>
      </c>
      <c r="CS43">
        <f>VLOOKUP(A43,V!A$2:G$55,3,0)</f>
        <v>215.74</v>
      </c>
      <c r="CT43">
        <f>VLOOKUP(A43,VZ!A$2:G$55,3,0)</f>
        <v>49.5</v>
      </c>
      <c r="CU43">
        <f>VLOOKUP(A43,WAG!A$2:G$55,3,0)</f>
        <v>60.64</v>
      </c>
      <c r="CV43">
        <f>VLOOKUP(A43,WFC!A$2:G$55,3,0)</f>
        <v>51.28</v>
      </c>
      <c r="CW43">
        <f>VLOOKUP(A43,WMT!A$2:G$55,3,0)</f>
        <v>75.94</v>
      </c>
    </row>
    <row r="44" spans="1:101" x14ac:dyDescent="0.25">
      <c r="A44" s="34">
        <v>41880</v>
      </c>
      <c r="B44" s="36">
        <v>102.9</v>
      </c>
      <c r="C44">
        <f>VLOOKUP(A44,ABBV!A$2:G$55,3,0)</f>
        <v>55.8</v>
      </c>
      <c r="D44">
        <f>VLOOKUP(A44,ABT!A$2:G$55,3,0)</f>
        <v>42.41</v>
      </c>
      <c r="E44">
        <f>VLOOKUP(A44,ACN!A$2:G$55,3,0)</f>
        <v>81.319999999999993</v>
      </c>
      <c r="F44">
        <f>VLOOKUP(A44,AIG!A$2:G$55,3,0)</f>
        <v>56.09</v>
      </c>
      <c r="G44">
        <f>VLOOKUP(A44,ALL!A$2:G$55,3,0)</f>
        <v>61.5</v>
      </c>
      <c r="H44">
        <f>VLOOKUP(A44,AMGN!A$2:G$55,3,0)</f>
        <v>139.72999999999999</v>
      </c>
      <c r="I44">
        <f>VLOOKUP(A44,AMZN!A$2:G$55,3,0)</f>
        <v>341.82</v>
      </c>
      <c r="J44">
        <f>VLOOKUP(A44,APA!A$2:G$55,3,0)</f>
        <v>102.03</v>
      </c>
      <c r="K44">
        <f>VLOOKUP(A44,APC!A$2:G$55,3,0)</f>
        <v>112.76</v>
      </c>
      <c r="L44">
        <f>VLOOKUP(A44,AXP!A$2:G$55,3,0)</f>
        <v>89.7</v>
      </c>
      <c r="M44">
        <f>VLOOKUP(A44,BA!A$2:G$55,3,0)</f>
        <v>127.35</v>
      </c>
      <c r="N44">
        <f>VLOOKUP(A44,BAC!A$2:G$55,3,0)</f>
        <v>16.14</v>
      </c>
      <c r="O44">
        <f>VLOOKUP(A44,BAX!A$2:G$55,3,0)</f>
        <v>75.150000000000006</v>
      </c>
      <c r="P44">
        <f>VLOOKUP(A44,BIIB!A$2:G$55,3,0)</f>
        <v>343.63</v>
      </c>
      <c r="Q44">
        <f>VLOOKUP(A44,BK!A$2:G$55,3,0)</f>
        <v>39.19</v>
      </c>
      <c r="R44">
        <f>VLOOKUP(A44,BMY!A$2:G$55,3,0)</f>
        <v>50.68</v>
      </c>
      <c r="T44">
        <f>VLOOKUP(A44,'C'!A$2:G$55,3,0)</f>
        <v>51.83</v>
      </c>
      <c r="U44">
        <f>VLOOKUP(A44,CAT!A$2:G$55,3,0)</f>
        <v>109.1</v>
      </c>
      <c r="V44">
        <f>VLOOKUP(A44,CL!A$2:G$55,3,0)</f>
        <v>64.760000000000005</v>
      </c>
      <c r="W44">
        <f>VLOOKUP(A44,CMCSA!A$2:G$55,3,0)</f>
        <v>54.93</v>
      </c>
      <c r="X44">
        <f>VLOOKUP(A44,COF!A$2:G$55,3,0)</f>
        <v>82.42</v>
      </c>
      <c r="Y44">
        <f>VLOOKUP(A44,COP!A$2:G$55,3,0)</f>
        <v>81.23</v>
      </c>
      <c r="Z44">
        <f>VLOOKUP(A44,COST!A$2:G$55,3,0)</f>
        <v>121.68</v>
      </c>
      <c r="AA44">
        <f>VLOOKUP(A44,CSCO!A$2:G$55,3,0)</f>
        <v>24.99</v>
      </c>
      <c r="AB44">
        <f>VLOOKUP(A44,CVS!A$2:G$55,3,0)</f>
        <v>79.8</v>
      </c>
      <c r="AC44">
        <f>VLOOKUP(A44,CVX!A$2:G$55,3,0)</f>
        <v>129.53</v>
      </c>
      <c r="AD44">
        <f>VLOOKUP(A44,DD!A$2:G$55,3,0)</f>
        <v>66.56</v>
      </c>
      <c r="AE44">
        <f>VLOOKUP(A44,DIS!A$2:G$55,3,0)</f>
        <v>90.38</v>
      </c>
      <c r="AF44">
        <f>VLOOKUP(A44,DOW!A$2:G$55,3,0)</f>
        <v>53.87</v>
      </c>
      <c r="AG44">
        <f>VLOOKUP(A44,DVN!A$2:G$55,3,0)</f>
        <v>75.45</v>
      </c>
      <c r="AH44">
        <f>VLOOKUP(A44,EBAY!A$2:G$55,3,0)</f>
        <v>55.76</v>
      </c>
      <c r="AI44">
        <f>VLOOKUP(A44,EMC!A$2:G$55,3,0)</f>
        <v>29.6</v>
      </c>
      <c r="AJ44">
        <f>VLOOKUP(A44,EMR!A$2:G$55,3,0)</f>
        <v>64.569999999999993</v>
      </c>
      <c r="AK44">
        <f>VLOOKUP(A44,EXC!A$2:G$55,3,0)</f>
        <v>33.42</v>
      </c>
      <c r="AL44">
        <f>VLOOKUP(A44,F!A$2:G$55,3,0)</f>
        <v>17.489999999999998</v>
      </c>
      <c r="AM44">
        <f>VLOOKUP(A44,FB!A$2:G$55,3,0)</f>
        <v>74.819999999999993</v>
      </c>
      <c r="AN44">
        <f>VLOOKUP(A44,FCX!A$2:G$55,3,0)</f>
        <v>36.479999999999997</v>
      </c>
      <c r="AO44">
        <f>VLOOKUP(A44,FDX!A$2:G$55,3,0)</f>
        <v>148.49</v>
      </c>
      <c r="AP44">
        <f>VLOOKUP(A44,FOXA!A$2:G$55,3,0)</f>
        <v>35.770000000000003</v>
      </c>
      <c r="AQ44">
        <f>VLOOKUP(A44,GD!A$2:G$55,3,0)</f>
        <v>123.6</v>
      </c>
      <c r="AR44">
        <f>VLOOKUP(A44,GE!A$2:G$55,3,0)</f>
        <v>26.09</v>
      </c>
      <c r="AS44">
        <f>VLOOKUP(A44,GILD!A$2:G$55,3,0)</f>
        <v>108.24</v>
      </c>
      <c r="AT44">
        <f>VLOOKUP(A44,GM!A$2:G$55,3,0)</f>
        <v>34.85</v>
      </c>
      <c r="AU44">
        <f>VLOOKUP(A44,GOOG!A$2:G$55,3,0)</f>
        <v>572.04</v>
      </c>
      <c r="AV44">
        <f>VLOOKUP(A44,GOOGL!A$2:G$55,3,0)</f>
        <v>582.9</v>
      </c>
      <c r="AW44">
        <f>VLOOKUP(A44,GS!A$2:G$55,3,0)</f>
        <v>179.5</v>
      </c>
      <c r="AX44">
        <f>VLOOKUP(A44,HAL!A$2:G$55,3,0)</f>
        <v>67.67</v>
      </c>
      <c r="AY44">
        <f>VLOOKUP(A44,HD!A$2:G$55,3,0)</f>
        <v>93.52</v>
      </c>
      <c r="AZ44">
        <f>VLOOKUP(A44,HON!A$2:G$55,3,0)</f>
        <v>95.57</v>
      </c>
      <c r="BA44">
        <f>VLOOKUP(A44,HPQ!A$2:G$55,3,0)</f>
        <v>38.18</v>
      </c>
      <c r="BB44">
        <f>VLOOKUP(A44,IBM!A$2:G$55,3,0)</f>
        <v>192.75</v>
      </c>
      <c r="BC44">
        <f>VLOOKUP(A44,INTC!A$2:G$55,3,0)</f>
        <v>34.94</v>
      </c>
      <c r="BD44">
        <f>VLOOKUP(A44,JNJ!A$2:G$55,3,0)</f>
        <v>103.76</v>
      </c>
      <c r="BE44">
        <f>VLOOKUP(A44,JPM!A$2:G$55,3,0)</f>
        <v>59.65</v>
      </c>
      <c r="BF44">
        <f>VLOOKUP(A44,KO!A$2:G$55,3,0)</f>
        <v>41.75</v>
      </c>
      <c r="BG44">
        <f>VLOOKUP(A44,LLY!A$2:G$55,3,0)</f>
        <v>63.59</v>
      </c>
      <c r="BH44">
        <f>VLOOKUP(A44,LMT!A$2:G$55,3,0)</f>
        <v>175.09</v>
      </c>
      <c r="BI44">
        <f>VLOOKUP(A44,LOW!A$2:G$55,3,0)</f>
        <v>52.73</v>
      </c>
      <c r="BJ44">
        <f>VLOOKUP(A44,MA!A$2:G$55,3,0)</f>
        <v>76.48</v>
      </c>
      <c r="BK44">
        <f>VLOOKUP(A44,MCD!A$2:G$55,3,0)</f>
        <v>94.2</v>
      </c>
      <c r="BL44">
        <f>VLOOKUP(A44,MDLZ!A$2:G$55,3,0)</f>
        <v>36.35</v>
      </c>
      <c r="BM44">
        <f>VLOOKUP(A44,MDT!A$2:G$55,3,0)</f>
        <v>63.86</v>
      </c>
      <c r="BN44">
        <f>VLOOKUP(A44,MET!A$2:G$55,3,0)</f>
        <v>54.82</v>
      </c>
      <c r="BO44">
        <f>VLOOKUP(A44,MMM!A$2:G$55,3,0)</f>
        <v>144.38999999999999</v>
      </c>
      <c r="BP44">
        <f>VLOOKUP(A44,MO!A$2:G$55,3,0)</f>
        <v>43.12</v>
      </c>
      <c r="BQ44">
        <f>VLOOKUP(A44,MON!A$2:G$55,3,0)</f>
        <v>116.54</v>
      </c>
      <c r="BR44">
        <f>VLOOKUP(A44,MRK!A$2:G$55,3,0)</f>
        <v>60.42</v>
      </c>
      <c r="BS44">
        <f>VLOOKUP(A44,MS!A$2:G$55,3,0)</f>
        <v>34.51</v>
      </c>
      <c r="BT44">
        <f>VLOOKUP(A44,MSFT!A$2:G$55,3,0)</f>
        <v>45.44</v>
      </c>
      <c r="BU44">
        <f>VLOOKUP(A44,NKE!A$2:G$55,3,0)</f>
        <v>78.94</v>
      </c>
      <c r="BV44">
        <f>VLOOKUP(A44,NOV!A$2:G$55,3,0)</f>
        <v>86.46</v>
      </c>
      <c r="BW44">
        <f>VLOOKUP(A44,NSC!A$2:G$55,3,0)</f>
        <v>107</v>
      </c>
      <c r="BX44">
        <f>VLOOKUP(A44,ORCL!A$2:G$55,3,0)</f>
        <v>41.73</v>
      </c>
      <c r="BY44">
        <f>VLOOKUP(A44,OXY!A$2:G$55,3,0)</f>
        <v>104.07</v>
      </c>
      <c r="BZ44">
        <f>VLOOKUP(A44,PEP!A$2:G$55,3,0)</f>
        <v>92.91</v>
      </c>
      <c r="CA44">
        <f>VLOOKUP(A44,PFE!A$2:G$55,3,0)</f>
        <v>29.49</v>
      </c>
      <c r="CB44">
        <f>VLOOKUP(A44,PG!A$2:G$55,3,0)</f>
        <v>83.13</v>
      </c>
      <c r="CC44">
        <f>VLOOKUP(A44,PM!A$2:G$55,3,0)</f>
        <v>85.69</v>
      </c>
      <c r="CD44">
        <f>VLOOKUP(A44,QCOM!A$2:G$55,3,0)</f>
        <v>76.599999999999994</v>
      </c>
      <c r="CE44">
        <f>VLOOKUP(A44,RTN!A$2:G$55,3,0)</f>
        <v>96.83</v>
      </c>
      <c r="CF44">
        <f>VLOOKUP(A44,SBUX!A$2:G$55,3,0)</f>
        <v>78.099999999999994</v>
      </c>
      <c r="CG44">
        <f>VLOOKUP(A44,SLB!A$2:G$55,3,0)</f>
        <v>110.38</v>
      </c>
      <c r="CH44">
        <f>VLOOKUP(A44,SO!A$2:G$55,3,0)</f>
        <v>44.4</v>
      </c>
      <c r="CI44">
        <f>VLOOKUP(A44,SPG!A$2:G$55,3,0)</f>
        <v>170.43</v>
      </c>
      <c r="CJ44">
        <f>VLOOKUP(A44,T!A$2:G$55,3,0)</f>
        <v>34.96</v>
      </c>
      <c r="CK44">
        <f>VLOOKUP(A44,TGT!A$2:G$55,3,0)</f>
        <v>60.72</v>
      </c>
      <c r="CL44">
        <f>VLOOKUP(A44,TWX!A$2:G$55,3,0)</f>
        <v>77.14</v>
      </c>
      <c r="CM44">
        <f>VLOOKUP(A44,TXN!A$2:G$55,3,0)</f>
        <v>48.34</v>
      </c>
      <c r="CN44">
        <f>VLOOKUP(A44,UNH!A$2:G$55,3,0)</f>
        <v>87.23</v>
      </c>
      <c r="CO44">
        <f>VLOOKUP(A44,UNP!A$2:G$55,3,0)</f>
        <v>105.36</v>
      </c>
      <c r="CP44">
        <f>VLOOKUP(A44,UPS!A$2:G$55,3,0)</f>
        <v>97.93</v>
      </c>
      <c r="CQ44">
        <f>VLOOKUP(A44,USB!A$2:G$55,3,0)</f>
        <v>42.3</v>
      </c>
      <c r="CR44">
        <f>VLOOKUP(A44,UTX!A$2:G$55,3,0)</f>
        <v>109.35</v>
      </c>
      <c r="CS44">
        <f>VLOOKUP(A44,V!A$2:G$55,3,0)</f>
        <v>215</v>
      </c>
      <c r="CT44">
        <f>VLOOKUP(A44,VZ!A$2:G$55,3,0)</f>
        <v>49.82</v>
      </c>
      <c r="CU44">
        <f>VLOOKUP(A44,WAG!A$2:G$55,3,0)</f>
        <v>60.87</v>
      </c>
      <c r="CV44">
        <f>VLOOKUP(A44,WFC!A$2:G$55,3,0)</f>
        <v>51.47</v>
      </c>
      <c r="CW44">
        <f>VLOOKUP(A44,WMT!A$2:G$55,3,0)</f>
        <v>75.88</v>
      </c>
    </row>
    <row r="45" spans="1:101" x14ac:dyDescent="0.25">
      <c r="A45" s="34">
        <v>41884</v>
      </c>
      <c r="B45" s="36">
        <v>103.74</v>
      </c>
      <c r="C45">
        <f>VLOOKUP(A45,ABBV!A$2:G$55,3,0)</f>
        <v>55.53</v>
      </c>
      <c r="D45">
        <f>VLOOKUP(A45,ABT!A$2:G$55,3,0)</f>
        <v>42.4</v>
      </c>
      <c r="E45">
        <f>VLOOKUP(A45,ACN!A$2:G$55,3,0)</f>
        <v>81.489999999999995</v>
      </c>
      <c r="F45">
        <f>VLOOKUP(A45,AIG!A$2:G$55,3,0)</f>
        <v>56.37</v>
      </c>
      <c r="G45">
        <f>VLOOKUP(A45,ALL!A$2:G$55,3,0)</f>
        <v>61.97</v>
      </c>
      <c r="H45">
        <f>VLOOKUP(A45,AMGN!A$2:G$55,3,0)</f>
        <v>139.93</v>
      </c>
      <c r="I45">
        <f>VLOOKUP(A45,AMZN!A$2:G$55,3,0)</f>
        <v>342.5</v>
      </c>
      <c r="J45">
        <f>VLOOKUP(A45,APA!A$2:G$55,3,0)</f>
        <v>101.91</v>
      </c>
      <c r="K45">
        <f>VLOOKUP(A45,APC!A$2:G$55,3,0)</f>
        <v>112.93</v>
      </c>
      <c r="L45">
        <f>VLOOKUP(A45,AXP!A$2:G$55,3,0)</f>
        <v>90.13</v>
      </c>
      <c r="M45">
        <f>VLOOKUP(A45,BA!A$2:G$55,3,0)</f>
        <v>126.26</v>
      </c>
      <c r="N45">
        <f>VLOOKUP(A45,BAC!A$2:G$55,3,0)</f>
        <v>16.28</v>
      </c>
      <c r="O45">
        <f>VLOOKUP(A45,BAX!A$2:G$55,3,0)</f>
        <v>75.099999999999994</v>
      </c>
      <c r="P45">
        <f>VLOOKUP(A45,BIIB!A$2:G$55,3,0)</f>
        <v>347.79</v>
      </c>
      <c r="Q45">
        <f>VLOOKUP(A45,BK!A$2:G$55,3,0)</f>
        <v>39.659999999999997</v>
      </c>
      <c r="R45">
        <f>VLOOKUP(A45,BMY!A$2:G$55,3,0)</f>
        <v>50.79</v>
      </c>
      <c r="T45">
        <f>VLOOKUP(A45,'C'!A$2:G$55,3,0)</f>
        <v>51.98</v>
      </c>
      <c r="U45">
        <f>VLOOKUP(A45,CAT!A$2:G$55,3,0)</f>
        <v>109.73</v>
      </c>
      <c r="V45">
        <f>VLOOKUP(A45,CL!A$2:G$55,3,0)</f>
        <v>64.7</v>
      </c>
      <c r="W45">
        <f>VLOOKUP(A45,CMCSA!A$2:G$55,3,0)</f>
        <v>54.97</v>
      </c>
      <c r="X45">
        <f>VLOOKUP(A45,COF!A$2:G$55,3,0)</f>
        <v>82.69</v>
      </c>
      <c r="Y45">
        <f>VLOOKUP(A45,COP!A$2:G$55,3,0)</f>
        <v>81.099999999999994</v>
      </c>
      <c r="Z45">
        <f>VLOOKUP(A45,COST!A$2:G$55,3,0)</f>
        <v>121.63</v>
      </c>
      <c r="AA45">
        <f>VLOOKUP(A45,CSCO!A$2:G$55,3,0)</f>
        <v>25</v>
      </c>
      <c r="AB45">
        <f>VLOOKUP(A45,CVS!A$2:G$55,3,0)</f>
        <v>79.790000000000006</v>
      </c>
      <c r="AC45">
        <f>VLOOKUP(A45,CVX!A$2:G$55,3,0)</f>
        <v>129.38</v>
      </c>
      <c r="AD45">
        <f>VLOOKUP(A45,DD!A$2:G$55,3,0)</f>
        <v>66.23</v>
      </c>
      <c r="AE45">
        <f>VLOOKUP(A45,DIS!A$2:G$55,3,0)</f>
        <v>90.93</v>
      </c>
      <c r="AF45">
        <f>VLOOKUP(A45,DOW!A$2:G$55,3,0)</f>
        <v>53.64</v>
      </c>
      <c r="AG45">
        <f>VLOOKUP(A45,DVN!A$2:G$55,3,0)</f>
        <v>75.34</v>
      </c>
      <c r="AH45">
        <f>VLOOKUP(A45,EBAY!A$2:G$55,3,0)</f>
        <v>55.59</v>
      </c>
      <c r="AI45">
        <f>VLOOKUP(A45,EMC!A$2:G$55,3,0)</f>
        <v>29.53</v>
      </c>
      <c r="AJ45">
        <f>VLOOKUP(A45,EMR!A$2:G$55,3,0)</f>
        <v>64.67</v>
      </c>
      <c r="AK45">
        <f>VLOOKUP(A45,EXC!A$2:G$55,3,0)</f>
        <v>33.46</v>
      </c>
      <c r="AL45">
        <f>VLOOKUP(A45,F!A$2:G$55,3,0)</f>
        <v>17.62</v>
      </c>
      <c r="AM45">
        <f>VLOOKUP(A45,FB!A$2:G$55,3,0)</f>
        <v>76.7</v>
      </c>
      <c r="AN45">
        <f>VLOOKUP(A45,FCX!A$2:G$55,3,0)</f>
        <v>36.22</v>
      </c>
      <c r="AO45">
        <f>VLOOKUP(A45,FDX!A$2:G$55,3,0)</f>
        <v>150.57</v>
      </c>
      <c r="AP45">
        <f>VLOOKUP(A45,FOXA!A$2:G$55,3,0)</f>
        <v>35.99</v>
      </c>
      <c r="AQ45">
        <f>VLOOKUP(A45,GD!A$2:G$55,3,0)</f>
        <v>123.84</v>
      </c>
      <c r="AR45">
        <f>VLOOKUP(A45,GE!A$2:G$55,3,0)</f>
        <v>26.03</v>
      </c>
      <c r="AS45">
        <f>VLOOKUP(A45,GILD!A$2:G$55,3,0)</f>
        <v>109.5</v>
      </c>
      <c r="AT45">
        <f>VLOOKUP(A45,GM!A$2:G$55,3,0)</f>
        <v>35.14</v>
      </c>
      <c r="AU45">
        <f>VLOOKUP(A45,GOOG!A$2:G$55,3,0)</f>
        <v>577.83000000000004</v>
      </c>
      <c r="AV45">
        <f>VLOOKUP(A45,GOOGL!A$2:G$55,3,0)</f>
        <v>589.29999999999995</v>
      </c>
      <c r="AW45">
        <f>VLOOKUP(A45,GS!A$2:G$55,3,0)</f>
        <v>180.22</v>
      </c>
      <c r="AX45">
        <f>VLOOKUP(A45,HAL!A$2:G$55,3,0)</f>
        <v>68.180000000000007</v>
      </c>
      <c r="AY45">
        <f>VLOOKUP(A45,HD!A$2:G$55,3,0)</f>
        <v>93.31</v>
      </c>
      <c r="AZ45">
        <f>VLOOKUP(A45,HON!A$2:G$55,3,0)</f>
        <v>95.79</v>
      </c>
      <c r="BA45">
        <f>VLOOKUP(A45,HPQ!A$2:G$55,3,0)</f>
        <v>38.07</v>
      </c>
      <c r="BB45">
        <f>VLOOKUP(A45,IBM!A$2:G$55,3,0)</f>
        <v>192.97</v>
      </c>
      <c r="BC45">
        <f>VLOOKUP(A45,INTC!A$2:G$55,3,0)</f>
        <v>34.909999999999997</v>
      </c>
      <c r="BD45">
        <f>VLOOKUP(A45,JNJ!A$2:G$55,3,0)</f>
        <v>103.71</v>
      </c>
      <c r="BE45">
        <f>VLOOKUP(A45,JPM!A$2:G$55,3,0)</f>
        <v>59.71</v>
      </c>
      <c r="BF45">
        <f>VLOOKUP(A45,KO!A$2:G$55,3,0)</f>
        <v>41.84</v>
      </c>
      <c r="BG45">
        <f>VLOOKUP(A45,LLY!A$2:G$55,3,0)</f>
        <v>63.87</v>
      </c>
      <c r="BH45">
        <f>VLOOKUP(A45,LMT!A$2:G$55,3,0)</f>
        <v>175.31</v>
      </c>
      <c r="BI45">
        <f>VLOOKUP(A45,LOW!A$2:G$55,3,0)</f>
        <v>52.94</v>
      </c>
      <c r="BJ45">
        <f>VLOOKUP(A45,MA!A$2:G$55,3,0)</f>
        <v>76.010000000000005</v>
      </c>
      <c r="BK45">
        <f>VLOOKUP(A45,MCD!A$2:G$55,3,0)</f>
        <v>93.7</v>
      </c>
      <c r="BL45">
        <f>VLOOKUP(A45,MDLZ!A$2:G$55,3,0)</f>
        <v>36.35</v>
      </c>
      <c r="BM45">
        <f>VLOOKUP(A45,MDT!A$2:G$55,3,0)</f>
        <v>63.98</v>
      </c>
      <c r="BN45">
        <f>VLOOKUP(A45,MET!A$2:G$55,3,0)</f>
        <v>55.62</v>
      </c>
      <c r="BO45">
        <f>VLOOKUP(A45,MMM!A$2:G$55,3,0)</f>
        <v>144.61000000000001</v>
      </c>
      <c r="BP45">
        <f>VLOOKUP(A45,MO!A$2:G$55,3,0)</f>
        <v>43.68</v>
      </c>
      <c r="BQ45">
        <f>VLOOKUP(A45,MON!A$2:G$55,3,0)</f>
        <v>115.92</v>
      </c>
      <c r="BR45">
        <f>VLOOKUP(A45,MRK!A$2:G$55,3,0)</f>
        <v>60.1</v>
      </c>
      <c r="BS45">
        <f>VLOOKUP(A45,MS!A$2:G$55,3,0)</f>
        <v>34.65</v>
      </c>
      <c r="BT45">
        <f>VLOOKUP(A45,MSFT!A$2:G$55,3,0)</f>
        <v>45.46</v>
      </c>
      <c r="BU45">
        <f>VLOOKUP(A45,NKE!A$2:G$55,3,0)</f>
        <v>79.52</v>
      </c>
      <c r="BV45">
        <f>VLOOKUP(A45,NOV!A$2:G$55,3,0)</f>
        <v>86.55</v>
      </c>
      <c r="BW45">
        <f>VLOOKUP(A45,NSC!A$2:G$55,3,0)</f>
        <v>107.87</v>
      </c>
      <c r="BX45">
        <f>VLOOKUP(A45,ORCL!A$2:G$55,3,0)</f>
        <v>41.68</v>
      </c>
      <c r="BY45">
        <f>VLOOKUP(A45,OXY!A$2:G$55,3,0)</f>
        <v>103.69</v>
      </c>
      <c r="BZ45">
        <f>VLOOKUP(A45,PEP!A$2:G$55,3,0)</f>
        <v>93.14</v>
      </c>
      <c r="CA45">
        <f>VLOOKUP(A45,PFE!A$2:G$55,3,0)</f>
        <v>29.41</v>
      </c>
      <c r="CB45">
        <f>VLOOKUP(A45,PG!A$2:G$55,3,0)</f>
        <v>83.49</v>
      </c>
      <c r="CC45">
        <f>VLOOKUP(A45,PM!A$2:G$55,3,0)</f>
        <v>85.9</v>
      </c>
      <c r="CD45">
        <f>VLOOKUP(A45,QCOM!A$2:G$55,3,0)</f>
        <v>76.08</v>
      </c>
      <c r="CE45">
        <f>VLOOKUP(A45,RTN!A$2:G$55,3,0)</f>
        <v>96.76</v>
      </c>
      <c r="CF45">
        <f>VLOOKUP(A45,SBUX!A$2:G$55,3,0)</f>
        <v>77.98</v>
      </c>
      <c r="CG45">
        <f>VLOOKUP(A45,SLB!A$2:G$55,3,0)</f>
        <v>109.66</v>
      </c>
      <c r="CH45">
        <f>VLOOKUP(A45,SO!A$2:G$55,3,0)</f>
        <v>44.44</v>
      </c>
      <c r="CI45">
        <f>VLOOKUP(A45,SPG!A$2:G$55,3,0)</f>
        <v>170.74</v>
      </c>
      <c r="CJ45">
        <f>VLOOKUP(A45,T!A$2:G$55,3,0)</f>
        <v>35</v>
      </c>
      <c r="CK45">
        <f>VLOOKUP(A45,TGT!A$2:G$55,3,0)</f>
        <v>60.5</v>
      </c>
      <c r="CL45">
        <f>VLOOKUP(A45,TWX!A$2:G$55,3,0)</f>
        <v>77.55</v>
      </c>
      <c r="CM45">
        <f>VLOOKUP(A45,TXN!A$2:G$55,3,0)</f>
        <v>48.43</v>
      </c>
      <c r="CN45">
        <f>VLOOKUP(A45,UNH!A$2:G$55,3,0)</f>
        <v>87.22</v>
      </c>
      <c r="CO45">
        <f>VLOOKUP(A45,UNP!A$2:G$55,3,0)</f>
        <v>106.55</v>
      </c>
      <c r="CP45">
        <f>VLOOKUP(A45,UPS!A$2:G$55,3,0)</f>
        <v>98.29</v>
      </c>
      <c r="CQ45">
        <f>VLOOKUP(A45,USB!A$2:G$55,3,0)</f>
        <v>42.4</v>
      </c>
      <c r="CR45">
        <f>VLOOKUP(A45,UTX!A$2:G$55,3,0)</f>
        <v>109.07</v>
      </c>
      <c r="CS45">
        <f>VLOOKUP(A45,V!A$2:G$55,3,0)</f>
        <v>214.97</v>
      </c>
      <c r="CT45">
        <f>VLOOKUP(A45,VZ!A$2:G$55,3,0)</f>
        <v>50</v>
      </c>
      <c r="CU45">
        <f>VLOOKUP(A45,WAG!A$2:G$55,3,0)</f>
        <v>60.74</v>
      </c>
      <c r="CV45">
        <f>VLOOKUP(A45,WFC!A$2:G$55,3,0)</f>
        <v>51.71</v>
      </c>
      <c r="CW45">
        <f>VLOOKUP(A45,WMT!A$2:G$55,3,0)</f>
        <v>75.94</v>
      </c>
    </row>
    <row r="46" spans="1:101" x14ac:dyDescent="0.25">
      <c r="A46" s="34">
        <v>41885</v>
      </c>
      <c r="B46" s="36">
        <v>103.2</v>
      </c>
      <c r="C46">
        <f>VLOOKUP(A46,ABBV!A$2:G$55,3,0)</f>
        <v>55.53</v>
      </c>
      <c r="D46">
        <f>VLOOKUP(A46,ABT!A$2:G$55,3,0)</f>
        <v>42.79</v>
      </c>
      <c r="E46">
        <f>VLOOKUP(A46,ACN!A$2:G$55,3,0)</f>
        <v>81.96</v>
      </c>
      <c r="F46">
        <f>VLOOKUP(A46,AIG!A$2:G$55,3,0)</f>
        <v>56.06</v>
      </c>
      <c r="G46">
        <f>VLOOKUP(A46,ALL!A$2:G$55,3,0)</f>
        <v>62.09</v>
      </c>
      <c r="H46">
        <f>VLOOKUP(A46,AMGN!A$2:G$55,3,0)</f>
        <v>138.85</v>
      </c>
      <c r="I46">
        <f>VLOOKUP(A46,AMZN!A$2:G$55,3,0)</f>
        <v>343.27</v>
      </c>
      <c r="J46">
        <f>VLOOKUP(A46,APA!A$2:G$55,3,0)</f>
        <v>102</v>
      </c>
      <c r="K46">
        <f>VLOOKUP(A46,APC!A$2:G$55,3,0)</f>
        <v>112.99</v>
      </c>
      <c r="L46">
        <f>VLOOKUP(A46,AXP!A$2:G$55,3,0)</f>
        <v>90.49</v>
      </c>
      <c r="M46">
        <f>VLOOKUP(A46,BA!A$2:G$55,3,0)</f>
        <v>126.24</v>
      </c>
      <c r="N46">
        <f>VLOOKUP(A46,BAC!A$2:G$55,3,0)</f>
        <v>16.28</v>
      </c>
      <c r="O46">
        <f>VLOOKUP(A46,BAX!A$2:G$55,3,0)</f>
        <v>74.39</v>
      </c>
      <c r="P46">
        <f>VLOOKUP(A46,BIIB!A$2:G$55,3,0)</f>
        <v>345.81</v>
      </c>
      <c r="Q46">
        <f>VLOOKUP(A46,BK!A$2:G$55,3,0)</f>
        <v>39.85</v>
      </c>
      <c r="R46">
        <f>VLOOKUP(A46,BMY!A$2:G$55,3,0)</f>
        <v>50.76</v>
      </c>
      <c r="T46">
        <f>VLOOKUP(A46,'C'!A$2:G$55,3,0)</f>
        <v>52.53</v>
      </c>
      <c r="U46">
        <f>VLOOKUP(A46,CAT!A$2:G$55,3,0)</f>
        <v>109.66</v>
      </c>
      <c r="V46">
        <f>VLOOKUP(A46,CL!A$2:G$55,3,0)</f>
        <v>64.89</v>
      </c>
      <c r="W46">
        <f>VLOOKUP(A46,CMCSA!A$2:G$55,3,0)</f>
        <v>55.05</v>
      </c>
      <c r="X46">
        <f>VLOOKUP(A46,COF!A$2:G$55,3,0)</f>
        <v>82.93</v>
      </c>
      <c r="Y46">
        <f>VLOOKUP(A46,COP!A$2:G$55,3,0)</f>
        <v>81.37</v>
      </c>
      <c r="Z46">
        <f>VLOOKUP(A46,COST!A$2:G$55,3,0)</f>
        <v>121.94</v>
      </c>
      <c r="AA46">
        <f>VLOOKUP(A46,CSCO!A$2:G$55,3,0)</f>
        <v>25.13</v>
      </c>
      <c r="AB46">
        <f>VLOOKUP(A46,CVS!A$2:G$55,3,0)</f>
        <v>80.62</v>
      </c>
      <c r="AC46">
        <f>VLOOKUP(A46,CVX!A$2:G$55,3,0)</f>
        <v>128.88</v>
      </c>
      <c r="AD46">
        <f>VLOOKUP(A46,DD!A$2:G$55,3,0)</f>
        <v>66.38</v>
      </c>
      <c r="AE46">
        <f>VLOOKUP(A46,DIS!A$2:G$55,3,0)</f>
        <v>91.16</v>
      </c>
      <c r="AF46">
        <f>VLOOKUP(A46,DOW!A$2:G$55,3,0)</f>
        <v>54.25</v>
      </c>
      <c r="AG46">
        <f>VLOOKUP(A46,DVN!A$2:G$55,3,0)</f>
        <v>75</v>
      </c>
      <c r="AH46">
        <f>VLOOKUP(A46,EBAY!A$2:G$55,3,0)</f>
        <v>55.31</v>
      </c>
      <c r="AI46">
        <f>VLOOKUP(A46,EMC!A$2:G$55,3,0)</f>
        <v>29.68</v>
      </c>
      <c r="AJ46">
        <f>VLOOKUP(A46,EMR!A$2:G$55,3,0)</f>
        <v>64.849999999999994</v>
      </c>
      <c r="AK46">
        <f>VLOOKUP(A46,EXC!A$2:G$55,3,0)</f>
        <v>33.35</v>
      </c>
      <c r="AL46">
        <f>VLOOKUP(A46,F!A$2:G$55,3,0)</f>
        <v>17.87</v>
      </c>
      <c r="AM46">
        <f>VLOOKUP(A46,FB!A$2:G$55,3,0)</f>
        <v>77.48</v>
      </c>
      <c r="AN46">
        <f>VLOOKUP(A46,FCX!A$2:G$55,3,0)</f>
        <v>35.659999999999997</v>
      </c>
      <c r="AO46">
        <f>VLOOKUP(A46,FDX!A$2:G$55,3,0)</f>
        <v>152.21</v>
      </c>
      <c r="AP46">
        <f>VLOOKUP(A46,FOXA!A$2:G$55,3,0)</f>
        <v>36.340000000000003</v>
      </c>
      <c r="AQ46">
        <f>VLOOKUP(A46,GD!A$2:G$55,3,0)</f>
        <v>124.98</v>
      </c>
      <c r="AR46">
        <f>VLOOKUP(A46,GE!A$2:G$55,3,0)</f>
        <v>26</v>
      </c>
      <c r="AS46">
        <f>VLOOKUP(A46,GILD!A$2:G$55,3,0)</f>
        <v>110.64</v>
      </c>
      <c r="AT46">
        <f>VLOOKUP(A46,GM!A$2:G$55,3,0)</f>
        <v>35.119999999999997</v>
      </c>
      <c r="AU46">
        <f>VLOOKUP(A46,GOOG!A$2:G$55,3,0)</f>
        <v>582.99</v>
      </c>
      <c r="AV46">
        <f>VLOOKUP(A46,GOOGL!A$2:G$55,3,0)</f>
        <v>594.49</v>
      </c>
      <c r="AW46">
        <f>VLOOKUP(A46,GS!A$2:G$55,3,0)</f>
        <v>182.07</v>
      </c>
      <c r="AX46">
        <f>VLOOKUP(A46,HAL!A$2:G$55,3,0)</f>
        <v>68.180000000000007</v>
      </c>
      <c r="AY46">
        <f>VLOOKUP(A46,HD!A$2:G$55,3,0)</f>
        <v>91.31</v>
      </c>
      <c r="AZ46">
        <f>VLOOKUP(A46,HON!A$2:G$55,3,0)</f>
        <v>95.95</v>
      </c>
      <c r="BA46">
        <f>VLOOKUP(A46,HPQ!A$2:G$55,3,0)</f>
        <v>38.25</v>
      </c>
      <c r="BB46">
        <f>VLOOKUP(A46,IBM!A$2:G$55,3,0)</f>
        <v>192.95</v>
      </c>
      <c r="BC46">
        <f>VLOOKUP(A46,INTC!A$2:G$55,3,0)</f>
        <v>34.880000000000003</v>
      </c>
      <c r="BD46">
        <f>VLOOKUP(A46,JNJ!A$2:G$55,3,0)</f>
        <v>104.1</v>
      </c>
      <c r="BE46">
        <f>VLOOKUP(A46,JPM!A$2:G$55,3,0)</f>
        <v>60.37</v>
      </c>
      <c r="BF46">
        <f>VLOOKUP(A46,KO!A$2:G$55,3,0)</f>
        <v>41.85</v>
      </c>
      <c r="BG46">
        <f>VLOOKUP(A46,LLY!A$2:G$55,3,0)</f>
        <v>64.16</v>
      </c>
      <c r="BH46">
        <f>VLOOKUP(A46,LMT!A$2:G$55,3,0)</f>
        <v>175.64</v>
      </c>
      <c r="BI46">
        <f>VLOOKUP(A46,LOW!A$2:G$55,3,0)</f>
        <v>53.04</v>
      </c>
      <c r="BJ46">
        <f>VLOOKUP(A46,MA!A$2:G$55,3,0)</f>
        <v>76.19</v>
      </c>
      <c r="BK46">
        <f>VLOOKUP(A46,MCD!A$2:G$55,3,0)</f>
        <v>93.49</v>
      </c>
      <c r="BL46">
        <f>VLOOKUP(A46,MDLZ!A$2:G$55,3,0)</f>
        <v>35.99</v>
      </c>
      <c r="BM46">
        <f>VLOOKUP(A46,MDT!A$2:G$55,3,0)</f>
        <v>64.59</v>
      </c>
      <c r="BN46">
        <f>VLOOKUP(A46,MET!A$2:G$55,3,0)</f>
        <v>55.77</v>
      </c>
      <c r="BO46">
        <f>VLOOKUP(A46,MMM!A$2:G$55,3,0)</f>
        <v>144.72</v>
      </c>
      <c r="BP46">
        <f>VLOOKUP(A46,MO!A$2:G$55,3,0)</f>
        <v>43.46</v>
      </c>
      <c r="BQ46">
        <f>VLOOKUP(A46,MON!A$2:G$55,3,0)</f>
        <v>115.93</v>
      </c>
      <c r="BR46">
        <f>VLOOKUP(A46,MRK!A$2:G$55,3,0)</f>
        <v>60.86</v>
      </c>
      <c r="BS46">
        <f>VLOOKUP(A46,MS!A$2:G$55,3,0)</f>
        <v>34.99</v>
      </c>
      <c r="BT46">
        <f>VLOOKUP(A46,MSFT!A$2:G$55,3,0)</f>
        <v>45.11</v>
      </c>
      <c r="BU46">
        <f>VLOOKUP(A46,NKE!A$2:G$55,3,0)</f>
        <v>79.88</v>
      </c>
      <c r="BV46">
        <f>VLOOKUP(A46,NOV!A$2:G$55,3,0)</f>
        <v>85.71</v>
      </c>
      <c r="BW46">
        <f>VLOOKUP(A46,NSC!A$2:G$55,3,0)</f>
        <v>108.49</v>
      </c>
      <c r="BX46">
        <f>VLOOKUP(A46,ORCL!A$2:G$55,3,0)</f>
        <v>41.95</v>
      </c>
      <c r="BY46">
        <f>VLOOKUP(A46,OXY!A$2:G$55,3,0)</f>
        <v>103.57</v>
      </c>
      <c r="BZ46">
        <f>VLOOKUP(A46,PEP!A$2:G$55,3,0)</f>
        <v>92.76</v>
      </c>
      <c r="CA46">
        <f>VLOOKUP(A46,PFE!A$2:G$55,3,0)</f>
        <v>29.53</v>
      </c>
      <c r="CB46">
        <f>VLOOKUP(A46,PG!A$2:G$55,3,0)</f>
        <v>83.48</v>
      </c>
      <c r="CC46">
        <f>VLOOKUP(A46,PM!A$2:G$55,3,0)</f>
        <v>85.88</v>
      </c>
      <c r="CD46">
        <f>VLOOKUP(A46,QCOM!A$2:G$55,3,0)</f>
        <v>75.72</v>
      </c>
      <c r="CE46">
        <f>VLOOKUP(A46,RTN!A$2:G$55,3,0)</f>
        <v>96.95</v>
      </c>
      <c r="CF46">
        <f>VLOOKUP(A46,SBUX!A$2:G$55,3,0)</f>
        <v>77.930000000000007</v>
      </c>
      <c r="CG46">
        <f>VLOOKUP(A46,SLB!A$2:G$55,3,0)</f>
        <v>109.93</v>
      </c>
      <c r="CH46">
        <f>VLOOKUP(A46,SO!A$2:G$55,3,0)</f>
        <v>44.26</v>
      </c>
      <c r="CI46">
        <f>VLOOKUP(A46,SPG!A$2:G$55,3,0)</f>
        <v>172.21</v>
      </c>
      <c r="CJ46">
        <f>VLOOKUP(A46,T!A$2:G$55,3,0)</f>
        <v>35</v>
      </c>
      <c r="CK46">
        <f>VLOOKUP(A46,TGT!A$2:G$55,3,0)</f>
        <v>60.57</v>
      </c>
      <c r="CL46">
        <f>VLOOKUP(A46,TWX!A$2:G$55,3,0)</f>
        <v>78.31</v>
      </c>
      <c r="CM46">
        <f>VLOOKUP(A46,TXN!A$2:G$55,3,0)</f>
        <v>48.37</v>
      </c>
      <c r="CN46">
        <f>VLOOKUP(A46,UNH!A$2:G$55,3,0)</f>
        <v>87.35</v>
      </c>
      <c r="CO46">
        <f>VLOOKUP(A46,UNP!A$2:G$55,3,0)</f>
        <v>107.38</v>
      </c>
      <c r="CP46">
        <f>VLOOKUP(A46,UPS!A$2:G$55,3,0)</f>
        <v>98.48</v>
      </c>
      <c r="CQ46">
        <f>VLOOKUP(A46,USB!A$2:G$55,3,0)</f>
        <v>42.51</v>
      </c>
      <c r="CR46">
        <f>VLOOKUP(A46,UTX!A$2:G$55,3,0)</f>
        <v>110</v>
      </c>
      <c r="CS46">
        <f>VLOOKUP(A46,V!A$2:G$55,3,0)</f>
        <v>216.16</v>
      </c>
      <c r="CT46">
        <f>VLOOKUP(A46,VZ!A$2:G$55,3,0)</f>
        <v>50</v>
      </c>
      <c r="CU46">
        <f>VLOOKUP(A46,WAG!A$2:G$55,3,0)</f>
        <v>60.43</v>
      </c>
      <c r="CV46">
        <f>VLOOKUP(A46,WFC!A$2:G$55,3,0)</f>
        <v>52.03</v>
      </c>
      <c r="CW46">
        <f>VLOOKUP(A46,WMT!A$2:G$55,3,0)</f>
        <v>76.33</v>
      </c>
    </row>
    <row r="47" spans="1:101" x14ac:dyDescent="0.25">
      <c r="A47" s="34">
        <v>41886</v>
      </c>
      <c r="B47" s="36">
        <v>100.09</v>
      </c>
      <c r="C47">
        <f>VLOOKUP(A47,ABBV!A$2:G$55,3,0)</f>
        <v>55.6</v>
      </c>
      <c r="D47">
        <f>VLOOKUP(A47,ABT!A$2:G$55,3,0)</f>
        <v>43.08</v>
      </c>
      <c r="E47">
        <f>VLOOKUP(A47,ACN!A$2:G$55,3,0)</f>
        <v>82.16</v>
      </c>
      <c r="F47">
        <f>VLOOKUP(A47,AIG!A$2:G$55,3,0)</f>
        <v>55.95</v>
      </c>
      <c r="G47">
        <f>VLOOKUP(A47,ALL!A$2:G$55,3,0)</f>
        <v>61.87</v>
      </c>
      <c r="H47">
        <f>VLOOKUP(A47,AMGN!A$2:G$55,3,0)</f>
        <v>139.5</v>
      </c>
      <c r="I47">
        <f>VLOOKUP(A47,AMZN!A$2:G$55,3,0)</f>
        <v>349.38</v>
      </c>
      <c r="J47">
        <f>VLOOKUP(A47,APA!A$2:G$55,3,0)</f>
        <v>100.87</v>
      </c>
      <c r="K47">
        <f>VLOOKUP(A47,APC!A$2:G$55,3,0)</f>
        <v>112</v>
      </c>
      <c r="L47">
        <f>VLOOKUP(A47,AXP!A$2:G$55,3,0)</f>
        <v>90.46</v>
      </c>
      <c r="M47">
        <f>VLOOKUP(A47,BA!A$2:G$55,3,0)</f>
        <v>126.75</v>
      </c>
      <c r="N47">
        <f>VLOOKUP(A47,BAC!A$2:G$55,3,0)</f>
        <v>16.27</v>
      </c>
      <c r="O47">
        <f>VLOOKUP(A47,BAX!A$2:G$55,3,0)</f>
        <v>74.739999999999995</v>
      </c>
      <c r="P47">
        <f>VLOOKUP(A47,BIIB!A$2:G$55,3,0)</f>
        <v>344.44</v>
      </c>
      <c r="Q47">
        <f>VLOOKUP(A47,BK!A$2:G$55,3,0)</f>
        <v>39.909999999999997</v>
      </c>
      <c r="R47">
        <f>VLOOKUP(A47,BMY!A$2:G$55,3,0)</f>
        <v>50.68</v>
      </c>
      <c r="T47">
        <f>VLOOKUP(A47,'C'!A$2:G$55,3,0)</f>
        <v>52.88</v>
      </c>
      <c r="U47">
        <f>VLOOKUP(A47,CAT!A$2:G$55,3,0)</f>
        <v>109.49</v>
      </c>
      <c r="V47">
        <f>VLOOKUP(A47,CL!A$2:G$55,3,0)</f>
        <v>64.63</v>
      </c>
      <c r="W47">
        <f>VLOOKUP(A47,CMCSA!A$2:G$55,3,0)</f>
        <v>55.39</v>
      </c>
      <c r="X47">
        <f>VLOOKUP(A47,COF!A$2:G$55,3,0)</f>
        <v>83.1</v>
      </c>
      <c r="Y47">
        <f>VLOOKUP(A47,COP!A$2:G$55,3,0)</f>
        <v>81.239999999999995</v>
      </c>
      <c r="Z47">
        <f>VLOOKUP(A47,COST!A$2:G$55,3,0)</f>
        <v>125.17</v>
      </c>
      <c r="AA47">
        <f>VLOOKUP(A47,CSCO!A$2:G$55,3,0)</f>
        <v>25.14</v>
      </c>
      <c r="AB47">
        <f>VLOOKUP(A47,CVS!A$2:G$55,3,0)</f>
        <v>81.16</v>
      </c>
      <c r="AC47">
        <f>VLOOKUP(A47,CVX!A$2:G$55,3,0)</f>
        <v>128.46</v>
      </c>
      <c r="AD47">
        <f>VLOOKUP(A47,DD!A$2:G$55,3,0)</f>
        <v>66.33</v>
      </c>
      <c r="AE47">
        <f>VLOOKUP(A47,DIS!A$2:G$55,3,0)</f>
        <v>91.2</v>
      </c>
      <c r="AF47">
        <f>VLOOKUP(A47,DOW!A$2:G$55,3,0)</f>
        <v>54.97</v>
      </c>
      <c r="AG47">
        <f>VLOOKUP(A47,DVN!A$2:G$55,3,0)</f>
        <v>74.040000000000006</v>
      </c>
      <c r="AH47">
        <f>VLOOKUP(A47,EBAY!A$2:G$55,3,0)</f>
        <v>55.45</v>
      </c>
      <c r="AI47">
        <f>VLOOKUP(A47,EMC!A$2:G$55,3,0)</f>
        <v>29.65</v>
      </c>
      <c r="AJ47">
        <f>VLOOKUP(A47,EMR!A$2:G$55,3,0)</f>
        <v>65.48</v>
      </c>
      <c r="AK47">
        <f>VLOOKUP(A47,EXC!A$2:G$55,3,0)</f>
        <v>33.549999999999997</v>
      </c>
      <c r="AL47">
        <f>VLOOKUP(A47,F!A$2:G$55,3,0)</f>
        <v>17.63</v>
      </c>
      <c r="AM47">
        <f>VLOOKUP(A47,FB!A$2:G$55,3,0)</f>
        <v>76.930000000000007</v>
      </c>
      <c r="AN47">
        <f>VLOOKUP(A47,FCX!A$2:G$55,3,0)</f>
        <v>35.67</v>
      </c>
      <c r="AO47">
        <f>VLOOKUP(A47,FDX!A$2:G$55,3,0)</f>
        <v>154.24</v>
      </c>
      <c r="AP47">
        <f>VLOOKUP(A47,FOXA!A$2:G$55,3,0)</f>
        <v>36.56</v>
      </c>
      <c r="AQ47">
        <f>VLOOKUP(A47,GD!A$2:G$55,3,0)</f>
        <v>126.22</v>
      </c>
      <c r="AR47">
        <f>VLOOKUP(A47,GE!A$2:G$55,3,0)</f>
        <v>26.13</v>
      </c>
      <c r="AS47">
        <f>VLOOKUP(A47,GILD!A$2:G$55,3,0)</f>
        <v>110</v>
      </c>
      <c r="AT47">
        <f>VLOOKUP(A47,GM!A$2:G$55,3,0)</f>
        <v>34.92</v>
      </c>
      <c r="AU47">
        <f>VLOOKUP(A47,GOOG!A$2:G$55,3,0)</f>
        <v>586</v>
      </c>
      <c r="AV47">
        <f>VLOOKUP(A47,GOOGL!A$2:G$55,3,0)</f>
        <v>598</v>
      </c>
      <c r="AW47">
        <f>VLOOKUP(A47,GS!A$2:G$55,3,0)</f>
        <v>181.6</v>
      </c>
      <c r="AX47">
        <f>VLOOKUP(A47,HAL!A$2:G$55,3,0)</f>
        <v>67.94</v>
      </c>
      <c r="AY47">
        <f>VLOOKUP(A47,HD!A$2:G$55,3,0)</f>
        <v>90.75</v>
      </c>
      <c r="AZ47">
        <f>VLOOKUP(A47,HON!A$2:G$55,3,0)</f>
        <v>96.02</v>
      </c>
      <c r="BA47">
        <f>VLOOKUP(A47,HPQ!A$2:G$55,3,0)</f>
        <v>38.25</v>
      </c>
      <c r="BB47">
        <f>VLOOKUP(A47,IBM!A$2:G$55,3,0)</f>
        <v>192.69</v>
      </c>
      <c r="BC47">
        <f>VLOOKUP(A47,INTC!A$2:G$55,3,0)</f>
        <v>35.090000000000003</v>
      </c>
      <c r="BD47">
        <f>VLOOKUP(A47,JNJ!A$2:G$55,3,0)</f>
        <v>104.1</v>
      </c>
      <c r="BE47">
        <f>VLOOKUP(A47,JPM!A$2:G$55,3,0)</f>
        <v>60.14</v>
      </c>
      <c r="BF47">
        <f>VLOOKUP(A47,KO!A$2:G$55,3,0)</f>
        <v>42.17</v>
      </c>
      <c r="BG47">
        <f>VLOOKUP(A47,LLY!A$2:G$55,3,0)</f>
        <v>64.37</v>
      </c>
      <c r="BH47">
        <f>VLOOKUP(A47,LMT!A$2:G$55,3,0)</f>
        <v>174.49</v>
      </c>
      <c r="BI47">
        <f>VLOOKUP(A47,LOW!A$2:G$55,3,0)</f>
        <v>53.7</v>
      </c>
      <c r="BJ47">
        <f>VLOOKUP(A47,MA!A$2:G$55,3,0)</f>
        <v>76.819999999999993</v>
      </c>
      <c r="BK47">
        <f>VLOOKUP(A47,MCD!A$2:G$55,3,0)</f>
        <v>93.23</v>
      </c>
      <c r="BL47">
        <f>VLOOKUP(A47,MDLZ!A$2:G$55,3,0)</f>
        <v>36.020000000000003</v>
      </c>
      <c r="BM47">
        <f>VLOOKUP(A47,MDT!A$2:G$55,3,0)</f>
        <v>64.540000000000006</v>
      </c>
      <c r="BN47">
        <f>VLOOKUP(A47,MET!A$2:G$55,3,0)</f>
        <v>55.8</v>
      </c>
      <c r="BO47">
        <f>VLOOKUP(A47,MMM!A$2:G$55,3,0)</f>
        <v>144.65</v>
      </c>
      <c r="BP47">
        <f>VLOOKUP(A47,MO!A$2:G$55,3,0)</f>
        <v>43.48</v>
      </c>
      <c r="BQ47">
        <f>VLOOKUP(A47,MON!A$2:G$55,3,0)</f>
        <v>115.35</v>
      </c>
      <c r="BR47">
        <f>VLOOKUP(A47,MRK!A$2:G$55,3,0)</f>
        <v>61</v>
      </c>
      <c r="BS47">
        <f>VLOOKUP(A47,MS!A$2:G$55,3,0)</f>
        <v>34.909999999999997</v>
      </c>
      <c r="BT47">
        <f>VLOOKUP(A47,MSFT!A$2:G$55,3,0)</f>
        <v>45.27</v>
      </c>
      <c r="BU47">
        <f>VLOOKUP(A47,NKE!A$2:G$55,3,0)</f>
        <v>80.22</v>
      </c>
      <c r="BV47">
        <f>VLOOKUP(A47,NOV!A$2:G$55,3,0)</f>
        <v>85.25</v>
      </c>
      <c r="BW47">
        <f>VLOOKUP(A47,NSC!A$2:G$55,3,0)</f>
        <v>109.22</v>
      </c>
      <c r="BX47">
        <f>VLOOKUP(A47,ORCL!A$2:G$55,3,0)</f>
        <v>42.09</v>
      </c>
      <c r="BY47">
        <f>VLOOKUP(A47,OXY!A$2:G$55,3,0)</f>
        <v>103.47</v>
      </c>
      <c r="BZ47">
        <f>VLOOKUP(A47,PEP!A$2:G$55,3,0)</f>
        <v>93.15</v>
      </c>
      <c r="CA47">
        <f>VLOOKUP(A47,PFE!A$2:G$55,3,0)</f>
        <v>29.55</v>
      </c>
      <c r="CB47">
        <f>VLOOKUP(A47,PG!A$2:G$55,3,0)</f>
        <v>83.75</v>
      </c>
      <c r="CC47">
        <f>VLOOKUP(A47,PM!A$2:G$55,3,0)</f>
        <v>85.79</v>
      </c>
      <c r="CD47">
        <f>VLOOKUP(A47,QCOM!A$2:G$55,3,0)</f>
        <v>75.55</v>
      </c>
      <c r="CE47">
        <f>VLOOKUP(A47,RTN!A$2:G$55,3,0)</f>
        <v>97.48</v>
      </c>
      <c r="CF47">
        <f>VLOOKUP(A47,SBUX!A$2:G$55,3,0)</f>
        <v>77.37</v>
      </c>
      <c r="CG47">
        <f>VLOOKUP(A47,SLB!A$2:G$55,3,0)</f>
        <v>108.27</v>
      </c>
      <c r="CH47">
        <f>VLOOKUP(A47,SO!A$2:G$55,3,0)</f>
        <v>44.22</v>
      </c>
      <c r="CI47">
        <f>VLOOKUP(A47,SPG!A$2:G$55,3,0)</f>
        <v>172.07</v>
      </c>
      <c r="CJ47">
        <f>VLOOKUP(A47,T!A$2:G$55,3,0)</f>
        <v>35</v>
      </c>
      <c r="CK47">
        <f>VLOOKUP(A47,TGT!A$2:G$55,3,0)</f>
        <v>61.21</v>
      </c>
      <c r="CL47">
        <f>VLOOKUP(A47,TWX!A$2:G$55,3,0)</f>
        <v>77.790000000000006</v>
      </c>
      <c r="CM47">
        <f>VLOOKUP(A47,TXN!A$2:G$55,3,0)</f>
        <v>48.56</v>
      </c>
      <c r="CN47">
        <f>VLOOKUP(A47,UNH!A$2:G$55,3,0)</f>
        <v>88.45</v>
      </c>
      <c r="CO47">
        <f>VLOOKUP(A47,UNP!A$2:G$55,3,0)</f>
        <v>108.74</v>
      </c>
      <c r="CP47">
        <f>VLOOKUP(A47,UPS!A$2:G$55,3,0)</f>
        <v>99.07</v>
      </c>
      <c r="CQ47">
        <f>VLOOKUP(A47,USB!A$2:G$55,3,0)</f>
        <v>42.56</v>
      </c>
      <c r="CR47">
        <f>VLOOKUP(A47,UTX!A$2:G$55,3,0)</f>
        <v>109.65</v>
      </c>
      <c r="CS47">
        <f>VLOOKUP(A47,V!A$2:G$55,3,0)</f>
        <v>216.12</v>
      </c>
      <c r="CT47">
        <f>VLOOKUP(A47,VZ!A$2:G$55,3,0)</f>
        <v>49.94</v>
      </c>
      <c r="CU47">
        <f>VLOOKUP(A47,WAG!A$2:G$55,3,0)</f>
        <v>62.5</v>
      </c>
      <c r="CV47">
        <f>VLOOKUP(A47,WFC!A$2:G$55,3,0)</f>
        <v>51.92</v>
      </c>
      <c r="CW47">
        <f>VLOOKUP(A47,WMT!A$2:G$55,3,0)</f>
        <v>76.599999999999994</v>
      </c>
    </row>
    <row r="48" spans="1:101" x14ac:dyDescent="0.25">
      <c r="A48" s="34">
        <v>41887</v>
      </c>
      <c r="B48" s="36">
        <v>99.39</v>
      </c>
      <c r="C48">
        <f>VLOOKUP(A48,ABBV!A$2:G$55,3,0)</f>
        <v>55.94</v>
      </c>
      <c r="D48">
        <f>VLOOKUP(A48,ABT!A$2:G$55,3,0)</f>
        <v>42.96</v>
      </c>
      <c r="E48">
        <f>VLOOKUP(A48,ACN!A$2:G$55,3,0)</f>
        <v>82.07</v>
      </c>
      <c r="F48">
        <f>VLOOKUP(A48,AIG!A$2:G$55,3,0)</f>
        <v>55.35</v>
      </c>
      <c r="G48">
        <f>VLOOKUP(A48,ALL!A$2:G$55,3,0)</f>
        <v>61.47</v>
      </c>
      <c r="H48">
        <f>VLOOKUP(A48,AMGN!A$2:G$55,3,0)</f>
        <v>138.33000000000001</v>
      </c>
      <c r="I48">
        <f>VLOOKUP(A48,AMZN!A$2:G$55,3,0)</f>
        <v>346.83</v>
      </c>
      <c r="J48">
        <f>VLOOKUP(A48,APA!A$2:G$55,3,0)</f>
        <v>99.7</v>
      </c>
      <c r="K48">
        <f>VLOOKUP(A48,APC!A$2:G$55,3,0)</f>
        <v>109.93</v>
      </c>
      <c r="L48">
        <f>VLOOKUP(A48,AXP!A$2:G$55,3,0)</f>
        <v>89.74</v>
      </c>
      <c r="M48">
        <f>VLOOKUP(A48,BA!A$2:G$55,3,0)</f>
        <v>125.55</v>
      </c>
      <c r="N48">
        <f>VLOOKUP(A48,BAC!A$2:G$55,3,0)</f>
        <v>16.07</v>
      </c>
      <c r="O48">
        <f>VLOOKUP(A48,BAX!A$2:G$55,3,0)</f>
        <v>74.5</v>
      </c>
      <c r="P48">
        <f>VLOOKUP(A48,BIIB!A$2:G$55,3,0)</f>
        <v>335.75</v>
      </c>
      <c r="Q48">
        <f>VLOOKUP(A48,BK!A$2:G$55,3,0)</f>
        <v>39.56</v>
      </c>
      <c r="R48">
        <f>VLOOKUP(A48,BMY!A$2:G$55,3,0)</f>
        <v>51.14</v>
      </c>
      <c r="T48">
        <f>VLOOKUP(A48,'C'!A$2:G$55,3,0)</f>
        <v>52.49</v>
      </c>
      <c r="U48">
        <f>VLOOKUP(A48,CAT!A$2:G$55,3,0)</f>
        <v>109.18</v>
      </c>
      <c r="V48">
        <f>VLOOKUP(A48,CL!A$2:G$55,3,0)</f>
        <v>64.88</v>
      </c>
      <c r="W48">
        <f>VLOOKUP(A48,CMCSA!A$2:G$55,3,0)</f>
        <v>55.79</v>
      </c>
      <c r="X48">
        <f>VLOOKUP(A48,COF!A$2:G$55,3,0)</f>
        <v>82.85</v>
      </c>
      <c r="Y48">
        <f>VLOOKUP(A48,COP!A$2:G$55,3,0)</f>
        <v>80.489999999999995</v>
      </c>
      <c r="Z48">
        <f>VLOOKUP(A48,COST!A$2:G$55,3,0)</f>
        <v>127.03</v>
      </c>
      <c r="AA48">
        <f>VLOOKUP(A48,CSCO!A$2:G$55,3,0)</f>
        <v>25.07</v>
      </c>
      <c r="AB48">
        <f>VLOOKUP(A48,CVS!A$2:G$55,3,0)</f>
        <v>81.650000000000006</v>
      </c>
      <c r="AC48">
        <f>VLOOKUP(A48,CVX!A$2:G$55,3,0)</f>
        <v>127.44</v>
      </c>
      <c r="AD48">
        <f>VLOOKUP(A48,DD!A$2:G$55,3,0)</f>
        <v>66.16</v>
      </c>
      <c r="AE48">
        <f>VLOOKUP(A48,DIS!A$2:G$55,3,0)</f>
        <v>90.94</v>
      </c>
      <c r="AF48">
        <f>VLOOKUP(A48,DOW!A$2:G$55,3,0)</f>
        <v>54.92</v>
      </c>
      <c r="AG48">
        <f>VLOOKUP(A48,DVN!A$2:G$55,3,0)</f>
        <v>72.790000000000006</v>
      </c>
      <c r="AH48">
        <f>VLOOKUP(A48,EBAY!A$2:G$55,3,0)</f>
        <v>54.41</v>
      </c>
      <c r="AI48">
        <f>VLOOKUP(A48,EMC!A$2:G$55,3,0)</f>
        <v>29.07</v>
      </c>
      <c r="AJ48">
        <f>VLOOKUP(A48,EMR!A$2:G$55,3,0)</f>
        <v>65.3</v>
      </c>
      <c r="AK48">
        <f>VLOOKUP(A48,EXC!A$2:G$55,3,0)</f>
        <v>33.89</v>
      </c>
      <c r="AL48">
        <f>VLOOKUP(A48,F!A$2:G$55,3,0)</f>
        <v>17.3</v>
      </c>
      <c r="AM48">
        <f>VLOOKUP(A48,FB!A$2:G$55,3,0)</f>
        <v>77.38</v>
      </c>
      <c r="AN48">
        <f>VLOOKUP(A48,FCX!A$2:G$55,3,0)</f>
        <v>35.19</v>
      </c>
      <c r="AO48">
        <f>VLOOKUP(A48,FDX!A$2:G$55,3,0)</f>
        <v>153.35</v>
      </c>
      <c r="AP48">
        <f>VLOOKUP(A48,FOXA!A$2:G$55,3,0)</f>
        <v>36.33</v>
      </c>
      <c r="AQ48">
        <f>VLOOKUP(A48,GD!A$2:G$55,3,0)</f>
        <v>125.5</v>
      </c>
      <c r="AR48">
        <f>VLOOKUP(A48,GE!A$2:G$55,3,0)</f>
        <v>26.1</v>
      </c>
      <c r="AS48">
        <f>VLOOKUP(A48,GILD!A$2:G$55,3,0)</f>
        <v>106.5</v>
      </c>
      <c r="AT48">
        <f>VLOOKUP(A48,GM!A$2:G$55,3,0)</f>
        <v>34.61</v>
      </c>
      <c r="AU48">
        <f>VLOOKUP(A48,GOOG!A$2:G$55,3,0)</f>
        <v>586.54999999999995</v>
      </c>
      <c r="AV48">
        <f>VLOOKUP(A48,GOOGL!A$2:G$55,3,0)</f>
        <v>598.5</v>
      </c>
      <c r="AW48">
        <f>VLOOKUP(A48,GS!A$2:G$55,3,0)</f>
        <v>179.91</v>
      </c>
      <c r="AX48">
        <f>VLOOKUP(A48,HAL!A$2:G$55,3,0)</f>
        <v>67.64</v>
      </c>
      <c r="AY48">
        <f>VLOOKUP(A48,HD!A$2:G$55,3,0)</f>
        <v>91.64</v>
      </c>
      <c r="AZ48">
        <f>VLOOKUP(A48,HON!A$2:G$55,3,0)</f>
        <v>95.81</v>
      </c>
      <c r="BA48">
        <f>VLOOKUP(A48,HPQ!A$2:G$55,3,0)</f>
        <v>37.659999999999997</v>
      </c>
      <c r="BB48">
        <f>VLOOKUP(A48,IBM!A$2:G$55,3,0)</f>
        <v>191.75</v>
      </c>
      <c r="BC48">
        <f>VLOOKUP(A48,INTC!A$2:G$55,3,0)</f>
        <v>35.119999999999997</v>
      </c>
      <c r="BD48">
        <f>VLOOKUP(A48,JNJ!A$2:G$55,3,0)</f>
        <v>104.42</v>
      </c>
      <c r="BE48">
        <f>VLOOKUP(A48,JPM!A$2:G$55,3,0)</f>
        <v>59.91</v>
      </c>
      <c r="BF48">
        <f>VLOOKUP(A48,KO!A$2:G$55,3,0)</f>
        <v>41.86</v>
      </c>
      <c r="BG48">
        <f>VLOOKUP(A48,LLY!A$2:G$55,3,0)</f>
        <v>64.819999999999993</v>
      </c>
      <c r="BH48">
        <f>VLOOKUP(A48,LMT!A$2:G$55,3,0)</f>
        <v>174.65</v>
      </c>
      <c r="BI48">
        <f>VLOOKUP(A48,LOW!A$2:G$55,3,0)</f>
        <v>54.14</v>
      </c>
      <c r="BJ48">
        <f>VLOOKUP(A48,MA!A$2:G$55,3,0)</f>
        <v>76.930000000000007</v>
      </c>
      <c r="BK48">
        <f>VLOOKUP(A48,MCD!A$2:G$55,3,0)</f>
        <v>93.12</v>
      </c>
      <c r="BL48">
        <f>VLOOKUP(A48,MDLZ!A$2:G$55,3,0)</f>
        <v>35.74</v>
      </c>
      <c r="BM48">
        <f>VLOOKUP(A48,MDT!A$2:G$55,3,0)</f>
        <v>64.349999999999994</v>
      </c>
      <c r="BN48">
        <f>VLOOKUP(A48,MET!A$2:G$55,3,0)</f>
        <v>55.37</v>
      </c>
      <c r="BO48">
        <f>VLOOKUP(A48,MMM!A$2:G$55,3,0)</f>
        <v>144.32</v>
      </c>
      <c r="BP48">
        <f>VLOOKUP(A48,MO!A$2:G$55,3,0)</f>
        <v>43.41</v>
      </c>
      <c r="BQ48">
        <f>VLOOKUP(A48,MON!A$2:G$55,3,0)</f>
        <v>114.43</v>
      </c>
      <c r="BR48">
        <f>VLOOKUP(A48,MRK!A$2:G$55,3,0)</f>
        <v>61.18</v>
      </c>
      <c r="BS48">
        <f>VLOOKUP(A48,MS!A$2:G$55,3,0)</f>
        <v>34.64</v>
      </c>
      <c r="BT48">
        <f>VLOOKUP(A48,MSFT!A$2:G$55,3,0)</f>
        <v>45.93</v>
      </c>
      <c r="BU48">
        <f>VLOOKUP(A48,NKE!A$2:G$55,3,0)</f>
        <v>82.11</v>
      </c>
      <c r="BV48">
        <f>VLOOKUP(A48,NOV!A$2:G$55,3,0)</f>
        <v>83.89</v>
      </c>
      <c r="BW48">
        <f>VLOOKUP(A48,NSC!A$2:G$55,3,0)</f>
        <v>109.61</v>
      </c>
      <c r="BX48">
        <f>VLOOKUP(A48,ORCL!A$2:G$55,3,0)</f>
        <v>41.76</v>
      </c>
      <c r="BY48">
        <f>VLOOKUP(A48,OXY!A$2:G$55,3,0)</f>
        <v>102.58</v>
      </c>
      <c r="BZ48">
        <f>VLOOKUP(A48,PEP!A$2:G$55,3,0)</f>
        <v>91.85</v>
      </c>
      <c r="CA48">
        <f>VLOOKUP(A48,PFE!A$2:G$55,3,0)</f>
        <v>29.66</v>
      </c>
      <c r="CB48">
        <f>VLOOKUP(A48,PG!A$2:G$55,3,0)</f>
        <v>83.8</v>
      </c>
      <c r="CC48">
        <f>VLOOKUP(A48,PM!A$2:G$55,3,0)</f>
        <v>85.5</v>
      </c>
      <c r="CD48">
        <f>VLOOKUP(A48,QCOM!A$2:G$55,3,0)</f>
        <v>75.849999999999994</v>
      </c>
      <c r="CE48">
        <f>VLOOKUP(A48,RTN!A$2:G$55,3,0)</f>
        <v>97.9</v>
      </c>
      <c r="CF48">
        <f>VLOOKUP(A48,SBUX!A$2:G$55,3,0)</f>
        <v>77.97</v>
      </c>
      <c r="CG48">
        <f>VLOOKUP(A48,SLB!A$2:G$55,3,0)</f>
        <v>106.79</v>
      </c>
      <c r="CH48">
        <f>VLOOKUP(A48,SO!A$2:G$55,3,0)</f>
        <v>44.79</v>
      </c>
      <c r="CI48">
        <f>VLOOKUP(A48,SPG!A$2:G$55,3,0)</f>
        <v>173.31</v>
      </c>
      <c r="CJ48">
        <f>VLOOKUP(A48,T!A$2:G$55,3,0)</f>
        <v>35.26</v>
      </c>
      <c r="CK48">
        <f>VLOOKUP(A48,TGT!A$2:G$55,3,0)</f>
        <v>61.15</v>
      </c>
      <c r="CL48">
        <f>VLOOKUP(A48,TWX!A$2:G$55,3,0)</f>
        <v>77.25</v>
      </c>
      <c r="CM48">
        <f>VLOOKUP(A48,TXN!A$2:G$55,3,0)</f>
        <v>48.59</v>
      </c>
      <c r="CN48">
        <f>VLOOKUP(A48,UNH!A$2:G$55,3,0)</f>
        <v>87.8</v>
      </c>
      <c r="CO48">
        <f>VLOOKUP(A48,UNP!A$2:G$55,3,0)</f>
        <v>107.88</v>
      </c>
      <c r="CP48">
        <f>VLOOKUP(A48,UPS!A$2:G$55,3,0)</f>
        <v>98.91</v>
      </c>
      <c r="CQ48">
        <f>VLOOKUP(A48,USB!A$2:G$55,3,0)</f>
        <v>42.22</v>
      </c>
      <c r="CR48">
        <f>VLOOKUP(A48,UTX!A$2:G$55,3,0)</f>
        <v>109.51</v>
      </c>
      <c r="CS48">
        <f>VLOOKUP(A48,V!A$2:G$55,3,0)</f>
        <v>214.37</v>
      </c>
      <c r="CT48">
        <f>VLOOKUP(A48,VZ!A$2:G$55,3,0)</f>
        <v>50.03</v>
      </c>
      <c r="CU48">
        <f>VLOOKUP(A48,WAG!A$2:G$55,3,0)</f>
        <v>65</v>
      </c>
      <c r="CV48">
        <f>VLOOKUP(A48,WFC!A$2:G$55,3,0)</f>
        <v>51.65</v>
      </c>
      <c r="CW48">
        <f>VLOOKUP(A48,WMT!A$2:G$55,3,0)</f>
        <v>77.73</v>
      </c>
    </row>
    <row r="49" spans="1:101" x14ac:dyDescent="0.25">
      <c r="A49" s="34">
        <v>41890</v>
      </c>
      <c r="B49" s="36">
        <v>99.31</v>
      </c>
      <c r="C49">
        <f>VLOOKUP(A49,ABBV!A$2:G$55,3,0)</f>
        <v>55.95</v>
      </c>
      <c r="D49">
        <f>VLOOKUP(A49,ABT!A$2:G$55,3,0)</f>
        <v>43.08</v>
      </c>
      <c r="E49">
        <f>VLOOKUP(A49,ACN!A$2:G$55,3,0)</f>
        <v>82.05</v>
      </c>
      <c r="F49">
        <f>VLOOKUP(A49,AIG!A$2:G$55,3,0)</f>
        <v>55.61</v>
      </c>
      <c r="G49">
        <f>VLOOKUP(A49,ALL!A$2:G$55,3,0)</f>
        <v>61.84</v>
      </c>
      <c r="H49">
        <f>VLOOKUP(A49,AMGN!A$2:G$55,3,0)</f>
        <v>139.36000000000001</v>
      </c>
      <c r="I49">
        <f>VLOOKUP(A49,AMZN!A$2:G$55,3,0)</f>
        <v>345.81</v>
      </c>
      <c r="J49">
        <f>VLOOKUP(A49,APA!A$2:G$55,3,0)</f>
        <v>98.86</v>
      </c>
      <c r="K49">
        <f>VLOOKUP(A49,APC!A$2:G$55,3,0)</f>
        <v>108.64</v>
      </c>
      <c r="L49">
        <f>VLOOKUP(A49,AXP!A$2:G$55,3,0)</f>
        <v>89.83</v>
      </c>
      <c r="M49">
        <f>VLOOKUP(A49,BA!A$2:G$55,3,0)</f>
        <v>128.25</v>
      </c>
      <c r="N49">
        <f>VLOOKUP(A49,BAC!A$2:G$55,3,0)</f>
        <v>16.37</v>
      </c>
      <c r="O49">
        <f>VLOOKUP(A49,BAX!A$2:G$55,3,0)</f>
        <v>74.650000000000006</v>
      </c>
      <c r="P49">
        <f>VLOOKUP(A49,BIIB!A$2:G$55,3,0)</f>
        <v>331.85</v>
      </c>
      <c r="Q49">
        <f>VLOOKUP(A49,BK!A$2:G$55,3,0)</f>
        <v>39.67</v>
      </c>
      <c r="R49">
        <f>VLOOKUP(A49,BMY!A$2:G$55,3,0)</f>
        <v>51.25</v>
      </c>
      <c r="T49">
        <f>VLOOKUP(A49,'C'!A$2:G$55,3,0)</f>
        <v>52.77</v>
      </c>
      <c r="U49">
        <f>VLOOKUP(A49,CAT!A$2:G$55,3,0)</f>
        <v>108.46</v>
      </c>
      <c r="V49">
        <f>VLOOKUP(A49,CL!A$2:G$55,3,0)</f>
        <v>64.53</v>
      </c>
      <c r="W49">
        <f>VLOOKUP(A49,CMCSA!A$2:G$55,3,0)</f>
        <v>56</v>
      </c>
      <c r="X49">
        <f>VLOOKUP(A49,COF!A$2:G$55,3,0)</f>
        <v>82.78</v>
      </c>
      <c r="Y49">
        <f>VLOOKUP(A49,COP!A$2:G$55,3,0)</f>
        <v>80.05</v>
      </c>
      <c r="Z49">
        <f>VLOOKUP(A49,COST!A$2:G$55,3,0)</f>
        <v>127.32</v>
      </c>
      <c r="AA49">
        <f>VLOOKUP(A49,CSCO!A$2:G$55,3,0)</f>
        <v>25.09</v>
      </c>
      <c r="AB49">
        <f>VLOOKUP(A49,CVS!A$2:G$55,3,0)</f>
        <v>82.12</v>
      </c>
      <c r="AC49">
        <f>VLOOKUP(A49,CVX!A$2:G$55,3,0)</f>
        <v>126.75</v>
      </c>
      <c r="AD49">
        <f>VLOOKUP(A49,DD!A$2:G$55,3,0)</f>
        <v>66.09</v>
      </c>
      <c r="AE49">
        <f>VLOOKUP(A49,DIS!A$2:G$55,3,0)</f>
        <v>90.84</v>
      </c>
      <c r="AF49">
        <f>VLOOKUP(A49,DOW!A$2:G$55,3,0)</f>
        <v>54.94</v>
      </c>
      <c r="AG49">
        <f>VLOOKUP(A49,DVN!A$2:G$55,3,0)</f>
        <v>72.2</v>
      </c>
      <c r="AH49">
        <f>VLOOKUP(A49,EBAY!A$2:G$55,3,0)</f>
        <v>54.28</v>
      </c>
      <c r="AI49">
        <f>VLOOKUP(A49,EMC!A$2:G$55,3,0)</f>
        <v>29.32</v>
      </c>
      <c r="AJ49">
        <f>VLOOKUP(A49,EMR!A$2:G$55,3,0)</f>
        <v>65.319999999999993</v>
      </c>
      <c r="AK49">
        <f>VLOOKUP(A49,EXC!A$2:G$55,3,0)</f>
        <v>33.950000000000003</v>
      </c>
      <c r="AL49">
        <f>VLOOKUP(A49,F!A$2:G$55,3,0)</f>
        <v>16.87</v>
      </c>
      <c r="AM49">
        <f>VLOOKUP(A49,FB!A$2:G$55,3,0)</f>
        <v>78.17</v>
      </c>
      <c r="AN49">
        <f>VLOOKUP(A49,FCX!A$2:G$55,3,0)</f>
        <v>35.020000000000003</v>
      </c>
      <c r="AO49">
        <f>VLOOKUP(A49,FDX!A$2:G$55,3,0)</f>
        <v>153.25</v>
      </c>
      <c r="AP49">
        <f>VLOOKUP(A49,FOXA!A$2:G$55,3,0)</f>
        <v>36.36</v>
      </c>
      <c r="AQ49">
        <f>VLOOKUP(A49,GD!A$2:G$55,3,0)</f>
        <v>126.45</v>
      </c>
      <c r="AR49">
        <f>VLOOKUP(A49,GE!A$2:G$55,3,0)</f>
        <v>26.27</v>
      </c>
      <c r="AS49">
        <f>VLOOKUP(A49,GILD!A$2:G$55,3,0)</f>
        <v>106.85</v>
      </c>
      <c r="AT49">
        <f>VLOOKUP(A49,GM!A$2:G$55,3,0)</f>
        <v>34.15</v>
      </c>
      <c r="AU49">
        <f>VLOOKUP(A49,GOOG!A$2:G$55,3,0)</f>
        <v>591.77</v>
      </c>
      <c r="AV49">
        <f>VLOOKUP(A49,GOOGL!A$2:G$55,3,0)</f>
        <v>603.52</v>
      </c>
      <c r="AW49">
        <f>VLOOKUP(A49,GS!A$2:G$55,3,0)</f>
        <v>180.92</v>
      </c>
      <c r="AX49">
        <f>VLOOKUP(A49,HAL!A$2:G$55,3,0)</f>
        <v>67.14</v>
      </c>
      <c r="AY49">
        <f>VLOOKUP(A49,HD!A$2:G$55,3,0)</f>
        <v>91.78</v>
      </c>
      <c r="AZ49">
        <f>VLOOKUP(A49,HON!A$2:G$55,3,0)</f>
        <v>95.63</v>
      </c>
      <c r="BA49">
        <f>VLOOKUP(A49,HPQ!A$2:G$55,3,0)</f>
        <v>37.47</v>
      </c>
      <c r="BB49">
        <f>VLOOKUP(A49,IBM!A$2:G$55,3,0)</f>
        <v>191.2</v>
      </c>
      <c r="BC49">
        <f>VLOOKUP(A49,INTC!A$2:G$55,3,0)</f>
        <v>35.56</v>
      </c>
      <c r="BD49">
        <f>VLOOKUP(A49,JNJ!A$2:G$55,3,0)</f>
        <v>104.58</v>
      </c>
      <c r="BE49">
        <f>VLOOKUP(A49,JPM!A$2:G$55,3,0)</f>
        <v>60.22</v>
      </c>
      <c r="BF49">
        <f>VLOOKUP(A49,KO!A$2:G$55,3,0)</f>
        <v>41.94</v>
      </c>
      <c r="BG49">
        <f>VLOOKUP(A49,LLY!A$2:G$55,3,0)</f>
        <v>65.25</v>
      </c>
      <c r="BH49">
        <f>VLOOKUP(A49,LMT!A$2:G$55,3,0)</f>
        <v>175.57</v>
      </c>
      <c r="BI49">
        <f>VLOOKUP(A49,LOW!A$2:G$55,3,0)</f>
        <v>54.13</v>
      </c>
      <c r="BJ49">
        <f>VLOOKUP(A49,MA!A$2:G$55,3,0)</f>
        <v>76.849999999999994</v>
      </c>
      <c r="BK49">
        <f>VLOOKUP(A49,MCD!A$2:G$55,3,0)</f>
        <v>92.82</v>
      </c>
      <c r="BL49">
        <f>VLOOKUP(A49,MDLZ!A$2:G$55,3,0)</f>
        <v>35.69</v>
      </c>
      <c r="BM49">
        <f>VLOOKUP(A49,MDT!A$2:G$55,3,0)</f>
        <v>64.989999999999995</v>
      </c>
      <c r="BN49">
        <f>VLOOKUP(A49,MET!A$2:G$55,3,0)</f>
        <v>55.53</v>
      </c>
      <c r="BO49">
        <f>VLOOKUP(A49,MMM!A$2:G$55,3,0)</f>
        <v>145.44999999999999</v>
      </c>
      <c r="BP49">
        <f>VLOOKUP(A49,MO!A$2:G$55,3,0)</f>
        <v>43.6</v>
      </c>
      <c r="BQ49">
        <f>VLOOKUP(A49,MON!A$2:G$55,3,0)</f>
        <v>114.81</v>
      </c>
      <c r="BR49">
        <f>VLOOKUP(A49,MRK!A$2:G$55,3,0)</f>
        <v>61.33</v>
      </c>
      <c r="BS49">
        <f>VLOOKUP(A49,MS!A$2:G$55,3,0)</f>
        <v>35.090000000000003</v>
      </c>
      <c r="BT49">
        <f>VLOOKUP(A49,MSFT!A$2:G$55,3,0)</f>
        <v>46.8</v>
      </c>
      <c r="BU49">
        <f>VLOOKUP(A49,NKE!A$2:G$55,3,0)</f>
        <v>82.79</v>
      </c>
      <c r="BV49">
        <f>VLOOKUP(A49,NOV!A$2:G$55,3,0)</f>
        <v>83.2</v>
      </c>
      <c r="BW49">
        <f>VLOOKUP(A49,NSC!A$2:G$55,3,0)</f>
        <v>109.7</v>
      </c>
      <c r="BX49">
        <f>VLOOKUP(A49,ORCL!A$2:G$55,3,0)</f>
        <v>41.18</v>
      </c>
      <c r="BY49">
        <f>VLOOKUP(A49,OXY!A$2:G$55,3,0)</f>
        <v>100.32</v>
      </c>
      <c r="BZ49">
        <f>VLOOKUP(A49,PEP!A$2:G$55,3,0)</f>
        <v>92.25</v>
      </c>
      <c r="CA49">
        <f>VLOOKUP(A49,PFE!A$2:G$55,3,0)</f>
        <v>29.65</v>
      </c>
      <c r="CB49">
        <f>VLOOKUP(A49,PG!A$2:G$55,3,0)</f>
        <v>83.6</v>
      </c>
      <c r="CC49">
        <f>VLOOKUP(A49,PM!A$2:G$55,3,0)</f>
        <v>85.36</v>
      </c>
      <c r="CD49">
        <f>VLOOKUP(A49,QCOM!A$2:G$55,3,0)</f>
        <v>76.239999999999995</v>
      </c>
      <c r="CE49">
        <f>VLOOKUP(A49,RTN!A$2:G$55,3,0)</f>
        <v>98.71</v>
      </c>
      <c r="CF49">
        <f>VLOOKUP(A49,SBUX!A$2:G$55,3,0)</f>
        <v>77.959999999999994</v>
      </c>
      <c r="CG49">
        <f>VLOOKUP(A49,SLB!A$2:G$55,3,0)</f>
        <v>105.99</v>
      </c>
      <c r="CH49">
        <f>VLOOKUP(A49,SO!A$2:G$55,3,0)</f>
        <v>44.82</v>
      </c>
      <c r="CI49">
        <f>VLOOKUP(A49,SPG!A$2:G$55,3,0)</f>
        <v>173.23</v>
      </c>
      <c r="CJ49">
        <f>VLOOKUP(A49,T!A$2:G$55,3,0)</f>
        <v>35.119999999999997</v>
      </c>
      <c r="CK49">
        <f>VLOOKUP(A49,TGT!A$2:G$55,3,0)</f>
        <v>61.2</v>
      </c>
      <c r="CL49">
        <f>VLOOKUP(A49,TWX!A$2:G$55,3,0)</f>
        <v>77.47</v>
      </c>
      <c r="CM49">
        <f>VLOOKUP(A49,TXN!A$2:G$55,3,0)</f>
        <v>48.77</v>
      </c>
      <c r="CN49">
        <f>VLOOKUP(A49,UNH!A$2:G$55,3,0)</f>
        <v>88</v>
      </c>
      <c r="CO49">
        <f>VLOOKUP(A49,UNP!A$2:G$55,3,0)</f>
        <v>107.9</v>
      </c>
      <c r="CP49">
        <f>VLOOKUP(A49,UPS!A$2:G$55,3,0)</f>
        <v>98.95</v>
      </c>
      <c r="CQ49">
        <f>VLOOKUP(A49,USB!A$2:G$55,3,0)</f>
        <v>42.2</v>
      </c>
      <c r="CR49">
        <f>VLOOKUP(A49,UTX!A$2:G$55,3,0)</f>
        <v>108.94</v>
      </c>
      <c r="CS49">
        <f>VLOOKUP(A49,V!A$2:G$55,3,0)</f>
        <v>216.22</v>
      </c>
      <c r="CT49">
        <f>VLOOKUP(A49,VZ!A$2:G$55,3,0)</f>
        <v>49.88</v>
      </c>
      <c r="CU49">
        <f>VLOOKUP(A49,WAG!A$2:G$55,3,0)</f>
        <v>65.19</v>
      </c>
      <c r="CV49">
        <f>VLOOKUP(A49,WFC!A$2:G$55,3,0)</f>
        <v>51.73</v>
      </c>
      <c r="CW49">
        <f>VLOOKUP(A49,WMT!A$2:G$55,3,0)</f>
        <v>77.319999999999993</v>
      </c>
    </row>
    <row r="50" spans="1:101" x14ac:dyDescent="0.25">
      <c r="A50" s="34">
        <v>41891</v>
      </c>
      <c r="B50" s="36">
        <v>103.08</v>
      </c>
      <c r="C50">
        <f>VLOOKUP(A50,ABBV!A$2:G$55,3,0)</f>
        <v>57.18</v>
      </c>
      <c r="D50">
        <f>VLOOKUP(A50,ABT!A$2:G$55,3,0)</f>
        <v>42.98</v>
      </c>
      <c r="E50">
        <f>VLOOKUP(A50,ACN!A$2:G$55,3,0)</f>
        <v>81.739999999999995</v>
      </c>
      <c r="F50">
        <f>VLOOKUP(A50,AIG!A$2:G$55,3,0)</f>
        <v>55.25</v>
      </c>
      <c r="G50">
        <f>VLOOKUP(A50,ALL!A$2:G$55,3,0)</f>
        <v>61.36</v>
      </c>
      <c r="H50">
        <f>VLOOKUP(A50,AMGN!A$2:G$55,3,0)</f>
        <v>138.97999999999999</v>
      </c>
      <c r="I50">
        <f>VLOOKUP(A50,AMZN!A$2:G$55,3,0)</f>
        <v>341.76</v>
      </c>
      <c r="J50">
        <f>VLOOKUP(A50,APA!A$2:G$55,3,0)</f>
        <v>98.59</v>
      </c>
      <c r="K50">
        <f>VLOOKUP(A50,APC!A$2:G$55,3,0)</f>
        <v>107.77</v>
      </c>
      <c r="L50">
        <f>VLOOKUP(A50,AXP!A$2:G$55,3,0)</f>
        <v>88.9</v>
      </c>
      <c r="M50">
        <f>VLOOKUP(A50,BA!A$2:G$55,3,0)</f>
        <v>128.68</v>
      </c>
      <c r="N50">
        <f>VLOOKUP(A50,BAC!A$2:G$55,3,0)</f>
        <v>16.260000000000002</v>
      </c>
      <c r="O50">
        <f>VLOOKUP(A50,BAX!A$2:G$55,3,0)</f>
        <v>74.510000000000005</v>
      </c>
      <c r="P50">
        <f>VLOOKUP(A50,BIIB!A$2:G$55,3,0)</f>
        <v>330.74</v>
      </c>
      <c r="Q50">
        <f>VLOOKUP(A50,BK!A$2:G$55,3,0)</f>
        <v>39.33</v>
      </c>
      <c r="R50">
        <f>VLOOKUP(A50,BMY!A$2:G$55,3,0)</f>
        <v>51.25</v>
      </c>
      <c r="T50">
        <f>VLOOKUP(A50,'C'!A$2:G$55,3,0)</f>
        <v>51.78</v>
      </c>
      <c r="U50">
        <f>VLOOKUP(A50,CAT!A$2:G$55,3,0)</f>
        <v>108.2</v>
      </c>
      <c r="V50">
        <f>VLOOKUP(A50,CL!A$2:G$55,3,0)</f>
        <v>63.72</v>
      </c>
      <c r="W50">
        <f>VLOOKUP(A50,CMCSA!A$2:G$55,3,0)</f>
        <v>56.77</v>
      </c>
      <c r="X50">
        <f>VLOOKUP(A50,COF!A$2:G$55,3,0)</f>
        <v>82.06</v>
      </c>
      <c r="Y50">
        <f>VLOOKUP(A50,COP!A$2:G$55,3,0)</f>
        <v>79.75</v>
      </c>
      <c r="Z50">
        <f>VLOOKUP(A50,COST!A$2:G$55,3,0)</f>
        <v>126.49</v>
      </c>
      <c r="AA50">
        <f>VLOOKUP(A50,CSCO!A$2:G$55,3,0)</f>
        <v>24.97</v>
      </c>
      <c r="AB50">
        <f>VLOOKUP(A50,CVS!A$2:G$55,3,0)</f>
        <v>81.56</v>
      </c>
      <c r="AC50">
        <f>VLOOKUP(A50,CVX!A$2:G$55,3,0)</f>
        <v>125.79</v>
      </c>
      <c r="AD50">
        <f>VLOOKUP(A50,DD!A$2:G$55,3,0)</f>
        <v>65.680000000000007</v>
      </c>
      <c r="AE50">
        <f>VLOOKUP(A50,DIS!A$2:G$55,3,0)</f>
        <v>90.54</v>
      </c>
      <c r="AF50">
        <f>VLOOKUP(A50,DOW!A$2:G$55,3,0)</f>
        <v>54.3</v>
      </c>
      <c r="AG50">
        <f>VLOOKUP(A50,DVN!A$2:G$55,3,0)</f>
        <v>71.42</v>
      </c>
      <c r="AH50">
        <f>VLOOKUP(A50,EBAY!A$2:G$55,3,0)</f>
        <v>55</v>
      </c>
      <c r="AI50">
        <f>VLOOKUP(A50,EMC!A$2:G$55,3,0)</f>
        <v>29.41</v>
      </c>
      <c r="AJ50">
        <f>VLOOKUP(A50,EMR!A$2:G$55,3,0)</f>
        <v>65.430000000000007</v>
      </c>
      <c r="AK50">
        <f>VLOOKUP(A50,EXC!A$2:G$55,3,0)</f>
        <v>33.299999999999997</v>
      </c>
      <c r="AL50">
        <f>VLOOKUP(A50,F!A$2:G$55,3,0)</f>
        <v>16.82</v>
      </c>
      <c r="AM50">
        <f>VLOOKUP(A50,FB!A$2:G$55,3,0)</f>
        <v>78.17</v>
      </c>
      <c r="AN50">
        <f>VLOOKUP(A50,FCX!A$2:G$55,3,0)</f>
        <v>35</v>
      </c>
      <c r="AO50">
        <f>VLOOKUP(A50,FDX!A$2:G$55,3,0)</f>
        <v>152.4</v>
      </c>
      <c r="AP50">
        <f>VLOOKUP(A50,FOXA!A$2:G$55,3,0)</f>
        <v>35.89</v>
      </c>
      <c r="AQ50">
        <f>VLOOKUP(A50,GD!A$2:G$55,3,0)</f>
        <v>127.02</v>
      </c>
      <c r="AR50">
        <f>VLOOKUP(A50,GE!A$2:G$55,3,0)</f>
        <v>26.11</v>
      </c>
      <c r="AS50">
        <f>VLOOKUP(A50,GILD!A$2:G$55,3,0)</f>
        <v>106.98</v>
      </c>
      <c r="AT50">
        <f>VLOOKUP(A50,GM!A$2:G$55,3,0)</f>
        <v>33.299999999999997</v>
      </c>
      <c r="AU50">
        <f>VLOOKUP(A50,GOOG!A$2:G$55,3,0)</f>
        <v>589</v>
      </c>
      <c r="AV50">
        <f>VLOOKUP(A50,GOOGL!A$2:G$55,3,0)</f>
        <v>600.6</v>
      </c>
      <c r="AW50">
        <f>VLOOKUP(A50,GS!A$2:G$55,3,0)</f>
        <v>178.64</v>
      </c>
      <c r="AX50">
        <f>VLOOKUP(A50,HAL!A$2:G$55,3,0)</f>
        <v>66.92</v>
      </c>
      <c r="AY50">
        <f>VLOOKUP(A50,HD!A$2:G$55,3,0)</f>
        <v>90.33</v>
      </c>
      <c r="AZ50">
        <f>VLOOKUP(A50,HON!A$2:G$55,3,0)</f>
        <v>95.28</v>
      </c>
      <c r="BA50">
        <f>VLOOKUP(A50,HPQ!A$2:G$55,3,0)</f>
        <v>37.15</v>
      </c>
      <c r="BB50">
        <f>VLOOKUP(A50,IBM!A$2:G$55,3,0)</f>
        <v>190.74</v>
      </c>
      <c r="BC50">
        <f>VLOOKUP(A50,INTC!A$2:G$55,3,0)</f>
        <v>35.29</v>
      </c>
      <c r="BD50">
        <f>VLOOKUP(A50,JNJ!A$2:G$55,3,0)</f>
        <v>104.4</v>
      </c>
      <c r="BE50">
        <f>VLOOKUP(A50,JPM!A$2:G$55,3,0)</f>
        <v>59.68</v>
      </c>
      <c r="BF50">
        <f>VLOOKUP(A50,KO!A$2:G$55,3,0)</f>
        <v>42.03</v>
      </c>
      <c r="BG50">
        <f>VLOOKUP(A50,LLY!A$2:G$55,3,0)</f>
        <v>64.83</v>
      </c>
      <c r="BH50">
        <f>VLOOKUP(A50,LMT!A$2:G$55,3,0)</f>
        <v>176.35</v>
      </c>
      <c r="BI50">
        <f>VLOOKUP(A50,LOW!A$2:G$55,3,0)</f>
        <v>53.54</v>
      </c>
      <c r="BJ50">
        <f>VLOOKUP(A50,MA!A$2:G$55,3,0)</f>
        <v>76.510000000000005</v>
      </c>
      <c r="BK50">
        <f>VLOOKUP(A50,MCD!A$2:G$55,3,0)</f>
        <v>92.7</v>
      </c>
      <c r="BL50">
        <f>VLOOKUP(A50,MDLZ!A$2:G$55,3,0)</f>
        <v>35.700000000000003</v>
      </c>
      <c r="BM50">
        <f>VLOOKUP(A50,MDT!A$2:G$55,3,0)</f>
        <v>65.91</v>
      </c>
      <c r="BN50">
        <f>VLOOKUP(A50,MET!A$2:G$55,3,0)</f>
        <v>54.84</v>
      </c>
      <c r="BO50">
        <f>VLOOKUP(A50,MMM!A$2:G$55,3,0)</f>
        <v>145.26</v>
      </c>
      <c r="BP50">
        <f>VLOOKUP(A50,MO!A$2:G$55,3,0)</f>
        <v>43.66</v>
      </c>
      <c r="BQ50">
        <f>VLOOKUP(A50,MON!A$2:G$55,3,0)</f>
        <v>114.9</v>
      </c>
      <c r="BR50">
        <f>VLOOKUP(A50,MRK!A$2:G$55,3,0)</f>
        <v>61.03</v>
      </c>
      <c r="BS50">
        <f>VLOOKUP(A50,MS!A$2:G$55,3,0)</f>
        <v>34.44</v>
      </c>
      <c r="BT50">
        <f>VLOOKUP(A50,MSFT!A$2:G$55,3,0)</f>
        <v>46.97</v>
      </c>
      <c r="BU50">
        <f>VLOOKUP(A50,NKE!A$2:G$55,3,0)</f>
        <v>82.54</v>
      </c>
      <c r="BV50">
        <f>VLOOKUP(A50,NOV!A$2:G$55,3,0)</f>
        <v>82.69</v>
      </c>
      <c r="BW50">
        <f>VLOOKUP(A50,NSC!A$2:G$55,3,0)</f>
        <v>109.2</v>
      </c>
      <c r="BX50">
        <f>VLOOKUP(A50,ORCL!A$2:G$55,3,0)</f>
        <v>40.909999999999997</v>
      </c>
      <c r="BY50">
        <f>VLOOKUP(A50,OXY!A$2:G$55,3,0)</f>
        <v>99.27</v>
      </c>
      <c r="BZ50">
        <f>VLOOKUP(A50,PEP!A$2:G$55,3,0)</f>
        <v>91.79</v>
      </c>
      <c r="CA50">
        <f>VLOOKUP(A50,PFE!A$2:G$55,3,0)</f>
        <v>29.44</v>
      </c>
      <c r="CB50">
        <f>VLOOKUP(A50,PG!A$2:G$55,3,0)</f>
        <v>83.29</v>
      </c>
      <c r="CC50">
        <f>VLOOKUP(A50,PM!A$2:G$55,3,0)</f>
        <v>84.31</v>
      </c>
      <c r="CD50">
        <f>VLOOKUP(A50,QCOM!A$2:G$55,3,0)</f>
        <v>76.11</v>
      </c>
      <c r="CE50">
        <f>VLOOKUP(A50,RTN!A$2:G$55,3,0)</f>
        <v>99.89</v>
      </c>
      <c r="CF50">
        <f>VLOOKUP(A50,SBUX!A$2:G$55,3,0)</f>
        <v>77.75</v>
      </c>
      <c r="CG50">
        <f>VLOOKUP(A50,SLB!A$2:G$55,3,0)</f>
        <v>105.42</v>
      </c>
      <c r="CH50">
        <f>VLOOKUP(A50,SO!A$2:G$55,3,0)</f>
        <v>44.5</v>
      </c>
      <c r="CI50">
        <f>VLOOKUP(A50,SPG!A$2:G$55,3,0)</f>
        <v>172.96</v>
      </c>
      <c r="CJ50">
        <f>VLOOKUP(A50,T!A$2:G$55,3,0)</f>
        <v>35.06</v>
      </c>
      <c r="CK50">
        <f>VLOOKUP(A50,TGT!A$2:G$55,3,0)</f>
        <v>60.91</v>
      </c>
      <c r="CL50">
        <f>VLOOKUP(A50,TWX!A$2:G$55,3,0)</f>
        <v>77.3</v>
      </c>
      <c r="CM50">
        <f>VLOOKUP(A50,TXN!A$2:G$55,3,0)</f>
        <v>48.52</v>
      </c>
      <c r="CN50">
        <f>VLOOKUP(A50,UNH!A$2:G$55,3,0)</f>
        <v>88.85</v>
      </c>
      <c r="CO50">
        <f>VLOOKUP(A50,UNP!A$2:G$55,3,0)</f>
        <v>107.94</v>
      </c>
      <c r="CP50">
        <f>VLOOKUP(A50,UPS!A$2:G$55,3,0)</f>
        <v>98.34</v>
      </c>
      <c r="CQ50">
        <f>VLOOKUP(A50,USB!A$2:G$55,3,0)</f>
        <v>41.91</v>
      </c>
      <c r="CR50">
        <f>VLOOKUP(A50,UTX!A$2:G$55,3,0)</f>
        <v>108.98</v>
      </c>
      <c r="CS50">
        <f>VLOOKUP(A50,V!A$2:G$55,3,0)</f>
        <v>215.47</v>
      </c>
      <c r="CT50">
        <f>VLOOKUP(A50,VZ!A$2:G$55,3,0)</f>
        <v>49.52</v>
      </c>
      <c r="CU50">
        <f>VLOOKUP(A50,WAG!A$2:G$55,3,0)</f>
        <v>63.74</v>
      </c>
      <c r="CV50">
        <f>VLOOKUP(A50,WFC!A$2:G$55,3,0)</f>
        <v>51.36</v>
      </c>
      <c r="CW50">
        <f>VLOOKUP(A50,WMT!A$2:G$55,3,0)</f>
        <v>77</v>
      </c>
    </row>
    <row r="51" spans="1:101" x14ac:dyDescent="0.25">
      <c r="A51" s="34">
        <v>41892</v>
      </c>
      <c r="B51" s="36">
        <v>101.11</v>
      </c>
      <c r="C51">
        <f>VLOOKUP(A51,ABBV!A$2:G$55,3,0)</f>
        <v>57.32</v>
      </c>
      <c r="D51">
        <f>VLOOKUP(A51,ABT!A$2:G$55,3,0)</f>
        <v>43.05</v>
      </c>
      <c r="E51">
        <f>VLOOKUP(A51,ACN!A$2:G$55,3,0)</f>
        <v>81.349999999999994</v>
      </c>
      <c r="F51">
        <f>VLOOKUP(A51,AIG!A$2:G$55,3,0)</f>
        <v>55.54</v>
      </c>
      <c r="G51">
        <f>VLOOKUP(A51,ALL!A$2:G$55,3,0)</f>
        <v>61.15</v>
      </c>
      <c r="H51">
        <f>VLOOKUP(A51,AMGN!A$2:G$55,3,0)</f>
        <v>139.72</v>
      </c>
      <c r="I51">
        <f>VLOOKUP(A51,AMZN!A$2:G$55,3,0)</f>
        <v>334.98</v>
      </c>
      <c r="J51">
        <f>VLOOKUP(A51,APA!A$2:G$55,3,0)</f>
        <v>97.36</v>
      </c>
      <c r="K51">
        <f>VLOOKUP(A51,APC!A$2:G$55,3,0)</f>
        <v>106.79</v>
      </c>
      <c r="L51">
        <f>VLOOKUP(A51,AXP!A$2:G$55,3,0)</f>
        <v>88.66</v>
      </c>
      <c r="M51">
        <f>VLOOKUP(A51,BA!A$2:G$55,3,0)</f>
        <v>128.47</v>
      </c>
      <c r="N51">
        <f>VLOOKUP(A51,BAC!A$2:G$55,3,0)</f>
        <v>16.399999999999999</v>
      </c>
      <c r="O51">
        <f>VLOOKUP(A51,BAX!A$2:G$55,3,0)</f>
        <v>75.349999999999994</v>
      </c>
      <c r="P51">
        <f>VLOOKUP(A51,BIIB!A$2:G$55,3,0)</f>
        <v>333</v>
      </c>
      <c r="Q51">
        <f>VLOOKUP(A51,BK!A$2:G$55,3,0)</f>
        <v>39.200000000000003</v>
      </c>
      <c r="R51">
        <f>VLOOKUP(A51,BMY!A$2:G$55,3,0)</f>
        <v>51.3</v>
      </c>
      <c r="T51">
        <f>VLOOKUP(A51,'C'!A$2:G$55,3,0)</f>
        <v>51.99</v>
      </c>
      <c r="U51">
        <f>VLOOKUP(A51,CAT!A$2:G$55,3,0)</f>
        <v>106.12</v>
      </c>
      <c r="V51">
        <f>VLOOKUP(A51,CL!A$2:G$55,3,0)</f>
        <v>64.08</v>
      </c>
      <c r="W51">
        <f>VLOOKUP(A51,CMCSA!A$2:G$55,3,0)</f>
        <v>57.05</v>
      </c>
      <c r="X51">
        <f>VLOOKUP(A51,COF!A$2:G$55,3,0)</f>
        <v>82.23</v>
      </c>
      <c r="Y51">
        <f>VLOOKUP(A51,COP!A$2:G$55,3,0)</f>
        <v>79.010000000000005</v>
      </c>
      <c r="Z51">
        <f>VLOOKUP(A51,COST!A$2:G$55,3,0)</f>
        <v>126.49</v>
      </c>
      <c r="AA51">
        <f>VLOOKUP(A51,CSCO!A$2:G$55,3,0)</f>
        <v>25</v>
      </c>
      <c r="AB51">
        <f>VLOOKUP(A51,CVS!A$2:G$55,3,0)</f>
        <v>81.19</v>
      </c>
      <c r="AC51">
        <f>VLOOKUP(A51,CVX!A$2:G$55,3,0)</f>
        <v>124.74</v>
      </c>
      <c r="AD51">
        <f>VLOOKUP(A51,DD!A$2:G$55,3,0)</f>
        <v>65.36</v>
      </c>
      <c r="AE51">
        <f>VLOOKUP(A51,DIS!A$2:G$55,3,0)</f>
        <v>89.82</v>
      </c>
      <c r="AF51">
        <f>VLOOKUP(A51,DOW!A$2:G$55,3,0)</f>
        <v>53.46</v>
      </c>
      <c r="AG51">
        <f>VLOOKUP(A51,DVN!A$2:G$55,3,0)</f>
        <v>70.78</v>
      </c>
      <c r="AH51">
        <f>VLOOKUP(A51,EBAY!A$2:G$55,3,0)</f>
        <v>51.55</v>
      </c>
      <c r="AI51">
        <f>VLOOKUP(A51,EMC!A$2:G$55,3,0)</f>
        <v>29.6</v>
      </c>
      <c r="AJ51">
        <f>VLOOKUP(A51,EMR!A$2:G$55,3,0)</f>
        <v>65.349999999999994</v>
      </c>
      <c r="AK51">
        <f>VLOOKUP(A51,EXC!A$2:G$55,3,0)</f>
        <v>33.15</v>
      </c>
      <c r="AL51">
        <f>VLOOKUP(A51,F!A$2:G$55,3,0)</f>
        <v>16.72</v>
      </c>
      <c r="AM51">
        <f>VLOOKUP(A51,FB!A$2:G$55,3,0)</f>
        <v>77.95</v>
      </c>
      <c r="AN51">
        <f>VLOOKUP(A51,FCX!A$2:G$55,3,0)</f>
        <v>34.619999999999997</v>
      </c>
      <c r="AO51">
        <f>VLOOKUP(A51,FDX!A$2:G$55,3,0)</f>
        <v>151.07</v>
      </c>
      <c r="AP51">
        <f>VLOOKUP(A51,FOXA!A$2:G$55,3,0)</f>
        <v>35.71</v>
      </c>
      <c r="AQ51">
        <f>VLOOKUP(A51,GD!A$2:G$55,3,0)</f>
        <v>127.69</v>
      </c>
      <c r="AR51">
        <f>VLOOKUP(A51,GE!A$2:G$55,3,0)</f>
        <v>26.03</v>
      </c>
      <c r="AS51">
        <f>VLOOKUP(A51,GILD!A$2:G$55,3,0)</f>
        <v>108.23</v>
      </c>
      <c r="AT51">
        <f>VLOOKUP(A51,GM!A$2:G$55,3,0)</f>
        <v>33.340000000000003</v>
      </c>
      <c r="AU51">
        <f>VLOOKUP(A51,GOOG!A$2:G$55,3,0)</f>
        <v>583.5</v>
      </c>
      <c r="AV51">
        <f>VLOOKUP(A51,GOOGL!A$2:G$55,3,0)</f>
        <v>593.72</v>
      </c>
      <c r="AW51">
        <f>VLOOKUP(A51,GS!A$2:G$55,3,0)</f>
        <v>180.18</v>
      </c>
      <c r="AX51">
        <f>VLOOKUP(A51,HAL!A$2:G$55,3,0)</f>
        <v>66.75</v>
      </c>
      <c r="AY51">
        <f>VLOOKUP(A51,HD!A$2:G$55,3,0)</f>
        <v>89.4</v>
      </c>
      <c r="AZ51">
        <f>VLOOKUP(A51,HON!A$2:G$55,3,0)</f>
        <v>94.61</v>
      </c>
      <c r="BA51">
        <f>VLOOKUP(A51,HPQ!A$2:G$55,3,0)</f>
        <v>37.07</v>
      </c>
      <c r="BB51">
        <f>VLOOKUP(A51,IBM!A$2:G$55,3,0)</f>
        <v>192.15</v>
      </c>
      <c r="BC51">
        <f>VLOOKUP(A51,INTC!A$2:G$55,3,0)</f>
        <v>35.130000000000003</v>
      </c>
      <c r="BD51">
        <f>VLOOKUP(A51,JNJ!A$2:G$55,3,0)</f>
        <v>105.34</v>
      </c>
      <c r="BE51">
        <f>VLOOKUP(A51,JPM!A$2:G$55,3,0)</f>
        <v>59.56</v>
      </c>
      <c r="BF51">
        <f>VLOOKUP(A51,KO!A$2:G$55,3,0)</f>
        <v>42.19</v>
      </c>
      <c r="BG51">
        <f>VLOOKUP(A51,LLY!A$2:G$55,3,0)</f>
        <v>64.959999999999994</v>
      </c>
      <c r="BH51">
        <f>VLOOKUP(A51,LMT!A$2:G$55,3,0)</f>
        <v>175.03</v>
      </c>
      <c r="BI51">
        <f>VLOOKUP(A51,LOW!A$2:G$55,3,0)</f>
        <v>53.42</v>
      </c>
      <c r="BJ51">
        <f>VLOOKUP(A51,MA!A$2:G$55,3,0)</f>
        <v>76.930000000000007</v>
      </c>
      <c r="BK51">
        <f>VLOOKUP(A51,MCD!A$2:G$55,3,0)</f>
        <v>93.06</v>
      </c>
      <c r="BL51">
        <f>VLOOKUP(A51,MDLZ!A$2:G$55,3,0)</f>
        <v>35.68</v>
      </c>
      <c r="BM51">
        <f>VLOOKUP(A51,MDT!A$2:G$55,3,0)</f>
        <v>66.209999999999994</v>
      </c>
      <c r="BN51">
        <f>VLOOKUP(A51,MET!A$2:G$55,3,0)</f>
        <v>55.11</v>
      </c>
      <c r="BO51">
        <f>VLOOKUP(A51,MMM!A$2:G$55,3,0)</f>
        <v>144.99</v>
      </c>
      <c r="BP51">
        <f>VLOOKUP(A51,MO!A$2:G$55,3,0)</f>
        <v>44.05</v>
      </c>
      <c r="BQ51">
        <f>VLOOKUP(A51,MON!A$2:G$55,3,0)</f>
        <v>113.85</v>
      </c>
      <c r="BR51">
        <f>VLOOKUP(A51,MRK!A$2:G$55,3,0)</f>
        <v>60.87</v>
      </c>
      <c r="BS51">
        <f>VLOOKUP(A51,MS!A$2:G$55,3,0)</f>
        <v>34.4</v>
      </c>
      <c r="BT51">
        <f>VLOOKUP(A51,MSFT!A$2:G$55,3,0)</f>
        <v>46.94</v>
      </c>
      <c r="BU51">
        <f>VLOOKUP(A51,NKE!A$2:G$55,3,0)</f>
        <v>82.61</v>
      </c>
      <c r="BV51">
        <f>VLOOKUP(A51,NOV!A$2:G$55,3,0)</f>
        <v>81.510000000000005</v>
      </c>
      <c r="BW51">
        <f>VLOOKUP(A51,NSC!A$2:G$55,3,0)</f>
        <v>109.13</v>
      </c>
      <c r="BX51">
        <f>VLOOKUP(A51,ORCL!A$2:G$55,3,0)</f>
        <v>40.81</v>
      </c>
      <c r="BY51">
        <f>VLOOKUP(A51,OXY!A$2:G$55,3,0)</f>
        <v>98.6</v>
      </c>
      <c r="BZ51">
        <f>VLOOKUP(A51,PEP!A$2:G$55,3,0)</f>
        <v>91.92</v>
      </c>
      <c r="CA51">
        <f>VLOOKUP(A51,PFE!A$2:G$55,3,0)</f>
        <v>29.53</v>
      </c>
      <c r="CB51">
        <f>VLOOKUP(A51,PG!A$2:G$55,3,0)</f>
        <v>83.96</v>
      </c>
      <c r="CC51">
        <f>VLOOKUP(A51,PM!A$2:G$55,3,0)</f>
        <v>84.41</v>
      </c>
      <c r="CD51">
        <f>VLOOKUP(A51,QCOM!A$2:G$55,3,0)</f>
        <v>76.25</v>
      </c>
      <c r="CE51">
        <f>VLOOKUP(A51,RTN!A$2:G$55,3,0)</f>
        <v>101.31</v>
      </c>
      <c r="CF51">
        <f>VLOOKUP(A51,SBUX!A$2:G$55,3,0)</f>
        <v>77.400000000000006</v>
      </c>
      <c r="CG51">
        <f>VLOOKUP(A51,SLB!A$2:G$55,3,0)</f>
        <v>104.43</v>
      </c>
      <c r="CH51">
        <f>VLOOKUP(A51,SO!A$2:G$55,3,0)</f>
        <v>43.99</v>
      </c>
      <c r="CI51">
        <f>VLOOKUP(A51,SPG!A$2:G$55,3,0)</f>
        <v>172.77</v>
      </c>
      <c r="CJ51">
        <f>VLOOKUP(A51,T!A$2:G$55,3,0)</f>
        <v>34.78</v>
      </c>
      <c r="CK51">
        <f>VLOOKUP(A51,TGT!A$2:G$55,3,0)</f>
        <v>62.34</v>
      </c>
      <c r="CL51">
        <f>VLOOKUP(A51,TWX!A$2:G$55,3,0)</f>
        <v>76.62</v>
      </c>
      <c r="CM51">
        <f>VLOOKUP(A51,TXN!A$2:G$55,3,0)</f>
        <v>48.42</v>
      </c>
      <c r="CN51">
        <f>VLOOKUP(A51,UNH!A$2:G$55,3,0)</f>
        <v>88.5</v>
      </c>
      <c r="CO51">
        <f>VLOOKUP(A51,UNP!A$2:G$55,3,0)</f>
        <v>107.78</v>
      </c>
      <c r="CP51">
        <f>VLOOKUP(A51,UPS!A$2:G$55,3,0)</f>
        <v>97.8</v>
      </c>
      <c r="CQ51">
        <f>VLOOKUP(A51,USB!A$2:G$55,3,0)</f>
        <v>41.91</v>
      </c>
      <c r="CR51">
        <f>VLOOKUP(A51,UTX!A$2:G$55,3,0)</f>
        <v>109.22</v>
      </c>
      <c r="CS51">
        <f>VLOOKUP(A51,V!A$2:G$55,3,0)</f>
        <v>218.65</v>
      </c>
      <c r="CT51">
        <f>VLOOKUP(A51,VZ!A$2:G$55,3,0)</f>
        <v>49.07</v>
      </c>
      <c r="CU51">
        <f>VLOOKUP(A51,WAG!A$2:G$55,3,0)</f>
        <v>63.57</v>
      </c>
      <c r="CV51">
        <f>VLOOKUP(A51,WFC!A$2:G$55,3,0)</f>
        <v>51.62</v>
      </c>
      <c r="CW51">
        <f>VLOOKUP(A51,WMT!A$2:G$55,3,0)</f>
        <v>77.08</v>
      </c>
    </row>
    <row r="52" spans="1:101" x14ac:dyDescent="0.25">
      <c r="A52" s="34">
        <v>41893</v>
      </c>
      <c r="B52" s="36">
        <v>101.44</v>
      </c>
      <c r="C52">
        <f>VLOOKUP(A52,ABBV!A$2:G$55,3,0)</f>
        <v>57.88</v>
      </c>
      <c r="D52">
        <f>VLOOKUP(A52,ABT!A$2:G$55,3,0)</f>
        <v>43.03</v>
      </c>
      <c r="E52">
        <f>VLOOKUP(A52,ACN!A$2:G$55,3,0)</f>
        <v>81.53</v>
      </c>
      <c r="F52">
        <f>VLOOKUP(A52,AIG!A$2:G$55,3,0)</f>
        <v>55.63</v>
      </c>
      <c r="G52">
        <f>VLOOKUP(A52,ALL!A$2:G$55,3,0)</f>
        <v>61.24</v>
      </c>
      <c r="H52">
        <f>VLOOKUP(A52,AMGN!A$2:G$55,3,0)</f>
        <v>139.93</v>
      </c>
      <c r="I52">
        <f>VLOOKUP(A52,AMZN!A$2:G$55,3,0)</f>
        <v>333.01</v>
      </c>
      <c r="J52">
        <f>VLOOKUP(A52,APA!A$2:G$55,3,0)</f>
        <v>97.67</v>
      </c>
      <c r="K52">
        <f>VLOOKUP(A52,APC!A$2:G$55,3,0)</f>
        <v>107.52</v>
      </c>
      <c r="L52">
        <f>VLOOKUP(A52,AXP!A$2:G$55,3,0)</f>
        <v>88.6</v>
      </c>
      <c r="M52">
        <f>VLOOKUP(A52,BA!A$2:G$55,3,0)</f>
        <v>127.99</v>
      </c>
      <c r="N52">
        <f>VLOOKUP(A52,BAC!A$2:G$55,3,0)</f>
        <v>16.63</v>
      </c>
      <c r="O52">
        <f>VLOOKUP(A52,BAX!A$2:G$55,3,0)</f>
        <v>75.349999999999994</v>
      </c>
      <c r="P52">
        <f>VLOOKUP(A52,BIIB!A$2:G$55,3,0)</f>
        <v>332.81</v>
      </c>
      <c r="Q52">
        <f>VLOOKUP(A52,BK!A$2:G$55,3,0)</f>
        <v>39.409999999999997</v>
      </c>
      <c r="R52">
        <f>VLOOKUP(A52,BMY!A$2:G$55,3,0)</f>
        <v>51.27</v>
      </c>
      <c r="T52">
        <f>VLOOKUP(A52,'C'!A$2:G$55,3,0)</f>
        <v>52.26</v>
      </c>
      <c r="U52">
        <f>VLOOKUP(A52,CAT!A$2:G$55,3,0)</f>
        <v>105.66</v>
      </c>
      <c r="V52">
        <f>VLOOKUP(A52,CL!A$2:G$55,3,0)</f>
        <v>64.5</v>
      </c>
      <c r="W52">
        <f>VLOOKUP(A52,CMCSA!A$2:G$55,3,0)</f>
        <v>57.13</v>
      </c>
      <c r="X52">
        <f>VLOOKUP(A52,COF!A$2:G$55,3,0)</f>
        <v>81.34</v>
      </c>
      <c r="Y52">
        <f>VLOOKUP(A52,COP!A$2:G$55,3,0)</f>
        <v>79.45</v>
      </c>
      <c r="Z52">
        <f>VLOOKUP(A52,COST!A$2:G$55,3,0)</f>
        <v>126.53</v>
      </c>
      <c r="AA52">
        <f>VLOOKUP(A52,CSCO!A$2:G$55,3,0)</f>
        <v>25.2</v>
      </c>
      <c r="AB52">
        <f>VLOOKUP(A52,CVS!A$2:G$55,3,0)</f>
        <v>81.22</v>
      </c>
      <c r="AC52">
        <f>VLOOKUP(A52,CVX!A$2:G$55,3,0)</f>
        <v>124.07</v>
      </c>
      <c r="AD52">
        <f>VLOOKUP(A52,DD!A$2:G$55,3,0)</f>
        <v>65.23</v>
      </c>
      <c r="AE52">
        <f>VLOOKUP(A52,DIS!A$2:G$55,3,0)</f>
        <v>90.04</v>
      </c>
      <c r="AF52">
        <f>VLOOKUP(A52,DOW!A$2:G$55,3,0)</f>
        <v>53.04</v>
      </c>
      <c r="AG52">
        <f>VLOOKUP(A52,DVN!A$2:G$55,3,0)</f>
        <v>70.98</v>
      </c>
      <c r="AH52">
        <f>VLOOKUP(A52,EBAY!A$2:G$55,3,0)</f>
        <v>51.28</v>
      </c>
      <c r="AI52">
        <f>VLOOKUP(A52,EMC!A$2:G$55,3,0)</f>
        <v>29.89</v>
      </c>
      <c r="AJ52">
        <f>VLOOKUP(A52,EMR!A$2:G$55,3,0)</f>
        <v>65.069999999999993</v>
      </c>
      <c r="AK52">
        <f>VLOOKUP(A52,EXC!A$2:G$55,3,0)</f>
        <v>33.5</v>
      </c>
      <c r="AL52">
        <f>VLOOKUP(A52,F!A$2:G$55,3,0)</f>
        <v>16.670000000000002</v>
      </c>
      <c r="AM52">
        <f>VLOOKUP(A52,FB!A$2:G$55,3,0)</f>
        <v>78.36</v>
      </c>
      <c r="AN52">
        <f>VLOOKUP(A52,FCX!A$2:G$55,3,0)</f>
        <v>34.729999999999997</v>
      </c>
      <c r="AO52">
        <f>VLOOKUP(A52,FDX!A$2:G$55,3,0)</f>
        <v>152.99</v>
      </c>
      <c r="AP52">
        <f>VLOOKUP(A52,FOXA!A$2:G$55,3,0)</f>
        <v>35.82</v>
      </c>
      <c r="AQ52">
        <f>VLOOKUP(A52,GD!A$2:G$55,3,0)</f>
        <v>127.2</v>
      </c>
      <c r="AR52">
        <f>VLOOKUP(A52,GE!A$2:G$55,3,0)</f>
        <v>26.09</v>
      </c>
      <c r="AS52">
        <f>VLOOKUP(A52,GILD!A$2:G$55,3,0)</f>
        <v>108.49</v>
      </c>
      <c r="AT52">
        <f>VLOOKUP(A52,GM!A$2:G$55,3,0)</f>
        <v>33.700000000000003</v>
      </c>
      <c r="AU52">
        <f>VLOOKUP(A52,GOOG!A$2:G$55,3,0)</f>
        <v>581.80999999999995</v>
      </c>
      <c r="AV52">
        <f>VLOOKUP(A52,GOOGL!A$2:G$55,3,0)</f>
        <v>591.95000000000005</v>
      </c>
      <c r="AW52">
        <f>VLOOKUP(A52,GS!A$2:G$55,3,0)</f>
        <v>181.44</v>
      </c>
      <c r="AX52">
        <f>VLOOKUP(A52,HAL!A$2:G$55,3,0)</f>
        <v>67.290000000000006</v>
      </c>
      <c r="AY52">
        <f>VLOOKUP(A52,HD!A$2:G$55,3,0)</f>
        <v>89.42</v>
      </c>
      <c r="AZ52">
        <f>VLOOKUP(A52,HON!A$2:G$55,3,0)</f>
        <v>94.79</v>
      </c>
      <c r="BA52">
        <f>VLOOKUP(A52,HPQ!A$2:G$55,3,0)</f>
        <v>37.03</v>
      </c>
      <c r="BB52">
        <f>VLOOKUP(A52,IBM!A$2:G$55,3,0)</f>
        <v>192.78</v>
      </c>
      <c r="BC52">
        <f>VLOOKUP(A52,INTC!A$2:G$55,3,0)</f>
        <v>35.020000000000003</v>
      </c>
      <c r="BD52">
        <f>VLOOKUP(A52,JNJ!A$2:G$55,3,0)</f>
        <v>104.89</v>
      </c>
      <c r="BE52">
        <f>VLOOKUP(A52,JPM!A$2:G$55,3,0)</f>
        <v>59.84</v>
      </c>
      <c r="BF52">
        <f>VLOOKUP(A52,KO!A$2:G$55,3,0)</f>
        <v>42.06</v>
      </c>
      <c r="BG52">
        <f>VLOOKUP(A52,LLY!A$2:G$55,3,0)</f>
        <v>65.19</v>
      </c>
      <c r="BH52">
        <f>VLOOKUP(A52,LMT!A$2:G$55,3,0)</f>
        <v>174.77</v>
      </c>
      <c r="BI52">
        <f>VLOOKUP(A52,LOW!A$2:G$55,3,0)</f>
        <v>53.2</v>
      </c>
      <c r="BJ52">
        <f>VLOOKUP(A52,MA!A$2:G$55,3,0)</f>
        <v>76.45</v>
      </c>
      <c r="BK52">
        <f>VLOOKUP(A52,MCD!A$2:G$55,3,0)</f>
        <v>93.29</v>
      </c>
      <c r="BL52">
        <f>VLOOKUP(A52,MDLZ!A$2:G$55,3,0)</f>
        <v>35.76</v>
      </c>
      <c r="BM52">
        <f>VLOOKUP(A52,MDT!A$2:G$55,3,0)</f>
        <v>65.849999999999994</v>
      </c>
      <c r="BN52">
        <f>VLOOKUP(A52,MET!A$2:G$55,3,0)</f>
        <v>54.91</v>
      </c>
      <c r="BO52">
        <f>VLOOKUP(A52,MMM!A$2:G$55,3,0)</f>
        <v>144.38</v>
      </c>
      <c r="BP52">
        <f>VLOOKUP(A52,MO!A$2:G$55,3,0)</f>
        <v>43.47</v>
      </c>
      <c r="BQ52">
        <f>VLOOKUP(A52,MON!A$2:G$55,3,0)</f>
        <v>114.24</v>
      </c>
      <c r="BR52">
        <f>VLOOKUP(A52,MRK!A$2:G$55,3,0)</f>
        <v>60.44</v>
      </c>
      <c r="BS52">
        <f>VLOOKUP(A52,MS!A$2:G$55,3,0)</f>
        <v>34.75</v>
      </c>
      <c r="BT52">
        <f>VLOOKUP(A52,MSFT!A$2:G$55,3,0)</f>
        <v>47</v>
      </c>
      <c r="BU52">
        <f>VLOOKUP(A52,NKE!A$2:G$55,3,0)</f>
        <v>82.59</v>
      </c>
      <c r="BV52">
        <f>VLOOKUP(A52,NOV!A$2:G$55,3,0)</f>
        <v>82.53</v>
      </c>
      <c r="BW52">
        <f>VLOOKUP(A52,NSC!A$2:G$55,3,0)</f>
        <v>108.65</v>
      </c>
      <c r="BX52">
        <f>VLOOKUP(A52,ORCL!A$2:G$55,3,0)</f>
        <v>40.69</v>
      </c>
      <c r="BY52">
        <f>VLOOKUP(A52,OXY!A$2:G$55,3,0)</f>
        <v>98.43</v>
      </c>
      <c r="BZ52">
        <f>VLOOKUP(A52,PEP!A$2:G$55,3,0)</f>
        <v>91.95</v>
      </c>
      <c r="CA52">
        <f>VLOOKUP(A52,PFE!A$2:G$55,3,0)</f>
        <v>29.64</v>
      </c>
      <c r="CB52">
        <f>VLOOKUP(A52,PG!A$2:G$55,3,0)</f>
        <v>83.75</v>
      </c>
      <c r="CC52">
        <f>VLOOKUP(A52,PM!A$2:G$55,3,0)</f>
        <v>84.56</v>
      </c>
      <c r="CD52">
        <f>VLOOKUP(A52,QCOM!A$2:G$55,3,0)</f>
        <v>76.12</v>
      </c>
      <c r="CE52">
        <f>VLOOKUP(A52,RTN!A$2:G$55,3,0)</f>
        <v>101.2</v>
      </c>
      <c r="CF52">
        <f>VLOOKUP(A52,SBUX!A$2:G$55,3,0)</f>
        <v>77</v>
      </c>
      <c r="CG52">
        <f>VLOOKUP(A52,SLB!A$2:G$55,3,0)</f>
        <v>104.9</v>
      </c>
      <c r="CH52">
        <f>VLOOKUP(A52,SO!A$2:G$55,3,0)</f>
        <v>44.1</v>
      </c>
      <c r="CI52">
        <f>VLOOKUP(A52,SPG!A$2:G$55,3,0)</f>
        <v>170.99</v>
      </c>
      <c r="CJ52">
        <f>VLOOKUP(A52,T!A$2:G$55,3,0)</f>
        <v>34.880000000000003</v>
      </c>
      <c r="CK52">
        <f>VLOOKUP(A52,TGT!A$2:G$55,3,0)</f>
        <v>62.68</v>
      </c>
      <c r="CL52">
        <f>VLOOKUP(A52,TWX!A$2:G$55,3,0)</f>
        <v>77.02</v>
      </c>
      <c r="CM52">
        <f>VLOOKUP(A52,TXN!A$2:G$55,3,0)</f>
        <v>48.22</v>
      </c>
      <c r="CN52">
        <f>VLOOKUP(A52,UNH!A$2:G$55,3,0)</f>
        <v>87.12</v>
      </c>
      <c r="CO52">
        <f>VLOOKUP(A52,UNP!A$2:G$55,3,0)</f>
        <v>107.86</v>
      </c>
      <c r="CP52">
        <f>VLOOKUP(A52,UPS!A$2:G$55,3,0)</f>
        <v>98.29</v>
      </c>
      <c r="CQ52">
        <f>VLOOKUP(A52,USB!A$2:G$55,3,0)</f>
        <v>42.13</v>
      </c>
      <c r="CR52">
        <f>VLOOKUP(A52,UTX!A$2:G$55,3,0)</f>
        <v>108.73</v>
      </c>
      <c r="CS52">
        <f>VLOOKUP(A52,V!A$2:G$55,3,0)</f>
        <v>216.75</v>
      </c>
      <c r="CT52">
        <f>VLOOKUP(A52,VZ!A$2:G$55,3,0)</f>
        <v>49.08</v>
      </c>
      <c r="CU52">
        <f>VLOOKUP(A52,WAG!A$2:G$55,3,0)</f>
        <v>63.48</v>
      </c>
      <c r="CV52">
        <f>VLOOKUP(A52,WFC!A$2:G$55,3,0)</f>
        <v>51.73</v>
      </c>
      <c r="CW52">
        <f>VLOOKUP(A52,WMT!A$2:G$55,3,0)</f>
        <v>76.44</v>
      </c>
    </row>
    <row r="53" spans="1:101" x14ac:dyDescent="0.25">
      <c r="A53" s="34">
        <v>41894</v>
      </c>
      <c r="B53" s="36">
        <v>102.19</v>
      </c>
      <c r="C53">
        <f>VLOOKUP(A53,ABBV!A$2:G$55,3,0)</f>
        <v>58.77</v>
      </c>
      <c r="D53">
        <f>VLOOKUP(A53,ABT!A$2:G$55,3,0)</f>
        <v>42.87</v>
      </c>
      <c r="E53">
        <f>VLOOKUP(A53,ACN!A$2:G$55,3,0)</f>
        <v>81.56</v>
      </c>
      <c r="F53">
        <f>VLOOKUP(A53,AIG!A$2:G$55,3,0)</f>
        <v>55.5</v>
      </c>
      <c r="G53">
        <f>VLOOKUP(A53,ALL!A$2:G$55,3,0)</f>
        <v>61.27</v>
      </c>
      <c r="H53">
        <f>VLOOKUP(A53,AMGN!A$2:G$55,3,0)</f>
        <v>138.99</v>
      </c>
      <c r="I53">
        <f>VLOOKUP(A53,AMZN!A$2:G$55,3,0)</f>
        <v>332.89</v>
      </c>
      <c r="J53">
        <f>VLOOKUP(A53,APA!A$2:G$55,3,0)</f>
        <v>97.5</v>
      </c>
      <c r="K53">
        <f>VLOOKUP(A53,APC!A$2:G$55,3,0)</f>
        <v>107.19</v>
      </c>
      <c r="L53">
        <f>VLOOKUP(A53,AXP!A$2:G$55,3,0)</f>
        <v>88.3</v>
      </c>
      <c r="M53">
        <f>VLOOKUP(A53,BA!A$2:G$55,3,0)</f>
        <v>127.56</v>
      </c>
      <c r="N53">
        <f>VLOOKUP(A53,BAC!A$2:G$55,3,0)</f>
        <v>16.829999999999998</v>
      </c>
      <c r="O53">
        <f>VLOOKUP(A53,BAX!A$2:G$55,3,0)</f>
        <v>75.36</v>
      </c>
      <c r="P53">
        <f>VLOOKUP(A53,BIIB!A$2:G$55,3,0)</f>
        <v>328.16</v>
      </c>
      <c r="Q53">
        <f>VLOOKUP(A53,BK!A$2:G$55,3,0)</f>
        <v>39.93</v>
      </c>
      <c r="R53">
        <f>VLOOKUP(A53,BMY!A$2:G$55,3,0)</f>
        <v>50.89</v>
      </c>
      <c r="T53">
        <f>VLOOKUP(A53,'C'!A$2:G$55,3,0)</f>
        <v>52.86</v>
      </c>
      <c r="U53">
        <f>VLOOKUP(A53,CAT!A$2:G$55,3,0)</f>
        <v>105.09</v>
      </c>
      <c r="V53">
        <f>VLOOKUP(A53,CL!A$2:G$55,3,0)</f>
        <v>64.56</v>
      </c>
      <c r="W53">
        <f>VLOOKUP(A53,CMCSA!A$2:G$55,3,0)</f>
        <v>57.14</v>
      </c>
      <c r="X53">
        <f>VLOOKUP(A53,COF!A$2:G$55,3,0)</f>
        <v>81.22</v>
      </c>
      <c r="Y53">
        <f>VLOOKUP(A53,COP!A$2:G$55,3,0)</f>
        <v>79.22</v>
      </c>
      <c r="Z53">
        <f>VLOOKUP(A53,COST!A$2:G$55,3,0)</f>
        <v>126.25</v>
      </c>
      <c r="AA53">
        <f>VLOOKUP(A53,CSCO!A$2:G$55,3,0)</f>
        <v>25.26</v>
      </c>
      <c r="AB53">
        <f>VLOOKUP(A53,CVS!A$2:G$55,3,0)</f>
        <v>81.36</v>
      </c>
      <c r="AC53">
        <f>VLOOKUP(A53,CVX!A$2:G$55,3,0)</f>
        <v>123.66</v>
      </c>
      <c r="AD53">
        <f>VLOOKUP(A53,DD!A$2:G$55,3,0)</f>
        <v>65.349999999999994</v>
      </c>
      <c r="AE53">
        <f>VLOOKUP(A53,DIS!A$2:G$55,3,0)</f>
        <v>90.2</v>
      </c>
      <c r="AF53">
        <f>VLOOKUP(A53,DOW!A$2:G$55,3,0)</f>
        <v>53.4</v>
      </c>
      <c r="AG53">
        <f>VLOOKUP(A53,DVN!A$2:G$55,3,0)</f>
        <v>70.72</v>
      </c>
      <c r="AH53">
        <f>VLOOKUP(A53,EBAY!A$2:G$55,3,0)</f>
        <v>53.07</v>
      </c>
      <c r="AI53">
        <f>VLOOKUP(A53,EMC!A$2:G$55,3,0)</f>
        <v>29.79</v>
      </c>
      <c r="AJ53">
        <f>VLOOKUP(A53,EMR!A$2:G$55,3,0)</f>
        <v>64.66</v>
      </c>
      <c r="AK53">
        <f>VLOOKUP(A53,EXC!A$2:G$55,3,0)</f>
        <v>33.159999999999997</v>
      </c>
      <c r="AL53">
        <f>VLOOKUP(A53,F!A$2:G$55,3,0)</f>
        <v>16.68</v>
      </c>
      <c r="AM53">
        <f>VLOOKUP(A53,FB!A$2:G$55,3,0)</f>
        <v>78.3</v>
      </c>
      <c r="AN53">
        <f>VLOOKUP(A53,FCX!A$2:G$55,3,0)</f>
        <v>34.61</v>
      </c>
      <c r="AO53">
        <f>VLOOKUP(A53,FDX!A$2:G$55,3,0)</f>
        <v>154.09</v>
      </c>
      <c r="AP53">
        <f>VLOOKUP(A53,FOXA!A$2:G$55,3,0)</f>
        <v>35.4</v>
      </c>
      <c r="AQ53">
        <f>VLOOKUP(A53,GD!A$2:G$55,3,0)</f>
        <v>126.69</v>
      </c>
      <c r="AR53">
        <f>VLOOKUP(A53,GE!A$2:G$55,3,0)</f>
        <v>25.97</v>
      </c>
      <c r="AS53">
        <f>VLOOKUP(A53,GILD!A$2:G$55,3,0)</f>
        <v>106.9</v>
      </c>
      <c r="AT53">
        <f>VLOOKUP(A53,GM!A$2:G$55,3,0)</f>
        <v>33.6</v>
      </c>
      <c r="AU53">
        <f>VLOOKUP(A53,GOOG!A$2:G$55,3,0)</f>
        <v>581.64</v>
      </c>
      <c r="AV53">
        <f>VLOOKUP(A53,GOOGL!A$2:G$55,3,0)</f>
        <v>591.48</v>
      </c>
      <c r="AW53">
        <f>VLOOKUP(A53,GS!A$2:G$55,3,0)</f>
        <v>183.47</v>
      </c>
      <c r="AX53">
        <f>VLOOKUP(A53,HAL!A$2:G$55,3,0)</f>
        <v>66.790000000000006</v>
      </c>
      <c r="AY53">
        <f>VLOOKUP(A53,HD!A$2:G$55,3,0)</f>
        <v>89.5</v>
      </c>
      <c r="AZ53">
        <f>VLOOKUP(A53,HON!A$2:G$55,3,0)</f>
        <v>94.98</v>
      </c>
      <c r="BA53">
        <f>VLOOKUP(A53,HPQ!A$2:G$55,3,0)</f>
        <v>36.85</v>
      </c>
      <c r="BB53">
        <f>VLOOKUP(A53,IBM!A$2:G$55,3,0)</f>
        <v>191.6</v>
      </c>
      <c r="BC53">
        <f>VLOOKUP(A53,INTC!A$2:G$55,3,0)</f>
        <v>34.909999999999997</v>
      </c>
      <c r="BD53">
        <f>VLOOKUP(A53,JNJ!A$2:G$55,3,0)</f>
        <v>104.81</v>
      </c>
      <c r="BE53">
        <f>VLOOKUP(A53,JPM!A$2:G$55,3,0)</f>
        <v>60.41</v>
      </c>
      <c r="BF53">
        <f>VLOOKUP(A53,KO!A$2:G$55,3,0)</f>
        <v>41.92</v>
      </c>
      <c r="BG53">
        <f>VLOOKUP(A53,LLY!A$2:G$55,3,0)</f>
        <v>65.540000000000006</v>
      </c>
      <c r="BH53">
        <f>VLOOKUP(A53,LMT!A$2:G$55,3,0)</f>
        <v>174.99</v>
      </c>
      <c r="BI53">
        <f>VLOOKUP(A53,LOW!A$2:G$55,3,0)</f>
        <v>53.38</v>
      </c>
      <c r="BJ53">
        <f>VLOOKUP(A53,MA!A$2:G$55,3,0)</f>
        <v>76.069999999999993</v>
      </c>
      <c r="BK53">
        <f>VLOOKUP(A53,MCD!A$2:G$55,3,0)</f>
        <v>93.84</v>
      </c>
      <c r="BL53">
        <f>VLOOKUP(A53,MDLZ!A$2:G$55,3,0)</f>
        <v>35.68</v>
      </c>
      <c r="BM53">
        <f>VLOOKUP(A53,MDT!A$2:G$55,3,0)</f>
        <v>65.790000000000006</v>
      </c>
      <c r="BN53">
        <f>VLOOKUP(A53,MET!A$2:G$55,3,0)</f>
        <v>55.57</v>
      </c>
      <c r="BO53">
        <f>VLOOKUP(A53,MMM!A$2:G$55,3,0)</f>
        <v>144.44999999999999</v>
      </c>
      <c r="BP53">
        <f>VLOOKUP(A53,MO!A$2:G$55,3,0)</f>
        <v>43.3</v>
      </c>
      <c r="BQ53">
        <f>VLOOKUP(A53,MON!A$2:G$55,3,0)</f>
        <v>113.8</v>
      </c>
      <c r="BR53">
        <f>VLOOKUP(A53,MRK!A$2:G$55,3,0)</f>
        <v>60.13</v>
      </c>
      <c r="BS53">
        <f>VLOOKUP(A53,MS!A$2:G$55,3,0)</f>
        <v>35.08</v>
      </c>
      <c r="BT53">
        <f>VLOOKUP(A53,MSFT!A$2:G$55,3,0)</f>
        <v>47.02</v>
      </c>
      <c r="BU53">
        <f>VLOOKUP(A53,NKE!A$2:G$55,3,0)</f>
        <v>82</v>
      </c>
      <c r="BV53">
        <f>VLOOKUP(A53,NOV!A$2:G$55,3,0)</f>
        <v>82.17</v>
      </c>
      <c r="BW53">
        <f>VLOOKUP(A53,NSC!A$2:G$55,3,0)</f>
        <v>108.92</v>
      </c>
      <c r="BX53">
        <f>VLOOKUP(A53,ORCL!A$2:G$55,3,0)</f>
        <v>40.74</v>
      </c>
      <c r="BY53">
        <f>VLOOKUP(A53,OXY!A$2:G$55,3,0)</f>
        <v>98.13</v>
      </c>
      <c r="BZ53">
        <f>VLOOKUP(A53,PEP!A$2:G$55,3,0)</f>
        <v>91.8</v>
      </c>
      <c r="CA53">
        <f>VLOOKUP(A53,PFE!A$2:G$55,3,0)</f>
        <v>29.6</v>
      </c>
      <c r="CB53">
        <f>VLOOKUP(A53,PG!A$2:G$55,3,0)</f>
        <v>83.38</v>
      </c>
      <c r="CC53">
        <f>VLOOKUP(A53,PM!A$2:G$55,3,0)</f>
        <v>84.75</v>
      </c>
      <c r="CD53">
        <f>VLOOKUP(A53,QCOM!A$2:G$55,3,0)</f>
        <v>75.86</v>
      </c>
      <c r="CE53">
        <f>VLOOKUP(A53,RTN!A$2:G$55,3,0)</f>
        <v>101.37</v>
      </c>
      <c r="CF53">
        <f>VLOOKUP(A53,SBUX!A$2:G$55,3,0)</f>
        <v>76.069999999999993</v>
      </c>
      <c r="CG53">
        <f>VLOOKUP(A53,SLB!A$2:G$55,3,0)</f>
        <v>104.08</v>
      </c>
      <c r="CH53">
        <f>VLOOKUP(A53,SO!A$2:G$55,3,0)</f>
        <v>43.89</v>
      </c>
      <c r="CI53">
        <f>VLOOKUP(A53,SPG!A$2:G$55,3,0)</f>
        <v>169.54</v>
      </c>
      <c r="CJ53">
        <f>VLOOKUP(A53,T!A$2:G$55,3,0)</f>
        <v>34.909999999999997</v>
      </c>
      <c r="CK53">
        <f>VLOOKUP(A53,TGT!A$2:G$55,3,0)</f>
        <v>62.65</v>
      </c>
      <c r="CL53">
        <f>VLOOKUP(A53,TWX!A$2:G$55,3,0)</f>
        <v>77.09</v>
      </c>
      <c r="CM53">
        <f>VLOOKUP(A53,TXN!A$2:G$55,3,0)</f>
        <v>48.18</v>
      </c>
      <c r="CN53">
        <f>VLOOKUP(A53,UNH!A$2:G$55,3,0)</f>
        <v>87.24</v>
      </c>
      <c r="CO53">
        <f>VLOOKUP(A53,UNP!A$2:G$55,3,0)</f>
        <v>107.9</v>
      </c>
      <c r="CP53">
        <f>VLOOKUP(A53,UPS!A$2:G$55,3,0)</f>
        <v>98.41</v>
      </c>
      <c r="CQ53">
        <f>VLOOKUP(A53,USB!A$2:G$55,3,0)</f>
        <v>42.41</v>
      </c>
      <c r="CR53">
        <f>VLOOKUP(A53,UTX!A$2:G$55,3,0)</f>
        <v>108.64</v>
      </c>
      <c r="CS53">
        <f>VLOOKUP(A53,V!A$2:G$55,3,0)</f>
        <v>215.75</v>
      </c>
      <c r="CT53">
        <f>VLOOKUP(A53,VZ!A$2:G$55,3,0)</f>
        <v>49</v>
      </c>
      <c r="CU53">
        <f>VLOOKUP(A53,WAG!A$2:G$55,3,0)</f>
        <v>63.67</v>
      </c>
      <c r="CV53">
        <f>VLOOKUP(A53,WFC!A$2:G$55,3,0)</f>
        <v>52.03</v>
      </c>
      <c r="CW53">
        <f>VLOOKUP(A53,WMT!A$2:G$55,3,0)</f>
        <v>76.05</v>
      </c>
    </row>
    <row r="54" spans="1:101" x14ac:dyDescent="0.25">
      <c r="A54" s="34">
        <v>41897</v>
      </c>
      <c r="B54" s="36">
        <v>103.05</v>
      </c>
      <c r="C54">
        <f>VLOOKUP(A54,ABBV!A$2:G$55,3,0)</f>
        <v>58.15</v>
      </c>
      <c r="D54">
        <f>VLOOKUP(A54,ABT!A$2:G$55,3,0)</f>
        <v>42.78</v>
      </c>
      <c r="E54">
        <f>VLOOKUP(A54,ACN!A$2:G$55,3,0)</f>
        <v>81.150000000000006</v>
      </c>
      <c r="F54">
        <f>VLOOKUP(A54,AIG!A$2:G$55,3,0)</f>
        <v>55.45</v>
      </c>
      <c r="G54">
        <f>VLOOKUP(A54,ALL!A$2:G$55,3,0)</f>
        <v>61.87</v>
      </c>
      <c r="H54">
        <f>VLOOKUP(A54,AMGN!A$2:G$55,3,0)</f>
        <v>138.06</v>
      </c>
      <c r="I54">
        <f>VLOOKUP(A54,AMZN!A$2:G$55,3,0)</f>
        <v>331.33</v>
      </c>
      <c r="J54">
        <f>VLOOKUP(A54,APA!A$2:G$55,3,0)</f>
        <v>97.32</v>
      </c>
      <c r="K54">
        <f>VLOOKUP(A54,APC!A$2:G$55,3,0)</f>
        <v>106.55</v>
      </c>
      <c r="L54">
        <f>VLOOKUP(A54,AXP!A$2:G$55,3,0)</f>
        <v>88.35</v>
      </c>
      <c r="M54">
        <f>VLOOKUP(A54,BA!A$2:G$55,3,0)</f>
        <v>126.95</v>
      </c>
      <c r="N54">
        <f>VLOOKUP(A54,BAC!A$2:G$55,3,0)</f>
        <v>16.93</v>
      </c>
      <c r="O54">
        <f>VLOOKUP(A54,BAX!A$2:G$55,3,0)</f>
        <v>74.739999999999995</v>
      </c>
      <c r="P54">
        <f>VLOOKUP(A54,BIIB!A$2:G$55,3,0)</f>
        <v>323.97000000000003</v>
      </c>
      <c r="Q54">
        <f>VLOOKUP(A54,BK!A$2:G$55,3,0)</f>
        <v>39.93</v>
      </c>
      <c r="R54">
        <f>VLOOKUP(A54,BMY!A$2:G$55,3,0)</f>
        <v>50.37</v>
      </c>
      <c r="T54">
        <f>VLOOKUP(A54,'C'!A$2:G$55,3,0)</f>
        <v>52.52</v>
      </c>
      <c r="U54">
        <f>VLOOKUP(A54,CAT!A$2:G$55,3,0)</f>
        <v>104.9</v>
      </c>
      <c r="V54">
        <f>VLOOKUP(A54,CL!A$2:G$55,3,0)</f>
        <v>64.790000000000006</v>
      </c>
      <c r="W54">
        <f>VLOOKUP(A54,CMCSA!A$2:G$55,3,0)</f>
        <v>57.49</v>
      </c>
      <c r="X54">
        <f>VLOOKUP(A54,COF!A$2:G$55,3,0)</f>
        <v>81.78</v>
      </c>
      <c r="Y54">
        <f>VLOOKUP(A54,COP!A$2:G$55,3,0)</f>
        <v>79.62</v>
      </c>
      <c r="Z54">
        <f>VLOOKUP(A54,COST!A$2:G$55,3,0)</f>
        <v>126.53</v>
      </c>
      <c r="AA54">
        <f>VLOOKUP(A54,CSCO!A$2:G$55,3,0)</f>
        <v>25.09</v>
      </c>
      <c r="AB54">
        <f>VLOOKUP(A54,CVS!A$2:G$55,3,0)</f>
        <v>81.28</v>
      </c>
      <c r="AC54">
        <f>VLOOKUP(A54,CVX!A$2:G$55,3,0)</f>
        <v>124.78</v>
      </c>
      <c r="AD54">
        <f>VLOOKUP(A54,DD!A$2:G$55,3,0)</f>
        <v>65.41</v>
      </c>
      <c r="AE54">
        <f>VLOOKUP(A54,DIS!A$2:G$55,3,0)</f>
        <v>90.37</v>
      </c>
      <c r="AF54">
        <f>VLOOKUP(A54,DOW!A$2:G$55,3,0)</f>
        <v>53.29</v>
      </c>
      <c r="AG54">
        <f>VLOOKUP(A54,DVN!A$2:G$55,3,0)</f>
        <v>70.59</v>
      </c>
      <c r="AH54">
        <f>VLOOKUP(A54,EBAY!A$2:G$55,3,0)</f>
        <v>52.29</v>
      </c>
      <c r="AI54">
        <f>VLOOKUP(A54,EMC!A$2:G$55,3,0)</f>
        <v>29.67</v>
      </c>
      <c r="AJ54">
        <f>VLOOKUP(A54,EMR!A$2:G$55,3,0)</f>
        <v>64.540000000000006</v>
      </c>
      <c r="AK54">
        <f>VLOOKUP(A54,EXC!A$2:G$55,3,0)</f>
        <v>33.39</v>
      </c>
      <c r="AL54">
        <f>VLOOKUP(A54,F!A$2:G$55,3,0)</f>
        <v>16.62</v>
      </c>
      <c r="AM54">
        <f>VLOOKUP(A54,FB!A$2:G$55,3,0)</f>
        <v>77.25</v>
      </c>
      <c r="AN54">
        <f>VLOOKUP(A54,FCX!A$2:G$55,3,0)</f>
        <v>34.39</v>
      </c>
      <c r="AO54">
        <f>VLOOKUP(A54,FDX!A$2:G$55,3,0)</f>
        <v>154.32</v>
      </c>
      <c r="AP54">
        <f>VLOOKUP(A54,FOXA!A$2:G$55,3,0)</f>
        <v>35.07</v>
      </c>
      <c r="AQ54">
        <f>VLOOKUP(A54,GD!A$2:G$55,3,0)</f>
        <v>127.13</v>
      </c>
      <c r="AR54">
        <f>VLOOKUP(A54,GE!A$2:G$55,3,0)</f>
        <v>25.95</v>
      </c>
      <c r="AS54">
        <f>VLOOKUP(A54,GILD!A$2:G$55,3,0)</f>
        <v>102.1</v>
      </c>
      <c r="AT54">
        <f>VLOOKUP(A54,GM!A$2:G$55,3,0)</f>
        <v>33.799999999999997</v>
      </c>
      <c r="AU54">
        <f>VLOOKUP(A54,GOOG!A$2:G$55,3,0)</f>
        <v>574.95000000000005</v>
      </c>
      <c r="AV54">
        <f>VLOOKUP(A54,GOOGL!A$2:G$55,3,0)</f>
        <v>583.91999999999996</v>
      </c>
      <c r="AW54">
        <f>VLOOKUP(A54,GS!A$2:G$55,3,0)</f>
        <v>184.4</v>
      </c>
      <c r="AX54">
        <f>VLOOKUP(A54,HAL!A$2:G$55,3,0)</f>
        <v>66.430000000000007</v>
      </c>
      <c r="AY54">
        <f>VLOOKUP(A54,HD!A$2:G$55,3,0)</f>
        <v>89.54</v>
      </c>
      <c r="AZ54">
        <f>VLOOKUP(A54,HON!A$2:G$55,3,0)</f>
        <v>94.83</v>
      </c>
      <c r="BA54">
        <f>VLOOKUP(A54,HPQ!A$2:G$55,3,0)</f>
        <v>36.549999999999997</v>
      </c>
      <c r="BB54">
        <f>VLOOKUP(A54,IBM!A$2:G$55,3,0)</f>
        <v>192.49</v>
      </c>
      <c r="BC54">
        <f>VLOOKUP(A54,INTC!A$2:G$55,3,0)</f>
        <v>34.770000000000003</v>
      </c>
      <c r="BD54">
        <f>VLOOKUP(A54,JNJ!A$2:G$55,3,0)</f>
        <v>104.91</v>
      </c>
      <c r="BE54">
        <f>VLOOKUP(A54,JPM!A$2:G$55,3,0)</f>
        <v>59.99</v>
      </c>
      <c r="BF54">
        <f>VLOOKUP(A54,KO!A$2:G$55,3,0)</f>
        <v>41.58</v>
      </c>
      <c r="BG54">
        <f>VLOOKUP(A54,LLY!A$2:G$55,3,0)</f>
        <v>65.239999999999995</v>
      </c>
      <c r="BH54">
        <f>VLOOKUP(A54,LMT!A$2:G$55,3,0)</f>
        <v>175.78</v>
      </c>
      <c r="BI54">
        <f>VLOOKUP(A54,LOW!A$2:G$55,3,0)</f>
        <v>53.24</v>
      </c>
      <c r="BJ54">
        <f>VLOOKUP(A54,MA!A$2:G$55,3,0)</f>
        <v>75.42</v>
      </c>
      <c r="BK54">
        <f>VLOOKUP(A54,MCD!A$2:G$55,3,0)</f>
        <v>93.91</v>
      </c>
      <c r="BL54">
        <f>VLOOKUP(A54,MDLZ!A$2:G$55,3,0)</f>
        <v>35.53</v>
      </c>
      <c r="BM54">
        <f>VLOOKUP(A54,MDT!A$2:G$55,3,0)</f>
        <v>65.41</v>
      </c>
      <c r="BN54">
        <f>VLOOKUP(A54,MET!A$2:G$55,3,0)</f>
        <v>55.45</v>
      </c>
      <c r="BO54">
        <f>VLOOKUP(A54,MMM!A$2:G$55,3,0)</f>
        <v>144.69</v>
      </c>
      <c r="BP54">
        <f>VLOOKUP(A54,MO!A$2:G$55,3,0)</f>
        <v>44.5</v>
      </c>
      <c r="BQ54">
        <f>VLOOKUP(A54,MON!A$2:G$55,3,0)</f>
        <v>113.73</v>
      </c>
      <c r="BR54">
        <f>VLOOKUP(A54,MRK!A$2:G$55,3,0)</f>
        <v>59.99</v>
      </c>
      <c r="BS54">
        <f>VLOOKUP(A54,MS!A$2:G$55,3,0)</f>
        <v>35.229999999999997</v>
      </c>
      <c r="BT54">
        <f>VLOOKUP(A54,MSFT!A$2:G$55,3,0)</f>
        <v>46.71</v>
      </c>
      <c r="BU54">
        <f>VLOOKUP(A54,NKE!A$2:G$55,3,0)</f>
        <v>82.18</v>
      </c>
      <c r="BV54">
        <f>VLOOKUP(A54,NOV!A$2:G$55,3,0)</f>
        <v>81.53</v>
      </c>
      <c r="BW54">
        <f>VLOOKUP(A54,NSC!A$2:G$55,3,0)</f>
        <v>108.39</v>
      </c>
      <c r="BX54">
        <f>VLOOKUP(A54,ORCL!A$2:G$55,3,0)</f>
        <v>40.770000000000003</v>
      </c>
      <c r="BY54">
        <f>VLOOKUP(A54,OXY!A$2:G$55,3,0)</f>
        <v>98.55</v>
      </c>
      <c r="BZ54">
        <f>VLOOKUP(A54,PEP!A$2:G$55,3,0)</f>
        <v>91.31</v>
      </c>
      <c r="CA54">
        <f>VLOOKUP(A54,PFE!A$2:G$55,3,0)</f>
        <v>29.92</v>
      </c>
      <c r="CB54">
        <f>VLOOKUP(A54,PG!A$2:G$55,3,0)</f>
        <v>84.25</v>
      </c>
      <c r="CC54">
        <f>VLOOKUP(A54,PM!A$2:G$55,3,0)</f>
        <v>84.3</v>
      </c>
      <c r="CD54">
        <f>VLOOKUP(A54,QCOM!A$2:G$55,3,0)</f>
        <v>75.58</v>
      </c>
      <c r="CE54">
        <f>VLOOKUP(A54,RTN!A$2:G$55,3,0)</f>
        <v>101.68</v>
      </c>
      <c r="CF54">
        <f>VLOOKUP(A54,SBUX!A$2:G$55,3,0)</f>
        <v>75.34</v>
      </c>
      <c r="CG54">
        <f>VLOOKUP(A54,SLB!A$2:G$55,3,0)</f>
        <v>103.6</v>
      </c>
      <c r="CH54">
        <f>VLOOKUP(A54,SO!A$2:G$55,3,0)</f>
        <v>43.68</v>
      </c>
      <c r="CI54">
        <f>VLOOKUP(A54,SPG!A$2:G$55,3,0)</f>
        <v>166.23</v>
      </c>
      <c r="CJ54">
        <f>VLOOKUP(A54,T!A$2:G$55,3,0)</f>
        <v>34.78</v>
      </c>
      <c r="CK54">
        <f>VLOOKUP(A54,TGT!A$2:G$55,3,0)</f>
        <v>62.61</v>
      </c>
      <c r="CL54">
        <f>VLOOKUP(A54,TWX!A$2:G$55,3,0)</f>
        <v>76.69</v>
      </c>
      <c r="CM54">
        <f>VLOOKUP(A54,TXN!A$2:G$55,3,0)</f>
        <v>47.95</v>
      </c>
      <c r="CN54">
        <f>VLOOKUP(A54,UNH!A$2:G$55,3,0)</f>
        <v>86.82</v>
      </c>
      <c r="CO54">
        <f>VLOOKUP(A54,UNP!A$2:G$55,3,0)</f>
        <v>107.3</v>
      </c>
      <c r="CP54">
        <f>VLOOKUP(A54,UPS!A$2:G$55,3,0)</f>
        <v>98.03</v>
      </c>
      <c r="CQ54">
        <f>VLOOKUP(A54,USB!A$2:G$55,3,0)</f>
        <v>42.52</v>
      </c>
      <c r="CR54">
        <f>VLOOKUP(A54,UTX!A$2:G$55,3,0)</f>
        <v>108.47</v>
      </c>
      <c r="CS54">
        <f>VLOOKUP(A54,V!A$2:G$55,3,0)</f>
        <v>215.61</v>
      </c>
      <c r="CT54">
        <f>VLOOKUP(A54,VZ!A$2:G$55,3,0)</f>
        <v>48.6</v>
      </c>
      <c r="CU54">
        <f>VLOOKUP(A54,WAG!A$2:G$55,3,0)</f>
        <v>63.08</v>
      </c>
      <c r="CV54">
        <f>VLOOKUP(A54,WFC!A$2:G$55,3,0)</f>
        <v>52.16</v>
      </c>
      <c r="CW54">
        <f>VLOOKUP(A54,WMT!A$2:G$55,3,0)</f>
        <v>75.89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54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35</v>
      </c>
      <c r="C1" t="s">
        <v>222</v>
      </c>
      <c r="D1" t="s">
        <v>41</v>
      </c>
      <c r="E1" t="s">
        <v>42</v>
      </c>
      <c r="F1" t="s">
        <v>223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219</v>
      </c>
      <c r="Q1" t="s">
        <v>52</v>
      </c>
      <c r="R1" t="s">
        <v>53</v>
      </c>
      <c r="S1" t="s">
        <v>142</v>
      </c>
      <c r="T1" t="s">
        <v>34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224</v>
      </c>
      <c r="AN1" t="s">
        <v>72</v>
      </c>
      <c r="AO1" t="s">
        <v>73</v>
      </c>
      <c r="AP1" t="s">
        <v>225</v>
      </c>
      <c r="AQ1" t="s">
        <v>74</v>
      </c>
      <c r="AR1" t="s">
        <v>75</v>
      </c>
      <c r="AS1" t="s">
        <v>76</v>
      </c>
      <c r="AT1" t="s">
        <v>226</v>
      </c>
      <c r="AU1" t="s">
        <v>77</v>
      </c>
      <c r="AV1" t="s">
        <v>227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83</v>
      </c>
      <c r="BC1" t="s">
        <v>84</v>
      </c>
      <c r="BD1" t="s">
        <v>85</v>
      </c>
      <c r="BE1" t="s">
        <v>86</v>
      </c>
      <c r="BF1" t="s">
        <v>87</v>
      </c>
      <c r="BG1" t="s">
        <v>88</v>
      </c>
      <c r="BH1" t="s">
        <v>89</v>
      </c>
      <c r="BI1" t="s">
        <v>90</v>
      </c>
      <c r="BJ1" t="s">
        <v>91</v>
      </c>
      <c r="BK1" t="s">
        <v>92</v>
      </c>
      <c r="BL1" t="s">
        <v>93</v>
      </c>
      <c r="BM1" t="s">
        <v>94</v>
      </c>
      <c r="BN1" t="s">
        <v>95</v>
      </c>
      <c r="BO1" t="s">
        <v>96</v>
      </c>
      <c r="BP1" t="s">
        <v>97</v>
      </c>
      <c r="BQ1" t="s">
        <v>98</v>
      </c>
      <c r="BR1" t="s">
        <v>99</v>
      </c>
      <c r="BS1" t="s">
        <v>100</v>
      </c>
      <c r="BT1" t="s">
        <v>26</v>
      </c>
      <c r="BU1" t="s">
        <v>101</v>
      </c>
      <c r="BV1" t="s">
        <v>102</v>
      </c>
      <c r="BW1" t="s">
        <v>103</v>
      </c>
      <c r="BX1" t="s">
        <v>104</v>
      </c>
      <c r="BY1" t="s">
        <v>105</v>
      </c>
      <c r="BZ1" t="s">
        <v>106</v>
      </c>
      <c r="CA1" t="s">
        <v>107</v>
      </c>
      <c r="CB1" t="s">
        <v>108</v>
      </c>
      <c r="CC1" t="s">
        <v>109</v>
      </c>
      <c r="CD1" t="s">
        <v>110</v>
      </c>
      <c r="CE1" t="s">
        <v>111</v>
      </c>
      <c r="CF1" t="s">
        <v>112</v>
      </c>
      <c r="CG1" t="s">
        <v>113</v>
      </c>
      <c r="CH1" t="s">
        <v>114</v>
      </c>
      <c r="CI1" t="s">
        <v>115</v>
      </c>
      <c r="CJ1" t="s">
        <v>116</v>
      </c>
      <c r="CK1" t="s">
        <v>117</v>
      </c>
      <c r="CL1" t="s">
        <v>118</v>
      </c>
      <c r="CM1" t="s">
        <v>119</v>
      </c>
      <c r="CN1" t="s">
        <v>120</v>
      </c>
      <c r="CO1" t="s">
        <v>121</v>
      </c>
      <c r="CP1" t="s">
        <v>122</v>
      </c>
      <c r="CQ1" t="s">
        <v>123</v>
      </c>
      <c r="CR1" t="s">
        <v>124</v>
      </c>
      <c r="CS1" t="s">
        <v>125</v>
      </c>
      <c r="CT1" t="s">
        <v>126</v>
      </c>
      <c r="CU1" t="s">
        <v>127</v>
      </c>
      <c r="CV1" t="s">
        <v>128</v>
      </c>
      <c r="CW1" t="s">
        <v>22</v>
      </c>
    </row>
    <row r="2" spans="1:101" x14ac:dyDescent="0.25">
      <c r="A2" s="34">
        <v>41821</v>
      </c>
      <c r="B2" s="36">
        <v>93.13</v>
      </c>
      <c r="C2">
        <f>VLOOKUP(A2,ABBV!A$2:G$55,4,0)</f>
        <v>56.17</v>
      </c>
      <c r="D2">
        <f>VLOOKUP(A2,ABT!A$2:G$55,4,0)</f>
        <v>40.98</v>
      </c>
      <c r="E2">
        <f>VLOOKUP(A2,ACN!A$2:G$55,4,0)</f>
        <v>80.91</v>
      </c>
      <c r="F2">
        <f>VLOOKUP(A2,AIG!A$2:G$55,4,0)</f>
        <v>54.94</v>
      </c>
      <c r="G2">
        <f>VLOOKUP(A2,ALL!A$2:G$55,4,0)</f>
        <v>58.92</v>
      </c>
      <c r="H2">
        <f>VLOOKUP(A2,AMGN!A$2:G$55,4,0)</f>
        <v>119.05</v>
      </c>
      <c r="I2">
        <f>VLOOKUP(A2,AMZN!A$2:G$55,4,0)</f>
        <v>325.10000000000002</v>
      </c>
      <c r="J2">
        <f>VLOOKUP(A2,APA!A$2:G$55,4,0)</f>
        <v>100.14</v>
      </c>
      <c r="K2">
        <f>VLOOKUP(A2,APC!A$2:G$55,4,0)</f>
        <v>108.38</v>
      </c>
      <c r="L2">
        <f>VLOOKUP(A2,AXP!A$2:G$55,4,0)</f>
        <v>95.28</v>
      </c>
      <c r="M2">
        <f>VLOOKUP(A2,BA!A$2:G$55,4,0)</f>
        <v>127.36</v>
      </c>
      <c r="N2">
        <f>VLOOKUP(A2,BAC!A$2:G$55,4,0)</f>
        <v>15.38</v>
      </c>
      <c r="O2">
        <f>VLOOKUP(A2,BAX!A$2:G$55,4,0)</f>
        <v>72.63</v>
      </c>
      <c r="P2">
        <f>VLOOKUP(A2,BIIB!A$2:G$55,4,0)</f>
        <v>315.24</v>
      </c>
      <c r="Q2">
        <f>VLOOKUP(A2,BK!A$2:G$55,4,0)</f>
        <v>37.75</v>
      </c>
      <c r="R2">
        <f>VLOOKUP(A2,BMY!A$2:G$55,4,0)</f>
        <v>47.95</v>
      </c>
      <c r="T2">
        <f>VLOOKUP(A2,'C'!A$2:G$55,4,0)</f>
        <v>47.22</v>
      </c>
      <c r="U2">
        <f>VLOOKUP(A2,CAT!A$2:G$55,4,0)</f>
        <v>109.01</v>
      </c>
      <c r="V2">
        <f>VLOOKUP(A2,CL!A$2:G$55,4,0)</f>
        <v>67.95</v>
      </c>
      <c r="W2">
        <f>VLOOKUP(A2,CMCSA!A$2:G$55,4,0)</f>
        <v>53.69</v>
      </c>
      <c r="X2">
        <f>VLOOKUP(A2,COF!A$2:G$55,4,0)</f>
        <v>82.88</v>
      </c>
      <c r="Y2">
        <f>VLOOKUP(A2,COP!A$2:G$55,4,0)</f>
        <v>85.64</v>
      </c>
      <c r="Z2">
        <f>VLOOKUP(A2,COST!A$2:G$55,4,0)</f>
        <v>114.9</v>
      </c>
      <c r="AA2">
        <f>VLOOKUP(A2,CSCO!A$2:G$55,4,0)</f>
        <v>24.77</v>
      </c>
      <c r="AB2">
        <f>VLOOKUP(A2,CVS!A$2:G$55,4,0)</f>
        <v>75.42</v>
      </c>
      <c r="AC2">
        <f>VLOOKUP(A2,CVX!A$2:G$55,4,0)</f>
        <v>130.46</v>
      </c>
      <c r="AD2">
        <f>VLOOKUP(A2,DD!A$2:G$55,4,0)</f>
        <v>64.680000000000007</v>
      </c>
      <c r="AE2">
        <f>VLOOKUP(A2,DIS!A$2:G$55,4,0)</f>
        <v>85.76</v>
      </c>
      <c r="AF2">
        <f>VLOOKUP(A2,DOW!A$2:G$55,4,0)</f>
        <v>51.27</v>
      </c>
      <c r="AG2">
        <f>VLOOKUP(A2,DVN!A$2:G$55,4,0)</f>
        <v>79.040000000000006</v>
      </c>
      <c r="AH2">
        <f>VLOOKUP(A2,EBAY!A$2:G$55,4,0)</f>
        <v>50.07</v>
      </c>
      <c r="AI2">
        <f>VLOOKUP(A2,EMC!A$2:G$55,4,0)</f>
        <v>26.34</v>
      </c>
      <c r="AJ2">
        <f>VLOOKUP(A2,EMR!A$2:G$55,4,0)</f>
        <v>65.959999999999994</v>
      </c>
      <c r="AK2">
        <f>VLOOKUP(A2,EXC!A$2:G$55,4,0)</f>
        <v>35.549999999999997</v>
      </c>
      <c r="AL2">
        <f>VLOOKUP(A2,F!A$2:G$55,4,0)</f>
        <v>17.07</v>
      </c>
      <c r="AM2">
        <f>VLOOKUP(A2,FB!A$2:G$55,4,0)</f>
        <v>67.39</v>
      </c>
      <c r="AN2">
        <f>VLOOKUP(A2,FCX!A$2:G$55,4,0)</f>
        <v>36.83</v>
      </c>
      <c r="AO2">
        <f>VLOOKUP(A2,FDX!A$2:G$55,4,0)</f>
        <v>151.57</v>
      </c>
      <c r="AP2">
        <f>VLOOKUP(A2,FOXA!A$2:G$55,4,0)</f>
        <v>34.17</v>
      </c>
      <c r="AQ2">
        <f>VLOOKUP(A2,GD!A$2:G$55,4,0)</f>
        <v>114.66</v>
      </c>
      <c r="AR2">
        <f>VLOOKUP(A2,GE!A$2:G$55,4,0)</f>
        <v>26.26</v>
      </c>
      <c r="AS2">
        <f>VLOOKUP(A2,GILD!A$2:G$55,4,0)</f>
        <v>83.32</v>
      </c>
      <c r="AT2">
        <f>VLOOKUP(A2,GM!A$2:G$55,4,0)</f>
        <v>36.25</v>
      </c>
      <c r="AU2">
        <f>VLOOKUP(A2,GOOG!A$2:G$55,4,0)</f>
        <v>576.65</v>
      </c>
      <c r="AV2">
        <f>VLOOKUP(A2,GOOGL!A$2:G$55,4,0)</f>
        <v>586.29</v>
      </c>
      <c r="AW2">
        <f>VLOOKUP(A2,GS!A$2:G$55,4,0)</f>
        <v>166.06</v>
      </c>
      <c r="AX2">
        <f>VLOOKUP(A2,HAL!A$2:G$55,4,0)</f>
        <v>70.77</v>
      </c>
      <c r="AY2">
        <f>VLOOKUP(A2,HD!A$2:G$55,4,0)</f>
        <v>81.22</v>
      </c>
      <c r="AZ2">
        <f>VLOOKUP(A2,HON!A$2:G$55,4,0)</f>
        <v>93.08</v>
      </c>
      <c r="BA2">
        <f>VLOOKUP(A2,HPQ!A$2:G$55,4,0)</f>
        <v>33.68</v>
      </c>
      <c r="BB2">
        <f>VLOOKUP(A2,IBM!A$2:G$55,4,0)</f>
        <v>181.7</v>
      </c>
      <c r="BC2">
        <f>VLOOKUP(A2,INTC!A$2:G$55,4,0)</f>
        <v>30.87</v>
      </c>
      <c r="BD2">
        <f>VLOOKUP(A2,JNJ!A$2:G$55,4,0)</f>
        <v>104.99</v>
      </c>
      <c r="BE2">
        <f>VLOOKUP(A2,JPM!A$2:G$55,4,0)</f>
        <v>57.08</v>
      </c>
      <c r="BF2">
        <f>VLOOKUP(A2,KO!A$2:G$55,4,0)</f>
        <v>42.15</v>
      </c>
      <c r="BG2">
        <f>VLOOKUP(A2,LLY!A$2:G$55,4,0)</f>
        <v>62</v>
      </c>
      <c r="BH2">
        <f>VLOOKUP(A2,LMT!A$2:G$55,4,0)</f>
        <v>158.59</v>
      </c>
      <c r="BI2">
        <f>VLOOKUP(A2,LOW!A$2:G$55,4,0)</f>
        <v>47.97</v>
      </c>
      <c r="BJ2">
        <f>VLOOKUP(A2,MA!A$2:G$55,4,0)</f>
        <v>74.14</v>
      </c>
      <c r="BK2">
        <f>VLOOKUP(A2,MCD!A$2:G$55,4,0)</f>
        <v>100.24</v>
      </c>
      <c r="BL2">
        <f>VLOOKUP(A2,MDLZ!A$2:G$55,4,0)</f>
        <v>37.549999999999997</v>
      </c>
      <c r="BM2">
        <f>VLOOKUP(A2,MDT!A$2:G$55,4,0)</f>
        <v>63.2</v>
      </c>
      <c r="BN2">
        <f>VLOOKUP(A2,MET!A$2:G$55,4,0)</f>
        <v>55.59</v>
      </c>
      <c r="BO2">
        <f>VLOOKUP(A2,MMM!A$2:G$55,4,0)</f>
        <v>143.38</v>
      </c>
      <c r="BP2">
        <f>VLOOKUP(A2,MO!A$2:G$55,4,0)</f>
        <v>41.52</v>
      </c>
      <c r="BQ2">
        <f>VLOOKUP(A2,MON!A$2:G$55,4,0)</f>
        <v>124</v>
      </c>
      <c r="BR2">
        <f>VLOOKUP(A2,MRK!A$2:G$55,4,0)</f>
        <v>57.48</v>
      </c>
      <c r="BS2">
        <f>VLOOKUP(A2,MS!A$2:G$55,4,0)</f>
        <v>32.22</v>
      </c>
      <c r="BT2">
        <f>VLOOKUP(A2,MSFT!A$2:G$55,4,0)</f>
        <v>41.69</v>
      </c>
      <c r="BU2">
        <f>VLOOKUP(A2,NKE!A$2:G$55,4,0)</f>
        <v>77.73</v>
      </c>
      <c r="BV2">
        <f>VLOOKUP(A2,NOV!A$2:G$55,4,0)</f>
        <v>81.8</v>
      </c>
      <c r="BW2">
        <f>VLOOKUP(A2,NSC!A$2:G$55,4,0)</f>
        <v>102.47</v>
      </c>
      <c r="BX2">
        <f>VLOOKUP(A2,ORCL!A$2:G$55,4,0)</f>
        <v>40.409999999999997</v>
      </c>
      <c r="BY2">
        <f>VLOOKUP(A2,OXY!A$2:G$55,4,0)</f>
        <v>102.72</v>
      </c>
      <c r="BZ2">
        <f>VLOOKUP(A2,PEP!A$2:G$55,4,0)</f>
        <v>88.83</v>
      </c>
      <c r="CA2">
        <f>VLOOKUP(A2,PFE!A$2:G$55,4,0)</f>
        <v>29.59</v>
      </c>
      <c r="CB2">
        <f>VLOOKUP(A2,PG!A$2:G$55,4,0)</f>
        <v>78.510000000000005</v>
      </c>
      <c r="CC2">
        <f>VLOOKUP(A2,PM!A$2:G$55,4,0)</f>
        <v>83.87</v>
      </c>
      <c r="CD2">
        <f>VLOOKUP(A2,QCOM!A$2:G$55,4,0)</f>
        <v>78.930000000000007</v>
      </c>
      <c r="CE2">
        <f>VLOOKUP(A2,RTN!A$2:G$55,4,0)</f>
        <v>90.37</v>
      </c>
      <c r="CF2">
        <f>VLOOKUP(A2,SBUX!A$2:G$55,4,0)</f>
        <v>77.599999999999994</v>
      </c>
      <c r="CG2">
        <f>VLOOKUP(A2,SLB!A$2:G$55,4,0)</f>
        <v>117.35</v>
      </c>
      <c r="CH2">
        <f>VLOOKUP(A2,SO!A$2:G$55,4,0)</f>
        <v>44.96</v>
      </c>
      <c r="CI2">
        <f>VLOOKUP(A2,SPG!A$2:G$55,4,0)</f>
        <v>165.31</v>
      </c>
      <c r="CJ2">
        <f>VLOOKUP(A2,T!A$2:G$55,4,0)</f>
        <v>35.15</v>
      </c>
      <c r="CK2">
        <f>VLOOKUP(A2,TGT!A$2:G$55,4,0)</f>
        <v>57.95</v>
      </c>
      <c r="CL2">
        <f>VLOOKUP(A2,TWX!A$2:G$55,4,0)</f>
        <v>68.8</v>
      </c>
      <c r="CM2">
        <f>VLOOKUP(A2,TXN!A$2:G$55,4,0)</f>
        <v>47.93</v>
      </c>
      <c r="CN2">
        <f>VLOOKUP(A2,UNH!A$2:G$55,4,0)</f>
        <v>81.650000000000006</v>
      </c>
      <c r="CO2">
        <f>VLOOKUP(A2,UNP!A$2:G$55,4,0)</f>
        <v>99.77</v>
      </c>
      <c r="CP2">
        <f>VLOOKUP(A2,UPS!A$2:G$55,4,0)</f>
        <v>102.65</v>
      </c>
      <c r="CQ2">
        <f>VLOOKUP(A2,USB!A$2:G$55,4,0)</f>
        <v>43.33</v>
      </c>
      <c r="CR2">
        <f>VLOOKUP(A2,UTX!A$2:G$55,4,0)</f>
        <v>115.5</v>
      </c>
      <c r="CS2">
        <f>VLOOKUP(A2,V!A$2:G$55,4,0)</f>
        <v>211.83</v>
      </c>
      <c r="CT2">
        <f>VLOOKUP(A2,VZ!A$2:G$55,4,0)</f>
        <v>48.82</v>
      </c>
      <c r="CU2">
        <f>VLOOKUP(A2,WAG!A$2:G$55,4,0)</f>
        <v>73.38</v>
      </c>
      <c r="CV2">
        <f>VLOOKUP(A2,WFC!A$2:G$55,4,0)</f>
        <v>52.62</v>
      </c>
      <c r="CW2">
        <f>VLOOKUP(A2,WMT!A$2:G$55,4,0)</f>
        <v>74.75</v>
      </c>
    </row>
    <row r="3" spans="1:101" x14ac:dyDescent="0.25">
      <c r="A3" s="34">
        <v>41822</v>
      </c>
      <c r="B3" s="36">
        <v>93.09</v>
      </c>
      <c r="C3">
        <f>VLOOKUP(A3,ABBV!A$2:G$55,4,0)</f>
        <v>56.92</v>
      </c>
      <c r="D3">
        <f>VLOOKUP(A3,ABT!A$2:G$55,4,0)</f>
        <v>41.12</v>
      </c>
      <c r="E3">
        <f>VLOOKUP(A3,ACN!A$2:G$55,4,0)</f>
        <v>80.650000000000006</v>
      </c>
      <c r="F3">
        <f>VLOOKUP(A3,AIG!A$2:G$55,4,0)</f>
        <v>55.04</v>
      </c>
      <c r="G3">
        <f>VLOOKUP(A3,ALL!A$2:G$55,4,0)</f>
        <v>58.89</v>
      </c>
      <c r="H3">
        <f>VLOOKUP(A3,AMGN!A$2:G$55,4,0)</f>
        <v>120.02</v>
      </c>
      <c r="I3">
        <f>VLOOKUP(A3,AMZN!A$2:G$55,4,0)</f>
        <v>331.66</v>
      </c>
      <c r="J3">
        <f>VLOOKUP(A3,APA!A$2:G$55,4,0)</f>
        <v>99.4</v>
      </c>
      <c r="K3">
        <f>VLOOKUP(A3,APC!A$2:G$55,4,0)</f>
        <v>107.39</v>
      </c>
      <c r="L3">
        <f>VLOOKUP(A3,AXP!A$2:G$55,4,0)</f>
        <v>95.06</v>
      </c>
      <c r="M3">
        <f>VLOOKUP(A3,BA!A$2:G$55,4,0)</f>
        <v>127.34</v>
      </c>
      <c r="N3">
        <f>VLOOKUP(A3,BAC!A$2:G$55,4,0)</f>
        <v>15.76</v>
      </c>
      <c r="O3">
        <f>VLOOKUP(A3,BAX!A$2:G$55,4,0)</f>
        <v>73.36</v>
      </c>
      <c r="P3">
        <f>VLOOKUP(A3,BIIB!A$2:G$55,4,0)</f>
        <v>324.01</v>
      </c>
      <c r="Q3">
        <f>VLOOKUP(A3,BK!A$2:G$55,4,0)</f>
        <v>37.56</v>
      </c>
      <c r="R3">
        <f>VLOOKUP(A3,BMY!A$2:G$55,4,0)</f>
        <v>47.64</v>
      </c>
      <c r="T3">
        <f>VLOOKUP(A3,'C'!A$2:G$55,4,0)</f>
        <v>47.5</v>
      </c>
      <c r="U3">
        <f>VLOOKUP(A3,CAT!A$2:G$55,4,0)</f>
        <v>109.3</v>
      </c>
      <c r="V3">
        <f>VLOOKUP(A3,CL!A$2:G$55,4,0)</f>
        <v>68.3</v>
      </c>
      <c r="W3">
        <f>VLOOKUP(A3,CMCSA!A$2:G$55,4,0)</f>
        <v>54.04</v>
      </c>
      <c r="X3">
        <f>VLOOKUP(A3,COF!A$2:G$55,4,0)</f>
        <v>83.15</v>
      </c>
      <c r="Y3">
        <f>VLOOKUP(A3,COP!A$2:G$55,4,0)</f>
        <v>85.31</v>
      </c>
      <c r="Z3">
        <f>VLOOKUP(A3,COST!A$2:G$55,4,0)</f>
        <v>115.25</v>
      </c>
      <c r="AA3">
        <f>VLOOKUP(A3,CSCO!A$2:G$55,4,0)</f>
        <v>24.87</v>
      </c>
      <c r="AB3">
        <f>VLOOKUP(A3,CVS!A$2:G$55,4,0)</f>
        <v>75.75</v>
      </c>
      <c r="AC3">
        <f>VLOOKUP(A3,CVX!A$2:G$55,4,0)</f>
        <v>129.99</v>
      </c>
      <c r="AD3">
        <f>VLOOKUP(A3,DD!A$2:G$55,4,0)</f>
        <v>64.75</v>
      </c>
      <c r="AE3">
        <f>VLOOKUP(A3,DIS!A$2:G$55,4,0)</f>
        <v>86.2</v>
      </c>
      <c r="AF3">
        <f>VLOOKUP(A3,DOW!A$2:G$55,4,0)</f>
        <v>51.51</v>
      </c>
      <c r="AG3">
        <f>VLOOKUP(A3,DVN!A$2:G$55,4,0)</f>
        <v>78.260000000000005</v>
      </c>
      <c r="AH3">
        <f>VLOOKUP(A3,EBAY!A$2:G$55,4,0)</f>
        <v>50.5</v>
      </c>
      <c r="AI3">
        <f>VLOOKUP(A3,EMC!A$2:G$55,4,0)</f>
        <v>26.48</v>
      </c>
      <c r="AJ3">
        <f>VLOOKUP(A3,EMR!A$2:G$55,4,0)</f>
        <v>66.13</v>
      </c>
      <c r="AK3">
        <f>VLOOKUP(A3,EXC!A$2:G$55,4,0)</f>
        <v>34.33</v>
      </c>
      <c r="AL3">
        <f>VLOOKUP(A3,F!A$2:G$55,4,0)</f>
        <v>17.170000000000002</v>
      </c>
      <c r="AM3">
        <f>VLOOKUP(A3,FB!A$2:G$55,4,0)</f>
        <v>65.790000000000006</v>
      </c>
      <c r="AN3">
        <f>VLOOKUP(A3,FCX!A$2:G$55,4,0)</f>
        <v>36.99</v>
      </c>
      <c r="AO3">
        <f>VLOOKUP(A3,FDX!A$2:G$55,4,0)</f>
        <v>152.08000000000001</v>
      </c>
      <c r="AP3">
        <f>VLOOKUP(A3,FOXA!A$2:G$55,4,0)</f>
        <v>35.17</v>
      </c>
      <c r="AQ3">
        <f>VLOOKUP(A3,GD!A$2:G$55,4,0)</f>
        <v>115.13</v>
      </c>
      <c r="AR3">
        <f>VLOOKUP(A3,GE!A$2:G$55,4,0)</f>
        <v>26.34</v>
      </c>
      <c r="AS3">
        <f>VLOOKUP(A3,GILD!A$2:G$55,4,0)</f>
        <v>85.38</v>
      </c>
      <c r="AT3">
        <f>VLOOKUP(A3,GM!A$2:G$55,4,0)</f>
        <v>37.369999999999997</v>
      </c>
      <c r="AU3">
        <f>VLOOKUP(A3,GOOG!A$2:G$55,4,0)</f>
        <v>580.39</v>
      </c>
      <c r="AV3">
        <f>VLOOKUP(A3,GOOGL!A$2:G$55,4,0)</f>
        <v>589.11</v>
      </c>
      <c r="AW3">
        <f>VLOOKUP(A3,GS!A$2:G$55,4,0)</f>
        <v>166.57</v>
      </c>
      <c r="AX3">
        <f>VLOOKUP(A3,HAL!A$2:G$55,4,0)</f>
        <v>70.599999999999994</v>
      </c>
      <c r="AY3">
        <f>VLOOKUP(A3,HD!A$2:G$55,4,0)</f>
        <v>81.62</v>
      </c>
      <c r="AZ3">
        <f>VLOOKUP(A3,HON!A$2:G$55,4,0)</f>
        <v>93.97</v>
      </c>
      <c r="BA3">
        <f>VLOOKUP(A3,HPQ!A$2:G$55,4,0)</f>
        <v>33.86</v>
      </c>
      <c r="BB3">
        <f>VLOOKUP(A3,IBM!A$2:G$55,4,0)</f>
        <v>186.17</v>
      </c>
      <c r="BC3">
        <f>VLOOKUP(A3,INTC!A$2:G$55,4,0)</f>
        <v>30.8</v>
      </c>
      <c r="BD3">
        <f>VLOOKUP(A3,JNJ!A$2:G$55,4,0)</f>
        <v>105.3</v>
      </c>
      <c r="BE3">
        <f>VLOOKUP(A3,JPM!A$2:G$55,4,0)</f>
        <v>56.82</v>
      </c>
      <c r="BF3">
        <f>VLOOKUP(A3,KO!A$2:G$55,4,0)</f>
        <v>42.15</v>
      </c>
      <c r="BG3">
        <f>VLOOKUP(A3,LLY!A$2:G$55,4,0)</f>
        <v>62.12</v>
      </c>
      <c r="BH3">
        <f>VLOOKUP(A3,LMT!A$2:G$55,4,0)</f>
        <v>158.19999999999999</v>
      </c>
      <c r="BI3">
        <f>VLOOKUP(A3,LOW!A$2:G$55,4,0)</f>
        <v>48</v>
      </c>
      <c r="BJ3">
        <f>VLOOKUP(A3,MA!A$2:G$55,4,0)</f>
        <v>74.86</v>
      </c>
      <c r="BK3">
        <f>VLOOKUP(A3,MCD!A$2:G$55,4,0)</f>
        <v>100.35</v>
      </c>
      <c r="BL3">
        <f>VLOOKUP(A3,MDLZ!A$2:G$55,4,0)</f>
        <v>37.590000000000003</v>
      </c>
      <c r="BM3">
        <f>VLOOKUP(A3,MDT!A$2:G$55,4,0)</f>
        <v>63.66</v>
      </c>
      <c r="BN3">
        <f>VLOOKUP(A3,MET!A$2:G$55,4,0)</f>
        <v>55.99</v>
      </c>
      <c r="BO3">
        <f>VLOOKUP(A3,MMM!A$2:G$55,4,0)</f>
        <v>143.56</v>
      </c>
      <c r="BP3">
        <f>VLOOKUP(A3,MO!A$2:G$55,4,0)</f>
        <v>41.72</v>
      </c>
      <c r="BQ3">
        <f>VLOOKUP(A3,MON!A$2:G$55,4,0)</f>
        <v>124.68</v>
      </c>
      <c r="BR3">
        <f>VLOOKUP(A3,MRK!A$2:G$55,4,0)</f>
        <v>58.37</v>
      </c>
      <c r="BS3">
        <f>VLOOKUP(A3,MS!A$2:G$55,4,0)</f>
        <v>32.299999999999997</v>
      </c>
      <c r="BT3">
        <f>VLOOKUP(A3,MSFT!A$2:G$55,4,0)</f>
        <v>41.53</v>
      </c>
      <c r="BU3">
        <f>VLOOKUP(A3,NKE!A$2:G$55,4,0)</f>
        <v>77.69</v>
      </c>
      <c r="BV3">
        <f>VLOOKUP(A3,NOV!A$2:G$55,4,0)</f>
        <v>82.16</v>
      </c>
      <c r="BW3">
        <f>VLOOKUP(A3,NSC!A$2:G$55,4,0)</f>
        <v>102.31</v>
      </c>
      <c r="BX3">
        <f>VLOOKUP(A3,ORCL!A$2:G$55,4,0)</f>
        <v>40.770000000000003</v>
      </c>
      <c r="BY3">
        <f>VLOOKUP(A3,OXY!A$2:G$55,4,0)</f>
        <v>101.28</v>
      </c>
      <c r="BZ3">
        <f>VLOOKUP(A3,PEP!A$2:G$55,4,0)</f>
        <v>89.01</v>
      </c>
      <c r="CA3">
        <f>VLOOKUP(A3,PFE!A$2:G$55,4,0)</f>
        <v>30</v>
      </c>
      <c r="CB3">
        <f>VLOOKUP(A3,PG!A$2:G$55,4,0)</f>
        <v>79.44</v>
      </c>
      <c r="CC3">
        <f>VLOOKUP(A3,PM!A$2:G$55,4,0)</f>
        <v>83.83</v>
      </c>
      <c r="CD3">
        <f>VLOOKUP(A3,QCOM!A$2:G$55,4,0)</f>
        <v>79.7</v>
      </c>
      <c r="CE3">
        <f>VLOOKUP(A3,RTN!A$2:G$55,4,0)</f>
        <v>92.22</v>
      </c>
      <c r="CF3">
        <f>VLOOKUP(A3,SBUX!A$2:G$55,4,0)</f>
        <v>77.91</v>
      </c>
      <c r="CG3">
        <f>VLOOKUP(A3,SLB!A$2:G$55,4,0)</f>
        <v>117.19</v>
      </c>
      <c r="CH3">
        <f>VLOOKUP(A3,SO!A$2:G$55,4,0)</f>
        <v>44.12</v>
      </c>
      <c r="CI3">
        <f>VLOOKUP(A3,SPG!A$2:G$55,4,0)</f>
        <v>165.45</v>
      </c>
      <c r="CJ3">
        <f>VLOOKUP(A3,T!A$2:G$55,4,0)</f>
        <v>35.43</v>
      </c>
      <c r="CK3">
        <f>VLOOKUP(A3,TGT!A$2:G$55,4,0)</f>
        <v>58.4</v>
      </c>
      <c r="CL3">
        <f>VLOOKUP(A3,TWX!A$2:G$55,4,0)</f>
        <v>70.37</v>
      </c>
      <c r="CM3">
        <f>VLOOKUP(A3,TXN!A$2:G$55,4,0)</f>
        <v>48.33</v>
      </c>
      <c r="CN3">
        <f>VLOOKUP(A3,UNH!A$2:G$55,4,0)</f>
        <v>81.069999999999993</v>
      </c>
      <c r="CO3">
        <f>VLOOKUP(A3,UNP!A$2:G$55,4,0)</f>
        <v>99.91</v>
      </c>
      <c r="CP3">
        <f>VLOOKUP(A3,UPS!A$2:G$55,4,0)</f>
        <v>102.7</v>
      </c>
      <c r="CQ3">
        <f>VLOOKUP(A3,USB!A$2:G$55,4,0)</f>
        <v>43.13</v>
      </c>
      <c r="CR3">
        <f>VLOOKUP(A3,UTX!A$2:G$55,4,0)</f>
        <v>114.7</v>
      </c>
      <c r="CS3">
        <f>VLOOKUP(A3,V!A$2:G$55,4,0)</f>
        <v>214.25</v>
      </c>
      <c r="CT3">
        <f>VLOOKUP(A3,VZ!A$2:G$55,4,0)</f>
        <v>49.32</v>
      </c>
      <c r="CU3">
        <f>VLOOKUP(A3,WAG!A$2:G$55,4,0)</f>
        <v>72.849999999999994</v>
      </c>
      <c r="CV3">
        <f>VLOOKUP(A3,WFC!A$2:G$55,4,0)</f>
        <v>52.55</v>
      </c>
      <c r="CW3">
        <f>VLOOKUP(A3,WMT!A$2:G$55,4,0)</f>
        <v>75.25</v>
      </c>
    </row>
    <row r="4" spans="1:101" x14ac:dyDescent="0.25">
      <c r="A4" s="34">
        <v>41823</v>
      </c>
      <c r="B4" s="36">
        <v>93.2</v>
      </c>
      <c r="C4">
        <f>VLOOKUP(A4,ABBV!A$2:G$55,4,0)</f>
        <v>57.65</v>
      </c>
      <c r="D4">
        <f>VLOOKUP(A4,ABT!A$2:G$55,4,0)</f>
        <v>41.63</v>
      </c>
      <c r="E4">
        <f>VLOOKUP(A4,ACN!A$2:G$55,4,0)</f>
        <v>81.22</v>
      </c>
      <c r="F4">
        <f>VLOOKUP(A4,AIG!A$2:G$55,4,0)</f>
        <v>55.36</v>
      </c>
      <c r="G4">
        <f>VLOOKUP(A4,ALL!A$2:G$55,4,0)</f>
        <v>58.93</v>
      </c>
      <c r="H4">
        <f>VLOOKUP(A4,AMGN!A$2:G$55,4,0)</f>
        <v>120.72</v>
      </c>
      <c r="I4">
        <f>VLOOKUP(A4,AMZN!A$2:G$55,4,0)</f>
        <v>333.08</v>
      </c>
      <c r="J4">
        <f>VLOOKUP(A4,APA!A$2:G$55,4,0)</f>
        <v>99.4</v>
      </c>
      <c r="K4">
        <f>VLOOKUP(A4,APC!A$2:G$55,4,0)</f>
        <v>107.26</v>
      </c>
      <c r="L4">
        <f>VLOOKUP(A4,AXP!A$2:G$55,4,0)</f>
        <v>95.22</v>
      </c>
      <c r="M4">
        <f>VLOOKUP(A4,BA!A$2:G$55,4,0)</f>
        <v>127.7</v>
      </c>
      <c r="N4">
        <f>VLOOKUP(A4,BAC!A$2:G$55,4,0)</f>
        <v>16</v>
      </c>
      <c r="O4">
        <f>VLOOKUP(A4,BAX!A$2:G$55,4,0)</f>
        <v>74.52</v>
      </c>
      <c r="P4">
        <f>VLOOKUP(A4,BIIB!A$2:G$55,4,0)</f>
        <v>328.23</v>
      </c>
      <c r="Q4">
        <f>VLOOKUP(A4,BK!A$2:G$55,4,0)</f>
        <v>37.75</v>
      </c>
      <c r="R4">
        <f>VLOOKUP(A4,BMY!A$2:G$55,4,0)</f>
        <v>48.12</v>
      </c>
      <c r="T4">
        <f>VLOOKUP(A4,'C'!A$2:G$55,4,0)</f>
        <v>48.07</v>
      </c>
      <c r="U4">
        <f>VLOOKUP(A4,CAT!A$2:G$55,4,0)</f>
        <v>109.69</v>
      </c>
      <c r="V4">
        <f>VLOOKUP(A4,CL!A$2:G$55,4,0)</f>
        <v>68.44</v>
      </c>
      <c r="W4">
        <f>VLOOKUP(A4,CMCSA!A$2:G$55,4,0)</f>
        <v>54.51</v>
      </c>
      <c r="X4">
        <f>VLOOKUP(A4,COF!A$2:G$55,4,0)</f>
        <v>83.91</v>
      </c>
      <c r="Y4">
        <f>VLOOKUP(A4,COP!A$2:G$55,4,0)</f>
        <v>85.54</v>
      </c>
      <c r="Z4">
        <f>VLOOKUP(A4,COST!A$2:G$55,4,0)</f>
        <v>115.8</v>
      </c>
      <c r="AA4">
        <f>VLOOKUP(A4,CSCO!A$2:G$55,4,0)</f>
        <v>25.13</v>
      </c>
      <c r="AB4">
        <f>VLOOKUP(A4,CVS!A$2:G$55,4,0)</f>
        <v>76.31</v>
      </c>
      <c r="AC4">
        <f>VLOOKUP(A4,CVX!A$2:G$55,4,0)</f>
        <v>130.72</v>
      </c>
      <c r="AD4">
        <f>VLOOKUP(A4,DD!A$2:G$55,4,0)</f>
        <v>65.290000000000006</v>
      </c>
      <c r="AE4">
        <f>VLOOKUP(A4,DIS!A$2:G$55,4,0)</f>
        <v>86.5</v>
      </c>
      <c r="AF4">
        <f>VLOOKUP(A4,DOW!A$2:G$55,4,0)</f>
        <v>51.71</v>
      </c>
      <c r="AG4">
        <f>VLOOKUP(A4,DVN!A$2:G$55,4,0)</f>
        <v>78.180000000000007</v>
      </c>
      <c r="AH4">
        <f>VLOOKUP(A4,EBAY!A$2:G$55,4,0)</f>
        <v>50.62</v>
      </c>
      <c r="AI4">
        <f>VLOOKUP(A4,EMC!A$2:G$55,4,0)</f>
        <v>26.62</v>
      </c>
      <c r="AJ4">
        <f>VLOOKUP(A4,EMR!A$2:G$55,4,0)</f>
        <v>66.930000000000007</v>
      </c>
      <c r="AK4">
        <f>VLOOKUP(A4,EXC!A$2:G$55,4,0)</f>
        <v>33.799999999999997</v>
      </c>
      <c r="AL4">
        <f>VLOOKUP(A4,F!A$2:G$55,4,0)</f>
        <v>17.22</v>
      </c>
      <c r="AM4">
        <f>VLOOKUP(A4,FB!A$2:G$55,4,0)</f>
        <v>65.760000000000005</v>
      </c>
      <c r="AN4">
        <f>VLOOKUP(A4,FCX!A$2:G$55,4,0)</f>
        <v>38.03</v>
      </c>
      <c r="AO4">
        <f>VLOOKUP(A4,FDX!A$2:G$55,4,0)</f>
        <v>152.54</v>
      </c>
      <c r="AP4">
        <f>VLOOKUP(A4,FOXA!A$2:G$55,4,0)</f>
        <v>35.58</v>
      </c>
      <c r="AQ4">
        <f>VLOOKUP(A4,GD!A$2:G$55,4,0)</f>
        <v>115.75</v>
      </c>
      <c r="AR4">
        <f>VLOOKUP(A4,GE!A$2:G$55,4,0)</f>
        <v>26.78</v>
      </c>
      <c r="AS4">
        <f>VLOOKUP(A4,GILD!A$2:G$55,4,0)</f>
        <v>87.05</v>
      </c>
      <c r="AT4">
        <f>VLOOKUP(A4,GM!A$2:G$55,4,0)</f>
        <v>37.72</v>
      </c>
      <c r="AU4">
        <f>VLOOKUP(A4,GOOG!A$2:G$55,4,0)</f>
        <v>580.91999999999996</v>
      </c>
      <c r="AV4">
        <f>VLOOKUP(A4,GOOGL!A$2:G$55,4,0)</f>
        <v>589</v>
      </c>
      <c r="AW4">
        <f>VLOOKUP(A4,GS!A$2:G$55,4,0)</f>
        <v>167.72</v>
      </c>
      <c r="AX4">
        <f>VLOOKUP(A4,HAL!A$2:G$55,4,0)</f>
        <v>70.34</v>
      </c>
      <c r="AY4">
        <f>VLOOKUP(A4,HD!A$2:G$55,4,0)</f>
        <v>81.8</v>
      </c>
      <c r="AZ4">
        <f>VLOOKUP(A4,HON!A$2:G$55,4,0)</f>
        <v>94.68</v>
      </c>
      <c r="BA4">
        <f>VLOOKUP(A4,HPQ!A$2:G$55,4,0)</f>
        <v>33.92</v>
      </c>
      <c r="BB4">
        <f>VLOOKUP(A4,IBM!A$2:G$55,4,0)</f>
        <v>187.35</v>
      </c>
      <c r="BC4">
        <f>VLOOKUP(A4,INTC!A$2:G$55,4,0)</f>
        <v>31.02</v>
      </c>
      <c r="BD4">
        <f>VLOOKUP(A4,JNJ!A$2:G$55,4,0)</f>
        <v>105.11</v>
      </c>
      <c r="BE4">
        <f>VLOOKUP(A4,JPM!A$2:G$55,4,0)</f>
        <v>57</v>
      </c>
      <c r="BF4">
        <f>VLOOKUP(A4,KO!A$2:G$55,4,0)</f>
        <v>42.01</v>
      </c>
      <c r="BG4">
        <f>VLOOKUP(A4,LLY!A$2:G$55,4,0)</f>
        <v>62.44</v>
      </c>
      <c r="BH4">
        <f>VLOOKUP(A4,LMT!A$2:G$55,4,0)</f>
        <v>159.11000000000001</v>
      </c>
      <c r="BI4">
        <f>VLOOKUP(A4,LOW!A$2:G$55,4,0)</f>
        <v>48.18</v>
      </c>
      <c r="BJ4">
        <f>VLOOKUP(A4,MA!A$2:G$55,4,0)</f>
        <v>76.349999999999994</v>
      </c>
      <c r="BK4">
        <f>VLOOKUP(A4,MCD!A$2:G$55,4,0)</f>
        <v>100.74</v>
      </c>
      <c r="BL4">
        <f>VLOOKUP(A4,MDLZ!A$2:G$55,4,0)</f>
        <v>37.74</v>
      </c>
      <c r="BM4">
        <f>VLOOKUP(A4,MDT!A$2:G$55,4,0)</f>
        <v>63.81</v>
      </c>
      <c r="BN4">
        <f>VLOOKUP(A4,MET!A$2:G$55,4,0)</f>
        <v>56.7</v>
      </c>
      <c r="BO4">
        <f>VLOOKUP(A4,MMM!A$2:G$55,4,0)</f>
        <v>145</v>
      </c>
      <c r="BP4">
        <f>VLOOKUP(A4,MO!A$2:G$55,4,0)</f>
        <v>41.99</v>
      </c>
      <c r="BQ4">
        <f>VLOOKUP(A4,MON!A$2:G$55,4,0)</f>
        <v>125.82</v>
      </c>
      <c r="BR4">
        <f>VLOOKUP(A4,MRK!A$2:G$55,4,0)</f>
        <v>59.07</v>
      </c>
      <c r="BS4">
        <f>VLOOKUP(A4,MS!A$2:G$55,4,0)</f>
        <v>32.619999999999997</v>
      </c>
      <c r="BT4">
        <f>VLOOKUP(A4,MSFT!A$2:G$55,4,0)</f>
        <v>41.56</v>
      </c>
      <c r="BU4">
        <f>VLOOKUP(A4,NKE!A$2:G$55,4,0)</f>
        <v>77</v>
      </c>
      <c r="BV4">
        <f>VLOOKUP(A4,NOV!A$2:G$55,4,0)</f>
        <v>82.18</v>
      </c>
      <c r="BW4">
        <f>VLOOKUP(A4,NSC!A$2:G$55,4,0)</f>
        <v>103.48</v>
      </c>
      <c r="BX4">
        <f>VLOOKUP(A4,ORCL!A$2:G$55,4,0)</f>
        <v>40.97</v>
      </c>
      <c r="BY4">
        <f>VLOOKUP(A4,OXY!A$2:G$55,4,0)</f>
        <v>101.77</v>
      </c>
      <c r="BZ4">
        <f>VLOOKUP(A4,PEP!A$2:G$55,4,0)</f>
        <v>89.53</v>
      </c>
      <c r="CA4">
        <f>VLOOKUP(A4,PFE!A$2:G$55,4,0)</f>
        <v>30.29</v>
      </c>
      <c r="CB4">
        <f>VLOOKUP(A4,PG!A$2:G$55,4,0)</f>
        <v>79.64</v>
      </c>
      <c r="CC4">
        <f>VLOOKUP(A4,PM!A$2:G$55,4,0)</f>
        <v>84.73</v>
      </c>
      <c r="CD4">
        <f>VLOOKUP(A4,QCOM!A$2:G$55,4,0)</f>
        <v>80.09</v>
      </c>
      <c r="CE4">
        <f>VLOOKUP(A4,RTN!A$2:G$55,4,0)</f>
        <v>92.48</v>
      </c>
      <c r="CF4">
        <f>VLOOKUP(A4,SBUX!A$2:G$55,4,0)</f>
        <v>78.14</v>
      </c>
      <c r="CG4">
        <f>VLOOKUP(A4,SLB!A$2:G$55,4,0)</f>
        <v>116.38</v>
      </c>
      <c r="CH4">
        <f>VLOOKUP(A4,SO!A$2:G$55,4,0)</f>
        <v>43.67</v>
      </c>
      <c r="CI4">
        <f>VLOOKUP(A4,SPG!A$2:G$55,4,0)</f>
        <v>164.94</v>
      </c>
      <c r="CJ4">
        <f>VLOOKUP(A4,T!A$2:G$55,4,0)</f>
        <v>35.69</v>
      </c>
      <c r="CK4">
        <f>VLOOKUP(A4,TGT!A$2:G$55,4,0)</f>
        <v>58.94</v>
      </c>
      <c r="CL4">
        <f>VLOOKUP(A4,TWX!A$2:G$55,4,0)</f>
        <v>70.709999999999994</v>
      </c>
      <c r="CM4">
        <f>VLOOKUP(A4,TXN!A$2:G$55,4,0)</f>
        <v>48.5</v>
      </c>
      <c r="CN4">
        <f>VLOOKUP(A4,UNH!A$2:G$55,4,0)</f>
        <v>82.32</v>
      </c>
      <c r="CO4">
        <f>VLOOKUP(A4,UNP!A$2:G$55,4,0)</f>
        <v>100.18</v>
      </c>
      <c r="CP4">
        <f>VLOOKUP(A4,UPS!A$2:G$55,4,0)</f>
        <v>103.55</v>
      </c>
      <c r="CQ4">
        <f>VLOOKUP(A4,USB!A$2:G$55,4,0)</f>
        <v>43.46</v>
      </c>
      <c r="CR4">
        <f>VLOOKUP(A4,UTX!A$2:G$55,4,0)</f>
        <v>115.39</v>
      </c>
      <c r="CS4">
        <f>VLOOKUP(A4,V!A$2:G$55,4,0)</f>
        <v>215.1</v>
      </c>
      <c r="CT4">
        <f>VLOOKUP(A4,VZ!A$2:G$55,4,0)</f>
        <v>49.35</v>
      </c>
      <c r="CU4">
        <f>VLOOKUP(A4,WAG!A$2:G$55,4,0)</f>
        <v>73.23</v>
      </c>
      <c r="CV4">
        <f>VLOOKUP(A4,WFC!A$2:G$55,4,0)</f>
        <v>52.83</v>
      </c>
      <c r="CW4">
        <f>VLOOKUP(A4,WMT!A$2:G$55,4,0)</f>
        <v>75.52</v>
      </c>
    </row>
    <row r="5" spans="1:101" x14ac:dyDescent="0.25">
      <c r="A5" s="34">
        <v>41827</v>
      </c>
      <c r="B5" s="36">
        <v>94.1</v>
      </c>
      <c r="C5">
        <f>VLOOKUP(A5,ABBV!A$2:G$55,4,0)</f>
        <v>57.39</v>
      </c>
      <c r="D5">
        <f>VLOOKUP(A5,ABT!A$2:G$55,4,0)</f>
        <v>41.49</v>
      </c>
      <c r="E5">
        <f>VLOOKUP(A5,ACN!A$2:G$55,4,0)</f>
        <v>80.77</v>
      </c>
      <c r="F5">
        <f>VLOOKUP(A5,AIG!A$2:G$55,4,0)</f>
        <v>55.01</v>
      </c>
      <c r="G5">
        <f>VLOOKUP(A5,ALL!A$2:G$55,4,0)</f>
        <v>58.4</v>
      </c>
      <c r="H5">
        <f>VLOOKUP(A5,AMGN!A$2:G$55,4,0)</f>
        <v>120.04</v>
      </c>
      <c r="I5">
        <f>VLOOKUP(A5,AMZN!A$2:G$55,4,0)</f>
        <v>332.52</v>
      </c>
      <c r="J5">
        <f>VLOOKUP(A5,APA!A$2:G$55,4,0)</f>
        <v>98.83</v>
      </c>
      <c r="K5">
        <f>VLOOKUP(A5,APC!A$2:G$55,4,0)</f>
        <v>106.56</v>
      </c>
      <c r="L5">
        <f>VLOOKUP(A5,AXP!A$2:G$55,4,0)</f>
        <v>95.12</v>
      </c>
      <c r="M5">
        <f>VLOOKUP(A5,BA!A$2:G$55,4,0)</f>
        <v>127.77</v>
      </c>
      <c r="N5">
        <f>VLOOKUP(A5,BAC!A$2:G$55,4,0)</f>
        <v>15.83</v>
      </c>
      <c r="O5">
        <f>VLOOKUP(A5,BAX!A$2:G$55,4,0)</f>
        <v>74.53</v>
      </c>
      <c r="P5">
        <f>VLOOKUP(A5,BIIB!A$2:G$55,4,0)</f>
        <v>324</v>
      </c>
      <c r="Q5">
        <f>VLOOKUP(A5,BK!A$2:G$55,4,0)</f>
        <v>37.43</v>
      </c>
      <c r="R5">
        <f>VLOOKUP(A5,BMY!A$2:G$55,4,0)</f>
        <v>47.84</v>
      </c>
      <c r="T5">
        <f>VLOOKUP(A5,'C'!A$2:G$55,4,0)</f>
        <v>47.59</v>
      </c>
      <c r="U5">
        <f>VLOOKUP(A5,CAT!A$2:G$55,4,0)</f>
        <v>109.57</v>
      </c>
      <c r="V5">
        <f>VLOOKUP(A5,CL!A$2:G$55,4,0)</f>
        <v>68.61</v>
      </c>
      <c r="W5">
        <f>VLOOKUP(A5,CMCSA!A$2:G$55,4,0)</f>
        <v>53.86</v>
      </c>
      <c r="X5">
        <f>VLOOKUP(A5,COF!A$2:G$55,4,0)</f>
        <v>83.29</v>
      </c>
      <c r="Y5">
        <f>VLOOKUP(A5,COP!A$2:G$55,4,0)</f>
        <v>85.18</v>
      </c>
      <c r="Z5">
        <f>VLOOKUP(A5,COST!A$2:G$55,4,0)</f>
        <v>115.88</v>
      </c>
      <c r="AA5">
        <f>VLOOKUP(A5,CSCO!A$2:G$55,4,0)</f>
        <v>24.97</v>
      </c>
      <c r="AB5">
        <f>VLOOKUP(A5,CVS!A$2:G$55,4,0)</f>
        <v>76.48</v>
      </c>
      <c r="AC5">
        <f>VLOOKUP(A5,CVX!A$2:G$55,4,0)</f>
        <v>130.02000000000001</v>
      </c>
      <c r="AD5">
        <f>VLOOKUP(A5,DD!A$2:G$55,4,0)</f>
        <v>65.099999999999994</v>
      </c>
      <c r="AE5">
        <f>VLOOKUP(A5,DIS!A$2:G$55,4,0)</f>
        <v>86.32</v>
      </c>
      <c r="AF5">
        <f>VLOOKUP(A5,DOW!A$2:G$55,4,0)</f>
        <v>51.16</v>
      </c>
      <c r="AG5">
        <f>VLOOKUP(A5,DVN!A$2:G$55,4,0)</f>
        <v>78.099999999999994</v>
      </c>
      <c r="AH5">
        <f>VLOOKUP(A5,EBAY!A$2:G$55,4,0)</f>
        <v>50.61</v>
      </c>
      <c r="AI5">
        <f>VLOOKUP(A5,EMC!A$2:G$55,4,0)</f>
        <v>26.73</v>
      </c>
      <c r="AJ5">
        <f>VLOOKUP(A5,EMR!A$2:G$55,4,0)</f>
        <v>66.819999999999993</v>
      </c>
      <c r="AK5">
        <f>VLOOKUP(A5,EXC!A$2:G$55,4,0)</f>
        <v>34.03</v>
      </c>
      <c r="AL5">
        <f>VLOOKUP(A5,F!A$2:G$55,4,0)</f>
        <v>17.190000000000001</v>
      </c>
      <c r="AM5">
        <f>VLOOKUP(A5,FB!A$2:G$55,4,0)</f>
        <v>65.12</v>
      </c>
      <c r="AN5">
        <f>VLOOKUP(A5,FCX!A$2:G$55,4,0)</f>
        <v>38.29</v>
      </c>
      <c r="AO5">
        <f>VLOOKUP(A5,FDX!A$2:G$55,4,0)</f>
        <v>151.38</v>
      </c>
      <c r="AP5">
        <f>VLOOKUP(A5,FOXA!A$2:G$55,4,0)</f>
        <v>35.619999999999997</v>
      </c>
      <c r="AQ5">
        <f>VLOOKUP(A5,GD!A$2:G$55,4,0)</f>
        <v>115.34</v>
      </c>
      <c r="AR5">
        <f>VLOOKUP(A5,GE!A$2:G$55,4,0)</f>
        <v>26.68</v>
      </c>
      <c r="AS5">
        <f>VLOOKUP(A5,GILD!A$2:G$55,4,0)</f>
        <v>86.99</v>
      </c>
      <c r="AT5">
        <f>VLOOKUP(A5,GM!A$2:G$55,4,0)</f>
        <v>37.17</v>
      </c>
      <c r="AU5">
        <f>VLOOKUP(A5,GOOG!A$2:G$55,4,0)</f>
        <v>579.59</v>
      </c>
      <c r="AV5">
        <f>VLOOKUP(A5,GOOGL!A$2:G$55,4,0)</f>
        <v>587.94000000000005</v>
      </c>
      <c r="AW5">
        <f>VLOOKUP(A5,GS!A$2:G$55,4,0)</f>
        <v>166.9</v>
      </c>
      <c r="AX5">
        <f>VLOOKUP(A5,HAL!A$2:G$55,4,0)</f>
        <v>69.62</v>
      </c>
      <c r="AY5">
        <f>VLOOKUP(A5,HD!A$2:G$55,4,0)</f>
        <v>81.14</v>
      </c>
      <c r="AZ5">
        <f>VLOOKUP(A5,HON!A$2:G$55,4,0)</f>
        <v>94.07</v>
      </c>
      <c r="BA5">
        <f>VLOOKUP(A5,HPQ!A$2:G$55,4,0)</f>
        <v>33.67</v>
      </c>
      <c r="BB5">
        <f>VLOOKUP(A5,IBM!A$2:G$55,4,0)</f>
        <v>187.44</v>
      </c>
      <c r="BC5">
        <f>VLOOKUP(A5,INTC!A$2:G$55,4,0)</f>
        <v>30.92</v>
      </c>
      <c r="BD5">
        <f>VLOOKUP(A5,JNJ!A$2:G$55,4,0)</f>
        <v>105.27</v>
      </c>
      <c r="BE5">
        <f>VLOOKUP(A5,JPM!A$2:G$55,4,0)</f>
        <v>56.4</v>
      </c>
      <c r="BF5">
        <f>VLOOKUP(A5,KO!A$2:G$55,4,0)</f>
        <v>41.93</v>
      </c>
      <c r="BG5">
        <f>VLOOKUP(A5,LLY!A$2:G$55,4,0)</f>
        <v>62.32</v>
      </c>
      <c r="BH5">
        <f>VLOOKUP(A5,LMT!A$2:G$55,4,0)</f>
        <v>157.71</v>
      </c>
      <c r="BI5">
        <f>VLOOKUP(A5,LOW!A$2:G$55,4,0)</f>
        <v>47.97</v>
      </c>
      <c r="BJ5">
        <f>VLOOKUP(A5,MA!A$2:G$55,4,0)</f>
        <v>75.94</v>
      </c>
      <c r="BK5">
        <f>VLOOKUP(A5,MCD!A$2:G$55,4,0)</f>
        <v>99.82</v>
      </c>
      <c r="BL5">
        <f>VLOOKUP(A5,MDLZ!A$2:G$55,4,0)</f>
        <v>37.770000000000003</v>
      </c>
      <c r="BM5">
        <f>VLOOKUP(A5,MDT!A$2:G$55,4,0)</f>
        <v>63.27</v>
      </c>
      <c r="BN5">
        <f>VLOOKUP(A5,MET!A$2:G$55,4,0)</f>
        <v>56.31</v>
      </c>
      <c r="BO5">
        <f>VLOOKUP(A5,MMM!A$2:G$55,4,0)</f>
        <v>144.5</v>
      </c>
      <c r="BP5">
        <f>VLOOKUP(A5,MO!A$2:G$55,4,0)</f>
        <v>42.25</v>
      </c>
      <c r="BQ5">
        <f>VLOOKUP(A5,MON!A$2:G$55,4,0)</f>
        <v>125.1</v>
      </c>
      <c r="BR5">
        <f>VLOOKUP(A5,MRK!A$2:G$55,4,0)</f>
        <v>58.49</v>
      </c>
      <c r="BS5">
        <f>VLOOKUP(A5,MS!A$2:G$55,4,0)</f>
        <v>32.1</v>
      </c>
      <c r="BT5">
        <f>VLOOKUP(A5,MSFT!A$2:G$55,4,0)</f>
        <v>41.71</v>
      </c>
      <c r="BU5">
        <f>VLOOKUP(A5,NKE!A$2:G$55,4,0)</f>
        <v>77.94</v>
      </c>
      <c r="BV5">
        <f>VLOOKUP(A5,NOV!A$2:G$55,4,0)</f>
        <v>82.61</v>
      </c>
      <c r="BW5">
        <f>VLOOKUP(A5,NSC!A$2:G$55,4,0)</f>
        <v>103.01</v>
      </c>
      <c r="BX5">
        <f>VLOOKUP(A5,ORCL!A$2:G$55,4,0)</f>
        <v>40.75</v>
      </c>
      <c r="BY5">
        <f>VLOOKUP(A5,OXY!A$2:G$55,4,0)</f>
        <v>101.29</v>
      </c>
      <c r="BZ5">
        <f>VLOOKUP(A5,PEP!A$2:G$55,4,0)</f>
        <v>89.48</v>
      </c>
      <c r="CA5">
        <f>VLOOKUP(A5,PFE!A$2:G$55,4,0)</f>
        <v>30.38</v>
      </c>
      <c r="CB5">
        <f>VLOOKUP(A5,PG!A$2:G$55,4,0)</f>
        <v>79.66</v>
      </c>
      <c r="CC5">
        <f>VLOOKUP(A5,PM!A$2:G$55,4,0)</f>
        <v>85.46</v>
      </c>
      <c r="CD5">
        <f>VLOOKUP(A5,QCOM!A$2:G$55,4,0)</f>
        <v>80.209999999999994</v>
      </c>
      <c r="CE5">
        <f>VLOOKUP(A5,RTN!A$2:G$55,4,0)</f>
        <v>92.1</v>
      </c>
      <c r="CF5">
        <f>VLOOKUP(A5,SBUX!A$2:G$55,4,0)</f>
        <v>78.61</v>
      </c>
      <c r="CG5">
        <f>VLOOKUP(A5,SLB!A$2:G$55,4,0)</f>
        <v>116.71</v>
      </c>
      <c r="CH5">
        <f>VLOOKUP(A5,SO!A$2:G$55,4,0)</f>
        <v>43.92</v>
      </c>
      <c r="CI5">
        <f>VLOOKUP(A5,SPG!A$2:G$55,4,0)</f>
        <v>165.8</v>
      </c>
      <c r="CJ5">
        <f>VLOOKUP(A5,T!A$2:G$55,4,0)</f>
        <v>35.85</v>
      </c>
      <c r="CK5">
        <f>VLOOKUP(A5,TGT!A$2:G$55,4,0)</f>
        <v>59.23</v>
      </c>
      <c r="CL5">
        <f>VLOOKUP(A5,TWX!A$2:G$55,4,0)</f>
        <v>70.88</v>
      </c>
      <c r="CM5">
        <f>VLOOKUP(A5,TXN!A$2:G$55,4,0)</f>
        <v>48.73</v>
      </c>
      <c r="CN5">
        <f>VLOOKUP(A5,UNH!A$2:G$55,4,0)</f>
        <v>81.790000000000006</v>
      </c>
      <c r="CO5">
        <f>VLOOKUP(A5,UNP!A$2:G$55,4,0)</f>
        <v>99.71</v>
      </c>
      <c r="CP5">
        <f>VLOOKUP(A5,UPS!A$2:G$55,4,0)</f>
        <v>102.95</v>
      </c>
      <c r="CQ5">
        <f>VLOOKUP(A5,USB!A$2:G$55,4,0)</f>
        <v>43.4</v>
      </c>
      <c r="CR5">
        <f>VLOOKUP(A5,UTX!A$2:G$55,4,0)</f>
        <v>114.71</v>
      </c>
      <c r="CS5">
        <f>VLOOKUP(A5,V!A$2:G$55,4,0)</f>
        <v>215.64</v>
      </c>
      <c r="CT5">
        <f>VLOOKUP(A5,VZ!A$2:G$55,4,0)</f>
        <v>49.55</v>
      </c>
      <c r="CU5">
        <f>VLOOKUP(A5,WAG!A$2:G$55,4,0)</f>
        <v>73.239999999999995</v>
      </c>
      <c r="CV5">
        <f>VLOOKUP(A5,WFC!A$2:G$55,4,0)</f>
        <v>52.45</v>
      </c>
      <c r="CW5">
        <f>VLOOKUP(A5,WMT!A$2:G$55,4,0)</f>
        <v>75.55</v>
      </c>
    </row>
    <row r="6" spans="1:101" x14ac:dyDescent="0.25">
      <c r="A6" s="34">
        <v>41828</v>
      </c>
      <c r="B6" s="36">
        <v>93.92</v>
      </c>
      <c r="C6">
        <f>VLOOKUP(A6,ABBV!A$2:G$55,4,0)</f>
        <v>55.48</v>
      </c>
      <c r="D6">
        <f>VLOOKUP(A6,ABT!A$2:G$55,4,0)</f>
        <v>40.94</v>
      </c>
      <c r="E6">
        <f>VLOOKUP(A6,ACN!A$2:G$55,4,0)</f>
        <v>80.81</v>
      </c>
      <c r="F6">
        <f>VLOOKUP(A6,AIG!A$2:G$55,4,0)</f>
        <v>54.72</v>
      </c>
      <c r="G6">
        <f>VLOOKUP(A6,ALL!A$2:G$55,4,0)</f>
        <v>58.38</v>
      </c>
      <c r="H6">
        <f>VLOOKUP(A6,AMGN!A$2:G$55,4,0)</f>
        <v>119.1</v>
      </c>
      <c r="I6">
        <f>VLOOKUP(A6,AMZN!A$2:G$55,4,0)</f>
        <v>321.39999999999998</v>
      </c>
      <c r="J6">
        <f>VLOOKUP(A6,APA!A$2:G$55,4,0)</f>
        <v>98.29</v>
      </c>
      <c r="K6">
        <f>VLOOKUP(A6,APC!A$2:G$55,4,0)</f>
        <v>105.98</v>
      </c>
      <c r="L6">
        <f>VLOOKUP(A6,AXP!A$2:G$55,4,0)</f>
        <v>93.57</v>
      </c>
      <c r="M6">
        <f>VLOOKUP(A6,BA!A$2:G$55,4,0)</f>
        <v>125.92</v>
      </c>
      <c r="N6">
        <f>VLOOKUP(A6,BAC!A$2:G$55,4,0)</f>
        <v>15.52</v>
      </c>
      <c r="O6">
        <f>VLOOKUP(A6,BAX!A$2:G$55,4,0)</f>
        <v>74.53</v>
      </c>
      <c r="P6">
        <f>VLOOKUP(A6,BIIB!A$2:G$55,4,0)</f>
        <v>316.91000000000003</v>
      </c>
      <c r="Q6">
        <f>VLOOKUP(A6,BK!A$2:G$55,4,0)</f>
        <v>37.130000000000003</v>
      </c>
      <c r="R6">
        <f>VLOOKUP(A6,BMY!A$2:G$55,4,0)</f>
        <v>47.34</v>
      </c>
      <c r="T6">
        <f>VLOOKUP(A6,'C'!A$2:G$55,4,0)</f>
        <v>47.25</v>
      </c>
      <c r="U6">
        <f>VLOOKUP(A6,CAT!A$2:G$55,4,0)</f>
        <v>109.4</v>
      </c>
      <c r="V6">
        <f>VLOOKUP(A6,CL!A$2:G$55,4,0)</f>
        <v>68.55</v>
      </c>
      <c r="W6">
        <f>VLOOKUP(A6,CMCSA!A$2:G$55,4,0)</f>
        <v>53.25</v>
      </c>
      <c r="X6">
        <f>VLOOKUP(A6,COF!A$2:G$55,4,0)</f>
        <v>82.89</v>
      </c>
      <c r="Y6">
        <f>VLOOKUP(A6,COP!A$2:G$55,4,0)</f>
        <v>85.73</v>
      </c>
      <c r="Z6">
        <f>VLOOKUP(A6,COST!A$2:G$55,4,0)</f>
        <v>116.11</v>
      </c>
      <c r="AA6">
        <f>VLOOKUP(A6,CSCO!A$2:G$55,4,0)</f>
        <v>25.06</v>
      </c>
      <c r="AB6">
        <f>VLOOKUP(A6,CVS!A$2:G$55,4,0)</f>
        <v>76.180000000000007</v>
      </c>
      <c r="AC6">
        <f>VLOOKUP(A6,CVX!A$2:G$55,4,0)</f>
        <v>129.52000000000001</v>
      </c>
      <c r="AD6">
        <f>VLOOKUP(A6,DD!A$2:G$55,4,0)</f>
        <v>64.95</v>
      </c>
      <c r="AE6">
        <f>VLOOKUP(A6,DIS!A$2:G$55,4,0)</f>
        <v>85.68</v>
      </c>
      <c r="AF6">
        <f>VLOOKUP(A6,DOW!A$2:G$55,4,0)</f>
        <v>50.49</v>
      </c>
      <c r="AG6">
        <f>VLOOKUP(A6,DVN!A$2:G$55,4,0)</f>
        <v>77.92</v>
      </c>
      <c r="AH6">
        <f>VLOOKUP(A6,EBAY!A$2:G$55,4,0)</f>
        <v>50.01</v>
      </c>
      <c r="AI6">
        <f>VLOOKUP(A6,EMC!A$2:G$55,4,0)</f>
        <v>26.39</v>
      </c>
      <c r="AJ6">
        <f>VLOOKUP(A6,EMR!A$2:G$55,4,0)</f>
        <v>67.22</v>
      </c>
      <c r="AK6">
        <f>VLOOKUP(A6,EXC!A$2:G$55,4,0)</f>
        <v>34.21</v>
      </c>
      <c r="AL6">
        <f>VLOOKUP(A6,F!A$2:G$55,4,0)</f>
        <v>17.05</v>
      </c>
      <c r="AM6">
        <f>VLOOKUP(A6,FB!A$2:G$55,4,0)</f>
        <v>62.21</v>
      </c>
      <c r="AN6">
        <f>VLOOKUP(A6,FCX!A$2:G$55,4,0)</f>
        <v>38.43</v>
      </c>
      <c r="AO6">
        <f>VLOOKUP(A6,FDX!A$2:G$55,4,0)</f>
        <v>149.82</v>
      </c>
      <c r="AP6">
        <f>VLOOKUP(A6,FOXA!A$2:G$55,4,0)</f>
        <v>34.97</v>
      </c>
      <c r="AQ6">
        <f>VLOOKUP(A6,GD!A$2:G$55,4,0)</f>
        <v>114.32</v>
      </c>
      <c r="AR6">
        <f>VLOOKUP(A6,GE!A$2:G$55,4,0)</f>
        <v>26.35</v>
      </c>
      <c r="AS6">
        <f>VLOOKUP(A6,GILD!A$2:G$55,4,0)</f>
        <v>86.03</v>
      </c>
      <c r="AT6">
        <f>VLOOKUP(A6,GM!A$2:G$55,4,0)</f>
        <v>37.200000000000003</v>
      </c>
      <c r="AU6">
        <f>VLOOKUP(A6,GOOG!A$2:G$55,4,0)</f>
        <v>566.14</v>
      </c>
      <c r="AV6">
        <f>VLOOKUP(A6,GOOGL!A$2:G$55,4,0)</f>
        <v>574</v>
      </c>
      <c r="AW6">
        <f>VLOOKUP(A6,GS!A$2:G$55,4,0)</f>
        <v>163.72999999999999</v>
      </c>
      <c r="AX6">
        <f>VLOOKUP(A6,HAL!A$2:G$55,4,0)</f>
        <v>68.959999999999994</v>
      </c>
      <c r="AY6">
        <f>VLOOKUP(A6,HD!A$2:G$55,4,0)</f>
        <v>80.55</v>
      </c>
      <c r="AZ6">
        <f>VLOOKUP(A6,HON!A$2:G$55,4,0)</f>
        <v>93.86</v>
      </c>
      <c r="BA6">
        <f>VLOOKUP(A6,HPQ!A$2:G$55,4,0)</f>
        <v>33.43</v>
      </c>
      <c r="BB6">
        <f>VLOOKUP(A6,IBM!A$2:G$55,4,0)</f>
        <v>186.37</v>
      </c>
      <c r="BC6">
        <f>VLOOKUP(A6,INTC!A$2:G$55,4,0)</f>
        <v>30.7</v>
      </c>
      <c r="BD6">
        <f>VLOOKUP(A6,JNJ!A$2:G$55,4,0)</f>
        <v>105.52</v>
      </c>
      <c r="BE6">
        <f>VLOOKUP(A6,JPM!A$2:G$55,4,0)</f>
        <v>55.63</v>
      </c>
      <c r="BF6">
        <f>VLOOKUP(A6,KO!A$2:G$55,4,0)</f>
        <v>41.91</v>
      </c>
      <c r="BG6">
        <f>VLOOKUP(A6,LLY!A$2:G$55,4,0)</f>
        <v>61.87</v>
      </c>
      <c r="BH6">
        <f>VLOOKUP(A6,LMT!A$2:G$55,4,0)</f>
        <v>156.96</v>
      </c>
      <c r="BI6">
        <f>VLOOKUP(A6,LOW!A$2:G$55,4,0)</f>
        <v>47.63</v>
      </c>
      <c r="BJ6">
        <f>VLOOKUP(A6,MA!A$2:G$55,4,0)</f>
        <v>75.13</v>
      </c>
      <c r="BK6">
        <f>VLOOKUP(A6,MCD!A$2:G$55,4,0)</f>
        <v>99.73</v>
      </c>
      <c r="BL6">
        <f>VLOOKUP(A6,MDLZ!A$2:G$55,4,0)</f>
        <v>37.81</v>
      </c>
      <c r="BM6">
        <f>VLOOKUP(A6,MDT!A$2:G$55,4,0)</f>
        <v>63.51</v>
      </c>
      <c r="BN6">
        <f>VLOOKUP(A6,MET!A$2:G$55,4,0)</f>
        <v>55.81</v>
      </c>
      <c r="BO6">
        <f>VLOOKUP(A6,MMM!A$2:G$55,4,0)</f>
        <v>144.47999999999999</v>
      </c>
      <c r="BP6">
        <f>VLOOKUP(A6,MO!A$2:G$55,4,0)</f>
        <v>42.51</v>
      </c>
      <c r="BQ6">
        <f>VLOOKUP(A6,MON!A$2:G$55,4,0)</f>
        <v>124.13</v>
      </c>
      <c r="BR6">
        <f>VLOOKUP(A6,MRK!A$2:G$55,4,0)</f>
        <v>57.91</v>
      </c>
      <c r="BS6">
        <f>VLOOKUP(A6,MS!A$2:G$55,4,0)</f>
        <v>31.47</v>
      </c>
      <c r="BT6">
        <f>VLOOKUP(A6,MSFT!A$2:G$55,4,0)</f>
        <v>41.61</v>
      </c>
      <c r="BU6">
        <f>VLOOKUP(A6,NKE!A$2:G$55,4,0)</f>
        <v>77.069999999999993</v>
      </c>
      <c r="BV6">
        <f>VLOOKUP(A6,NOV!A$2:G$55,4,0)</f>
        <v>82.5</v>
      </c>
      <c r="BW6">
        <f>VLOOKUP(A6,NSC!A$2:G$55,4,0)</f>
        <v>102.26</v>
      </c>
      <c r="BX6">
        <f>VLOOKUP(A6,ORCL!A$2:G$55,4,0)</f>
        <v>40.380000000000003</v>
      </c>
      <c r="BY6">
        <f>VLOOKUP(A6,OXY!A$2:G$55,4,0)</f>
        <v>101.32</v>
      </c>
      <c r="BZ6">
        <f>VLOOKUP(A6,PEP!A$2:G$55,4,0)</f>
        <v>89.48</v>
      </c>
      <c r="CA6">
        <f>VLOOKUP(A6,PFE!A$2:G$55,4,0)</f>
        <v>30.02</v>
      </c>
      <c r="CB6">
        <f>VLOOKUP(A6,PG!A$2:G$55,4,0)</f>
        <v>79.91</v>
      </c>
      <c r="CC6">
        <f>VLOOKUP(A6,PM!A$2:G$55,4,0)</f>
        <v>85.94</v>
      </c>
      <c r="CD6">
        <f>VLOOKUP(A6,QCOM!A$2:G$55,4,0)</f>
        <v>80.42</v>
      </c>
      <c r="CE6">
        <f>VLOOKUP(A6,RTN!A$2:G$55,4,0)</f>
        <v>91.07</v>
      </c>
      <c r="CF6">
        <f>VLOOKUP(A6,SBUX!A$2:G$55,4,0)</f>
        <v>78.25</v>
      </c>
      <c r="CG6">
        <f>VLOOKUP(A6,SLB!A$2:G$55,4,0)</f>
        <v>116.24</v>
      </c>
      <c r="CH6">
        <f>VLOOKUP(A6,SO!A$2:G$55,4,0)</f>
        <v>44.25</v>
      </c>
      <c r="CI6">
        <f>VLOOKUP(A6,SPG!A$2:G$55,4,0)</f>
        <v>165.86</v>
      </c>
      <c r="CJ6">
        <f>VLOOKUP(A6,T!A$2:G$55,4,0)</f>
        <v>35.409999999999997</v>
      </c>
      <c r="CK6">
        <f>VLOOKUP(A6,TGT!A$2:G$55,4,0)</f>
        <v>59.38</v>
      </c>
      <c r="CL6">
        <f>VLOOKUP(A6,TWX!A$2:G$55,4,0)</f>
        <v>70.45</v>
      </c>
      <c r="CM6">
        <f>VLOOKUP(A6,TXN!A$2:G$55,4,0)</f>
        <v>48.52</v>
      </c>
      <c r="CN6">
        <f>VLOOKUP(A6,UNH!A$2:G$55,4,0)</f>
        <v>81.38</v>
      </c>
      <c r="CO6">
        <f>VLOOKUP(A6,UNP!A$2:G$55,4,0)</f>
        <v>99.53</v>
      </c>
      <c r="CP6">
        <f>VLOOKUP(A6,UPS!A$2:G$55,4,0)</f>
        <v>102.07</v>
      </c>
      <c r="CQ6">
        <f>VLOOKUP(A6,USB!A$2:G$55,4,0)</f>
        <v>43.1</v>
      </c>
      <c r="CR6">
        <f>VLOOKUP(A6,UTX!A$2:G$55,4,0)</f>
        <v>113.95</v>
      </c>
      <c r="CS6">
        <f>VLOOKUP(A6,V!A$2:G$55,4,0)</f>
        <v>213.15</v>
      </c>
      <c r="CT6">
        <f>VLOOKUP(A6,VZ!A$2:G$55,4,0)</f>
        <v>48.76</v>
      </c>
      <c r="CU6">
        <f>VLOOKUP(A6,WAG!A$2:G$55,4,0)</f>
        <v>71.06</v>
      </c>
      <c r="CV6">
        <f>VLOOKUP(A6,WFC!A$2:G$55,4,0)</f>
        <v>52.1</v>
      </c>
      <c r="CW6">
        <f>VLOOKUP(A6,WMT!A$2:G$55,4,0)</f>
        <v>76.03</v>
      </c>
    </row>
    <row r="7" spans="1:101" x14ac:dyDescent="0.25">
      <c r="A7" s="34">
        <v>41829</v>
      </c>
      <c r="B7" s="36">
        <v>94.76</v>
      </c>
      <c r="C7">
        <f>VLOOKUP(A7,ABBV!A$2:G$55,4,0)</f>
        <v>54.82</v>
      </c>
      <c r="D7">
        <f>VLOOKUP(A7,ABT!A$2:G$55,4,0)</f>
        <v>40.950000000000003</v>
      </c>
      <c r="E7">
        <f>VLOOKUP(A7,ACN!A$2:G$55,4,0)</f>
        <v>80.53</v>
      </c>
      <c r="F7">
        <f>VLOOKUP(A7,AIG!A$2:G$55,4,0)</f>
        <v>54.73</v>
      </c>
      <c r="G7">
        <f>VLOOKUP(A7,ALL!A$2:G$55,4,0)</f>
        <v>58.18</v>
      </c>
      <c r="H7">
        <f>VLOOKUP(A7,AMGN!A$2:G$55,4,0)</f>
        <v>118.92</v>
      </c>
      <c r="I7">
        <f>VLOOKUP(A7,AMZN!A$2:G$55,4,0)</f>
        <v>323.14999999999998</v>
      </c>
      <c r="J7">
        <f>VLOOKUP(A7,APA!A$2:G$55,4,0)</f>
        <v>98.47</v>
      </c>
      <c r="K7">
        <f>VLOOKUP(A7,APC!A$2:G$55,4,0)</f>
        <v>106.62</v>
      </c>
      <c r="L7">
        <f>VLOOKUP(A7,AXP!A$2:G$55,4,0)</f>
        <v>94.41</v>
      </c>
      <c r="M7">
        <f>VLOOKUP(A7,BA!A$2:G$55,4,0)</f>
        <v>125.91</v>
      </c>
      <c r="N7">
        <f>VLOOKUP(A7,BAC!A$2:G$55,4,0)</f>
        <v>15.54</v>
      </c>
      <c r="O7">
        <f>VLOOKUP(A7,BAX!A$2:G$55,4,0)</f>
        <v>75.14</v>
      </c>
      <c r="P7">
        <f>VLOOKUP(A7,BIIB!A$2:G$55,4,0)</f>
        <v>313.61</v>
      </c>
      <c r="Q7">
        <f>VLOOKUP(A7,BK!A$2:G$55,4,0)</f>
        <v>37.44</v>
      </c>
      <c r="R7">
        <f>VLOOKUP(A7,BMY!A$2:G$55,4,0)</f>
        <v>47.55</v>
      </c>
      <c r="T7">
        <f>VLOOKUP(A7,'C'!A$2:G$55,4,0)</f>
        <v>47.2</v>
      </c>
      <c r="U7">
        <f>VLOOKUP(A7,CAT!A$2:G$55,4,0)</f>
        <v>109.42</v>
      </c>
      <c r="V7">
        <f>VLOOKUP(A7,CL!A$2:G$55,4,0)</f>
        <v>69.42</v>
      </c>
      <c r="W7">
        <f>VLOOKUP(A7,CMCSA!A$2:G$55,4,0)</f>
        <v>53.41</v>
      </c>
      <c r="X7">
        <f>VLOOKUP(A7,COF!A$2:G$55,4,0)</f>
        <v>83.68</v>
      </c>
      <c r="Y7">
        <f>VLOOKUP(A7,COP!A$2:G$55,4,0)</f>
        <v>85.71</v>
      </c>
      <c r="Z7">
        <f>VLOOKUP(A7,COST!A$2:G$55,4,0)</f>
        <v>117.11</v>
      </c>
      <c r="AA7">
        <f>VLOOKUP(A7,CSCO!A$2:G$55,4,0)</f>
        <v>25.14</v>
      </c>
      <c r="AB7">
        <f>VLOOKUP(A7,CVS!A$2:G$55,4,0)</f>
        <v>76.25</v>
      </c>
      <c r="AC7">
        <f>VLOOKUP(A7,CVX!A$2:G$55,4,0)</f>
        <v>129.99</v>
      </c>
      <c r="AD7">
        <f>VLOOKUP(A7,DD!A$2:G$55,4,0)</f>
        <v>64.98</v>
      </c>
      <c r="AE7">
        <f>VLOOKUP(A7,DIS!A$2:G$55,4,0)</f>
        <v>85.85</v>
      </c>
      <c r="AF7">
        <f>VLOOKUP(A7,DOW!A$2:G$55,4,0)</f>
        <v>50.89</v>
      </c>
      <c r="AG7">
        <f>VLOOKUP(A7,DVN!A$2:G$55,4,0)</f>
        <v>78.2</v>
      </c>
      <c r="AH7">
        <f>VLOOKUP(A7,EBAY!A$2:G$55,4,0)</f>
        <v>50.01</v>
      </c>
      <c r="AI7">
        <f>VLOOKUP(A7,EMC!A$2:G$55,4,0)</f>
        <v>26.44</v>
      </c>
      <c r="AJ7">
        <f>VLOOKUP(A7,EMR!A$2:G$55,4,0)</f>
        <v>67.489999999999995</v>
      </c>
      <c r="AK7">
        <f>VLOOKUP(A7,EXC!A$2:G$55,4,0)</f>
        <v>34.15</v>
      </c>
      <c r="AL7">
        <f>VLOOKUP(A7,F!A$2:G$55,4,0)</f>
        <v>17.14</v>
      </c>
      <c r="AM7">
        <f>VLOOKUP(A7,FB!A$2:G$55,4,0)</f>
        <v>63.15</v>
      </c>
      <c r="AN7">
        <f>VLOOKUP(A7,FCX!A$2:G$55,4,0)</f>
        <v>38.74</v>
      </c>
      <c r="AO7">
        <f>VLOOKUP(A7,FDX!A$2:G$55,4,0)</f>
        <v>150.81</v>
      </c>
      <c r="AP7">
        <f>VLOOKUP(A7,FOXA!A$2:G$55,4,0)</f>
        <v>35.15</v>
      </c>
      <c r="AQ7">
        <f>VLOOKUP(A7,GD!A$2:G$55,4,0)</f>
        <v>114.53</v>
      </c>
      <c r="AR7">
        <f>VLOOKUP(A7,GE!A$2:G$55,4,0)</f>
        <v>26.26</v>
      </c>
      <c r="AS7">
        <f>VLOOKUP(A7,GILD!A$2:G$55,4,0)</f>
        <v>87.19</v>
      </c>
      <c r="AT7">
        <f>VLOOKUP(A7,GM!A$2:G$55,4,0)</f>
        <v>37.630000000000003</v>
      </c>
      <c r="AU7">
        <f>VLOOKUP(A7,GOOG!A$2:G$55,4,0)</f>
        <v>569.38</v>
      </c>
      <c r="AV7">
        <f>VLOOKUP(A7,GOOGL!A$2:G$55,4,0)</f>
        <v>577</v>
      </c>
      <c r="AW7">
        <f>VLOOKUP(A7,GS!A$2:G$55,4,0)</f>
        <v>163.63</v>
      </c>
      <c r="AX7">
        <f>VLOOKUP(A7,HAL!A$2:G$55,4,0)</f>
        <v>69.92</v>
      </c>
      <c r="AY7">
        <f>VLOOKUP(A7,HD!A$2:G$55,4,0)</f>
        <v>80.180000000000007</v>
      </c>
      <c r="AZ7">
        <f>VLOOKUP(A7,HON!A$2:G$55,4,0)</f>
        <v>93.95</v>
      </c>
      <c r="BA7">
        <f>VLOOKUP(A7,HPQ!A$2:G$55,4,0)</f>
        <v>33.51</v>
      </c>
      <c r="BB7">
        <f>VLOOKUP(A7,IBM!A$2:G$55,4,0)</f>
        <v>186.89</v>
      </c>
      <c r="BC7">
        <f>VLOOKUP(A7,INTC!A$2:G$55,4,0)</f>
        <v>30.69</v>
      </c>
      <c r="BD7">
        <f>VLOOKUP(A7,JNJ!A$2:G$55,4,0)</f>
        <v>105.72</v>
      </c>
      <c r="BE7">
        <f>VLOOKUP(A7,JPM!A$2:G$55,4,0)</f>
        <v>55.61</v>
      </c>
      <c r="BF7">
        <f>VLOOKUP(A7,KO!A$2:G$55,4,0)</f>
        <v>41.79</v>
      </c>
      <c r="BG7">
        <f>VLOOKUP(A7,LLY!A$2:G$55,4,0)</f>
        <v>62.27</v>
      </c>
      <c r="BH7">
        <f>VLOOKUP(A7,LMT!A$2:G$55,4,0)</f>
        <v>157.43</v>
      </c>
      <c r="BI7">
        <f>VLOOKUP(A7,LOW!A$2:G$55,4,0)</f>
        <v>47.59</v>
      </c>
      <c r="BJ7">
        <f>VLOOKUP(A7,MA!A$2:G$55,4,0)</f>
        <v>75.599999999999994</v>
      </c>
      <c r="BK7">
        <f>VLOOKUP(A7,MCD!A$2:G$55,4,0)</f>
        <v>100.26</v>
      </c>
      <c r="BL7">
        <f>VLOOKUP(A7,MDLZ!A$2:G$55,4,0)</f>
        <v>37.979999999999997</v>
      </c>
      <c r="BM7">
        <f>VLOOKUP(A7,MDT!A$2:G$55,4,0)</f>
        <v>63.5</v>
      </c>
      <c r="BN7">
        <f>VLOOKUP(A7,MET!A$2:G$55,4,0)</f>
        <v>56.16</v>
      </c>
      <c r="BO7">
        <f>VLOOKUP(A7,MMM!A$2:G$55,4,0)</f>
        <v>144.03</v>
      </c>
      <c r="BP7">
        <f>VLOOKUP(A7,MO!A$2:G$55,4,0)</f>
        <v>42.72</v>
      </c>
      <c r="BQ7">
        <f>VLOOKUP(A7,MON!A$2:G$55,4,0)</f>
        <v>123.23</v>
      </c>
      <c r="BR7">
        <f>VLOOKUP(A7,MRK!A$2:G$55,4,0)</f>
        <v>58.18</v>
      </c>
      <c r="BS7">
        <f>VLOOKUP(A7,MS!A$2:G$55,4,0)</f>
        <v>31.62</v>
      </c>
      <c r="BT7">
        <f>VLOOKUP(A7,MSFT!A$2:G$55,4,0)</f>
        <v>41.53</v>
      </c>
      <c r="BU7">
        <f>VLOOKUP(A7,NKE!A$2:G$55,4,0)</f>
        <v>77.69</v>
      </c>
      <c r="BV7">
        <f>VLOOKUP(A7,NOV!A$2:G$55,4,0)</f>
        <v>83.08</v>
      </c>
      <c r="BW7">
        <f>VLOOKUP(A7,NSC!A$2:G$55,4,0)</f>
        <v>102.83</v>
      </c>
      <c r="BX7">
        <f>VLOOKUP(A7,ORCL!A$2:G$55,4,0)</f>
        <v>39.99</v>
      </c>
      <c r="BY7">
        <f>VLOOKUP(A7,OXY!A$2:G$55,4,0)</f>
        <v>101.45</v>
      </c>
      <c r="BZ7">
        <f>VLOOKUP(A7,PEP!A$2:G$55,4,0)</f>
        <v>89.62</v>
      </c>
      <c r="CA7">
        <f>VLOOKUP(A7,PFE!A$2:G$55,4,0)</f>
        <v>29.9</v>
      </c>
      <c r="CB7">
        <f>VLOOKUP(A7,PG!A$2:G$55,4,0)</f>
        <v>80.5</v>
      </c>
      <c r="CC7">
        <f>VLOOKUP(A7,PM!A$2:G$55,4,0)</f>
        <v>85.82</v>
      </c>
      <c r="CD7">
        <f>VLOOKUP(A7,QCOM!A$2:G$55,4,0)</f>
        <v>80.38</v>
      </c>
      <c r="CE7">
        <f>VLOOKUP(A7,RTN!A$2:G$55,4,0)</f>
        <v>91</v>
      </c>
      <c r="CF7">
        <f>VLOOKUP(A7,SBUX!A$2:G$55,4,0)</f>
        <v>78.36</v>
      </c>
      <c r="CG7">
        <f>VLOOKUP(A7,SLB!A$2:G$55,4,0)</f>
        <v>116.14</v>
      </c>
      <c r="CH7">
        <f>VLOOKUP(A7,SO!A$2:G$55,4,0)</f>
        <v>44.18</v>
      </c>
      <c r="CI7">
        <f>VLOOKUP(A7,SPG!A$2:G$55,4,0)</f>
        <v>165.07</v>
      </c>
      <c r="CJ7">
        <f>VLOOKUP(A7,T!A$2:G$55,4,0)</f>
        <v>35.51</v>
      </c>
      <c r="CK7">
        <f>VLOOKUP(A7,TGT!A$2:G$55,4,0)</f>
        <v>59.57</v>
      </c>
      <c r="CL7">
        <f>VLOOKUP(A7,TWX!A$2:G$55,4,0)</f>
        <v>70.709999999999994</v>
      </c>
      <c r="CM7">
        <f>VLOOKUP(A7,TXN!A$2:G$55,4,0)</f>
        <v>48.83</v>
      </c>
      <c r="CN7">
        <f>VLOOKUP(A7,UNH!A$2:G$55,4,0)</f>
        <v>81.89</v>
      </c>
      <c r="CO7">
        <f>VLOOKUP(A7,UNP!A$2:G$55,4,0)</f>
        <v>100.2</v>
      </c>
      <c r="CP7">
        <f>VLOOKUP(A7,UPS!A$2:G$55,4,0)</f>
        <v>102.52</v>
      </c>
      <c r="CQ7">
        <f>VLOOKUP(A7,USB!A$2:G$55,4,0)</f>
        <v>43.14</v>
      </c>
      <c r="CR7">
        <f>VLOOKUP(A7,UTX!A$2:G$55,4,0)</f>
        <v>113.38</v>
      </c>
      <c r="CS7">
        <f>VLOOKUP(A7,V!A$2:G$55,4,0)</f>
        <v>214.51</v>
      </c>
      <c r="CT7">
        <f>VLOOKUP(A7,VZ!A$2:G$55,4,0)</f>
        <v>48.72</v>
      </c>
      <c r="CU7">
        <f>VLOOKUP(A7,WAG!A$2:G$55,4,0)</f>
        <v>71.52</v>
      </c>
      <c r="CV7">
        <f>VLOOKUP(A7,WFC!A$2:G$55,4,0)</f>
        <v>51.91</v>
      </c>
      <c r="CW7">
        <f>VLOOKUP(A7,WMT!A$2:G$55,4,0)</f>
        <v>76.62</v>
      </c>
    </row>
    <row r="8" spans="1:101" x14ac:dyDescent="0.25">
      <c r="A8" s="34">
        <v>41830</v>
      </c>
      <c r="B8" s="36">
        <v>93.52</v>
      </c>
      <c r="C8">
        <f>VLOOKUP(A8,ABBV!A$2:G$55,4,0)</f>
        <v>54.28</v>
      </c>
      <c r="D8">
        <f>VLOOKUP(A8,ABT!A$2:G$55,4,0)</f>
        <v>40.92</v>
      </c>
      <c r="E8">
        <f>VLOOKUP(A8,ACN!A$2:G$55,4,0)</f>
        <v>79.7</v>
      </c>
      <c r="F8">
        <f>VLOOKUP(A8,AIG!A$2:G$55,4,0)</f>
        <v>53.13</v>
      </c>
      <c r="G8">
        <f>VLOOKUP(A8,ALL!A$2:G$55,4,0)</f>
        <v>57.69</v>
      </c>
      <c r="H8">
        <f>VLOOKUP(A8,AMGN!A$2:G$55,4,0)</f>
        <v>117.88</v>
      </c>
      <c r="I8">
        <f>VLOOKUP(A8,AMZN!A$2:G$55,4,0)</f>
        <v>322.64999999999998</v>
      </c>
      <c r="J8">
        <f>VLOOKUP(A8,APA!A$2:G$55,4,0)</f>
        <v>97.88</v>
      </c>
      <c r="K8">
        <f>VLOOKUP(A8,APC!A$2:G$55,4,0)</f>
        <v>105.21</v>
      </c>
      <c r="L8">
        <f>VLOOKUP(A8,AXP!A$2:G$55,4,0)</f>
        <v>93.16</v>
      </c>
      <c r="M8">
        <f>VLOOKUP(A8,BA!A$2:G$55,4,0)</f>
        <v>125.12</v>
      </c>
      <c r="N8">
        <f>VLOOKUP(A8,BAC!A$2:G$55,4,0)</f>
        <v>15.25</v>
      </c>
      <c r="O8">
        <f>VLOOKUP(A8,BAX!A$2:G$55,4,0)</f>
        <v>75.150000000000006</v>
      </c>
      <c r="P8">
        <f>VLOOKUP(A8,BIIB!A$2:G$55,4,0)</f>
        <v>315</v>
      </c>
      <c r="Q8">
        <f>VLOOKUP(A8,BK!A$2:G$55,4,0)</f>
        <v>37.119999999999997</v>
      </c>
      <c r="R8">
        <f>VLOOKUP(A8,BMY!A$2:G$55,4,0)</f>
        <v>47.55</v>
      </c>
      <c r="T8">
        <f>VLOOKUP(A8,'C'!A$2:G$55,4,0)</f>
        <v>46.55</v>
      </c>
      <c r="U8">
        <f>VLOOKUP(A8,CAT!A$2:G$55,4,0)</f>
        <v>107.8</v>
      </c>
      <c r="V8">
        <f>VLOOKUP(A8,CL!A$2:G$55,4,0)</f>
        <v>69.3</v>
      </c>
      <c r="W8">
        <f>VLOOKUP(A8,CMCSA!A$2:G$55,4,0)</f>
        <v>54.08</v>
      </c>
      <c r="X8">
        <f>VLOOKUP(A8,COF!A$2:G$55,4,0)</f>
        <v>82.99</v>
      </c>
      <c r="Y8">
        <f>VLOOKUP(A8,COP!A$2:G$55,4,0)</f>
        <v>82.78</v>
      </c>
      <c r="Z8">
        <f>VLOOKUP(A8,COST!A$2:G$55,4,0)</f>
        <v>117.5</v>
      </c>
      <c r="AA8">
        <f>VLOOKUP(A8,CSCO!A$2:G$55,4,0)</f>
        <v>25.22</v>
      </c>
      <c r="AB8">
        <f>VLOOKUP(A8,CVS!A$2:G$55,4,0)</f>
        <v>76.040000000000006</v>
      </c>
      <c r="AC8">
        <f>VLOOKUP(A8,CVX!A$2:G$55,4,0)</f>
        <v>129.9</v>
      </c>
      <c r="AD8">
        <f>VLOOKUP(A8,DD!A$2:G$55,4,0)</f>
        <v>64.53</v>
      </c>
      <c r="AE8">
        <f>VLOOKUP(A8,DIS!A$2:G$55,4,0)</f>
        <v>86.19</v>
      </c>
      <c r="AF8">
        <f>VLOOKUP(A8,DOW!A$2:G$55,4,0)</f>
        <v>50.48</v>
      </c>
      <c r="AG8">
        <f>VLOOKUP(A8,DVN!A$2:G$55,4,0)</f>
        <v>77.33</v>
      </c>
      <c r="AH8">
        <f>VLOOKUP(A8,EBAY!A$2:G$55,4,0)</f>
        <v>49.74</v>
      </c>
      <c r="AI8">
        <f>VLOOKUP(A8,EMC!A$2:G$55,4,0)</f>
        <v>26.38</v>
      </c>
      <c r="AJ8">
        <f>VLOOKUP(A8,EMR!A$2:G$55,4,0)</f>
        <v>67</v>
      </c>
      <c r="AK8">
        <f>VLOOKUP(A8,EXC!A$2:G$55,4,0)</f>
        <v>34.15</v>
      </c>
      <c r="AL8">
        <f>VLOOKUP(A8,F!A$2:G$55,4,0)</f>
        <v>17.170000000000002</v>
      </c>
      <c r="AM8">
        <f>VLOOKUP(A8,FB!A$2:G$55,4,0)</f>
        <v>63.05</v>
      </c>
      <c r="AN8">
        <f>VLOOKUP(A8,FCX!A$2:G$55,4,0)</f>
        <v>38.51</v>
      </c>
      <c r="AO8">
        <f>VLOOKUP(A8,FDX!A$2:G$55,4,0)</f>
        <v>149.41999999999999</v>
      </c>
      <c r="AP8">
        <f>VLOOKUP(A8,FOXA!A$2:G$55,4,0)</f>
        <v>35.22</v>
      </c>
      <c r="AQ8">
        <f>VLOOKUP(A8,GD!A$2:G$55,4,0)</f>
        <v>114.04</v>
      </c>
      <c r="AR8">
        <f>VLOOKUP(A8,GE!A$2:G$55,4,0)</f>
        <v>26.1</v>
      </c>
      <c r="AS8">
        <f>VLOOKUP(A8,GILD!A$2:G$55,4,0)</f>
        <v>86.31</v>
      </c>
      <c r="AT8">
        <f>VLOOKUP(A8,GM!A$2:G$55,4,0)</f>
        <v>37.35</v>
      </c>
      <c r="AU8">
        <f>VLOOKUP(A8,GOOG!A$2:G$55,4,0)</f>
        <v>565.01</v>
      </c>
      <c r="AV8">
        <f>VLOOKUP(A8,GOOGL!A$2:G$55,4,0)</f>
        <v>572.1</v>
      </c>
      <c r="AW8">
        <f>VLOOKUP(A8,GS!A$2:G$55,4,0)</f>
        <v>161.53</v>
      </c>
      <c r="AX8">
        <f>VLOOKUP(A8,HAL!A$2:G$55,4,0)</f>
        <v>68.91</v>
      </c>
      <c r="AY8">
        <f>VLOOKUP(A8,HD!A$2:G$55,4,0)</f>
        <v>77.95</v>
      </c>
      <c r="AZ8">
        <f>VLOOKUP(A8,HON!A$2:G$55,4,0)</f>
        <v>93.27</v>
      </c>
      <c r="BA8">
        <f>VLOOKUP(A8,HPQ!A$2:G$55,4,0)</f>
        <v>33.24</v>
      </c>
      <c r="BB8">
        <f>VLOOKUP(A8,IBM!A$2:G$55,4,0)</f>
        <v>186.21</v>
      </c>
      <c r="BC8">
        <f>VLOOKUP(A8,INTC!A$2:G$55,4,0)</f>
        <v>30.44</v>
      </c>
      <c r="BD8">
        <f>VLOOKUP(A8,JNJ!A$2:G$55,4,0)</f>
        <v>104.52</v>
      </c>
      <c r="BE8">
        <f>VLOOKUP(A8,JPM!A$2:G$55,4,0)</f>
        <v>54.96</v>
      </c>
      <c r="BF8">
        <f>VLOOKUP(A8,KO!A$2:G$55,4,0)</f>
        <v>41.55</v>
      </c>
      <c r="BG8">
        <f>VLOOKUP(A8,LLY!A$2:G$55,4,0)</f>
        <v>62</v>
      </c>
      <c r="BH8">
        <f>VLOOKUP(A8,LMT!A$2:G$55,4,0)</f>
        <v>156.22999999999999</v>
      </c>
      <c r="BI8">
        <f>VLOOKUP(A8,LOW!A$2:G$55,4,0)</f>
        <v>46.48</v>
      </c>
      <c r="BJ8">
        <f>VLOOKUP(A8,MA!A$2:G$55,4,0)</f>
        <v>74.75</v>
      </c>
      <c r="BK8">
        <f>VLOOKUP(A8,MCD!A$2:G$55,4,0)</f>
        <v>100.16</v>
      </c>
      <c r="BL8">
        <f>VLOOKUP(A8,MDLZ!A$2:G$55,4,0)</f>
        <v>37.69</v>
      </c>
      <c r="BM8">
        <f>VLOOKUP(A8,MDT!A$2:G$55,4,0)</f>
        <v>62.65</v>
      </c>
      <c r="BN8">
        <f>VLOOKUP(A8,MET!A$2:G$55,4,0)</f>
        <v>54.67</v>
      </c>
      <c r="BO8">
        <f>VLOOKUP(A8,MMM!A$2:G$55,4,0)</f>
        <v>143.24</v>
      </c>
      <c r="BP8">
        <f>VLOOKUP(A8,MO!A$2:G$55,4,0)</f>
        <v>42.61</v>
      </c>
      <c r="BQ8">
        <f>VLOOKUP(A8,MON!A$2:G$55,4,0)</f>
        <v>121.96</v>
      </c>
      <c r="BR8">
        <f>VLOOKUP(A8,MRK!A$2:G$55,4,0)</f>
        <v>57.73</v>
      </c>
      <c r="BS8">
        <f>VLOOKUP(A8,MS!A$2:G$55,4,0)</f>
        <v>31.2</v>
      </c>
      <c r="BT8">
        <f>VLOOKUP(A8,MSFT!A$2:G$55,4,0)</f>
        <v>41.05</v>
      </c>
      <c r="BU8">
        <f>VLOOKUP(A8,NKE!A$2:G$55,4,0)</f>
        <v>76.790000000000006</v>
      </c>
      <c r="BV8">
        <f>VLOOKUP(A8,NOV!A$2:G$55,4,0)</f>
        <v>82.76</v>
      </c>
      <c r="BW8">
        <f>VLOOKUP(A8,NSC!A$2:G$55,4,0)</f>
        <v>101.83</v>
      </c>
      <c r="BX8">
        <f>VLOOKUP(A8,ORCL!A$2:G$55,4,0)</f>
        <v>39.89</v>
      </c>
      <c r="BY8">
        <f>VLOOKUP(A8,OXY!A$2:G$55,4,0)</f>
        <v>99.89</v>
      </c>
      <c r="BZ8">
        <f>VLOOKUP(A8,PEP!A$2:G$55,4,0)</f>
        <v>89.15</v>
      </c>
      <c r="CA8">
        <f>VLOOKUP(A8,PFE!A$2:G$55,4,0)</f>
        <v>29.58</v>
      </c>
      <c r="CB8">
        <f>VLOOKUP(A8,PG!A$2:G$55,4,0)</f>
        <v>81.19</v>
      </c>
      <c r="CC8">
        <f>VLOOKUP(A8,PM!A$2:G$55,4,0)</f>
        <v>84.88</v>
      </c>
      <c r="CD8">
        <f>VLOOKUP(A8,QCOM!A$2:G$55,4,0)</f>
        <v>79.8</v>
      </c>
      <c r="CE8">
        <f>VLOOKUP(A8,RTN!A$2:G$55,4,0)</f>
        <v>90.75</v>
      </c>
      <c r="CF8">
        <f>VLOOKUP(A8,SBUX!A$2:G$55,4,0)</f>
        <v>78.19</v>
      </c>
      <c r="CG8">
        <f>VLOOKUP(A8,SLB!A$2:G$55,4,0)</f>
        <v>114.8</v>
      </c>
      <c r="CH8">
        <f>VLOOKUP(A8,SO!A$2:G$55,4,0)</f>
        <v>44.39</v>
      </c>
      <c r="CI8">
        <f>VLOOKUP(A8,SPG!A$2:G$55,4,0)</f>
        <v>166.53</v>
      </c>
      <c r="CJ8">
        <f>VLOOKUP(A8,T!A$2:G$55,4,0)</f>
        <v>35.380000000000003</v>
      </c>
      <c r="CK8">
        <f>VLOOKUP(A8,TGT!A$2:G$55,4,0)</f>
        <v>59.46</v>
      </c>
      <c r="CL8">
        <f>VLOOKUP(A8,TWX!A$2:G$55,4,0)</f>
        <v>71.37</v>
      </c>
      <c r="CM8">
        <f>VLOOKUP(A8,TXN!A$2:G$55,4,0)</f>
        <v>48.28</v>
      </c>
      <c r="CN8">
        <f>VLOOKUP(A8,UNH!A$2:G$55,4,0)</f>
        <v>81.05</v>
      </c>
      <c r="CO8">
        <f>VLOOKUP(A8,UNP!A$2:G$55,4,0)</f>
        <v>99.27</v>
      </c>
      <c r="CP8">
        <f>VLOOKUP(A8,UPS!A$2:G$55,4,0)</f>
        <v>101.94</v>
      </c>
      <c r="CQ8">
        <f>VLOOKUP(A8,USB!A$2:G$55,4,0)</f>
        <v>42.88</v>
      </c>
      <c r="CR8">
        <f>VLOOKUP(A8,UTX!A$2:G$55,4,0)</f>
        <v>112.44</v>
      </c>
      <c r="CS8">
        <f>VLOOKUP(A8,V!A$2:G$55,4,0)</f>
        <v>212.68</v>
      </c>
      <c r="CT8">
        <f>VLOOKUP(A8,VZ!A$2:G$55,4,0)</f>
        <v>48.54</v>
      </c>
      <c r="CU8">
        <f>VLOOKUP(A8,WAG!A$2:G$55,4,0)</f>
        <v>70.680000000000007</v>
      </c>
      <c r="CV8">
        <f>VLOOKUP(A8,WFC!A$2:G$55,4,0)</f>
        <v>51.53</v>
      </c>
      <c r="CW8">
        <f>VLOOKUP(A8,WMT!A$2:G$55,4,0)</f>
        <v>76.91</v>
      </c>
    </row>
    <row r="9" spans="1:101" x14ac:dyDescent="0.25">
      <c r="A9" s="34">
        <v>41831</v>
      </c>
      <c r="B9" s="36">
        <v>94.86</v>
      </c>
      <c r="C9">
        <f>VLOOKUP(A9,ABBV!A$2:G$55,4,0)</f>
        <v>54.48</v>
      </c>
      <c r="D9">
        <f>VLOOKUP(A9,ABT!A$2:G$55,4,0)</f>
        <v>40.98</v>
      </c>
      <c r="E9">
        <f>VLOOKUP(A9,ACN!A$2:G$55,4,0)</f>
        <v>79.55</v>
      </c>
      <c r="F9">
        <f>VLOOKUP(A9,AIG!A$2:G$55,4,0)</f>
        <v>54.04</v>
      </c>
      <c r="G9">
        <f>VLOOKUP(A9,ALL!A$2:G$55,4,0)</f>
        <v>57.76</v>
      </c>
      <c r="H9">
        <f>VLOOKUP(A9,AMGN!A$2:G$55,4,0)</f>
        <v>119.11</v>
      </c>
      <c r="I9">
        <f>VLOOKUP(A9,AMZN!A$2:G$55,4,0)</f>
        <v>334.71</v>
      </c>
      <c r="J9">
        <f>VLOOKUP(A9,APA!A$2:G$55,4,0)</f>
        <v>97.37</v>
      </c>
      <c r="K9">
        <f>VLOOKUP(A9,APC!A$2:G$55,4,0)</f>
        <v>104.45</v>
      </c>
      <c r="L9">
        <f>VLOOKUP(A9,AXP!A$2:G$55,4,0)</f>
        <v>93.75</v>
      </c>
      <c r="M9">
        <f>VLOOKUP(A9,BA!A$2:G$55,4,0)</f>
        <v>126.36</v>
      </c>
      <c r="N9">
        <f>VLOOKUP(A9,BAC!A$2:G$55,4,0)</f>
        <v>15.3</v>
      </c>
      <c r="O9">
        <f>VLOOKUP(A9,BAX!A$2:G$55,4,0)</f>
        <v>76.09</v>
      </c>
      <c r="P9">
        <f>VLOOKUP(A9,BIIB!A$2:G$55,4,0)</f>
        <v>316.04000000000002</v>
      </c>
      <c r="Q9">
        <f>VLOOKUP(A9,BK!A$2:G$55,4,0)</f>
        <v>37.4</v>
      </c>
      <c r="R9">
        <f>VLOOKUP(A9,BMY!A$2:G$55,4,0)</f>
        <v>48.27</v>
      </c>
      <c r="T9">
        <f>VLOOKUP(A9,'C'!A$2:G$55,4,0)</f>
        <v>46.57</v>
      </c>
      <c r="U9">
        <f>VLOOKUP(A9,CAT!A$2:G$55,4,0)</f>
        <v>108.65</v>
      </c>
      <c r="V9">
        <f>VLOOKUP(A9,CL!A$2:G$55,4,0)</f>
        <v>69.25</v>
      </c>
      <c r="W9">
        <f>VLOOKUP(A9,CMCSA!A$2:G$55,4,0)</f>
        <v>54.17</v>
      </c>
      <c r="X9">
        <f>VLOOKUP(A9,COF!A$2:G$55,4,0)</f>
        <v>83.32</v>
      </c>
      <c r="Y9">
        <f>VLOOKUP(A9,COP!A$2:G$55,4,0)</f>
        <v>84.44</v>
      </c>
      <c r="Z9">
        <f>VLOOKUP(A9,COST!A$2:G$55,4,0)</f>
        <v>117.09</v>
      </c>
      <c r="AA9">
        <f>VLOOKUP(A9,CSCO!A$2:G$55,4,0)</f>
        <v>25.44</v>
      </c>
      <c r="AB9">
        <f>VLOOKUP(A9,CVS!A$2:G$55,4,0)</f>
        <v>76.3</v>
      </c>
      <c r="AC9">
        <f>VLOOKUP(A9,CVX!A$2:G$55,4,0)</f>
        <v>128.03</v>
      </c>
      <c r="AD9">
        <f>VLOOKUP(A9,DD!A$2:G$55,4,0)</f>
        <v>64.69</v>
      </c>
      <c r="AE9">
        <f>VLOOKUP(A9,DIS!A$2:G$55,4,0)</f>
        <v>86.37</v>
      </c>
      <c r="AF9">
        <f>VLOOKUP(A9,DOW!A$2:G$55,4,0)</f>
        <v>51.01</v>
      </c>
      <c r="AG9">
        <f>VLOOKUP(A9,DVN!A$2:G$55,4,0)</f>
        <v>77.099999999999994</v>
      </c>
      <c r="AH9">
        <f>VLOOKUP(A9,EBAY!A$2:G$55,4,0)</f>
        <v>51</v>
      </c>
      <c r="AI9">
        <f>VLOOKUP(A9,EMC!A$2:G$55,4,0)</f>
        <v>26.5</v>
      </c>
      <c r="AJ9">
        <f>VLOOKUP(A9,EMR!A$2:G$55,4,0)</f>
        <v>66.739999999999995</v>
      </c>
      <c r="AK9">
        <f>VLOOKUP(A9,EXC!A$2:G$55,4,0)</f>
        <v>33.72</v>
      </c>
      <c r="AL9">
        <f>VLOOKUP(A9,F!A$2:G$55,4,0)</f>
        <v>17.29</v>
      </c>
      <c r="AM9">
        <f>VLOOKUP(A9,FB!A$2:G$55,4,0)</f>
        <v>64.790000000000006</v>
      </c>
      <c r="AN9">
        <f>VLOOKUP(A9,FCX!A$2:G$55,4,0)</f>
        <v>38.31</v>
      </c>
      <c r="AO9">
        <f>VLOOKUP(A9,FDX!A$2:G$55,4,0)</f>
        <v>149.91999999999999</v>
      </c>
      <c r="AP9">
        <f>VLOOKUP(A9,FOXA!A$2:G$55,4,0)</f>
        <v>35.29</v>
      </c>
      <c r="AQ9">
        <f>VLOOKUP(A9,GD!A$2:G$55,4,0)</f>
        <v>115.31</v>
      </c>
      <c r="AR9">
        <f>VLOOKUP(A9,GE!A$2:G$55,4,0)</f>
        <v>26.12</v>
      </c>
      <c r="AS9">
        <f>VLOOKUP(A9,GILD!A$2:G$55,4,0)</f>
        <v>88.25</v>
      </c>
      <c r="AT9">
        <f>VLOOKUP(A9,GM!A$2:G$55,4,0)</f>
        <v>37.590000000000003</v>
      </c>
      <c r="AU9">
        <f>VLOOKUP(A9,GOOG!A$2:G$55,4,0)</f>
        <v>571.41999999999996</v>
      </c>
      <c r="AV9">
        <f>VLOOKUP(A9,GOOGL!A$2:G$55,4,0)</f>
        <v>580.58000000000004</v>
      </c>
      <c r="AW9">
        <f>VLOOKUP(A9,GS!A$2:G$55,4,0)</f>
        <v>162.38</v>
      </c>
      <c r="AX9">
        <f>VLOOKUP(A9,HAL!A$2:G$55,4,0)</f>
        <v>68.66</v>
      </c>
      <c r="AY9">
        <f>VLOOKUP(A9,HD!A$2:G$55,4,0)</f>
        <v>79.209999999999994</v>
      </c>
      <c r="AZ9">
        <f>VLOOKUP(A9,HON!A$2:G$55,4,0)</f>
        <v>94.08</v>
      </c>
      <c r="BA9">
        <f>VLOOKUP(A9,HPQ!A$2:G$55,4,0)</f>
        <v>33.89</v>
      </c>
      <c r="BB9">
        <f>VLOOKUP(A9,IBM!A$2:G$55,4,0)</f>
        <v>186.71</v>
      </c>
      <c r="BC9">
        <f>VLOOKUP(A9,INTC!A$2:G$55,4,0)</f>
        <v>31.04</v>
      </c>
      <c r="BD9">
        <f>VLOOKUP(A9,JNJ!A$2:G$55,4,0)</f>
        <v>104.86</v>
      </c>
      <c r="BE9">
        <f>VLOOKUP(A9,JPM!A$2:G$55,4,0)</f>
        <v>55.19</v>
      </c>
      <c r="BF9">
        <f>VLOOKUP(A9,KO!A$2:G$55,4,0)</f>
        <v>41.88</v>
      </c>
      <c r="BG9">
        <f>VLOOKUP(A9,LLY!A$2:G$55,4,0)</f>
        <v>62.27</v>
      </c>
      <c r="BH9">
        <f>VLOOKUP(A9,LMT!A$2:G$55,4,0)</f>
        <v>157.93</v>
      </c>
      <c r="BI9">
        <f>VLOOKUP(A9,LOW!A$2:G$55,4,0)</f>
        <v>47.09</v>
      </c>
      <c r="BJ9">
        <f>VLOOKUP(A9,MA!A$2:G$55,4,0)</f>
        <v>75.260000000000005</v>
      </c>
      <c r="BK9">
        <f>VLOOKUP(A9,MCD!A$2:G$55,4,0)</f>
        <v>100.03</v>
      </c>
      <c r="BL9">
        <f>VLOOKUP(A9,MDLZ!A$2:G$55,4,0)</f>
        <v>37.76</v>
      </c>
      <c r="BM9">
        <f>VLOOKUP(A9,MDT!A$2:G$55,4,0)</f>
        <v>62.88</v>
      </c>
      <c r="BN9">
        <f>VLOOKUP(A9,MET!A$2:G$55,4,0)</f>
        <v>55.11</v>
      </c>
      <c r="BO9">
        <f>VLOOKUP(A9,MMM!A$2:G$55,4,0)</f>
        <v>143.54</v>
      </c>
      <c r="BP9">
        <f>VLOOKUP(A9,MO!A$2:G$55,4,0)</f>
        <v>43.02</v>
      </c>
      <c r="BQ9">
        <f>VLOOKUP(A9,MON!A$2:G$55,4,0)</f>
        <v>120.6</v>
      </c>
      <c r="BR9">
        <f>VLOOKUP(A9,MRK!A$2:G$55,4,0)</f>
        <v>58.16</v>
      </c>
      <c r="BS9">
        <f>VLOOKUP(A9,MS!A$2:G$55,4,0)</f>
        <v>31.33</v>
      </c>
      <c r="BT9">
        <f>VLOOKUP(A9,MSFT!A$2:G$55,4,0)</f>
        <v>41.48</v>
      </c>
      <c r="BU9">
        <f>VLOOKUP(A9,NKE!A$2:G$55,4,0)</f>
        <v>76.760000000000005</v>
      </c>
      <c r="BV9">
        <f>VLOOKUP(A9,NOV!A$2:G$55,4,0)</f>
        <v>82.09</v>
      </c>
      <c r="BW9">
        <f>VLOOKUP(A9,NSC!A$2:G$55,4,0)</f>
        <v>102.3</v>
      </c>
      <c r="BX9">
        <f>VLOOKUP(A9,ORCL!A$2:G$55,4,0)</f>
        <v>39.979999999999997</v>
      </c>
      <c r="BY9">
        <f>VLOOKUP(A9,OXY!A$2:G$55,4,0)</f>
        <v>99.73</v>
      </c>
      <c r="BZ9">
        <f>VLOOKUP(A9,PEP!A$2:G$55,4,0)</f>
        <v>89.45</v>
      </c>
      <c r="CA9">
        <f>VLOOKUP(A9,PFE!A$2:G$55,4,0)</f>
        <v>29.8</v>
      </c>
      <c r="CB9">
        <f>VLOOKUP(A9,PG!A$2:G$55,4,0)</f>
        <v>81</v>
      </c>
      <c r="CC9">
        <f>VLOOKUP(A9,PM!A$2:G$55,4,0)</f>
        <v>84.84</v>
      </c>
      <c r="CD9">
        <f>VLOOKUP(A9,QCOM!A$2:G$55,4,0)</f>
        <v>79.150000000000006</v>
      </c>
      <c r="CE9">
        <f>VLOOKUP(A9,RTN!A$2:G$55,4,0)</f>
        <v>91.91</v>
      </c>
      <c r="CF9">
        <f>VLOOKUP(A9,SBUX!A$2:G$55,4,0)</f>
        <v>78.14</v>
      </c>
      <c r="CG9">
        <f>VLOOKUP(A9,SLB!A$2:G$55,4,0)</f>
        <v>114.13</v>
      </c>
      <c r="CH9">
        <f>VLOOKUP(A9,SO!A$2:G$55,4,0)</f>
        <v>44.38</v>
      </c>
      <c r="CI9">
        <f>VLOOKUP(A9,SPG!A$2:G$55,4,0)</f>
        <v>167.55</v>
      </c>
      <c r="CJ9">
        <f>VLOOKUP(A9,T!A$2:G$55,4,0)</f>
        <v>35.57</v>
      </c>
      <c r="CK9">
        <f>VLOOKUP(A9,TGT!A$2:G$55,4,0)</f>
        <v>59.65</v>
      </c>
      <c r="CL9">
        <f>VLOOKUP(A9,TWX!A$2:G$55,4,0)</f>
        <v>71.89</v>
      </c>
      <c r="CM9">
        <f>VLOOKUP(A9,TXN!A$2:G$55,4,0)</f>
        <v>48.83</v>
      </c>
      <c r="CN9">
        <f>VLOOKUP(A9,UNH!A$2:G$55,4,0)</f>
        <v>81.73</v>
      </c>
      <c r="CO9">
        <f>VLOOKUP(A9,UNP!A$2:G$55,4,0)</f>
        <v>99.55</v>
      </c>
      <c r="CP9">
        <f>VLOOKUP(A9,UPS!A$2:G$55,4,0)</f>
        <v>102.05</v>
      </c>
      <c r="CQ9">
        <f>VLOOKUP(A9,USB!A$2:G$55,4,0)</f>
        <v>42.81</v>
      </c>
      <c r="CR9">
        <f>VLOOKUP(A9,UTX!A$2:G$55,4,0)</f>
        <v>113.54</v>
      </c>
      <c r="CS9">
        <f>VLOOKUP(A9,V!A$2:G$55,4,0)</f>
        <v>214.37</v>
      </c>
      <c r="CT9">
        <f>VLOOKUP(A9,VZ!A$2:G$55,4,0)</f>
        <v>49.67</v>
      </c>
      <c r="CU9">
        <f>VLOOKUP(A9,WAG!A$2:G$55,4,0)</f>
        <v>71.03</v>
      </c>
      <c r="CV9">
        <f>VLOOKUP(A9,WFC!A$2:G$55,4,0)</f>
        <v>50.82</v>
      </c>
      <c r="CW9">
        <f>VLOOKUP(A9,WMT!A$2:G$55,4,0)</f>
        <v>76.56</v>
      </c>
    </row>
    <row r="10" spans="1:101" x14ac:dyDescent="0.25">
      <c r="A10" s="34">
        <v>41834</v>
      </c>
      <c r="B10" s="36">
        <v>95.65</v>
      </c>
      <c r="C10">
        <f>VLOOKUP(A10,ABBV!A$2:G$55,4,0)</f>
        <v>53.72</v>
      </c>
      <c r="D10">
        <f>VLOOKUP(A10,ABT!A$2:G$55,4,0)</f>
        <v>41.5</v>
      </c>
      <c r="E10">
        <f>VLOOKUP(A10,ACN!A$2:G$55,4,0)</f>
        <v>79.260000000000005</v>
      </c>
      <c r="F10">
        <f>VLOOKUP(A10,AIG!A$2:G$55,4,0)</f>
        <v>54.87</v>
      </c>
      <c r="G10">
        <f>VLOOKUP(A10,ALL!A$2:G$55,4,0)</f>
        <v>58.09</v>
      </c>
      <c r="H10">
        <f>VLOOKUP(A10,AMGN!A$2:G$55,4,0)</f>
        <v>118.81</v>
      </c>
      <c r="I10">
        <f>VLOOKUP(A10,AMZN!A$2:G$55,4,0)</f>
        <v>345.36</v>
      </c>
      <c r="J10">
        <f>VLOOKUP(A10,APA!A$2:G$55,4,0)</f>
        <v>97.92</v>
      </c>
      <c r="K10">
        <f>VLOOKUP(A10,APC!A$2:G$55,4,0)</f>
        <v>105.15</v>
      </c>
      <c r="L10">
        <f>VLOOKUP(A10,AXP!A$2:G$55,4,0)</f>
        <v>94.43</v>
      </c>
      <c r="M10">
        <f>VLOOKUP(A10,BA!A$2:G$55,4,0)</f>
        <v>128.76</v>
      </c>
      <c r="N10">
        <f>VLOOKUP(A10,BAC!A$2:G$55,4,0)</f>
        <v>15.52</v>
      </c>
      <c r="O10">
        <f>VLOOKUP(A10,BAX!A$2:G$55,4,0)</f>
        <v>76.41</v>
      </c>
      <c r="P10">
        <f>VLOOKUP(A10,BIIB!A$2:G$55,4,0)</f>
        <v>319.06</v>
      </c>
      <c r="Q10">
        <f>VLOOKUP(A10,BK!A$2:G$55,4,0)</f>
        <v>37.53</v>
      </c>
      <c r="R10">
        <f>VLOOKUP(A10,BMY!A$2:G$55,4,0)</f>
        <v>48.46</v>
      </c>
      <c r="T10">
        <f>VLOOKUP(A10,'C'!A$2:G$55,4,0)</f>
        <v>48.35</v>
      </c>
      <c r="U10">
        <f>VLOOKUP(A10,CAT!A$2:G$55,4,0)</f>
        <v>110.09</v>
      </c>
      <c r="V10">
        <f>VLOOKUP(A10,CL!A$2:G$55,4,0)</f>
        <v>69.73</v>
      </c>
      <c r="W10">
        <f>VLOOKUP(A10,CMCSA!A$2:G$55,4,0)</f>
        <v>54.37</v>
      </c>
      <c r="X10">
        <f>VLOOKUP(A10,COF!A$2:G$55,4,0)</f>
        <v>83.89</v>
      </c>
      <c r="Y10">
        <f>VLOOKUP(A10,COP!A$2:G$55,4,0)</f>
        <v>84.92</v>
      </c>
      <c r="Z10">
        <f>VLOOKUP(A10,COST!A$2:G$55,4,0)</f>
        <v>117.3</v>
      </c>
      <c r="AA10">
        <f>VLOOKUP(A10,CSCO!A$2:G$55,4,0)</f>
        <v>25.4</v>
      </c>
      <c r="AB10">
        <f>VLOOKUP(A10,CVS!A$2:G$55,4,0)</f>
        <v>77.099999999999994</v>
      </c>
      <c r="AC10">
        <f>VLOOKUP(A10,CVX!A$2:G$55,4,0)</f>
        <v>128.38</v>
      </c>
      <c r="AD10">
        <f>VLOOKUP(A10,DD!A$2:G$55,4,0)</f>
        <v>64.97</v>
      </c>
      <c r="AE10">
        <f>VLOOKUP(A10,DIS!A$2:G$55,4,0)</f>
        <v>86.66</v>
      </c>
      <c r="AF10">
        <f>VLOOKUP(A10,DOW!A$2:G$55,4,0)</f>
        <v>51.45</v>
      </c>
      <c r="AG10">
        <f>VLOOKUP(A10,DVN!A$2:G$55,4,0)</f>
        <v>77.17</v>
      </c>
      <c r="AH10">
        <f>VLOOKUP(A10,EBAY!A$2:G$55,4,0)</f>
        <v>50.67</v>
      </c>
      <c r="AI10">
        <f>VLOOKUP(A10,EMC!A$2:G$55,4,0)</f>
        <v>26.72</v>
      </c>
      <c r="AJ10">
        <f>VLOOKUP(A10,EMR!A$2:G$55,4,0)</f>
        <v>67.239999999999995</v>
      </c>
      <c r="AK10">
        <f>VLOOKUP(A10,EXC!A$2:G$55,4,0)</f>
        <v>32.86</v>
      </c>
      <c r="AL10">
        <f>VLOOKUP(A10,F!A$2:G$55,4,0)</f>
        <v>17.45</v>
      </c>
      <c r="AM10">
        <f>VLOOKUP(A10,FB!A$2:G$55,4,0)</f>
        <v>66.900000000000006</v>
      </c>
      <c r="AN10">
        <f>VLOOKUP(A10,FCX!A$2:G$55,4,0)</f>
        <v>38.51</v>
      </c>
      <c r="AO10">
        <f>VLOOKUP(A10,FDX!A$2:G$55,4,0)</f>
        <v>150.97999999999999</v>
      </c>
      <c r="AP10">
        <f>VLOOKUP(A10,FOXA!A$2:G$55,4,0)</f>
        <v>35.49</v>
      </c>
      <c r="AQ10">
        <f>VLOOKUP(A10,GD!A$2:G$55,4,0)</f>
        <v>116.41</v>
      </c>
      <c r="AR10">
        <f>VLOOKUP(A10,GE!A$2:G$55,4,0)</f>
        <v>26.62</v>
      </c>
      <c r="AS10">
        <f>VLOOKUP(A10,GILD!A$2:G$55,4,0)</f>
        <v>88.84</v>
      </c>
      <c r="AT10">
        <f>VLOOKUP(A10,GM!A$2:G$55,4,0)</f>
        <v>37.56</v>
      </c>
      <c r="AU10">
        <f>VLOOKUP(A10,GOOG!A$2:G$55,4,0)</f>
        <v>578.03</v>
      </c>
      <c r="AV10">
        <f>VLOOKUP(A10,GOOGL!A$2:G$55,4,0)</f>
        <v>586.69000000000005</v>
      </c>
      <c r="AW10">
        <f>VLOOKUP(A10,GS!A$2:G$55,4,0)</f>
        <v>166.46</v>
      </c>
      <c r="AX10">
        <f>VLOOKUP(A10,HAL!A$2:G$55,4,0)</f>
        <v>69.12</v>
      </c>
      <c r="AY10">
        <f>VLOOKUP(A10,HD!A$2:G$55,4,0)</f>
        <v>79.19</v>
      </c>
      <c r="AZ10">
        <f>VLOOKUP(A10,HON!A$2:G$55,4,0)</f>
        <v>95.09</v>
      </c>
      <c r="BA10">
        <f>VLOOKUP(A10,HPQ!A$2:G$55,4,0)</f>
        <v>34.01</v>
      </c>
      <c r="BB10">
        <f>VLOOKUP(A10,IBM!A$2:G$55,4,0)</f>
        <v>188.53</v>
      </c>
      <c r="BC10">
        <f>VLOOKUP(A10,INTC!A$2:G$55,4,0)</f>
        <v>31.34</v>
      </c>
      <c r="BD10">
        <f>VLOOKUP(A10,JNJ!A$2:G$55,4,0)</f>
        <v>105.11</v>
      </c>
      <c r="BE10">
        <f>VLOOKUP(A10,JPM!A$2:G$55,4,0)</f>
        <v>56.2</v>
      </c>
      <c r="BF10">
        <f>VLOOKUP(A10,KO!A$2:G$55,4,0)</f>
        <v>41.98</v>
      </c>
      <c r="BG10">
        <f>VLOOKUP(A10,LLY!A$2:G$55,4,0)</f>
        <v>62.71</v>
      </c>
      <c r="BH10">
        <f>VLOOKUP(A10,LMT!A$2:G$55,4,0)</f>
        <v>160.5</v>
      </c>
      <c r="BI10">
        <f>VLOOKUP(A10,LOW!A$2:G$55,4,0)</f>
        <v>47.14</v>
      </c>
      <c r="BJ10">
        <f>VLOOKUP(A10,MA!A$2:G$55,4,0)</f>
        <v>76.040000000000006</v>
      </c>
      <c r="BK10">
        <f>VLOOKUP(A10,MCD!A$2:G$55,4,0)</f>
        <v>100.3</v>
      </c>
      <c r="BL10">
        <f>VLOOKUP(A10,MDLZ!A$2:G$55,4,0)</f>
        <v>38.340000000000003</v>
      </c>
      <c r="BM10">
        <f>VLOOKUP(A10,MDT!A$2:G$55,4,0)</f>
        <v>63.42</v>
      </c>
      <c r="BN10">
        <f>VLOOKUP(A10,MET!A$2:G$55,4,0)</f>
        <v>55.92</v>
      </c>
      <c r="BO10">
        <f>VLOOKUP(A10,MMM!A$2:G$55,4,0)</f>
        <v>144.75</v>
      </c>
      <c r="BP10">
        <f>VLOOKUP(A10,MO!A$2:G$55,4,0)</f>
        <v>43.26</v>
      </c>
      <c r="BQ10">
        <f>VLOOKUP(A10,MON!A$2:G$55,4,0)</f>
        <v>119.81</v>
      </c>
      <c r="BR10">
        <f>VLOOKUP(A10,MRK!A$2:G$55,4,0)</f>
        <v>58.06</v>
      </c>
      <c r="BS10">
        <f>VLOOKUP(A10,MS!A$2:G$55,4,0)</f>
        <v>31.74</v>
      </c>
      <c r="BT10">
        <f>VLOOKUP(A10,MSFT!A$2:G$55,4,0)</f>
        <v>42.04</v>
      </c>
      <c r="BU10">
        <f>VLOOKUP(A10,NKE!A$2:G$55,4,0)</f>
        <v>77.59</v>
      </c>
      <c r="BV10">
        <f>VLOOKUP(A10,NOV!A$2:G$55,4,0)</f>
        <v>83.07</v>
      </c>
      <c r="BW10">
        <f>VLOOKUP(A10,NSC!A$2:G$55,4,0)</f>
        <v>104.22</v>
      </c>
      <c r="BX10">
        <f>VLOOKUP(A10,ORCL!A$2:G$55,4,0)</f>
        <v>40.26</v>
      </c>
      <c r="BY10">
        <f>VLOOKUP(A10,OXY!A$2:G$55,4,0)</f>
        <v>100.76</v>
      </c>
      <c r="BZ10">
        <f>VLOOKUP(A10,PEP!A$2:G$55,4,0)</f>
        <v>90.07</v>
      </c>
      <c r="CA10">
        <f>VLOOKUP(A10,PFE!A$2:G$55,4,0)</f>
        <v>30.1</v>
      </c>
      <c r="CB10">
        <f>VLOOKUP(A10,PG!A$2:G$55,4,0)</f>
        <v>81.3</v>
      </c>
      <c r="CC10">
        <f>VLOOKUP(A10,PM!A$2:G$55,4,0)</f>
        <v>85.75</v>
      </c>
      <c r="CD10">
        <f>VLOOKUP(A10,QCOM!A$2:G$55,4,0)</f>
        <v>79.38</v>
      </c>
      <c r="CE10">
        <f>VLOOKUP(A10,RTN!A$2:G$55,4,0)</f>
        <v>93.12</v>
      </c>
      <c r="CF10">
        <f>VLOOKUP(A10,SBUX!A$2:G$55,4,0)</f>
        <v>78.42</v>
      </c>
      <c r="CG10">
        <f>VLOOKUP(A10,SLB!A$2:G$55,4,0)</f>
        <v>114.73</v>
      </c>
      <c r="CH10">
        <f>VLOOKUP(A10,SO!A$2:G$55,4,0)</f>
        <v>44.15</v>
      </c>
      <c r="CI10">
        <f>VLOOKUP(A10,SPG!A$2:G$55,4,0)</f>
        <v>168.4</v>
      </c>
      <c r="CJ10">
        <f>VLOOKUP(A10,T!A$2:G$55,4,0)</f>
        <v>35.71</v>
      </c>
      <c r="CK10">
        <f>VLOOKUP(A10,TGT!A$2:G$55,4,0)</f>
        <v>59.95</v>
      </c>
      <c r="CL10">
        <f>VLOOKUP(A10,TWX!A$2:G$55,4,0)</f>
        <v>71.540000000000006</v>
      </c>
      <c r="CM10">
        <f>VLOOKUP(A10,TXN!A$2:G$55,4,0)</f>
        <v>48.86</v>
      </c>
      <c r="CN10">
        <f>VLOOKUP(A10,UNH!A$2:G$55,4,0)</f>
        <v>83.21</v>
      </c>
      <c r="CO10">
        <f>VLOOKUP(A10,UNP!A$2:G$55,4,0)</f>
        <v>100.73</v>
      </c>
      <c r="CP10">
        <f>VLOOKUP(A10,UPS!A$2:G$55,4,0)</f>
        <v>102.84</v>
      </c>
      <c r="CQ10">
        <f>VLOOKUP(A10,USB!A$2:G$55,4,0)</f>
        <v>43.01</v>
      </c>
      <c r="CR10">
        <f>VLOOKUP(A10,UTX!A$2:G$55,4,0)</f>
        <v>114.67</v>
      </c>
      <c r="CS10">
        <f>VLOOKUP(A10,V!A$2:G$55,4,0)</f>
        <v>217.65</v>
      </c>
      <c r="CT10">
        <f>VLOOKUP(A10,VZ!A$2:G$55,4,0)</f>
        <v>50.15</v>
      </c>
      <c r="CU10">
        <f>VLOOKUP(A10,WAG!A$2:G$55,4,0)</f>
        <v>71.099999999999994</v>
      </c>
      <c r="CV10">
        <f>VLOOKUP(A10,WFC!A$2:G$55,4,0)</f>
        <v>51.14</v>
      </c>
      <c r="CW10">
        <f>VLOOKUP(A10,WMT!A$2:G$55,4,0)</f>
        <v>76.48</v>
      </c>
    </row>
    <row r="11" spans="1:101" x14ac:dyDescent="0.25">
      <c r="A11" s="34">
        <v>41835</v>
      </c>
      <c r="B11" s="36">
        <v>95.03</v>
      </c>
      <c r="C11">
        <f>VLOOKUP(A11,ABBV!A$2:G$55,4,0)</f>
        <v>53.39</v>
      </c>
      <c r="D11">
        <f>VLOOKUP(A11,ABT!A$2:G$55,4,0)</f>
        <v>41.17</v>
      </c>
      <c r="E11">
        <f>VLOOKUP(A11,ACN!A$2:G$55,4,0)</f>
        <v>79.099999999999994</v>
      </c>
      <c r="F11">
        <f>VLOOKUP(A11,AIG!A$2:G$55,4,0)</f>
        <v>54.89</v>
      </c>
      <c r="G11">
        <f>VLOOKUP(A11,ALL!A$2:G$55,4,0)</f>
        <v>58.31</v>
      </c>
      <c r="H11">
        <f>VLOOKUP(A11,AMGN!A$2:G$55,4,0)</f>
        <v>116.57</v>
      </c>
      <c r="I11">
        <f>VLOOKUP(A11,AMZN!A$2:G$55,4,0)</f>
        <v>349.4</v>
      </c>
      <c r="J11">
        <f>VLOOKUP(A11,APA!A$2:G$55,4,0)</f>
        <v>97.32</v>
      </c>
      <c r="K11">
        <f>VLOOKUP(A11,APC!A$2:G$55,4,0)</f>
        <v>107.61</v>
      </c>
      <c r="L11">
        <f>VLOOKUP(A11,AXP!A$2:G$55,4,0)</f>
        <v>94</v>
      </c>
      <c r="M11">
        <f>VLOOKUP(A11,BA!A$2:G$55,4,0)</f>
        <v>128.34</v>
      </c>
      <c r="N11">
        <f>VLOOKUP(A11,BAC!A$2:G$55,4,0)</f>
        <v>15.66</v>
      </c>
      <c r="O11">
        <f>VLOOKUP(A11,BAX!A$2:G$55,4,0)</f>
        <v>76.569999999999993</v>
      </c>
      <c r="P11">
        <f>VLOOKUP(A11,BIIB!A$2:G$55,4,0)</f>
        <v>311.92</v>
      </c>
      <c r="Q11">
        <f>VLOOKUP(A11,BK!A$2:G$55,4,0)</f>
        <v>37.9</v>
      </c>
      <c r="R11">
        <f>VLOOKUP(A11,BMY!A$2:G$55,4,0)</f>
        <v>48.54</v>
      </c>
      <c r="T11">
        <f>VLOOKUP(A11,'C'!A$2:G$55,4,0)</f>
        <v>48.82</v>
      </c>
      <c r="U11">
        <f>VLOOKUP(A11,CAT!A$2:G$55,4,0)</f>
        <v>109.4</v>
      </c>
      <c r="V11">
        <f>VLOOKUP(A11,CL!A$2:G$55,4,0)</f>
        <v>69.349999999999994</v>
      </c>
      <c r="W11">
        <f>VLOOKUP(A11,CMCSA!A$2:G$55,4,0)</f>
        <v>54.59</v>
      </c>
      <c r="X11">
        <f>VLOOKUP(A11,COF!A$2:G$55,4,0)</f>
        <v>84.34</v>
      </c>
      <c r="Y11">
        <f>VLOOKUP(A11,COP!A$2:G$55,4,0)</f>
        <v>84.32</v>
      </c>
      <c r="Z11">
        <f>VLOOKUP(A11,COST!A$2:G$55,4,0)</f>
        <v>117.18</v>
      </c>
      <c r="AA11">
        <f>VLOOKUP(A11,CSCO!A$2:G$55,4,0)</f>
        <v>25.36</v>
      </c>
      <c r="AB11">
        <f>VLOOKUP(A11,CVS!A$2:G$55,4,0)</f>
        <v>76.92</v>
      </c>
      <c r="AC11">
        <f>VLOOKUP(A11,CVX!A$2:G$55,4,0)</f>
        <v>128.61000000000001</v>
      </c>
      <c r="AD11">
        <f>VLOOKUP(A11,DD!A$2:G$55,4,0)</f>
        <v>64.5</v>
      </c>
      <c r="AE11">
        <f>VLOOKUP(A11,DIS!A$2:G$55,4,0)</f>
        <v>85.54</v>
      </c>
      <c r="AF11">
        <f>VLOOKUP(A11,DOW!A$2:G$55,4,0)</f>
        <v>51.31</v>
      </c>
      <c r="AG11">
        <f>VLOOKUP(A11,DVN!A$2:G$55,4,0)</f>
        <v>76</v>
      </c>
      <c r="AH11">
        <f>VLOOKUP(A11,EBAY!A$2:G$55,4,0)</f>
        <v>50.53</v>
      </c>
      <c r="AI11">
        <f>VLOOKUP(A11,EMC!A$2:G$55,4,0)</f>
        <v>26.75</v>
      </c>
      <c r="AJ11">
        <f>VLOOKUP(A11,EMR!A$2:G$55,4,0)</f>
        <v>67.11</v>
      </c>
      <c r="AK11">
        <f>VLOOKUP(A11,EXC!A$2:G$55,4,0)</f>
        <v>32.71</v>
      </c>
      <c r="AL11">
        <f>VLOOKUP(A11,F!A$2:G$55,4,0)</f>
        <v>17.45</v>
      </c>
      <c r="AM11">
        <f>VLOOKUP(A11,FB!A$2:G$55,4,0)</f>
        <v>66.260000000000005</v>
      </c>
      <c r="AN11">
        <f>VLOOKUP(A11,FCX!A$2:G$55,4,0)</f>
        <v>38</v>
      </c>
      <c r="AO11">
        <f>VLOOKUP(A11,FDX!A$2:G$55,4,0)</f>
        <v>149.58000000000001</v>
      </c>
      <c r="AP11">
        <f>VLOOKUP(A11,FOXA!A$2:G$55,4,0)</f>
        <v>34.83</v>
      </c>
      <c r="AQ11">
        <f>VLOOKUP(A11,GD!A$2:G$55,4,0)</f>
        <v>116.87</v>
      </c>
      <c r="AR11">
        <f>VLOOKUP(A11,GE!A$2:G$55,4,0)</f>
        <v>26.55</v>
      </c>
      <c r="AS11">
        <f>VLOOKUP(A11,GILD!A$2:G$55,4,0)</f>
        <v>88.19</v>
      </c>
      <c r="AT11">
        <f>VLOOKUP(A11,GM!A$2:G$55,4,0)</f>
        <v>37.44</v>
      </c>
      <c r="AU11">
        <f>VLOOKUP(A11,GOOG!A$2:G$55,4,0)</f>
        <v>576.55999999999995</v>
      </c>
      <c r="AV11">
        <f>VLOOKUP(A11,GOOGL!A$2:G$55,4,0)</f>
        <v>585.30999999999995</v>
      </c>
      <c r="AW11">
        <f>VLOOKUP(A11,GS!A$2:G$55,4,0)</f>
        <v>167.15</v>
      </c>
      <c r="AX11">
        <f>VLOOKUP(A11,HAL!A$2:G$55,4,0)</f>
        <v>69.27</v>
      </c>
      <c r="AY11">
        <f>VLOOKUP(A11,HD!A$2:G$55,4,0)</f>
        <v>79.42</v>
      </c>
      <c r="AZ11">
        <f>VLOOKUP(A11,HON!A$2:G$55,4,0)</f>
        <v>95.38</v>
      </c>
      <c r="BA11">
        <f>VLOOKUP(A11,HPQ!A$2:G$55,4,0)</f>
        <v>34</v>
      </c>
      <c r="BB11">
        <f>VLOOKUP(A11,IBM!A$2:G$55,4,0)</f>
        <v>188.21</v>
      </c>
      <c r="BC11">
        <f>VLOOKUP(A11,INTC!A$2:G$55,4,0)</f>
        <v>31.16</v>
      </c>
      <c r="BD11">
        <f>VLOOKUP(A11,JNJ!A$2:G$55,4,0)</f>
        <v>102.77</v>
      </c>
      <c r="BE11">
        <f>VLOOKUP(A11,JPM!A$2:G$55,4,0)</f>
        <v>57.76</v>
      </c>
      <c r="BF11">
        <f>VLOOKUP(A11,KO!A$2:G$55,4,0)</f>
        <v>41.95</v>
      </c>
      <c r="BG11">
        <f>VLOOKUP(A11,LLY!A$2:G$55,4,0)</f>
        <v>62.73</v>
      </c>
      <c r="BH11">
        <f>VLOOKUP(A11,LMT!A$2:G$55,4,0)</f>
        <v>161.47</v>
      </c>
      <c r="BI11">
        <f>VLOOKUP(A11,LOW!A$2:G$55,4,0)</f>
        <v>47.27</v>
      </c>
      <c r="BJ11">
        <f>VLOOKUP(A11,MA!A$2:G$55,4,0)</f>
        <v>77.86</v>
      </c>
      <c r="BK11">
        <f>VLOOKUP(A11,MCD!A$2:G$55,4,0)</f>
        <v>99.86</v>
      </c>
      <c r="BL11">
        <f>VLOOKUP(A11,MDLZ!A$2:G$55,4,0)</f>
        <v>38.08</v>
      </c>
      <c r="BM11">
        <f>VLOOKUP(A11,MDT!A$2:G$55,4,0)</f>
        <v>63.54</v>
      </c>
      <c r="BN11">
        <f>VLOOKUP(A11,MET!A$2:G$55,4,0)</f>
        <v>55.67</v>
      </c>
      <c r="BO11">
        <f>VLOOKUP(A11,MMM!A$2:G$55,4,0)</f>
        <v>144.36000000000001</v>
      </c>
      <c r="BP11">
        <f>VLOOKUP(A11,MO!A$2:G$55,4,0)</f>
        <v>41.75</v>
      </c>
      <c r="BQ11">
        <f>VLOOKUP(A11,MON!A$2:G$55,4,0)</f>
        <v>119.7</v>
      </c>
      <c r="BR11">
        <f>VLOOKUP(A11,MRK!A$2:G$55,4,0)</f>
        <v>57.49</v>
      </c>
      <c r="BS11">
        <f>VLOOKUP(A11,MS!A$2:G$55,4,0)</f>
        <v>31.73</v>
      </c>
      <c r="BT11">
        <f>VLOOKUP(A11,MSFT!A$2:G$55,4,0)</f>
        <v>42.03</v>
      </c>
      <c r="BU11">
        <f>VLOOKUP(A11,NKE!A$2:G$55,4,0)</f>
        <v>77.48</v>
      </c>
      <c r="BV11">
        <f>VLOOKUP(A11,NOV!A$2:G$55,4,0)</f>
        <v>82.9</v>
      </c>
      <c r="BW11">
        <f>VLOOKUP(A11,NSC!A$2:G$55,4,0)</f>
        <v>104.07</v>
      </c>
      <c r="BX11">
        <f>VLOOKUP(A11,ORCL!A$2:G$55,4,0)</f>
        <v>40.36</v>
      </c>
      <c r="BY11">
        <f>VLOOKUP(A11,OXY!A$2:G$55,4,0)</f>
        <v>99.27</v>
      </c>
      <c r="BZ11">
        <f>VLOOKUP(A11,PEP!A$2:G$55,4,0)</f>
        <v>90.18</v>
      </c>
      <c r="CA11">
        <f>VLOOKUP(A11,PFE!A$2:G$55,4,0)</f>
        <v>30.2</v>
      </c>
      <c r="CB11">
        <f>VLOOKUP(A11,PG!A$2:G$55,4,0)</f>
        <v>81.09</v>
      </c>
      <c r="CC11">
        <f>VLOOKUP(A11,PM!A$2:G$55,4,0)</f>
        <v>84.48</v>
      </c>
      <c r="CD11">
        <f>VLOOKUP(A11,QCOM!A$2:G$55,4,0)</f>
        <v>79.150000000000006</v>
      </c>
      <c r="CE11">
        <f>VLOOKUP(A11,RTN!A$2:G$55,4,0)</f>
        <v>93.97</v>
      </c>
      <c r="CF11">
        <f>VLOOKUP(A11,SBUX!A$2:G$55,4,0)</f>
        <v>78.459999999999994</v>
      </c>
      <c r="CG11">
        <f>VLOOKUP(A11,SLB!A$2:G$55,4,0)</f>
        <v>113.55</v>
      </c>
      <c r="CH11">
        <f>VLOOKUP(A11,SO!A$2:G$55,4,0)</f>
        <v>44.15</v>
      </c>
      <c r="CI11">
        <f>VLOOKUP(A11,SPG!A$2:G$55,4,0)</f>
        <v>168.84</v>
      </c>
      <c r="CJ11">
        <f>VLOOKUP(A11,T!A$2:G$55,4,0)</f>
        <v>35.92</v>
      </c>
      <c r="CK11">
        <f>VLOOKUP(A11,TGT!A$2:G$55,4,0)</f>
        <v>60.23</v>
      </c>
      <c r="CL11">
        <f>VLOOKUP(A11,TWX!A$2:G$55,4,0)</f>
        <v>70.52</v>
      </c>
      <c r="CM11">
        <f>VLOOKUP(A11,TXN!A$2:G$55,4,0)</f>
        <v>48.42</v>
      </c>
      <c r="CN11">
        <f>VLOOKUP(A11,UNH!A$2:G$55,4,0)</f>
        <v>83.73</v>
      </c>
      <c r="CO11">
        <f>VLOOKUP(A11,UNP!A$2:G$55,4,0)</f>
        <v>100.59</v>
      </c>
      <c r="CP11">
        <f>VLOOKUP(A11,UPS!A$2:G$55,4,0)</f>
        <v>103.23</v>
      </c>
      <c r="CQ11">
        <f>VLOOKUP(A11,USB!A$2:G$55,4,0)</f>
        <v>42.96</v>
      </c>
      <c r="CR11">
        <f>VLOOKUP(A11,UTX!A$2:G$55,4,0)</f>
        <v>114.64</v>
      </c>
      <c r="CS11">
        <f>VLOOKUP(A11,V!A$2:G$55,4,0)</f>
        <v>220.9</v>
      </c>
      <c r="CT11">
        <f>VLOOKUP(A11,VZ!A$2:G$55,4,0)</f>
        <v>50.37</v>
      </c>
      <c r="CU11">
        <f>VLOOKUP(A11,WAG!A$2:G$55,4,0)</f>
        <v>71.010000000000005</v>
      </c>
      <c r="CV11">
        <f>VLOOKUP(A11,WFC!A$2:G$55,4,0)</f>
        <v>51.2</v>
      </c>
      <c r="CW11">
        <f>VLOOKUP(A11,WMT!A$2:G$55,4,0)</f>
        <v>76.56</v>
      </c>
    </row>
    <row r="12" spans="1:101" x14ac:dyDescent="0.25">
      <c r="A12" s="34">
        <v>41836</v>
      </c>
      <c r="B12" s="36">
        <v>94.74</v>
      </c>
      <c r="C12">
        <f>VLOOKUP(A12,ABBV!A$2:G$55,4,0)</f>
        <v>51.82</v>
      </c>
      <c r="D12">
        <f>VLOOKUP(A12,ABT!A$2:G$55,4,0)</f>
        <v>41</v>
      </c>
      <c r="E12">
        <f>VLOOKUP(A12,ACN!A$2:G$55,4,0)</f>
        <v>79.45</v>
      </c>
      <c r="F12">
        <f>VLOOKUP(A12,AIG!A$2:G$55,4,0)</f>
        <v>54.87</v>
      </c>
      <c r="G12">
        <f>VLOOKUP(A12,ALL!A$2:G$55,4,0)</f>
        <v>58.11</v>
      </c>
      <c r="H12">
        <f>VLOOKUP(A12,AMGN!A$2:G$55,4,0)</f>
        <v>116.27</v>
      </c>
      <c r="I12">
        <f>VLOOKUP(A12,AMZN!A$2:G$55,4,0)</f>
        <v>353</v>
      </c>
      <c r="J12">
        <f>VLOOKUP(A12,APA!A$2:G$55,4,0)</f>
        <v>98.46</v>
      </c>
      <c r="K12">
        <f>VLOOKUP(A12,APC!A$2:G$55,4,0)</f>
        <v>109.45</v>
      </c>
      <c r="L12">
        <f>VLOOKUP(A12,AXP!A$2:G$55,4,0)</f>
        <v>94.27</v>
      </c>
      <c r="M12">
        <f>VLOOKUP(A12,BA!A$2:G$55,4,0)</f>
        <v>127.14</v>
      </c>
      <c r="N12">
        <f>VLOOKUP(A12,BAC!A$2:G$55,4,0)</f>
        <v>15.43</v>
      </c>
      <c r="O12">
        <f>VLOOKUP(A12,BAX!A$2:G$55,4,0)</f>
        <v>76.37</v>
      </c>
      <c r="P12">
        <f>VLOOKUP(A12,BIIB!A$2:G$55,4,0)</f>
        <v>302.55</v>
      </c>
      <c r="Q12">
        <f>VLOOKUP(A12,BK!A$2:G$55,4,0)</f>
        <v>37.979999999999997</v>
      </c>
      <c r="R12">
        <f>VLOOKUP(A12,BMY!A$2:G$55,4,0)</f>
        <v>48.41</v>
      </c>
      <c r="T12">
        <f>VLOOKUP(A12,'C'!A$2:G$55,4,0)</f>
        <v>49.4</v>
      </c>
      <c r="U12">
        <f>VLOOKUP(A12,CAT!A$2:G$55,4,0)</f>
        <v>109.92</v>
      </c>
      <c r="V12">
        <f>VLOOKUP(A12,CL!A$2:G$55,4,0)</f>
        <v>69.33</v>
      </c>
      <c r="W12">
        <f>VLOOKUP(A12,CMCSA!A$2:G$55,4,0)</f>
        <v>54.88</v>
      </c>
      <c r="X12">
        <f>VLOOKUP(A12,COF!A$2:G$55,4,0)</f>
        <v>84.06</v>
      </c>
      <c r="Y12">
        <f>VLOOKUP(A12,COP!A$2:G$55,4,0)</f>
        <v>85.17</v>
      </c>
      <c r="Z12">
        <f>VLOOKUP(A12,COST!A$2:G$55,4,0)</f>
        <v>117.66</v>
      </c>
      <c r="AA12">
        <f>VLOOKUP(A12,CSCO!A$2:G$55,4,0)</f>
        <v>25.73</v>
      </c>
      <c r="AB12">
        <f>VLOOKUP(A12,CVS!A$2:G$55,4,0)</f>
        <v>76.900000000000006</v>
      </c>
      <c r="AC12">
        <f>VLOOKUP(A12,CVX!A$2:G$55,4,0)</f>
        <v>129.69</v>
      </c>
      <c r="AD12">
        <f>VLOOKUP(A12,DD!A$2:G$55,4,0)</f>
        <v>64.64</v>
      </c>
      <c r="AE12">
        <f>VLOOKUP(A12,DIS!A$2:G$55,4,0)</f>
        <v>85.12</v>
      </c>
      <c r="AF12">
        <f>VLOOKUP(A12,DOW!A$2:G$55,4,0)</f>
        <v>51.63</v>
      </c>
      <c r="AG12">
        <f>VLOOKUP(A12,DVN!A$2:G$55,4,0)</f>
        <v>76.78</v>
      </c>
      <c r="AH12">
        <f>VLOOKUP(A12,EBAY!A$2:G$55,4,0)</f>
        <v>50.5</v>
      </c>
      <c r="AI12">
        <f>VLOOKUP(A12,EMC!A$2:G$55,4,0)</f>
        <v>26.8</v>
      </c>
      <c r="AJ12">
        <f>VLOOKUP(A12,EMR!A$2:G$55,4,0)</f>
        <v>67.75</v>
      </c>
      <c r="AK12">
        <f>VLOOKUP(A12,EXC!A$2:G$55,4,0)</f>
        <v>32.630000000000003</v>
      </c>
      <c r="AL12">
        <f>VLOOKUP(A12,F!A$2:G$55,4,0)</f>
        <v>17.62</v>
      </c>
      <c r="AM12">
        <f>VLOOKUP(A12,FB!A$2:G$55,4,0)</f>
        <v>67.069999999999993</v>
      </c>
      <c r="AN12">
        <f>VLOOKUP(A12,FCX!A$2:G$55,4,0)</f>
        <v>38.619999999999997</v>
      </c>
      <c r="AO12">
        <f>VLOOKUP(A12,FDX!A$2:G$55,4,0)</f>
        <v>152.25</v>
      </c>
      <c r="AP12">
        <f>VLOOKUP(A12,FOXA!A$2:G$55,4,0)</f>
        <v>32.69</v>
      </c>
      <c r="AQ12">
        <f>VLOOKUP(A12,GD!A$2:G$55,4,0)</f>
        <v>117.15</v>
      </c>
      <c r="AR12">
        <f>VLOOKUP(A12,GE!A$2:G$55,4,0)</f>
        <v>26.66</v>
      </c>
      <c r="AS12">
        <f>VLOOKUP(A12,GILD!A$2:G$55,4,0)</f>
        <v>85.82</v>
      </c>
      <c r="AT12">
        <f>VLOOKUP(A12,GM!A$2:G$55,4,0)</f>
        <v>37.46</v>
      </c>
      <c r="AU12">
        <f>VLOOKUP(A12,GOOG!A$2:G$55,4,0)</f>
        <v>582.20000000000005</v>
      </c>
      <c r="AV12">
        <f>VLOOKUP(A12,GOOGL!A$2:G$55,4,0)</f>
        <v>590.25</v>
      </c>
      <c r="AW12">
        <f>VLOOKUP(A12,GS!A$2:G$55,4,0)</f>
        <v>169</v>
      </c>
      <c r="AX12">
        <f>VLOOKUP(A12,HAL!A$2:G$55,4,0)</f>
        <v>70.34</v>
      </c>
      <c r="AY12">
        <f>VLOOKUP(A12,HD!A$2:G$55,4,0)</f>
        <v>79.38</v>
      </c>
      <c r="AZ12">
        <f>VLOOKUP(A12,HON!A$2:G$55,4,0)</f>
        <v>96.19</v>
      </c>
      <c r="BA12">
        <f>VLOOKUP(A12,HPQ!A$2:G$55,4,0)</f>
        <v>34.42</v>
      </c>
      <c r="BB12">
        <f>VLOOKUP(A12,IBM!A$2:G$55,4,0)</f>
        <v>190.76</v>
      </c>
      <c r="BC12">
        <f>VLOOKUP(A12,INTC!A$2:G$55,4,0)</f>
        <v>33.21</v>
      </c>
      <c r="BD12">
        <f>VLOOKUP(A12,JNJ!A$2:G$55,4,0)</f>
        <v>101.95</v>
      </c>
      <c r="BE12">
        <f>VLOOKUP(A12,JPM!A$2:G$55,4,0)</f>
        <v>58.31</v>
      </c>
      <c r="BF12">
        <f>VLOOKUP(A12,KO!A$2:G$55,4,0)</f>
        <v>42.02</v>
      </c>
      <c r="BG12">
        <f>VLOOKUP(A12,LLY!A$2:G$55,4,0)</f>
        <v>62.07</v>
      </c>
      <c r="BH12">
        <f>VLOOKUP(A12,LMT!A$2:G$55,4,0)</f>
        <v>161.15</v>
      </c>
      <c r="BI12">
        <f>VLOOKUP(A12,LOW!A$2:G$55,4,0)</f>
        <v>47.23</v>
      </c>
      <c r="BJ12">
        <f>VLOOKUP(A12,MA!A$2:G$55,4,0)</f>
        <v>77.95</v>
      </c>
      <c r="BK12">
        <f>VLOOKUP(A12,MCD!A$2:G$55,4,0)</f>
        <v>98.76</v>
      </c>
      <c r="BL12">
        <f>VLOOKUP(A12,MDLZ!A$2:G$55,4,0)</f>
        <v>38</v>
      </c>
      <c r="BM12">
        <f>VLOOKUP(A12,MDT!A$2:G$55,4,0)</f>
        <v>61.97</v>
      </c>
      <c r="BN12">
        <f>VLOOKUP(A12,MET!A$2:G$55,4,0)</f>
        <v>55.74</v>
      </c>
      <c r="BO12">
        <f>VLOOKUP(A12,MMM!A$2:G$55,4,0)</f>
        <v>145.03</v>
      </c>
      <c r="BP12">
        <f>VLOOKUP(A12,MO!A$2:G$55,4,0)</f>
        <v>41.7</v>
      </c>
      <c r="BQ12">
        <f>VLOOKUP(A12,MON!A$2:G$55,4,0)</f>
        <v>119.89</v>
      </c>
      <c r="BR12">
        <f>VLOOKUP(A12,MRK!A$2:G$55,4,0)</f>
        <v>57.73</v>
      </c>
      <c r="BS12">
        <f>VLOOKUP(A12,MS!A$2:G$55,4,0)</f>
        <v>32.14</v>
      </c>
      <c r="BT12">
        <f>VLOOKUP(A12,MSFT!A$2:G$55,4,0)</f>
        <v>42.48</v>
      </c>
      <c r="BU12">
        <f>VLOOKUP(A12,NKE!A$2:G$55,4,0)</f>
        <v>76.77</v>
      </c>
      <c r="BV12">
        <f>VLOOKUP(A12,NOV!A$2:G$55,4,0)</f>
        <v>84.14</v>
      </c>
      <c r="BW12">
        <f>VLOOKUP(A12,NSC!A$2:G$55,4,0)</f>
        <v>103.97</v>
      </c>
      <c r="BX12">
        <f>VLOOKUP(A12,ORCL!A$2:G$55,4,0)</f>
        <v>40.130000000000003</v>
      </c>
      <c r="BY12">
        <f>VLOOKUP(A12,OXY!A$2:G$55,4,0)</f>
        <v>99.83</v>
      </c>
      <c r="BZ12">
        <f>VLOOKUP(A12,PEP!A$2:G$55,4,0)</f>
        <v>90.06</v>
      </c>
      <c r="CA12">
        <f>VLOOKUP(A12,PFE!A$2:G$55,4,0)</f>
        <v>30.37</v>
      </c>
      <c r="CB12">
        <f>VLOOKUP(A12,PG!A$2:G$55,4,0)</f>
        <v>80.75</v>
      </c>
      <c r="CC12">
        <f>VLOOKUP(A12,PM!A$2:G$55,4,0)</f>
        <v>84.49</v>
      </c>
      <c r="CD12">
        <f>VLOOKUP(A12,QCOM!A$2:G$55,4,0)</f>
        <v>79.58</v>
      </c>
      <c r="CE12">
        <f>VLOOKUP(A12,RTN!A$2:G$55,4,0)</f>
        <v>94.11</v>
      </c>
      <c r="CF12">
        <f>VLOOKUP(A12,SBUX!A$2:G$55,4,0)</f>
        <v>78.31</v>
      </c>
      <c r="CG12">
        <f>VLOOKUP(A12,SLB!A$2:G$55,4,0)</f>
        <v>114.31</v>
      </c>
      <c r="CH12">
        <f>VLOOKUP(A12,SO!A$2:G$55,4,0)</f>
        <v>44.31</v>
      </c>
      <c r="CI12">
        <f>VLOOKUP(A12,SPG!A$2:G$55,4,0)</f>
        <v>169.62</v>
      </c>
      <c r="CJ12">
        <f>VLOOKUP(A12,T!A$2:G$55,4,0)</f>
        <v>36.33</v>
      </c>
      <c r="CK12">
        <f>VLOOKUP(A12,TGT!A$2:G$55,4,0)</f>
        <v>59.82</v>
      </c>
      <c r="CL12">
        <f>VLOOKUP(A12,TWX!A$2:G$55,4,0)</f>
        <v>81.42</v>
      </c>
      <c r="CM12">
        <f>VLOOKUP(A12,TXN!A$2:G$55,4,0)</f>
        <v>48.81</v>
      </c>
      <c r="CN12">
        <f>VLOOKUP(A12,UNH!A$2:G$55,4,0)</f>
        <v>83.22</v>
      </c>
      <c r="CO12">
        <f>VLOOKUP(A12,UNP!A$2:G$55,4,0)</f>
        <v>101.25</v>
      </c>
      <c r="CP12">
        <f>VLOOKUP(A12,UPS!A$2:G$55,4,0)</f>
        <v>104.25</v>
      </c>
      <c r="CQ12">
        <f>VLOOKUP(A12,USB!A$2:G$55,4,0)</f>
        <v>42.36</v>
      </c>
      <c r="CR12">
        <f>VLOOKUP(A12,UTX!A$2:G$55,4,0)</f>
        <v>114.23</v>
      </c>
      <c r="CS12">
        <f>VLOOKUP(A12,V!A$2:G$55,4,0)</f>
        <v>221.08</v>
      </c>
      <c r="CT12">
        <f>VLOOKUP(A12,VZ!A$2:G$55,4,0)</f>
        <v>50.67</v>
      </c>
      <c r="CU12">
        <f>VLOOKUP(A12,WAG!A$2:G$55,4,0)</f>
        <v>70.61</v>
      </c>
      <c r="CV12">
        <f>VLOOKUP(A12,WFC!A$2:G$55,4,0)</f>
        <v>51.05</v>
      </c>
      <c r="CW12">
        <f>VLOOKUP(A12,WMT!A$2:G$55,4,0)</f>
        <v>76.7</v>
      </c>
    </row>
    <row r="13" spans="1:101" x14ac:dyDescent="0.25">
      <c r="A13" s="34">
        <v>41837</v>
      </c>
      <c r="B13" s="36">
        <v>92.57</v>
      </c>
      <c r="C13">
        <f>VLOOKUP(A13,ABBV!A$2:G$55,4,0)</f>
        <v>52.88</v>
      </c>
      <c r="D13">
        <f>VLOOKUP(A13,ABT!A$2:G$55,4,0)</f>
        <v>41</v>
      </c>
      <c r="E13">
        <f>VLOOKUP(A13,ACN!A$2:G$55,4,0)</f>
        <v>79.180000000000007</v>
      </c>
      <c r="F13">
        <f>VLOOKUP(A13,AIG!A$2:G$55,4,0)</f>
        <v>54.66</v>
      </c>
      <c r="G13">
        <f>VLOOKUP(A13,ALL!A$2:G$55,4,0)</f>
        <v>57.81</v>
      </c>
      <c r="H13">
        <f>VLOOKUP(A13,AMGN!A$2:G$55,4,0)</f>
        <v>115.21</v>
      </c>
      <c r="I13">
        <f>VLOOKUP(A13,AMZN!A$2:G$55,4,0)</f>
        <v>351.38</v>
      </c>
      <c r="J13">
        <f>VLOOKUP(A13,APA!A$2:G$55,4,0)</f>
        <v>98.81</v>
      </c>
      <c r="K13">
        <f>VLOOKUP(A13,APC!A$2:G$55,4,0)</f>
        <v>107.96</v>
      </c>
      <c r="L13">
        <f>VLOOKUP(A13,AXP!A$2:G$55,4,0)</f>
        <v>92.91</v>
      </c>
      <c r="M13">
        <f>VLOOKUP(A13,BA!A$2:G$55,4,0)</f>
        <v>125.79</v>
      </c>
      <c r="N13">
        <f>VLOOKUP(A13,BAC!A$2:G$55,4,0)</f>
        <v>15.13</v>
      </c>
      <c r="O13">
        <f>VLOOKUP(A13,BAX!A$2:G$55,4,0)</f>
        <v>75.94</v>
      </c>
      <c r="P13">
        <f>VLOOKUP(A13,BIIB!A$2:G$55,4,0)</f>
        <v>298.31</v>
      </c>
      <c r="Q13">
        <f>VLOOKUP(A13,BK!A$2:G$55,4,0)</f>
        <v>37.86</v>
      </c>
      <c r="R13">
        <f>VLOOKUP(A13,BMY!A$2:G$55,4,0)</f>
        <v>48.23</v>
      </c>
      <c r="T13">
        <f>VLOOKUP(A13,'C'!A$2:G$55,4,0)</f>
        <v>49.16</v>
      </c>
      <c r="U13">
        <f>VLOOKUP(A13,CAT!A$2:G$55,4,0)</f>
        <v>108.93</v>
      </c>
      <c r="V13">
        <f>VLOOKUP(A13,CL!A$2:G$55,4,0)</f>
        <v>68.599999999999994</v>
      </c>
      <c r="W13">
        <f>VLOOKUP(A13,CMCSA!A$2:G$55,4,0)</f>
        <v>54.1</v>
      </c>
      <c r="X13">
        <f>VLOOKUP(A13,COF!A$2:G$55,4,0)</f>
        <v>82.41</v>
      </c>
      <c r="Y13">
        <f>VLOOKUP(A13,COP!A$2:G$55,4,0)</f>
        <v>84.58</v>
      </c>
      <c r="Z13">
        <f>VLOOKUP(A13,COST!A$2:G$55,4,0)</f>
        <v>116.58</v>
      </c>
      <c r="AA13">
        <f>VLOOKUP(A13,CSCO!A$2:G$55,4,0)</f>
        <v>25.58</v>
      </c>
      <c r="AB13">
        <f>VLOOKUP(A13,CVS!A$2:G$55,4,0)</f>
        <v>76.09</v>
      </c>
      <c r="AC13">
        <f>VLOOKUP(A13,CVX!A$2:G$55,4,0)</f>
        <v>129.88</v>
      </c>
      <c r="AD13">
        <f>VLOOKUP(A13,DD!A$2:G$55,4,0)</f>
        <v>64.81</v>
      </c>
      <c r="AE13">
        <f>VLOOKUP(A13,DIS!A$2:G$55,4,0)</f>
        <v>84.87</v>
      </c>
      <c r="AF13">
        <f>VLOOKUP(A13,DOW!A$2:G$55,4,0)</f>
        <v>51.55</v>
      </c>
      <c r="AG13">
        <f>VLOOKUP(A13,DVN!A$2:G$55,4,0)</f>
        <v>75.599999999999994</v>
      </c>
      <c r="AH13">
        <f>VLOOKUP(A13,EBAY!A$2:G$55,4,0)</f>
        <v>50.83</v>
      </c>
      <c r="AI13">
        <f>VLOOKUP(A13,EMC!A$2:G$55,4,0)</f>
        <v>26.68</v>
      </c>
      <c r="AJ13">
        <f>VLOOKUP(A13,EMR!A$2:G$55,4,0)</f>
        <v>66.94</v>
      </c>
      <c r="AK13">
        <f>VLOOKUP(A13,EXC!A$2:G$55,4,0)</f>
        <v>31.95</v>
      </c>
      <c r="AL13">
        <f>VLOOKUP(A13,F!A$2:G$55,4,0)</f>
        <v>17.64</v>
      </c>
      <c r="AM13">
        <f>VLOOKUP(A13,FB!A$2:G$55,4,0)</f>
        <v>66.040000000000006</v>
      </c>
      <c r="AN13">
        <f>VLOOKUP(A13,FCX!A$2:G$55,4,0)</f>
        <v>38.33</v>
      </c>
      <c r="AO13">
        <f>VLOOKUP(A13,FDX!A$2:G$55,4,0)</f>
        <v>151.72999999999999</v>
      </c>
      <c r="AP13">
        <f>VLOOKUP(A13,FOXA!A$2:G$55,4,0)</f>
        <v>32.68</v>
      </c>
      <c r="AQ13">
        <f>VLOOKUP(A13,GD!A$2:G$55,4,0)</f>
        <v>116.05</v>
      </c>
      <c r="AR13">
        <f>VLOOKUP(A13,GE!A$2:G$55,4,0)</f>
        <v>26.6</v>
      </c>
      <c r="AS13">
        <f>VLOOKUP(A13,GILD!A$2:G$55,4,0)</f>
        <v>84.75</v>
      </c>
      <c r="AT13">
        <f>VLOOKUP(A13,GM!A$2:G$55,4,0)</f>
        <v>37.01</v>
      </c>
      <c r="AU13">
        <f>VLOOKUP(A13,GOOG!A$2:G$55,4,0)</f>
        <v>568.61</v>
      </c>
      <c r="AV13">
        <f>VLOOKUP(A13,GOOGL!A$2:G$55,4,0)</f>
        <v>576.85</v>
      </c>
      <c r="AW13">
        <f>VLOOKUP(A13,GS!A$2:G$55,4,0)</f>
        <v>168.92</v>
      </c>
      <c r="AX13">
        <f>VLOOKUP(A13,HAL!A$2:G$55,4,0)</f>
        <v>70.290000000000006</v>
      </c>
      <c r="AY13">
        <f>VLOOKUP(A13,HD!A$2:G$55,4,0)</f>
        <v>79.23</v>
      </c>
      <c r="AZ13">
        <f>VLOOKUP(A13,HON!A$2:G$55,4,0)</f>
        <v>95.16</v>
      </c>
      <c r="BA13">
        <f>VLOOKUP(A13,HPQ!A$2:G$55,4,0)</f>
        <v>34.33</v>
      </c>
      <c r="BB13">
        <f>VLOOKUP(A13,IBM!A$2:G$55,4,0)</f>
        <v>192</v>
      </c>
      <c r="BC13">
        <f>VLOOKUP(A13,INTC!A$2:G$55,4,0)</f>
        <v>33.630000000000003</v>
      </c>
      <c r="BD13">
        <f>VLOOKUP(A13,JNJ!A$2:G$55,4,0)</f>
        <v>100.26</v>
      </c>
      <c r="BE13">
        <f>VLOOKUP(A13,JPM!A$2:G$55,4,0)</f>
        <v>57.76</v>
      </c>
      <c r="BF13">
        <f>VLOOKUP(A13,KO!A$2:G$55,4,0)</f>
        <v>41.83</v>
      </c>
      <c r="BG13">
        <f>VLOOKUP(A13,LLY!A$2:G$55,4,0)</f>
        <v>62.14</v>
      </c>
      <c r="BH13">
        <f>VLOOKUP(A13,LMT!A$2:G$55,4,0)</f>
        <v>160.56</v>
      </c>
      <c r="BI13">
        <f>VLOOKUP(A13,LOW!A$2:G$55,4,0)</f>
        <v>47.22</v>
      </c>
      <c r="BJ13">
        <f>VLOOKUP(A13,MA!A$2:G$55,4,0)</f>
        <v>76.25</v>
      </c>
      <c r="BK13">
        <f>VLOOKUP(A13,MCD!A$2:G$55,4,0)</f>
        <v>98.35</v>
      </c>
      <c r="BL13">
        <f>VLOOKUP(A13,MDLZ!A$2:G$55,4,0)</f>
        <v>37.840000000000003</v>
      </c>
      <c r="BM13">
        <f>VLOOKUP(A13,MDT!A$2:G$55,4,0)</f>
        <v>61.47</v>
      </c>
      <c r="BN13">
        <f>VLOOKUP(A13,MET!A$2:G$55,4,0)</f>
        <v>54.81</v>
      </c>
      <c r="BO13">
        <f>VLOOKUP(A13,MMM!A$2:G$55,4,0)</f>
        <v>143.44999999999999</v>
      </c>
      <c r="BP13">
        <f>VLOOKUP(A13,MO!A$2:G$55,4,0)</f>
        <v>41.55</v>
      </c>
      <c r="BQ13">
        <f>VLOOKUP(A13,MON!A$2:G$55,4,0)</f>
        <v>119.36</v>
      </c>
      <c r="BR13">
        <f>VLOOKUP(A13,MRK!A$2:G$55,4,0)</f>
        <v>57.57</v>
      </c>
      <c r="BS13">
        <f>VLOOKUP(A13,MS!A$2:G$55,4,0)</f>
        <v>32.119999999999997</v>
      </c>
      <c r="BT13">
        <f>VLOOKUP(A13,MSFT!A$2:G$55,4,0)</f>
        <v>44.25</v>
      </c>
      <c r="BU13">
        <f>VLOOKUP(A13,NKE!A$2:G$55,4,0)</f>
        <v>76.3</v>
      </c>
      <c r="BV13">
        <f>VLOOKUP(A13,NOV!A$2:G$55,4,0)</f>
        <v>84.4</v>
      </c>
      <c r="BW13">
        <f>VLOOKUP(A13,NSC!A$2:G$55,4,0)</f>
        <v>104.33</v>
      </c>
      <c r="BX13">
        <f>VLOOKUP(A13,ORCL!A$2:G$55,4,0)</f>
        <v>39.86</v>
      </c>
      <c r="BY13">
        <f>VLOOKUP(A13,OXY!A$2:G$55,4,0)</f>
        <v>99.83</v>
      </c>
      <c r="BZ13">
        <f>VLOOKUP(A13,PEP!A$2:G$55,4,0)</f>
        <v>89.97</v>
      </c>
      <c r="CA13">
        <f>VLOOKUP(A13,PFE!A$2:G$55,4,0)</f>
        <v>30.52</v>
      </c>
      <c r="CB13">
        <f>VLOOKUP(A13,PG!A$2:G$55,4,0)</f>
        <v>80.39</v>
      </c>
      <c r="CC13">
        <f>VLOOKUP(A13,PM!A$2:G$55,4,0)</f>
        <v>84.52</v>
      </c>
      <c r="CD13">
        <f>VLOOKUP(A13,QCOM!A$2:G$55,4,0)</f>
        <v>77.88</v>
      </c>
      <c r="CE13">
        <f>VLOOKUP(A13,RTN!A$2:G$55,4,0)</f>
        <v>93.64</v>
      </c>
      <c r="CF13">
        <f>VLOOKUP(A13,SBUX!A$2:G$55,4,0)</f>
        <v>77.12</v>
      </c>
      <c r="CG13">
        <f>VLOOKUP(A13,SLB!A$2:G$55,4,0)</f>
        <v>114</v>
      </c>
      <c r="CH13">
        <f>VLOOKUP(A13,SO!A$2:G$55,4,0)</f>
        <v>44.51</v>
      </c>
      <c r="CI13">
        <f>VLOOKUP(A13,SPG!A$2:G$55,4,0)</f>
        <v>169.44</v>
      </c>
      <c r="CJ13">
        <f>VLOOKUP(A13,T!A$2:G$55,4,0)</f>
        <v>35.979999999999997</v>
      </c>
      <c r="CK13">
        <f>VLOOKUP(A13,TGT!A$2:G$55,4,0)</f>
        <v>59.57</v>
      </c>
      <c r="CL13">
        <f>VLOOKUP(A13,TWX!A$2:G$55,4,0)</f>
        <v>83.75</v>
      </c>
      <c r="CM13">
        <f>VLOOKUP(A13,TXN!A$2:G$55,4,0)</f>
        <v>48.06</v>
      </c>
      <c r="CN13">
        <f>VLOOKUP(A13,UNH!A$2:G$55,4,0)</f>
        <v>83.43</v>
      </c>
      <c r="CO13">
        <f>VLOOKUP(A13,UNP!A$2:G$55,4,0)</f>
        <v>100.44</v>
      </c>
      <c r="CP13">
        <f>VLOOKUP(A13,UPS!A$2:G$55,4,0)</f>
        <v>102.53</v>
      </c>
      <c r="CQ13">
        <f>VLOOKUP(A13,USB!A$2:G$55,4,0)</f>
        <v>41.58</v>
      </c>
      <c r="CR13">
        <f>VLOOKUP(A13,UTX!A$2:G$55,4,0)</f>
        <v>112.72</v>
      </c>
      <c r="CS13">
        <f>VLOOKUP(A13,V!A$2:G$55,4,0)</f>
        <v>217.83</v>
      </c>
      <c r="CT13">
        <f>VLOOKUP(A13,VZ!A$2:G$55,4,0)</f>
        <v>50.24</v>
      </c>
      <c r="CU13">
        <f>VLOOKUP(A13,WAG!A$2:G$55,4,0)</f>
        <v>69.91</v>
      </c>
      <c r="CV13">
        <f>VLOOKUP(A13,WFC!A$2:G$55,4,0)</f>
        <v>50.61</v>
      </c>
      <c r="CW13">
        <f>VLOOKUP(A13,WMT!A$2:G$55,4,0)</f>
        <v>76.44</v>
      </c>
    </row>
    <row r="14" spans="1:101" x14ac:dyDescent="0.25">
      <c r="A14" s="34">
        <v>41838</v>
      </c>
      <c r="B14" s="36">
        <v>93.02</v>
      </c>
      <c r="C14">
        <f>VLOOKUP(A14,ABBV!A$2:G$55,4,0)</f>
        <v>53</v>
      </c>
      <c r="D14">
        <f>VLOOKUP(A14,ABT!A$2:G$55,4,0)</f>
        <v>41.78</v>
      </c>
      <c r="E14">
        <f>VLOOKUP(A14,ACN!A$2:G$55,4,0)</f>
        <v>78.849999999999994</v>
      </c>
      <c r="F14">
        <f>VLOOKUP(A14,AIG!A$2:G$55,4,0)</f>
        <v>54.64</v>
      </c>
      <c r="G14">
        <f>VLOOKUP(A14,ALL!A$2:G$55,4,0)</f>
        <v>57.52</v>
      </c>
      <c r="H14">
        <f>VLOOKUP(A14,AMGN!A$2:G$55,4,0)</f>
        <v>114.93</v>
      </c>
      <c r="I14">
        <f>VLOOKUP(A14,AMZN!A$2:G$55,4,0)</f>
        <v>352.08</v>
      </c>
      <c r="J14">
        <f>VLOOKUP(A14,APA!A$2:G$55,4,0)</f>
        <v>98.2</v>
      </c>
      <c r="K14">
        <f>VLOOKUP(A14,APC!A$2:G$55,4,0)</f>
        <v>107.56</v>
      </c>
      <c r="L14">
        <f>VLOOKUP(A14,AXP!A$2:G$55,4,0)</f>
        <v>93.1</v>
      </c>
      <c r="M14">
        <f>VLOOKUP(A14,BA!A$2:G$55,4,0)</f>
        <v>126.25</v>
      </c>
      <c r="N14">
        <f>VLOOKUP(A14,BAC!A$2:G$55,4,0)</f>
        <v>15.25</v>
      </c>
      <c r="O14">
        <f>VLOOKUP(A14,BAX!A$2:G$55,4,0)</f>
        <v>75.540000000000006</v>
      </c>
      <c r="P14">
        <f>VLOOKUP(A14,BIIB!A$2:G$55,4,0)</f>
        <v>298.64</v>
      </c>
      <c r="Q14">
        <f>VLOOKUP(A14,BK!A$2:G$55,4,0)</f>
        <v>37.78</v>
      </c>
      <c r="R14">
        <f>VLOOKUP(A14,BMY!A$2:G$55,4,0)</f>
        <v>48.28</v>
      </c>
      <c r="T14">
        <f>VLOOKUP(A14,'C'!A$2:G$55,4,0)</f>
        <v>49.31</v>
      </c>
      <c r="U14">
        <f>VLOOKUP(A14,CAT!A$2:G$55,4,0)</f>
        <v>109.05</v>
      </c>
      <c r="V14">
        <f>VLOOKUP(A14,CL!A$2:G$55,4,0)</f>
        <v>68.55</v>
      </c>
      <c r="W14">
        <f>VLOOKUP(A14,CMCSA!A$2:G$55,4,0)</f>
        <v>54.22</v>
      </c>
      <c r="X14">
        <f>VLOOKUP(A14,COF!A$2:G$55,4,0)</f>
        <v>82.06</v>
      </c>
      <c r="Y14">
        <f>VLOOKUP(A14,COP!A$2:G$55,4,0)</f>
        <v>84.52</v>
      </c>
      <c r="Z14">
        <f>VLOOKUP(A14,COST!A$2:G$55,4,0)</f>
        <v>116.61</v>
      </c>
      <c r="AA14">
        <f>VLOOKUP(A14,CSCO!A$2:G$55,4,0)</f>
        <v>25.67</v>
      </c>
      <c r="AB14">
        <f>VLOOKUP(A14,CVS!A$2:G$55,4,0)</f>
        <v>76.239999999999995</v>
      </c>
      <c r="AC14">
        <f>VLOOKUP(A14,CVX!A$2:G$55,4,0)</f>
        <v>129.58000000000001</v>
      </c>
      <c r="AD14">
        <f>VLOOKUP(A14,DD!A$2:G$55,4,0)</f>
        <v>64.89</v>
      </c>
      <c r="AE14">
        <f>VLOOKUP(A14,DIS!A$2:G$55,4,0)</f>
        <v>85.17</v>
      </c>
      <c r="AF14">
        <f>VLOOKUP(A14,DOW!A$2:G$55,4,0)</f>
        <v>51.52</v>
      </c>
      <c r="AG14">
        <f>VLOOKUP(A14,DVN!A$2:G$55,4,0)</f>
        <v>76.13</v>
      </c>
      <c r="AH14">
        <f>VLOOKUP(A14,EBAY!A$2:G$55,4,0)</f>
        <v>50.58</v>
      </c>
      <c r="AI14">
        <f>VLOOKUP(A14,EMC!A$2:G$55,4,0)</f>
        <v>26.76</v>
      </c>
      <c r="AJ14">
        <f>VLOOKUP(A14,EMR!A$2:G$55,4,0)</f>
        <v>67.010000000000005</v>
      </c>
      <c r="AK14">
        <f>VLOOKUP(A14,EXC!A$2:G$55,4,0)</f>
        <v>31.87</v>
      </c>
      <c r="AL14">
        <f>VLOOKUP(A14,F!A$2:G$55,4,0)</f>
        <v>17.649999999999999</v>
      </c>
      <c r="AM14">
        <f>VLOOKUP(A14,FB!A$2:G$55,4,0)</f>
        <v>66.16</v>
      </c>
      <c r="AN14">
        <f>VLOOKUP(A14,FCX!A$2:G$55,4,0)</f>
        <v>38.119999999999997</v>
      </c>
      <c r="AO14">
        <f>VLOOKUP(A14,FDX!A$2:G$55,4,0)</f>
        <v>151.22999999999999</v>
      </c>
      <c r="AP14">
        <f>VLOOKUP(A14,FOXA!A$2:G$55,4,0)</f>
        <v>32.58</v>
      </c>
      <c r="AQ14">
        <f>VLOOKUP(A14,GD!A$2:G$55,4,0)</f>
        <v>116.51</v>
      </c>
      <c r="AR14">
        <f>VLOOKUP(A14,GE!A$2:G$55,4,0)</f>
        <v>26.25</v>
      </c>
      <c r="AS14">
        <f>VLOOKUP(A14,GILD!A$2:G$55,4,0)</f>
        <v>85.3</v>
      </c>
      <c r="AT14">
        <f>VLOOKUP(A14,GM!A$2:G$55,4,0)</f>
        <v>37.06</v>
      </c>
      <c r="AU14">
        <f>VLOOKUP(A14,GOOG!A$2:G$55,4,0)</f>
        <v>582</v>
      </c>
      <c r="AV14">
        <f>VLOOKUP(A14,GOOGL!A$2:G$55,4,0)</f>
        <v>590.91999999999996</v>
      </c>
      <c r="AW14">
        <f>VLOOKUP(A14,GS!A$2:G$55,4,0)</f>
        <v>169.65</v>
      </c>
      <c r="AX14">
        <f>VLOOKUP(A14,HAL!A$2:G$55,4,0)</f>
        <v>69.92</v>
      </c>
      <c r="AY14">
        <f>VLOOKUP(A14,HD!A$2:G$55,4,0)</f>
        <v>79.45</v>
      </c>
      <c r="AZ14">
        <f>VLOOKUP(A14,HON!A$2:G$55,4,0)</f>
        <v>95.65</v>
      </c>
      <c r="BA14">
        <f>VLOOKUP(A14,HPQ!A$2:G$55,4,0)</f>
        <v>34.44</v>
      </c>
      <c r="BB14">
        <f>VLOOKUP(A14,IBM!A$2:G$55,4,0)</f>
        <v>190</v>
      </c>
      <c r="BC14">
        <f>VLOOKUP(A14,INTC!A$2:G$55,4,0)</f>
        <v>33.39</v>
      </c>
      <c r="BD14">
        <f>VLOOKUP(A14,JNJ!A$2:G$55,4,0)</f>
        <v>100.37</v>
      </c>
      <c r="BE14">
        <f>VLOOKUP(A14,JPM!A$2:G$55,4,0)</f>
        <v>57.9</v>
      </c>
      <c r="BF14">
        <f>VLOOKUP(A14,KO!A$2:G$55,4,0)</f>
        <v>42.02</v>
      </c>
      <c r="BG14">
        <f>VLOOKUP(A14,LLY!A$2:G$55,4,0)</f>
        <v>62.32</v>
      </c>
      <c r="BH14">
        <f>VLOOKUP(A14,LMT!A$2:G$55,4,0)</f>
        <v>161.06</v>
      </c>
      <c r="BI14">
        <f>VLOOKUP(A14,LOW!A$2:G$55,4,0)</f>
        <v>47.38</v>
      </c>
      <c r="BJ14">
        <f>VLOOKUP(A14,MA!A$2:G$55,4,0)</f>
        <v>76.45</v>
      </c>
      <c r="BK14">
        <f>VLOOKUP(A14,MCD!A$2:G$55,4,0)</f>
        <v>98.13</v>
      </c>
      <c r="BL14">
        <f>VLOOKUP(A14,MDLZ!A$2:G$55,4,0)</f>
        <v>37.96</v>
      </c>
      <c r="BM14">
        <f>VLOOKUP(A14,MDT!A$2:G$55,4,0)</f>
        <v>61.74</v>
      </c>
      <c r="BN14">
        <f>VLOOKUP(A14,MET!A$2:G$55,4,0)</f>
        <v>54.96</v>
      </c>
      <c r="BO14">
        <f>VLOOKUP(A14,MMM!A$2:G$55,4,0)</f>
        <v>143.54</v>
      </c>
      <c r="BP14">
        <f>VLOOKUP(A14,MO!A$2:G$55,4,0)</f>
        <v>41.6</v>
      </c>
      <c r="BQ14">
        <f>VLOOKUP(A14,MON!A$2:G$55,4,0)</f>
        <v>119.77</v>
      </c>
      <c r="BR14">
        <f>VLOOKUP(A14,MRK!A$2:G$55,4,0)</f>
        <v>57.62</v>
      </c>
      <c r="BS14">
        <f>VLOOKUP(A14,MS!A$2:G$55,4,0)</f>
        <v>32.229999999999997</v>
      </c>
      <c r="BT14">
        <f>VLOOKUP(A14,MSFT!A$2:G$55,4,0)</f>
        <v>44.25</v>
      </c>
      <c r="BU14">
        <f>VLOOKUP(A14,NKE!A$2:G$55,4,0)</f>
        <v>76.67</v>
      </c>
      <c r="BV14">
        <f>VLOOKUP(A14,NOV!A$2:G$55,4,0)</f>
        <v>84.36</v>
      </c>
      <c r="BW14">
        <f>VLOOKUP(A14,NSC!A$2:G$55,4,0)</f>
        <v>104.63</v>
      </c>
      <c r="BX14">
        <f>VLOOKUP(A14,ORCL!A$2:G$55,4,0)</f>
        <v>39.89</v>
      </c>
      <c r="BY14">
        <f>VLOOKUP(A14,OXY!A$2:G$55,4,0)</f>
        <v>99.5</v>
      </c>
      <c r="BZ14">
        <f>VLOOKUP(A14,PEP!A$2:G$55,4,0)</f>
        <v>89.69</v>
      </c>
      <c r="CA14">
        <f>VLOOKUP(A14,PFE!A$2:G$55,4,0)</f>
        <v>30.34</v>
      </c>
      <c r="CB14">
        <f>VLOOKUP(A14,PG!A$2:G$55,4,0)</f>
        <v>80.16</v>
      </c>
      <c r="CC14">
        <f>VLOOKUP(A14,PM!A$2:G$55,4,0)</f>
        <v>84.9</v>
      </c>
      <c r="CD14">
        <f>VLOOKUP(A14,QCOM!A$2:G$55,4,0)</f>
        <v>78.25</v>
      </c>
      <c r="CE14">
        <f>VLOOKUP(A14,RTN!A$2:G$55,4,0)</f>
        <v>94</v>
      </c>
      <c r="CF14">
        <f>VLOOKUP(A14,SBUX!A$2:G$55,4,0)</f>
        <v>77.25</v>
      </c>
      <c r="CG14">
        <f>VLOOKUP(A14,SLB!A$2:G$55,4,0)</f>
        <v>110.77</v>
      </c>
      <c r="CH14">
        <f>VLOOKUP(A14,SO!A$2:G$55,4,0)</f>
        <v>44.4</v>
      </c>
      <c r="CI14">
        <f>VLOOKUP(A14,SPG!A$2:G$55,4,0)</f>
        <v>169.68</v>
      </c>
      <c r="CJ14">
        <f>VLOOKUP(A14,T!A$2:G$55,4,0)</f>
        <v>36</v>
      </c>
      <c r="CK14">
        <f>VLOOKUP(A14,TGT!A$2:G$55,4,0)</f>
        <v>59.5</v>
      </c>
      <c r="CL14">
        <f>VLOOKUP(A14,TWX!A$2:G$55,4,0)</f>
        <v>85.41</v>
      </c>
      <c r="CM14">
        <f>VLOOKUP(A14,TXN!A$2:G$55,4,0)</f>
        <v>48.17</v>
      </c>
      <c r="CN14">
        <f>VLOOKUP(A14,UNH!A$2:G$55,4,0)</f>
        <v>84.43</v>
      </c>
      <c r="CO14">
        <f>VLOOKUP(A14,UNP!A$2:G$55,4,0)</f>
        <v>100.37</v>
      </c>
      <c r="CP14">
        <f>VLOOKUP(A14,UPS!A$2:G$55,4,0)</f>
        <v>102.84</v>
      </c>
      <c r="CQ14">
        <f>VLOOKUP(A14,USB!A$2:G$55,4,0)</f>
        <v>41.79</v>
      </c>
      <c r="CR14">
        <f>VLOOKUP(A14,UTX!A$2:G$55,4,0)</f>
        <v>112.79</v>
      </c>
      <c r="CS14">
        <f>VLOOKUP(A14,V!A$2:G$55,4,0)</f>
        <v>218.92</v>
      </c>
      <c r="CT14">
        <f>VLOOKUP(A14,VZ!A$2:G$55,4,0)</f>
        <v>50.45</v>
      </c>
      <c r="CU14">
        <f>VLOOKUP(A14,WAG!A$2:G$55,4,0)</f>
        <v>70.239999999999995</v>
      </c>
      <c r="CV14">
        <f>VLOOKUP(A14,WFC!A$2:G$55,4,0)</f>
        <v>50.79</v>
      </c>
      <c r="CW14">
        <f>VLOOKUP(A14,WMT!A$2:G$55,4,0)</f>
        <v>76.510000000000005</v>
      </c>
    </row>
    <row r="15" spans="1:101" x14ac:dyDescent="0.25">
      <c r="A15" s="34">
        <v>41841</v>
      </c>
      <c r="B15" s="36">
        <v>93.72</v>
      </c>
      <c r="C15">
        <f>VLOOKUP(A15,ABBV!A$2:G$55,4,0)</f>
        <v>53.91</v>
      </c>
      <c r="D15">
        <f>VLOOKUP(A15,ABT!A$2:G$55,4,0)</f>
        <v>42.26</v>
      </c>
      <c r="E15">
        <f>VLOOKUP(A15,ACN!A$2:G$55,4,0)</f>
        <v>79.39</v>
      </c>
      <c r="F15">
        <f>VLOOKUP(A15,AIG!A$2:G$55,4,0)</f>
        <v>54.65</v>
      </c>
      <c r="G15">
        <f>VLOOKUP(A15,ALL!A$2:G$55,4,0)</f>
        <v>57.57</v>
      </c>
      <c r="H15">
        <f>VLOOKUP(A15,AMGN!A$2:G$55,4,0)</f>
        <v>117.2</v>
      </c>
      <c r="I15">
        <f>VLOOKUP(A15,AMZN!A$2:G$55,4,0)</f>
        <v>356.72</v>
      </c>
      <c r="J15">
        <f>VLOOKUP(A15,APA!A$2:G$55,4,0)</f>
        <v>97.81</v>
      </c>
      <c r="K15">
        <f>VLOOKUP(A15,APC!A$2:G$55,4,0)</f>
        <v>106.78</v>
      </c>
      <c r="L15">
        <f>VLOOKUP(A15,AXP!A$2:G$55,4,0)</f>
        <v>92.38</v>
      </c>
      <c r="M15">
        <f>VLOOKUP(A15,BA!A$2:G$55,4,0)</f>
        <v>126.77</v>
      </c>
      <c r="N15">
        <f>VLOOKUP(A15,BAC!A$2:G$55,4,0)</f>
        <v>15.36</v>
      </c>
      <c r="O15">
        <f>VLOOKUP(A15,BAX!A$2:G$55,4,0)</f>
        <v>75.67</v>
      </c>
      <c r="P15">
        <f>VLOOKUP(A15,BIIB!A$2:G$55,4,0)</f>
        <v>300.39999999999998</v>
      </c>
      <c r="Q15">
        <f>VLOOKUP(A15,BK!A$2:G$55,4,0)</f>
        <v>38.19</v>
      </c>
      <c r="R15">
        <f>VLOOKUP(A15,BMY!A$2:G$55,4,0)</f>
        <v>48.79</v>
      </c>
      <c r="T15">
        <f>VLOOKUP(A15,'C'!A$2:G$55,4,0)</f>
        <v>49.07</v>
      </c>
      <c r="U15">
        <f>VLOOKUP(A15,CAT!A$2:G$55,4,0)</f>
        <v>109.45</v>
      </c>
      <c r="V15">
        <f>VLOOKUP(A15,CL!A$2:G$55,4,0)</f>
        <v>68.44</v>
      </c>
      <c r="W15">
        <f>VLOOKUP(A15,CMCSA!A$2:G$55,4,0)</f>
        <v>53.5</v>
      </c>
      <c r="X15">
        <f>VLOOKUP(A15,COF!A$2:G$55,4,0)</f>
        <v>81.78</v>
      </c>
      <c r="Y15">
        <f>VLOOKUP(A15,COP!A$2:G$55,4,0)</f>
        <v>84.33</v>
      </c>
      <c r="Z15">
        <f>VLOOKUP(A15,COST!A$2:G$55,4,0)</f>
        <v>116.86</v>
      </c>
      <c r="AA15">
        <f>VLOOKUP(A15,CSCO!A$2:G$55,4,0)</f>
        <v>25.72</v>
      </c>
      <c r="AB15">
        <f>VLOOKUP(A15,CVS!A$2:G$55,4,0)</f>
        <v>76.55</v>
      </c>
      <c r="AC15">
        <f>VLOOKUP(A15,CVX!A$2:G$55,4,0)</f>
        <v>130.01</v>
      </c>
      <c r="AD15">
        <f>VLOOKUP(A15,DD!A$2:G$55,4,0)</f>
        <v>65.069999999999993</v>
      </c>
      <c r="AE15">
        <f>VLOOKUP(A15,DIS!A$2:G$55,4,0)</f>
        <v>85.5</v>
      </c>
      <c r="AF15">
        <f>VLOOKUP(A15,DOW!A$2:G$55,4,0)</f>
        <v>51.6</v>
      </c>
      <c r="AG15">
        <f>VLOOKUP(A15,DVN!A$2:G$55,4,0)</f>
        <v>76.319999999999993</v>
      </c>
      <c r="AH15">
        <f>VLOOKUP(A15,EBAY!A$2:G$55,4,0)</f>
        <v>51.04</v>
      </c>
      <c r="AI15">
        <f>VLOOKUP(A15,EMC!A$2:G$55,4,0)</f>
        <v>27.76</v>
      </c>
      <c r="AJ15">
        <f>VLOOKUP(A15,EMR!A$2:G$55,4,0)</f>
        <v>66.989999999999995</v>
      </c>
      <c r="AK15">
        <f>VLOOKUP(A15,EXC!A$2:G$55,4,0)</f>
        <v>31.85</v>
      </c>
      <c r="AL15">
        <f>VLOOKUP(A15,F!A$2:G$55,4,0)</f>
        <v>17.649999999999999</v>
      </c>
      <c r="AM15">
        <f>VLOOKUP(A15,FB!A$2:G$55,4,0)</f>
        <v>68.5</v>
      </c>
      <c r="AN15">
        <f>VLOOKUP(A15,FCX!A$2:G$55,4,0)</f>
        <v>38.270000000000003</v>
      </c>
      <c r="AO15">
        <f>VLOOKUP(A15,FDX!A$2:G$55,4,0)</f>
        <v>152.08000000000001</v>
      </c>
      <c r="AP15">
        <f>VLOOKUP(A15,FOXA!A$2:G$55,4,0)</f>
        <v>32.74</v>
      </c>
      <c r="AQ15">
        <f>VLOOKUP(A15,GD!A$2:G$55,4,0)</f>
        <v>117.1</v>
      </c>
      <c r="AR15">
        <f>VLOOKUP(A15,GE!A$2:G$55,4,0)</f>
        <v>25.72</v>
      </c>
      <c r="AS15">
        <f>VLOOKUP(A15,GILD!A$2:G$55,4,0)</f>
        <v>88.81</v>
      </c>
      <c r="AT15">
        <f>VLOOKUP(A15,GM!A$2:G$55,4,0)</f>
        <v>37.049999999999997</v>
      </c>
      <c r="AU15">
        <f>VLOOKUP(A15,GOOG!A$2:G$55,4,0)</f>
        <v>585.23</v>
      </c>
      <c r="AV15">
        <f>VLOOKUP(A15,GOOGL!A$2:G$55,4,0)</f>
        <v>594.45000000000005</v>
      </c>
      <c r="AW15">
        <f>VLOOKUP(A15,GS!A$2:G$55,4,0)</f>
        <v>170.05</v>
      </c>
      <c r="AX15">
        <f>VLOOKUP(A15,HAL!A$2:G$55,4,0)</f>
        <v>70.650000000000006</v>
      </c>
      <c r="AY15">
        <f>VLOOKUP(A15,HD!A$2:G$55,4,0)</f>
        <v>79.53</v>
      </c>
      <c r="AZ15">
        <f>VLOOKUP(A15,HON!A$2:G$55,4,0)</f>
        <v>96.29</v>
      </c>
      <c r="BA15">
        <f>VLOOKUP(A15,HPQ!A$2:G$55,4,0)</f>
        <v>34.39</v>
      </c>
      <c r="BB15">
        <f>VLOOKUP(A15,IBM!A$2:G$55,4,0)</f>
        <v>189.25</v>
      </c>
      <c r="BC15">
        <f>VLOOKUP(A15,INTC!A$2:G$55,4,0)</f>
        <v>33.54</v>
      </c>
      <c r="BD15">
        <f>VLOOKUP(A15,JNJ!A$2:G$55,4,0)</f>
        <v>101.02</v>
      </c>
      <c r="BE15">
        <f>VLOOKUP(A15,JPM!A$2:G$55,4,0)</f>
        <v>57.9</v>
      </c>
      <c r="BF15">
        <f>VLOOKUP(A15,KO!A$2:G$55,4,0)</f>
        <v>42.09</v>
      </c>
      <c r="BG15">
        <f>VLOOKUP(A15,LLY!A$2:G$55,4,0)</f>
        <v>62.75</v>
      </c>
      <c r="BH15">
        <f>VLOOKUP(A15,LMT!A$2:G$55,4,0)</f>
        <v>161.19</v>
      </c>
      <c r="BI15">
        <f>VLOOKUP(A15,LOW!A$2:G$55,4,0)</f>
        <v>47.42</v>
      </c>
      <c r="BJ15">
        <f>VLOOKUP(A15,MA!A$2:G$55,4,0)</f>
        <v>76.59</v>
      </c>
      <c r="BK15">
        <f>VLOOKUP(A15,MCD!A$2:G$55,4,0)</f>
        <v>97.55</v>
      </c>
      <c r="BL15">
        <f>VLOOKUP(A15,MDLZ!A$2:G$55,4,0)</f>
        <v>38.020000000000003</v>
      </c>
      <c r="BM15">
        <f>VLOOKUP(A15,MDT!A$2:G$55,4,0)</f>
        <v>61.73</v>
      </c>
      <c r="BN15">
        <f>VLOOKUP(A15,MET!A$2:G$55,4,0)</f>
        <v>55.15</v>
      </c>
      <c r="BO15">
        <f>VLOOKUP(A15,MMM!A$2:G$55,4,0)</f>
        <v>143.65</v>
      </c>
      <c r="BP15">
        <f>VLOOKUP(A15,MO!A$2:G$55,4,0)</f>
        <v>41.45</v>
      </c>
      <c r="BQ15">
        <f>VLOOKUP(A15,MON!A$2:G$55,4,0)</f>
        <v>118.83</v>
      </c>
      <c r="BR15">
        <f>VLOOKUP(A15,MRK!A$2:G$55,4,0)</f>
        <v>57.71</v>
      </c>
      <c r="BS15">
        <f>VLOOKUP(A15,MS!A$2:G$55,4,0)</f>
        <v>32.369999999999997</v>
      </c>
      <c r="BT15">
        <f>VLOOKUP(A15,MSFT!A$2:G$55,4,0)</f>
        <v>44.22</v>
      </c>
      <c r="BU15">
        <f>VLOOKUP(A15,NKE!A$2:G$55,4,0)</f>
        <v>76.7</v>
      </c>
      <c r="BV15">
        <f>VLOOKUP(A15,NOV!A$2:G$55,4,0)</f>
        <v>85.11</v>
      </c>
      <c r="BW15">
        <f>VLOOKUP(A15,NSC!A$2:G$55,4,0)</f>
        <v>105.52</v>
      </c>
      <c r="BX15">
        <f>VLOOKUP(A15,ORCL!A$2:G$55,4,0)</f>
        <v>39.92</v>
      </c>
      <c r="BY15">
        <f>VLOOKUP(A15,OXY!A$2:G$55,4,0)</f>
        <v>100.03</v>
      </c>
      <c r="BZ15">
        <f>VLOOKUP(A15,PEP!A$2:G$55,4,0)</f>
        <v>89.38</v>
      </c>
      <c r="CA15">
        <f>VLOOKUP(A15,PFE!A$2:G$55,4,0)</f>
        <v>30.3</v>
      </c>
      <c r="CB15">
        <f>VLOOKUP(A15,PG!A$2:G$55,4,0)</f>
        <v>79.95</v>
      </c>
      <c r="CC15">
        <f>VLOOKUP(A15,PM!A$2:G$55,4,0)</f>
        <v>85.2</v>
      </c>
      <c r="CD15">
        <f>VLOOKUP(A15,QCOM!A$2:G$55,4,0)</f>
        <v>79.11</v>
      </c>
      <c r="CE15">
        <f>VLOOKUP(A15,RTN!A$2:G$55,4,0)</f>
        <v>94.85</v>
      </c>
      <c r="CF15">
        <f>VLOOKUP(A15,SBUX!A$2:G$55,4,0)</f>
        <v>77.17</v>
      </c>
      <c r="CG15">
        <f>VLOOKUP(A15,SLB!A$2:G$55,4,0)</f>
        <v>112.36</v>
      </c>
      <c r="CH15">
        <f>VLOOKUP(A15,SO!A$2:G$55,4,0)</f>
        <v>44.68</v>
      </c>
      <c r="CI15">
        <f>VLOOKUP(A15,SPG!A$2:G$55,4,0)</f>
        <v>169.62</v>
      </c>
      <c r="CJ15">
        <f>VLOOKUP(A15,T!A$2:G$55,4,0)</f>
        <v>35.880000000000003</v>
      </c>
      <c r="CK15">
        <f>VLOOKUP(A15,TGT!A$2:G$55,4,0)</f>
        <v>59.04</v>
      </c>
      <c r="CL15">
        <f>VLOOKUP(A15,TWX!A$2:G$55,4,0)</f>
        <v>86.6</v>
      </c>
      <c r="CM15">
        <f>VLOOKUP(A15,TXN!A$2:G$55,4,0)</f>
        <v>48.08</v>
      </c>
      <c r="CN15">
        <f>VLOOKUP(A15,UNH!A$2:G$55,4,0)</f>
        <v>84.03</v>
      </c>
      <c r="CO15">
        <f>VLOOKUP(A15,UNP!A$2:G$55,4,0)</f>
        <v>100.86</v>
      </c>
      <c r="CP15">
        <f>VLOOKUP(A15,UPS!A$2:G$55,4,0)</f>
        <v>103.4</v>
      </c>
      <c r="CQ15">
        <f>VLOOKUP(A15,USB!A$2:G$55,4,0)</f>
        <v>41.95</v>
      </c>
      <c r="CR15">
        <f>VLOOKUP(A15,UTX!A$2:G$55,4,0)</f>
        <v>112.57</v>
      </c>
      <c r="CS15">
        <f>VLOOKUP(A15,V!A$2:G$55,4,0)</f>
        <v>218.51</v>
      </c>
      <c r="CT15">
        <f>VLOOKUP(A15,VZ!A$2:G$55,4,0)</f>
        <v>50.54</v>
      </c>
      <c r="CU15">
        <f>VLOOKUP(A15,WAG!A$2:G$55,4,0)</f>
        <v>71.02</v>
      </c>
      <c r="CV15">
        <f>VLOOKUP(A15,WFC!A$2:G$55,4,0)</f>
        <v>50.85</v>
      </c>
      <c r="CW15">
        <f>VLOOKUP(A15,WMT!A$2:G$55,4,0)</f>
        <v>76.48</v>
      </c>
    </row>
    <row r="16" spans="1:101" x14ac:dyDescent="0.25">
      <c r="A16" s="34">
        <v>41842</v>
      </c>
      <c r="B16" s="36">
        <v>94.12</v>
      </c>
      <c r="C16">
        <f>VLOOKUP(A16,ABBV!A$2:G$55,4,0)</f>
        <v>53.75</v>
      </c>
      <c r="D16">
        <f>VLOOKUP(A16,ABT!A$2:G$55,4,0)</f>
        <v>42.88</v>
      </c>
      <c r="E16">
        <f>VLOOKUP(A16,ACN!A$2:G$55,4,0)</f>
        <v>79.989999999999995</v>
      </c>
      <c r="F16">
        <f>VLOOKUP(A16,AIG!A$2:G$55,4,0)</f>
        <v>54.54</v>
      </c>
      <c r="G16">
        <f>VLOOKUP(A16,ALL!A$2:G$55,4,0)</f>
        <v>57.65</v>
      </c>
      <c r="H16">
        <f>VLOOKUP(A16,AMGN!A$2:G$55,4,0)</f>
        <v>119.35</v>
      </c>
      <c r="I16">
        <f>VLOOKUP(A16,AMZN!A$2:G$55,4,0)</f>
        <v>355.25</v>
      </c>
      <c r="J16">
        <f>VLOOKUP(A16,APA!A$2:G$55,4,0)</f>
        <v>102.22</v>
      </c>
      <c r="K16">
        <f>VLOOKUP(A16,APC!A$2:G$55,4,0)</f>
        <v>108.28</v>
      </c>
      <c r="L16">
        <f>VLOOKUP(A16,AXP!A$2:G$55,4,0)</f>
        <v>93.22</v>
      </c>
      <c r="M16">
        <f>VLOOKUP(A16,BA!A$2:G$55,4,0)</f>
        <v>128.58000000000001</v>
      </c>
      <c r="N16">
        <f>VLOOKUP(A16,BAC!A$2:G$55,4,0)</f>
        <v>15.47</v>
      </c>
      <c r="O16">
        <f>VLOOKUP(A16,BAX!A$2:G$55,4,0)</f>
        <v>76.2</v>
      </c>
      <c r="P16">
        <f>VLOOKUP(A16,BIIB!A$2:G$55,4,0)</f>
        <v>302.94</v>
      </c>
      <c r="Q16">
        <f>VLOOKUP(A16,BK!A$2:G$55,4,0)</f>
        <v>38.549999999999997</v>
      </c>
      <c r="R16">
        <f>VLOOKUP(A16,BMY!A$2:G$55,4,0)</f>
        <v>49.07</v>
      </c>
      <c r="T16">
        <f>VLOOKUP(A16,'C'!A$2:G$55,4,0)</f>
        <v>49.38</v>
      </c>
      <c r="U16">
        <f>VLOOKUP(A16,CAT!A$2:G$55,4,0)</f>
        <v>109.8</v>
      </c>
      <c r="V16">
        <f>VLOOKUP(A16,CL!A$2:G$55,4,0)</f>
        <v>68.400000000000006</v>
      </c>
      <c r="W16">
        <f>VLOOKUP(A16,CMCSA!A$2:G$55,4,0)</f>
        <v>54.22</v>
      </c>
      <c r="X16">
        <f>VLOOKUP(A16,COF!A$2:G$55,4,0)</f>
        <v>81.89</v>
      </c>
      <c r="Y16">
        <f>VLOOKUP(A16,COP!A$2:G$55,4,0)</f>
        <v>84.86</v>
      </c>
      <c r="Z16">
        <f>VLOOKUP(A16,COST!A$2:G$55,4,0)</f>
        <v>117.1</v>
      </c>
      <c r="AA16">
        <f>VLOOKUP(A16,CSCO!A$2:G$55,4,0)</f>
        <v>25.91</v>
      </c>
      <c r="AB16">
        <f>VLOOKUP(A16,CVS!A$2:G$55,4,0)</f>
        <v>77.02</v>
      </c>
      <c r="AC16">
        <f>VLOOKUP(A16,CVX!A$2:G$55,4,0)</f>
        <v>131.55000000000001</v>
      </c>
      <c r="AD16">
        <f>VLOOKUP(A16,DD!A$2:G$55,4,0)</f>
        <v>64.61</v>
      </c>
      <c r="AE16">
        <f>VLOOKUP(A16,DIS!A$2:G$55,4,0)</f>
        <v>85.51</v>
      </c>
      <c r="AF16">
        <f>VLOOKUP(A16,DOW!A$2:G$55,4,0)</f>
        <v>51.79</v>
      </c>
      <c r="AG16">
        <f>VLOOKUP(A16,DVN!A$2:G$55,4,0)</f>
        <v>77.33</v>
      </c>
      <c r="AH16">
        <f>VLOOKUP(A16,EBAY!A$2:G$55,4,0)</f>
        <v>51.71</v>
      </c>
      <c r="AI16">
        <f>VLOOKUP(A16,EMC!A$2:G$55,4,0)</f>
        <v>28.26</v>
      </c>
      <c r="AJ16">
        <f>VLOOKUP(A16,EMR!A$2:G$55,4,0)</f>
        <v>67.36</v>
      </c>
      <c r="AK16">
        <f>VLOOKUP(A16,EXC!A$2:G$55,4,0)</f>
        <v>31.76</v>
      </c>
      <c r="AL16">
        <f>VLOOKUP(A16,F!A$2:G$55,4,0)</f>
        <v>17.670000000000002</v>
      </c>
      <c r="AM16">
        <f>VLOOKUP(A16,FB!A$2:G$55,4,0)</f>
        <v>68.61</v>
      </c>
      <c r="AN16">
        <f>VLOOKUP(A16,FCX!A$2:G$55,4,0)</f>
        <v>38.67</v>
      </c>
      <c r="AO16">
        <f>VLOOKUP(A16,FDX!A$2:G$55,4,0)</f>
        <v>152.82</v>
      </c>
      <c r="AP16">
        <f>VLOOKUP(A16,FOXA!A$2:G$55,4,0)</f>
        <v>32.89</v>
      </c>
      <c r="AQ16">
        <f>VLOOKUP(A16,GD!A$2:G$55,4,0)</f>
        <v>118.35</v>
      </c>
      <c r="AR16">
        <f>VLOOKUP(A16,GE!A$2:G$55,4,0)</f>
        <v>25.85</v>
      </c>
      <c r="AS16">
        <f>VLOOKUP(A16,GILD!A$2:G$55,4,0)</f>
        <v>88.58</v>
      </c>
      <c r="AT16">
        <f>VLOOKUP(A16,GM!A$2:G$55,4,0)</f>
        <v>37.53</v>
      </c>
      <c r="AU16">
        <f>VLOOKUP(A16,GOOG!A$2:G$55,4,0)</f>
        <v>590.6</v>
      </c>
      <c r="AV16">
        <f>VLOOKUP(A16,GOOGL!A$2:G$55,4,0)</f>
        <v>599.26</v>
      </c>
      <c r="AW16">
        <f>VLOOKUP(A16,GS!A$2:G$55,4,0)</f>
        <v>172.38</v>
      </c>
      <c r="AX16">
        <f>VLOOKUP(A16,HAL!A$2:G$55,4,0)</f>
        <v>71.59</v>
      </c>
      <c r="AY16">
        <f>VLOOKUP(A16,HD!A$2:G$55,4,0)</f>
        <v>80.2</v>
      </c>
      <c r="AZ16">
        <f>VLOOKUP(A16,HON!A$2:G$55,4,0)</f>
        <v>96.77</v>
      </c>
      <c r="BA16">
        <f>VLOOKUP(A16,HPQ!A$2:G$55,4,0)</f>
        <v>34.520000000000003</v>
      </c>
      <c r="BB16">
        <f>VLOOKUP(A16,IBM!A$2:G$55,4,0)</f>
        <v>191.56</v>
      </c>
      <c r="BC16">
        <f>VLOOKUP(A16,INTC!A$2:G$55,4,0)</f>
        <v>34.07</v>
      </c>
      <c r="BD16">
        <f>VLOOKUP(A16,JNJ!A$2:G$55,4,0)</f>
        <v>101.78</v>
      </c>
      <c r="BE16">
        <f>VLOOKUP(A16,JPM!A$2:G$55,4,0)</f>
        <v>58.37</v>
      </c>
      <c r="BF16">
        <f>VLOOKUP(A16,KO!A$2:G$55,4,0)</f>
        <v>40.61</v>
      </c>
      <c r="BG16">
        <f>VLOOKUP(A16,LLY!A$2:G$55,4,0)</f>
        <v>63.44</v>
      </c>
      <c r="BH16">
        <f>VLOOKUP(A16,LMT!A$2:G$55,4,0)</f>
        <v>164.39</v>
      </c>
      <c r="BI16">
        <f>VLOOKUP(A16,LOW!A$2:G$55,4,0)</f>
        <v>47.54</v>
      </c>
      <c r="BJ16">
        <f>VLOOKUP(A16,MA!A$2:G$55,4,0)</f>
        <v>77.349999999999994</v>
      </c>
      <c r="BK16">
        <f>VLOOKUP(A16,MCD!A$2:G$55,4,0)</f>
        <v>95.1</v>
      </c>
      <c r="BL16">
        <f>VLOOKUP(A16,MDLZ!A$2:G$55,4,0)</f>
        <v>38.32</v>
      </c>
      <c r="BM16">
        <f>VLOOKUP(A16,MDT!A$2:G$55,4,0)</f>
        <v>62.48</v>
      </c>
      <c r="BN16">
        <f>VLOOKUP(A16,MET!A$2:G$55,4,0)</f>
        <v>54.51</v>
      </c>
      <c r="BO16">
        <f>VLOOKUP(A16,MMM!A$2:G$55,4,0)</f>
        <v>144.88999999999999</v>
      </c>
      <c r="BP16">
        <f>VLOOKUP(A16,MO!A$2:G$55,4,0)</f>
        <v>41.15</v>
      </c>
      <c r="BQ16">
        <f>VLOOKUP(A16,MON!A$2:G$55,4,0)</f>
        <v>118.67</v>
      </c>
      <c r="BR16">
        <f>VLOOKUP(A16,MRK!A$2:G$55,4,0)</f>
        <v>58.13</v>
      </c>
      <c r="BS16">
        <f>VLOOKUP(A16,MS!A$2:G$55,4,0)</f>
        <v>32.61</v>
      </c>
      <c r="BT16">
        <f>VLOOKUP(A16,MSFT!A$2:G$55,4,0)</f>
        <v>44.59</v>
      </c>
      <c r="BU16">
        <f>VLOOKUP(A16,NKE!A$2:G$55,4,0)</f>
        <v>77</v>
      </c>
      <c r="BV16">
        <f>VLOOKUP(A16,NOV!A$2:G$55,4,0)</f>
        <v>85.8</v>
      </c>
      <c r="BW16">
        <f>VLOOKUP(A16,NSC!A$2:G$55,4,0)</f>
        <v>106.4</v>
      </c>
      <c r="BX16">
        <f>VLOOKUP(A16,ORCL!A$2:G$55,4,0)</f>
        <v>39.96</v>
      </c>
      <c r="BY16">
        <f>VLOOKUP(A16,OXY!A$2:G$55,4,0)</f>
        <v>100.74</v>
      </c>
      <c r="BZ16">
        <f>VLOOKUP(A16,PEP!A$2:G$55,4,0)</f>
        <v>89.01</v>
      </c>
      <c r="CA16">
        <f>VLOOKUP(A16,PFE!A$2:G$55,4,0)</f>
        <v>30.4</v>
      </c>
      <c r="CB16">
        <f>VLOOKUP(A16,PG!A$2:G$55,4,0)</f>
        <v>79.77</v>
      </c>
      <c r="CC16">
        <f>VLOOKUP(A16,PM!A$2:G$55,4,0)</f>
        <v>85.26</v>
      </c>
      <c r="CD16">
        <f>VLOOKUP(A16,QCOM!A$2:G$55,4,0)</f>
        <v>79.989999999999995</v>
      </c>
      <c r="CE16">
        <f>VLOOKUP(A16,RTN!A$2:G$55,4,0)</f>
        <v>95.79</v>
      </c>
      <c r="CF16">
        <f>VLOOKUP(A16,SBUX!A$2:G$55,4,0)</f>
        <v>78.2</v>
      </c>
      <c r="CG16">
        <f>VLOOKUP(A16,SLB!A$2:G$55,4,0)</f>
        <v>113.26</v>
      </c>
      <c r="CH16">
        <f>VLOOKUP(A16,SO!A$2:G$55,4,0)</f>
        <v>44.86</v>
      </c>
      <c r="CI16">
        <f>VLOOKUP(A16,SPG!A$2:G$55,4,0)</f>
        <v>170.03</v>
      </c>
      <c r="CJ16">
        <f>VLOOKUP(A16,T!A$2:G$55,4,0)</f>
        <v>35.770000000000003</v>
      </c>
      <c r="CK16">
        <f>VLOOKUP(A16,TGT!A$2:G$55,4,0)</f>
        <v>59.14</v>
      </c>
      <c r="CL16">
        <f>VLOOKUP(A16,TWX!A$2:G$55,4,0)</f>
        <v>85.83</v>
      </c>
      <c r="CM16">
        <f>VLOOKUP(A16,TXN!A$2:G$55,4,0)</f>
        <v>48.44</v>
      </c>
      <c r="CN16">
        <f>VLOOKUP(A16,UNH!A$2:G$55,4,0)</f>
        <v>85.47</v>
      </c>
      <c r="CO16">
        <f>VLOOKUP(A16,UNP!A$2:G$55,4,0)</f>
        <v>101.75</v>
      </c>
      <c r="CP16">
        <f>VLOOKUP(A16,UPS!A$2:G$55,4,0)</f>
        <v>104.21</v>
      </c>
      <c r="CQ16">
        <f>VLOOKUP(A16,USB!A$2:G$55,4,0)</f>
        <v>42.22</v>
      </c>
      <c r="CR16">
        <f>VLOOKUP(A16,UTX!A$2:G$55,4,0)</f>
        <v>109.11</v>
      </c>
      <c r="CS16">
        <f>VLOOKUP(A16,V!A$2:G$55,4,0)</f>
        <v>220.61</v>
      </c>
      <c r="CT16">
        <f>VLOOKUP(A16,VZ!A$2:G$55,4,0)</f>
        <v>50.41</v>
      </c>
      <c r="CU16">
        <f>VLOOKUP(A16,WAG!A$2:G$55,4,0)</f>
        <v>72.25</v>
      </c>
      <c r="CV16">
        <f>VLOOKUP(A16,WFC!A$2:G$55,4,0)</f>
        <v>51.05</v>
      </c>
      <c r="CW16">
        <f>VLOOKUP(A16,WMT!A$2:G$55,4,0)</f>
        <v>76.400000000000006</v>
      </c>
    </row>
    <row r="17" spans="1:101" x14ac:dyDescent="0.25">
      <c r="A17" s="34">
        <v>41843</v>
      </c>
      <c r="B17" s="36">
        <v>95.17</v>
      </c>
      <c r="C17">
        <f>VLOOKUP(A17,ABBV!A$2:G$55,4,0)</f>
        <v>54.07</v>
      </c>
      <c r="D17">
        <f>VLOOKUP(A17,ABT!A$2:G$55,4,0)</f>
        <v>42.87</v>
      </c>
      <c r="E17">
        <f>VLOOKUP(A17,ACN!A$2:G$55,4,0)</f>
        <v>80.19</v>
      </c>
      <c r="F17">
        <f>VLOOKUP(A17,AIG!A$2:G$55,4,0)</f>
        <v>54.7</v>
      </c>
      <c r="G17">
        <f>VLOOKUP(A17,ALL!A$2:G$55,4,0)</f>
        <v>58.12</v>
      </c>
      <c r="H17">
        <f>VLOOKUP(A17,AMGN!A$2:G$55,4,0)</f>
        <v>121</v>
      </c>
      <c r="I17">
        <f>VLOOKUP(A17,AMZN!A$2:G$55,4,0)</f>
        <v>356.62</v>
      </c>
      <c r="J17">
        <f>VLOOKUP(A17,APA!A$2:G$55,4,0)</f>
        <v>101.47</v>
      </c>
      <c r="K17">
        <f>VLOOKUP(A17,APC!A$2:G$55,4,0)</f>
        <v>108.18</v>
      </c>
      <c r="L17">
        <f>VLOOKUP(A17,AXP!A$2:G$55,4,0)</f>
        <v>92.82</v>
      </c>
      <c r="M17">
        <f>VLOOKUP(A17,BA!A$2:G$55,4,0)</f>
        <v>126.02</v>
      </c>
      <c r="N17">
        <f>VLOOKUP(A17,BAC!A$2:G$55,4,0)</f>
        <v>15.51</v>
      </c>
      <c r="O17">
        <f>VLOOKUP(A17,BAX!A$2:G$55,4,0)</f>
        <v>76.569999999999993</v>
      </c>
      <c r="P17">
        <f>VLOOKUP(A17,BIIB!A$2:G$55,4,0)</f>
        <v>331</v>
      </c>
      <c r="Q17">
        <f>VLOOKUP(A17,BK!A$2:G$55,4,0)</f>
        <v>38.89</v>
      </c>
      <c r="R17">
        <f>VLOOKUP(A17,BMY!A$2:G$55,4,0)</f>
        <v>49</v>
      </c>
      <c r="T17">
        <f>VLOOKUP(A17,'C'!A$2:G$55,4,0)</f>
        <v>49.36</v>
      </c>
      <c r="U17">
        <f>VLOOKUP(A17,CAT!A$2:G$55,4,0)</f>
        <v>108.21</v>
      </c>
      <c r="V17">
        <f>VLOOKUP(A17,CL!A$2:G$55,4,0)</f>
        <v>67.97</v>
      </c>
      <c r="W17">
        <f>VLOOKUP(A17,CMCSA!A$2:G$55,4,0)</f>
        <v>54.25</v>
      </c>
      <c r="X17">
        <f>VLOOKUP(A17,COF!A$2:G$55,4,0)</f>
        <v>81.95</v>
      </c>
      <c r="Y17">
        <f>VLOOKUP(A17,COP!A$2:G$55,4,0)</f>
        <v>85.69</v>
      </c>
      <c r="Z17">
        <f>VLOOKUP(A17,COST!A$2:G$55,4,0)</f>
        <v>117.27</v>
      </c>
      <c r="AA17">
        <f>VLOOKUP(A17,CSCO!A$2:G$55,4,0)</f>
        <v>25.55</v>
      </c>
      <c r="AB17">
        <f>VLOOKUP(A17,CVS!A$2:G$55,4,0)</f>
        <v>77.569999999999993</v>
      </c>
      <c r="AC17">
        <f>VLOOKUP(A17,CVX!A$2:G$55,4,0)</f>
        <v>132.47999999999999</v>
      </c>
      <c r="AD17">
        <f>VLOOKUP(A17,DD!A$2:G$55,4,0)</f>
        <v>64.45</v>
      </c>
      <c r="AE17">
        <f>VLOOKUP(A17,DIS!A$2:G$55,4,0)</f>
        <v>85.76</v>
      </c>
      <c r="AF17">
        <f>VLOOKUP(A17,DOW!A$2:G$55,4,0)</f>
        <v>52.31</v>
      </c>
      <c r="AG17">
        <f>VLOOKUP(A17,DVN!A$2:G$55,4,0)</f>
        <v>77.58</v>
      </c>
      <c r="AH17">
        <f>VLOOKUP(A17,EBAY!A$2:G$55,4,0)</f>
        <v>51.87</v>
      </c>
      <c r="AI17">
        <f>VLOOKUP(A17,EMC!A$2:G$55,4,0)</f>
        <v>28.59</v>
      </c>
      <c r="AJ17">
        <f>VLOOKUP(A17,EMR!A$2:G$55,4,0)</f>
        <v>66.86</v>
      </c>
      <c r="AK17">
        <f>VLOOKUP(A17,EXC!A$2:G$55,4,0)</f>
        <v>31.68</v>
      </c>
      <c r="AL17">
        <f>VLOOKUP(A17,F!A$2:G$55,4,0)</f>
        <v>17.78</v>
      </c>
      <c r="AM17">
        <f>VLOOKUP(A17,FB!A$2:G$55,4,0)</f>
        <v>69.61</v>
      </c>
      <c r="AN17">
        <f>VLOOKUP(A17,FCX!A$2:G$55,4,0)</f>
        <v>38.28</v>
      </c>
      <c r="AO17">
        <f>VLOOKUP(A17,FDX!A$2:G$55,4,0)</f>
        <v>152.6</v>
      </c>
      <c r="AP17">
        <f>VLOOKUP(A17,FOXA!A$2:G$55,4,0)</f>
        <v>32.56</v>
      </c>
      <c r="AQ17">
        <f>VLOOKUP(A17,GD!A$2:G$55,4,0)</f>
        <v>119.11</v>
      </c>
      <c r="AR17">
        <f>VLOOKUP(A17,GE!A$2:G$55,4,0)</f>
        <v>25.91</v>
      </c>
      <c r="AS17">
        <f>VLOOKUP(A17,GILD!A$2:G$55,4,0)</f>
        <v>89.29</v>
      </c>
      <c r="AT17">
        <f>VLOOKUP(A17,GM!A$2:G$55,4,0)</f>
        <v>37.409999999999997</v>
      </c>
      <c r="AU17">
        <f>VLOOKUP(A17,GOOG!A$2:G$55,4,0)</f>
        <v>592.5</v>
      </c>
      <c r="AV17">
        <f>VLOOKUP(A17,GOOGL!A$2:G$55,4,0)</f>
        <v>601.35</v>
      </c>
      <c r="AW17">
        <f>VLOOKUP(A17,GS!A$2:G$55,4,0)</f>
        <v>174.63</v>
      </c>
      <c r="AX17">
        <f>VLOOKUP(A17,HAL!A$2:G$55,4,0)</f>
        <v>72.52</v>
      </c>
      <c r="AY17">
        <f>VLOOKUP(A17,HD!A$2:G$55,4,0)</f>
        <v>80.209999999999994</v>
      </c>
      <c r="AZ17">
        <f>VLOOKUP(A17,HON!A$2:G$55,4,0)</f>
        <v>96.59</v>
      </c>
      <c r="BA17">
        <f>VLOOKUP(A17,HPQ!A$2:G$55,4,0)</f>
        <v>34.979999999999997</v>
      </c>
      <c r="BB17">
        <f>VLOOKUP(A17,IBM!A$2:G$55,4,0)</f>
        <v>193.57</v>
      </c>
      <c r="BC17">
        <f>VLOOKUP(A17,INTC!A$2:G$55,4,0)</f>
        <v>34.299999999999997</v>
      </c>
      <c r="BD17">
        <f>VLOOKUP(A17,JNJ!A$2:G$55,4,0)</f>
        <v>101.88</v>
      </c>
      <c r="BE17">
        <f>VLOOKUP(A17,JPM!A$2:G$55,4,0)</f>
        <v>58.52</v>
      </c>
      <c r="BF17">
        <f>VLOOKUP(A17,KO!A$2:G$55,4,0)</f>
        <v>40.630000000000003</v>
      </c>
      <c r="BG17">
        <f>VLOOKUP(A17,LLY!A$2:G$55,4,0)</f>
        <v>63.8</v>
      </c>
      <c r="BH17">
        <f>VLOOKUP(A17,LMT!A$2:G$55,4,0)</f>
        <v>167.22</v>
      </c>
      <c r="BI17">
        <f>VLOOKUP(A17,LOW!A$2:G$55,4,0)</f>
        <v>47.6</v>
      </c>
      <c r="BJ17">
        <f>VLOOKUP(A17,MA!A$2:G$55,4,0)</f>
        <v>77.19</v>
      </c>
      <c r="BK17">
        <f>VLOOKUP(A17,MCD!A$2:G$55,4,0)</f>
        <v>94.82</v>
      </c>
      <c r="BL17">
        <f>VLOOKUP(A17,MDLZ!A$2:G$55,4,0)</f>
        <v>38.270000000000003</v>
      </c>
      <c r="BM17">
        <f>VLOOKUP(A17,MDT!A$2:G$55,4,0)</f>
        <v>62.52</v>
      </c>
      <c r="BN17">
        <f>VLOOKUP(A17,MET!A$2:G$55,4,0)</f>
        <v>54.93</v>
      </c>
      <c r="BO17">
        <f>VLOOKUP(A17,MMM!A$2:G$55,4,0)</f>
        <v>144.53</v>
      </c>
      <c r="BP17">
        <f>VLOOKUP(A17,MO!A$2:G$55,4,0)</f>
        <v>41.65</v>
      </c>
      <c r="BQ17">
        <f>VLOOKUP(A17,MON!A$2:G$55,4,0)</f>
        <v>116.16</v>
      </c>
      <c r="BR17">
        <f>VLOOKUP(A17,MRK!A$2:G$55,4,0)</f>
        <v>58.05</v>
      </c>
      <c r="BS17">
        <f>VLOOKUP(A17,MS!A$2:G$55,4,0)</f>
        <v>32.81</v>
      </c>
      <c r="BT17">
        <f>VLOOKUP(A17,MSFT!A$2:G$55,4,0)</f>
        <v>44.62</v>
      </c>
      <c r="BU17">
        <f>VLOOKUP(A17,NKE!A$2:G$55,4,0)</f>
        <v>76.83</v>
      </c>
      <c r="BV17">
        <f>VLOOKUP(A17,NOV!A$2:G$55,4,0)</f>
        <v>85.06</v>
      </c>
      <c r="BW17">
        <f>VLOOKUP(A17,NSC!A$2:G$55,4,0)</f>
        <v>106.05</v>
      </c>
      <c r="BX17">
        <f>VLOOKUP(A17,ORCL!A$2:G$55,4,0)</f>
        <v>40.24</v>
      </c>
      <c r="BY17">
        <f>VLOOKUP(A17,OXY!A$2:G$55,4,0)</f>
        <v>100.73</v>
      </c>
      <c r="BZ17">
        <f>VLOOKUP(A17,PEP!A$2:G$55,4,0)</f>
        <v>90.76</v>
      </c>
      <c r="CA17">
        <f>VLOOKUP(A17,PFE!A$2:G$55,4,0)</f>
        <v>30.32</v>
      </c>
      <c r="CB17">
        <f>VLOOKUP(A17,PG!A$2:G$55,4,0)</f>
        <v>79.819999999999993</v>
      </c>
      <c r="CC17">
        <f>VLOOKUP(A17,PM!A$2:G$55,4,0)</f>
        <v>84.97</v>
      </c>
      <c r="CD17">
        <f>VLOOKUP(A17,QCOM!A$2:G$55,4,0)</f>
        <v>81.42</v>
      </c>
      <c r="CE17">
        <f>VLOOKUP(A17,RTN!A$2:G$55,4,0)</f>
        <v>95.34</v>
      </c>
      <c r="CF17">
        <f>VLOOKUP(A17,SBUX!A$2:G$55,4,0)</f>
        <v>78.400000000000006</v>
      </c>
      <c r="CG17">
        <f>VLOOKUP(A17,SLB!A$2:G$55,4,0)</f>
        <v>111.93</v>
      </c>
      <c r="CH17">
        <f>VLOOKUP(A17,SO!A$2:G$55,4,0)</f>
        <v>44.79</v>
      </c>
      <c r="CI17">
        <f>VLOOKUP(A17,SPG!A$2:G$55,4,0)</f>
        <v>168.74</v>
      </c>
      <c r="CJ17">
        <f>VLOOKUP(A17,T!A$2:G$55,4,0)</f>
        <v>35.799999999999997</v>
      </c>
      <c r="CK17">
        <f>VLOOKUP(A17,TGT!A$2:G$55,4,0)</f>
        <v>59.37</v>
      </c>
      <c r="CL17">
        <f>VLOOKUP(A17,TWX!A$2:G$55,4,0)</f>
        <v>83.92</v>
      </c>
      <c r="CM17">
        <f>VLOOKUP(A17,TXN!A$2:G$55,4,0)</f>
        <v>48.15</v>
      </c>
      <c r="CN17">
        <f>VLOOKUP(A17,UNH!A$2:G$55,4,0)</f>
        <v>85.77</v>
      </c>
      <c r="CO17">
        <f>VLOOKUP(A17,UNP!A$2:G$55,4,0)</f>
        <v>101.77</v>
      </c>
      <c r="CP17">
        <f>VLOOKUP(A17,UPS!A$2:G$55,4,0)</f>
        <v>104.26</v>
      </c>
      <c r="CQ17">
        <f>VLOOKUP(A17,USB!A$2:G$55,4,0)</f>
        <v>42.22</v>
      </c>
      <c r="CR17">
        <f>VLOOKUP(A17,UTX!A$2:G$55,4,0)</f>
        <v>109.55</v>
      </c>
      <c r="CS17">
        <f>VLOOKUP(A17,V!A$2:G$55,4,0)</f>
        <v>220.68</v>
      </c>
      <c r="CT17">
        <f>VLOOKUP(A17,VZ!A$2:G$55,4,0)</f>
        <v>50.78</v>
      </c>
      <c r="CU17">
        <f>VLOOKUP(A17,WAG!A$2:G$55,4,0)</f>
        <v>72.36</v>
      </c>
      <c r="CV17">
        <f>VLOOKUP(A17,WFC!A$2:G$55,4,0)</f>
        <v>51.27</v>
      </c>
      <c r="CW17">
        <f>VLOOKUP(A17,WMT!A$2:G$55,4,0)</f>
        <v>76.59</v>
      </c>
    </row>
    <row r="18" spans="1:101" x14ac:dyDescent="0.25">
      <c r="A18" s="34">
        <v>41844</v>
      </c>
      <c r="B18" s="36">
        <v>96.42</v>
      </c>
      <c r="C18">
        <f>VLOOKUP(A18,ABBV!A$2:G$55,4,0)</f>
        <v>53.97</v>
      </c>
      <c r="D18">
        <f>VLOOKUP(A18,ABT!A$2:G$55,4,0)</f>
        <v>42.74</v>
      </c>
      <c r="E18">
        <f>VLOOKUP(A18,ACN!A$2:G$55,4,0)</f>
        <v>80.23</v>
      </c>
      <c r="F18">
        <f>VLOOKUP(A18,AIG!A$2:G$55,4,0)</f>
        <v>54.9</v>
      </c>
      <c r="G18">
        <f>VLOOKUP(A18,ALL!A$2:G$55,4,0)</f>
        <v>58.13</v>
      </c>
      <c r="H18">
        <f>VLOOKUP(A18,AMGN!A$2:G$55,4,0)</f>
        <v>121.32</v>
      </c>
      <c r="I18">
        <f>VLOOKUP(A18,AMZN!A$2:G$55,4,0)</f>
        <v>358.52</v>
      </c>
      <c r="J18">
        <f>VLOOKUP(A18,APA!A$2:G$55,4,0)</f>
        <v>102.38</v>
      </c>
      <c r="K18">
        <f>VLOOKUP(A18,APC!A$2:G$55,4,0)</f>
        <v>110.11</v>
      </c>
      <c r="L18">
        <f>VLOOKUP(A18,AXP!A$2:G$55,4,0)</f>
        <v>92.85</v>
      </c>
      <c r="M18">
        <f>VLOOKUP(A18,BA!A$2:G$55,4,0)</f>
        <v>124</v>
      </c>
      <c r="N18">
        <f>VLOOKUP(A18,BAC!A$2:G$55,4,0)</f>
        <v>15.55</v>
      </c>
      <c r="O18">
        <f>VLOOKUP(A18,BAX!A$2:G$55,4,0)</f>
        <v>76.63</v>
      </c>
      <c r="P18">
        <f>VLOOKUP(A18,BIIB!A$2:G$55,4,0)</f>
        <v>335.22</v>
      </c>
      <c r="Q18">
        <f>VLOOKUP(A18,BK!A$2:G$55,4,0)</f>
        <v>39.15</v>
      </c>
      <c r="R18">
        <f>VLOOKUP(A18,BMY!A$2:G$55,4,0)</f>
        <v>48.56</v>
      </c>
      <c r="T18">
        <f>VLOOKUP(A18,'C'!A$2:G$55,4,0)</f>
        <v>49.96</v>
      </c>
      <c r="U18">
        <f>VLOOKUP(A18,CAT!A$2:G$55,4,0)</f>
        <v>104.09</v>
      </c>
      <c r="V18">
        <f>VLOOKUP(A18,CL!A$2:G$55,4,0)</f>
        <v>67.989999999999995</v>
      </c>
      <c r="W18">
        <f>VLOOKUP(A18,CMCSA!A$2:G$55,4,0)</f>
        <v>54.71</v>
      </c>
      <c r="X18">
        <f>VLOOKUP(A18,COF!A$2:G$55,4,0)</f>
        <v>82.17</v>
      </c>
      <c r="Y18">
        <f>VLOOKUP(A18,COP!A$2:G$55,4,0)</f>
        <v>86.24</v>
      </c>
      <c r="Z18">
        <f>VLOOKUP(A18,COST!A$2:G$55,4,0)</f>
        <v>117.46</v>
      </c>
      <c r="AA18">
        <f>VLOOKUP(A18,CSCO!A$2:G$55,4,0)</f>
        <v>25.68</v>
      </c>
      <c r="AB18">
        <f>VLOOKUP(A18,CVS!A$2:G$55,4,0)</f>
        <v>78.16</v>
      </c>
      <c r="AC18">
        <f>VLOOKUP(A18,CVX!A$2:G$55,4,0)</f>
        <v>133.69</v>
      </c>
      <c r="AD18">
        <f>VLOOKUP(A18,DD!A$2:G$55,4,0)</f>
        <v>65.069999999999993</v>
      </c>
      <c r="AE18">
        <f>VLOOKUP(A18,DIS!A$2:G$55,4,0)</f>
        <v>86.31</v>
      </c>
      <c r="AF18">
        <f>VLOOKUP(A18,DOW!A$2:G$55,4,0)</f>
        <v>53.4</v>
      </c>
      <c r="AG18">
        <f>VLOOKUP(A18,DVN!A$2:G$55,4,0)</f>
        <v>78.31</v>
      </c>
      <c r="AH18">
        <f>VLOOKUP(A18,EBAY!A$2:G$55,4,0)</f>
        <v>52.52</v>
      </c>
      <c r="AI18">
        <f>VLOOKUP(A18,EMC!A$2:G$55,4,0)</f>
        <v>28.67</v>
      </c>
      <c r="AJ18">
        <f>VLOOKUP(A18,EMR!A$2:G$55,4,0)</f>
        <v>66.91</v>
      </c>
      <c r="AK18">
        <f>VLOOKUP(A18,EXC!A$2:G$55,4,0)</f>
        <v>31.27</v>
      </c>
      <c r="AL18">
        <f>VLOOKUP(A18,F!A$2:G$55,4,0)</f>
        <v>17.68</v>
      </c>
      <c r="AM18">
        <f>VLOOKUP(A18,FB!A$2:G$55,4,0)</f>
        <v>74.510000000000005</v>
      </c>
      <c r="AN18">
        <f>VLOOKUP(A18,FCX!A$2:G$55,4,0)</f>
        <v>37.299999999999997</v>
      </c>
      <c r="AO18">
        <f>VLOOKUP(A18,FDX!A$2:G$55,4,0)</f>
        <v>152.33000000000001</v>
      </c>
      <c r="AP18">
        <f>VLOOKUP(A18,FOXA!A$2:G$55,4,0)</f>
        <v>32.619999999999997</v>
      </c>
      <c r="AQ18">
        <f>VLOOKUP(A18,GD!A$2:G$55,4,0)</f>
        <v>120.65</v>
      </c>
      <c r="AR18">
        <f>VLOOKUP(A18,GE!A$2:G$55,4,0)</f>
        <v>25.9</v>
      </c>
      <c r="AS18">
        <f>VLOOKUP(A18,GILD!A$2:G$55,4,0)</f>
        <v>89.89</v>
      </c>
      <c r="AT18">
        <f>VLOOKUP(A18,GM!A$2:G$55,4,0)</f>
        <v>35.32</v>
      </c>
      <c r="AU18">
        <f>VLOOKUP(A18,GOOG!A$2:G$55,4,0)</f>
        <v>591.77</v>
      </c>
      <c r="AV18">
        <f>VLOOKUP(A18,GOOGL!A$2:G$55,4,0)</f>
        <v>601</v>
      </c>
      <c r="AW18">
        <f>VLOOKUP(A18,GS!A$2:G$55,4,0)</f>
        <v>175.61</v>
      </c>
      <c r="AX18">
        <f>VLOOKUP(A18,HAL!A$2:G$55,4,0)</f>
        <v>73.23</v>
      </c>
      <c r="AY18">
        <f>VLOOKUP(A18,HD!A$2:G$55,4,0)</f>
        <v>80.89</v>
      </c>
      <c r="AZ18">
        <f>VLOOKUP(A18,HON!A$2:G$55,4,0)</f>
        <v>95.92</v>
      </c>
      <c r="BA18">
        <f>VLOOKUP(A18,HPQ!A$2:G$55,4,0)</f>
        <v>34.869999999999997</v>
      </c>
      <c r="BB18">
        <f>VLOOKUP(A18,IBM!A$2:G$55,4,0)</f>
        <v>193.75</v>
      </c>
      <c r="BC18">
        <f>VLOOKUP(A18,INTC!A$2:G$55,4,0)</f>
        <v>34.1</v>
      </c>
      <c r="BD18">
        <f>VLOOKUP(A18,JNJ!A$2:G$55,4,0)</f>
        <v>102.02</v>
      </c>
      <c r="BE18">
        <f>VLOOKUP(A18,JPM!A$2:G$55,4,0)</f>
        <v>58.99</v>
      </c>
      <c r="BF18">
        <f>VLOOKUP(A18,KO!A$2:G$55,4,0)</f>
        <v>40.659999999999997</v>
      </c>
      <c r="BG18">
        <f>VLOOKUP(A18,LLY!A$2:G$55,4,0)</f>
        <v>63.8</v>
      </c>
      <c r="BH18">
        <f>VLOOKUP(A18,LMT!A$2:G$55,4,0)</f>
        <v>167.82</v>
      </c>
      <c r="BI18">
        <f>VLOOKUP(A18,LOW!A$2:G$55,4,0)</f>
        <v>47.88</v>
      </c>
      <c r="BJ18">
        <f>VLOOKUP(A18,MA!A$2:G$55,4,0)</f>
        <v>76.92</v>
      </c>
      <c r="BK18">
        <f>VLOOKUP(A18,MCD!A$2:G$55,4,0)</f>
        <v>95.27</v>
      </c>
      <c r="BL18">
        <f>VLOOKUP(A18,MDLZ!A$2:G$55,4,0)</f>
        <v>38.200000000000003</v>
      </c>
      <c r="BM18">
        <f>VLOOKUP(A18,MDT!A$2:G$55,4,0)</f>
        <v>63.21</v>
      </c>
      <c r="BN18">
        <f>VLOOKUP(A18,MET!A$2:G$55,4,0)</f>
        <v>54.91</v>
      </c>
      <c r="BO18">
        <f>VLOOKUP(A18,MMM!A$2:G$55,4,0)</f>
        <v>144.47</v>
      </c>
      <c r="BP18">
        <f>VLOOKUP(A18,MO!A$2:G$55,4,0)</f>
        <v>41.79</v>
      </c>
      <c r="BQ18">
        <f>VLOOKUP(A18,MON!A$2:G$55,4,0)</f>
        <v>115.7</v>
      </c>
      <c r="BR18">
        <f>VLOOKUP(A18,MRK!A$2:G$55,4,0)</f>
        <v>57.92</v>
      </c>
      <c r="BS18">
        <f>VLOOKUP(A18,MS!A$2:G$55,4,0)</f>
        <v>33.24</v>
      </c>
      <c r="BT18">
        <f>VLOOKUP(A18,MSFT!A$2:G$55,4,0)</f>
        <v>44.32</v>
      </c>
      <c r="BU18">
        <f>VLOOKUP(A18,NKE!A$2:G$55,4,0)</f>
        <v>77.86</v>
      </c>
      <c r="BV18">
        <f>VLOOKUP(A18,NOV!A$2:G$55,4,0)</f>
        <v>85.07</v>
      </c>
      <c r="BW18">
        <f>VLOOKUP(A18,NSC!A$2:G$55,4,0)</f>
        <v>106.88</v>
      </c>
      <c r="BX18">
        <f>VLOOKUP(A18,ORCL!A$2:G$55,4,0)</f>
        <v>40.35</v>
      </c>
      <c r="BY18">
        <f>VLOOKUP(A18,OXY!A$2:G$55,4,0)</f>
        <v>100.35</v>
      </c>
      <c r="BZ18">
        <f>VLOOKUP(A18,PEP!A$2:G$55,4,0)</f>
        <v>91.36</v>
      </c>
      <c r="CA18">
        <f>VLOOKUP(A18,PFE!A$2:G$55,4,0)</f>
        <v>30.32</v>
      </c>
      <c r="CB18">
        <f>VLOOKUP(A18,PG!A$2:G$55,4,0)</f>
        <v>79.849999999999994</v>
      </c>
      <c r="CC18">
        <f>VLOOKUP(A18,PM!A$2:G$55,4,0)</f>
        <v>85.25</v>
      </c>
      <c r="CD18">
        <f>VLOOKUP(A18,QCOM!A$2:G$55,4,0)</f>
        <v>75.66</v>
      </c>
      <c r="CE18">
        <f>VLOOKUP(A18,RTN!A$2:G$55,4,0)</f>
        <v>93.48</v>
      </c>
      <c r="CF18">
        <f>VLOOKUP(A18,SBUX!A$2:G$55,4,0)</f>
        <v>79.150000000000006</v>
      </c>
      <c r="CG18">
        <f>VLOOKUP(A18,SLB!A$2:G$55,4,0)</f>
        <v>112.22</v>
      </c>
      <c r="CH18">
        <f>VLOOKUP(A18,SO!A$2:G$55,4,0)</f>
        <v>44.54</v>
      </c>
      <c r="CI18">
        <f>VLOOKUP(A18,SPG!A$2:G$55,4,0)</f>
        <v>169.28</v>
      </c>
      <c r="CJ18">
        <f>VLOOKUP(A18,T!A$2:G$55,4,0)</f>
        <v>35.03</v>
      </c>
      <c r="CK18">
        <f>VLOOKUP(A18,TGT!A$2:G$55,4,0)</f>
        <v>60.42</v>
      </c>
      <c r="CL18">
        <f>VLOOKUP(A18,TWX!A$2:G$55,4,0)</f>
        <v>83.22</v>
      </c>
      <c r="CM18">
        <f>VLOOKUP(A18,TXN!A$2:G$55,4,0)</f>
        <v>47.78</v>
      </c>
      <c r="CN18">
        <f>VLOOKUP(A18,UNH!A$2:G$55,4,0)</f>
        <v>85.29</v>
      </c>
      <c r="CO18">
        <f>VLOOKUP(A18,UNP!A$2:G$55,4,0)</f>
        <v>100.6</v>
      </c>
      <c r="CP18">
        <f>VLOOKUP(A18,UPS!A$2:G$55,4,0)</f>
        <v>103.85</v>
      </c>
      <c r="CQ18">
        <f>VLOOKUP(A18,USB!A$2:G$55,4,0)</f>
        <v>42.48</v>
      </c>
      <c r="CR18">
        <f>VLOOKUP(A18,UTX!A$2:G$55,4,0)</f>
        <v>108.79</v>
      </c>
      <c r="CS18">
        <f>VLOOKUP(A18,V!A$2:G$55,4,0)</f>
        <v>221.83</v>
      </c>
      <c r="CT18">
        <f>VLOOKUP(A18,VZ!A$2:G$55,4,0)</f>
        <v>50.71</v>
      </c>
      <c r="CU18">
        <f>VLOOKUP(A18,WAG!A$2:G$55,4,0)</f>
        <v>72.55</v>
      </c>
      <c r="CV18">
        <f>VLOOKUP(A18,WFC!A$2:G$55,4,0)</f>
        <v>51.42</v>
      </c>
      <c r="CW18">
        <f>VLOOKUP(A18,WMT!A$2:G$55,4,0)</f>
        <v>76.19</v>
      </c>
    </row>
    <row r="19" spans="1:101" x14ac:dyDescent="0.25">
      <c r="A19" s="34">
        <v>41845</v>
      </c>
      <c r="B19" s="36">
        <v>96.64</v>
      </c>
      <c r="C19">
        <f>VLOOKUP(A19,ABBV!A$2:G$55,4,0)</f>
        <v>53.03</v>
      </c>
      <c r="D19">
        <f>VLOOKUP(A19,ABT!A$2:G$55,4,0)</f>
        <v>42.76</v>
      </c>
      <c r="E19">
        <f>VLOOKUP(A19,ACN!A$2:G$55,4,0)</f>
        <v>80.12</v>
      </c>
      <c r="F19">
        <f>VLOOKUP(A19,AIG!A$2:G$55,4,0)</f>
        <v>54.15</v>
      </c>
      <c r="G19">
        <f>VLOOKUP(A19,ALL!A$2:G$55,4,0)</f>
        <v>57.88</v>
      </c>
      <c r="H19">
        <f>VLOOKUP(A19,AMGN!A$2:G$55,4,0)</f>
        <v>121.67</v>
      </c>
      <c r="I19">
        <f>VLOOKUP(A19,AMZN!A$2:G$55,4,0)</f>
        <v>314.76</v>
      </c>
      <c r="J19">
        <f>VLOOKUP(A19,APA!A$2:G$55,4,0)</f>
        <v>101.16</v>
      </c>
      <c r="K19">
        <f>VLOOKUP(A19,APC!A$2:G$55,4,0)</f>
        <v>109.04</v>
      </c>
      <c r="L19">
        <f>VLOOKUP(A19,AXP!A$2:G$55,4,0)</f>
        <v>91.58</v>
      </c>
      <c r="M19">
        <f>VLOOKUP(A19,BA!A$2:G$55,4,0)</f>
        <v>122.41</v>
      </c>
      <c r="N19">
        <f>VLOOKUP(A19,BAC!A$2:G$55,4,0)</f>
        <v>15.55</v>
      </c>
      <c r="O19">
        <f>VLOOKUP(A19,BAX!A$2:G$55,4,0)</f>
        <v>76.22</v>
      </c>
      <c r="P19">
        <f>VLOOKUP(A19,BIIB!A$2:G$55,4,0)</f>
        <v>332.77</v>
      </c>
      <c r="Q19">
        <f>VLOOKUP(A19,BK!A$2:G$55,4,0)</f>
        <v>39.31</v>
      </c>
      <c r="R19">
        <f>VLOOKUP(A19,BMY!A$2:G$55,4,0)</f>
        <v>49.02</v>
      </c>
      <c r="T19">
        <f>VLOOKUP(A19,'C'!A$2:G$55,4,0)</f>
        <v>49.94</v>
      </c>
      <c r="U19">
        <f>VLOOKUP(A19,CAT!A$2:G$55,4,0)</f>
        <v>104.1</v>
      </c>
      <c r="V19">
        <f>VLOOKUP(A19,CL!A$2:G$55,4,0)</f>
        <v>67.53</v>
      </c>
      <c r="W19">
        <f>VLOOKUP(A19,CMCSA!A$2:G$55,4,0)</f>
        <v>54.23</v>
      </c>
      <c r="X19">
        <f>VLOOKUP(A19,COF!A$2:G$55,4,0)</f>
        <v>81.569999999999993</v>
      </c>
      <c r="Y19">
        <f>VLOOKUP(A19,COP!A$2:G$55,4,0)</f>
        <v>85.78</v>
      </c>
      <c r="Z19">
        <f>VLOOKUP(A19,COST!A$2:G$55,4,0)</f>
        <v>117.07</v>
      </c>
      <c r="AA19">
        <f>VLOOKUP(A19,CSCO!A$2:G$55,4,0)</f>
        <v>25.68</v>
      </c>
      <c r="AB19">
        <f>VLOOKUP(A19,CVS!A$2:G$55,4,0)</f>
        <v>78.61</v>
      </c>
      <c r="AC19">
        <f>VLOOKUP(A19,CVX!A$2:G$55,4,0)</f>
        <v>133.06</v>
      </c>
      <c r="AD19">
        <f>VLOOKUP(A19,DD!A$2:G$55,4,0)</f>
        <v>64.849999999999994</v>
      </c>
      <c r="AE19">
        <f>VLOOKUP(A19,DIS!A$2:G$55,4,0)</f>
        <v>86.05</v>
      </c>
      <c r="AF19">
        <f>VLOOKUP(A19,DOW!A$2:G$55,4,0)</f>
        <v>53.5</v>
      </c>
      <c r="AG19">
        <f>VLOOKUP(A19,DVN!A$2:G$55,4,0)</f>
        <v>77.92</v>
      </c>
      <c r="AH19">
        <f>VLOOKUP(A19,EBAY!A$2:G$55,4,0)</f>
        <v>52.54</v>
      </c>
      <c r="AI19">
        <f>VLOOKUP(A19,EMC!A$2:G$55,4,0)</f>
        <v>28.75</v>
      </c>
      <c r="AJ19">
        <f>VLOOKUP(A19,EMR!A$2:G$55,4,0)</f>
        <v>66.91</v>
      </c>
      <c r="AK19">
        <f>VLOOKUP(A19,EXC!A$2:G$55,4,0)</f>
        <v>31.38</v>
      </c>
      <c r="AL19">
        <f>VLOOKUP(A19,F!A$2:G$55,4,0)</f>
        <v>17.510000000000002</v>
      </c>
      <c r="AM19">
        <f>VLOOKUP(A19,FB!A$2:G$55,4,0)</f>
        <v>74.66</v>
      </c>
      <c r="AN19">
        <f>VLOOKUP(A19,FCX!A$2:G$55,4,0)</f>
        <v>37.35</v>
      </c>
      <c r="AO19">
        <f>VLOOKUP(A19,FDX!A$2:G$55,4,0)</f>
        <v>150.80000000000001</v>
      </c>
      <c r="AP19">
        <f>VLOOKUP(A19,FOXA!A$2:G$55,4,0)</f>
        <v>32.78</v>
      </c>
      <c r="AQ19">
        <f>VLOOKUP(A19,GD!A$2:G$55,4,0)</f>
        <v>120.86</v>
      </c>
      <c r="AR19">
        <f>VLOOKUP(A19,GE!A$2:G$55,4,0)</f>
        <v>25.73</v>
      </c>
      <c r="AS19">
        <f>VLOOKUP(A19,GILD!A$2:G$55,4,0)</f>
        <v>88.7</v>
      </c>
      <c r="AT19">
        <f>VLOOKUP(A19,GM!A$2:G$55,4,0)</f>
        <v>34.56</v>
      </c>
      <c r="AU19">
        <f>VLOOKUP(A19,GOOG!A$2:G$55,4,0)</f>
        <v>587.03</v>
      </c>
      <c r="AV19">
        <f>VLOOKUP(A19,GOOGL!A$2:G$55,4,0)</f>
        <v>595.75</v>
      </c>
      <c r="AW19">
        <f>VLOOKUP(A19,GS!A$2:G$55,4,0)</f>
        <v>174.72</v>
      </c>
      <c r="AX19">
        <f>VLOOKUP(A19,HAL!A$2:G$55,4,0)</f>
        <v>72.739999999999995</v>
      </c>
      <c r="AY19">
        <f>VLOOKUP(A19,HD!A$2:G$55,4,0)</f>
        <v>80.89</v>
      </c>
      <c r="AZ19">
        <f>VLOOKUP(A19,HON!A$2:G$55,4,0)</f>
        <v>95.65</v>
      </c>
      <c r="BA19">
        <f>VLOOKUP(A19,HPQ!A$2:G$55,4,0)</f>
        <v>34.67</v>
      </c>
      <c r="BB19">
        <f>VLOOKUP(A19,IBM!A$2:G$55,4,0)</f>
        <v>193.79</v>
      </c>
      <c r="BC19">
        <f>VLOOKUP(A19,INTC!A$2:G$55,4,0)</f>
        <v>33.93</v>
      </c>
      <c r="BD19">
        <f>VLOOKUP(A19,JNJ!A$2:G$55,4,0)</f>
        <v>101.8</v>
      </c>
      <c r="BE19">
        <f>VLOOKUP(A19,JPM!A$2:G$55,4,0)</f>
        <v>58.84</v>
      </c>
      <c r="BF19">
        <f>VLOOKUP(A19,KO!A$2:G$55,4,0)</f>
        <v>40.81</v>
      </c>
      <c r="BG19">
        <f>VLOOKUP(A19,LLY!A$2:G$55,4,0)</f>
        <v>63.49</v>
      </c>
      <c r="BH19">
        <f>VLOOKUP(A19,LMT!A$2:G$55,4,0)</f>
        <v>169.19</v>
      </c>
      <c r="BI19">
        <f>VLOOKUP(A19,LOW!A$2:G$55,4,0)</f>
        <v>47.55</v>
      </c>
      <c r="BJ19">
        <f>VLOOKUP(A19,MA!A$2:G$55,4,0)</f>
        <v>75.22</v>
      </c>
      <c r="BK19">
        <f>VLOOKUP(A19,MCD!A$2:G$55,4,0)</f>
        <v>95.32</v>
      </c>
      <c r="BL19">
        <f>VLOOKUP(A19,MDLZ!A$2:G$55,4,0)</f>
        <v>38.04</v>
      </c>
      <c r="BM19">
        <f>VLOOKUP(A19,MDT!A$2:G$55,4,0)</f>
        <v>62.61</v>
      </c>
      <c r="BN19">
        <f>VLOOKUP(A19,MET!A$2:G$55,4,0)</f>
        <v>54.44</v>
      </c>
      <c r="BO19">
        <f>VLOOKUP(A19,MMM!A$2:G$55,4,0)</f>
        <v>144.59</v>
      </c>
      <c r="BP19">
        <f>VLOOKUP(A19,MO!A$2:G$55,4,0)</f>
        <v>41.52</v>
      </c>
      <c r="BQ19">
        <f>VLOOKUP(A19,MON!A$2:G$55,4,0)</f>
        <v>115.64</v>
      </c>
      <c r="BR19">
        <f>VLOOKUP(A19,MRK!A$2:G$55,4,0)</f>
        <v>57.92</v>
      </c>
      <c r="BS19">
        <f>VLOOKUP(A19,MS!A$2:G$55,4,0)</f>
        <v>33.19</v>
      </c>
      <c r="BT19">
        <f>VLOOKUP(A19,MSFT!A$2:G$55,4,0)</f>
        <v>44.3</v>
      </c>
      <c r="BU19">
        <f>VLOOKUP(A19,NKE!A$2:G$55,4,0)</f>
        <v>77.61</v>
      </c>
      <c r="BV19">
        <f>VLOOKUP(A19,NOV!A$2:G$55,4,0)</f>
        <v>84.78</v>
      </c>
      <c r="BW19">
        <f>VLOOKUP(A19,NSC!A$2:G$55,4,0)</f>
        <v>107.12</v>
      </c>
      <c r="BX19">
        <f>VLOOKUP(A19,ORCL!A$2:G$55,4,0)</f>
        <v>40.270000000000003</v>
      </c>
      <c r="BY19">
        <f>VLOOKUP(A19,OXY!A$2:G$55,4,0)</f>
        <v>100</v>
      </c>
      <c r="BZ19">
        <f>VLOOKUP(A19,PEP!A$2:G$55,4,0)</f>
        <v>91.29</v>
      </c>
      <c r="CA19">
        <f>VLOOKUP(A19,PFE!A$2:G$55,4,0)</f>
        <v>30.08</v>
      </c>
      <c r="CB19">
        <f>VLOOKUP(A19,PG!A$2:G$55,4,0)</f>
        <v>79.37</v>
      </c>
      <c r="CC19">
        <f>VLOOKUP(A19,PM!A$2:G$55,4,0)</f>
        <v>84.57</v>
      </c>
      <c r="CD19">
        <f>VLOOKUP(A19,QCOM!A$2:G$55,4,0)</f>
        <v>75.819999999999993</v>
      </c>
      <c r="CE19">
        <f>VLOOKUP(A19,RTN!A$2:G$55,4,0)</f>
        <v>91.97</v>
      </c>
      <c r="CF19">
        <f>VLOOKUP(A19,SBUX!A$2:G$55,4,0)</f>
        <v>77.900000000000006</v>
      </c>
      <c r="CG19">
        <f>VLOOKUP(A19,SLB!A$2:G$55,4,0)</f>
        <v>111.67</v>
      </c>
      <c r="CH19">
        <f>VLOOKUP(A19,SO!A$2:G$55,4,0)</f>
        <v>44.6</v>
      </c>
      <c r="CI19">
        <f>VLOOKUP(A19,SPG!A$2:G$55,4,0)</f>
        <v>168.55</v>
      </c>
      <c r="CJ19">
        <f>VLOOKUP(A19,T!A$2:G$55,4,0)</f>
        <v>35.36</v>
      </c>
      <c r="CK19">
        <f>VLOOKUP(A19,TGT!A$2:G$55,4,0)</f>
        <v>60.29</v>
      </c>
      <c r="CL19">
        <f>VLOOKUP(A19,TWX!A$2:G$55,4,0)</f>
        <v>83.77</v>
      </c>
      <c r="CM19">
        <f>VLOOKUP(A19,TXN!A$2:G$55,4,0)</f>
        <v>46.77</v>
      </c>
      <c r="CN19">
        <f>VLOOKUP(A19,UNH!A$2:G$55,4,0)</f>
        <v>84</v>
      </c>
      <c r="CO19">
        <f>VLOOKUP(A19,UNP!A$2:G$55,4,0)</f>
        <v>101.43</v>
      </c>
      <c r="CP19">
        <f>VLOOKUP(A19,UPS!A$2:G$55,4,0)</f>
        <v>103.44</v>
      </c>
      <c r="CQ19">
        <f>VLOOKUP(A19,USB!A$2:G$55,4,0)</f>
        <v>42.5</v>
      </c>
      <c r="CR19">
        <f>VLOOKUP(A19,UTX!A$2:G$55,4,0)</f>
        <v>108.43</v>
      </c>
      <c r="CS19">
        <f>VLOOKUP(A19,V!A$2:G$55,4,0)</f>
        <v>211.34</v>
      </c>
      <c r="CT19">
        <f>VLOOKUP(A19,VZ!A$2:G$55,4,0)</f>
        <v>51.07</v>
      </c>
      <c r="CU19">
        <f>VLOOKUP(A19,WAG!A$2:G$55,4,0)</f>
        <v>72.7</v>
      </c>
      <c r="CV19">
        <f>VLOOKUP(A19,WFC!A$2:G$55,4,0)</f>
        <v>51.49</v>
      </c>
      <c r="CW19">
        <f>VLOOKUP(A19,WMT!A$2:G$55,4,0)</f>
        <v>75.8</v>
      </c>
    </row>
    <row r="20" spans="1:101" x14ac:dyDescent="0.25">
      <c r="A20" s="34">
        <v>41848</v>
      </c>
      <c r="B20" s="36">
        <v>97.55</v>
      </c>
      <c r="C20">
        <f>VLOOKUP(A20,ABBV!A$2:G$55,4,0)</f>
        <v>53.17</v>
      </c>
      <c r="D20">
        <f>VLOOKUP(A20,ABT!A$2:G$55,4,0)</f>
        <v>42.62</v>
      </c>
      <c r="E20">
        <f>VLOOKUP(A20,ACN!A$2:G$55,4,0)</f>
        <v>79.97</v>
      </c>
      <c r="F20">
        <f>VLOOKUP(A20,AIG!A$2:G$55,4,0)</f>
        <v>53.46</v>
      </c>
      <c r="G20">
        <f>VLOOKUP(A20,ALL!A$2:G$55,4,0)</f>
        <v>57.36</v>
      </c>
      <c r="H20">
        <f>VLOOKUP(A20,AMGN!A$2:G$55,4,0)</f>
        <v>121.66</v>
      </c>
      <c r="I20">
        <f>VLOOKUP(A20,AMZN!A$2:G$55,4,0)</f>
        <v>316.5</v>
      </c>
      <c r="J20">
        <f>VLOOKUP(A20,APA!A$2:G$55,4,0)</f>
        <v>100.64</v>
      </c>
      <c r="K20">
        <f>VLOOKUP(A20,APC!A$2:G$55,4,0)</f>
        <v>107.38</v>
      </c>
      <c r="L20">
        <f>VLOOKUP(A20,AXP!A$2:G$55,4,0)</f>
        <v>90.9</v>
      </c>
      <c r="M20">
        <f>VLOOKUP(A20,BA!A$2:G$55,4,0)</f>
        <v>122.16</v>
      </c>
      <c r="N20">
        <f>VLOOKUP(A20,BAC!A$2:G$55,4,0)</f>
        <v>15.46</v>
      </c>
      <c r="O20">
        <f>VLOOKUP(A20,BAX!A$2:G$55,4,0)</f>
        <v>76.2</v>
      </c>
      <c r="P20">
        <f>VLOOKUP(A20,BIIB!A$2:G$55,4,0)</f>
        <v>332.1</v>
      </c>
      <c r="Q20">
        <f>VLOOKUP(A20,BK!A$2:G$55,4,0)</f>
        <v>39.299999999999997</v>
      </c>
      <c r="R20">
        <f>VLOOKUP(A20,BMY!A$2:G$55,4,0)</f>
        <v>49.08</v>
      </c>
      <c r="T20">
        <f>VLOOKUP(A20,'C'!A$2:G$55,4,0)</f>
        <v>49.54</v>
      </c>
      <c r="U20">
        <f>VLOOKUP(A20,CAT!A$2:G$55,4,0)</f>
        <v>103.17</v>
      </c>
      <c r="V20">
        <f>VLOOKUP(A20,CL!A$2:G$55,4,0)</f>
        <v>67.09</v>
      </c>
      <c r="W20">
        <f>VLOOKUP(A20,CMCSA!A$2:G$55,4,0)</f>
        <v>54.09</v>
      </c>
      <c r="X20">
        <f>VLOOKUP(A20,COF!A$2:G$55,4,0)</f>
        <v>81.16</v>
      </c>
      <c r="Y20">
        <f>VLOOKUP(A20,COP!A$2:G$55,4,0)</f>
        <v>85.08</v>
      </c>
      <c r="Z20">
        <f>VLOOKUP(A20,COST!A$2:G$55,4,0)</f>
        <v>116.81</v>
      </c>
      <c r="AA20">
        <f>VLOOKUP(A20,CSCO!A$2:G$55,4,0)</f>
        <v>25.57</v>
      </c>
      <c r="AB20">
        <f>VLOOKUP(A20,CVS!A$2:G$55,4,0)</f>
        <v>78.19</v>
      </c>
      <c r="AC20">
        <f>VLOOKUP(A20,CVX!A$2:G$55,4,0)</f>
        <v>132.88999999999999</v>
      </c>
      <c r="AD20">
        <f>VLOOKUP(A20,DD!A$2:G$55,4,0)</f>
        <v>64.97</v>
      </c>
      <c r="AE20">
        <f>VLOOKUP(A20,DIS!A$2:G$55,4,0)</f>
        <v>85.81</v>
      </c>
      <c r="AF20">
        <f>VLOOKUP(A20,DOW!A$2:G$55,4,0)</f>
        <v>53.57</v>
      </c>
      <c r="AG20">
        <f>VLOOKUP(A20,DVN!A$2:G$55,4,0)</f>
        <v>77.42</v>
      </c>
      <c r="AH20">
        <f>VLOOKUP(A20,EBAY!A$2:G$55,4,0)</f>
        <v>52.23</v>
      </c>
      <c r="AI20">
        <f>VLOOKUP(A20,EMC!A$2:G$55,4,0)</f>
        <v>29.13</v>
      </c>
      <c r="AJ20">
        <f>VLOOKUP(A20,EMR!A$2:G$55,4,0)</f>
        <v>66.569999999999993</v>
      </c>
      <c r="AK20">
        <f>VLOOKUP(A20,EXC!A$2:G$55,4,0)</f>
        <v>31.38</v>
      </c>
      <c r="AL20">
        <f>VLOOKUP(A20,F!A$2:G$55,4,0)</f>
        <v>17.47</v>
      </c>
      <c r="AM20">
        <f>VLOOKUP(A20,FB!A$2:G$55,4,0)</f>
        <v>73.849999999999994</v>
      </c>
      <c r="AN20">
        <f>VLOOKUP(A20,FCX!A$2:G$55,4,0)</f>
        <v>37.72</v>
      </c>
      <c r="AO20">
        <f>VLOOKUP(A20,FDX!A$2:G$55,4,0)</f>
        <v>148.30000000000001</v>
      </c>
      <c r="AP20">
        <f>VLOOKUP(A20,FOXA!A$2:G$55,4,0)</f>
        <v>32.42</v>
      </c>
      <c r="AQ20">
        <f>VLOOKUP(A20,GD!A$2:G$55,4,0)</f>
        <v>119.71</v>
      </c>
      <c r="AR20">
        <f>VLOOKUP(A20,GE!A$2:G$55,4,0)</f>
        <v>25.44</v>
      </c>
      <c r="AS20">
        <f>VLOOKUP(A20,GILD!A$2:G$55,4,0)</f>
        <v>89.93</v>
      </c>
      <c r="AT20">
        <f>VLOOKUP(A20,GM!A$2:G$55,4,0)</f>
        <v>34.78</v>
      </c>
      <c r="AU20">
        <f>VLOOKUP(A20,GOOG!A$2:G$55,4,0)</f>
        <v>584.75</v>
      </c>
      <c r="AV20">
        <f>VLOOKUP(A20,GOOGL!A$2:G$55,4,0)</f>
        <v>592.59</v>
      </c>
      <c r="AW20">
        <f>VLOOKUP(A20,GS!A$2:G$55,4,0)</f>
        <v>174.67</v>
      </c>
      <c r="AX20">
        <f>VLOOKUP(A20,HAL!A$2:G$55,4,0)</f>
        <v>72.13</v>
      </c>
      <c r="AY20">
        <f>VLOOKUP(A20,HD!A$2:G$55,4,0)</f>
        <v>80.66</v>
      </c>
      <c r="AZ20">
        <f>VLOOKUP(A20,HON!A$2:G$55,4,0)</f>
        <v>94.36</v>
      </c>
      <c r="BA20">
        <f>VLOOKUP(A20,HPQ!A$2:G$55,4,0)</f>
        <v>35.25</v>
      </c>
      <c r="BB20">
        <f>VLOOKUP(A20,IBM!A$2:G$55,4,0)</f>
        <v>193.65</v>
      </c>
      <c r="BC20">
        <f>VLOOKUP(A20,INTC!A$2:G$55,4,0)</f>
        <v>33.880000000000003</v>
      </c>
      <c r="BD20">
        <f>VLOOKUP(A20,JNJ!A$2:G$55,4,0)</f>
        <v>101.66</v>
      </c>
      <c r="BE20">
        <f>VLOOKUP(A20,JPM!A$2:G$55,4,0)</f>
        <v>58.67</v>
      </c>
      <c r="BF20">
        <f>VLOOKUP(A20,KO!A$2:G$55,4,0)</f>
        <v>40.61</v>
      </c>
      <c r="BG20">
        <f>VLOOKUP(A20,LLY!A$2:G$55,4,0)</f>
        <v>62.87</v>
      </c>
      <c r="BH20">
        <f>VLOOKUP(A20,LMT!A$2:G$55,4,0)</f>
        <v>168.3</v>
      </c>
      <c r="BI20">
        <f>VLOOKUP(A20,LOW!A$2:G$55,4,0)</f>
        <v>47.35</v>
      </c>
      <c r="BJ20">
        <f>VLOOKUP(A20,MA!A$2:G$55,4,0)</f>
        <v>75.52</v>
      </c>
      <c r="BK20">
        <f>VLOOKUP(A20,MCD!A$2:G$55,4,0)</f>
        <v>95.39</v>
      </c>
      <c r="BL20">
        <f>VLOOKUP(A20,MDLZ!A$2:G$55,4,0)</f>
        <v>37.99</v>
      </c>
      <c r="BM20">
        <f>VLOOKUP(A20,MDT!A$2:G$55,4,0)</f>
        <v>62.38</v>
      </c>
      <c r="BN20">
        <f>VLOOKUP(A20,MET!A$2:G$55,4,0)</f>
        <v>53.91</v>
      </c>
      <c r="BO20">
        <f>VLOOKUP(A20,MMM!A$2:G$55,4,0)</f>
        <v>143.78</v>
      </c>
      <c r="BP20">
        <f>VLOOKUP(A20,MO!A$2:G$55,4,0)</f>
        <v>41.37</v>
      </c>
      <c r="BQ20">
        <f>VLOOKUP(A20,MON!A$2:G$55,4,0)</f>
        <v>114.71</v>
      </c>
      <c r="BR20">
        <f>VLOOKUP(A20,MRK!A$2:G$55,4,0)</f>
        <v>57.85</v>
      </c>
      <c r="BS20">
        <f>VLOOKUP(A20,MS!A$2:G$55,4,0)</f>
        <v>32.869999999999997</v>
      </c>
      <c r="BT20">
        <f>VLOOKUP(A20,MSFT!A$2:G$55,4,0)</f>
        <v>43.93</v>
      </c>
      <c r="BU20">
        <f>VLOOKUP(A20,NKE!A$2:G$55,4,0)</f>
        <v>77.52</v>
      </c>
      <c r="BV20">
        <f>VLOOKUP(A20,NOV!A$2:G$55,4,0)</f>
        <v>83.79</v>
      </c>
      <c r="BW20">
        <f>VLOOKUP(A20,NSC!A$2:G$55,4,0)</f>
        <v>105.02</v>
      </c>
      <c r="BX20">
        <f>VLOOKUP(A20,ORCL!A$2:G$55,4,0)</f>
        <v>40.229999999999997</v>
      </c>
      <c r="BY20">
        <f>VLOOKUP(A20,OXY!A$2:G$55,4,0)</f>
        <v>99.5</v>
      </c>
      <c r="BZ20">
        <f>VLOOKUP(A20,PEP!A$2:G$55,4,0)</f>
        <v>90.64</v>
      </c>
      <c r="CA20">
        <f>VLOOKUP(A20,PFE!A$2:G$55,4,0)</f>
        <v>29.78</v>
      </c>
      <c r="CB20">
        <f>VLOOKUP(A20,PG!A$2:G$55,4,0)</f>
        <v>78.849999999999994</v>
      </c>
      <c r="CC20">
        <f>VLOOKUP(A20,PM!A$2:G$55,4,0)</f>
        <v>84.1</v>
      </c>
      <c r="CD20">
        <f>VLOOKUP(A20,QCOM!A$2:G$55,4,0)</f>
        <v>75.53</v>
      </c>
      <c r="CE20">
        <f>VLOOKUP(A20,RTN!A$2:G$55,4,0)</f>
        <v>91.56</v>
      </c>
      <c r="CF20">
        <f>VLOOKUP(A20,SBUX!A$2:G$55,4,0)</f>
        <v>78.17</v>
      </c>
      <c r="CG20">
        <f>VLOOKUP(A20,SLB!A$2:G$55,4,0)</f>
        <v>110.9</v>
      </c>
      <c r="CH20">
        <f>VLOOKUP(A20,SO!A$2:G$55,4,0)</f>
        <v>44.62</v>
      </c>
      <c r="CI20">
        <f>VLOOKUP(A20,SPG!A$2:G$55,4,0)</f>
        <v>168.81</v>
      </c>
      <c r="CJ20">
        <f>VLOOKUP(A20,T!A$2:G$55,4,0)</f>
        <v>35.5</v>
      </c>
      <c r="CK20">
        <f>VLOOKUP(A20,TGT!A$2:G$55,4,0)</f>
        <v>59.99</v>
      </c>
      <c r="CL20">
        <f>VLOOKUP(A20,TWX!A$2:G$55,4,0)</f>
        <v>84.52</v>
      </c>
      <c r="CM20">
        <f>VLOOKUP(A20,TXN!A$2:G$55,4,0)</f>
        <v>46.38</v>
      </c>
      <c r="CN20">
        <f>VLOOKUP(A20,UNH!A$2:G$55,4,0)</f>
        <v>84.6</v>
      </c>
      <c r="CO20">
        <f>VLOOKUP(A20,UNP!A$2:G$55,4,0)</f>
        <v>100.32</v>
      </c>
      <c r="CP20">
        <f>VLOOKUP(A20,UPS!A$2:G$55,4,0)</f>
        <v>102</v>
      </c>
      <c r="CQ20">
        <f>VLOOKUP(A20,USB!A$2:G$55,4,0)</f>
        <v>42.31</v>
      </c>
      <c r="CR20">
        <f>VLOOKUP(A20,UTX!A$2:G$55,4,0)</f>
        <v>108.08</v>
      </c>
      <c r="CS20">
        <f>VLOOKUP(A20,V!A$2:G$55,4,0)</f>
        <v>213.12</v>
      </c>
      <c r="CT20">
        <f>VLOOKUP(A20,VZ!A$2:G$55,4,0)</f>
        <v>51.18</v>
      </c>
      <c r="CU20">
        <f>VLOOKUP(A20,WAG!A$2:G$55,4,0)</f>
        <v>71.39</v>
      </c>
      <c r="CV20">
        <f>VLOOKUP(A20,WFC!A$2:G$55,4,0)</f>
        <v>51.17</v>
      </c>
      <c r="CW20">
        <f>VLOOKUP(A20,WMT!A$2:G$55,4,0)</f>
        <v>75.36</v>
      </c>
    </row>
    <row r="21" spans="1:101" x14ac:dyDescent="0.25">
      <c r="A21" s="34">
        <v>41849</v>
      </c>
      <c r="B21" s="36">
        <v>98.25</v>
      </c>
      <c r="C21">
        <f>VLOOKUP(A21,ABBV!A$2:G$55,4,0)</f>
        <v>53.24</v>
      </c>
      <c r="D21">
        <f>VLOOKUP(A21,ABT!A$2:G$55,4,0)</f>
        <v>42.55</v>
      </c>
      <c r="E21">
        <f>VLOOKUP(A21,ACN!A$2:G$55,4,0)</f>
        <v>80.459999999999994</v>
      </c>
      <c r="F21">
        <f>VLOOKUP(A21,AIG!A$2:G$55,4,0)</f>
        <v>53.31</v>
      </c>
      <c r="G21">
        <f>VLOOKUP(A21,ALL!A$2:G$55,4,0)</f>
        <v>57.03</v>
      </c>
      <c r="H21">
        <f>VLOOKUP(A21,AMGN!A$2:G$55,4,0)</f>
        <v>122.25</v>
      </c>
      <c r="I21">
        <f>VLOOKUP(A21,AMZN!A$2:G$55,4,0)</f>
        <v>319.5</v>
      </c>
      <c r="J21">
        <f>VLOOKUP(A21,APA!A$2:G$55,4,0)</f>
        <v>100.71</v>
      </c>
      <c r="K21">
        <f>VLOOKUP(A21,APC!A$2:G$55,4,0)</f>
        <v>107.25</v>
      </c>
      <c r="L21">
        <f>VLOOKUP(A21,AXP!A$2:G$55,4,0)</f>
        <v>91.51</v>
      </c>
      <c r="M21">
        <f>VLOOKUP(A21,BA!A$2:G$55,4,0)</f>
        <v>122.2</v>
      </c>
      <c r="N21">
        <f>VLOOKUP(A21,BAC!A$2:G$55,4,0)</f>
        <v>15.34</v>
      </c>
      <c r="O21">
        <f>VLOOKUP(A21,BAX!A$2:G$55,4,0)</f>
        <v>76.33</v>
      </c>
      <c r="P21">
        <f>VLOOKUP(A21,BIIB!A$2:G$55,4,0)</f>
        <v>335.7</v>
      </c>
      <c r="Q21">
        <f>VLOOKUP(A21,BK!A$2:G$55,4,0)</f>
        <v>39.19</v>
      </c>
      <c r="R21">
        <f>VLOOKUP(A21,BMY!A$2:G$55,4,0)</f>
        <v>49.83</v>
      </c>
      <c r="T21">
        <f>VLOOKUP(A21,'C'!A$2:G$55,4,0)</f>
        <v>49.42</v>
      </c>
      <c r="U21">
        <f>VLOOKUP(A21,CAT!A$2:G$55,4,0)</f>
        <v>104.69</v>
      </c>
      <c r="V21">
        <f>VLOOKUP(A21,CL!A$2:G$55,4,0)</f>
        <v>66.260000000000005</v>
      </c>
      <c r="W21">
        <f>VLOOKUP(A21,CMCSA!A$2:G$55,4,0)</f>
        <v>54.94</v>
      </c>
      <c r="X21">
        <f>VLOOKUP(A21,COF!A$2:G$55,4,0)</f>
        <v>81.180000000000007</v>
      </c>
      <c r="Y21">
        <f>VLOOKUP(A21,COP!A$2:G$55,4,0)</f>
        <v>84.7</v>
      </c>
      <c r="Z21">
        <f>VLOOKUP(A21,COST!A$2:G$55,4,0)</f>
        <v>118.53</v>
      </c>
      <c r="AA21">
        <f>VLOOKUP(A21,CSCO!A$2:G$55,4,0)</f>
        <v>25.69</v>
      </c>
      <c r="AB21">
        <f>VLOOKUP(A21,CVS!A$2:G$55,4,0)</f>
        <v>77.81</v>
      </c>
      <c r="AC21">
        <f>VLOOKUP(A21,CVX!A$2:G$55,4,0)</f>
        <v>132.41999999999999</v>
      </c>
      <c r="AD21">
        <f>VLOOKUP(A21,DD!A$2:G$55,4,0)</f>
        <v>65.37</v>
      </c>
      <c r="AE21">
        <f>VLOOKUP(A21,DIS!A$2:G$55,4,0)</f>
        <v>86.16</v>
      </c>
      <c r="AF21">
        <f>VLOOKUP(A21,DOW!A$2:G$55,4,0)</f>
        <v>53.44</v>
      </c>
      <c r="AG21">
        <f>VLOOKUP(A21,DVN!A$2:G$55,4,0)</f>
        <v>77.290000000000006</v>
      </c>
      <c r="AH21">
        <f>VLOOKUP(A21,EBAY!A$2:G$55,4,0)</f>
        <v>52.75</v>
      </c>
      <c r="AI21">
        <f>VLOOKUP(A21,EMC!A$2:G$55,4,0)</f>
        <v>29.34</v>
      </c>
      <c r="AJ21">
        <f>VLOOKUP(A21,EMR!A$2:G$55,4,0)</f>
        <v>66.099999999999994</v>
      </c>
      <c r="AK21">
        <f>VLOOKUP(A21,EXC!A$2:G$55,4,0)</f>
        <v>31.43</v>
      </c>
      <c r="AL21">
        <f>VLOOKUP(A21,F!A$2:G$55,4,0)</f>
        <v>17.54</v>
      </c>
      <c r="AM21">
        <f>VLOOKUP(A21,FB!A$2:G$55,4,0)</f>
        <v>73.42</v>
      </c>
      <c r="AN21">
        <f>VLOOKUP(A21,FCX!A$2:G$55,4,0)</f>
        <v>37.880000000000003</v>
      </c>
      <c r="AO21">
        <f>VLOOKUP(A21,FDX!A$2:G$55,4,0)</f>
        <v>147.04</v>
      </c>
      <c r="AP21">
        <f>VLOOKUP(A21,FOXA!A$2:G$55,4,0)</f>
        <v>32.15</v>
      </c>
      <c r="AQ21">
        <f>VLOOKUP(A21,GD!A$2:G$55,4,0)</f>
        <v>119.18</v>
      </c>
      <c r="AR21">
        <f>VLOOKUP(A21,GE!A$2:G$55,4,0)</f>
        <v>25.45</v>
      </c>
      <c r="AS21">
        <f>VLOOKUP(A21,GILD!A$2:G$55,4,0)</f>
        <v>91.6</v>
      </c>
      <c r="AT21">
        <f>VLOOKUP(A21,GM!A$2:G$55,4,0)</f>
        <v>34.43</v>
      </c>
      <c r="AU21">
        <f>VLOOKUP(A21,GOOG!A$2:G$55,4,0)</f>
        <v>583.52</v>
      </c>
      <c r="AV21">
        <f>VLOOKUP(A21,GOOGL!A$2:G$55,4,0)</f>
        <v>592.16999999999996</v>
      </c>
      <c r="AW21">
        <f>VLOOKUP(A21,GS!A$2:G$55,4,0)</f>
        <v>175.45</v>
      </c>
      <c r="AX21">
        <f>VLOOKUP(A21,HAL!A$2:G$55,4,0)</f>
        <v>71.209999999999994</v>
      </c>
      <c r="AY21">
        <f>VLOOKUP(A21,HD!A$2:G$55,4,0)</f>
        <v>80.89</v>
      </c>
      <c r="AZ21">
        <f>VLOOKUP(A21,HON!A$2:G$55,4,0)</f>
        <v>93.69</v>
      </c>
      <c r="BA21">
        <f>VLOOKUP(A21,HPQ!A$2:G$55,4,0)</f>
        <v>35.6</v>
      </c>
      <c r="BB21">
        <f>VLOOKUP(A21,IBM!A$2:G$55,4,0)</f>
        <v>194.54</v>
      </c>
      <c r="BC21">
        <f>VLOOKUP(A21,INTC!A$2:G$55,4,0)</f>
        <v>34.090000000000003</v>
      </c>
      <c r="BD21">
        <f>VLOOKUP(A21,JNJ!A$2:G$55,4,0)</f>
        <v>101.69</v>
      </c>
      <c r="BE21">
        <f>VLOOKUP(A21,JPM!A$2:G$55,4,0)</f>
        <v>58.44</v>
      </c>
      <c r="BF21">
        <f>VLOOKUP(A21,KO!A$2:G$55,4,0)</f>
        <v>40.35</v>
      </c>
      <c r="BG21">
        <f>VLOOKUP(A21,LLY!A$2:G$55,4,0)</f>
        <v>62.61</v>
      </c>
      <c r="BH21">
        <f>VLOOKUP(A21,LMT!A$2:G$55,4,0)</f>
        <v>169.24</v>
      </c>
      <c r="BI21">
        <f>VLOOKUP(A21,LOW!A$2:G$55,4,0)</f>
        <v>47.7</v>
      </c>
      <c r="BJ21">
        <f>VLOOKUP(A21,MA!A$2:G$55,4,0)</f>
        <v>75.650000000000006</v>
      </c>
      <c r="BK21">
        <f>VLOOKUP(A21,MCD!A$2:G$55,4,0)</f>
        <v>95.71</v>
      </c>
      <c r="BL21">
        <f>VLOOKUP(A21,MDLZ!A$2:G$55,4,0)</f>
        <v>37.979999999999997</v>
      </c>
      <c r="BM21">
        <f>VLOOKUP(A21,MDT!A$2:G$55,4,0)</f>
        <v>62.2</v>
      </c>
      <c r="BN21">
        <f>VLOOKUP(A21,MET!A$2:G$55,4,0)</f>
        <v>54.03</v>
      </c>
      <c r="BO21">
        <f>VLOOKUP(A21,MMM!A$2:G$55,4,0)</f>
        <v>143.99</v>
      </c>
      <c r="BP21">
        <f>VLOOKUP(A21,MO!A$2:G$55,4,0)</f>
        <v>41.47</v>
      </c>
      <c r="BQ21">
        <f>VLOOKUP(A21,MON!A$2:G$55,4,0)</f>
        <v>113.93</v>
      </c>
      <c r="BR21">
        <f>VLOOKUP(A21,MRK!A$2:G$55,4,0)</f>
        <v>58.14</v>
      </c>
      <c r="BS21">
        <f>VLOOKUP(A21,MS!A$2:G$55,4,0)</f>
        <v>32.65</v>
      </c>
      <c r="BT21">
        <f>VLOOKUP(A21,MSFT!A$2:G$55,4,0)</f>
        <v>43.64</v>
      </c>
      <c r="BU21">
        <f>VLOOKUP(A21,NKE!A$2:G$55,4,0)</f>
        <v>78.099999999999994</v>
      </c>
      <c r="BV21">
        <f>VLOOKUP(A21,NOV!A$2:G$55,4,0)</f>
        <v>82.92</v>
      </c>
      <c r="BW21">
        <f>VLOOKUP(A21,NSC!A$2:G$55,4,0)</f>
        <v>103.44</v>
      </c>
      <c r="BX21">
        <f>VLOOKUP(A21,ORCL!A$2:G$55,4,0)</f>
        <v>40.5</v>
      </c>
      <c r="BY21">
        <f>VLOOKUP(A21,OXY!A$2:G$55,4,0)</f>
        <v>99.26</v>
      </c>
      <c r="BZ21">
        <f>VLOOKUP(A21,PEP!A$2:G$55,4,0)</f>
        <v>90.14</v>
      </c>
      <c r="CA21">
        <f>VLOOKUP(A21,PFE!A$2:G$55,4,0)</f>
        <v>29.69</v>
      </c>
      <c r="CB21">
        <f>VLOOKUP(A21,PG!A$2:G$55,4,0)</f>
        <v>78.650000000000006</v>
      </c>
      <c r="CC21">
        <f>VLOOKUP(A21,PM!A$2:G$55,4,0)</f>
        <v>84.5</v>
      </c>
      <c r="CD21">
        <f>VLOOKUP(A21,QCOM!A$2:G$55,4,0)</f>
        <v>75.260000000000005</v>
      </c>
      <c r="CE21">
        <f>VLOOKUP(A21,RTN!A$2:G$55,4,0)</f>
        <v>92.49</v>
      </c>
      <c r="CF21">
        <f>VLOOKUP(A21,SBUX!A$2:G$55,4,0)</f>
        <v>78.41</v>
      </c>
      <c r="CG21">
        <f>VLOOKUP(A21,SLB!A$2:G$55,4,0)</f>
        <v>111.12</v>
      </c>
      <c r="CH21">
        <f>VLOOKUP(A21,SO!A$2:G$55,4,0)</f>
        <v>44.67</v>
      </c>
      <c r="CI21">
        <f>VLOOKUP(A21,SPG!A$2:G$55,4,0)</f>
        <v>169.63</v>
      </c>
      <c r="CJ21">
        <f>VLOOKUP(A21,T!A$2:G$55,4,0)</f>
        <v>36.46</v>
      </c>
      <c r="CK21">
        <f>VLOOKUP(A21,TGT!A$2:G$55,4,0)</f>
        <v>60.3</v>
      </c>
      <c r="CL21">
        <f>VLOOKUP(A21,TWX!A$2:G$55,4,0)</f>
        <v>83.79</v>
      </c>
      <c r="CM21">
        <f>VLOOKUP(A21,TXN!A$2:G$55,4,0)</f>
        <v>46.77</v>
      </c>
      <c r="CN21">
        <f>VLOOKUP(A21,UNH!A$2:G$55,4,0)</f>
        <v>83.99</v>
      </c>
      <c r="CO21">
        <f>VLOOKUP(A21,UNP!A$2:G$55,4,0)</f>
        <v>99.54</v>
      </c>
      <c r="CP21">
        <f>VLOOKUP(A21,UPS!A$2:G$55,4,0)</f>
        <v>98.85</v>
      </c>
      <c r="CQ21">
        <f>VLOOKUP(A21,USB!A$2:G$55,4,0)</f>
        <v>42.43</v>
      </c>
      <c r="CR21">
        <f>VLOOKUP(A21,UTX!A$2:G$55,4,0)</f>
        <v>107.21</v>
      </c>
      <c r="CS21">
        <f>VLOOKUP(A21,V!A$2:G$55,4,0)</f>
        <v>213.33</v>
      </c>
      <c r="CT21">
        <f>VLOOKUP(A21,VZ!A$2:G$55,4,0)</f>
        <v>51.88</v>
      </c>
      <c r="CU21">
        <f>VLOOKUP(A21,WAG!A$2:G$55,4,0)</f>
        <v>70.150000000000006</v>
      </c>
      <c r="CV21">
        <f>VLOOKUP(A21,WFC!A$2:G$55,4,0)</f>
        <v>51.48</v>
      </c>
      <c r="CW21">
        <f>VLOOKUP(A21,WMT!A$2:G$55,4,0)</f>
        <v>75.150000000000006</v>
      </c>
    </row>
    <row r="22" spans="1:101" x14ac:dyDescent="0.25">
      <c r="A22" s="34">
        <v>41850</v>
      </c>
      <c r="B22" s="36">
        <v>97.67</v>
      </c>
      <c r="C22">
        <f>VLOOKUP(A22,ABBV!A$2:G$55,4,0)</f>
        <v>53.03</v>
      </c>
      <c r="D22">
        <f>VLOOKUP(A22,ABT!A$2:G$55,4,0)</f>
        <v>42.66</v>
      </c>
      <c r="E22">
        <f>VLOOKUP(A22,ACN!A$2:G$55,4,0)</f>
        <v>80.150000000000006</v>
      </c>
      <c r="F22">
        <f>VLOOKUP(A22,AIG!A$2:G$55,4,0)</f>
        <v>52.95</v>
      </c>
      <c r="G22">
        <f>VLOOKUP(A22,ALL!A$2:G$55,4,0)</f>
        <v>56.63</v>
      </c>
      <c r="H22">
        <f>VLOOKUP(A22,AMGN!A$2:G$55,4,0)</f>
        <v>128.63</v>
      </c>
      <c r="I22">
        <f>VLOOKUP(A22,AMZN!A$2:G$55,4,0)</f>
        <v>318.5</v>
      </c>
      <c r="J22">
        <f>VLOOKUP(A22,APA!A$2:G$55,4,0)</f>
        <v>100.75</v>
      </c>
      <c r="K22">
        <f>VLOOKUP(A22,APC!A$2:G$55,4,0)</f>
        <v>108.76</v>
      </c>
      <c r="L22">
        <f>VLOOKUP(A22,AXP!A$2:G$55,4,0)</f>
        <v>90.04</v>
      </c>
      <c r="M22">
        <f>VLOOKUP(A22,BA!A$2:G$55,4,0)</f>
        <v>121.76</v>
      </c>
      <c r="N22">
        <f>VLOOKUP(A22,BAC!A$2:G$55,4,0)</f>
        <v>15.31</v>
      </c>
      <c r="O22">
        <f>VLOOKUP(A22,BAX!A$2:G$55,4,0)</f>
        <v>75.55</v>
      </c>
      <c r="P22">
        <f>VLOOKUP(A22,BIIB!A$2:G$55,4,0)</f>
        <v>343.02</v>
      </c>
      <c r="Q22">
        <f>VLOOKUP(A22,BK!A$2:G$55,4,0)</f>
        <v>39.43</v>
      </c>
      <c r="R22">
        <f>VLOOKUP(A22,BMY!A$2:G$55,4,0)</f>
        <v>50.68</v>
      </c>
      <c r="T22">
        <f>VLOOKUP(A22,'C'!A$2:G$55,4,0)</f>
        <v>49.63</v>
      </c>
      <c r="U22">
        <f>VLOOKUP(A22,CAT!A$2:G$55,4,0)</f>
        <v>103.03</v>
      </c>
      <c r="V22">
        <f>VLOOKUP(A22,CL!A$2:G$55,4,0)</f>
        <v>66.02</v>
      </c>
      <c r="W22">
        <f>VLOOKUP(A22,CMCSA!A$2:G$55,4,0)</f>
        <v>54.92</v>
      </c>
      <c r="X22">
        <f>VLOOKUP(A22,COF!A$2:G$55,4,0)</f>
        <v>81.02</v>
      </c>
      <c r="Y22">
        <f>VLOOKUP(A22,COP!A$2:G$55,4,0)</f>
        <v>84.11</v>
      </c>
      <c r="Z22">
        <f>VLOOKUP(A22,COST!A$2:G$55,4,0)</f>
        <v>117.44</v>
      </c>
      <c r="AA22">
        <f>VLOOKUP(A22,CSCO!A$2:G$55,4,0)</f>
        <v>25.47</v>
      </c>
      <c r="AB22">
        <f>VLOOKUP(A22,CVS!A$2:G$55,4,0)</f>
        <v>77.430000000000007</v>
      </c>
      <c r="AC22">
        <f>VLOOKUP(A22,CVX!A$2:G$55,4,0)</f>
        <v>131.5</v>
      </c>
      <c r="AD22">
        <f>VLOOKUP(A22,DD!A$2:G$55,4,0)</f>
        <v>65.239999999999995</v>
      </c>
      <c r="AE22">
        <f>VLOOKUP(A22,DIS!A$2:G$55,4,0)</f>
        <v>86.09</v>
      </c>
      <c r="AF22">
        <f>VLOOKUP(A22,DOW!A$2:G$55,4,0)</f>
        <v>52.26</v>
      </c>
      <c r="AG22">
        <f>VLOOKUP(A22,DVN!A$2:G$55,4,0)</f>
        <v>77.16</v>
      </c>
      <c r="AH22">
        <f>VLOOKUP(A22,EBAY!A$2:G$55,4,0)</f>
        <v>52.76</v>
      </c>
      <c r="AI22">
        <f>VLOOKUP(A22,EMC!A$2:G$55,4,0)</f>
        <v>28.63</v>
      </c>
      <c r="AJ22">
        <f>VLOOKUP(A22,EMR!A$2:G$55,4,0)</f>
        <v>64.790000000000006</v>
      </c>
      <c r="AK22">
        <f>VLOOKUP(A22,EXC!A$2:G$55,4,0)</f>
        <v>30.85</v>
      </c>
      <c r="AL22">
        <f>VLOOKUP(A22,F!A$2:G$55,4,0)</f>
        <v>17.32</v>
      </c>
      <c r="AM22">
        <f>VLOOKUP(A22,FB!A$2:G$55,4,0)</f>
        <v>74.13</v>
      </c>
      <c r="AN22">
        <f>VLOOKUP(A22,FCX!A$2:G$55,4,0)</f>
        <v>37.67</v>
      </c>
      <c r="AO22">
        <f>VLOOKUP(A22,FDX!A$2:G$55,4,0)</f>
        <v>147.36000000000001</v>
      </c>
      <c r="AP22">
        <f>VLOOKUP(A22,FOXA!A$2:G$55,4,0)</f>
        <v>31.94</v>
      </c>
      <c r="AQ22">
        <f>VLOOKUP(A22,GD!A$2:G$55,4,0)</f>
        <v>118.55</v>
      </c>
      <c r="AR22">
        <f>VLOOKUP(A22,GE!A$2:G$55,4,0)</f>
        <v>25.4</v>
      </c>
      <c r="AS22">
        <f>VLOOKUP(A22,GILD!A$2:G$55,4,0)</f>
        <v>93.56</v>
      </c>
      <c r="AT22">
        <f>VLOOKUP(A22,GM!A$2:G$55,4,0)</f>
        <v>34.01</v>
      </c>
      <c r="AU22">
        <f>VLOOKUP(A22,GOOG!A$2:G$55,4,0)</f>
        <v>584</v>
      </c>
      <c r="AV22">
        <f>VLOOKUP(A22,GOOGL!A$2:G$55,4,0)</f>
        <v>592.70000000000005</v>
      </c>
      <c r="AW22">
        <f>VLOOKUP(A22,GS!A$2:G$55,4,0)</f>
        <v>175.36</v>
      </c>
      <c r="AX22">
        <f>VLOOKUP(A22,HAL!A$2:G$55,4,0)</f>
        <v>70.650000000000006</v>
      </c>
      <c r="AY22">
        <f>VLOOKUP(A22,HD!A$2:G$55,4,0)</f>
        <v>81.069999999999993</v>
      </c>
      <c r="AZ22">
        <f>VLOOKUP(A22,HON!A$2:G$55,4,0)</f>
        <v>93.34</v>
      </c>
      <c r="BA22">
        <f>VLOOKUP(A22,HPQ!A$2:G$55,4,0)</f>
        <v>35.840000000000003</v>
      </c>
      <c r="BB22">
        <f>VLOOKUP(A22,IBM!A$2:G$55,4,0)</f>
        <v>192.9</v>
      </c>
      <c r="BC22">
        <f>VLOOKUP(A22,INTC!A$2:G$55,4,0)</f>
        <v>34.04</v>
      </c>
      <c r="BD22">
        <f>VLOOKUP(A22,JNJ!A$2:G$55,4,0)</f>
        <v>101.81</v>
      </c>
      <c r="BE22">
        <f>VLOOKUP(A22,JPM!A$2:G$55,4,0)</f>
        <v>58.61</v>
      </c>
      <c r="BF22">
        <f>VLOOKUP(A22,KO!A$2:G$55,4,0)</f>
        <v>39.61</v>
      </c>
      <c r="BG22">
        <f>VLOOKUP(A22,LLY!A$2:G$55,4,0)</f>
        <v>62.27</v>
      </c>
      <c r="BH22">
        <f>VLOOKUP(A22,LMT!A$2:G$55,4,0)</f>
        <v>168.84</v>
      </c>
      <c r="BI22">
        <f>VLOOKUP(A22,LOW!A$2:G$55,4,0)</f>
        <v>48.06</v>
      </c>
      <c r="BJ22">
        <f>VLOOKUP(A22,MA!A$2:G$55,4,0)</f>
        <v>75.45</v>
      </c>
      <c r="BK22">
        <f>VLOOKUP(A22,MCD!A$2:G$55,4,0)</f>
        <v>95.57</v>
      </c>
      <c r="BL22">
        <f>VLOOKUP(A22,MDLZ!A$2:G$55,4,0)</f>
        <v>36.96</v>
      </c>
      <c r="BM22">
        <f>VLOOKUP(A22,MDT!A$2:G$55,4,0)</f>
        <v>62.24</v>
      </c>
      <c r="BN22">
        <f>VLOOKUP(A22,MET!A$2:G$55,4,0)</f>
        <v>54.06</v>
      </c>
      <c r="BO22">
        <f>VLOOKUP(A22,MMM!A$2:G$55,4,0)</f>
        <v>143.52000000000001</v>
      </c>
      <c r="BP22">
        <f>VLOOKUP(A22,MO!A$2:G$55,4,0)</f>
        <v>41.06</v>
      </c>
      <c r="BQ22">
        <f>VLOOKUP(A22,MON!A$2:G$55,4,0)</f>
        <v>114.3</v>
      </c>
      <c r="BR22">
        <f>VLOOKUP(A22,MRK!A$2:G$55,4,0)</f>
        <v>57.61</v>
      </c>
      <c r="BS22">
        <f>VLOOKUP(A22,MS!A$2:G$55,4,0)</f>
        <v>32.75</v>
      </c>
      <c r="BT22">
        <f>VLOOKUP(A22,MSFT!A$2:G$55,4,0)</f>
        <v>43.29</v>
      </c>
      <c r="BU22">
        <f>VLOOKUP(A22,NKE!A$2:G$55,4,0)</f>
        <v>78.28</v>
      </c>
      <c r="BV22">
        <f>VLOOKUP(A22,NOV!A$2:G$55,4,0)</f>
        <v>81.73</v>
      </c>
      <c r="BW22">
        <f>VLOOKUP(A22,NSC!A$2:G$55,4,0)</f>
        <v>103.18</v>
      </c>
      <c r="BX22">
        <f>VLOOKUP(A22,ORCL!A$2:G$55,4,0)</f>
        <v>40.58</v>
      </c>
      <c r="BY22">
        <f>VLOOKUP(A22,OXY!A$2:G$55,4,0)</f>
        <v>98.08</v>
      </c>
      <c r="BZ22">
        <f>VLOOKUP(A22,PEP!A$2:G$55,4,0)</f>
        <v>88.72</v>
      </c>
      <c r="CA22">
        <f>VLOOKUP(A22,PFE!A$2:G$55,4,0)</f>
        <v>29.03</v>
      </c>
      <c r="CB22">
        <f>VLOOKUP(A22,PG!A$2:G$55,4,0)</f>
        <v>78.14</v>
      </c>
      <c r="CC22">
        <f>VLOOKUP(A22,PM!A$2:G$55,4,0)</f>
        <v>83.14</v>
      </c>
      <c r="CD22">
        <f>VLOOKUP(A22,QCOM!A$2:G$55,4,0)</f>
        <v>75.150000000000006</v>
      </c>
      <c r="CE22">
        <f>VLOOKUP(A22,RTN!A$2:G$55,4,0)</f>
        <v>92.06</v>
      </c>
      <c r="CF22">
        <f>VLOOKUP(A22,SBUX!A$2:G$55,4,0)</f>
        <v>78.52</v>
      </c>
      <c r="CG22">
        <f>VLOOKUP(A22,SLB!A$2:G$55,4,0)</f>
        <v>109.86</v>
      </c>
      <c r="CH22">
        <f>VLOOKUP(A22,SO!A$2:G$55,4,0)</f>
        <v>44.01</v>
      </c>
      <c r="CI22">
        <f>VLOOKUP(A22,SPG!A$2:G$55,4,0)</f>
        <v>169</v>
      </c>
      <c r="CJ22">
        <f>VLOOKUP(A22,T!A$2:G$55,4,0)</f>
        <v>36.07</v>
      </c>
      <c r="CK22">
        <f>VLOOKUP(A22,TGT!A$2:G$55,4,0)</f>
        <v>61.14</v>
      </c>
      <c r="CL22">
        <f>VLOOKUP(A22,TWX!A$2:G$55,4,0)</f>
        <v>83.94</v>
      </c>
      <c r="CM22">
        <f>VLOOKUP(A22,TXN!A$2:G$55,4,0)</f>
        <v>46.76</v>
      </c>
      <c r="CN22">
        <f>VLOOKUP(A22,UNH!A$2:G$55,4,0)</f>
        <v>81.72</v>
      </c>
      <c r="CO22">
        <f>VLOOKUP(A22,UNP!A$2:G$55,4,0)</f>
        <v>98.96</v>
      </c>
      <c r="CP22">
        <f>VLOOKUP(A22,UPS!A$2:G$55,4,0)</f>
        <v>98.19</v>
      </c>
      <c r="CQ22">
        <f>VLOOKUP(A22,USB!A$2:G$55,4,0)</f>
        <v>42.66</v>
      </c>
      <c r="CR22">
        <f>VLOOKUP(A22,UTX!A$2:G$55,4,0)</f>
        <v>106.07</v>
      </c>
      <c r="CS22">
        <f>VLOOKUP(A22,V!A$2:G$55,4,0)</f>
        <v>213.45</v>
      </c>
      <c r="CT22">
        <f>VLOOKUP(A22,VZ!A$2:G$55,4,0)</f>
        <v>51.42</v>
      </c>
      <c r="CU22">
        <f>VLOOKUP(A22,WAG!A$2:G$55,4,0)</f>
        <v>70.099999999999994</v>
      </c>
      <c r="CV22">
        <f>VLOOKUP(A22,WFC!A$2:G$55,4,0)</f>
        <v>51.69</v>
      </c>
      <c r="CW22">
        <f>VLOOKUP(A22,WMT!A$2:G$55,4,0)</f>
        <v>74.67</v>
      </c>
    </row>
    <row r="23" spans="1:101" x14ac:dyDescent="0.25">
      <c r="A23" s="34">
        <v>41851</v>
      </c>
      <c r="B23" s="36">
        <v>95.33</v>
      </c>
      <c r="C23">
        <f>VLOOKUP(A23,ABBV!A$2:G$55,4,0)</f>
        <v>52.3</v>
      </c>
      <c r="D23">
        <f>VLOOKUP(A23,ABT!A$2:G$55,4,0)</f>
        <v>42.08</v>
      </c>
      <c r="E23">
        <f>VLOOKUP(A23,ACN!A$2:G$55,4,0)</f>
        <v>79.22</v>
      </c>
      <c r="F23">
        <f>VLOOKUP(A23,AIG!A$2:G$55,4,0)</f>
        <v>51.9</v>
      </c>
      <c r="G23">
        <f>VLOOKUP(A23,ALL!A$2:G$55,4,0)</f>
        <v>57.2</v>
      </c>
      <c r="H23">
        <f>VLOOKUP(A23,AMGN!A$2:G$55,4,0)</f>
        <v>127.04</v>
      </c>
      <c r="I23">
        <f>VLOOKUP(A23,AMZN!A$2:G$55,4,0)</f>
        <v>311.86</v>
      </c>
      <c r="J23">
        <f>VLOOKUP(A23,APA!A$2:G$55,4,0)</f>
        <v>101.9</v>
      </c>
      <c r="K23">
        <f>VLOOKUP(A23,APC!A$2:G$55,4,0)</f>
        <v>106</v>
      </c>
      <c r="L23">
        <f>VLOOKUP(A23,AXP!A$2:G$55,4,0)</f>
        <v>87.99</v>
      </c>
      <c r="M23">
        <f>VLOOKUP(A23,BA!A$2:G$55,4,0)</f>
        <v>120.41</v>
      </c>
      <c r="N23">
        <f>VLOOKUP(A23,BAC!A$2:G$55,4,0)</f>
        <v>15.25</v>
      </c>
      <c r="O23">
        <f>VLOOKUP(A23,BAX!A$2:G$55,4,0)</f>
        <v>74.52</v>
      </c>
      <c r="P23">
        <f>VLOOKUP(A23,BIIB!A$2:G$55,4,0)</f>
        <v>333.35</v>
      </c>
      <c r="Q23">
        <f>VLOOKUP(A23,BK!A$2:G$55,4,0)</f>
        <v>39.01</v>
      </c>
      <c r="R23">
        <f>VLOOKUP(A23,BMY!A$2:G$55,4,0)</f>
        <v>50.49</v>
      </c>
      <c r="T23">
        <f>VLOOKUP(A23,'C'!A$2:G$55,4,0)</f>
        <v>48.91</v>
      </c>
      <c r="U23">
        <f>VLOOKUP(A23,CAT!A$2:G$55,4,0)</f>
        <v>100.74</v>
      </c>
      <c r="V23">
        <f>VLOOKUP(A23,CL!A$2:G$55,4,0)</f>
        <v>63.4</v>
      </c>
      <c r="W23">
        <f>VLOOKUP(A23,CMCSA!A$2:G$55,4,0)</f>
        <v>53.63</v>
      </c>
      <c r="X23">
        <f>VLOOKUP(A23,COF!A$2:G$55,4,0)</f>
        <v>79.540000000000006</v>
      </c>
      <c r="Y23">
        <f>VLOOKUP(A23,COP!A$2:G$55,4,0)</f>
        <v>82.37</v>
      </c>
      <c r="Z23">
        <f>VLOOKUP(A23,COST!A$2:G$55,4,0)</f>
        <v>117.28</v>
      </c>
      <c r="AA23">
        <f>VLOOKUP(A23,CSCO!A$2:G$55,4,0)</f>
        <v>25.17</v>
      </c>
      <c r="AB23">
        <f>VLOOKUP(A23,CVS!A$2:G$55,4,0)</f>
        <v>76.36</v>
      </c>
      <c r="AC23">
        <f>VLOOKUP(A23,CVX!A$2:G$55,4,0)</f>
        <v>129.1</v>
      </c>
      <c r="AD23">
        <f>VLOOKUP(A23,DD!A$2:G$55,4,0)</f>
        <v>64.17</v>
      </c>
      <c r="AE23">
        <f>VLOOKUP(A23,DIS!A$2:G$55,4,0)</f>
        <v>85.69</v>
      </c>
      <c r="AF23">
        <f>VLOOKUP(A23,DOW!A$2:G$55,4,0)</f>
        <v>51</v>
      </c>
      <c r="AG23">
        <f>VLOOKUP(A23,DVN!A$2:G$55,4,0)</f>
        <v>75.430000000000007</v>
      </c>
      <c r="AH23">
        <f>VLOOKUP(A23,EBAY!A$2:G$55,4,0)</f>
        <v>52.66</v>
      </c>
      <c r="AI23">
        <f>VLOOKUP(A23,EMC!A$2:G$55,4,0)</f>
        <v>29.3</v>
      </c>
      <c r="AJ23">
        <f>VLOOKUP(A23,EMR!A$2:G$55,4,0)</f>
        <v>63.64</v>
      </c>
      <c r="AK23">
        <f>VLOOKUP(A23,EXC!A$2:G$55,4,0)</f>
        <v>30.8</v>
      </c>
      <c r="AL23">
        <f>VLOOKUP(A23,F!A$2:G$55,4,0)</f>
        <v>17.010000000000002</v>
      </c>
      <c r="AM23">
        <f>VLOOKUP(A23,FB!A$2:G$55,4,0)</f>
        <v>72.44</v>
      </c>
      <c r="AN23">
        <f>VLOOKUP(A23,FCX!A$2:G$55,4,0)</f>
        <v>37.14</v>
      </c>
      <c r="AO23">
        <f>VLOOKUP(A23,FDX!A$2:G$55,4,0)</f>
        <v>146.63999999999999</v>
      </c>
      <c r="AP23">
        <f>VLOOKUP(A23,FOXA!A$2:G$55,4,0)</f>
        <v>31.67</v>
      </c>
      <c r="AQ23">
        <f>VLOOKUP(A23,GD!A$2:G$55,4,0)</f>
        <v>116.45</v>
      </c>
      <c r="AR23">
        <f>VLOOKUP(A23,GE!A$2:G$55,4,0)</f>
        <v>25.15</v>
      </c>
      <c r="AS23">
        <f>VLOOKUP(A23,GILD!A$2:G$55,4,0)</f>
        <v>91.25</v>
      </c>
      <c r="AT23">
        <f>VLOOKUP(A23,GM!A$2:G$55,4,0)</f>
        <v>33.78</v>
      </c>
      <c r="AU23">
        <f>VLOOKUP(A23,GOOG!A$2:G$55,4,0)</f>
        <v>570</v>
      </c>
      <c r="AV23">
        <f>VLOOKUP(A23,GOOGL!A$2:G$55,4,0)</f>
        <v>577.67999999999995</v>
      </c>
      <c r="AW23">
        <f>VLOOKUP(A23,GS!A$2:G$55,4,0)</f>
        <v>172.79</v>
      </c>
      <c r="AX23">
        <f>VLOOKUP(A23,HAL!A$2:G$55,4,0)</f>
        <v>68.510000000000005</v>
      </c>
      <c r="AY23">
        <f>VLOOKUP(A23,HD!A$2:G$55,4,0)</f>
        <v>80.849999999999994</v>
      </c>
      <c r="AZ23">
        <f>VLOOKUP(A23,HON!A$2:G$55,4,0)</f>
        <v>91.83</v>
      </c>
      <c r="BA23">
        <f>VLOOKUP(A23,HPQ!A$2:G$55,4,0)</f>
        <v>35.450000000000003</v>
      </c>
      <c r="BB23">
        <f>VLOOKUP(A23,IBM!A$2:G$55,4,0)</f>
        <v>191.54</v>
      </c>
      <c r="BC23">
        <f>VLOOKUP(A23,INTC!A$2:G$55,4,0)</f>
        <v>33.81</v>
      </c>
      <c r="BD23">
        <f>VLOOKUP(A23,JNJ!A$2:G$55,4,0)</f>
        <v>100.05</v>
      </c>
      <c r="BE23">
        <f>VLOOKUP(A23,JPM!A$2:G$55,4,0)</f>
        <v>57.66</v>
      </c>
      <c r="BF23">
        <f>VLOOKUP(A23,KO!A$2:G$55,4,0)</f>
        <v>39.25</v>
      </c>
      <c r="BG23">
        <f>VLOOKUP(A23,LLY!A$2:G$55,4,0)</f>
        <v>60.94</v>
      </c>
      <c r="BH23">
        <f>VLOOKUP(A23,LMT!A$2:G$55,4,0)</f>
        <v>166.97</v>
      </c>
      <c r="BI23">
        <f>VLOOKUP(A23,LOW!A$2:G$55,4,0)</f>
        <v>47.85</v>
      </c>
      <c r="BJ23">
        <f>VLOOKUP(A23,MA!A$2:G$55,4,0)</f>
        <v>73.81</v>
      </c>
      <c r="BK23">
        <f>VLOOKUP(A23,MCD!A$2:G$55,4,0)</f>
        <v>94.56</v>
      </c>
      <c r="BL23">
        <f>VLOOKUP(A23,MDLZ!A$2:G$55,4,0)</f>
        <v>35.979999999999997</v>
      </c>
      <c r="BM23">
        <f>VLOOKUP(A23,MDT!A$2:G$55,4,0)</f>
        <v>61.57</v>
      </c>
      <c r="BN23">
        <f>VLOOKUP(A23,MET!A$2:G$55,4,0)</f>
        <v>52.4</v>
      </c>
      <c r="BO23">
        <f>VLOOKUP(A23,MMM!A$2:G$55,4,0)</f>
        <v>140.6</v>
      </c>
      <c r="BP23">
        <f>VLOOKUP(A23,MO!A$2:G$55,4,0)</f>
        <v>40.590000000000003</v>
      </c>
      <c r="BQ23">
        <f>VLOOKUP(A23,MON!A$2:G$55,4,0)</f>
        <v>113.09</v>
      </c>
      <c r="BR23">
        <f>VLOOKUP(A23,MRK!A$2:G$55,4,0)</f>
        <v>56.72</v>
      </c>
      <c r="BS23">
        <f>VLOOKUP(A23,MS!A$2:G$55,4,0)</f>
        <v>32.33</v>
      </c>
      <c r="BT23">
        <f>VLOOKUP(A23,MSFT!A$2:G$55,4,0)</f>
        <v>43.08</v>
      </c>
      <c r="BU23">
        <f>VLOOKUP(A23,NKE!A$2:G$55,4,0)</f>
        <v>76.98</v>
      </c>
      <c r="BV23">
        <f>VLOOKUP(A23,NOV!A$2:G$55,4,0)</f>
        <v>80.900000000000006</v>
      </c>
      <c r="BW23">
        <f>VLOOKUP(A23,NSC!A$2:G$55,4,0)</f>
        <v>101.55</v>
      </c>
      <c r="BX23">
        <f>VLOOKUP(A23,ORCL!A$2:G$55,4,0)</f>
        <v>40.35</v>
      </c>
      <c r="BY23">
        <f>VLOOKUP(A23,OXY!A$2:G$55,4,0)</f>
        <v>97.48</v>
      </c>
      <c r="BZ23">
        <f>VLOOKUP(A23,PEP!A$2:G$55,4,0)</f>
        <v>88.07</v>
      </c>
      <c r="CA23">
        <f>VLOOKUP(A23,PFE!A$2:G$55,4,0)</f>
        <v>28.7</v>
      </c>
      <c r="CB23">
        <f>VLOOKUP(A23,PG!A$2:G$55,4,0)</f>
        <v>77.290000000000006</v>
      </c>
      <c r="CC23">
        <f>VLOOKUP(A23,PM!A$2:G$55,4,0)</f>
        <v>82</v>
      </c>
      <c r="CD23">
        <f>VLOOKUP(A23,QCOM!A$2:G$55,4,0)</f>
        <v>73.650000000000006</v>
      </c>
      <c r="CE23">
        <f>VLOOKUP(A23,RTN!A$2:G$55,4,0)</f>
        <v>90.76</v>
      </c>
      <c r="CF23">
        <f>VLOOKUP(A23,SBUX!A$2:G$55,4,0)</f>
        <v>77.52</v>
      </c>
      <c r="CG23">
        <f>VLOOKUP(A23,SLB!A$2:G$55,4,0)</f>
        <v>107.94</v>
      </c>
      <c r="CH23">
        <f>VLOOKUP(A23,SO!A$2:G$55,4,0)</f>
        <v>43.22</v>
      </c>
      <c r="CI23">
        <f>VLOOKUP(A23,SPG!A$2:G$55,4,0)</f>
        <v>168.13</v>
      </c>
      <c r="CJ23">
        <f>VLOOKUP(A23,T!A$2:G$55,4,0)</f>
        <v>35.51</v>
      </c>
      <c r="CK23">
        <f>VLOOKUP(A23,TGT!A$2:G$55,4,0)</f>
        <v>59.58</v>
      </c>
      <c r="CL23">
        <f>VLOOKUP(A23,TWX!A$2:G$55,4,0)</f>
        <v>83.01</v>
      </c>
      <c r="CM23">
        <f>VLOOKUP(A23,TXN!A$2:G$55,4,0)</f>
        <v>46.02</v>
      </c>
      <c r="CN23">
        <f>VLOOKUP(A23,UNH!A$2:G$55,4,0)</f>
        <v>80.55</v>
      </c>
      <c r="CO23">
        <f>VLOOKUP(A23,UNP!A$2:G$55,4,0)</f>
        <v>97.96</v>
      </c>
      <c r="CP23">
        <f>VLOOKUP(A23,UPS!A$2:G$55,4,0)</f>
        <v>97.02</v>
      </c>
      <c r="CQ23">
        <f>VLOOKUP(A23,USB!A$2:G$55,4,0)</f>
        <v>42.01</v>
      </c>
      <c r="CR23">
        <f>VLOOKUP(A23,UTX!A$2:G$55,4,0)</f>
        <v>105.1</v>
      </c>
      <c r="CS23">
        <f>VLOOKUP(A23,V!A$2:G$55,4,0)</f>
        <v>211.01</v>
      </c>
      <c r="CT23">
        <f>VLOOKUP(A23,VZ!A$2:G$55,4,0)</f>
        <v>50.35</v>
      </c>
      <c r="CU23">
        <f>VLOOKUP(A23,WAG!A$2:G$55,4,0)</f>
        <v>68.48</v>
      </c>
      <c r="CV23">
        <f>VLOOKUP(A23,WFC!A$2:G$55,4,0)</f>
        <v>50.89</v>
      </c>
      <c r="CW23">
        <f>VLOOKUP(A23,WMT!A$2:G$55,4,0)</f>
        <v>73.540000000000006</v>
      </c>
    </row>
    <row r="24" spans="1:101" x14ac:dyDescent="0.25">
      <c r="A24" s="34">
        <v>41852</v>
      </c>
      <c r="B24" s="36">
        <v>94.81</v>
      </c>
      <c r="C24">
        <f>VLOOKUP(A24,ABBV!A$2:G$55,4,0)</f>
        <v>51.75</v>
      </c>
      <c r="D24">
        <f>VLOOKUP(A24,ABT!A$2:G$55,4,0)</f>
        <v>41.81</v>
      </c>
      <c r="E24">
        <f>VLOOKUP(A24,ACN!A$2:G$55,4,0)</f>
        <v>78.349999999999994</v>
      </c>
      <c r="F24">
        <f>VLOOKUP(A24,AIG!A$2:G$55,4,0)</f>
        <v>51.61</v>
      </c>
      <c r="G24">
        <f>VLOOKUP(A24,ALL!A$2:G$55,4,0)</f>
        <v>57.75</v>
      </c>
      <c r="H24">
        <f>VLOOKUP(A24,AMGN!A$2:G$55,4,0)</f>
        <v>124.76</v>
      </c>
      <c r="I24">
        <f>VLOOKUP(A24,AMZN!A$2:G$55,4,0)</f>
        <v>304.58999999999997</v>
      </c>
      <c r="J24">
        <f>VLOOKUP(A24,APA!A$2:G$55,4,0)</f>
        <v>99.75</v>
      </c>
      <c r="K24">
        <f>VLOOKUP(A24,APC!A$2:G$55,4,0)</f>
        <v>104.5</v>
      </c>
      <c r="L24">
        <f>VLOOKUP(A24,AXP!A$2:G$55,4,0)</f>
        <v>85.75</v>
      </c>
      <c r="M24">
        <f>VLOOKUP(A24,BA!A$2:G$55,4,0)</f>
        <v>119.64</v>
      </c>
      <c r="N24">
        <f>VLOOKUP(A24,BAC!A$2:G$55,4,0)</f>
        <v>14.84</v>
      </c>
      <c r="O24">
        <f>VLOOKUP(A24,BAX!A$2:G$55,4,0)</f>
        <v>74.38</v>
      </c>
      <c r="P24">
        <f>VLOOKUP(A24,BIIB!A$2:G$55,4,0)</f>
        <v>325.85000000000002</v>
      </c>
      <c r="Q24">
        <f>VLOOKUP(A24,BK!A$2:G$55,4,0)</f>
        <v>38.68</v>
      </c>
      <c r="R24">
        <f>VLOOKUP(A24,BMY!A$2:G$55,4,0)</f>
        <v>49.71</v>
      </c>
      <c r="T24">
        <f>VLOOKUP(A24,'C'!A$2:G$55,4,0)</f>
        <v>47.9</v>
      </c>
      <c r="U24">
        <f>VLOOKUP(A24,CAT!A$2:G$55,4,0)</f>
        <v>99.11</v>
      </c>
      <c r="V24">
        <f>VLOOKUP(A24,CL!A$2:G$55,4,0)</f>
        <v>62.89</v>
      </c>
      <c r="W24">
        <f>VLOOKUP(A24,CMCSA!A$2:G$55,4,0)</f>
        <v>53.15</v>
      </c>
      <c r="X24">
        <f>VLOOKUP(A24,COF!A$2:G$55,4,0)</f>
        <v>78.87</v>
      </c>
      <c r="Y24">
        <f>VLOOKUP(A24,COP!A$2:G$55,4,0)</f>
        <v>79.83</v>
      </c>
      <c r="Z24">
        <f>VLOOKUP(A24,COST!A$2:G$55,4,0)</f>
        <v>117.46</v>
      </c>
      <c r="AA24">
        <f>VLOOKUP(A24,CSCO!A$2:G$55,4,0)</f>
        <v>24.8</v>
      </c>
      <c r="AB24">
        <f>VLOOKUP(A24,CVS!A$2:G$55,4,0)</f>
        <v>76.2</v>
      </c>
      <c r="AC24">
        <f>VLOOKUP(A24,CVX!A$2:G$55,4,0)</f>
        <v>126.36</v>
      </c>
      <c r="AD24">
        <f>VLOOKUP(A24,DD!A$2:G$55,4,0)</f>
        <v>63.7</v>
      </c>
      <c r="AE24">
        <f>VLOOKUP(A24,DIS!A$2:G$55,4,0)</f>
        <v>85.21</v>
      </c>
      <c r="AF24">
        <f>VLOOKUP(A24,DOW!A$2:G$55,4,0)</f>
        <v>50.35</v>
      </c>
      <c r="AG24">
        <f>VLOOKUP(A24,DVN!A$2:G$55,4,0)</f>
        <v>74.23</v>
      </c>
      <c r="AH24">
        <f>VLOOKUP(A24,EBAY!A$2:G$55,4,0)</f>
        <v>52.14</v>
      </c>
      <c r="AI24">
        <f>VLOOKUP(A24,EMC!A$2:G$55,4,0)</f>
        <v>28.68</v>
      </c>
      <c r="AJ24">
        <f>VLOOKUP(A24,EMR!A$2:G$55,4,0)</f>
        <v>62.71</v>
      </c>
      <c r="AK24">
        <f>VLOOKUP(A24,EXC!A$2:G$55,4,0)</f>
        <v>31.1</v>
      </c>
      <c r="AL24">
        <f>VLOOKUP(A24,F!A$2:G$55,4,0)</f>
        <v>16.72</v>
      </c>
      <c r="AM24">
        <f>VLOOKUP(A24,FB!A$2:G$55,4,0)</f>
        <v>71.55</v>
      </c>
      <c r="AN24">
        <f>VLOOKUP(A24,FCX!A$2:G$55,4,0)</f>
        <v>36.47</v>
      </c>
      <c r="AO24">
        <f>VLOOKUP(A24,FDX!A$2:G$55,4,0)</f>
        <v>145.93</v>
      </c>
      <c r="AP24">
        <f>VLOOKUP(A24,FOXA!A$2:G$55,4,0)</f>
        <v>31.53</v>
      </c>
      <c r="AQ24">
        <f>VLOOKUP(A24,GD!A$2:G$55,4,0)</f>
        <v>116.42</v>
      </c>
      <c r="AR24">
        <f>VLOOKUP(A24,GE!A$2:G$55,4,0)</f>
        <v>24.75</v>
      </c>
      <c r="AS24">
        <f>VLOOKUP(A24,GILD!A$2:G$55,4,0)</f>
        <v>90.69</v>
      </c>
      <c r="AT24">
        <f>VLOOKUP(A24,GM!A$2:G$55,4,0)</f>
        <v>33.299999999999997</v>
      </c>
      <c r="AU24">
        <f>VLOOKUP(A24,GOOG!A$2:G$55,4,0)</f>
        <v>562.85</v>
      </c>
      <c r="AV24">
        <f>VLOOKUP(A24,GOOGL!A$2:G$55,4,0)</f>
        <v>570.29999999999995</v>
      </c>
      <c r="AW24">
        <f>VLOOKUP(A24,GS!A$2:G$55,4,0)</f>
        <v>169.4</v>
      </c>
      <c r="AX24">
        <f>VLOOKUP(A24,HAL!A$2:G$55,4,0)</f>
        <v>67.37</v>
      </c>
      <c r="AY24">
        <f>VLOOKUP(A24,HD!A$2:G$55,4,0)</f>
        <v>79.739999999999995</v>
      </c>
      <c r="AZ24">
        <f>VLOOKUP(A24,HON!A$2:G$55,4,0)</f>
        <v>90.94</v>
      </c>
      <c r="BA24">
        <f>VLOOKUP(A24,HPQ!A$2:G$55,4,0)</f>
        <v>34.47</v>
      </c>
      <c r="BB24">
        <f>VLOOKUP(A24,IBM!A$2:G$55,4,0)</f>
        <v>188.86</v>
      </c>
      <c r="BC24">
        <f>VLOOKUP(A24,INTC!A$2:G$55,4,0)</f>
        <v>33.61</v>
      </c>
      <c r="BD24">
        <f>VLOOKUP(A24,JNJ!A$2:G$55,4,0)</f>
        <v>98.8</v>
      </c>
      <c r="BE24">
        <f>VLOOKUP(A24,JPM!A$2:G$55,4,0)</f>
        <v>55.97</v>
      </c>
      <c r="BF24">
        <f>VLOOKUP(A24,KO!A$2:G$55,4,0)</f>
        <v>39.06</v>
      </c>
      <c r="BG24">
        <f>VLOOKUP(A24,LLY!A$2:G$55,4,0)</f>
        <v>60.19</v>
      </c>
      <c r="BH24">
        <f>VLOOKUP(A24,LMT!A$2:G$55,4,0)</f>
        <v>166.19</v>
      </c>
      <c r="BI24">
        <f>VLOOKUP(A24,LOW!A$2:G$55,4,0)</f>
        <v>47.27</v>
      </c>
      <c r="BJ24">
        <f>VLOOKUP(A24,MA!A$2:G$55,4,0)</f>
        <v>73.64</v>
      </c>
      <c r="BK24">
        <f>VLOOKUP(A24,MCD!A$2:G$55,4,0)</f>
        <v>94.2</v>
      </c>
      <c r="BL24">
        <f>VLOOKUP(A24,MDLZ!A$2:G$55,4,0)</f>
        <v>35.92</v>
      </c>
      <c r="BM24">
        <f>VLOOKUP(A24,MDT!A$2:G$55,4,0)</f>
        <v>61.05</v>
      </c>
      <c r="BN24">
        <f>VLOOKUP(A24,MET!A$2:G$55,4,0)</f>
        <v>51.8</v>
      </c>
      <c r="BO24">
        <f>VLOOKUP(A24,MMM!A$2:G$55,4,0)</f>
        <v>139.08000000000001</v>
      </c>
      <c r="BP24">
        <f>VLOOKUP(A24,MO!A$2:G$55,4,0)</f>
        <v>40.26</v>
      </c>
      <c r="BQ24">
        <f>VLOOKUP(A24,MON!A$2:G$55,4,0)</f>
        <v>112.13</v>
      </c>
      <c r="BR24">
        <f>VLOOKUP(A24,MRK!A$2:G$55,4,0)</f>
        <v>56.28</v>
      </c>
      <c r="BS24">
        <f>VLOOKUP(A24,MS!A$2:G$55,4,0)</f>
        <v>31.44</v>
      </c>
      <c r="BT24">
        <f>VLOOKUP(A24,MSFT!A$2:G$55,4,0)</f>
        <v>42.6</v>
      </c>
      <c r="BU24">
        <f>VLOOKUP(A24,NKE!A$2:G$55,4,0)</f>
        <v>76.39</v>
      </c>
      <c r="BV24">
        <f>VLOOKUP(A24,NOV!A$2:G$55,4,0)</f>
        <v>80.3</v>
      </c>
      <c r="BW24">
        <f>VLOOKUP(A24,NSC!A$2:G$55,4,0)</f>
        <v>100.15</v>
      </c>
      <c r="BX24">
        <f>VLOOKUP(A24,ORCL!A$2:G$55,4,0)</f>
        <v>39.57</v>
      </c>
      <c r="BY24">
        <f>VLOOKUP(A24,OXY!A$2:G$55,4,0)</f>
        <v>96.82</v>
      </c>
      <c r="BZ24">
        <f>VLOOKUP(A24,PEP!A$2:G$55,4,0)</f>
        <v>87.46</v>
      </c>
      <c r="CA24">
        <f>VLOOKUP(A24,PFE!A$2:G$55,4,0)</f>
        <v>28.69</v>
      </c>
      <c r="CB24">
        <f>VLOOKUP(A24,PG!A$2:G$55,4,0)</f>
        <v>78.83</v>
      </c>
      <c r="CC24">
        <f>VLOOKUP(A24,PM!A$2:G$55,4,0)</f>
        <v>81.72</v>
      </c>
      <c r="CD24">
        <f>VLOOKUP(A24,QCOM!A$2:G$55,4,0)</f>
        <v>71.819999999999993</v>
      </c>
      <c r="CE24">
        <f>VLOOKUP(A24,RTN!A$2:G$55,4,0)</f>
        <v>90.87</v>
      </c>
      <c r="CF24">
        <f>VLOOKUP(A24,SBUX!A$2:G$55,4,0)</f>
        <v>76.58</v>
      </c>
      <c r="CG24">
        <f>VLOOKUP(A24,SLB!A$2:G$55,4,0)</f>
        <v>106.84</v>
      </c>
      <c r="CH24">
        <f>VLOOKUP(A24,SO!A$2:G$55,4,0)</f>
        <v>43.25</v>
      </c>
      <c r="CI24">
        <f>VLOOKUP(A24,SPG!A$2:G$55,4,0)</f>
        <v>165.82</v>
      </c>
      <c r="CJ24">
        <f>VLOOKUP(A24,T!A$2:G$55,4,0)</f>
        <v>35.28</v>
      </c>
      <c r="CK24">
        <f>VLOOKUP(A24,TGT!A$2:G$55,4,0)</f>
        <v>59.2</v>
      </c>
      <c r="CL24">
        <f>VLOOKUP(A24,TWX!A$2:G$55,4,0)</f>
        <v>82.51</v>
      </c>
      <c r="CM24">
        <f>VLOOKUP(A24,TXN!A$2:G$55,4,0)</f>
        <v>46.12</v>
      </c>
      <c r="CN24">
        <f>VLOOKUP(A24,UNH!A$2:G$55,4,0)</f>
        <v>80.56</v>
      </c>
      <c r="CO24">
        <f>VLOOKUP(A24,UNP!A$2:G$55,4,0)</f>
        <v>97.74</v>
      </c>
      <c r="CP24">
        <f>VLOOKUP(A24,UPS!A$2:G$55,4,0)</f>
        <v>96.12</v>
      </c>
      <c r="CQ24">
        <f>VLOOKUP(A24,USB!A$2:G$55,4,0)</f>
        <v>41.29</v>
      </c>
      <c r="CR24">
        <f>VLOOKUP(A24,UTX!A$2:G$55,4,0)</f>
        <v>104.25</v>
      </c>
      <c r="CS24">
        <f>VLOOKUP(A24,V!A$2:G$55,4,0)</f>
        <v>209.78</v>
      </c>
      <c r="CT24">
        <f>VLOOKUP(A24,VZ!A$2:G$55,4,0)</f>
        <v>49.83</v>
      </c>
      <c r="CU24">
        <f>VLOOKUP(A24,WAG!A$2:G$55,4,0)</f>
        <v>68</v>
      </c>
      <c r="CV24">
        <f>VLOOKUP(A24,WFC!A$2:G$55,4,0)</f>
        <v>50.23</v>
      </c>
      <c r="CW24">
        <f>VLOOKUP(A24,WMT!A$2:G$55,4,0)</f>
        <v>73.22</v>
      </c>
    </row>
    <row r="25" spans="1:101" x14ac:dyDescent="0.25">
      <c r="A25" s="34">
        <v>41855</v>
      </c>
      <c r="B25" s="36">
        <v>95.17</v>
      </c>
      <c r="C25">
        <f>VLOOKUP(A25,ABBV!A$2:G$55,4,0)</f>
        <v>52.37</v>
      </c>
      <c r="D25">
        <f>VLOOKUP(A25,ABT!A$2:G$55,4,0)</f>
        <v>41.84</v>
      </c>
      <c r="E25">
        <f>VLOOKUP(A25,ACN!A$2:G$55,4,0)</f>
        <v>78.5</v>
      </c>
      <c r="F25">
        <f>VLOOKUP(A25,AIG!A$2:G$55,4,0)</f>
        <v>52.03</v>
      </c>
      <c r="G25">
        <f>VLOOKUP(A25,ALL!A$2:G$55,4,0)</f>
        <v>58.12</v>
      </c>
      <c r="H25">
        <f>VLOOKUP(A25,AMGN!A$2:G$55,4,0)</f>
        <v>126.52</v>
      </c>
      <c r="I25">
        <f>VLOOKUP(A25,AMZN!A$2:G$55,4,0)</f>
        <v>308.5</v>
      </c>
      <c r="J25">
        <f>VLOOKUP(A25,APA!A$2:G$55,4,0)</f>
        <v>99.7</v>
      </c>
      <c r="K25">
        <f>VLOOKUP(A25,APC!A$2:G$55,4,0)</f>
        <v>106.02</v>
      </c>
      <c r="L25">
        <f>VLOOKUP(A25,AXP!A$2:G$55,4,0)</f>
        <v>86.45</v>
      </c>
      <c r="M25">
        <f>VLOOKUP(A25,BA!A$2:G$55,4,0)</f>
        <v>119.77</v>
      </c>
      <c r="N25">
        <f>VLOOKUP(A25,BAC!A$2:G$55,4,0)</f>
        <v>14.98</v>
      </c>
      <c r="O25">
        <f>VLOOKUP(A25,BAX!A$2:G$55,4,0)</f>
        <v>74</v>
      </c>
      <c r="P25">
        <f>VLOOKUP(A25,BIIB!A$2:G$55,4,0)</f>
        <v>325.76</v>
      </c>
      <c r="Q25">
        <f>VLOOKUP(A25,BK!A$2:G$55,4,0)</f>
        <v>38.75</v>
      </c>
      <c r="R25">
        <f>VLOOKUP(A25,BMY!A$2:G$55,4,0)</f>
        <v>49.68</v>
      </c>
      <c r="T25">
        <f>VLOOKUP(A25,'C'!A$2:G$55,4,0)</f>
        <v>48.06</v>
      </c>
      <c r="U25">
        <f>VLOOKUP(A25,CAT!A$2:G$55,4,0)</f>
        <v>100.1</v>
      </c>
      <c r="V25">
        <f>VLOOKUP(A25,CL!A$2:G$55,4,0)</f>
        <v>63.56</v>
      </c>
      <c r="W25">
        <f>VLOOKUP(A25,CMCSA!A$2:G$55,4,0)</f>
        <v>53.4</v>
      </c>
      <c r="X25">
        <f>VLOOKUP(A25,COF!A$2:G$55,4,0)</f>
        <v>79.400000000000006</v>
      </c>
      <c r="Y25">
        <f>VLOOKUP(A25,COP!A$2:G$55,4,0)</f>
        <v>80.3</v>
      </c>
      <c r="Z25">
        <f>VLOOKUP(A25,COST!A$2:G$55,4,0)</f>
        <v>117.11</v>
      </c>
      <c r="AA25">
        <f>VLOOKUP(A25,CSCO!A$2:G$55,4,0)</f>
        <v>24.86</v>
      </c>
      <c r="AB25">
        <f>VLOOKUP(A25,CVS!A$2:G$55,4,0)</f>
        <v>76.5</v>
      </c>
      <c r="AC25">
        <f>VLOOKUP(A25,CVX!A$2:G$55,4,0)</f>
        <v>126.03</v>
      </c>
      <c r="AD25">
        <f>VLOOKUP(A25,DD!A$2:G$55,4,0)</f>
        <v>63.78</v>
      </c>
      <c r="AE25">
        <f>VLOOKUP(A25,DIS!A$2:G$55,4,0)</f>
        <v>86.01</v>
      </c>
      <c r="AF25">
        <f>VLOOKUP(A25,DOW!A$2:G$55,4,0)</f>
        <v>50.79</v>
      </c>
      <c r="AG25">
        <f>VLOOKUP(A25,DVN!A$2:G$55,4,0)</f>
        <v>74.83</v>
      </c>
      <c r="AH25">
        <f>VLOOKUP(A25,EBAY!A$2:G$55,4,0)</f>
        <v>52.24</v>
      </c>
      <c r="AI25">
        <f>VLOOKUP(A25,EMC!A$2:G$55,4,0)</f>
        <v>29.11</v>
      </c>
      <c r="AJ25">
        <f>VLOOKUP(A25,EMR!A$2:G$55,4,0)</f>
        <v>63.11</v>
      </c>
      <c r="AK25">
        <f>VLOOKUP(A25,EXC!A$2:G$55,4,0)</f>
        <v>30.66</v>
      </c>
      <c r="AL25">
        <f>VLOOKUP(A25,F!A$2:G$55,4,0)</f>
        <v>16.940000000000001</v>
      </c>
      <c r="AM25">
        <f>VLOOKUP(A25,FB!A$2:G$55,4,0)</f>
        <v>72.36</v>
      </c>
      <c r="AN25">
        <f>VLOOKUP(A25,FCX!A$2:G$55,4,0)</f>
        <v>36.840000000000003</v>
      </c>
      <c r="AO25">
        <f>VLOOKUP(A25,FDX!A$2:G$55,4,0)</f>
        <v>146.94999999999999</v>
      </c>
      <c r="AP25">
        <f>VLOOKUP(A25,FOXA!A$2:G$55,4,0)</f>
        <v>31.5</v>
      </c>
      <c r="AQ25">
        <f>VLOOKUP(A25,GD!A$2:G$55,4,0)</f>
        <v>115.91</v>
      </c>
      <c r="AR25">
        <f>VLOOKUP(A25,GE!A$2:G$55,4,0)</f>
        <v>25.1</v>
      </c>
      <c r="AS25">
        <f>VLOOKUP(A25,GILD!A$2:G$55,4,0)</f>
        <v>91.52</v>
      </c>
      <c r="AT25">
        <f>VLOOKUP(A25,GM!A$2:G$55,4,0)</f>
        <v>33.5</v>
      </c>
      <c r="AU25">
        <f>VLOOKUP(A25,GOOG!A$2:G$55,4,0)</f>
        <v>564.1</v>
      </c>
      <c r="AV25">
        <f>VLOOKUP(A25,GOOGL!A$2:G$55,4,0)</f>
        <v>572.26</v>
      </c>
      <c r="AW25">
        <f>VLOOKUP(A25,GS!A$2:G$55,4,0)</f>
        <v>170.05</v>
      </c>
      <c r="AX25">
        <f>VLOOKUP(A25,HAL!A$2:G$55,4,0)</f>
        <v>68.41</v>
      </c>
      <c r="AY25">
        <f>VLOOKUP(A25,HD!A$2:G$55,4,0)</f>
        <v>79.66</v>
      </c>
      <c r="AZ25">
        <f>VLOOKUP(A25,HON!A$2:G$55,4,0)</f>
        <v>90.75</v>
      </c>
      <c r="BA25">
        <f>VLOOKUP(A25,HPQ!A$2:G$55,4,0)</f>
        <v>35</v>
      </c>
      <c r="BB25">
        <f>VLOOKUP(A25,IBM!A$2:G$55,4,0)</f>
        <v>188.6</v>
      </c>
      <c r="BC25">
        <f>VLOOKUP(A25,INTC!A$2:G$55,4,0)</f>
        <v>33.549999999999997</v>
      </c>
      <c r="BD25">
        <f>VLOOKUP(A25,JNJ!A$2:G$55,4,0)</f>
        <v>99.32</v>
      </c>
      <c r="BE25">
        <f>VLOOKUP(A25,JPM!A$2:G$55,4,0)</f>
        <v>56.34</v>
      </c>
      <c r="BF25">
        <f>VLOOKUP(A25,KO!A$2:G$55,4,0)</f>
        <v>39.119999999999997</v>
      </c>
      <c r="BG25">
        <f>VLOOKUP(A25,LLY!A$2:G$55,4,0)</f>
        <v>60.75</v>
      </c>
      <c r="BH25">
        <f>VLOOKUP(A25,LMT!A$2:G$55,4,0)</f>
        <v>167.03</v>
      </c>
      <c r="BI25">
        <f>VLOOKUP(A25,LOW!A$2:G$55,4,0)</f>
        <v>47.6</v>
      </c>
      <c r="BJ25">
        <f>VLOOKUP(A25,MA!A$2:G$55,4,0)</f>
        <v>75.08</v>
      </c>
      <c r="BK25">
        <f>VLOOKUP(A25,MCD!A$2:G$55,4,0)</f>
        <v>93.52</v>
      </c>
      <c r="BL25">
        <f>VLOOKUP(A25,MDLZ!A$2:G$55,4,0)</f>
        <v>36.130000000000003</v>
      </c>
      <c r="BM25">
        <f>VLOOKUP(A25,MDT!A$2:G$55,4,0)</f>
        <v>61.2</v>
      </c>
      <c r="BN25">
        <f>VLOOKUP(A25,MET!A$2:G$55,4,0)</f>
        <v>51.79</v>
      </c>
      <c r="BO25">
        <f>VLOOKUP(A25,MMM!A$2:G$55,4,0)</f>
        <v>139.21</v>
      </c>
      <c r="BP25">
        <f>VLOOKUP(A25,MO!A$2:G$55,4,0)</f>
        <v>40.4</v>
      </c>
      <c r="BQ25">
        <f>VLOOKUP(A25,MON!A$2:G$55,4,0)</f>
        <v>112.87</v>
      </c>
      <c r="BR25">
        <f>VLOOKUP(A25,MRK!A$2:G$55,4,0)</f>
        <v>56.36</v>
      </c>
      <c r="BS25">
        <f>VLOOKUP(A25,MS!A$2:G$55,4,0)</f>
        <v>31.54</v>
      </c>
      <c r="BT25">
        <f>VLOOKUP(A25,MSFT!A$2:G$55,4,0)</f>
        <v>42.81</v>
      </c>
      <c r="BU25">
        <f>VLOOKUP(A25,NKE!A$2:G$55,4,0)</f>
        <v>76.290000000000006</v>
      </c>
      <c r="BV25">
        <f>VLOOKUP(A25,NOV!A$2:G$55,4,0)</f>
        <v>80.52</v>
      </c>
      <c r="BW25">
        <f>VLOOKUP(A25,NSC!A$2:G$55,4,0)</f>
        <v>99.86</v>
      </c>
      <c r="BX25">
        <f>VLOOKUP(A25,ORCL!A$2:G$55,4,0)</f>
        <v>39.53</v>
      </c>
      <c r="BY25">
        <f>VLOOKUP(A25,OXY!A$2:G$55,4,0)</f>
        <v>98.62</v>
      </c>
      <c r="BZ25">
        <f>VLOOKUP(A25,PEP!A$2:G$55,4,0)</f>
        <v>88.13</v>
      </c>
      <c r="CA25">
        <f>VLOOKUP(A25,PFE!A$2:G$55,4,0)</f>
        <v>28.6</v>
      </c>
      <c r="CB25">
        <f>VLOOKUP(A25,PG!A$2:G$55,4,0)</f>
        <v>78.66</v>
      </c>
      <c r="CC25">
        <f>VLOOKUP(A25,PM!A$2:G$55,4,0)</f>
        <v>81.5</v>
      </c>
      <c r="CD25">
        <f>VLOOKUP(A25,QCOM!A$2:G$55,4,0)</f>
        <v>72.83</v>
      </c>
      <c r="CE25">
        <f>VLOOKUP(A25,RTN!A$2:G$55,4,0)</f>
        <v>90.94</v>
      </c>
      <c r="CF25">
        <f>VLOOKUP(A25,SBUX!A$2:G$55,4,0)</f>
        <v>77.03</v>
      </c>
      <c r="CG25">
        <f>VLOOKUP(A25,SLB!A$2:G$55,4,0)</f>
        <v>107.52</v>
      </c>
      <c r="CH25">
        <f>VLOOKUP(A25,SO!A$2:G$55,4,0)</f>
        <v>42.35</v>
      </c>
      <c r="CI25">
        <f>VLOOKUP(A25,SPG!A$2:G$55,4,0)</f>
        <v>167.07</v>
      </c>
      <c r="CJ25">
        <f>VLOOKUP(A25,T!A$2:G$55,4,0)</f>
        <v>35.200000000000003</v>
      </c>
      <c r="CK25">
        <f>VLOOKUP(A25,TGT!A$2:G$55,4,0)</f>
        <v>59.92</v>
      </c>
      <c r="CL25">
        <f>VLOOKUP(A25,TWX!A$2:G$55,4,0)</f>
        <v>83.63</v>
      </c>
      <c r="CM25">
        <f>VLOOKUP(A25,TXN!A$2:G$55,4,0)</f>
        <v>46.05</v>
      </c>
      <c r="CN25">
        <f>VLOOKUP(A25,UNH!A$2:G$55,4,0)</f>
        <v>81.16</v>
      </c>
      <c r="CO25">
        <f>VLOOKUP(A25,UNP!A$2:G$55,4,0)</f>
        <v>97.47</v>
      </c>
      <c r="CP25">
        <f>VLOOKUP(A25,UPS!A$2:G$55,4,0)</f>
        <v>96.4</v>
      </c>
      <c r="CQ25">
        <f>VLOOKUP(A25,USB!A$2:G$55,4,0)</f>
        <v>41.24</v>
      </c>
      <c r="CR25">
        <f>VLOOKUP(A25,UTX!A$2:G$55,4,0)</f>
        <v>104.4</v>
      </c>
      <c r="CS25">
        <f>VLOOKUP(A25,V!A$2:G$55,4,0)</f>
        <v>211.52</v>
      </c>
      <c r="CT25">
        <f>VLOOKUP(A25,VZ!A$2:G$55,4,0)</f>
        <v>49.64</v>
      </c>
      <c r="CU25">
        <f>VLOOKUP(A25,WAG!A$2:G$55,4,0)</f>
        <v>70.95</v>
      </c>
      <c r="CV25">
        <f>VLOOKUP(A25,WFC!A$2:G$55,4,0)</f>
        <v>50.52</v>
      </c>
      <c r="CW25">
        <f>VLOOKUP(A25,WMT!A$2:G$55,4,0)</f>
        <v>73.06</v>
      </c>
    </row>
    <row r="26" spans="1:101" x14ac:dyDescent="0.25">
      <c r="A26" s="34">
        <v>41856</v>
      </c>
      <c r="B26" s="36">
        <v>94.36</v>
      </c>
      <c r="C26">
        <f>VLOOKUP(A26,ABBV!A$2:G$55,4,0)</f>
        <v>52.45</v>
      </c>
      <c r="D26">
        <f>VLOOKUP(A26,ABT!A$2:G$55,4,0)</f>
        <v>41.66</v>
      </c>
      <c r="E26">
        <f>VLOOKUP(A26,ACN!A$2:G$55,4,0)</f>
        <v>78.040000000000006</v>
      </c>
      <c r="F26">
        <f>VLOOKUP(A26,AIG!A$2:G$55,4,0)</f>
        <v>51.75</v>
      </c>
      <c r="G26">
        <f>VLOOKUP(A26,ALL!A$2:G$55,4,0)</f>
        <v>58.73</v>
      </c>
      <c r="H26">
        <f>VLOOKUP(A26,AMGN!A$2:G$55,4,0)</f>
        <v>126.62</v>
      </c>
      <c r="I26">
        <f>VLOOKUP(A26,AMZN!A$2:G$55,4,0)</f>
        <v>310.06</v>
      </c>
      <c r="J26">
        <f>VLOOKUP(A26,APA!A$2:G$55,4,0)</f>
        <v>98.45</v>
      </c>
      <c r="K26">
        <f>VLOOKUP(A26,APC!A$2:G$55,4,0)</f>
        <v>107.27</v>
      </c>
      <c r="L26">
        <f>VLOOKUP(A26,AXP!A$2:G$55,4,0)</f>
        <v>85.89</v>
      </c>
      <c r="M26">
        <f>VLOOKUP(A26,BA!A$2:G$55,4,0)</f>
        <v>119.66</v>
      </c>
      <c r="N26">
        <f>VLOOKUP(A26,BAC!A$2:G$55,4,0)</f>
        <v>14.9</v>
      </c>
      <c r="O26">
        <f>VLOOKUP(A26,BAX!A$2:G$55,4,0)</f>
        <v>74.39</v>
      </c>
      <c r="P26">
        <f>VLOOKUP(A26,BIIB!A$2:G$55,4,0)</f>
        <v>322.14</v>
      </c>
      <c r="Q26">
        <f>VLOOKUP(A26,BK!A$2:G$55,4,0)</f>
        <v>38.869999999999997</v>
      </c>
      <c r="R26">
        <f>VLOOKUP(A26,BMY!A$2:G$55,4,0)</f>
        <v>49.14</v>
      </c>
      <c r="T26">
        <f>VLOOKUP(A26,'C'!A$2:G$55,4,0)</f>
        <v>47.65</v>
      </c>
      <c r="U26">
        <f>VLOOKUP(A26,CAT!A$2:G$55,4,0)</f>
        <v>100.94</v>
      </c>
      <c r="V26">
        <f>VLOOKUP(A26,CL!A$2:G$55,4,0)</f>
        <v>63.48</v>
      </c>
      <c r="W26">
        <f>VLOOKUP(A26,CMCSA!A$2:G$55,4,0)</f>
        <v>52.91</v>
      </c>
      <c r="X26">
        <f>VLOOKUP(A26,COF!A$2:G$55,4,0)</f>
        <v>78.650000000000006</v>
      </c>
      <c r="Y26">
        <f>VLOOKUP(A26,COP!A$2:G$55,4,0)</f>
        <v>79.38</v>
      </c>
      <c r="Z26">
        <f>VLOOKUP(A26,COST!A$2:G$55,4,0)</f>
        <v>117.29</v>
      </c>
      <c r="AA26">
        <f>VLOOKUP(A26,CSCO!A$2:G$55,4,0)</f>
        <v>24.87</v>
      </c>
      <c r="AB26">
        <f>VLOOKUP(A26,CVS!A$2:G$55,4,0)</f>
        <v>76.17</v>
      </c>
      <c r="AC26">
        <f>VLOOKUP(A26,CVX!A$2:G$55,4,0)</f>
        <v>124.58</v>
      </c>
      <c r="AD26">
        <f>VLOOKUP(A26,DD!A$2:G$55,4,0)</f>
        <v>63.81</v>
      </c>
      <c r="AE26">
        <f>VLOOKUP(A26,DIS!A$2:G$55,4,0)</f>
        <v>86.02</v>
      </c>
      <c r="AF26">
        <f>VLOOKUP(A26,DOW!A$2:G$55,4,0)</f>
        <v>50.93</v>
      </c>
      <c r="AG26">
        <f>VLOOKUP(A26,DVN!A$2:G$55,4,0)</f>
        <v>74.11</v>
      </c>
      <c r="AH26">
        <f>VLOOKUP(A26,EBAY!A$2:G$55,4,0)</f>
        <v>52.82</v>
      </c>
      <c r="AI26">
        <f>VLOOKUP(A26,EMC!A$2:G$55,4,0)</f>
        <v>29.09</v>
      </c>
      <c r="AJ26">
        <f>VLOOKUP(A26,EMR!A$2:G$55,4,0)</f>
        <v>60.85</v>
      </c>
      <c r="AK26">
        <f>VLOOKUP(A26,EXC!A$2:G$55,4,0)</f>
        <v>31.04</v>
      </c>
      <c r="AL26">
        <f>VLOOKUP(A26,F!A$2:G$55,4,0)</f>
        <v>16.78</v>
      </c>
      <c r="AM26">
        <f>VLOOKUP(A26,FB!A$2:G$55,4,0)</f>
        <v>72.180000000000007</v>
      </c>
      <c r="AN26">
        <f>VLOOKUP(A26,FCX!A$2:G$55,4,0)</f>
        <v>36.700000000000003</v>
      </c>
      <c r="AO26">
        <f>VLOOKUP(A26,FDX!A$2:G$55,4,0)</f>
        <v>146.15</v>
      </c>
      <c r="AP26">
        <f>VLOOKUP(A26,FOXA!A$2:G$55,4,0)</f>
        <v>31.27</v>
      </c>
      <c r="AQ26">
        <f>VLOOKUP(A26,GD!A$2:G$55,4,0)</f>
        <v>116.16</v>
      </c>
      <c r="AR26">
        <f>VLOOKUP(A26,GE!A$2:G$55,4,0)</f>
        <v>24.95</v>
      </c>
      <c r="AS26">
        <f>VLOOKUP(A26,GILD!A$2:G$55,4,0)</f>
        <v>91.6</v>
      </c>
      <c r="AT26">
        <f>VLOOKUP(A26,GM!A$2:G$55,4,0)</f>
        <v>33.15</v>
      </c>
      <c r="AU26">
        <f>VLOOKUP(A26,GOOG!A$2:G$55,4,0)</f>
        <v>562.61</v>
      </c>
      <c r="AV26">
        <f>VLOOKUP(A26,GOOGL!A$2:G$55,4,0)</f>
        <v>570.30999999999995</v>
      </c>
      <c r="AW26">
        <f>VLOOKUP(A26,GS!A$2:G$55,4,0)</f>
        <v>168.89</v>
      </c>
      <c r="AX26">
        <f>VLOOKUP(A26,HAL!A$2:G$55,4,0)</f>
        <v>66.77</v>
      </c>
      <c r="AY26">
        <f>VLOOKUP(A26,HD!A$2:G$55,4,0)</f>
        <v>79.78</v>
      </c>
      <c r="AZ26">
        <f>VLOOKUP(A26,HON!A$2:G$55,4,0)</f>
        <v>90.59</v>
      </c>
      <c r="BA26">
        <f>VLOOKUP(A26,HPQ!A$2:G$55,4,0)</f>
        <v>34.82</v>
      </c>
      <c r="BB26">
        <f>VLOOKUP(A26,IBM!A$2:G$55,4,0)</f>
        <v>186.44</v>
      </c>
      <c r="BC26">
        <f>VLOOKUP(A26,INTC!A$2:G$55,4,0)</f>
        <v>32.6</v>
      </c>
      <c r="BD26">
        <f>VLOOKUP(A26,JNJ!A$2:G$55,4,0)</f>
        <v>99.55</v>
      </c>
      <c r="BE26">
        <f>VLOOKUP(A26,JPM!A$2:G$55,4,0)</f>
        <v>55.6</v>
      </c>
      <c r="BF26">
        <f>VLOOKUP(A26,KO!A$2:G$55,4,0)</f>
        <v>39.1</v>
      </c>
      <c r="BG26">
        <f>VLOOKUP(A26,LLY!A$2:G$55,4,0)</f>
        <v>60.74</v>
      </c>
      <c r="BH26">
        <f>VLOOKUP(A26,LMT!A$2:G$55,4,0)</f>
        <v>166.56</v>
      </c>
      <c r="BI26">
        <f>VLOOKUP(A26,LOW!A$2:G$55,4,0)</f>
        <v>47.55</v>
      </c>
      <c r="BJ26">
        <f>VLOOKUP(A26,MA!A$2:G$55,4,0)</f>
        <v>74.81</v>
      </c>
      <c r="BK26">
        <f>VLOOKUP(A26,MCD!A$2:G$55,4,0)</f>
        <v>93.35</v>
      </c>
      <c r="BL26">
        <f>VLOOKUP(A26,MDLZ!A$2:G$55,4,0)</f>
        <v>35.79</v>
      </c>
      <c r="BM26">
        <f>VLOOKUP(A26,MDT!A$2:G$55,4,0)</f>
        <v>61.63</v>
      </c>
      <c r="BN26">
        <f>VLOOKUP(A26,MET!A$2:G$55,4,0)</f>
        <v>51.47</v>
      </c>
      <c r="BO26">
        <f>VLOOKUP(A26,MMM!A$2:G$55,4,0)</f>
        <v>139.34</v>
      </c>
      <c r="BP26">
        <f>VLOOKUP(A26,MO!A$2:G$55,4,0)</f>
        <v>40.409999999999997</v>
      </c>
      <c r="BQ26">
        <f>VLOOKUP(A26,MON!A$2:G$55,4,0)</f>
        <v>114.09</v>
      </c>
      <c r="BR26">
        <f>VLOOKUP(A26,MRK!A$2:G$55,4,0)</f>
        <v>55.82</v>
      </c>
      <c r="BS26">
        <f>VLOOKUP(A26,MS!A$2:G$55,4,0)</f>
        <v>31.29</v>
      </c>
      <c r="BT26">
        <f>VLOOKUP(A26,MSFT!A$2:G$55,4,0)</f>
        <v>42.83</v>
      </c>
      <c r="BU26">
        <f>VLOOKUP(A26,NKE!A$2:G$55,4,0)</f>
        <v>76.53</v>
      </c>
      <c r="BV26">
        <f>VLOOKUP(A26,NOV!A$2:G$55,4,0)</f>
        <v>80.760000000000005</v>
      </c>
      <c r="BW26">
        <f>VLOOKUP(A26,NSC!A$2:G$55,4,0)</f>
        <v>100.46</v>
      </c>
      <c r="BX26">
        <f>VLOOKUP(A26,ORCL!A$2:G$55,4,0)</f>
        <v>39.81</v>
      </c>
      <c r="BY26">
        <f>VLOOKUP(A26,OXY!A$2:G$55,4,0)</f>
        <v>98.41</v>
      </c>
      <c r="BZ26">
        <f>VLOOKUP(A26,PEP!A$2:G$55,4,0)</f>
        <v>88.89</v>
      </c>
      <c r="CA26">
        <f>VLOOKUP(A26,PFE!A$2:G$55,4,0)</f>
        <v>28.29</v>
      </c>
      <c r="CB26">
        <f>VLOOKUP(A26,PG!A$2:G$55,4,0)</f>
        <v>78.98</v>
      </c>
      <c r="CC26">
        <f>VLOOKUP(A26,PM!A$2:G$55,4,0)</f>
        <v>81.19</v>
      </c>
      <c r="CD26">
        <f>VLOOKUP(A26,QCOM!A$2:G$55,4,0)</f>
        <v>72.56</v>
      </c>
      <c r="CE26">
        <f>VLOOKUP(A26,RTN!A$2:G$55,4,0)</f>
        <v>90.97</v>
      </c>
      <c r="CF26">
        <f>VLOOKUP(A26,SBUX!A$2:G$55,4,0)</f>
        <v>76.430000000000007</v>
      </c>
      <c r="CG26">
        <f>VLOOKUP(A26,SLB!A$2:G$55,4,0)</f>
        <v>106.35</v>
      </c>
      <c r="CH26">
        <f>VLOOKUP(A26,SO!A$2:G$55,4,0)</f>
        <v>42.45</v>
      </c>
      <c r="CI26">
        <f>VLOOKUP(A26,SPG!A$2:G$55,4,0)</f>
        <v>165.98</v>
      </c>
      <c r="CJ26">
        <f>VLOOKUP(A26,T!A$2:G$55,4,0)</f>
        <v>35.01</v>
      </c>
      <c r="CK26">
        <f>VLOOKUP(A26,TGT!A$2:G$55,4,0)</f>
        <v>57.81</v>
      </c>
      <c r="CL26">
        <f>VLOOKUP(A26,TWX!A$2:G$55,4,0)</f>
        <v>84.42</v>
      </c>
      <c r="CM26">
        <f>VLOOKUP(A26,TXN!A$2:G$55,4,0)</f>
        <v>45.92</v>
      </c>
      <c r="CN26">
        <f>VLOOKUP(A26,UNH!A$2:G$55,4,0)</f>
        <v>80.569999999999993</v>
      </c>
      <c r="CO26">
        <f>VLOOKUP(A26,UNP!A$2:G$55,4,0)</f>
        <v>97.4</v>
      </c>
      <c r="CP26">
        <f>VLOOKUP(A26,UPS!A$2:G$55,4,0)</f>
        <v>96.13</v>
      </c>
      <c r="CQ26">
        <f>VLOOKUP(A26,USB!A$2:G$55,4,0)</f>
        <v>41.02</v>
      </c>
      <c r="CR26">
        <f>VLOOKUP(A26,UTX!A$2:G$55,4,0)</f>
        <v>104.48</v>
      </c>
      <c r="CS26">
        <f>VLOOKUP(A26,V!A$2:G$55,4,0)</f>
        <v>209.17</v>
      </c>
      <c r="CT26">
        <f>VLOOKUP(A26,VZ!A$2:G$55,4,0)</f>
        <v>49.5</v>
      </c>
      <c r="CU26">
        <f>VLOOKUP(A26,WAG!A$2:G$55,4,0)</f>
        <v>66.5</v>
      </c>
      <c r="CV26">
        <f>VLOOKUP(A26,WFC!A$2:G$55,4,0)</f>
        <v>50.26</v>
      </c>
      <c r="CW26">
        <f>VLOOKUP(A26,WMT!A$2:G$55,4,0)</f>
        <v>72.77</v>
      </c>
    </row>
    <row r="27" spans="1:101" x14ac:dyDescent="0.25">
      <c r="A27" s="34">
        <v>41857</v>
      </c>
      <c r="B27" s="36">
        <v>94.71</v>
      </c>
      <c r="C27">
        <f>VLOOKUP(A27,ABBV!A$2:G$55,4,0)</f>
        <v>51.37</v>
      </c>
      <c r="D27">
        <f>VLOOKUP(A27,ABT!A$2:G$55,4,0)</f>
        <v>41.44</v>
      </c>
      <c r="E27">
        <f>VLOOKUP(A27,ACN!A$2:G$55,4,0)</f>
        <v>76.87</v>
      </c>
      <c r="F27">
        <f>VLOOKUP(A27,AIG!A$2:G$55,4,0)</f>
        <v>51.9</v>
      </c>
      <c r="G27">
        <f>VLOOKUP(A27,ALL!A$2:G$55,4,0)</f>
        <v>58.72</v>
      </c>
      <c r="H27">
        <f>VLOOKUP(A27,AMGN!A$2:G$55,4,0)</f>
        <v>126.53</v>
      </c>
      <c r="I27">
        <f>VLOOKUP(A27,AMZN!A$2:G$55,4,0)</f>
        <v>310.2</v>
      </c>
      <c r="J27">
        <f>VLOOKUP(A27,APA!A$2:G$55,4,0)</f>
        <v>98.88</v>
      </c>
      <c r="K27">
        <f>VLOOKUP(A27,APC!A$2:G$55,4,0)</f>
        <v>106.5</v>
      </c>
      <c r="L27">
        <f>VLOOKUP(A27,AXP!A$2:G$55,4,0)</f>
        <v>86</v>
      </c>
      <c r="M27">
        <f>VLOOKUP(A27,BA!A$2:G$55,4,0)</f>
        <v>117.87</v>
      </c>
      <c r="N27">
        <f>VLOOKUP(A27,BAC!A$2:G$55,4,0)</f>
        <v>15.14</v>
      </c>
      <c r="O27">
        <f>VLOOKUP(A27,BAX!A$2:G$55,4,0)</f>
        <v>74.05</v>
      </c>
      <c r="P27">
        <f>VLOOKUP(A27,BIIB!A$2:G$55,4,0)</f>
        <v>322</v>
      </c>
      <c r="Q27">
        <f>VLOOKUP(A27,BK!A$2:G$55,4,0)</f>
        <v>38.69</v>
      </c>
      <c r="R27">
        <f>VLOOKUP(A27,BMY!A$2:G$55,4,0)</f>
        <v>49.06</v>
      </c>
      <c r="T27">
        <f>VLOOKUP(A27,'C'!A$2:G$55,4,0)</f>
        <v>47.75</v>
      </c>
      <c r="U27">
        <f>VLOOKUP(A27,CAT!A$2:G$55,4,0)</f>
        <v>100.61</v>
      </c>
      <c r="V27">
        <f>VLOOKUP(A27,CL!A$2:G$55,4,0)</f>
        <v>63.92</v>
      </c>
      <c r="W27">
        <f>VLOOKUP(A27,CMCSA!A$2:G$55,4,0)</f>
        <v>52.79</v>
      </c>
      <c r="X27">
        <f>VLOOKUP(A27,COF!A$2:G$55,4,0)</f>
        <v>78.25</v>
      </c>
      <c r="Y27">
        <f>VLOOKUP(A27,COP!A$2:G$55,4,0)</f>
        <v>79.5</v>
      </c>
      <c r="Z27">
        <f>VLOOKUP(A27,COST!A$2:G$55,4,0)</f>
        <v>117.8</v>
      </c>
      <c r="AA27">
        <f>VLOOKUP(A27,CSCO!A$2:G$55,4,0)</f>
        <v>24.85</v>
      </c>
      <c r="AB27">
        <f>VLOOKUP(A27,CVS!A$2:G$55,4,0)</f>
        <v>74.69</v>
      </c>
      <c r="AC27">
        <f>VLOOKUP(A27,CVX!A$2:G$55,4,0)</f>
        <v>124.8</v>
      </c>
      <c r="AD27">
        <f>VLOOKUP(A27,DD!A$2:G$55,4,0)</f>
        <v>63.89</v>
      </c>
      <c r="AE27">
        <f>VLOOKUP(A27,DIS!A$2:G$55,4,0)</f>
        <v>86.17</v>
      </c>
      <c r="AF27">
        <f>VLOOKUP(A27,DOW!A$2:G$55,4,0)</f>
        <v>50.34</v>
      </c>
      <c r="AG27">
        <f>VLOOKUP(A27,DVN!A$2:G$55,4,0)</f>
        <v>71.48</v>
      </c>
      <c r="AH27">
        <f>VLOOKUP(A27,EBAY!A$2:G$55,4,0)</f>
        <v>52.8</v>
      </c>
      <c r="AI27">
        <f>VLOOKUP(A27,EMC!A$2:G$55,4,0)</f>
        <v>28.98</v>
      </c>
      <c r="AJ27">
        <f>VLOOKUP(A27,EMR!A$2:G$55,4,0)</f>
        <v>61.54</v>
      </c>
      <c r="AK27">
        <f>VLOOKUP(A27,EXC!A$2:G$55,4,0)</f>
        <v>30.73</v>
      </c>
      <c r="AL27">
        <f>VLOOKUP(A27,F!A$2:G$55,4,0)</f>
        <v>16.739999999999998</v>
      </c>
      <c r="AM27">
        <f>VLOOKUP(A27,FB!A$2:G$55,4,0)</f>
        <v>71.790000000000006</v>
      </c>
      <c r="AN27">
        <f>VLOOKUP(A27,FCX!A$2:G$55,4,0)</f>
        <v>36.57</v>
      </c>
      <c r="AO27">
        <f>VLOOKUP(A27,FDX!A$2:G$55,4,0)</f>
        <v>145.08000000000001</v>
      </c>
      <c r="AP27">
        <f>VLOOKUP(A27,FOXA!A$2:G$55,4,0)</f>
        <v>32.200000000000003</v>
      </c>
      <c r="AQ27">
        <f>VLOOKUP(A27,GD!A$2:G$55,4,0)</f>
        <v>114.6</v>
      </c>
      <c r="AR27">
        <f>VLOOKUP(A27,GE!A$2:G$55,4,0)</f>
        <v>25.09</v>
      </c>
      <c r="AS27">
        <f>VLOOKUP(A27,GILD!A$2:G$55,4,0)</f>
        <v>91.09</v>
      </c>
      <c r="AT27">
        <f>VLOOKUP(A27,GM!A$2:G$55,4,0)</f>
        <v>33.229999999999997</v>
      </c>
      <c r="AU27">
        <f>VLOOKUP(A27,GOOG!A$2:G$55,4,0)</f>
        <v>560</v>
      </c>
      <c r="AV27">
        <f>VLOOKUP(A27,GOOGL!A$2:G$55,4,0)</f>
        <v>567.45000000000005</v>
      </c>
      <c r="AW27">
        <f>VLOOKUP(A27,GS!A$2:G$55,4,0)</f>
        <v>168.02</v>
      </c>
      <c r="AX27">
        <f>VLOOKUP(A27,HAL!A$2:G$55,4,0)</f>
        <v>67.150000000000006</v>
      </c>
      <c r="AY27">
        <f>VLOOKUP(A27,HD!A$2:G$55,4,0)</f>
        <v>79.849999999999994</v>
      </c>
      <c r="AZ27">
        <f>VLOOKUP(A27,HON!A$2:G$55,4,0)</f>
        <v>90.18</v>
      </c>
      <c r="BA27">
        <f>VLOOKUP(A27,HPQ!A$2:G$55,4,0)</f>
        <v>34.450000000000003</v>
      </c>
      <c r="BB27">
        <f>VLOOKUP(A27,IBM!A$2:G$55,4,0)</f>
        <v>184.44</v>
      </c>
      <c r="BC27">
        <f>VLOOKUP(A27,INTC!A$2:G$55,4,0)</f>
        <v>32.39</v>
      </c>
      <c r="BD27">
        <f>VLOOKUP(A27,JNJ!A$2:G$55,4,0)</f>
        <v>99.6</v>
      </c>
      <c r="BE27">
        <f>VLOOKUP(A27,JPM!A$2:G$55,4,0)</f>
        <v>55.83</v>
      </c>
      <c r="BF27">
        <f>VLOOKUP(A27,KO!A$2:G$55,4,0)</f>
        <v>39.130000000000003</v>
      </c>
      <c r="BG27">
        <f>VLOOKUP(A27,LLY!A$2:G$55,4,0)</f>
        <v>60.71</v>
      </c>
      <c r="BH27">
        <f>VLOOKUP(A27,LMT!A$2:G$55,4,0)</f>
        <v>162.71</v>
      </c>
      <c r="BI27">
        <f>VLOOKUP(A27,LOW!A$2:G$55,4,0)</f>
        <v>47.52</v>
      </c>
      <c r="BJ27">
        <f>VLOOKUP(A27,MA!A$2:G$55,4,0)</f>
        <v>74.69</v>
      </c>
      <c r="BK27">
        <f>VLOOKUP(A27,MCD!A$2:G$55,4,0)</f>
        <v>93.36</v>
      </c>
      <c r="BL27">
        <f>VLOOKUP(A27,MDLZ!A$2:G$55,4,0)</f>
        <v>35.119999999999997</v>
      </c>
      <c r="BM27">
        <f>VLOOKUP(A27,MDT!A$2:G$55,4,0)</f>
        <v>60.71</v>
      </c>
      <c r="BN27">
        <f>VLOOKUP(A27,MET!A$2:G$55,4,0)</f>
        <v>50.95</v>
      </c>
      <c r="BO27">
        <f>VLOOKUP(A27,MMM!A$2:G$55,4,0)</f>
        <v>138.43</v>
      </c>
      <c r="BP27">
        <f>VLOOKUP(A27,MO!A$2:G$55,4,0)</f>
        <v>40.47</v>
      </c>
      <c r="BQ27">
        <f>VLOOKUP(A27,MON!A$2:G$55,4,0)</f>
        <v>114.71</v>
      </c>
      <c r="BR27">
        <f>VLOOKUP(A27,MRK!A$2:G$55,4,0)</f>
        <v>55.72</v>
      </c>
      <c r="BS27">
        <f>VLOOKUP(A27,MS!A$2:G$55,4,0)</f>
        <v>31.19</v>
      </c>
      <c r="BT27">
        <f>VLOOKUP(A27,MSFT!A$2:G$55,4,0)</f>
        <v>42.21</v>
      </c>
      <c r="BU27">
        <f>VLOOKUP(A27,NKE!A$2:G$55,4,0)</f>
        <v>76.45</v>
      </c>
      <c r="BV27">
        <f>VLOOKUP(A27,NOV!A$2:G$55,4,0)</f>
        <v>81.14</v>
      </c>
      <c r="BW27">
        <f>VLOOKUP(A27,NSC!A$2:G$55,4,0)</f>
        <v>99.63</v>
      </c>
      <c r="BX27">
        <f>VLOOKUP(A27,ORCL!A$2:G$55,4,0)</f>
        <v>39.78</v>
      </c>
      <c r="BY27">
        <f>VLOOKUP(A27,OXY!A$2:G$55,4,0)</f>
        <v>98.72</v>
      </c>
      <c r="BZ27">
        <f>VLOOKUP(A27,PEP!A$2:G$55,4,0)</f>
        <v>88.43</v>
      </c>
      <c r="CA27">
        <f>VLOOKUP(A27,PFE!A$2:G$55,4,0)</f>
        <v>28.09</v>
      </c>
      <c r="CB27">
        <f>VLOOKUP(A27,PG!A$2:G$55,4,0)</f>
        <v>79.27</v>
      </c>
      <c r="CC27">
        <f>VLOOKUP(A27,PM!A$2:G$55,4,0)</f>
        <v>81.59</v>
      </c>
      <c r="CD27">
        <f>VLOOKUP(A27,QCOM!A$2:G$55,4,0)</f>
        <v>72.16</v>
      </c>
      <c r="CE27">
        <f>VLOOKUP(A27,RTN!A$2:G$55,4,0)</f>
        <v>89.26</v>
      </c>
      <c r="CF27">
        <f>VLOOKUP(A27,SBUX!A$2:G$55,4,0)</f>
        <v>76.27</v>
      </c>
      <c r="CG27">
        <f>VLOOKUP(A27,SLB!A$2:G$55,4,0)</f>
        <v>106.3</v>
      </c>
      <c r="CH27">
        <f>VLOOKUP(A27,SO!A$2:G$55,4,0)</f>
        <v>41.87</v>
      </c>
      <c r="CI27">
        <f>VLOOKUP(A27,SPG!A$2:G$55,4,0)</f>
        <v>165.16</v>
      </c>
      <c r="CJ27">
        <f>VLOOKUP(A27,T!A$2:G$55,4,0)</f>
        <v>34.36</v>
      </c>
      <c r="CK27">
        <f>VLOOKUP(A27,TGT!A$2:G$55,4,0)</f>
        <v>57.26</v>
      </c>
      <c r="CL27">
        <f>VLOOKUP(A27,TWX!A$2:G$55,4,0)</f>
        <v>74.06</v>
      </c>
      <c r="CM27">
        <f>VLOOKUP(A27,TXN!A$2:G$55,4,0)</f>
        <v>45.78</v>
      </c>
      <c r="CN27">
        <f>VLOOKUP(A27,UNH!A$2:G$55,4,0)</f>
        <v>80.739999999999995</v>
      </c>
      <c r="CO27">
        <f>VLOOKUP(A27,UNP!A$2:G$55,4,0)</f>
        <v>96.76</v>
      </c>
      <c r="CP27">
        <f>VLOOKUP(A27,UPS!A$2:G$55,4,0)</f>
        <v>95.23</v>
      </c>
      <c r="CQ27">
        <f>VLOOKUP(A27,USB!A$2:G$55,4,0)</f>
        <v>40.99</v>
      </c>
      <c r="CR27">
        <f>VLOOKUP(A27,UTX!A$2:G$55,4,0)</f>
        <v>103.14</v>
      </c>
      <c r="CS27">
        <f>VLOOKUP(A27,V!A$2:G$55,4,0)</f>
        <v>209.81</v>
      </c>
      <c r="CT27">
        <f>VLOOKUP(A27,VZ!A$2:G$55,4,0)</f>
        <v>48.36</v>
      </c>
      <c r="CU27">
        <f>VLOOKUP(A27,WAG!A$2:G$55,4,0)</f>
        <v>57.75</v>
      </c>
      <c r="CV27">
        <f>VLOOKUP(A27,WFC!A$2:G$55,4,0)</f>
        <v>49.83</v>
      </c>
      <c r="CW27">
        <f>VLOOKUP(A27,WMT!A$2:G$55,4,0)</f>
        <v>73.180000000000007</v>
      </c>
    </row>
    <row r="28" spans="1:101" x14ac:dyDescent="0.25">
      <c r="A28" s="34">
        <v>41858</v>
      </c>
      <c r="B28" s="36">
        <v>94.1</v>
      </c>
      <c r="C28">
        <f>VLOOKUP(A28,ABBV!A$2:G$55,4,0)</f>
        <v>51.42</v>
      </c>
      <c r="D28">
        <f>VLOOKUP(A28,ABT!A$2:G$55,4,0)</f>
        <v>41.48</v>
      </c>
      <c r="E28">
        <f>VLOOKUP(A28,ACN!A$2:G$55,4,0)</f>
        <v>77.34</v>
      </c>
      <c r="F28">
        <f>VLOOKUP(A28,AIG!A$2:G$55,4,0)</f>
        <v>51.98</v>
      </c>
      <c r="G28">
        <f>VLOOKUP(A28,ALL!A$2:G$55,4,0)</f>
        <v>59.13</v>
      </c>
      <c r="H28">
        <f>VLOOKUP(A28,AMGN!A$2:G$55,4,0)</f>
        <v>125.51</v>
      </c>
      <c r="I28">
        <f>VLOOKUP(A28,AMZN!A$2:G$55,4,0)</f>
        <v>309.64999999999998</v>
      </c>
      <c r="J28">
        <f>VLOOKUP(A28,APA!A$2:G$55,4,0)</f>
        <v>97.91</v>
      </c>
      <c r="K28">
        <f>VLOOKUP(A28,APC!A$2:G$55,4,0)</f>
        <v>106</v>
      </c>
      <c r="L28">
        <f>VLOOKUP(A28,AXP!A$2:G$55,4,0)</f>
        <v>85.89</v>
      </c>
      <c r="M28">
        <f>VLOOKUP(A28,BA!A$2:G$55,4,0)</f>
        <v>118.87</v>
      </c>
      <c r="N28">
        <f>VLOOKUP(A28,BAC!A$2:G$55,4,0)</f>
        <v>15.09</v>
      </c>
      <c r="O28">
        <f>VLOOKUP(A28,BAX!A$2:G$55,4,0)</f>
        <v>73.53</v>
      </c>
      <c r="P28">
        <f>VLOOKUP(A28,BIIB!A$2:G$55,4,0)</f>
        <v>319.8</v>
      </c>
      <c r="Q28">
        <f>VLOOKUP(A28,BK!A$2:G$55,4,0)</f>
        <v>38.33</v>
      </c>
      <c r="R28">
        <f>VLOOKUP(A28,BMY!A$2:G$55,4,0)</f>
        <v>48.51</v>
      </c>
      <c r="T28">
        <f>VLOOKUP(A28,'C'!A$2:G$55,4,0)</f>
        <v>47.89</v>
      </c>
      <c r="U28">
        <f>VLOOKUP(A28,CAT!A$2:G$55,4,0)</f>
        <v>101.88</v>
      </c>
      <c r="V28">
        <f>VLOOKUP(A28,CL!A$2:G$55,4,0)</f>
        <v>64.31</v>
      </c>
      <c r="W28">
        <f>VLOOKUP(A28,CMCSA!A$2:G$55,4,0)</f>
        <v>52.52</v>
      </c>
      <c r="X28">
        <f>VLOOKUP(A28,COF!A$2:G$55,4,0)</f>
        <v>77.88</v>
      </c>
      <c r="Y28">
        <f>VLOOKUP(A28,COP!A$2:G$55,4,0)</f>
        <v>79.17</v>
      </c>
      <c r="Z28">
        <f>VLOOKUP(A28,COST!A$2:G$55,4,0)</f>
        <v>117.47</v>
      </c>
      <c r="AA28">
        <f>VLOOKUP(A28,CSCO!A$2:G$55,4,0)</f>
        <v>24.69</v>
      </c>
      <c r="AB28">
        <f>VLOOKUP(A28,CVS!A$2:G$55,4,0)</f>
        <v>75.63</v>
      </c>
      <c r="AC28">
        <f>VLOOKUP(A28,CVX!A$2:G$55,4,0)</f>
        <v>124.83</v>
      </c>
      <c r="AD28">
        <f>VLOOKUP(A28,DD!A$2:G$55,4,0)</f>
        <v>64.22</v>
      </c>
      <c r="AE28">
        <f>VLOOKUP(A28,DIS!A$2:G$55,4,0)</f>
        <v>85.23</v>
      </c>
      <c r="AF28">
        <f>VLOOKUP(A28,DOW!A$2:G$55,4,0)</f>
        <v>51.19</v>
      </c>
      <c r="AG28">
        <f>VLOOKUP(A28,DVN!A$2:G$55,4,0)</f>
        <v>73.010000000000005</v>
      </c>
      <c r="AH28">
        <f>VLOOKUP(A28,EBAY!A$2:G$55,4,0)</f>
        <v>53.42</v>
      </c>
      <c r="AI28">
        <f>VLOOKUP(A28,EMC!A$2:G$55,4,0)</f>
        <v>28.8</v>
      </c>
      <c r="AJ28">
        <f>VLOOKUP(A28,EMR!A$2:G$55,4,0)</f>
        <v>61.65</v>
      </c>
      <c r="AK28">
        <f>VLOOKUP(A28,EXC!A$2:G$55,4,0)</f>
        <v>31.21</v>
      </c>
      <c r="AL28">
        <f>VLOOKUP(A28,F!A$2:G$55,4,0)</f>
        <v>16.77</v>
      </c>
      <c r="AM28">
        <f>VLOOKUP(A28,FB!A$2:G$55,4,0)</f>
        <v>72.7</v>
      </c>
      <c r="AN28">
        <f>VLOOKUP(A28,FCX!A$2:G$55,4,0)</f>
        <v>35.72</v>
      </c>
      <c r="AO28">
        <f>VLOOKUP(A28,FDX!A$2:G$55,4,0)</f>
        <v>145.91</v>
      </c>
      <c r="AP28">
        <f>VLOOKUP(A28,FOXA!A$2:G$55,4,0)</f>
        <v>33.69</v>
      </c>
      <c r="AQ28">
        <f>VLOOKUP(A28,GD!A$2:G$55,4,0)</f>
        <v>114.1</v>
      </c>
      <c r="AR28">
        <f>VLOOKUP(A28,GE!A$2:G$55,4,0)</f>
        <v>25.42</v>
      </c>
      <c r="AS28">
        <f>VLOOKUP(A28,GILD!A$2:G$55,4,0)</f>
        <v>91.66</v>
      </c>
      <c r="AT28">
        <f>VLOOKUP(A28,GM!A$2:G$55,4,0)</f>
        <v>32.799999999999997</v>
      </c>
      <c r="AU28">
        <f>VLOOKUP(A28,GOOG!A$2:G$55,4,0)</f>
        <v>561.1</v>
      </c>
      <c r="AV28">
        <f>VLOOKUP(A28,GOOGL!A$2:G$55,4,0)</f>
        <v>569.42999999999995</v>
      </c>
      <c r="AW28">
        <f>VLOOKUP(A28,GS!A$2:G$55,4,0)</f>
        <v>168.74</v>
      </c>
      <c r="AX28">
        <f>VLOOKUP(A28,HAL!A$2:G$55,4,0)</f>
        <v>67.03</v>
      </c>
      <c r="AY28">
        <f>VLOOKUP(A28,HD!A$2:G$55,4,0)</f>
        <v>80.290000000000006</v>
      </c>
      <c r="AZ28">
        <f>VLOOKUP(A28,HON!A$2:G$55,4,0)</f>
        <v>90.59</v>
      </c>
      <c r="BA28">
        <f>VLOOKUP(A28,HPQ!A$2:G$55,4,0)</f>
        <v>34.659999999999997</v>
      </c>
      <c r="BB28">
        <f>VLOOKUP(A28,IBM!A$2:G$55,4,0)</f>
        <v>183.58</v>
      </c>
      <c r="BC28">
        <f>VLOOKUP(A28,INTC!A$2:G$55,4,0)</f>
        <v>32.54</v>
      </c>
      <c r="BD28">
        <f>VLOOKUP(A28,JNJ!A$2:G$55,4,0)</f>
        <v>99.58</v>
      </c>
      <c r="BE28">
        <f>VLOOKUP(A28,JPM!A$2:G$55,4,0)</f>
        <v>55.68</v>
      </c>
      <c r="BF28">
        <f>VLOOKUP(A28,KO!A$2:G$55,4,0)</f>
        <v>39.33</v>
      </c>
      <c r="BG28">
        <f>VLOOKUP(A28,LLY!A$2:G$55,4,0)</f>
        <v>60.14</v>
      </c>
      <c r="BH28">
        <f>VLOOKUP(A28,LMT!A$2:G$55,4,0)</f>
        <v>162.52000000000001</v>
      </c>
      <c r="BI28">
        <f>VLOOKUP(A28,LOW!A$2:G$55,4,0)</f>
        <v>47.8</v>
      </c>
      <c r="BJ28">
        <f>VLOOKUP(A28,MA!A$2:G$55,4,0)</f>
        <v>73.819999999999993</v>
      </c>
      <c r="BK28">
        <f>VLOOKUP(A28,MCD!A$2:G$55,4,0)</f>
        <v>93.24</v>
      </c>
      <c r="BL28">
        <f>VLOOKUP(A28,MDLZ!A$2:G$55,4,0)</f>
        <v>34.92</v>
      </c>
      <c r="BM28">
        <f>VLOOKUP(A28,MDT!A$2:G$55,4,0)</f>
        <v>60.68</v>
      </c>
      <c r="BN28">
        <f>VLOOKUP(A28,MET!A$2:G$55,4,0)</f>
        <v>50.91</v>
      </c>
      <c r="BO28">
        <f>VLOOKUP(A28,MMM!A$2:G$55,4,0)</f>
        <v>138.96</v>
      </c>
      <c r="BP28">
        <f>VLOOKUP(A28,MO!A$2:G$55,4,0)</f>
        <v>40.909999999999997</v>
      </c>
      <c r="BQ28">
        <f>VLOOKUP(A28,MON!A$2:G$55,4,0)</f>
        <v>114.93</v>
      </c>
      <c r="BR28">
        <f>VLOOKUP(A28,MRK!A$2:G$55,4,0)</f>
        <v>55.57</v>
      </c>
      <c r="BS28">
        <f>VLOOKUP(A28,MS!A$2:G$55,4,0)</f>
        <v>31.22</v>
      </c>
      <c r="BT28">
        <f>VLOOKUP(A28,MSFT!A$2:G$55,4,0)</f>
        <v>42.65</v>
      </c>
      <c r="BU28">
        <f>VLOOKUP(A28,NKE!A$2:G$55,4,0)</f>
        <v>75.98</v>
      </c>
      <c r="BV28">
        <f>VLOOKUP(A28,NOV!A$2:G$55,4,0)</f>
        <v>81.31</v>
      </c>
      <c r="BW28">
        <f>VLOOKUP(A28,NSC!A$2:G$55,4,0)</f>
        <v>99.76</v>
      </c>
      <c r="BX28">
        <f>VLOOKUP(A28,ORCL!A$2:G$55,4,0)</f>
        <v>39.590000000000003</v>
      </c>
      <c r="BY28">
        <f>VLOOKUP(A28,OXY!A$2:G$55,4,0)</f>
        <v>97.77</v>
      </c>
      <c r="BZ28">
        <f>VLOOKUP(A28,PEP!A$2:G$55,4,0)</f>
        <v>89.54</v>
      </c>
      <c r="CA28">
        <f>VLOOKUP(A28,PFE!A$2:G$55,4,0)</f>
        <v>27.92</v>
      </c>
      <c r="CB28">
        <f>VLOOKUP(A28,PG!A$2:G$55,4,0)</f>
        <v>80.010000000000005</v>
      </c>
      <c r="CC28">
        <f>VLOOKUP(A28,PM!A$2:G$55,4,0)</f>
        <v>82.38</v>
      </c>
      <c r="CD28">
        <f>VLOOKUP(A28,QCOM!A$2:G$55,4,0)</f>
        <v>72.34</v>
      </c>
      <c r="CE28">
        <f>VLOOKUP(A28,RTN!A$2:G$55,4,0)</f>
        <v>89.17</v>
      </c>
      <c r="CF28">
        <f>VLOOKUP(A28,SBUX!A$2:G$55,4,0)</f>
        <v>76.56</v>
      </c>
      <c r="CG28">
        <f>VLOOKUP(A28,SLB!A$2:G$55,4,0)</f>
        <v>106.6</v>
      </c>
      <c r="CH28">
        <f>VLOOKUP(A28,SO!A$2:G$55,4,0)</f>
        <v>42.26</v>
      </c>
      <c r="CI28">
        <f>VLOOKUP(A28,SPG!A$2:G$55,4,0)</f>
        <v>165.02</v>
      </c>
      <c r="CJ28">
        <f>VLOOKUP(A28,T!A$2:G$55,4,0)</f>
        <v>34.17</v>
      </c>
      <c r="CK28">
        <f>VLOOKUP(A28,TGT!A$2:G$55,4,0)</f>
        <v>57.27</v>
      </c>
      <c r="CL28">
        <f>VLOOKUP(A28,TWX!A$2:G$55,4,0)</f>
        <v>71.58</v>
      </c>
      <c r="CM28">
        <f>VLOOKUP(A28,TXN!A$2:G$55,4,0)</f>
        <v>45.6</v>
      </c>
      <c r="CN28">
        <f>VLOOKUP(A28,UNH!A$2:G$55,4,0)</f>
        <v>79.16</v>
      </c>
      <c r="CO28">
        <f>VLOOKUP(A28,UNP!A$2:G$55,4,0)</f>
        <v>97.27</v>
      </c>
      <c r="CP28">
        <f>VLOOKUP(A28,UPS!A$2:G$55,4,0)</f>
        <v>94.92</v>
      </c>
      <c r="CQ28">
        <f>VLOOKUP(A28,USB!A$2:G$55,4,0)</f>
        <v>40.58</v>
      </c>
      <c r="CR28">
        <f>VLOOKUP(A28,UTX!A$2:G$55,4,0)</f>
        <v>103.74</v>
      </c>
      <c r="CS28">
        <f>VLOOKUP(A28,V!A$2:G$55,4,0)</f>
        <v>208.6</v>
      </c>
      <c r="CT28">
        <f>VLOOKUP(A28,VZ!A$2:G$55,4,0)</f>
        <v>48.45</v>
      </c>
      <c r="CU28">
        <f>VLOOKUP(A28,WAG!A$2:G$55,4,0)</f>
        <v>58.93</v>
      </c>
      <c r="CV28">
        <f>VLOOKUP(A28,WFC!A$2:G$55,4,0)</f>
        <v>49.6</v>
      </c>
      <c r="CW28">
        <f>VLOOKUP(A28,WMT!A$2:G$55,4,0)</f>
        <v>73.760000000000005</v>
      </c>
    </row>
    <row r="29" spans="1:101" x14ac:dyDescent="0.25">
      <c r="A29" s="34">
        <v>41859</v>
      </c>
      <c r="B29" s="36">
        <v>93.28</v>
      </c>
      <c r="C29">
        <f>VLOOKUP(A29,ABBV!A$2:G$55,4,0)</f>
        <v>52.29</v>
      </c>
      <c r="D29">
        <f>VLOOKUP(A29,ABT!A$2:G$55,4,0)</f>
        <v>41.15</v>
      </c>
      <c r="E29">
        <f>VLOOKUP(A29,ACN!A$2:G$55,4,0)</f>
        <v>77.38</v>
      </c>
      <c r="F29">
        <f>VLOOKUP(A29,AIG!A$2:G$55,4,0)</f>
        <v>51.98</v>
      </c>
      <c r="G29">
        <f>VLOOKUP(A29,ALL!A$2:G$55,4,0)</f>
        <v>58.99</v>
      </c>
      <c r="H29">
        <f>VLOOKUP(A29,AMGN!A$2:G$55,4,0)</f>
        <v>125.14</v>
      </c>
      <c r="I29">
        <f>VLOOKUP(A29,AMZN!A$2:G$55,4,0)</f>
        <v>310.66000000000003</v>
      </c>
      <c r="J29">
        <f>VLOOKUP(A29,APA!A$2:G$55,4,0)</f>
        <v>98.64</v>
      </c>
      <c r="K29">
        <f>VLOOKUP(A29,APC!A$2:G$55,4,0)</f>
        <v>106.59</v>
      </c>
      <c r="L29">
        <f>VLOOKUP(A29,AXP!A$2:G$55,4,0)</f>
        <v>85.91</v>
      </c>
      <c r="M29">
        <f>VLOOKUP(A29,BA!A$2:G$55,4,0)</f>
        <v>119.28</v>
      </c>
      <c r="N29">
        <f>VLOOKUP(A29,BAC!A$2:G$55,4,0)</f>
        <v>14.99</v>
      </c>
      <c r="O29">
        <f>VLOOKUP(A29,BAX!A$2:G$55,4,0)</f>
        <v>73.260000000000005</v>
      </c>
      <c r="P29">
        <f>VLOOKUP(A29,BIIB!A$2:G$55,4,0)</f>
        <v>319.32</v>
      </c>
      <c r="Q29">
        <f>VLOOKUP(A29,BK!A$2:G$55,4,0)</f>
        <v>38.24</v>
      </c>
      <c r="R29">
        <f>VLOOKUP(A29,BMY!A$2:G$55,4,0)</f>
        <v>48.52</v>
      </c>
      <c r="T29">
        <f>VLOOKUP(A29,'C'!A$2:G$55,4,0)</f>
        <v>47.78</v>
      </c>
      <c r="U29">
        <f>VLOOKUP(A29,CAT!A$2:G$55,4,0)</f>
        <v>101.78</v>
      </c>
      <c r="V29">
        <f>VLOOKUP(A29,CL!A$2:G$55,4,0)</f>
        <v>64.319999999999993</v>
      </c>
      <c r="W29">
        <f>VLOOKUP(A29,CMCSA!A$2:G$55,4,0)</f>
        <v>52.69</v>
      </c>
      <c r="X29">
        <f>VLOOKUP(A29,COF!A$2:G$55,4,0)</f>
        <v>77.7</v>
      </c>
      <c r="Y29">
        <f>VLOOKUP(A29,COP!A$2:G$55,4,0)</f>
        <v>79.69</v>
      </c>
      <c r="Z29">
        <f>VLOOKUP(A29,COST!A$2:G$55,4,0)</f>
        <v>117.81</v>
      </c>
      <c r="AA29">
        <f>VLOOKUP(A29,CSCO!A$2:G$55,4,0)</f>
        <v>24.74</v>
      </c>
      <c r="AB29">
        <f>VLOOKUP(A29,CVS!A$2:G$55,4,0)</f>
        <v>76.180000000000007</v>
      </c>
      <c r="AC29">
        <f>VLOOKUP(A29,CVX!A$2:G$55,4,0)</f>
        <v>125.91</v>
      </c>
      <c r="AD29">
        <f>VLOOKUP(A29,DD!A$2:G$55,4,0)</f>
        <v>64.13</v>
      </c>
      <c r="AE29">
        <f>VLOOKUP(A29,DIS!A$2:G$55,4,0)</f>
        <v>85.62</v>
      </c>
      <c r="AF29">
        <f>VLOOKUP(A29,DOW!A$2:G$55,4,0)</f>
        <v>51.24</v>
      </c>
      <c r="AG29">
        <f>VLOOKUP(A29,DVN!A$2:G$55,4,0)</f>
        <v>73.099999999999994</v>
      </c>
      <c r="AH29">
        <f>VLOOKUP(A29,EBAY!A$2:G$55,4,0)</f>
        <v>53.15</v>
      </c>
      <c r="AI29">
        <f>VLOOKUP(A29,EMC!A$2:G$55,4,0)</f>
        <v>28.88</v>
      </c>
      <c r="AJ29">
        <f>VLOOKUP(A29,EMR!A$2:G$55,4,0)</f>
        <v>61.91</v>
      </c>
      <c r="AK29">
        <f>VLOOKUP(A29,EXC!A$2:G$55,4,0)</f>
        <v>31.56</v>
      </c>
      <c r="AL29">
        <f>VLOOKUP(A29,F!A$2:G$55,4,0)</f>
        <v>16.75</v>
      </c>
      <c r="AM29">
        <f>VLOOKUP(A29,FB!A$2:G$55,4,0)</f>
        <v>72.56</v>
      </c>
      <c r="AN29">
        <f>VLOOKUP(A29,FCX!A$2:G$55,4,0)</f>
        <v>36.01</v>
      </c>
      <c r="AO29">
        <f>VLOOKUP(A29,FDX!A$2:G$55,4,0)</f>
        <v>145.62</v>
      </c>
      <c r="AP29">
        <f>VLOOKUP(A29,FOXA!A$2:G$55,4,0)</f>
        <v>33.700000000000003</v>
      </c>
      <c r="AQ29">
        <f>VLOOKUP(A29,GD!A$2:G$55,4,0)</f>
        <v>114.6</v>
      </c>
      <c r="AR29">
        <f>VLOOKUP(A29,GE!A$2:G$55,4,0)</f>
        <v>25.3</v>
      </c>
      <c r="AS29">
        <f>VLOOKUP(A29,GILD!A$2:G$55,4,0)</f>
        <v>90.82</v>
      </c>
      <c r="AT29">
        <f>VLOOKUP(A29,GM!A$2:G$55,4,0)</f>
        <v>33.090000000000003</v>
      </c>
      <c r="AU29">
        <f>VLOOKUP(A29,GOOG!A$2:G$55,4,0)</f>
        <v>560.35</v>
      </c>
      <c r="AV29">
        <f>VLOOKUP(A29,GOOGL!A$2:G$55,4,0)</f>
        <v>569.02</v>
      </c>
      <c r="AW29">
        <f>VLOOKUP(A29,GS!A$2:G$55,4,0)</f>
        <v>168.68</v>
      </c>
      <c r="AX29">
        <f>VLOOKUP(A29,HAL!A$2:G$55,4,0)</f>
        <v>67.25</v>
      </c>
      <c r="AY29">
        <f>VLOOKUP(A29,HD!A$2:G$55,4,0)</f>
        <v>80.88</v>
      </c>
      <c r="AZ29">
        <f>VLOOKUP(A29,HON!A$2:G$55,4,0)</f>
        <v>90.88</v>
      </c>
      <c r="BA29">
        <f>VLOOKUP(A29,HPQ!A$2:G$55,4,0)</f>
        <v>34.630000000000003</v>
      </c>
      <c r="BB29">
        <f>VLOOKUP(A29,IBM!A$2:G$55,4,0)</f>
        <v>183.58</v>
      </c>
      <c r="BC29">
        <f>VLOOKUP(A29,INTC!A$2:G$55,4,0)</f>
        <v>32.54</v>
      </c>
      <c r="BD29">
        <f>VLOOKUP(A29,JNJ!A$2:G$55,4,0)</f>
        <v>99.77</v>
      </c>
      <c r="BE29">
        <f>VLOOKUP(A29,JPM!A$2:G$55,4,0)</f>
        <v>55.64</v>
      </c>
      <c r="BF29">
        <f>VLOOKUP(A29,KO!A$2:G$55,4,0)</f>
        <v>39.26</v>
      </c>
      <c r="BG29">
        <f>VLOOKUP(A29,LLY!A$2:G$55,4,0)</f>
        <v>60.34</v>
      </c>
      <c r="BH29">
        <f>VLOOKUP(A29,LMT!A$2:G$55,4,0)</f>
        <v>163.1</v>
      </c>
      <c r="BI29">
        <f>VLOOKUP(A29,LOW!A$2:G$55,4,0)</f>
        <v>48.2</v>
      </c>
      <c r="BJ29">
        <f>VLOOKUP(A29,MA!A$2:G$55,4,0)</f>
        <v>73.75</v>
      </c>
      <c r="BK29">
        <f>VLOOKUP(A29,MCD!A$2:G$55,4,0)</f>
        <v>92.92</v>
      </c>
      <c r="BL29">
        <f>VLOOKUP(A29,MDLZ!A$2:G$55,4,0)</f>
        <v>35.1</v>
      </c>
      <c r="BM29">
        <f>VLOOKUP(A29,MDT!A$2:G$55,4,0)</f>
        <v>60.76</v>
      </c>
      <c r="BN29">
        <f>VLOOKUP(A29,MET!A$2:G$55,4,0)</f>
        <v>50.81</v>
      </c>
      <c r="BO29">
        <f>VLOOKUP(A29,MMM!A$2:G$55,4,0)</f>
        <v>138.88999999999999</v>
      </c>
      <c r="BP29">
        <f>VLOOKUP(A29,MO!A$2:G$55,4,0)</f>
        <v>41.13</v>
      </c>
      <c r="BQ29">
        <f>VLOOKUP(A29,MON!A$2:G$55,4,0)</f>
        <v>114.6</v>
      </c>
      <c r="BR29">
        <f>VLOOKUP(A29,MRK!A$2:G$55,4,0)</f>
        <v>55.58</v>
      </c>
      <c r="BS29">
        <f>VLOOKUP(A29,MS!A$2:G$55,4,0)</f>
        <v>31.12</v>
      </c>
      <c r="BT29">
        <f>VLOOKUP(A29,MSFT!A$2:G$55,4,0)</f>
        <v>42.91</v>
      </c>
      <c r="BU29">
        <f>VLOOKUP(A29,NKE!A$2:G$55,4,0)</f>
        <v>75.900000000000006</v>
      </c>
      <c r="BV29">
        <f>VLOOKUP(A29,NOV!A$2:G$55,4,0)</f>
        <v>81.41</v>
      </c>
      <c r="BW29">
        <f>VLOOKUP(A29,NSC!A$2:G$55,4,0)</f>
        <v>99.82</v>
      </c>
      <c r="BX29">
        <f>VLOOKUP(A29,ORCL!A$2:G$55,4,0)</f>
        <v>39.56</v>
      </c>
      <c r="BY29">
        <f>VLOOKUP(A29,OXY!A$2:G$55,4,0)</f>
        <v>98.36</v>
      </c>
      <c r="BZ29">
        <f>VLOOKUP(A29,PEP!A$2:G$55,4,0)</f>
        <v>89.51</v>
      </c>
      <c r="CA29">
        <f>VLOOKUP(A29,PFE!A$2:G$55,4,0)</f>
        <v>27.87</v>
      </c>
      <c r="CB29">
        <f>VLOOKUP(A29,PG!A$2:G$55,4,0)</f>
        <v>80.040000000000006</v>
      </c>
      <c r="CC29">
        <f>VLOOKUP(A29,PM!A$2:G$55,4,0)</f>
        <v>82.6</v>
      </c>
      <c r="CD29">
        <f>VLOOKUP(A29,QCOM!A$2:G$55,4,0)</f>
        <v>72.5</v>
      </c>
      <c r="CE29">
        <f>VLOOKUP(A29,RTN!A$2:G$55,4,0)</f>
        <v>89.61</v>
      </c>
      <c r="CF29">
        <f>VLOOKUP(A29,SBUX!A$2:G$55,4,0)</f>
        <v>76.510000000000005</v>
      </c>
      <c r="CG29">
        <f>VLOOKUP(A29,SLB!A$2:G$55,4,0)</f>
        <v>107.2</v>
      </c>
      <c r="CH29">
        <f>VLOOKUP(A29,SO!A$2:G$55,4,0)</f>
        <v>42.7</v>
      </c>
      <c r="CI29">
        <f>VLOOKUP(A29,SPG!A$2:G$55,4,0)</f>
        <v>165.14</v>
      </c>
      <c r="CJ29">
        <f>VLOOKUP(A29,T!A$2:G$55,4,0)</f>
        <v>34.18</v>
      </c>
      <c r="CK29">
        <f>VLOOKUP(A29,TGT!A$2:G$55,4,0)</f>
        <v>57.62</v>
      </c>
      <c r="CL29">
        <f>VLOOKUP(A29,TWX!A$2:G$55,4,0)</f>
        <v>72.02</v>
      </c>
      <c r="CM29">
        <f>VLOOKUP(A29,TXN!A$2:G$55,4,0)</f>
        <v>45.85</v>
      </c>
      <c r="CN29">
        <f>VLOOKUP(A29,UNH!A$2:G$55,4,0)</f>
        <v>78.739999999999995</v>
      </c>
      <c r="CO29">
        <f>VLOOKUP(A29,UNP!A$2:G$55,4,0)</f>
        <v>97.05</v>
      </c>
      <c r="CP29">
        <f>VLOOKUP(A29,UPS!A$2:G$55,4,0)</f>
        <v>94.87</v>
      </c>
      <c r="CQ29">
        <f>VLOOKUP(A29,USB!A$2:G$55,4,0)</f>
        <v>40.68</v>
      </c>
      <c r="CR29">
        <f>VLOOKUP(A29,UTX!A$2:G$55,4,0)</f>
        <v>104.12</v>
      </c>
      <c r="CS29">
        <f>VLOOKUP(A29,V!A$2:G$55,4,0)</f>
        <v>208.21</v>
      </c>
      <c r="CT29">
        <f>VLOOKUP(A29,VZ!A$2:G$55,4,0)</f>
        <v>48.2</v>
      </c>
      <c r="CU29">
        <f>VLOOKUP(A29,WAG!A$2:G$55,4,0)</f>
        <v>60.67</v>
      </c>
      <c r="CV29">
        <f>VLOOKUP(A29,WFC!A$2:G$55,4,0)</f>
        <v>49.47</v>
      </c>
      <c r="CW29">
        <f>VLOOKUP(A29,WMT!A$2:G$55,4,0)</f>
        <v>73.849999999999994</v>
      </c>
    </row>
    <row r="30" spans="1:101" x14ac:dyDescent="0.25">
      <c r="A30" s="34">
        <v>41862</v>
      </c>
      <c r="B30" s="36">
        <v>94.84</v>
      </c>
      <c r="C30">
        <f>VLOOKUP(A30,ABBV!A$2:G$55,4,0)</f>
        <v>52.77</v>
      </c>
      <c r="D30">
        <f>VLOOKUP(A30,ABT!A$2:G$55,4,0)</f>
        <v>41.63</v>
      </c>
      <c r="E30">
        <f>VLOOKUP(A30,ACN!A$2:G$55,4,0)</f>
        <v>78.61</v>
      </c>
      <c r="F30">
        <f>VLOOKUP(A30,AIG!A$2:G$55,4,0)</f>
        <v>52.4</v>
      </c>
      <c r="G30">
        <f>VLOOKUP(A30,ALL!A$2:G$55,4,0)</f>
        <v>59.4</v>
      </c>
      <c r="H30">
        <f>VLOOKUP(A30,AMGN!A$2:G$55,4,0)</f>
        <v>126.58</v>
      </c>
      <c r="I30">
        <f>VLOOKUP(A30,AMZN!A$2:G$55,4,0)</f>
        <v>316.88</v>
      </c>
      <c r="J30">
        <f>VLOOKUP(A30,APA!A$2:G$55,4,0)</f>
        <v>99.71</v>
      </c>
      <c r="K30">
        <f>VLOOKUP(A30,APC!A$2:G$55,4,0)</f>
        <v>108.38</v>
      </c>
      <c r="L30">
        <f>VLOOKUP(A30,AXP!A$2:G$55,4,0)</f>
        <v>86.94</v>
      </c>
      <c r="M30">
        <f>VLOOKUP(A30,BA!A$2:G$55,4,0)</f>
        <v>120.75</v>
      </c>
      <c r="N30">
        <f>VLOOKUP(A30,BAC!A$2:G$55,4,0)</f>
        <v>15.15</v>
      </c>
      <c r="O30">
        <f>VLOOKUP(A30,BAX!A$2:G$55,4,0)</f>
        <v>74.06</v>
      </c>
      <c r="P30">
        <f>VLOOKUP(A30,BIIB!A$2:G$55,4,0)</f>
        <v>319.07</v>
      </c>
      <c r="Q30">
        <f>VLOOKUP(A30,BK!A$2:G$55,4,0)</f>
        <v>38.29</v>
      </c>
      <c r="R30">
        <f>VLOOKUP(A30,BMY!A$2:G$55,4,0)</f>
        <v>49</v>
      </c>
      <c r="T30">
        <f>VLOOKUP(A30,'C'!A$2:G$55,4,0)</f>
        <v>48.23</v>
      </c>
      <c r="U30">
        <f>VLOOKUP(A30,CAT!A$2:G$55,4,0)</f>
        <v>103.93</v>
      </c>
      <c r="V30">
        <f>VLOOKUP(A30,CL!A$2:G$55,4,0)</f>
        <v>65.010000000000005</v>
      </c>
      <c r="W30">
        <f>VLOOKUP(A30,CMCSA!A$2:G$55,4,0)</f>
        <v>53.54</v>
      </c>
      <c r="X30">
        <f>VLOOKUP(A30,COF!A$2:G$55,4,0)</f>
        <v>78.59</v>
      </c>
      <c r="Y30">
        <f>VLOOKUP(A30,COP!A$2:G$55,4,0)</f>
        <v>80.760000000000005</v>
      </c>
      <c r="Z30">
        <f>VLOOKUP(A30,COST!A$2:G$55,4,0)</f>
        <v>118.7</v>
      </c>
      <c r="AA30">
        <f>VLOOKUP(A30,CSCO!A$2:G$55,4,0)</f>
        <v>25.01</v>
      </c>
      <c r="AB30">
        <f>VLOOKUP(A30,CVS!A$2:G$55,4,0)</f>
        <v>77.95</v>
      </c>
      <c r="AC30">
        <f>VLOOKUP(A30,CVX!A$2:G$55,4,0)</f>
        <v>127.54</v>
      </c>
      <c r="AD30">
        <f>VLOOKUP(A30,DD!A$2:G$55,4,0)</f>
        <v>64.89</v>
      </c>
      <c r="AE30">
        <f>VLOOKUP(A30,DIS!A$2:G$55,4,0)</f>
        <v>87.05</v>
      </c>
      <c r="AF30">
        <f>VLOOKUP(A30,DOW!A$2:G$55,4,0)</f>
        <v>51.79</v>
      </c>
      <c r="AG30">
        <f>VLOOKUP(A30,DVN!A$2:G$55,4,0)</f>
        <v>74.13</v>
      </c>
      <c r="AH30">
        <f>VLOOKUP(A30,EBAY!A$2:G$55,4,0)</f>
        <v>53.73</v>
      </c>
      <c r="AI30">
        <f>VLOOKUP(A30,EMC!A$2:G$55,4,0)</f>
        <v>29.05</v>
      </c>
      <c r="AJ30">
        <f>VLOOKUP(A30,EMR!A$2:G$55,4,0)</f>
        <v>62.51</v>
      </c>
      <c r="AK30">
        <f>VLOOKUP(A30,EXC!A$2:G$55,4,0)</f>
        <v>32.01</v>
      </c>
      <c r="AL30">
        <f>VLOOKUP(A30,F!A$2:G$55,4,0)</f>
        <v>17.11</v>
      </c>
      <c r="AM30">
        <f>VLOOKUP(A30,FB!A$2:G$55,4,0)</f>
        <v>73.06</v>
      </c>
      <c r="AN30">
        <f>VLOOKUP(A30,FCX!A$2:G$55,4,0)</f>
        <v>36.67</v>
      </c>
      <c r="AO30">
        <f>VLOOKUP(A30,FDX!A$2:G$55,4,0)</f>
        <v>147.72</v>
      </c>
      <c r="AP30">
        <f>VLOOKUP(A30,FOXA!A$2:G$55,4,0)</f>
        <v>34.159999999999997</v>
      </c>
      <c r="AQ30">
        <f>VLOOKUP(A30,GD!A$2:G$55,4,0)</f>
        <v>117.42</v>
      </c>
      <c r="AR30">
        <f>VLOOKUP(A30,GE!A$2:G$55,4,0)</f>
        <v>25.72</v>
      </c>
      <c r="AS30">
        <f>VLOOKUP(A30,GILD!A$2:G$55,4,0)</f>
        <v>92.52</v>
      </c>
      <c r="AT30">
        <f>VLOOKUP(A30,GM!A$2:G$55,4,0)</f>
        <v>33.409999999999997</v>
      </c>
      <c r="AU30">
        <f>VLOOKUP(A30,GOOG!A$2:G$55,4,0)</f>
        <v>566</v>
      </c>
      <c r="AV30">
        <f>VLOOKUP(A30,GOOGL!A$2:G$55,4,0)</f>
        <v>575.29999999999995</v>
      </c>
      <c r="AW30">
        <f>VLOOKUP(A30,GS!A$2:G$55,4,0)</f>
        <v>171.62</v>
      </c>
      <c r="AX30">
        <f>VLOOKUP(A30,HAL!A$2:G$55,4,0)</f>
        <v>68.790000000000006</v>
      </c>
      <c r="AY30">
        <f>VLOOKUP(A30,HD!A$2:G$55,4,0)</f>
        <v>82.5</v>
      </c>
      <c r="AZ30">
        <f>VLOOKUP(A30,HON!A$2:G$55,4,0)</f>
        <v>92.96</v>
      </c>
      <c r="BA30">
        <f>VLOOKUP(A30,HPQ!A$2:G$55,4,0)</f>
        <v>35.119999999999997</v>
      </c>
      <c r="BB30">
        <f>VLOOKUP(A30,IBM!A$2:G$55,4,0)</f>
        <v>186.28</v>
      </c>
      <c r="BC30">
        <f>VLOOKUP(A30,INTC!A$2:G$55,4,0)</f>
        <v>32.81</v>
      </c>
      <c r="BD30">
        <f>VLOOKUP(A30,JNJ!A$2:G$55,4,0)</f>
        <v>101.01</v>
      </c>
      <c r="BE30">
        <f>VLOOKUP(A30,JPM!A$2:G$55,4,0)</f>
        <v>56.17</v>
      </c>
      <c r="BF30">
        <f>VLOOKUP(A30,KO!A$2:G$55,4,0)</f>
        <v>39.520000000000003</v>
      </c>
      <c r="BG30">
        <f>VLOOKUP(A30,LLY!A$2:G$55,4,0)</f>
        <v>61.06</v>
      </c>
      <c r="BH30">
        <f>VLOOKUP(A30,LMT!A$2:G$55,4,0)</f>
        <v>166</v>
      </c>
      <c r="BI30">
        <f>VLOOKUP(A30,LOW!A$2:G$55,4,0)</f>
        <v>49.41</v>
      </c>
      <c r="BJ30">
        <f>VLOOKUP(A30,MA!A$2:G$55,4,0)</f>
        <v>74.989999999999995</v>
      </c>
      <c r="BK30">
        <f>VLOOKUP(A30,MCD!A$2:G$55,4,0)</f>
        <v>93.46</v>
      </c>
      <c r="BL30">
        <f>VLOOKUP(A30,MDLZ!A$2:G$55,4,0)</f>
        <v>35.479999999999997</v>
      </c>
      <c r="BM30">
        <f>VLOOKUP(A30,MDT!A$2:G$55,4,0)</f>
        <v>62.01</v>
      </c>
      <c r="BN30">
        <f>VLOOKUP(A30,MET!A$2:G$55,4,0)</f>
        <v>51.5</v>
      </c>
      <c r="BO30">
        <f>VLOOKUP(A30,MMM!A$2:G$55,4,0)</f>
        <v>140.54</v>
      </c>
      <c r="BP30">
        <f>VLOOKUP(A30,MO!A$2:G$55,4,0)</f>
        <v>41.64</v>
      </c>
      <c r="BQ30">
        <f>VLOOKUP(A30,MON!A$2:G$55,4,0)</f>
        <v>115.16</v>
      </c>
      <c r="BR30">
        <f>VLOOKUP(A30,MRK!A$2:G$55,4,0)</f>
        <v>56.46</v>
      </c>
      <c r="BS30">
        <f>VLOOKUP(A30,MS!A$2:G$55,4,0)</f>
        <v>31.77</v>
      </c>
      <c r="BT30">
        <f>VLOOKUP(A30,MSFT!A$2:G$55,4,0)</f>
        <v>43.02</v>
      </c>
      <c r="BU30">
        <f>VLOOKUP(A30,NKE!A$2:G$55,4,0)</f>
        <v>76.98</v>
      </c>
      <c r="BV30">
        <f>VLOOKUP(A30,NOV!A$2:G$55,4,0)</f>
        <v>81.87</v>
      </c>
      <c r="BW30">
        <f>VLOOKUP(A30,NSC!A$2:G$55,4,0)</f>
        <v>101.4</v>
      </c>
      <c r="BX30">
        <f>VLOOKUP(A30,ORCL!A$2:G$55,4,0)</f>
        <v>39.81</v>
      </c>
      <c r="BY30">
        <f>VLOOKUP(A30,OXY!A$2:G$55,4,0)</f>
        <v>99.52</v>
      </c>
      <c r="BZ30">
        <f>VLOOKUP(A30,PEP!A$2:G$55,4,0)</f>
        <v>90.7</v>
      </c>
      <c r="CA30">
        <f>VLOOKUP(A30,PFE!A$2:G$55,4,0)</f>
        <v>28.19</v>
      </c>
      <c r="CB30">
        <f>VLOOKUP(A30,PG!A$2:G$55,4,0)</f>
        <v>81.03</v>
      </c>
      <c r="CC30">
        <f>VLOOKUP(A30,PM!A$2:G$55,4,0)</f>
        <v>83.75</v>
      </c>
      <c r="CD30">
        <f>VLOOKUP(A30,QCOM!A$2:G$55,4,0)</f>
        <v>73.92</v>
      </c>
      <c r="CE30">
        <f>VLOOKUP(A30,RTN!A$2:G$55,4,0)</f>
        <v>91.33</v>
      </c>
      <c r="CF30">
        <f>VLOOKUP(A30,SBUX!A$2:G$55,4,0)</f>
        <v>77.650000000000006</v>
      </c>
      <c r="CG30">
        <f>VLOOKUP(A30,SLB!A$2:G$55,4,0)</f>
        <v>108.52</v>
      </c>
      <c r="CH30">
        <f>VLOOKUP(A30,SO!A$2:G$55,4,0)</f>
        <v>43.04</v>
      </c>
      <c r="CI30">
        <f>VLOOKUP(A30,SPG!A$2:G$55,4,0)</f>
        <v>166.3</v>
      </c>
      <c r="CJ30">
        <f>VLOOKUP(A30,T!A$2:G$55,4,0)</f>
        <v>34.409999999999997</v>
      </c>
      <c r="CK30">
        <f>VLOOKUP(A30,TGT!A$2:G$55,4,0)</f>
        <v>58.15</v>
      </c>
      <c r="CL30">
        <f>VLOOKUP(A30,TWX!A$2:G$55,4,0)</f>
        <v>73.45</v>
      </c>
      <c r="CM30">
        <f>VLOOKUP(A30,TXN!A$2:G$55,4,0)</f>
        <v>46.2</v>
      </c>
      <c r="CN30">
        <f>VLOOKUP(A30,UNH!A$2:G$55,4,0)</f>
        <v>79.760000000000005</v>
      </c>
      <c r="CO30">
        <f>VLOOKUP(A30,UNP!A$2:G$55,4,0)</f>
        <v>99</v>
      </c>
      <c r="CP30">
        <f>VLOOKUP(A30,UPS!A$2:G$55,4,0)</f>
        <v>95.99</v>
      </c>
      <c r="CQ30">
        <f>VLOOKUP(A30,USB!A$2:G$55,4,0)</f>
        <v>40.89</v>
      </c>
      <c r="CR30">
        <f>VLOOKUP(A30,UTX!A$2:G$55,4,0)</f>
        <v>105.68</v>
      </c>
      <c r="CS30">
        <f>VLOOKUP(A30,V!A$2:G$55,4,0)</f>
        <v>210.03</v>
      </c>
      <c r="CT30">
        <f>VLOOKUP(A30,VZ!A$2:G$55,4,0)</f>
        <v>48.61</v>
      </c>
      <c r="CU30">
        <f>VLOOKUP(A30,WAG!A$2:G$55,4,0)</f>
        <v>61.34</v>
      </c>
      <c r="CV30">
        <f>VLOOKUP(A30,WFC!A$2:G$55,4,0)</f>
        <v>49.78</v>
      </c>
      <c r="CW30">
        <f>VLOOKUP(A30,WMT!A$2:G$55,4,0)</f>
        <v>74.02</v>
      </c>
    </row>
    <row r="31" spans="1:101" x14ac:dyDescent="0.25">
      <c r="A31" s="34">
        <v>41863</v>
      </c>
      <c r="B31" s="36">
        <v>95.61</v>
      </c>
      <c r="C31">
        <f>VLOOKUP(A31,ABBV!A$2:G$55,4,0)</f>
        <v>52.57</v>
      </c>
      <c r="D31">
        <f>VLOOKUP(A31,ABT!A$2:G$55,4,0)</f>
        <v>41.42</v>
      </c>
      <c r="E31">
        <f>VLOOKUP(A31,ACN!A$2:G$55,4,0)</f>
        <v>78.33</v>
      </c>
      <c r="F31">
        <f>VLOOKUP(A31,AIG!A$2:G$55,4,0)</f>
        <v>52.93</v>
      </c>
      <c r="G31">
        <f>VLOOKUP(A31,ALL!A$2:G$55,4,0)</f>
        <v>59.58</v>
      </c>
      <c r="H31">
        <f>VLOOKUP(A31,AMGN!A$2:G$55,4,0)</f>
        <v>125.4</v>
      </c>
      <c r="I31">
        <f>VLOOKUP(A31,AMZN!A$2:G$55,4,0)</f>
        <v>316.95</v>
      </c>
      <c r="J31">
        <f>VLOOKUP(A31,APA!A$2:G$55,4,0)</f>
        <v>98</v>
      </c>
      <c r="K31">
        <f>VLOOKUP(A31,APC!A$2:G$55,4,0)</f>
        <v>105.66</v>
      </c>
      <c r="L31">
        <f>VLOOKUP(A31,AXP!A$2:G$55,4,0)</f>
        <v>86.7</v>
      </c>
      <c r="M31">
        <f>VLOOKUP(A31,BA!A$2:G$55,4,0)</f>
        <v>120.01</v>
      </c>
      <c r="N31">
        <f>VLOOKUP(A31,BAC!A$2:G$55,4,0)</f>
        <v>15.15</v>
      </c>
      <c r="O31">
        <f>VLOOKUP(A31,BAX!A$2:G$55,4,0)</f>
        <v>73.89</v>
      </c>
      <c r="P31">
        <f>VLOOKUP(A31,BIIB!A$2:G$55,4,0)</f>
        <v>317</v>
      </c>
      <c r="Q31">
        <f>VLOOKUP(A31,BK!A$2:G$55,4,0)</f>
        <v>38.25</v>
      </c>
      <c r="R31">
        <f>VLOOKUP(A31,BMY!A$2:G$55,4,0)</f>
        <v>48.83</v>
      </c>
      <c r="T31">
        <f>VLOOKUP(A31,'C'!A$2:G$55,4,0)</f>
        <v>48.05</v>
      </c>
      <c r="U31">
        <f>VLOOKUP(A31,CAT!A$2:G$55,4,0)</f>
        <v>104.13</v>
      </c>
      <c r="V31">
        <f>VLOOKUP(A31,CL!A$2:G$55,4,0)</f>
        <v>64.33</v>
      </c>
      <c r="W31">
        <f>VLOOKUP(A31,CMCSA!A$2:G$55,4,0)</f>
        <v>53.59</v>
      </c>
      <c r="X31">
        <f>VLOOKUP(A31,COF!A$2:G$55,4,0)</f>
        <v>78.39</v>
      </c>
      <c r="Y31">
        <f>VLOOKUP(A31,COP!A$2:G$55,4,0)</f>
        <v>80.09</v>
      </c>
      <c r="Z31">
        <f>VLOOKUP(A31,COST!A$2:G$55,4,0)</f>
        <v>118.55</v>
      </c>
      <c r="AA31">
        <f>VLOOKUP(A31,CSCO!A$2:G$55,4,0)</f>
        <v>25</v>
      </c>
      <c r="AB31">
        <f>VLOOKUP(A31,CVS!A$2:G$55,4,0)</f>
        <v>78.12</v>
      </c>
      <c r="AC31">
        <f>VLOOKUP(A31,CVX!A$2:G$55,4,0)</f>
        <v>126.26</v>
      </c>
      <c r="AD31">
        <f>VLOOKUP(A31,DD!A$2:G$55,4,0)</f>
        <v>64.73</v>
      </c>
      <c r="AE31">
        <f>VLOOKUP(A31,DIS!A$2:G$55,4,0)</f>
        <v>86.78</v>
      </c>
      <c r="AF31">
        <f>VLOOKUP(A31,DOW!A$2:G$55,4,0)</f>
        <v>51.41</v>
      </c>
      <c r="AG31">
        <f>VLOOKUP(A31,DVN!A$2:G$55,4,0)</f>
        <v>72.5</v>
      </c>
      <c r="AH31">
        <f>VLOOKUP(A31,EBAY!A$2:G$55,4,0)</f>
        <v>53.18</v>
      </c>
      <c r="AI31">
        <f>VLOOKUP(A31,EMC!A$2:G$55,4,0)</f>
        <v>29.14</v>
      </c>
      <c r="AJ31">
        <f>VLOOKUP(A31,EMR!A$2:G$55,4,0)</f>
        <v>62.47</v>
      </c>
      <c r="AK31">
        <f>VLOOKUP(A31,EXC!A$2:G$55,4,0)</f>
        <v>31.8</v>
      </c>
      <c r="AL31">
        <f>VLOOKUP(A31,F!A$2:G$55,4,0)</f>
        <v>17.14</v>
      </c>
      <c r="AM31">
        <f>VLOOKUP(A31,FB!A$2:G$55,4,0)</f>
        <v>72.22</v>
      </c>
      <c r="AN31">
        <f>VLOOKUP(A31,FCX!A$2:G$55,4,0)</f>
        <v>36.68</v>
      </c>
      <c r="AO31">
        <f>VLOOKUP(A31,FDX!A$2:G$55,4,0)</f>
        <v>148.01</v>
      </c>
      <c r="AP31">
        <f>VLOOKUP(A31,FOXA!A$2:G$55,4,0)</f>
        <v>34.590000000000003</v>
      </c>
      <c r="AQ31">
        <f>VLOOKUP(A31,GD!A$2:G$55,4,0)</f>
        <v>116.86</v>
      </c>
      <c r="AR31">
        <f>VLOOKUP(A31,GE!A$2:G$55,4,0)</f>
        <v>25.59</v>
      </c>
      <c r="AS31">
        <f>VLOOKUP(A31,GILD!A$2:G$55,4,0)</f>
        <v>92.51</v>
      </c>
      <c r="AT31">
        <f>VLOOKUP(A31,GM!A$2:G$55,4,0)</f>
        <v>33.549999999999997</v>
      </c>
      <c r="AU31">
        <f>VLOOKUP(A31,GOOG!A$2:G$55,4,0)</f>
        <v>560.88</v>
      </c>
      <c r="AV31">
        <f>VLOOKUP(A31,GOOGL!A$2:G$55,4,0)</f>
        <v>569.91</v>
      </c>
      <c r="AW31">
        <f>VLOOKUP(A31,GS!A$2:G$55,4,0)</f>
        <v>171.38</v>
      </c>
      <c r="AX31">
        <f>VLOOKUP(A31,HAL!A$2:G$55,4,0)</f>
        <v>68.489999999999995</v>
      </c>
      <c r="AY31">
        <f>VLOOKUP(A31,HD!A$2:G$55,4,0)</f>
        <v>82.68</v>
      </c>
      <c r="AZ31">
        <f>VLOOKUP(A31,HON!A$2:G$55,4,0)</f>
        <v>92.55</v>
      </c>
      <c r="BA31">
        <f>VLOOKUP(A31,HPQ!A$2:G$55,4,0)</f>
        <v>34.86</v>
      </c>
      <c r="BB31">
        <f>VLOOKUP(A31,IBM!A$2:G$55,4,0)</f>
        <v>186.81</v>
      </c>
      <c r="BC31">
        <f>VLOOKUP(A31,INTC!A$2:G$55,4,0)</f>
        <v>32.68</v>
      </c>
      <c r="BD31">
        <f>VLOOKUP(A31,JNJ!A$2:G$55,4,0)</f>
        <v>100.31</v>
      </c>
      <c r="BE31">
        <f>VLOOKUP(A31,JPM!A$2:G$55,4,0)</f>
        <v>56.13</v>
      </c>
      <c r="BF31">
        <f>VLOOKUP(A31,KO!A$2:G$55,4,0)</f>
        <v>39.54</v>
      </c>
      <c r="BG31">
        <f>VLOOKUP(A31,LLY!A$2:G$55,4,0)</f>
        <v>61</v>
      </c>
      <c r="BH31">
        <f>VLOOKUP(A31,LMT!A$2:G$55,4,0)</f>
        <v>165.26</v>
      </c>
      <c r="BI31">
        <f>VLOOKUP(A31,LOW!A$2:G$55,4,0)</f>
        <v>49.59</v>
      </c>
      <c r="BJ31">
        <f>VLOOKUP(A31,MA!A$2:G$55,4,0)</f>
        <v>74.930000000000007</v>
      </c>
      <c r="BK31">
        <f>VLOOKUP(A31,MCD!A$2:G$55,4,0)</f>
        <v>93.15</v>
      </c>
      <c r="BL31">
        <f>VLOOKUP(A31,MDLZ!A$2:G$55,4,0)</f>
        <v>35.57</v>
      </c>
      <c r="BM31">
        <f>VLOOKUP(A31,MDT!A$2:G$55,4,0)</f>
        <v>61.85</v>
      </c>
      <c r="BN31">
        <f>VLOOKUP(A31,MET!A$2:G$55,4,0)</f>
        <v>51.37</v>
      </c>
      <c r="BO31">
        <f>VLOOKUP(A31,MMM!A$2:G$55,4,0)</f>
        <v>140.43</v>
      </c>
      <c r="BP31">
        <f>VLOOKUP(A31,MO!A$2:G$55,4,0)</f>
        <v>41.72</v>
      </c>
      <c r="BQ31">
        <f>VLOOKUP(A31,MON!A$2:G$55,4,0)</f>
        <v>114.69</v>
      </c>
      <c r="BR31">
        <f>VLOOKUP(A31,MRK!A$2:G$55,4,0)</f>
        <v>56.52</v>
      </c>
      <c r="BS31">
        <f>VLOOKUP(A31,MS!A$2:G$55,4,0)</f>
        <v>31.88</v>
      </c>
      <c r="BT31">
        <f>VLOOKUP(A31,MSFT!A$2:G$55,4,0)</f>
        <v>43</v>
      </c>
      <c r="BU31">
        <f>VLOOKUP(A31,NKE!A$2:G$55,4,0)</f>
        <v>76.489999999999995</v>
      </c>
      <c r="BV31">
        <f>VLOOKUP(A31,NOV!A$2:G$55,4,0)</f>
        <v>81.569999999999993</v>
      </c>
      <c r="BW31">
        <f>VLOOKUP(A31,NSC!A$2:G$55,4,0)</f>
        <v>102.01</v>
      </c>
      <c r="BX31">
        <f>VLOOKUP(A31,ORCL!A$2:G$55,4,0)</f>
        <v>39.729999999999997</v>
      </c>
      <c r="BY31">
        <f>VLOOKUP(A31,OXY!A$2:G$55,4,0)</f>
        <v>99.05</v>
      </c>
      <c r="BZ31">
        <f>VLOOKUP(A31,PEP!A$2:G$55,4,0)</f>
        <v>91.02</v>
      </c>
      <c r="CA31">
        <f>VLOOKUP(A31,PFE!A$2:G$55,4,0)</f>
        <v>28.03</v>
      </c>
      <c r="CB31">
        <f>VLOOKUP(A31,PG!A$2:G$55,4,0)</f>
        <v>81.209999999999994</v>
      </c>
      <c r="CC31">
        <f>VLOOKUP(A31,PM!A$2:G$55,4,0)</f>
        <v>83.74</v>
      </c>
      <c r="CD31">
        <f>VLOOKUP(A31,QCOM!A$2:G$55,4,0)</f>
        <v>73.900000000000006</v>
      </c>
      <c r="CE31">
        <f>VLOOKUP(A31,RTN!A$2:G$55,4,0)</f>
        <v>91.18</v>
      </c>
      <c r="CF31">
        <f>VLOOKUP(A31,SBUX!A$2:G$55,4,0)</f>
        <v>77.52</v>
      </c>
      <c r="CG31">
        <f>VLOOKUP(A31,SLB!A$2:G$55,4,0)</f>
        <v>107.52</v>
      </c>
      <c r="CH31">
        <f>VLOOKUP(A31,SO!A$2:G$55,4,0)</f>
        <v>43</v>
      </c>
      <c r="CI31">
        <f>VLOOKUP(A31,SPG!A$2:G$55,4,0)</f>
        <v>167.12</v>
      </c>
      <c r="CJ31">
        <f>VLOOKUP(A31,T!A$2:G$55,4,0)</f>
        <v>34.479999999999997</v>
      </c>
      <c r="CK31">
        <f>VLOOKUP(A31,TGT!A$2:G$55,4,0)</f>
        <v>58.02</v>
      </c>
      <c r="CL31">
        <f>VLOOKUP(A31,TWX!A$2:G$55,4,0)</f>
        <v>73.040000000000006</v>
      </c>
      <c r="CM31">
        <f>VLOOKUP(A31,TXN!A$2:G$55,4,0)</f>
        <v>46.25</v>
      </c>
      <c r="CN31">
        <f>VLOOKUP(A31,UNH!A$2:G$55,4,0)</f>
        <v>79.53</v>
      </c>
      <c r="CO31">
        <f>VLOOKUP(A31,UNP!A$2:G$55,4,0)</f>
        <v>99.27</v>
      </c>
      <c r="CP31">
        <f>VLOOKUP(A31,UPS!A$2:G$55,4,0)</f>
        <v>95.99</v>
      </c>
      <c r="CQ31">
        <f>VLOOKUP(A31,USB!A$2:G$55,4,0)</f>
        <v>40.85</v>
      </c>
      <c r="CR31">
        <f>VLOOKUP(A31,UTX!A$2:G$55,4,0)</f>
        <v>104.77</v>
      </c>
      <c r="CS31">
        <f>VLOOKUP(A31,V!A$2:G$55,4,0)</f>
        <v>209.45</v>
      </c>
      <c r="CT31">
        <f>VLOOKUP(A31,VZ!A$2:G$55,4,0)</f>
        <v>48.56</v>
      </c>
      <c r="CU31">
        <f>VLOOKUP(A31,WAG!A$2:G$55,4,0)</f>
        <v>61.33</v>
      </c>
      <c r="CV31">
        <f>VLOOKUP(A31,WFC!A$2:G$55,4,0)</f>
        <v>49.75</v>
      </c>
      <c r="CW31">
        <f>VLOOKUP(A31,WMT!A$2:G$55,4,0)</f>
        <v>74.010000000000005</v>
      </c>
    </row>
    <row r="32" spans="1:101" x14ac:dyDescent="0.25">
      <c r="A32" s="34">
        <v>41864</v>
      </c>
      <c r="B32" s="36">
        <v>96.04</v>
      </c>
      <c r="C32">
        <f>VLOOKUP(A32,ABBV!A$2:G$55,4,0)</f>
        <v>52.75</v>
      </c>
      <c r="D32">
        <f>VLOOKUP(A32,ABT!A$2:G$55,4,0)</f>
        <v>41.83</v>
      </c>
      <c r="E32">
        <f>VLOOKUP(A32,ACN!A$2:G$55,4,0)</f>
        <v>78.52</v>
      </c>
      <c r="F32">
        <f>VLOOKUP(A32,AIG!A$2:G$55,4,0)</f>
        <v>53.35</v>
      </c>
      <c r="G32">
        <f>VLOOKUP(A32,ALL!A$2:G$55,4,0)</f>
        <v>60.03</v>
      </c>
      <c r="H32">
        <f>VLOOKUP(A32,AMGN!A$2:G$55,4,0)</f>
        <v>126.3</v>
      </c>
      <c r="I32">
        <f>VLOOKUP(A32,AMZN!A$2:G$55,4,0)</f>
        <v>326.14</v>
      </c>
      <c r="J32">
        <f>VLOOKUP(A32,APA!A$2:G$55,4,0)</f>
        <v>98.29</v>
      </c>
      <c r="K32">
        <f>VLOOKUP(A32,APC!A$2:G$55,4,0)</f>
        <v>105.91</v>
      </c>
      <c r="L32">
        <f>VLOOKUP(A32,AXP!A$2:G$55,4,0)</f>
        <v>87.16</v>
      </c>
      <c r="M32">
        <f>VLOOKUP(A32,BA!A$2:G$55,4,0)</f>
        <v>120.63</v>
      </c>
      <c r="N32">
        <f>VLOOKUP(A32,BAC!A$2:G$55,4,0)</f>
        <v>15.2</v>
      </c>
      <c r="O32">
        <f>VLOOKUP(A32,BAX!A$2:G$55,4,0)</f>
        <v>74.430000000000007</v>
      </c>
      <c r="P32">
        <f>VLOOKUP(A32,BIIB!A$2:G$55,4,0)</f>
        <v>324.13</v>
      </c>
      <c r="Q32">
        <f>VLOOKUP(A32,BK!A$2:G$55,4,0)</f>
        <v>38.299999999999997</v>
      </c>
      <c r="R32">
        <f>VLOOKUP(A32,BMY!A$2:G$55,4,0)</f>
        <v>49.08</v>
      </c>
      <c r="T32">
        <f>VLOOKUP(A32,'C'!A$2:G$55,4,0)</f>
        <v>48.53</v>
      </c>
      <c r="U32">
        <f>VLOOKUP(A32,CAT!A$2:G$55,4,0)</f>
        <v>104.33</v>
      </c>
      <c r="V32">
        <f>VLOOKUP(A32,CL!A$2:G$55,4,0)</f>
        <v>64.05</v>
      </c>
      <c r="W32">
        <f>VLOOKUP(A32,CMCSA!A$2:G$55,4,0)</f>
        <v>53.92</v>
      </c>
      <c r="X32">
        <f>VLOOKUP(A32,COF!A$2:G$55,4,0)</f>
        <v>79.39</v>
      </c>
      <c r="Y32">
        <f>VLOOKUP(A32,COP!A$2:G$55,4,0)</f>
        <v>80.72</v>
      </c>
      <c r="Z32">
        <f>VLOOKUP(A32,COST!A$2:G$55,4,0)</f>
        <v>118.25</v>
      </c>
      <c r="AA32">
        <f>VLOOKUP(A32,CSCO!A$2:G$55,4,0)</f>
        <v>24.93</v>
      </c>
      <c r="AB32">
        <f>VLOOKUP(A32,CVS!A$2:G$55,4,0)</f>
        <v>78.44</v>
      </c>
      <c r="AC32">
        <f>VLOOKUP(A32,CVX!A$2:G$55,4,0)</f>
        <v>126.87</v>
      </c>
      <c r="AD32">
        <f>VLOOKUP(A32,DD!A$2:G$55,4,0)</f>
        <v>64.78</v>
      </c>
      <c r="AE32">
        <f>VLOOKUP(A32,DIS!A$2:G$55,4,0)</f>
        <v>87.42</v>
      </c>
      <c r="AF32">
        <f>VLOOKUP(A32,DOW!A$2:G$55,4,0)</f>
        <v>51.99</v>
      </c>
      <c r="AG32">
        <f>VLOOKUP(A32,DVN!A$2:G$55,4,0)</f>
        <v>72.400000000000006</v>
      </c>
      <c r="AH32">
        <f>VLOOKUP(A32,EBAY!A$2:G$55,4,0)</f>
        <v>52.5</v>
      </c>
      <c r="AI32">
        <f>VLOOKUP(A32,EMC!A$2:G$55,4,0)</f>
        <v>29.36</v>
      </c>
      <c r="AJ32">
        <f>VLOOKUP(A32,EMR!A$2:G$55,4,0)</f>
        <v>62.28</v>
      </c>
      <c r="AK32">
        <f>VLOOKUP(A32,EXC!A$2:G$55,4,0)</f>
        <v>31.33</v>
      </c>
      <c r="AL32">
        <f>VLOOKUP(A32,F!A$2:G$55,4,0)</f>
        <v>17.32</v>
      </c>
      <c r="AM32">
        <f>VLOOKUP(A32,FB!A$2:G$55,4,0)</f>
        <v>73.05</v>
      </c>
      <c r="AN32">
        <f>VLOOKUP(A32,FCX!A$2:G$55,4,0)</f>
        <v>36.32</v>
      </c>
      <c r="AO32">
        <f>VLOOKUP(A32,FDX!A$2:G$55,4,0)</f>
        <v>148.91999999999999</v>
      </c>
      <c r="AP32">
        <f>VLOOKUP(A32,FOXA!A$2:G$55,4,0)</f>
        <v>35.020000000000003</v>
      </c>
      <c r="AQ32">
        <f>VLOOKUP(A32,GD!A$2:G$55,4,0)</f>
        <v>117.64</v>
      </c>
      <c r="AR32">
        <f>VLOOKUP(A32,GE!A$2:G$55,4,0)</f>
        <v>25.7</v>
      </c>
      <c r="AS32">
        <f>VLOOKUP(A32,GILD!A$2:G$55,4,0)</f>
        <v>93.34</v>
      </c>
      <c r="AT32">
        <f>VLOOKUP(A32,GM!A$2:G$55,4,0)</f>
        <v>33.78</v>
      </c>
      <c r="AU32">
        <f>VLOOKUP(A32,GOOG!A$2:G$55,4,0)</f>
        <v>565.75</v>
      </c>
      <c r="AV32">
        <f>VLOOKUP(A32,GOOGL!A$2:G$55,4,0)</f>
        <v>575.20000000000005</v>
      </c>
      <c r="AW32">
        <f>VLOOKUP(A32,GS!A$2:G$55,4,0)</f>
        <v>171.27</v>
      </c>
      <c r="AX32">
        <f>VLOOKUP(A32,HAL!A$2:G$55,4,0)</f>
        <v>69.040000000000006</v>
      </c>
      <c r="AY32">
        <f>VLOOKUP(A32,HD!A$2:G$55,4,0)</f>
        <v>82.74</v>
      </c>
      <c r="AZ32">
        <f>VLOOKUP(A32,HON!A$2:G$55,4,0)</f>
        <v>93.08</v>
      </c>
      <c r="BA32">
        <f>VLOOKUP(A32,HPQ!A$2:G$55,4,0)</f>
        <v>35.049999999999997</v>
      </c>
      <c r="BB32">
        <f>VLOOKUP(A32,IBM!A$2:G$55,4,0)</f>
        <v>187.37</v>
      </c>
      <c r="BC32">
        <f>VLOOKUP(A32,INTC!A$2:G$55,4,0)</f>
        <v>33.229999999999997</v>
      </c>
      <c r="BD32">
        <f>VLOOKUP(A32,JNJ!A$2:G$55,4,0)</f>
        <v>101.15</v>
      </c>
      <c r="BE32">
        <f>VLOOKUP(A32,JPM!A$2:G$55,4,0)</f>
        <v>56.51</v>
      </c>
      <c r="BF32">
        <f>VLOOKUP(A32,KO!A$2:G$55,4,0)</f>
        <v>39.700000000000003</v>
      </c>
      <c r="BG32">
        <f>VLOOKUP(A32,LLY!A$2:G$55,4,0)</f>
        <v>60.46</v>
      </c>
      <c r="BH32">
        <f>VLOOKUP(A32,LMT!A$2:G$55,4,0)</f>
        <v>166.15</v>
      </c>
      <c r="BI32">
        <f>VLOOKUP(A32,LOW!A$2:G$55,4,0)</f>
        <v>49.62</v>
      </c>
      <c r="BJ32">
        <f>VLOOKUP(A32,MA!A$2:G$55,4,0)</f>
        <v>75.59</v>
      </c>
      <c r="BK32">
        <f>VLOOKUP(A32,MCD!A$2:G$55,4,0)</f>
        <v>93.55</v>
      </c>
      <c r="BL32">
        <f>VLOOKUP(A32,MDLZ!A$2:G$55,4,0)</f>
        <v>35.68</v>
      </c>
      <c r="BM32">
        <f>VLOOKUP(A32,MDT!A$2:G$55,4,0)</f>
        <v>62.41</v>
      </c>
      <c r="BN32">
        <f>VLOOKUP(A32,MET!A$2:G$55,4,0)</f>
        <v>52.16</v>
      </c>
      <c r="BO32">
        <f>VLOOKUP(A32,MMM!A$2:G$55,4,0)</f>
        <v>140.91999999999999</v>
      </c>
      <c r="BP32">
        <f>VLOOKUP(A32,MO!A$2:G$55,4,0)</f>
        <v>41.89</v>
      </c>
      <c r="BQ32">
        <f>VLOOKUP(A32,MON!A$2:G$55,4,0)</f>
        <v>115.31</v>
      </c>
      <c r="BR32">
        <f>VLOOKUP(A32,MRK!A$2:G$55,4,0)</f>
        <v>57.16</v>
      </c>
      <c r="BS32">
        <f>VLOOKUP(A32,MS!A$2:G$55,4,0)</f>
        <v>32.01</v>
      </c>
      <c r="BT32">
        <f>VLOOKUP(A32,MSFT!A$2:G$55,4,0)</f>
        <v>43.52</v>
      </c>
      <c r="BU32">
        <f>VLOOKUP(A32,NKE!A$2:G$55,4,0)</f>
        <v>76.540000000000006</v>
      </c>
      <c r="BV32">
        <f>VLOOKUP(A32,NOV!A$2:G$55,4,0)</f>
        <v>82.1</v>
      </c>
      <c r="BW32">
        <f>VLOOKUP(A32,NSC!A$2:G$55,4,0)</f>
        <v>102.49</v>
      </c>
      <c r="BX32">
        <f>VLOOKUP(A32,ORCL!A$2:G$55,4,0)</f>
        <v>40.020000000000003</v>
      </c>
      <c r="BY32">
        <f>VLOOKUP(A32,OXY!A$2:G$55,4,0)</f>
        <v>99.19</v>
      </c>
      <c r="BZ32">
        <f>VLOOKUP(A32,PEP!A$2:G$55,4,0)</f>
        <v>91.08</v>
      </c>
      <c r="CA32">
        <f>VLOOKUP(A32,PFE!A$2:G$55,4,0)</f>
        <v>28.18</v>
      </c>
      <c r="CB32">
        <f>VLOOKUP(A32,PG!A$2:G$55,4,0)</f>
        <v>81.11</v>
      </c>
      <c r="CC32">
        <f>VLOOKUP(A32,PM!A$2:G$55,4,0)</f>
        <v>84.23</v>
      </c>
      <c r="CD32">
        <f>VLOOKUP(A32,QCOM!A$2:G$55,4,0)</f>
        <v>74.040000000000006</v>
      </c>
      <c r="CE32">
        <f>VLOOKUP(A32,RTN!A$2:G$55,4,0)</f>
        <v>91.74</v>
      </c>
      <c r="CF32">
        <f>VLOOKUP(A32,SBUX!A$2:G$55,4,0)</f>
        <v>77.13</v>
      </c>
      <c r="CG32">
        <f>VLOOKUP(A32,SLB!A$2:G$55,4,0)</f>
        <v>107.42</v>
      </c>
      <c r="CH32">
        <f>VLOOKUP(A32,SO!A$2:G$55,4,0)</f>
        <v>42.67</v>
      </c>
      <c r="CI32">
        <f>VLOOKUP(A32,SPG!A$2:G$55,4,0)</f>
        <v>166.45</v>
      </c>
      <c r="CJ32">
        <f>VLOOKUP(A32,T!A$2:G$55,4,0)</f>
        <v>34.5</v>
      </c>
      <c r="CK32">
        <f>VLOOKUP(A32,TGT!A$2:G$55,4,0)</f>
        <v>57.75</v>
      </c>
      <c r="CL32">
        <f>VLOOKUP(A32,TWX!A$2:G$55,4,0)</f>
        <v>73.290000000000006</v>
      </c>
      <c r="CM32">
        <f>VLOOKUP(A32,TXN!A$2:G$55,4,0)</f>
        <v>46.83</v>
      </c>
      <c r="CN32">
        <f>VLOOKUP(A32,UNH!A$2:G$55,4,0)</f>
        <v>80.39</v>
      </c>
      <c r="CO32">
        <f>VLOOKUP(A32,UNP!A$2:G$55,4,0)</f>
        <v>99.86</v>
      </c>
      <c r="CP32">
        <f>VLOOKUP(A32,UPS!A$2:G$55,4,0)</f>
        <v>96.4</v>
      </c>
      <c r="CQ32">
        <f>VLOOKUP(A32,USB!A$2:G$55,4,0)</f>
        <v>41.16</v>
      </c>
      <c r="CR32">
        <f>VLOOKUP(A32,UTX!A$2:G$55,4,0)</f>
        <v>104.78</v>
      </c>
      <c r="CS32">
        <f>VLOOKUP(A32,V!A$2:G$55,4,0)</f>
        <v>210.46</v>
      </c>
      <c r="CT32">
        <f>VLOOKUP(A32,VZ!A$2:G$55,4,0)</f>
        <v>48.76</v>
      </c>
      <c r="CU32">
        <f>VLOOKUP(A32,WAG!A$2:G$55,4,0)</f>
        <v>62.12</v>
      </c>
      <c r="CV32">
        <f>VLOOKUP(A32,WFC!A$2:G$55,4,0)</f>
        <v>49.84</v>
      </c>
      <c r="CW32">
        <f>VLOOKUP(A32,WMT!A$2:G$55,4,0)</f>
        <v>73.510000000000005</v>
      </c>
    </row>
    <row r="33" spans="1:101" x14ac:dyDescent="0.25">
      <c r="A33" s="34">
        <v>41865</v>
      </c>
      <c r="B33" s="36">
        <v>96.8</v>
      </c>
      <c r="C33">
        <f>VLOOKUP(A33,ABBV!A$2:G$55,4,0)</f>
        <v>53.53</v>
      </c>
      <c r="D33">
        <f>VLOOKUP(A33,ABT!A$2:G$55,4,0)</f>
        <v>42.15</v>
      </c>
      <c r="E33">
        <f>VLOOKUP(A33,ACN!A$2:G$55,4,0)</f>
        <v>78.88</v>
      </c>
      <c r="F33">
        <f>VLOOKUP(A33,AIG!A$2:G$55,4,0)</f>
        <v>53.58</v>
      </c>
      <c r="G33">
        <f>VLOOKUP(A33,ALL!A$2:G$55,4,0)</f>
        <v>60.19</v>
      </c>
      <c r="H33">
        <f>VLOOKUP(A33,AMGN!A$2:G$55,4,0)</f>
        <v>124.81</v>
      </c>
      <c r="I33">
        <f>VLOOKUP(A33,AMZN!A$2:G$55,4,0)</f>
        <v>326.70999999999998</v>
      </c>
      <c r="J33">
        <f>VLOOKUP(A33,APA!A$2:G$55,4,0)</f>
        <v>97.68</v>
      </c>
      <c r="K33">
        <f>VLOOKUP(A33,APC!A$2:G$55,4,0)</f>
        <v>105.33</v>
      </c>
      <c r="L33">
        <f>VLOOKUP(A33,AXP!A$2:G$55,4,0)</f>
        <v>87.1</v>
      </c>
      <c r="M33">
        <f>VLOOKUP(A33,BA!A$2:G$55,4,0)</f>
        <v>122.16</v>
      </c>
      <c r="N33">
        <f>VLOOKUP(A33,BAC!A$2:G$55,4,0)</f>
        <v>15.26</v>
      </c>
      <c r="O33">
        <f>VLOOKUP(A33,BAX!A$2:G$55,4,0)</f>
        <v>74.56</v>
      </c>
      <c r="P33">
        <f>VLOOKUP(A33,BIIB!A$2:G$55,4,0)</f>
        <v>333.66</v>
      </c>
      <c r="Q33">
        <f>VLOOKUP(A33,BK!A$2:G$55,4,0)</f>
        <v>38.270000000000003</v>
      </c>
      <c r="R33">
        <f>VLOOKUP(A33,BMY!A$2:G$55,4,0)</f>
        <v>49.26</v>
      </c>
      <c r="T33">
        <f>VLOOKUP(A33,'C'!A$2:G$55,4,0)</f>
        <v>48.74</v>
      </c>
      <c r="U33">
        <f>VLOOKUP(A33,CAT!A$2:G$55,4,0)</f>
        <v>104.99</v>
      </c>
      <c r="V33">
        <f>VLOOKUP(A33,CL!A$2:G$55,4,0)</f>
        <v>64.040000000000006</v>
      </c>
      <c r="W33">
        <f>VLOOKUP(A33,CMCSA!A$2:G$55,4,0)</f>
        <v>54.08</v>
      </c>
      <c r="X33">
        <f>VLOOKUP(A33,COF!A$2:G$55,4,0)</f>
        <v>79.63</v>
      </c>
      <c r="Y33">
        <f>VLOOKUP(A33,COP!A$2:G$55,4,0)</f>
        <v>79.95</v>
      </c>
      <c r="Z33">
        <f>VLOOKUP(A33,COST!A$2:G$55,4,0)</f>
        <v>118.31</v>
      </c>
      <c r="AA33">
        <f>VLOOKUP(A33,CSCO!A$2:G$55,4,0)</f>
        <v>24.32</v>
      </c>
      <c r="AB33">
        <f>VLOOKUP(A33,CVS!A$2:G$55,4,0)</f>
        <v>78.89</v>
      </c>
      <c r="AC33">
        <f>VLOOKUP(A33,CVX!A$2:G$55,4,0)</f>
        <v>126.53</v>
      </c>
      <c r="AD33">
        <f>VLOOKUP(A33,DD!A$2:G$55,4,0)</f>
        <v>64.709999999999994</v>
      </c>
      <c r="AE33">
        <f>VLOOKUP(A33,DIS!A$2:G$55,4,0)</f>
        <v>87.81</v>
      </c>
      <c r="AF33">
        <f>VLOOKUP(A33,DOW!A$2:G$55,4,0)</f>
        <v>52.06</v>
      </c>
      <c r="AG33">
        <f>VLOOKUP(A33,DVN!A$2:G$55,4,0)</f>
        <v>72.44</v>
      </c>
      <c r="AH33">
        <f>VLOOKUP(A33,EBAY!A$2:G$55,4,0)</f>
        <v>52.81</v>
      </c>
      <c r="AI33">
        <f>VLOOKUP(A33,EMC!A$2:G$55,4,0)</f>
        <v>29.42</v>
      </c>
      <c r="AJ33">
        <f>VLOOKUP(A33,EMR!A$2:G$55,4,0)</f>
        <v>62.75</v>
      </c>
      <c r="AK33">
        <f>VLOOKUP(A33,EXC!A$2:G$55,4,0)</f>
        <v>31.5</v>
      </c>
      <c r="AL33">
        <f>VLOOKUP(A33,F!A$2:G$55,4,0)</f>
        <v>17.23</v>
      </c>
      <c r="AM33">
        <f>VLOOKUP(A33,FB!A$2:G$55,4,0)</f>
        <v>73.69</v>
      </c>
      <c r="AN33">
        <f>VLOOKUP(A33,FCX!A$2:G$55,4,0)</f>
        <v>35.78</v>
      </c>
      <c r="AO33">
        <f>VLOOKUP(A33,FDX!A$2:G$55,4,0)</f>
        <v>148.61000000000001</v>
      </c>
      <c r="AP33">
        <f>VLOOKUP(A33,FOXA!A$2:G$55,4,0)</f>
        <v>35.29</v>
      </c>
      <c r="AQ33">
        <f>VLOOKUP(A33,GD!A$2:G$55,4,0)</f>
        <v>119.05</v>
      </c>
      <c r="AR33">
        <f>VLOOKUP(A33,GE!A$2:G$55,4,0)</f>
        <v>25.73</v>
      </c>
      <c r="AS33">
        <f>VLOOKUP(A33,GILD!A$2:G$55,4,0)</f>
        <v>94.24</v>
      </c>
      <c r="AT33">
        <f>VLOOKUP(A33,GM!A$2:G$55,4,0)</f>
        <v>33.22</v>
      </c>
      <c r="AU33">
        <f>VLOOKUP(A33,GOOG!A$2:G$55,4,0)</f>
        <v>570.88</v>
      </c>
      <c r="AV33">
        <f>VLOOKUP(A33,GOOGL!A$2:G$55,4,0)</f>
        <v>580.91999999999996</v>
      </c>
      <c r="AW33">
        <f>VLOOKUP(A33,GS!A$2:G$55,4,0)</f>
        <v>171.69</v>
      </c>
      <c r="AX33">
        <f>VLOOKUP(A33,HAL!A$2:G$55,4,0)</f>
        <v>67.17</v>
      </c>
      <c r="AY33">
        <f>VLOOKUP(A33,HD!A$2:G$55,4,0)</f>
        <v>82.74</v>
      </c>
      <c r="AZ33">
        <f>VLOOKUP(A33,HON!A$2:G$55,4,0)</f>
        <v>94.27</v>
      </c>
      <c r="BA33">
        <f>VLOOKUP(A33,HPQ!A$2:G$55,4,0)</f>
        <v>34.96</v>
      </c>
      <c r="BB33">
        <f>VLOOKUP(A33,IBM!A$2:G$55,4,0)</f>
        <v>186.93</v>
      </c>
      <c r="BC33">
        <f>VLOOKUP(A33,INTC!A$2:G$55,4,0)</f>
        <v>33.74</v>
      </c>
      <c r="BD33">
        <f>VLOOKUP(A33,JNJ!A$2:G$55,4,0)</f>
        <v>101.5</v>
      </c>
      <c r="BE33">
        <f>VLOOKUP(A33,JPM!A$2:G$55,4,0)</f>
        <v>56.7</v>
      </c>
      <c r="BF33">
        <f>VLOOKUP(A33,KO!A$2:G$55,4,0)</f>
        <v>39.93</v>
      </c>
      <c r="BG33">
        <f>VLOOKUP(A33,LLY!A$2:G$55,4,0)</f>
        <v>60.78</v>
      </c>
      <c r="BH33">
        <f>VLOOKUP(A33,LMT!A$2:G$55,4,0)</f>
        <v>168.86</v>
      </c>
      <c r="BI33">
        <f>VLOOKUP(A33,LOW!A$2:G$55,4,0)</f>
        <v>49.75</v>
      </c>
      <c r="BJ33">
        <f>VLOOKUP(A33,MA!A$2:G$55,4,0)</f>
        <v>75.66</v>
      </c>
      <c r="BK33">
        <f>VLOOKUP(A33,MCD!A$2:G$55,4,0)</f>
        <v>93.26</v>
      </c>
      <c r="BL33">
        <f>VLOOKUP(A33,MDLZ!A$2:G$55,4,0)</f>
        <v>35.64</v>
      </c>
      <c r="BM33">
        <f>VLOOKUP(A33,MDT!A$2:G$55,4,0)</f>
        <v>63.47</v>
      </c>
      <c r="BN33">
        <f>VLOOKUP(A33,MET!A$2:G$55,4,0)</f>
        <v>52.47</v>
      </c>
      <c r="BO33">
        <f>VLOOKUP(A33,MMM!A$2:G$55,4,0)</f>
        <v>141.85</v>
      </c>
      <c r="BP33">
        <f>VLOOKUP(A33,MO!A$2:G$55,4,0)</f>
        <v>42.01</v>
      </c>
      <c r="BQ33">
        <f>VLOOKUP(A33,MON!A$2:G$55,4,0)</f>
        <v>116.77</v>
      </c>
      <c r="BR33">
        <f>VLOOKUP(A33,MRK!A$2:G$55,4,0)</f>
        <v>58</v>
      </c>
      <c r="BS33">
        <f>VLOOKUP(A33,MS!A$2:G$55,4,0)</f>
        <v>32.07</v>
      </c>
      <c r="BT33">
        <f>VLOOKUP(A33,MSFT!A$2:G$55,4,0)</f>
        <v>44.01</v>
      </c>
      <c r="BU33">
        <f>VLOOKUP(A33,NKE!A$2:G$55,4,0)</f>
        <v>76.959999999999994</v>
      </c>
      <c r="BV33">
        <f>VLOOKUP(A33,NOV!A$2:G$55,4,0)</f>
        <v>80.55</v>
      </c>
      <c r="BW33">
        <f>VLOOKUP(A33,NSC!A$2:G$55,4,0)</f>
        <v>103.2</v>
      </c>
      <c r="BX33">
        <f>VLOOKUP(A33,ORCL!A$2:G$55,4,0)</f>
        <v>39.979999999999997</v>
      </c>
      <c r="BY33">
        <f>VLOOKUP(A33,OXY!A$2:G$55,4,0)</f>
        <v>99.74</v>
      </c>
      <c r="BZ33">
        <f>VLOOKUP(A33,PEP!A$2:G$55,4,0)</f>
        <v>91.46</v>
      </c>
      <c r="CA33">
        <f>VLOOKUP(A33,PFE!A$2:G$55,4,0)</f>
        <v>28.17</v>
      </c>
      <c r="CB33">
        <f>VLOOKUP(A33,PG!A$2:G$55,4,0)</f>
        <v>81.44</v>
      </c>
      <c r="CC33">
        <f>VLOOKUP(A33,PM!A$2:G$55,4,0)</f>
        <v>84.47</v>
      </c>
      <c r="CD33">
        <f>VLOOKUP(A33,QCOM!A$2:G$55,4,0)</f>
        <v>74.599999999999994</v>
      </c>
      <c r="CE33">
        <f>VLOOKUP(A33,RTN!A$2:G$55,4,0)</f>
        <v>93.25</v>
      </c>
      <c r="CF33">
        <f>VLOOKUP(A33,SBUX!A$2:G$55,4,0)</f>
        <v>76.16</v>
      </c>
      <c r="CG33">
        <f>VLOOKUP(A33,SLB!A$2:G$55,4,0)</f>
        <v>105.55</v>
      </c>
      <c r="CH33">
        <f>VLOOKUP(A33,SO!A$2:G$55,4,0)</f>
        <v>43.11</v>
      </c>
      <c r="CI33">
        <f>VLOOKUP(A33,SPG!A$2:G$55,4,0)</f>
        <v>167.37</v>
      </c>
      <c r="CJ33">
        <f>VLOOKUP(A33,T!A$2:G$55,4,0)</f>
        <v>34.6</v>
      </c>
      <c r="CK33">
        <f>VLOOKUP(A33,TGT!A$2:G$55,4,0)</f>
        <v>58.09</v>
      </c>
      <c r="CL33">
        <f>VLOOKUP(A33,TWX!A$2:G$55,4,0)</f>
        <v>74.48</v>
      </c>
      <c r="CM33">
        <f>VLOOKUP(A33,TXN!A$2:G$55,4,0)</f>
        <v>47.01</v>
      </c>
      <c r="CN33">
        <f>VLOOKUP(A33,UNH!A$2:G$55,4,0)</f>
        <v>80.16</v>
      </c>
      <c r="CO33">
        <f>VLOOKUP(A33,UNP!A$2:G$55,4,0)</f>
        <v>100.7</v>
      </c>
      <c r="CP33">
        <f>VLOOKUP(A33,UPS!A$2:G$55,4,0)</f>
        <v>95.72</v>
      </c>
      <c r="CQ33">
        <f>VLOOKUP(A33,USB!A$2:G$55,4,0)</f>
        <v>41.34</v>
      </c>
      <c r="CR33">
        <f>VLOOKUP(A33,UTX!A$2:G$55,4,0)</f>
        <v>105.5</v>
      </c>
      <c r="CS33">
        <f>VLOOKUP(A33,V!A$2:G$55,4,0)</f>
        <v>211.31</v>
      </c>
      <c r="CT33">
        <f>VLOOKUP(A33,VZ!A$2:G$55,4,0)</f>
        <v>48.81</v>
      </c>
      <c r="CU33">
        <f>VLOOKUP(A33,WAG!A$2:G$55,4,0)</f>
        <v>62.09</v>
      </c>
      <c r="CV33">
        <f>VLOOKUP(A33,WFC!A$2:G$55,4,0)</f>
        <v>50.06</v>
      </c>
      <c r="CW33">
        <f>VLOOKUP(A33,WMT!A$2:G$55,4,0)</f>
        <v>73.61</v>
      </c>
    </row>
    <row r="34" spans="1:101" x14ac:dyDescent="0.25">
      <c r="A34" s="34">
        <v>41866</v>
      </c>
      <c r="B34" s="36">
        <v>96.86</v>
      </c>
      <c r="C34">
        <f>VLOOKUP(A34,ABBV!A$2:G$55,4,0)</f>
        <v>53.58</v>
      </c>
      <c r="D34">
        <f>VLOOKUP(A34,ABT!A$2:G$55,4,0)</f>
        <v>41.71</v>
      </c>
      <c r="E34">
        <f>VLOOKUP(A34,ACN!A$2:G$55,4,0)</f>
        <v>78.599999999999994</v>
      </c>
      <c r="F34">
        <f>VLOOKUP(A34,AIG!A$2:G$55,4,0)</f>
        <v>53.42</v>
      </c>
      <c r="G34">
        <f>VLOOKUP(A34,ALL!A$2:G$55,4,0)</f>
        <v>60.38</v>
      </c>
      <c r="H34">
        <f>VLOOKUP(A34,AMGN!A$2:G$55,4,0)</f>
        <v>130</v>
      </c>
      <c r="I34">
        <f>VLOOKUP(A34,AMZN!A$2:G$55,4,0)</f>
        <v>328.32</v>
      </c>
      <c r="J34">
        <f>VLOOKUP(A34,APA!A$2:G$55,4,0)</f>
        <v>97.87</v>
      </c>
      <c r="K34">
        <f>VLOOKUP(A34,APC!A$2:G$55,4,0)</f>
        <v>105.97</v>
      </c>
      <c r="L34">
        <f>VLOOKUP(A34,AXP!A$2:G$55,4,0)</f>
        <v>86.23</v>
      </c>
      <c r="M34">
        <f>VLOOKUP(A34,BA!A$2:G$55,4,0)</f>
        <v>122.15</v>
      </c>
      <c r="N34">
        <f>VLOOKUP(A34,BAC!A$2:G$55,4,0)</f>
        <v>15.14</v>
      </c>
      <c r="O34">
        <f>VLOOKUP(A34,BAX!A$2:G$55,4,0)</f>
        <v>74</v>
      </c>
      <c r="P34">
        <f>VLOOKUP(A34,BIIB!A$2:G$55,4,0)</f>
        <v>330.7</v>
      </c>
      <c r="Q34">
        <f>VLOOKUP(A34,BK!A$2:G$55,4,0)</f>
        <v>37.9</v>
      </c>
      <c r="R34">
        <f>VLOOKUP(A34,BMY!A$2:G$55,4,0)</f>
        <v>49.24</v>
      </c>
      <c r="T34">
        <f>VLOOKUP(A34,'C'!A$2:G$55,4,0)</f>
        <v>48.32</v>
      </c>
      <c r="U34">
        <f>VLOOKUP(A34,CAT!A$2:G$55,4,0)</f>
        <v>105.13</v>
      </c>
      <c r="V34">
        <f>VLOOKUP(A34,CL!A$2:G$55,4,0)</f>
        <v>63.69</v>
      </c>
      <c r="W34">
        <f>VLOOKUP(A34,CMCSA!A$2:G$55,4,0)</f>
        <v>54.15</v>
      </c>
      <c r="X34">
        <f>VLOOKUP(A34,COF!A$2:G$55,4,0)</f>
        <v>78.739999999999995</v>
      </c>
      <c r="Y34">
        <f>VLOOKUP(A34,COP!A$2:G$55,4,0)</f>
        <v>79.81</v>
      </c>
      <c r="Z34">
        <f>VLOOKUP(A34,COST!A$2:G$55,4,0)</f>
        <v>117.78</v>
      </c>
      <c r="AA34">
        <f>VLOOKUP(A34,CSCO!A$2:G$55,4,0)</f>
        <v>24.27</v>
      </c>
      <c r="AB34">
        <f>VLOOKUP(A34,CVS!A$2:G$55,4,0)</f>
        <v>78.44</v>
      </c>
      <c r="AC34">
        <f>VLOOKUP(A34,CVX!A$2:G$55,4,0)</f>
        <v>125.68</v>
      </c>
      <c r="AD34">
        <f>VLOOKUP(A34,DD!A$2:G$55,4,0)</f>
        <v>64.64</v>
      </c>
      <c r="AE34">
        <f>VLOOKUP(A34,DIS!A$2:G$55,4,0)</f>
        <v>88.69</v>
      </c>
      <c r="AF34">
        <f>VLOOKUP(A34,DOW!A$2:G$55,4,0)</f>
        <v>51.65</v>
      </c>
      <c r="AG34">
        <f>VLOOKUP(A34,DVN!A$2:G$55,4,0)</f>
        <v>72.709999999999994</v>
      </c>
      <c r="AH34">
        <f>VLOOKUP(A34,EBAY!A$2:G$55,4,0)</f>
        <v>52.58</v>
      </c>
      <c r="AI34">
        <f>VLOOKUP(A34,EMC!A$2:G$55,4,0)</f>
        <v>29.52</v>
      </c>
      <c r="AJ34">
        <f>VLOOKUP(A34,EMR!A$2:G$55,4,0)</f>
        <v>62.55</v>
      </c>
      <c r="AK34">
        <f>VLOOKUP(A34,EXC!A$2:G$55,4,0)</f>
        <v>31.64</v>
      </c>
      <c r="AL34">
        <f>VLOOKUP(A34,F!A$2:G$55,4,0)</f>
        <v>17.170000000000002</v>
      </c>
      <c r="AM34">
        <f>VLOOKUP(A34,FB!A$2:G$55,4,0)</f>
        <v>73</v>
      </c>
      <c r="AN34">
        <f>VLOOKUP(A34,FCX!A$2:G$55,4,0)</f>
        <v>35.700000000000003</v>
      </c>
      <c r="AO34">
        <f>VLOOKUP(A34,FDX!A$2:G$55,4,0)</f>
        <v>147.5</v>
      </c>
      <c r="AP34">
        <f>VLOOKUP(A34,FOXA!A$2:G$55,4,0)</f>
        <v>35.68</v>
      </c>
      <c r="AQ34">
        <f>VLOOKUP(A34,GD!A$2:G$55,4,0)</f>
        <v>118.55</v>
      </c>
      <c r="AR34">
        <f>VLOOKUP(A34,GE!A$2:G$55,4,0)</f>
        <v>25.51</v>
      </c>
      <c r="AS34">
        <f>VLOOKUP(A34,GILD!A$2:G$55,4,0)</f>
        <v>97.02</v>
      </c>
      <c r="AT34">
        <f>VLOOKUP(A34,GM!A$2:G$55,4,0)</f>
        <v>33.51</v>
      </c>
      <c r="AU34">
        <f>VLOOKUP(A34,GOOG!A$2:G$55,4,0)</f>
        <v>570.52</v>
      </c>
      <c r="AV34">
        <f>VLOOKUP(A34,GOOGL!A$2:G$55,4,0)</f>
        <v>580.76</v>
      </c>
      <c r="AW34">
        <f>VLOOKUP(A34,GS!A$2:G$55,4,0)</f>
        <v>171.44</v>
      </c>
      <c r="AX34">
        <f>VLOOKUP(A34,HAL!A$2:G$55,4,0)</f>
        <v>67.36</v>
      </c>
      <c r="AY34">
        <f>VLOOKUP(A34,HD!A$2:G$55,4,0)</f>
        <v>82.85</v>
      </c>
      <c r="AZ34">
        <f>VLOOKUP(A34,HON!A$2:G$55,4,0)</f>
        <v>93.5</v>
      </c>
      <c r="BA34">
        <f>VLOOKUP(A34,HPQ!A$2:G$55,4,0)</f>
        <v>34.909999999999997</v>
      </c>
      <c r="BB34">
        <f>VLOOKUP(A34,IBM!A$2:G$55,4,0)</f>
        <v>186.79</v>
      </c>
      <c r="BC34">
        <f>VLOOKUP(A34,INTC!A$2:G$55,4,0)</f>
        <v>33.71</v>
      </c>
      <c r="BD34">
        <f>VLOOKUP(A34,JNJ!A$2:G$55,4,0)</f>
        <v>100.8</v>
      </c>
      <c r="BE34">
        <f>VLOOKUP(A34,JPM!A$2:G$55,4,0)</f>
        <v>56.39</v>
      </c>
      <c r="BF34">
        <f>VLOOKUP(A34,KO!A$2:G$55,4,0)</f>
        <v>40.659999999999997</v>
      </c>
      <c r="BG34">
        <f>VLOOKUP(A34,LLY!A$2:G$55,4,0)</f>
        <v>60.5</v>
      </c>
      <c r="BH34">
        <f>VLOOKUP(A34,LMT!A$2:G$55,4,0)</f>
        <v>167.94</v>
      </c>
      <c r="BI34">
        <f>VLOOKUP(A34,LOW!A$2:G$55,4,0)</f>
        <v>49.57</v>
      </c>
      <c r="BJ34">
        <f>VLOOKUP(A34,MA!A$2:G$55,4,0)</f>
        <v>74.98</v>
      </c>
      <c r="BK34">
        <f>VLOOKUP(A34,MCD!A$2:G$55,4,0)</f>
        <v>93.41</v>
      </c>
      <c r="BL34">
        <f>VLOOKUP(A34,MDLZ!A$2:G$55,4,0)</f>
        <v>35.590000000000003</v>
      </c>
      <c r="BM34">
        <f>VLOOKUP(A34,MDT!A$2:G$55,4,0)</f>
        <v>62.78</v>
      </c>
      <c r="BN34">
        <f>VLOOKUP(A34,MET!A$2:G$55,4,0)</f>
        <v>51.93</v>
      </c>
      <c r="BO34">
        <f>VLOOKUP(A34,MMM!A$2:G$55,4,0)</f>
        <v>141.02000000000001</v>
      </c>
      <c r="BP34">
        <f>VLOOKUP(A34,MO!A$2:G$55,4,0)</f>
        <v>41.93</v>
      </c>
      <c r="BQ34">
        <f>VLOOKUP(A34,MON!A$2:G$55,4,0)</f>
        <v>117.05</v>
      </c>
      <c r="BR34">
        <f>VLOOKUP(A34,MRK!A$2:G$55,4,0)</f>
        <v>58.03</v>
      </c>
      <c r="BS34">
        <f>VLOOKUP(A34,MS!A$2:G$55,4,0)</f>
        <v>31.98</v>
      </c>
      <c r="BT34">
        <f>VLOOKUP(A34,MSFT!A$2:G$55,4,0)</f>
        <v>44.4</v>
      </c>
      <c r="BU34">
        <f>VLOOKUP(A34,NKE!A$2:G$55,4,0)</f>
        <v>76.489999999999995</v>
      </c>
      <c r="BV34">
        <f>VLOOKUP(A34,NOV!A$2:G$55,4,0)</f>
        <v>81.14</v>
      </c>
      <c r="BW34">
        <f>VLOOKUP(A34,NSC!A$2:G$55,4,0)</f>
        <v>103.53</v>
      </c>
      <c r="BX34">
        <f>VLOOKUP(A34,ORCL!A$2:G$55,4,0)</f>
        <v>39.979999999999997</v>
      </c>
      <c r="BY34">
        <f>VLOOKUP(A34,OXY!A$2:G$55,4,0)</f>
        <v>99.33</v>
      </c>
      <c r="BZ34">
        <f>VLOOKUP(A34,PEP!A$2:G$55,4,0)</f>
        <v>91.29</v>
      </c>
      <c r="CA34">
        <f>VLOOKUP(A34,PFE!A$2:G$55,4,0)</f>
        <v>28.41</v>
      </c>
      <c r="CB34">
        <f>VLOOKUP(A34,PG!A$2:G$55,4,0)</f>
        <v>81.180000000000007</v>
      </c>
      <c r="CC34">
        <f>VLOOKUP(A34,PM!A$2:G$55,4,0)</f>
        <v>83.82</v>
      </c>
      <c r="CD34">
        <f>VLOOKUP(A34,QCOM!A$2:G$55,4,0)</f>
        <v>73.989999999999995</v>
      </c>
      <c r="CE34">
        <f>VLOOKUP(A34,RTN!A$2:G$55,4,0)</f>
        <v>92.74</v>
      </c>
      <c r="CF34">
        <f>VLOOKUP(A34,SBUX!A$2:G$55,4,0)</f>
        <v>76.37</v>
      </c>
      <c r="CG34">
        <f>VLOOKUP(A34,SLB!A$2:G$55,4,0)</f>
        <v>105.39</v>
      </c>
      <c r="CH34">
        <f>VLOOKUP(A34,SO!A$2:G$55,4,0)</f>
        <v>43.28</v>
      </c>
      <c r="CI34">
        <f>VLOOKUP(A34,SPG!A$2:G$55,4,0)</f>
        <v>167.77</v>
      </c>
      <c r="CJ34">
        <f>VLOOKUP(A34,T!A$2:G$55,4,0)</f>
        <v>34.46</v>
      </c>
      <c r="CK34">
        <f>VLOOKUP(A34,TGT!A$2:G$55,4,0)</f>
        <v>57.84</v>
      </c>
      <c r="CL34">
        <f>VLOOKUP(A34,TWX!A$2:G$55,4,0)</f>
        <v>75.95</v>
      </c>
      <c r="CM34">
        <f>VLOOKUP(A34,TXN!A$2:G$55,4,0)</f>
        <v>46.99</v>
      </c>
      <c r="CN34">
        <f>VLOOKUP(A34,UNH!A$2:G$55,4,0)</f>
        <v>80.81</v>
      </c>
      <c r="CO34">
        <f>VLOOKUP(A34,UNP!A$2:G$55,4,0)</f>
        <v>101.16</v>
      </c>
      <c r="CP34">
        <f>VLOOKUP(A34,UPS!A$2:G$55,4,0)</f>
        <v>96.06</v>
      </c>
      <c r="CQ34">
        <f>VLOOKUP(A34,USB!A$2:G$55,4,0)</f>
        <v>41.06</v>
      </c>
      <c r="CR34">
        <f>VLOOKUP(A34,UTX!A$2:G$55,4,0)</f>
        <v>104.94</v>
      </c>
      <c r="CS34">
        <f>VLOOKUP(A34,V!A$2:G$55,4,0)</f>
        <v>209.93</v>
      </c>
      <c r="CT34">
        <f>VLOOKUP(A34,VZ!A$2:G$55,4,0)</f>
        <v>48.5</v>
      </c>
      <c r="CU34">
        <f>VLOOKUP(A34,WAG!A$2:G$55,4,0)</f>
        <v>61.48</v>
      </c>
      <c r="CV34">
        <f>VLOOKUP(A34,WFC!A$2:G$55,4,0)</f>
        <v>49.87</v>
      </c>
      <c r="CW34">
        <f>VLOOKUP(A34,WMT!A$2:G$55,4,0)</f>
        <v>73.489999999999995</v>
      </c>
    </row>
    <row r="35" spans="1:101" x14ac:dyDescent="0.25">
      <c r="A35" s="34">
        <v>41869</v>
      </c>
      <c r="B35" s="36">
        <v>97.98</v>
      </c>
      <c r="C35">
        <f>VLOOKUP(A35,ABBV!A$2:G$55,4,0)</f>
        <v>53.84</v>
      </c>
      <c r="D35">
        <f>VLOOKUP(A35,ABT!A$2:G$55,4,0)</f>
        <v>42.1</v>
      </c>
      <c r="E35">
        <f>VLOOKUP(A35,ACN!A$2:G$55,4,0)</f>
        <v>79.33</v>
      </c>
      <c r="F35">
        <f>VLOOKUP(A35,AIG!A$2:G$55,4,0)</f>
        <v>54.09</v>
      </c>
      <c r="G35">
        <f>VLOOKUP(A35,ALL!A$2:G$55,4,0)</f>
        <v>60.89</v>
      </c>
      <c r="H35">
        <f>VLOOKUP(A35,AMGN!A$2:G$55,4,0)</f>
        <v>132.37</v>
      </c>
      <c r="I35">
        <f>VLOOKUP(A35,AMZN!A$2:G$55,4,0)</f>
        <v>333.77</v>
      </c>
      <c r="J35">
        <f>VLOOKUP(A35,APA!A$2:G$55,4,0)</f>
        <v>97.6</v>
      </c>
      <c r="K35">
        <f>VLOOKUP(A35,APC!A$2:G$55,4,0)</f>
        <v>107.25</v>
      </c>
      <c r="L35">
        <f>VLOOKUP(A35,AXP!A$2:G$55,4,0)</f>
        <v>86.98</v>
      </c>
      <c r="M35">
        <f>VLOOKUP(A35,BA!A$2:G$55,4,0)</f>
        <v>123.57</v>
      </c>
      <c r="N35">
        <f>VLOOKUP(A35,BAC!A$2:G$55,4,0)</f>
        <v>15.27</v>
      </c>
      <c r="O35">
        <f>VLOOKUP(A35,BAX!A$2:G$55,4,0)</f>
        <v>74.62</v>
      </c>
      <c r="P35">
        <f>VLOOKUP(A35,BIIB!A$2:G$55,4,0)</f>
        <v>342.09</v>
      </c>
      <c r="Q35">
        <f>VLOOKUP(A35,BK!A$2:G$55,4,0)</f>
        <v>38.479999999999997</v>
      </c>
      <c r="R35">
        <f>VLOOKUP(A35,BMY!A$2:G$55,4,0)</f>
        <v>49.77</v>
      </c>
      <c r="T35">
        <f>VLOOKUP(A35,'C'!A$2:G$55,4,0)</f>
        <v>48.97</v>
      </c>
      <c r="U35">
        <f>VLOOKUP(A35,CAT!A$2:G$55,4,0)</f>
        <v>106.28</v>
      </c>
      <c r="V35">
        <f>VLOOKUP(A35,CL!A$2:G$55,4,0)</f>
        <v>64.3</v>
      </c>
      <c r="W35">
        <f>VLOOKUP(A35,CMCSA!A$2:G$55,4,0)</f>
        <v>54.48</v>
      </c>
      <c r="X35">
        <f>VLOOKUP(A35,COF!A$2:G$55,4,0)</f>
        <v>79.77</v>
      </c>
      <c r="Y35">
        <f>VLOOKUP(A35,COP!A$2:G$55,4,0)</f>
        <v>78.91</v>
      </c>
      <c r="Z35">
        <f>VLOOKUP(A35,COST!A$2:G$55,4,0)</f>
        <v>118.95</v>
      </c>
      <c r="AA35">
        <f>VLOOKUP(A35,CSCO!A$2:G$55,4,0)</f>
        <v>24.43</v>
      </c>
      <c r="AB35">
        <f>VLOOKUP(A35,CVS!A$2:G$55,4,0)</f>
        <v>78.900000000000006</v>
      </c>
      <c r="AC35">
        <f>VLOOKUP(A35,CVX!A$2:G$55,4,0)</f>
        <v>125.63</v>
      </c>
      <c r="AD35">
        <f>VLOOKUP(A35,DD!A$2:G$55,4,0)</f>
        <v>65.5</v>
      </c>
      <c r="AE35">
        <f>VLOOKUP(A35,DIS!A$2:G$55,4,0)</f>
        <v>89.58</v>
      </c>
      <c r="AF35">
        <f>VLOOKUP(A35,DOW!A$2:G$55,4,0)</f>
        <v>52.21</v>
      </c>
      <c r="AG35">
        <f>VLOOKUP(A35,DVN!A$2:G$55,4,0)</f>
        <v>72.959999999999994</v>
      </c>
      <c r="AH35">
        <f>VLOOKUP(A35,EBAY!A$2:G$55,4,0)</f>
        <v>52.81</v>
      </c>
      <c r="AI35">
        <f>VLOOKUP(A35,EMC!A$2:G$55,4,0)</f>
        <v>29.72</v>
      </c>
      <c r="AJ35">
        <f>VLOOKUP(A35,EMR!A$2:G$55,4,0)</f>
        <v>63.16</v>
      </c>
      <c r="AK35">
        <f>VLOOKUP(A35,EXC!A$2:G$55,4,0)</f>
        <v>31.73</v>
      </c>
      <c r="AL35">
        <f>VLOOKUP(A35,F!A$2:G$55,4,0)</f>
        <v>17.38</v>
      </c>
      <c r="AM35">
        <f>VLOOKUP(A35,FB!A$2:G$55,4,0)</f>
        <v>73.959999999999994</v>
      </c>
      <c r="AN35">
        <f>VLOOKUP(A35,FCX!A$2:G$55,4,0)</f>
        <v>36</v>
      </c>
      <c r="AO35">
        <f>VLOOKUP(A35,FDX!A$2:G$55,4,0)</f>
        <v>149.22999999999999</v>
      </c>
      <c r="AP35">
        <f>VLOOKUP(A35,FOXA!A$2:G$55,4,0)</f>
        <v>35.78</v>
      </c>
      <c r="AQ35">
        <f>VLOOKUP(A35,GD!A$2:G$55,4,0)</f>
        <v>120.17</v>
      </c>
      <c r="AR35">
        <f>VLOOKUP(A35,GE!A$2:G$55,4,0)</f>
        <v>25.85</v>
      </c>
      <c r="AS35">
        <f>VLOOKUP(A35,GILD!A$2:G$55,4,0)</f>
        <v>100.08</v>
      </c>
      <c r="AT35">
        <f>VLOOKUP(A35,GM!A$2:G$55,4,0)</f>
        <v>34.04</v>
      </c>
      <c r="AU35">
        <f>VLOOKUP(A35,GOOG!A$2:G$55,4,0)</f>
        <v>576</v>
      </c>
      <c r="AV35">
        <f>VLOOKUP(A35,GOOGL!A$2:G$55,4,0)</f>
        <v>586.54999999999995</v>
      </c>
      <c r="AW35">
        <f>VLOOKUP(A35,GS!A$2:G$55,4,0)</f>
        <v>172.7</v>
      </c>
      <c r="AX35">
        <f>VLOOKUP(A35,HAL!A$2:G$55,4,0)</f>
        <v>68.53</v>
      </c>
      <c r="AY35">
        <f>VLOOKUP(A35,HD!A$2:G$55,4,0)</f>
        <v>83.29</v>
      </c>
      <c r="AZ35">
        <f>VLOOKUP(A35,HON!A$2:G$55,4,0)</f>
        <v>94.59</v>
      </c>
      <c r="BA35">
        <f>VLOOKUP(A35,HPQ!A$2:G$55,4,0)</f>
        <v>35.22</v>
      </c>
      <c r="BB35">
        <f>VLOOKUP(A35,IBM!A$2:G$55,4,0)</f>
        <v>187.76</v>
      </c>
      <c r="BC35">
        <f>VLOOKUP(A35,INTC!A$2:G$55,4,0)</f>
        <v>33.979999999999997</v>
      </c>
      <c r="BD35">
        <f>VLOOKUP(A35,JNJ!A$2:G$55,4,0)</f>
        <v>101.75</v>
      </c>
      <c r="BE35">
        <f>VLOOKUP(A35,JPM!A$2:G$55,4,0)</f>
        <v>56.76</v>
      </c>
      <c r="BF35">
        <f>VLOOKUP(A35,KO!A$2:G$55,4,0)</f>
        <v>40.79</v>
      </c>
      <c r="BG35">
        <f>VLOOKUP(A35,LLY!A$2:G$55,4,0)</f>
        <v>61.07</v>
      </c>
      <c r="BH35">
        <f>VLOOKUP(A35,LMT!A$2:G$55,4,0)</f>
        <v>170.04</v>
      </c>
      <c r="BI35">
        <f>VLOOKUP(A35,LOW!A$2:G$55,4,0)</f>
        <v>50.34</v>
      </c>
      <c r="BJ35">
        <f>VLOOKUP(A35,MA!A$2:G$55,4,0)</f>
        <v>75.69</v>
      </c>
      <c r="BK35">
        <f>VLOOKUP(A35,MCD!A$2:G$55,4,0)</f>
        <v>93.93</v>
      </c>
      <c r="BL35">
        <f>VLOOKUP(A35,MDLZ!A$2:G$55,4,0)</f>
        <v>35.86</v>
      </c>
      <c r="BM35">
        <f>VLOOKUP(A35,MDT!A$2:G$55,4,0)</f>
        <v>63.22</v>
      </c>
      <c r="BN35">
        <f>VLOOKUP(A35,MET!A$2:G$55,4,0)</f>
        <v>52.78</v>
      </c>
      <c r="BO35">
        <f>VLOOKUP(A35,MMM!A$2:G$55,4,0)</f>
        <v>142.59</v>
      </c>
      <c r="BP35">
        <f>VLOOKUP(A35,MO!A$2:G$55,4,0)</f>
        <v>42.3</v>
      </c>
      <c r="BQ35">
        <f>VLOOKUP(A35,MON!A$2:G$55,4,0)</f>
        <v>119.24</v>
      </c>
      <c r="BR35">
        <f>VLOOKUP(A35,MRK!A$2:G$55,4,0)</f>
        <v>58.35</v>
      </c>
      <c r="BS35">
        <f>VLOOKUP(A35,MS!A$2:G$55,4,0)</f>
        <v>32.39</v>
      </c>
      <c r="BT35">
        <f>VLOOKUP(A35,MSFT!A$2:G$55,4,0)</f>
        <v>44.68</v>
      </c>
      <c r="BU35">
        <f>VLOOKUP(A35,NKE!A$2:G$55,4,0)</f>
        <v>77.569999999999993</v>
      </c>
      <c r="BV35">
        <f>VLOOKUP(A35,NOV!A$2:G$55,4,0)</f>
        <v>82.01</v>
      </c>
      <c r="BW35">
        <f>VLOOKUP(A35,NSC!A$2:G$55,4,0)</f>
        <v>105.01</v>
      </c>
      <c r="BX35">
        <f>VLOOKUP(A35,ORCL!A$2:G$55,4,0)</f>
        <v>40.4</v>
      </c>
      <c r="BY35">
        <f>VLOOKUP(A35,OXY!A$2:G$55,4,0)</f>
        <v>99.49</v>
      </c>
      <c r="BZ35">
        <f>VLOOKUP(A35,PEP!A$2:G$55,4,0)</f>
        <v>92</v>
      </c>
      <c r="CA35">
        <f>VLOOKUP(A35,PFE!A$2:G$55,4,0)</f>
        <v>28.69</v>
      </c>
      <c r="CB35">
        <f>VLOOKUP(A35,PG!A$2:G$55,4,0)</f>
        <v>81.81</v>
      </c>
      <c r="CC35">
        <f>VLOOKUP(A35,PM!A$2:G$55,4,0)</f>
        <v>84.63</v>
      </c>
      <c r="CD35">
        <f>VLOOKUP(A35,QCOM!A$2:G$55,4,0)</f>
        <v>74.61</v>
      </c>
      <c r="CE35">
        <f>VLOOKUP(A35,RTN!A$2:G$55,4,0)</f>
        <v>93.9</v>
      </c>
      <c r="CF35">
        <f>VLOOKUP(A35,SBUX!A$2:G$55,4,0)</f>
        <v>77.180000000000007</v>
      </c>
      <c r="CG35">
        <f>VLOOKUP(A35,SLB!A$2:G$55,4,0)</f>
        <v>107.54</v>
      </c>
      <c r="CH35">
        <f>VLOOKUP(A35,SO!A$2:G$55,4,0)</f>
        <v>43.28</v>
      </c>
      <c r="CI35">
        <f>VLOOKUP(A35,SPG!A$2:G$55,4,0)</f>
        <v>168.98</v>
      </c>
      <c r="CJ35">
        <f>VLOOKUP(A35,T!A$2:G$55,4,0)</f>
        <v>34.57</v>
      </c>
      <c r="CK35">
        <f>VLOOKUP(A35,TGT!A$2:G$55,4,0)</f>
        <v>57.75</v>
      </c>
      <c r="CL35">
        <f>VLOOKUP(A35,TWX!A$2:G$55,4,0)</f>
        <v>76.55</v>
      </c>
      <c r="CM35">
        <f>VLOOKUP(A35,TXN!A$2:G$55,4,0)</f>
        <v>47.36</v>
      </c>
      <c r="CN35">
        <f>VLOOKUP(A35,UNH!A$2:G$55,4,0)</f>
        <v>81.349999999999994</v>
      </c>
      <c r="CO35">
        <f>VLOOKUP(A35,UNP!A$2:G$55,4,0)</f>
        <v>102.35</v>
      </c>
      <c r="CP35">
        <f>VLOOKUP(A35,UPS!A$2:G$55,4,0)</f>
        <v>97.17</v>
      </c>
      <c r="CQ35">
        <f>VLOOKUP(A35,USB!A$2:G$55,4,0)</f>
        <v>41.43</v>
      </c>
      <c r="CR35">
        <f>VLOOKUP(A35,UTX!A$2:G$55,4,0)</f>
        <v>106.48</v>
      </c>
      <c r="CS35">
        <f>VLOOKUP(A35,V!A$2:G$55,4,0)</f>
        <v>211.27</v>
      </c>
      <c r="CT35">
        <f>VLOOKUP(A35,VZ!A$2:G$55,4,0)</f>
        <v>48.64</v>
      </c>
      <c r="CU35">
        <f>VLOOKUP(A35,WAG!A$2:G$55,4,0)</f>
        <v>61.65</v>
      </c>
      <c r="CV35">
        <f>VLOOKUP(A35,WFC!A$2:G$55,4,0)</f>
        <v>50.4</v>
      </c>
      <c r="CW35">
        <f>VLOOKUP(A35,WMT!A$2:G$55,4,0)</f>
        <v>74.05</v>
      </c>
    </row>
    <row r="36" spans="1:101" x14ac:dyDescent="0.25">
      <c r="A36" s="34">
        <v>41870</v>
      </c>
      <c r="B36" s="36">
        <v>99.32</v>
      </c>
      <c r="C36">
        <f>VLOOKUP(A36,ABBV!A$2:G$55,4,0)</f>
        <v>54.18</v>
      </c>
      <c r="D36">
        <f>VLOOKUP(A36,ABT!A$2:G$55,4,0)</f>
        <v>42.09</v>
      </c>
      <c r="E36">
        <f>VLOOKUP(A36,ACN!A$2:G$55,4,0)</f>
        <v>79.650000000000006</v>
      </c>
      <c r="F36">
        <f>VLOOKUP(A36,AIG!A$2:G$55,4,0)</f>
        <v>54.5</v>
      </c>
      <c r="G36">
        <f>VLOOKUP(A36,ALL!A$2:G$55,4,0)</f>
        <v>61.05</v>
      </c>
      <c r="H36">
        <f>VLOOKUP(A36,AMGN!A$2:G$55,4,0)</f>
        <v>131.80000000000001</v>
      </c>
      <c r="I36">
        <f>VLOOKUP(A36,AMZN!A$2:G$55,4,0)</f>
        <v>333.01</v>
      </c>
      <c r="J36">
        <f>VLOOKUP(A36,APA!A$2:G$55,4,0)</f>
        <v>98.83</v>
      </c>
      <c r="K36">
        <f>VLOOKUP(A36,APC!A$2:G$55,4,0)</f>
        <v>109</v>
      </c>
      <c r="L36">
        <f>VLOOKUP(A36,AXP!A$2:G$55,4,0)</f>
        <v>87.45</v>
      </c>
      <c r="M36">
        <f>VLOOKUP(A36,BA!A$2:G$55,4,0)</f>
        <v>125.11</v>
      </c>
      <c r="N36">
        <f>VLOOKUP(A36,BAC!A$2:G$55,4,0)</f>
        <v>15.44</v>
      </c>
      <c r="O36">
        <f>VLOOKUP(A36,BAX!A$2:G$55,4,0)</f>
        <v>74.87</v>
      </c>
      <c r="P36">
        <f>VLOOKUP(A36,BIIB!A$2:G$55,4,0)</f>
        <v>343.29</v>
      </c>
      <c r="Q36">
        <f>VLOOKUP(A36,BK!A$2:G$55,4,0)</f>
        <v>38.380000000000003</v>
      </c>
      <c r="R36">
        <f>VLOOKUP(A36,BMY!A$2:G$55,4,0)</f>
        <v>49.83</v>
      </c>
      <c r="T36">
        <f>VLOOKUP(A36,'C'!A$2:G$55,4,0)</f>
        <v>49.52</v>
      </c>
      <c r="U36">
        <f>VLOOKUP(A36,CAT!A$2:G$55,4,0)</f>
        <v>106.87</v>
      </c>
      <c r="V36">
        <f>VLOOKUP(A36,CL!A$2:G$55,4,0)</f>
        <v>64.040000000000006</v>
      </c>
      <c r="W36">
        <f>VLOOKUP(A36,CMCSA!A$2:G$55,4,0)</f>
        <v>54.41</v>
      </c>
      <c r="X36">
        <f>VLOOKUP(A36,COF!A$2:G$55,4,0)</f>
        <v>80.42</v>
      </c>
      <c r="Y36">
        <f>VLOOKUP(A36,COP!A$2:G$55,4,0)</f>
        <v>79.400000000000006</v>
      </c>
      <c r="Z36">
        <f>VLOOKUP(A36,COST!A$2:G$55,4,0)</f>
        <v>119.24</v>
      </c>
      <c r="AA36">
        <f>VLOOKUP(A36,CSCO!A$2:G$55,4,0)</f>
        <v>24.6</v>
      </c>
      <c r="AB36">
        <f>VLOOKUP(A36,CVS!A$2:G$55,4,0)</f>
        <v>78.97</v>
      </c>
      <c r="AC36">
        <f>VLOOKUP(A36,CVX!A$2:G$55,4,0)</f>
        <v>126.55</v>
      </c>
      <c r="AD36">
        <f>VLOOKUP(A36,DD!A$2:G$55,4,0)</f>
        <v>65.81</v>
      </c>
      <c r="AE36">
        <f>VLOOKUP(A36,DIS!A$2:G$55,4,0)</f>
        <v>89.64</v>
      </c>
      <c r="AF36">
        <f>VLOOKUP(A36,DOW!A$2:G$55,4,0)</f>
        <v>52.85</v>
      </c>
      <c r="AG36">
        <f>VLOOKUP(A36,DVN!A$2:G$55,4,0)</f>
        <v>73.61</v>
      </c>
      <c r="AH36">
        <f>VLOOKUP(A36,EBAY!A$2:G$55,4,0)</f>
        <v>53.14</v>
      </c>
      <c r="AI36">
        <f>VLOOKUP(A36,EMC!A$2:G$55,4,0)</f>
        <v>29.78</v>
      </c>
      <c r="AJ36">
        <f>VLOOKUP(A36,EMR!A$2:G$55,4,0)</f>
        <v>63.8</v>
      </c>
      <c r="AK36">
        <f>VLOOKUP(A36,EXC!A$2:G$55,4,0)</f>
        <v>31.68</v>
      </c>
      <c r="AL36">
        <f>VLOOKUP(A36,F!A$2:G$55,4,0)</f>
        <v>17.32</v>
      </c>
      <c r="AM36">
        <f>VLOOKUP(A36,FB!A$2:G$55,4,0)</f>
        <v>74.510000000000005</v>
      </c>
      <c r="AN36">
        <f>VLOOKUP(A36,FCX!A$2:G$55,4,0)</f>
        <v>36.119999999999997</v>
      </c>
      <c r="AO36">
        <f>VLOOKUP(A36,FDX!A$2:G$55,4,0)</f>
        <v>149.91</v>
      </c>
      <c r="AP36">
        <f>VLOOKUP(A36,FOXA!A$2:G$55,4,0)</f>
        <v>35.630000000000003</v>
      </c>
      <c r="AQ36">
        <f>VLOOKUP(A36,GD!A$2:G$55,4,0)</f>
        <v>121.3</v>
      </c>
      <c r="AR36">
        <f>VLOOKUP(A36,GE!A$2:G$55,4,0)</f>
        <v>26.05</v>
      </c>
      <c r="AS36">
        <f>VLOOKUP(A36,GILD!A$2:G$55,4,0)</f>
        <v>99.33</v>
      </c>
      <c r="AT36">
        <f>VLOOKUP(A36,GM!A$2:G$55,4,0)</f>
        <v>34.33</v>
      </c>
      <c r="AU36">
        <f>VLOOKUP(A36,GOOG!A$2:G$55,4,0)</f>
        <v>584</v>
      </c>
      <c r="AV36">
        <f>VLOOKUP(A36,GOOGL!A$2:G$55,4,0)</f>
        <v>594.44000000000005</v>
      </c>
      <c r="AW36">
        <f>VLOOKUP(A36,GS!A$2:G$55,4,0)</f>
        <v>173.63</v>
      </c>
      <c r="AX36">
        <f>VLOOKUP(A36,HAL!A$2:G$55,4,0)</f>
        <v>68.64</v>
      </c>
      <c r="AY36">
        <f>VLOOKUP(A36,HD!A$2:G$55,4,0)</f>
        <v>86.57</v>
      </c>
      <c r="AZ36">
        <f>VLOOKUP(A36,HON!A$2:G$55,4,0)</f>
        <v>94.67</v>
      </c>
      <c r="BA36">
        <f>VLOOKUP(A36,HPQ!A$2:G$55,4,0)</f>
        <v>35.29</v>
      </c>
      <c r="BB36">
        <f>VLOOKUP(A36,IBM!A$2:G$55,4,0)</f>
        <v>189.36</v>
      </c>
      <c r="BC36">
        <f>VLOOKUP(A36,INTC!A$2:G$55,4,0)</f>
        <v>34.25</v>
      </c>
      <c r="BD36">
        <f>VLOOKUP(A36,JNJ!A$2:G$55,4,0)</f>
        <v>102.02</v>
      </c>
      <c r="BE36">
        <f>VLOOKUP(A36,JPM!A$2:G$55,4,0)</f>
        <v>57.34</v>
      </c>
      <c r="BF36">
        <f>VLOOKUP(A36,KO!A$2:G$55,4,0)</f>
        <v>41.16</v>
      </c>
      <c r="BG36">
        <f>VLOOKUP(A36,LLY!A$2:G$55,4,0)</f>
        <v>61.32</v>
      </c>
      <c r="BH36">
        <f>VLOOKUP(A36,LMT!A$2:G$55,4,0)</f>
        <v>171.29</v>
      </c>
      <c r="BI36">
        <f>VLOOKUP(A36,LOW!A$2:G$55,4,0)</f>
        <v>51.28</v>
      </c>
      <c r="BJ36">
        <f>VLOOKUP(A36,MA!A$2:G$55,4,0)</f>
        <v>76.09</v>
      </c>
      <c r="BK36">
        <f>VLOOKUP(A36,MCD!A$2:G$55,4,0)</f>
        <v>94.26</v>
      </c>
      <c r="BL36">
        <f>VLOOKUP(A36,MDLZ!A$2:G$55,4,0)</f>
        <v>35.81</v>
      </c>
      <c r="BM36">
        <f>VLOOKUP(A36,MDT!A$2:G$55,4,0)</f>
        <v>63.28</v>
      </c>
      <c r="BN36">
        <f>VLOOKUP(A36,MET!A$2:G$55,4,0)</f>
        <v>53.27</v>
      </c>
      <c r="BO36">
        <f>VLOOKUP(A36,MMM!A$2:G$55,4,0)</f>
        <v>143.81</v>
      </c>
      <c r="BP36">
        <f>VLOOKUP(A36,MO!A$2:G$55,4,0)</f>
        <v>42.3</v>
      </c>
      <c r="BQ36">
        <f>VLOOKUP(A36,MON!A$2:G$55,4,0)</f>
        <v>119.24</v>
      </c>
      <c r="BR36">
        <f>VLOOKUP(A36,MRK!A$2:G$55,4,0)</f>
        <v>58.34</v>
      </c>
      <c r="BS36">
        <f>VLOOKUP(A36,MS!A$2:G$55,4,0)</f>
        <v>32.53</v>
      </c>
      <c r="BT36">
        <f>VLOOKUP(A36,MSFT!A$2:G$55,4,0)</f>
        <v>44.83</v>
      </c>
      <c r="BU36">
        <f>VLOOKUP(A36,NKE!A$2:G$55,4,0)</f>
        <v>78.349999999999994</v>
      </c>
      <c r="BV36">
        <f>VLOOKUP(A36,NOV!A$2:G$55,4,0)</f>
        <v>82.45</v>
      </c>
      <c r="BW36">
        <f>VLOOKUP(A36,NSC!A$2:G$55,4,0)</f>
        <v>105.8</v>
      </c>
      <c r="BX36">
        <f>VLOOKUP(A36,ORCL!A$2:G$55,4,0)</f>
        <v>40.64</v>
      </c>
      <c r="BY36">
        <f>VLOOKUP(A36,OXY!A$2:G$55,4,0)</f>
        <v>100.65</v>
      </c>
      <c r="BZ36">
        <f>VLOOKUP(A36,PEP!A$2:G$55,4,0)</f>
        <v>91.78</v>
      </c>
      <c r="CA36">
        <f>VLOOKUP(A36,PFE!A$2:G$55,4,0)</f>
        <v>28.69</v>
      </c>
      <c r="CB36">
        <f>VLOOKUP(A36,PG!A$2:G$55,4,0)</f>
        <v>82.12</v>
      </c>
      <c r="CC36">
        <f>VLOOKUP(A36,PM!A$2:G$55,4,0)</f>
        <v>84.63</v>
      </c>
      <c r="CD36">
        <f>VLOOKUP(A36,QCOM!A$2:G$55,4,0)</f>
        <v>74.91</v>
      </c>
      <c r="CE36">
        <f>VLOOKUP(A36,RTN!A$2:G$55,4,0)</f>
        <v>94.45</v>
      </c>
      <c r="CF36">
        <f>VLOOKUP(A36,SBUX!A$2:G$55,4,0)</f>
        <v>77.599999999999994</v>
      </c>
      <c r="CG36">
        <f>VLOOKUP(A36,SLB!A$2:G$55,4,0)</f>
        <v>108.37</v>
      </c>
      <c r="CH36">
        <f>VLOOKUP(A36,SO!A$2:G$55,4,0)</f>
        <v>43.35</v>
      </c>
      <c r="CI36">
        <f>VLOOKUP(A36,SPG!A$2:G$55,4,0)</f>
        <v>169.31</v>
      </c>
      <c r="CJ36">
        <f>VLOOKUP(A36,T!A$2:G$55,4,0)</f>
        <v>34.33</v>
      </c>
      <c r="CK36">
        <f>VLOOKUP(A36,TGT!A$2:G$55,4,0)</f>
        <v>58.6</v>
      </c>
      <c r="CL36">
        <f>VLOOKUP(A36,TWX!A$2:G$55,4,0)</f>
        <v>76.73</v>
      </c>
      <c r="CM36">
        <f>VLOOKUP(A36,TXN!A$2:G$55,4,0)</f>
        <v>47.45</v>
      </c>
      <c r="CN36">
        <f>VLOOKUP(A36,UNH!A$2:G$55,4,0)</f>
        <v>82.05</v>
      </c>
      <c r="CO36">
        <f>VLOOKUP(A36,UNP!A$2:G$55,4,0)</f>
        <v>104.14</v>
      </c>
      <c r="CP36">
        <f>VLOOKUP(A36,UPS!A$2:G$55,4,0)</f>
        <v>97.8</v>
      </c>
      <c r="CQ36">
        <f>VLOOKUP(A36,USB!A$2:G$55,4,0)</f>
        <v>41.53</v>
      </c>
      <c r="CR36">
        <f>VLOOKUP(A36,UTX!A$2:G$55,4,0)</f>
        <v>107.69</v>
      </c>
      <c r="CS36">
        <f>VLOOKUP(A36,V!A$2:G$55,4,0)</f>
        <v>214.13</v>
      </c>
      <c r="CT36">
        <f>VLOOKUP(A36,VZ!A$2:G$55,4,0)</f>
        <v>48.27</v>
      </c>
      <c r="CU36">
        <f>VLOOKUP(A36,WAG!A$2:G$55,4,0)</f>
        <v>61.74</v>
      </c>
      <c r="CV36">
        <f>VLOOKUP(A36,WFC!A$2:G$55,4,0)</f>
        <v>50.75</v>
      </c>
      <c r="CW36">
        <f>VLOOKUP(A36,WMT!A$2:G$55,4,0)</f>
        <v>74.14</v>
      </c>
    </row>
    <row r="37" spans="1:101" x14ac:dyDescent="0.25">
      <c r="A37" s="34">
        <v>41871</v>
      </c>
      <c r="B37" s="36">
        <v>99.95</v>
      </c>
      <c r="C37">
        <f>VLOOKUP(A37,ABBV!A$2:G$55,4,0)</f>
        <v>54.69</v>
      </c>
      <c r="D37">
        <f>VLOOKUP(A37,ABT!A$2:G$55,4,0)</f>
        <v>41.96</v>
      </c>
      <c r="E37">
        <f>VLOOKUP(A37,ACN!A$2:G$55,4,0)</f>
        <v>79.88</v>
      </c>
      <c r="F37">
        <f>VLOOKUP(A37,AIG!A$2:G$55,4,0)</f>
        <v>54.49</v>
      </c>
      <c r="G37">
        <f>VLOOKUP(A37,ALL!A$2:G$55,4,0)</f>
        <v>60.91</v>
      </c>
      <c r="H37">
        <f>VLOOKUP(A37,AMGN!A$2:G$55,4,0)</f>
        <v>131.85</v>
      </c>
      <c r="I37">
        <f>VLOOKUP(A37,AMZN!A$2:G$55,4,0)</f>
        <v>334.02</v>
      </c>
      <c r="J37">
        <f>VLOOKUP(A37,APA!A$2:G$55,4,0)</f>
        <v>98.65</v>
      </c>
      <c r="K37">
        <f>VLOOKUP(A37,APC!A$2:G$55,4,0)</f>
        <v>108.87</v>
      </c>
      <c r="L37">
        <f>VLOOKUP(A37,AXP!A$2:G$55,4,0)</f>
        <v>87.9</v>
      </c>
      <c r="M37">
        <f>VLOOKUP(A37,BA!A$2:G$55,4,0)</f>
        <v>125.58</v>
      </c>
      <c r="N37">
        <f>VLOOKUP(A37,BAC!A$2:G$55,4,0)</f>
        <v>15.37</v>
      </c>
      <c r="O37">
        <f>VLOOKUP(A37,BAX!A$2:G$55,4,0)</f>
        <v>74.7</v>
      </c>
      <c r="P37">
        <f>VLOOKUP(A37,BIIB!A$2:G$55,4,0)</f>
        <v>340.67</v>
      </c>
      <c r="Q37">
        <f>VLOOKUP(A37,BK!A$2:G$55,4,0)</f>
        <v>38.44</v>
      </c>
      <c r="R37">
        <f>VLOOKUP(A37,BMY!A$2:G$55,4,0)</f>
        <v>49.88</v>
      </c>
      <c r="T37">
        <f>VLOOKUP(A37,'C'!A$2:G$55,4,0)</f>
        <v>49.46</v>
      </c>
      <c r="U37">
        <f>VLOOKUP(A37,CAT!A$2:G$55,4,0)</f>
        <v>107.2</v>
      </c>
      <c r="V37">
        <f>VLOOKUP(A37,CL!A$2:G$55,4,0)</f>
        <v>64.239999999999995</v>
      </c>
      <c r="W37">
        <f>VLOOKUP(A37,CMCSA!A$2:G$55,4,0)</f>
        <v>54.31</v>
      </c>
      <c r="X37">
        <f>VLOOKUP(A37,COF!A$2:G$55,4,0)</f>
        <v>80.260000000000005</v>
      </c>
      <c r="Y37">
        <f>VLOOKUP(A37,COP!A$2:G$55,4,0)</f>
        <v>79.77</v>
      </c>
      <c r="Z37">
        <f>VLOOKUP(A37,COST!A$2:G$55,4,0)</f>
        <v>120.09</v>
      </c>
      <c r="AA37">
        <f>VLOOKUP(A37,CSCO!A$2:G$55,4,0)</f>
        <v>24.52</v>
      </c>
      <c r="AB37">
        <f>VLOOKUP(A37,CVS!A$2:G$55,4,0)</f>
        <v>79.17</v>
      </c>
      <c r="AC37">
        <f>VLOOKUP(A37,CVX!A$2:G$55,4,0)</f>
        <v>126.78</v>
      </c>
      <c r="AD37">
        <f>VLOOKUP(A37,DD!A$2:G$55,4,0)</f>
        <v>66.040000000000006</v>
      </c>
      <c r="AE37">
        <f>VLOOKUP(A37,DIS!A$2:G$55,4,0)</f>
        <v>89.67</v>
      </c>
      <c r="AF37">
        <f>VLOOKUP(A37,DOW!A$2:G$55,4,0)</f>
        <v>52.97</v>
      </c>
      <c r="AG37">
        <f>VLOOKUP(A37,DVN!A$2:G$55,4,0)</f>
        <v>73.45</v>
      </c>
      <c r="AH37">
        <f>VLOOKUP(A37,EBAY!A$2:G$55,4,0)</f>
        <v>53.28</v>
      </c>
      <c r="AI37">
        <f>VLOOKUP(A37,EMC!A$2:G$55,4,0)</f>
        <v>29.48</v>
      </c>
      <c r="AJ37">
        <f>VLOOKUP(A37,EMR!A$2:G$55,4,0)</f>
        <v>63.89</v>
      </c>
      <c r="AK37">
        <f>VLOOKUP(A37,EXC!A$2:G$55,4,0)</f>
        <v>31.85</v>
      </c>
      <c r="AL37">
        <f>VLOOKUP(A37,F!A$2:G$55,4,0)</f>
        <v>17.25</v>
      </c>
      <c r="AM37">
        <f>VLOOKUP(A37,FB!A$2:G$55,4,0)</f>
        <v>74.62</v>
      </c>
      <c r="AN37">
        <f>VLOOKUP(A37,FCX!A$2:G$55,4,0)</f>
        <v>36.380000000000003</v>
      </c>
      <c r="AO37">
        <f>VLOOKUP(A37,FDX!A$2:G$55,4,0)</f>
        <v>149.99</v>
      </c>
      <c r="AP37">
        <f>VLOOKUP(A37,FOXA!A$2:G$55,4,0)</f>
        <v>35.58</v>
      </c>
      <c r="AQ37">
        <f>VLOOKUP(A37,GD!A$2:G$55,4,0)</f>
        <v>121.49</v>
      </c>
      <c r="AR37">
        <f>VLOOKUP(A37,GE!A$2:G$55,4,0)</f>
        <v>26.01</v>
      </c>
      <c r="AS37">
        <f>VLOOKUP(A37,GILD!A$2:G$55,4,0)</f>
        <v>100.61</v>
      </c>
      <c r="AT37">
        <f>VLOOKUP(A37,GM!A$2:G$55,4,0)</f>
        <v>34.299999999999997</v>
      </c>
      <c r="AU37">
        <f>VLOOKUP(A37,GOOG!A$2:G$55,4,0)</f>
        <v>582.57000000000005</v>
      </c>
      <c r="AV37">
        <f>VLOOKUP(A37,GOOGL!A$2:G$55,4,0)</f>
        <v>593</v>
      </c>
      <c r="AW37">
        <f>VLOOKUP(A37,GS!A$2:G$55,4,0)</f>
        <v>172.6</v>
      </c>
      <c r="AX37">
        <f>VLOOKUP(A37,HAL!A$2:G$55,4,0)</f>
        <v>68.05</v>
      </c>
      <c r="AY37">
        <f>VLOOKUP(A37,HD!A$2:G$55,4,0)</f>
        <v>88.08</v>
      </c>
      <c r="AZ37">
        <f>VLOOKUP(A37,HON!A$2:G$55,4,0)</f>
        <v>94.59</v>
      </c>
      <c r="BA37">
        <f>VLOOKUP(A37,HPQ!A$2:G$55,4,0)</f>
        <v>34.869999999999997</v>
      </c>
      <c r="BB37">
        <f>VLOOKUP(A37,IBM!A$2:G$55,4,0)</f>
        <v>189.25</v>
      </c>
      <c r="BC37">
        <f>VLOOKUP(A37,INTC!A$2:G$55,4,0)</f>
        <v>34.18</v>
      </c>
      <c r="BD37">
        <f>VLOOKUP(A37,JNJ!A$2:G$55,4,0)</f>
        <v>102.7</v>
      </c>
      <c r="BE37">
        <f>VLOOKUP(A37,JPM!A$2:G$55,4,0)</f>
        <v>57.39</v>
      </c>
      <c r="BF37">
        <f>VLOOKUP(A37,KO!A$2:G$55,4,0)</f>
        <v>41.09</v>
      </c>
      <c r="BG37">
        <f>VLOOKUP(A37,LLY!A$2:G$55,4,0)</f>
        <v>61.67</v>
      </c>
      <c r="BH37">
        <f>VLOOKUP(A37,LMT!A$2:G$55,4,0)</f>
        <v>172.13</v>
      </c>
      <c r="BI37">
        <f>VLOOKUP(A37,LOW!A$2:G$55,4,0)</f>
        <v>49.7</v>
      </c>
      <c r="BJ37">
        <f>VLOOKUP(A37,MA!A$2:G$55,4,0)</f>
        <v>75.900000000000006</v>
      </c>
      <c r="BK37">
        <f>VLOOKUP(A37,MCD!A$2:G$55,4,0)</f>
        <v>94</v>
      </c>
      <c r="BL37">
        <f>VLOOKUP(A37,MDLZ!A$2:G$55,4,0)</f>
        <v>36.06</v>
      </c>
      <c r="BM37">
        <f>VLOOKUP(A37,MDT!A$2:G$55,4,0)</f>
        <v>63.47</v>
      </c>
      <c r="BN37">
        <f>VLOOKUP(A37,MET!A$2:G$55,4,0)</f>
        <v>53.36</v>
      </c>
      <c r="BO37">
        <f>VLOOKUP(A37,MMM!A$2:G$55,4,0)</f>
        <v>143.5</v>
      </c>
      <c r="BP37">
        <f>VLOOKUP(A37,MO!A$2:G$55,4,0)</f>
        <v>42.32</v>
      </c>
      <c r="BQ37">
        <f>VLOOKUP(A37,MON!A$2:G$55,4,0)</f>
        <v>119.65</v>
      </c>
      <c r="BR37">
        <f>VLOOKUP(A37,MRK!A$2:G$55,4,0)</f>
        <v>58.53</v>
      </c>
      <c r="BS37">
        <f>VLOOKUP(A37,MS!A$2:G$55,4,0)</f>
        <v>32.380000000000003</v>
      </c>
      <c r="BT37">
        <f>VLOOKUP(A37,MSFT!A$2:G$55,4,0)</f>
        <v>44.9</v>
      </c>
      <c r="BU37">
        <f>VLOOKUP(A37,NKE!A$2:G$55,4,0)</f>
        <v>78.19</v>
      </c>
      <c r="BV37">
        <f>VLOOKUP(A37,NOV!A$2:G$55,4,0)</f>
        <v>82.48</v>
      </c>
      <c r="BW37">
        <f>VLOOKUP(A37,NSC!A$2:G$55,4,0)</f>
        <v>105.98</v>
      </c>
      <c r="BX37">
        <f>VLOOKUP(A37,ORCL!A$2:G$55,4,0)</f>
        <v>41.09</v>
      </c>
      <c r="BY37">
        <f>VLOOKUP(A37,OXY!A$2:G$55,4,0)</f>
        <v>100.92</v>
      </c>
      <c r="BZ37">
        <f>VLOOKUP(A37,PEP!A$2:G$55,4,0)</f>
        <v>91.52</v>
      </c>
      <c r="CA37">
        <f>VLOOKUP(A37,PFE!A$2:G$55,4,0)</f>
        <v>28.74</v>
      </c>
      <c r="CB37">
        <f>VLOOKUP(A37,PG!A$2:G$55,4,0)</f>
        <v>82.46</v>
      </c>
      <c r="CC37">
        <f>VLOOKUP(A37,PM!A$2:G$55,4,0)</f>
        <v>84.6</v>
      </c>
      <c r="CD37">
        <f>VLOOKUP(A37,QCOM!A$2:G$55,4,0)</f>
        <v>74.55</v>
      </c>
      <c r="CE37">
        <f>VLOOKUP(A37,RTN!A$2:G$55,4,0)</f>
        <v>94.92</v>
      </c>
      <c r="CF37">
        <f>VLOOKUP(A37,SBUX!A$2:G$55,4,0)</f>
        <v>77.739999999999995</v>
      </c>
      <c r="CG37">
        <f>VLOOKUP(A37,SLB!A$2:G$55,4,0)</f>
        <v>108.71</v>
      </c>
      <c r="CH37">
        <f>VLOOKUP(A37,SO!A$2:G$55,4,0)</f>
        <v>43.55</v>
      </c>
      <c r="CI37">
        <f>VLOOKUP(A37,SPG!A$2:G$55,4,0)</f>
        <v>168.77</v>
      </c>
      <c r="CJ37">
        <f>VLOOKUP(A37,T!A$2:G$55,4,0)</f>
        <v>34.44</v>
      </c>
      <c r="CK37">
        <f>VLOOKUP(A37,TGT!A$2:G$55,4,0)</f>
        <v>58.25</v>
      </c>
      <c r="CL37">
        <f>VLOOKUP(A37,TWX!A$2:G$55,4,0)</f>
        <v>76.569999999999993</v>
      </c>
      <c r="CM37">
        <f>VLOOKUP(A37,TXN!A$2:G$55,4,0)</f>
        <v>47.67</v>
      </c>
      <c r="CN37">
        <f>VLOOKUP(A37,UNH!A$2:G$55,4,0)</f>
        <v>82.36</v>
      </c>
      <c r="CO37">
        <f>VLOOKUP(A37,UNP!A$2:G$55,4,0)</f>
        <v>104.4</v>
      </c>
      <c r="CP37">
        <f>VLOOKUP(A37,UPS!A$2:G$55,4,0)</f>
        <v>98.14</v>
      </c>
      <c r="CQ37">
        <f>VLOOKUP(A37,USB!A$2:G$55,4,0)</f>
        <v>41.46</v>
      </c>
      <c r="CR37">
        <f>VLOOKUP(A37,UTX!A$2:G$55,4,0)</f>
        <v>108.56</v>
      </c>
      <c r="CS37">
        <f>VLOOKUP(A37,V!A$2:G$55,4,0)</f>
        <v>214.43</v>
      </c>
      <c r="CT37">
        <f>VLOOKUP(A37,VZ!A$2:G$55,4,0)</f>
        <v>48.6</v>
      </c>
      <c r="CU37">
        <f>VLOOKUP(A37,WAG!A$2:G$55,4,0)</f>
        <v>61.79</v>
      </c>
      <c r="CV37">
        <f>VLOOKUP(A37,WFC!A$2:G$55,4,0)</f>
        <v>50.64</v>
      </c>
      <c r="CW37">
        <f>VLOOKUP(A37,WMT!A$2:G$55,4,0)</f>
        <v>74.510000000000005</v>
      </c>
    </row>
    <row r="38" spans="1:101" x14ac:dyDescent="0.25">
      <c r="A38" s="34">
        <v>41872</v>
      </c>
      <c r="B38" s="36">
        <v>100.11</v>
      </c>
      <c r="C38">
        <f>VLOOKUP(A38,ABBV!A$2:G$55,4,0)</f>
        <v>54.68</v>
      </c>
      <c r="D38">
        <f>VLOOKUP(A38,ABT!A$2:G$55,4,0)</f>
        <v>42.2</v>
      </c>
      <c r="E38">
        <f>VLOOKUP(A38,ACN!A$2:G$55,4,0)</f>
        <v>80.42</v>
      </c>
      <c r="F38">
        <f>VLOOKUP(A38,AIG!A$2:G$55,4,0)</f>
        <v>54.73</v>
      </c>
      <c r="G38">
        <f>VLOOKUP(A38,ALL!A$2:G$55,4,0)</f>
        <v>61.1</v>
      </c>
      <c r="H38">
        <f>VLOOKUP(A38,AMGN!A$2:G$55,4,0)</f>
        <v>132.04</v>
      </c>
      <c r="I38">
        <f>VLOOKUP(A38,AMZN!A$2:G$55,4,0)</f>
        <v>332.23</v>
      </c>
      <c r="J38">
        <f>VLOOKUP(A38,APA!A$2:G$55,4,0)</f>
        <v>99.56</v>
      </c>
      <c r="K38">
        <f>VLOOKUP(A38,APC!A$2:G$55,4,0)</f>
        <v>109.01</v>
      </c>
      <c r="L38">
        <f>VLOOKUP(A38,AXP!A$2:G$55,4,0)</f>
        <v>88.59</v>
      </c>
      <c r="M38">
        <f>VLOOKUP(A38,BA!A$2:G$55,4,0)</f>
        <v>126.74</v>
      </c>
      <c r="N38">
        <f>VLOOKUP(A38,BAC!A$2:G$55,4,0)</f>
        <v>15.62</v>
      </c>
      <c r="O38">
        <f>VLOOKUP(A38,BAX!A$2:G$55,4,0)</f>
        <v>75.67</v>
      </c>
      <c r="P38">
        <f>VLOOKUP(A38,BIIB!A$2:G$55,4,0)</f>
        <v>337.19</v>
      </c>
      <c r="Q38">
        <f>VLOOKUP(A38,BK!A$2:G$55,4,0)</f>
        <v>38.74</v>
      </c>
      <c r="R38">
        <f>VLOOKUP(A38,BMY!A$2:G$55,4,0)</f>
        <v>49.79</v>
      </c>
      <c r="T38">
        <f>VLOOKUP(A38,'C'!A$2:G$55,4,0)</f>
        <v>49.8</v>
      </c>
      <c r="U38">
        <f>VLOOKUP(A38,CAT!A$2:G$55,4,0)</f>
        <v>107.54</v>
      </c>
      <c r="V38">
        <f>VLOOKUP(A38,CL!A$2:G$55,4,0)</f>
        <v>64.55</v>
      </c>
      <c r="W38">
        <f>VLOOKUP(A38,CMCSA!A$2:G$55,4,0)</f>
        <v>54.35</v>
      </c>
      <c r="X38">
        <f>VLOOKUP(A38,COF!A$2:G$55,4,0)</f>
        <v>80.97</v>
      </c>
      <c r="Y38">
        <f>VLOOKUP(A38,COP!A$2:G$55,4,0)</f>
        <v>80.400000000000006</v>
      </c>
      <c r="Z38">
        <f>VLOOKUP(A38,COST!A$2:G$55,4,0)</f>
        <v>120.72</v>
      </c>
      <c r="AA38">
        <f>VLOOKUP(A38,CSCO!A$2:G$55,4,0)</f>
        <v>24.72</v>
      </c>
      <c r="AB38">
        <f>VLOOKUP(A38,CVS!A$2:G$55,4,0)</f>
        <v>78.930000000000007</v>
      </c>
      <c r="AC38">
        <f>VLOOKUP(A38,CVX!A$2:G$55,4,0)</f>
        <v>127.18</v>
      </c>
      <c r="AD38">
        <f>VLOOKUP(A38,DD!A$2:G$55,4,0)</f>
        <v>66.16</v>
      </c>
      <c r="AE38">
        <f>VLOOKUP(A38,DIS!A$2:G$55,4,0)</f>
        <v>89.98</v>
      </c>
      <c r="AF38">
        <f>VLOOKUP(A38,DOW!A$2:G$55,4,0)</f>
        <v>53.05</v>
      </c>
      <c r="AG38">
        <f>VLOOKUP(A38,DVN!A$2:G$55,4,0)</f>
        <v>73.900000000000006</v>
      </c>
      <c r="AH38">
        <f>VLOOKUP(A38,EBAY!A$2:G$55,4,0)</f>
        <v>53.5</v>
      </c>
      <c r="AI38">
        <f>VLOOKUP(A38,EMC!A$2:G$55,4,0)</f>
        <v>29.61</v>
      </c>
      <c r="AJ38">
        <f>VLOOKUP(A38,EMR!A$2:G$55,4,0)</f>
        <v>64.16</v>
      </c>
      <c r="AK38">
        <f>VLOOKUP(A38,EXC!A$2:G$55,4,0)</f>
        <v>31.93</v>
      </c>
      <c r="AL38">
        <f>VLOOKUP(A38,F!A$2:G$55,4,0)</f>
        <v>17.37</v>
      </c>
      <c r="AM38">
        <f>VLOOKUP(A38,FB!A$2:G$55,4,0)</f>
        <v>74.41</v>
      </c>
      <c r="AN38">
        <f>VLOOKUP(A38,FCX!A$2:G$55,4,0)</f>
        <v>36.450000000000003</v>
      </c>
      <c r="AO38">
        <f>VLOOKUP(A38,FDX!A$2:G$55,4,0)</f>
        <v>150</v>
      </c>
      <c r="AP38">
        <f>VLOOKUP(A38,FOXA!A$2:G$55,4,0)</f>
        <v>35.479999999999997</v>
      </c>
      <c r="AQ38">
        <f>VLOOKUP(A38,GD!A$2:G$55,4,0)</f>
        <v>123.13</v>
      </c>
      <c r="AR38">
        <f>VLOOKUP(A38,GE!A$2:G$55,4,0)</f>
        <v>26.3</v>
      </c>
      <c r="AS38">
        <f>VLOOKUP(A38,GILD!A$2:G$55,4,0)</f>
        <v>100.86</v>
      </c>
      <c r="AT38">
        <f>VLOOKUP(A38,GM!A$2:G$55,4,0)</f>
        <v>34.46</v>
      </c>
      <c r="AU38">
        <f>VLOOKUP(A38,GOOG!A$2:G$55,4,0)</f>
        <v>581.14</v>
      </c>
      <c r="AV38">
        <f>VLOOKUP(A38,GOOGL!A$2:G$55,4,0)</f>
        <v>591.1</v>
      </c>
      <c r="AW38">
        <f>VLOOKUP(A38,GS!A$2:G$55,4,0)</f>
        <v>173.44</v>
      </c>
      <c r="AX38">
        <f>VLOOKUP(A38,HAL!A$2:G$55,4,0)</f>
        <v>68.05</v>
      </c>
      <c r="AY38">
        <f>VLOOKUP(A38,HD!A$2:G$55,4,0)</f>
        <v>90.67</v>
      </c>
      <c r="AZ38">
        <f>VLOOKUP(A38,HON!A$2:G$55,4,0)</f>
        <v>95.54</v>
      </c>
      <c r="BA38">
        <f>VLOOKUP(A38,HPQ!A$2:G$55,4,0)</f>
        <v>35.270000000000003</v>
      </c>
      <c r="BB38">
        <f>VLOOKUP(A38,IBM!A$2:G$55,4,0)</f>
        <v>190.5</v>
      </c>
      <c r="BC38">
        <f>VLOOKUP(A38,INTC!A$2:G$55,4,0)</f>
        <v>34.450000000000003</v>
      </c>
      <c r="BD38">
        <f>VLOOKUP(A38,JNJ!A$2:G$55,4,0)</f>
        <v>103.33</v>
      </c>
      <c r="BE38">
        <f>VLOOKUP(A38,JPM!A$2:G$55,4,0)</f>
        <v>57.6</v>
      </c>
      <c r="BF38">
        <f>VLOOKUP(A38,KO!A$2:G$55,4,0)</f>
        <v>41.22</v>
      </c>
      <c r="BG38">
        <f>VLOOKUP(A38,LLY!A$2:G$55,4,0)</f>
        <v>61.91</v>
      </c>
      <c r="BH38">
        <f>VLOOKUP(A38,LMT!A$2:G$55,4,0)</f>
        <v>174.18</v>
      </c>
      <c r="BI38">
        <f>VLOOKUP(A38,LOW!A$2:G$55,4,0)</f>
        <v>52.49</v>
      </c>
      <c r="BJ38">
        <f>VLOOKUP(A38,MA!A$2:G$55,4,0)</f>
        <v>76.290000000000006</v>
      </c>
      <c r="BK38">
        <f>VLOOKUP(A38,MCD!A$2:G$55,4,0)</f>
        <v>94.24</v>
      </c>
      <c r="BL38">
        <f>VLOOKUP(A38,MDLZ!A$2:G$55,4,0)</f>
        <v>36.130000000000003</v>
      </c>
      <c r="BM38">
        <f>VLOOKUP(A38,MDT!A$2:G$55,4,0)</f>
        <v>64.08</v>
      </c>
      <c r="BN38">
        <f>VLOOKUP(A38,MET!A$2:G$55,4,0)</f>
        <v>53.21</v>
      </c>
      <c r="BO38">
        <f>VLOOKUP(A38,MMM!A$2:G$55,4,0)</f>
        <v>144.35</v>
      </c>
      <c r="BP38">
        <f>VLOOKUP(A38,MO!A$2:G$55,4,0)</f>
        <v>42.34</v>
      </c>
      <c r="BQ38">
        <f>VLOOKUP(A38,MON!A$2:G$55,4,0)</f>
        <v>117.52</v>
      </c>
      <c r="BR38">
        <f>VLOOKUP(A38,MRK!A$2:G$55,4,0)</f>
        <v>58.79</v>
      </c>
      <c r="BS38">
        <f>VLOOKUP(A38,MS!A$2:G$55,4,0)</f>
        <v>32.5</v>
      </c>
      <c r="BT38">
        <f>VLOOKUP(A38,MSFT!A$2:G$55,4,0)</f>
        <v>44.83</v>
      </c>
      <c r="BU38">
        <f>VLOOKUP(A38,NKE!A$2:G$55,4,0)</f>
        <v>78.650000000000006</v>
      </c>
      <c r="BV38">
        <f>VLOOKUP(A38,NOV!A$2:G$55,4,0)</f>
        <v>83.3</v>
      </c>
      <c r="BW38">
        <f>VLOOKUP(A38,NSC!A$2:G$55,4,0)</f>
        <v>104.22</v>
      </c>
      <c r="BX38">
        <f>VLOOKUP(A38,ORCL!A$2:G$55,4,0)</f>
        <v>41.16</v>
      </c>
      <c r="BY38">
        <f>VLOOKUP(A38,OXY!A$2:G$55,4,0)</f>
        <v>101.54</v>
      </c>
      <c r="BZ38">
        <f>VLOOKUP(A38,PEP!A$2:G$55,4,0)</f>
        <v>92.01</v>
      </c>
      <c r="CA38">
        <f>VLOOKUP(A38,PFE!A$2:G$55,4,0)</f>
        <v>28.74</v>
      </c>
      <c r="CB38">
        <f>VLOOKUP(A38,PG!A$2:G$55,4,0)</f>
        <v>82.69</v>
      </c>
      <c r="CC38">
        <f>VLOOKUP(A38,PM!A$2:G$55,4,0)</f>
        <v>85.12</v>
      </c>
      <c r="CD38">
        <f>VLOOKUP(A38,QCOM!A$2:G$55,4,0)</f>
        <v>76.45</v>
      </c>
      <c r="CE38">
        <f>VLOOKUP(A38,RTN!A$2:G$55,4,0)</f>
        <v>96.42</v>
      </c>
      <c r="CF38">
        <f>VLOOKUP(A38,SBUX!A$2:G$55,4,0)</f>
        <v>77.39</v>
      </c>
      <c r="CG38">
        <f>VLOOKUP(A38,SLB!A$2:G$55,4,0)</f>
        <v>108.9</v>
      </c>
      <c r="CH38">
        <f>VLOOKUP(A38,SO!A$2:G$55,4,0)</f>
        <v>43.8</v>
      </c>
      <c r="CI38">
        <f>VLOOKUP(A38,SPG!A$2:G$55,4,0)</f>
        <v>170.29</v>
      </c>
      <c r="CJ38">
        <f>VLOOKUP(A38,T!A$2:G$55,4,0)</f>
        <v>34.51</v>
      </c>
      <c r="CK38">
        <f>VLOOKUP(A38,TGT!A$2:G$55,4,0)</f>
        <v>59.82</v>
      </c>
      <c r="CL38">
        <f>VLOOKUP(A38,TWX!A$2:G$55,4,0)</f>
        <v>76.59</v>
      </c>
      <c r="CM38">
        <f>VLOOKUP(A38,TXN!A$2:G$55,4,0)</f>
        <v>47.8</v>
      </c>
      <c r="CN38">
        <f>VLOOKUP(A38,UNH!A$2:G$55,4,0)</f>
        <v>83.59</v>
      </c>
      <c r="CO38">
        <f>VLOOKUP(A38,UNP!A$2:G$55,4,0)</f>
        <v>105.41</v>
      </c>
      <c r="CP38">
        <f>VLOOKUP(A38,UPS!A$2:G$55,4,0)</f>
        <v>98.3</v>
      </c>
      <c r="CQ38">
        <f>VLOOKUP(A38,USB!A$2:G$55,4,0)</f>
        <v>41.73</v>
      </c>
      <c r="CR38">
        <f>VLOOKUP(A38,UTX!A$2:G$55,4,0)</f>
        <v>109.5</v>
      </c>
      <c r="CS38">
        <f>VLOOKUP(A38,V!A$2:G$55,4,0)</f>
        <v>215.71</v>
      </c>
      <c r="CT38">
        <f>VLOOKUP(A38,VZ!A$2:G$55,4,0)</f>
        <v>48.73</v>
      </c>
      <c r="CU38">
        <f>VLOOKUP(A38,WAG!A$2:G$55,4,0)</f>
        <v>61.03</v>
      </c>
      <c r="CV38">
        <f>VLOOKUP(A38,WFC!A$2:G$55,4,0)</f>
        <v>50.9</v>
      </c>
      <c r="CW38">
        <f>VLOOKUP(A38,WMT!A$2:G$55,4,0)</f>
        <v>75</v>
      </c>
    </row>
    <row r="39" spans="1:101" x14ac:dyDescent="0.25">
      <c r="A39" s="34">
        <v>41873</v>
      </c>
      <c r="B39" s="36">
        <v>100.19</v>
      </c>
      <c r="C39">
        <f>VLOOKUP(A39,ABBV!A$2:G$55,4,0)</f>
        <v>54.36</v>
      </c>
      <c r="D39">
        <f>VLOOKUP(A39,ABT!A$2:G$55,4,0)</f>
        <v>42</v>
      </c>
      <c r="E39">
        <f>VLOOKUP(A39,ACN!A$2:G$55,4,0)</f>
        <v>80.400000000000006</v>
      </c>
      <c r="F39">
        <f>VLOOKUP(A39,AIG!A$2:G$55,4,0)</f>
        <v>55.04</v>
      </c>
      <c r="G39">
        <f>VLOOKUP(A39,ALL!A$2:G$55,4,0)</f>
        <v>61.09</v>
      </c>
      <c r="H39">
        <f>VLOOKUP(A39,AMGN!A$2:G$55,4,0)</f>
        <v>132.41999999999999</v>
      </c>
      <c r="I39">
        <f>VLOOKUP(A39,AMZN!A$2:G$55,4,0)</f>
        <v>330.8</v>
      </c>
      <c r="J39">
        <f>VLOOKUP(A39,APA!A$2:G$55,4,0)</f>
        <v>99.71</v>
      </c>
      <c r="K39">
        <f>VLOOKUP(A39,APC!A$2:G$55,4,0)</f>
        <v>109</v>
      </c>
      <c r="L39">
        <f>VLOOKUP(A39,AXP!A$2:G$55,4,0)</f>
        <v>88.83</v>
      </c>
      <c r="M39">
        <f>VLOOKUP(A39,BA!A$2:G$55,4,0)</f>
        <v>126.96</v>
      </c>
      <c r="N39">
        <f>VLOOKUP(A39,BAC!A$2:G$55,4,0)</f>
        <v>16.05</v>
      </c>
      <c r="O39">
        <f>VLOOKUP(A39,BAX!A$2:G$55,4,0)</f>
        <v>74.94</v>
      </c>
      <c r="P39">
        <f>VLOOKUP(A39,BIIB!A$2:G$55,4,0)</f>
        <v>337</v>
      </c>
      <c r="Q39">
        <f>VLOOKUP(A39,BK!A$2:G$55,4,0)</f>
        <v>38.909999999999997</v>
      </c>
      <c r="R39">
        <f>VLOOKUP(A39,BMY!A$2:G$55,4,0)</f>
        <v>49.92</v>
      </c>
      <c r="T39">
        <f>VLOOKUP(A39,'C'!A$2:G$55,4,0)</f>
        <v>50.73</v>
      </c>
      <c r="U39">
        <f>VLOOKUP(A39,CAT!A$2:G$55,4,0)</f>
        <v>106.54</v>
      </c>
      <c r="V39">
        <f>VLOOKUP(A39,CL!A$2:G$55,4,0)</f>
        <v>64.53</v>
      </c>
      <c r="W39">
        <f>VLOOKUP(A39,CMCSA!A$2:G$55,4,0)</f>
        <v>53.92</v>
      </c>
      <c r="X39">
        <f>VLOOKUP(A39,COF!A$2:G$55,4,0)</f>
        <v>81.2</v>
      </c>
      <c r="Y39">
        <f>VLOOKUP(A39,COP!A$2:G$55,4,0)</f>
        <v>79.87</v>
      </c>
      <c r="Z39">
        <f>VLOOKUP(A39,COST!A$2:G$55,4,0)</f>
        <v>121.15</v>
      </c>
      <c r="AA39">
        <f>VLOOKUP(A39,CSCO!A$2:G$55,4,0)</f>
        <v>24.64</v>
      </c>
      <c r="AB39">
        <f>VLOOKUP(A39,CVS!A$2:G$55,4,0)</f>
        <v>78.91</v>
      </c>
      <c r="AC39">
        <f>VLOOKUP(A39,CVX!A$2:G$55,4,0)</f>
        <v>126.47</v>
      </c>
      <c r="AD39">
        <f>VLOOKUP(A39,DD!A$2:G$55,4,0)</f>
        <v>65.77</v>
      </c>
      <c r="AE39">
        <f>VLOOKUP(A39,DIS!A$2:G$55,4,0)</f>
        <v>90.12</v>
      </c>
      <c r="AF39">
        <f>VLOOKUP(A39,DOW!A$2:G$55,4,0)</f>
        <v>52.85</v>
      </c>
      <c r="AG39">
        <f>VLOOKUP(A39,DVN!A$2:G$55,4,0)</f>
        <v>74.010000000000005</v>
      </c>
      <c r="AH39">
        <f>VLOOKUP(A39,EBAY!A$2:G$55,4,0)</f>
        <v>55.22</v>
      </c>
      <c r="AI39">
        <f>VLOOKUP(A39,EMC!A$2:G$55,4,0)</f>
        <v>29.49</v>
      </c>
      <c r="AJ39">
        <f>VLOOKUP(A39,EMR!A$2:G$55,4,0)</f>
        <v>64.430000000000007</v>
      </c>
      <c r="AK39">
        <f>VLOOKUP(A39,EXC!A$2:G$55,4,0)</f>
        <v>32.18</v>
      </c>
      <c r="AL39">
        <f>VLOOKUP(A39,F!A$2:G$55,4,0)</f>
        <v>17.149999999999999</v>
      </c>
      <c r="AM39">
        <f>VLOOKUP(A39,FB!A$2:G$55,4,0)</f>
        <v>73.569999999999993</v>
      </c>
      <c r="AN39">
        <f>VLOOKUP(A39,FCX!A$2:G$55,4,0)</f>
        <v>36.299999999999997</v>
      </c>
      <c r="AO39">
        <f>VLOOKUP(A39,FDX!A$2:G$55,4,0)</f>
        <v>149.04</v>
      </c>
      <c r="AP39">
        <f>VLOOKUP(A39,FOXA!A$2:G$55,4,0)</f>
        <v>35.51</v>
      </c>
      <c r="AQ39">
        <f>VLOOKUP(A39,GD!A$2:G$55,4,0)</f>
        <v>123.12</v>
      </c>
      <c r="AR39">
        <f>VLOOKUP(A39,GE!A$2:G$55,4,0)</f>
        <v>26.11</v>
      </c>
      <c r="AS39">
        <f>VLOOKUP(A39,GILD!A$2:G$55,4,0)</f>
        <v>102.61</v>
      </c>
      <c r="AT39">
        <f>VLOOKUP(A39,GM!A$2:G$55,4,0)</f>
        <v>34.159999999999997</v>
      </c>
      <c r="AU39">
        <f>VLOOKUP(A39,GOOG!A$2:G$55,4,0)</f>
        <v>580.64</v>
      </c>
      <c r="AV39">
        <f>VLOOKUP(A39,GOOGL!A$2:G$55,4,0)</f>
        <v>589.79999999999995</v>
      </c>
      <c r="AW39">
        <f>VLOOKUP(A39,GS!A$2:G$55,4,0)</f>
        <v>174.83</v>
      </c>
      <c r="AX39">
        <f>VLOOKUP(A39,HAL!A$2:G$55,4,0)</f>
        <v>67.260000000000005</v>
      </c>
      <c r="AY39">
        <f>VLOOKUP(A39,HD!A$2:G$55,4,0)</f>
        <v>90.65</v>
      </c>
      <c r="AZ39">
        <f>VLOOKUP(A39,HON!A$2:G$55,4,0)</f>
        <v>95.25</v>
      </c>
      <c r="BA39">
        <f>VLOOKUP(A39,HPQ!A$2:G$55,4,0)</f>
        <v>36.65</v>
      </c>
      <c r="BB39">
        <f>VLOOKUP(A39,IBM!A$2:G$55,4,0)</f>
        <v>190.29</v>
      </c>
      <c r="BC39">
        <f>VLOOKUP(A39,INTC!A$2:G$55,4,0)</f>
        <v>34.909999999999997</v>
      </c>
      <c r="BD39">
        <f>VLOOKUP(A39,JNJ!A$2:G$55,4,0)</f>
        <v>102.97</v>
      </c>
      <c r="BE39">
        <f>VLOOKUP(A39,JPM!A$2:G$55,4,0)</f>
        <v>58.33</v>
      </c>
      <c r="BF39">
        <f>VLOOKUP(A39,KO!A$2:G$55,4,0)</f>
        <v>41.05</v>
      </c>
      <c r="BG39">
        <f>VLOOKUP(A39,LLY!A$2:G$55,4,0)</f>
        <v>61.9</v>
      </c>
      <c r="BH39">
        <f>VLOOKUP(A39,LMT!A$2:G$55,4,0)</f>
        <v>174.36</v>
      </c>
      <c r="BI39">
        <f>VLOOKUP(A39,LOW!A$2:G$55,4,0)</f>
        <v>52.13</v>
      </c>
      <c r="BJ39">
        <f>VLOOKUP(A39,MA!A$2:G$55,4,0)</f>
        <v>76.150000000000006</v>
      </c>
      <c r="BK39">
        <f>VLOOKUP(A39,MCD!A$2:G$55,4,0)</f>
        <v>94.27</v>
      </c>
      <c r="BL39">
        <f>VLOOKUP(A39,MDLZ!A$2:G$55,4,0)</f>
        <v>35.81</v>
      </c>
      <c r="BM39">
        <f>VLOOKUP(A39,MDT!A$2:G$55,4,0)</f>
        <v>63.52</v>
      </c>
      <c r="BN39">
        <f>VLOOKUP(A39,MET!A$2:G$55,4,0)</f>
        <v>53.5</v>
      </c>
      <c r="BO39">
        <f>VLOOKUP(A39,MMM!A$2:G$55,4,0)</f>
        <v>144.02000000000001</v>
      </c>
      <c r="BP39">
        <f>VLOOKUP(A39,MO!A$2:G$55,4,0)</f>
        <v>42.43</v>
      </c>
      <c r="BQ39">
        <f>VLOOKUP(A39,MON!A$2:G$55,4,0)</f>
        <v>116.52</v>
      </c>
      <c r="BR39">
        <f>VLOOKUP(A39,MRK!A$2:G$55,4,0)</f>
        <v>58.9</v>
      </c>
      <c r="BS39">
        <f>VLOOKUP(A39,MS!A$2:G$55,4,0)</f>
        <v>32.92</v>
      </c>
      <c r="BT39">
        <f>VLOOKUP(A39,MSFT!A$2:G$55,4,0)</f>
        <v>45.07</v>
      </c>
      <c r="BU39">
        <f>VLOOKUP(A39,NKE!A$2:G$55,4,0)</f>
        <v>78.92</v>
      </c>
      <c r="BV39">
        <f>VLOOKUP(A39,NOV!A$2:G$55,4,0)</f>
        <v>83.52</v>
      </c>
      <c r="BW39">
        <f>VLOOKUP(A39,NSC!A$2:G$55,4,0)</f>
        <v>105.04</v>
      </c>
      <c r="BX39">
        <f>VLOOKUP(A39,ORCL!A$2:G$55,4,0)</f>
        <v>41.27</v>
      </c>
      <c r="BY39">
        <f>VLOOKUP(A39,OXY!A$2:G$55,4,0)</f>
        <v>101.95</v>
      </c>
      <c r="BZ39">
        <f>VLOOKUP(A39,PEP!A$2:G$55,4,0)</f>
        <v>91.6</v>
      </c>
      <c r="CA39">
        <f>VLOOKUP(A39,PFE!A$2:G$55,4,0)</f>
        <v>28.82</v>
      </c>
      <c r="CB39">
        <f>VLOOKUP(A39,PG!A$2:G$55,4,0)</f>
        <v>83.14</v>
      </c>
      <c r="CC39">
        <f>VLOOKUP(A39,PM!A$2:G$55,4,0)</f>
        <v>84.2</v>
      </c>
      <c r="CD39">
        <f>VLOOKUP(A39,QCOM!A$2:G$55,4,0)</f>
        <v>76.709999999999994</v>
      </c>
      <c r="CE39">
        <f>VLOOKUP(A39,RTN!A$2:G$55,4,0)</f>
        <v>96.35</v>
      </c>
      <c r="CF39">
        <f>VLOOKUP(A39,SBUX!A$2:G$55,4,0)</f>
        <v>77.05</v>
      </c>
      <c r="CG39">
        <f>VLOOKUP(A39,SLB!A$2:G$55,4,0)</f>
        <v>108.06</v>
      </c>
      <c r="CH39">
        <f>VLOOKUP(A39,SO!A$2:G$55,4,0)</f>
        <v>43.5</v>
      </c>
      <c r="CI39">
        <f>VLOOKUP(A39,SPG!A$2:G$55,4,0)</f>
        <v>169.27</v>
      </c>
      <c r="CJ39">
        <f>VLOOKUP(A39,T!A$2:G$55,4,0)</f>
        <v>34.35</v>
      </c>
      <c r="CK39">
        <f>VLOOKUP(A39,TGT!A$2:G$55,4,0)</f>
        <v>60.78</v>
      </c>
      <c r="CL39">
        <f>VLOOKUP(A39,TWX!A$2:G$55,4,0)</f>
        <v>76.36</v>
      </c>
      <c r="CM39">
        <f>VLOOKUP(A39,TXN!A$2:G$55,4,0)</f>
        <v>47.96</v>
      </c>
      <c r="CN39">
        <f>VLOOKUP(A39,UNH!A$2:G$55,4,0)</f>
        <v>83.46</v>
      </c>
      <c r="CO39">
        <f>VLOOKUP(A39,UNP!A$2:G$55,4,0)</f>
        <v>105.58</v>
      </c>
      <c r="CP39">
        <f>VLOOKUP(A39,UPS!A$2:G$55,4,0)</f>
        <v>97.53</v>
      </c>
      <c r="CQ39">
        <f>VLOOKUP(A39,USB!A$2:G$55,4,0)</f>
        <v>41.98</v>
      </c>
      <c r="CR39">
        <f>VLOOKUP(A39,UTX!A$2:G$55,4,0)</f>
        <v>109.24</v>
      </c>
      <c r="CS39">
        <f>VLOOKUP(A39,V!A$2:G$55,4,0)</f>
        <v>215.3</v>
      </c>
      <c r="CT39">
        <f>VLOOKUP(A39,VZ!A$2:G$55,4,0)</f>
        <v>48.52</v>
      </c>
      <c r="CU39">
        <f>VLOOKUP(A39,WAG!A$2:G$55,4,0)</f>
        <v>60.86</v>
      </c>
      <c r="CV39">
        <f>VLOOKUP(A39,WFC!A$2:G$55,4,0)</f>
        <v>51.13</v>
      </c>
      <c r="CW39">
        <f>VLOOKUP(A39,WMT!A$2:G$55,4,0)</f>
        <v>75.64</v>
      </c>
    </row>
    <row r="40" spans="1:101" x14ac:dyDescent="0.25">
      <c r="A40" s="34">
        <v>41876</v>
      </c>
      <c r="B40" s="36">
        <v>101.28</v>
      </c>
      <c r="C40">
        <f>VLOOKUP(A40,ABBV!A$2:G$55,4,0)</f>
        <v>55.18</v>
      </c>
      <c r="D40">
        <f>VLOOKUP(A40,ABT!A$2:G$55,4,0)</f>
        <v>42.27</v>
      </c>
      <c r="E40">
        <f>VLOOKUP(A40,ACN!A$2:G$55,4,0)</f>
        <v>80.88</v>
      </c>
      <c r="F40">
        <f>VLOOKUP(A40,AIG!A$2:G$55,4,0)</f>
        <v>55.6</v>
      </c>
      <c r="G40">
        <f>VLOOKUP(A40,ALL!A$2:G$55,4,0)</f>
        <v>61.38</v>
      </c>
      <c r="H40">
        <f>VLOOKUP(A40,AMGN!A$2:G$55,4,0)</f>
        <v>133.38</v>
      </c>
      <c r="I40">
        <f>VLOOKUP(A40,AMZN!A$2:G$55,4,0)</f>
        <v>332.71</v>
      </c>
      <c r="J40">
        <f>VLOOKUP(A40,APA!A$2:G$55,4,0)</f>
        <v>100.03</v>
      </c>
      <c r="K40">
        <f>VLOOKUP(A40,APC!A$2:G$55,4,0)</f>
        <v>110.01</v>
      </c>
      <c r="L40">
        <f>VLOOKUP(A40,AXP!A$2:G$55,4,0)</f>
        <v>89.32</v>
      </c>
      <c r="M40">
        <f>VLOOKUP(A40,BA!A$2:G$55,4,0)</f>
        <v>127.78</v>
      </c>
      <c r="N40">
        <f>VLOOKUP(A40,BAC!A$2:G$55,4,0)</f>
        <v>16.2</v>
      </c>
      <c r="O40">
        <f>VLOOKUP(A40,BAX!A$2:G$55,4,0)</f>
        <v>75.22</v>
      </c>
      <c r="P40">
        <f>VLOOKUP(A40,BIIB!A$2:G$55,4,0)</f>
        <v>341.08</v>
      </c>
      <c r="Q40">
        <f>VLOOKUP(A40,BK!A$2:G$55,4,0)</f>
        <v>39.26</v>
      </c>
      <c r="R40">
        <f>VLOOKUP(A40,BMY!A$2:G$55,4,0)</f>
        <v>50.09</v>
      </c>
      <c r="T40">
        <f>VLOOKUP(A40,'C'!A$2:G$55,4,0)</f>
        <v>51.28</v>
      </c>
      <c r="U40">
        <f>VLOOKUP(A40,CAT!A$2:G$55,4,0)</f>
        <v>107.73</v>
      </c>
      <c r="V40">
        <f>VLOOKUP(A40,CL!A$2:G$55,4,0)</f>
        <v>64.72</v>
      </c>
      <c r="W40">
        <f>VLOOKUP(A40,CMCSA!A$2:G$55,4,0)</f>
        <v>54.2</v>
      </c>
      <c r="X40">
        <f>VLOOKUP(A40,COF!A$2:G$55,4,0)</f>
        <v>81.819999999999993</v>
      </c>
      <c r="Y40">
        <f>VLOOKUP(A40,COP!A$2:G$55,4,0)</f>
        <v>80.31</v>
      </c>
      <c r="Z40">
        <f>VLOOKUP(A40,COST!A$2:G$55,4,0)</f>
        <v>121.12</v>
      </c>
      <c r="AA40">
        <f>VLOOKUP(A40,CSCO!A$2:G$55,4,0)</f>
        <v>24.69</v>
      </c>
      <c r="AB40">
        <f>VLOOKUP(A40,CVS!A$2:G$55,4,0)</f>
        <v>79.11</v>
      </c>
      <c r="AC40">
        <f>VLOOKUP(A40,CVX!A$2:G$55,4,0)</f>
        <v>127.38</v>
      </c>
      <c r="AD40">
        <f>VLOOKUP(A40,DD!A$2:G$55,4,0)</f>
        <v>66.03</v>
      </c>
      <c r="AE40">
        <f>VLOOKUP(A40,DIS!A$2:G$55,4,0)</f>
        <v>90.3</v>
      </c>
      <c r="AF40">
        <f>VLOOKUP(A40,DOW!A$2:G$55,4,0)</f>
        <v>53</v>
      </c>
      <c r="AG40">
        <f>VLOOKUP(A40,DVN!A$2:G$55,4,0)</f>
        <v>74.400000000000006</v>
      </c>
      <c r="AH40">
        <f>VLOOKUP(A40,EBAY!A$2:G$55,4,0)</f>
        <v>55.38</v>
      </c>
      <c r="AI40">
        <f>VLOOKUP(A40,EMC!A$2:G$55,4,0)</f>
        <v>29.54</v>
      </c>
      <c r="AJ40">
        <f>VLOOKUP(A40,EMR!A$2:G$55,4,0)</f>
        <v>64.64</v>
      </c>
      <c r="AK40">
        <f>VLOOKUP(A40,EXC!A$2:G$55,4,0)</f>
        <v>32.36</v>
      </c>
      <c r="AL40">
        <f>VLOOKUP(A40,F!A$2:G$55,4,0)</f>
        <v>17.2</v>
      </c>
      <c r="AM40">
        <f>VLOOKUP(A40,FB!A$2:G$55,4,0)</f>
        <v>74.790000000000006</v>
      </c>
      <c r="AN40">
        <f>VLOOKUP(A40,FCX!A$2:G$55,4,0)</f>
        <v>36.4</v>
      </c>
      <c r="AO40">
        <f>VLOOKUP(A40,FDX!A$2:G$55,4,0)</f>
        <v>149.65</v>
      </c>
      <c r="AP40">
        <f>VLOOKUP(A40,FOXA!A$2:G$55,4,0)</f>
        <v>35.42</v>
      </c>
      <c r="AQ40">
        <f>VLOOKUP(A40,GD!A$2:G$55,4,0)</f>
        <v>123.63</v>
      </c>
      <c r="AR40">
        <f>VLOOKUP(A40,GE!A$2:G$55,4,0)</f>
        <v>26.02</v>
      </c>
      <c r="AS40">
        <f>VLOOKUP(A40,GILD!A$2:G$55,4,0)</f>
        <v>105.11</v>
      </c>
      <c r="AT40">
        <f>VLOOKUP(A40,GM!A$2:G$55,4,0)</f>
        <v>34.31</v>
      </c>
      <c r="AU40">
        <f>VLOOKUP(A40,GOOG!A$2:G$55,4,0)</f>
        <v>579</v>
      </c>
      <c r="AV40">
        <f>VLOOKUP(A40,GOOGL!A$2:G$55,4,0)</f>
        <v>589.26</v>
      </c>
      <c r="AW40">
        <f>VLOOKUP(A40,GS!A$2:G$55,4,0)</f>
        <v>176.46</v>
      </c>
      <c r="AX40">
        <f>VLOOKUP(A40,HAL!A$2:G$55,4,0)</f>
        <v>67.540000000000006</v>
      </c>
      <c r="AY40">
        <f>VLOOKUP(A40,HD!A$2:G$55,4,0)</f>
        <v>90.95</v>
      </c>
      <c r="AZ40">
        <f>VLOOKUP(A40,HON!A$2:G$55,4,0)</f>
        <v>95.71</v>
      </c>
      <c r="BA40">
        <f>VLOOKUP(A40,HPQ!A$2:G$55,4,0)</f>
        <v>36.78</v>
      </c>
      <c r="BB40">
        <f>VLOOKUP(A40,IBM!A$2:G$55,4,0)</f>
        <v>190.71</v>
      </c>
      <c r="BC40">
        <f>VLOOKUP(A40,INTC!A$2:G$55,4,0)</f>
        <v>34.65</v>
      </c>
      <c r="BD40">
        <f>VLOOKUP(A40,JNJ!A$2:G$55,4,0)</f>
        <v>103.09</v>
      </c>
      <c r="BE40">
        <f>VLOOKUP(A40,JPM!A$2:G$55,4,0)</f>
        <v>58.86</v>
      </c>
      <c r="BF40">
        <f>VLOOKUP(A40,KO!A$2:G$55,4,0)</f>
        <v>41.12</v>
      </c>
      <c r="BG40">
        <f>VLOOKUP(A40,LLY!A$2:G$55,4,0)</f>
        <v>62.19</v>
      </c>
      <c r="BH40">
        <f>VLOOKUP(A40,LMT!A$2:G$55,4,0)</f>
        <v>175.43</v>
      </c>
      <c r="BI40">
        <f>VLOOKUP(A40,LOW!A$2:G$55,4,0)</f>
        <v>52.5</v>
      </c>
      <c r="BJ40">
        <f>VLOOKUP(A40,MA!A$2:G$55,4,0)</f>
        <v>76.39</v>
      </c>
      <c r="BK40">
        <f>VLOOKUP(A40,MCD!A$2:G$55,4,0)</f>
        <v>94.41</v>
      </c>
      <c r="BL40">
        <f>VLOOKUP(A40,MDLZ!A$2:G$55,4,0)</f>
        <v>36</v>
      </c>
      <c r="BM40">
        <f>VLOOKUP(A40,MDT!A$2:G$55,4,0)</f>
        <v>63.54</v>
      </c>
      <c r="BN40">
        <f>VLOOKUP(A40,MET!A$2:G$55,4,0)</f>
        <v>53.76</v>
      </c>
      <c r="BO40">
        <f>VLOOKUP(A40,MMM!A$2:G$55,4,0)</f>
        <v>144.41999999999999</v>
      </c>
      <c r="BP40">
        <f>VLOOKUP(A40,MO!A$2:G$55,4,0)</f>
        <v>42.66</v>
      </c>
      <c r="BQ40">
        <f>VLOOKUP(A40,MON!A$2:G$55,4,0)</f>
        <v>116.45</v>
      </c>
      <c r="BR40">
        <f>VLOOKUP(A40,MRK!A$2:G$55,4,0)</f>
        <v>59.26</v>
      </c>
      <c r="BS40">
        <f>VLOOKUP(A40,MS!A$2:G$55,4,0)</f>
        <v>33.68</v>
      </c>
      <c r="BT40">
        <f>VLOOKUP(A40,MSFT!A$2:G$55,4,0)</f>
        <v>45.04</v>
      </c>
      <c r="BU40">
        <f>VLOOKUP(A40,NKE!A$2:G$55,4,0)</f>
        <v>79.5</v>
      </c>
      <c r="BV40">
        <f>VLOOKUP(A40,NOV!A$2:G$55,4,0)</f>
        <v>83.76</v>
      </c>
      <c r="BW40">
        <f>VLOOKUP(A40,NSC!A$2:G$55,4,0)</f>
        <v>105.38</v>
      </c>
      <c r="BX40">
        <f>VLOOKUP(A40,ORCL!A$2:G$55,4,0)</f>
        <v>41.64</v>
      </c>
      <c r="BY40">
        <f>VLOOKUP(A40,OXY!A$2:G$55,4,0)</f>
        <v>102.67</v>
      </c>
      <c r="BZ40">
        <f>VLOOKUP(A40,PEP!A$2:G$55,4,0)</f>
        <v>92.58</v>
      </c>
      <c r="CA40">
        <f>VLOOKUP(A40,PFE!A$2:G$55,4,0)</f>
        <v>28.91</v>
      </c>
      <c r="CB40">
        <f>VLOOKUP(A40,PG!A$2:G$55,4,0)</f>
        <v>83.31</v>
      </c>
      <c r="CC40">
        <f>VLOOKUP(A40,PM!A$2:G$55,4,0)</f>
        <v>84.93</v>
      </c>
      <c r="CD40">
        <f>VLOOKUP(A40,QCOM!A$2:G$55,4,0)</f>
        <v>76.34</v>
      </c>
      <c r="CE40">
        <f>VLOOKUP(A40,RTN!A$2:G$55,4,0)</f>
        <v>96.72</v>
      </c>
      <c r="CF40">
        <f>VLOOKUP(A40,SBUX!A$2:G$55,4,0)</f>
        <v>77.510000000000005</v>
      </c>
      <c r="CG40">
        <f>VLOOKUP(A40,SLB!A$2:G$55,4,0)</f>
        <v>109.33</v>
      </c>
      <c r="CH40">
        <f>VLOOKUP(A40,SO!A$2:G$55,4,0)</f>
        <v>43.72</v>
      </c>
      <c r="CI40">
        <f>VLOOKUP(A40,SPG!A$2:G$55,4,0)</f>
        <v>168.79</v>
      </c>
      <c r="CJ40">
        <f>VLOOKUP(A40,T!A$2:G$55,4,0)</f>
        <v>34.450000000000003</v>
      </c>
      <c r="CK40">
        <f>VLOOKUP(A40,TGT!A$2:G$55,4,0)</f>
        <v>60.72</v>
      </c>
      <c r="CL40">
        <f>VLOOKUP(A40,TWX!A$2:G$55,4,0)</f>
        <v>76.94</v>
      </c>
      <c r="CM40">
        <f>VLOOKUP(A40,TXN!A$2:G$55,4,0)</f>
        <v>47.26</v>
      </c>
      <c r="CN40">
        <f>VLOOKUP(A40,UNH!A$2:G$55,4,0)</f>
        <v>83.95</v>
      </c>
      <c r="CO40">
        <f>VLOOKUP(A40,UNP!A$2:G$55,4,0)</f>
        <v>105.47</v>
      </c>
      <c r="CP40">
        <f>VLOOKUP(A40,UPS!A$2:G$55,4,0)</f>
        <v>97.72</v>
      </c>
      <c r="CQ40">
        <f>VLOOKUP(A40,USB!A$2:G$55,4,0)</f>
        <v>42.19</v>
      </c>
      <c r="CR40">
        <f>VLOOKUP(A40,UTX!A$2:G$55,4,0)</f>
        <v>109.68</v>
      </c>
      <c r="CS40">
        <f>VLOOKUP(A40,V!A$2:G$55,4,0)</f>
        <v>215.85</v>
      </c>
      <c r="CT40">
        <f>VLOOKUP(A40,VZ!A$2:G$55,4,0)</f>
        <v>48.68</v>
      </c>
      <c r="CU40">
        <f>VLOOKUP(A40,WAG!A$2:G$55,4,0)</f>
        <v>60.67</v>
      </c>
      <c r="CV40">
        <f>VLOOKUP(A40,WFC!A$2:G$55,4,0)</f>
        <v>51.41</v>
      </c>
      <c r="CW40">
        <f>VLOOKUP(A40,WMT!A$2:G$55,4,0)</f>
        <v>75.510000000000005</v>
      </c>
    </row>
    <row r="41" spans="1:101" x14ac:dyDescent="0.25">
      <c r="A41" s="34">
        <v>41877</v>
      </c>
      <c r="B41" s="36">
        <v>100.86</v>
      </c>
      <c r="C41">
        <f>VLOOKUP(A41,ABBV!A$2:G$55,4,0)</f>
        <v>55.64</v>
      </c>
      <c r="D41">
        <f>VLOOKUP(A41,ABT!A$2:G$55,4,0)</f>
        <v>42.37</v>
      </c>
      <c r="E41">
        <f>VLOOKUP(A41,ACN!A$2:G$55,4,0)</f>
        <v>81.2</v>
      </c>
      <c r="F41">
        <f>VLOOKUP(A41,AIG!A$2:G$55,4,0)</f>
        <v>55.89</v>
      </c>
      <c r="G41">
        <f>VLOOKUP(A41,ALL!A$2:G$55,4,0)</f>
        <v>61.74</v>
      </c>
      <c r="H41">
        <f>VLOOKUP(A41,AMGN!A$2:G$55,4,0)</f>
        <v>134.9</v>
      </c>
      <c r="I41">
        <f>VLOOKUP(A41,AMZN!A$2:G$55,4,0)</f>
        <v>334.55</v>
      </c>
      <c r="J41">
        <f>VLOOKUP(A41,APA!A$2:G$55,4,0)</f>
        <v>101.41</v>
      </c>
      <c r="K41">
        <f>VLOOKUP(A41,APC!A$2:G$55,4,0)</f>
        <v>111.92</v>
      </c>
      <c r="L41">
        <f>VLOOKUP(A41,AXP!A$2:G$55,4,0)</f>
        <v>89.08</v>
      </c>
      <c r="M41">
        <f>VLOOKUP(A41,BA!A$2:G$55,4,0)</f>
        <v>128.31</v>
      </c>
      <c r="N41">
        <f>VLOOKUP(A41,BAC!A$2:G$55,4,0)</f>
        <v>16.32</v>
      </c>
      <c r="O41">
        <f>VLOOKUP(A41,BAX!A$2:G$55,4,0)</f>
        <v>75.36</v>
      </c>
      <c r="P41">
        <f>VLOOKUP(A41,BIIB!A$2:G$55,4,0)</f>
        <v>340.01</v>
      </c>
      <c r="Q41">
        <f>VLOOKUP(A41,BK!A$2:G$55,4,0)</f>
        <v>39.07</v>
      </c>
      <c r="R41">
        <f>VLOOKUP(A41,BMY!A$2:G$55,4,0)</f>
        <v>50.57</v>
      </c>
      <c r="T41">
        <f>VLOOKUP(A41,'C'!A$2:G$55,4,0)</f>
        <v>51.46</v>
      </c>
      <c r="U41">
        <f>VLOOKUP(A41,CAT!A$2:G$55,4,0)</f>
        <v>107.98</v>
      </c>
      <c r="V41">
        <f>VLOOKUP(A41,CL!A$2:G$55,4,0)</f>
        <v>64.709999999999994</v>
      </c>
      <c r="W41">
        <f>VLOOKUP(A41,CMCSA!A$2:G$55,4,0)</f>
        <v>54.33</v>
      </c>
      <c r="X41">
        <f>VLOOKUP(A41,COF!A$2:G$55,4,0)</f>
        <v>81.739999999999995</v>
      </c>
      <c r="Y41">
        <f>VLOOKUP(A41,COP!A$2:G$55,4,0)</f>
        <v>80.53</v>
      </c>
      <c r="Z41">
        <f>VLOOKUP(A41,COST!A$2:G$55,4,0)</f>
        <v>120.86</v>
      </c>
      <c r="AA41">
        <f>VLOOKUP(A41,CSCO!A$2:G$55,4,0)</f>
        <v>24.67</v>
      </c>
      <c r="AB41">
        <f>VLOOKUP(A41,CVS!A$2:G$55,4,0)</f>
        <v>78.900000000000006</v>
      </c>
      <c r="AC41">
        <f>VLOOKUP(A41,CVX!A$2:G$55,4,0)</f>
        <v>127.94</v>
      </c>
      <c r="AD41">
        <f>VLOOKUP(A41,DD!A$2:G$55,4,0)</f>
        <v>65.88</v>
      </c>
      <c r="AE41">
        <f>VLOOKUP(A41,DIS!A$2:G$55,4,0)</f>
        <v>89.94</v>
      </c>
      <c r="AF41">
        <f>VLOOKUP(A41,DOW!A$2:G$55,4,0)</f>
        <v>52.92</v>
      </c>
      <c r="AG41">
        <f>VLOOKUP(A41,DVN!A$2:G$55,4,0)</f>
        <v>74.5</v>
      </c>
      <c r="AH41">
        <f>VLOOKUP(A41,EBAY!A$2:G$55,4,0)</f>
        <v>55.41</v>
      </c>
      <c r="AI41">
        <f>VLOOKUP(A41,EMC!A$2:G$55,4,0)</f>
        <v>29.41</v>
      </c>
      <c r="AJ41">
        <f>VLOOKUP(A41,EMR!A$2:G$55,4,0)</f>
        <v>64.290000000000006</v>
      </c>
      <c r="AK41">
        <f>VLOOKUP(A41,EXC!A$2:G$55,4,0)</f>
        <v>32.28</v>
      </c>
      <c r="AL41">
        <f>VLOOKUP(A41,F!A$2:G$55,4,0)</f>
        <v>17.190000000000001</v>
      </c>
      <c r="AM41">
        <f>VLOOKUP(A41,FB!A$2:G$55,4,0)</f>
        <v>74.73</v>
      </c>
      <c r="AN41">
        <f>VLOOKUP(A41,FCX!A$2:G$55,4,0)</f>
        <v>36.299999999999997</v>
      </c>
      <c r="AO41">
        <f>VLOOKUP(A41,FDX!A$2:G$55,4,0)</f>
        <v>149.18</v>
      </c>
      <c r="AP41">
        <f>VLOOKUP(A41,FOXA!A$2:G$55,4,0)</f>
        <v>35.47</v>
      </c>
      <c r="AQ41">
        <f>VLOOKUP(A41,GD!A$2:G$55,4,0)</f>
        <v>124.26</v>
      </c>
      <c r="AR41">
        <f>VLOOKUP(A41,GE!A$2:G$55,4,0)</f>
        <v>26.01</v>
      </c>
      <c r="AS41">
        <f>VLOOKUP(A41,GILD!A$2:G$55,4,0)</f>
        <v>104.77</v>
      </c>
      <c r="AT41">
        <f>VLOOKUP(A41,GM!A$2:G$55,4,0)</f>
        <v>34.630000000000003</v>
      </c>
      <c r="AU41">
        <f>VLOOKUP(A41,GOOG!A$2:G$55,4,0)</f>
        <v>576.58000000000004</v>
      </c>
      <c r="AV41">
        <f>VLOOKUP(A41,GOOGL!A$2:G$55,4,0)</f>
        <v>587.45000000000005</v>
      </c>
      <c r="AW41">
        <f>VLOOKUP(A41,GS!A$2:G$55,4,0)</f>
        <v>177.81</v>
      </c>
      <c r="AX41">
        <f>VLOOKUP(A41,HAL!A$2:G$55,4,0)</f>
        <v>68.8</v>
      </c>
      <c r="AY41">
        <f>VLOOKUP(A41,HD!A$2:G$55,4,0)</f>
        <v>90.9</v>
      </c>
      <c r="AZ41">
        <f>VLOOKUP(A41,HON!A$2:G$55,4,0)</f>
        <v>95.46</v>
      </c>
      <c r="BA41">
        <f>VLOOKUP(A41,HPQ!A$2:G$55,4,0)</f>
        <v>37.11</v>
      </c>
      <c r="BB41">
        <f>VLOOKUP(A41,IBM!A$2:G$55,4,0)</f>
        <v>191.02</v>
      </c>
      <c r="BC41">
        <f>VLOOKUP(A41,INTC!A$2:G$55,4,0)</f>
        <v>34.69</v>
      </c>
      <c r="BD41">
        <f>VLOOKUP(A41,JNJ!A$2:G$55,4,0)</f>
        <v>103.17</v>
      </c>
      <c r="BE41">
        <f>VLOOKUP(A41,JPM!A$2:G$55,4,0)</f>
        <v>59.39</v>
      </c>
      <c r="BF41">
        <f>VLOOKUP(A41,KO!A$2:G$55,4,0)</f>
        <v>41.41</v>
      </c>
      <c r="BG41">
        <f>VLOOKUP(A41,LLY!A$2:G$55,4,0)</f>
        <v>62.62</v>
      </c>
      <c r="BH41">
        <f>VLOOKUP(A41,LMT!A$2:G$55,4,0)</f>
        <v>176.04</v>
      </c>
      <c r="BI41">
        <f>VLOOKUP(A41,LOW!A$2:G$55,4,0)</f>
        <v>52.56</v>
      </c>
      <c r="BJ41">
        <f>VLOOKUP(A41,MA!A$2:G$55,4,0)</f>
        <v>76.540000000000006</v>
      </c>
      <c r="BK41">
        <f>VLOOKUP(A41,MCD!A$2:G$55,4,0)</f>
        <v>94.05</v>
      </c>
      <c r="BL41">
        <f>VLOOKUP(A41,MDLZ!A$2:G$55,4,0)</f>
        <v>35.93</v>
      </c>
      <c r="BM41">
        <f>VLOOKUP(A41,MDT!A$2:G$55,4,0)</f>
        <v>63.49</v>
      </c>
      <c r="BN41">
        <f>VLOOKUP(A41,MET!A$2:G$55,4,0)</f>
        <v>54.17</v>
      </c>
      <c r="BO41">
        <f>VLOOKUP(A41,MMM!A$2:G$55,4,0)</f>
        <v>144.57</v>
      </c>
      <c r="BP41">
        <f>VLOOKUP(A41,MO!A$2:G$55,4,0)</f>
        <v>42.71</v>
      </c>
      <c r="BQ41">
        <f>VLOOKUP(A41,MON!A$2:G$55,4,0)</f>
        <v>117</v>
      </c>
      <c r="BR41">
        <f>VLOOKUP(A41,MRK!A$2:G$55,4,0)</f>
        <v>59.66</v>
      </c>
      <c r="BS41">
        <f>VLOOKUP(A41,MS!A$2:G$55,4,0)</f>
        <v>34.17</v>
      </c>
      <c r="BT41">
        <f>VLOOKUP(A41,MSFT!A$2:G$55,4,0)</f>
        <v>44.94</v>
      </c>
      <c r="BU41">
        <f>VLOOKUP(A41,NKE!A$2:G$55,4,0)</f>
        <v>79.42</v>
      </c>
      <c r="BV41">
        <f>VLOOKUP(A41,NOV!A$2:G$55,4,0)</f>
        <v>84.78</v>
      </c>
      <c r="BW41">
        <f>VLOOKUP(A41,NSC!A$2:G$55,4,0)</f>
        <v>105.51</v>
      </c>
      <c r="BX41">
        <f>VLOOKUP(A41,ORCL!A$2:G$55,4,0)</f>
        <v>41.78</v>
      </c>
      <c r="BY41">
        <f>VLOOKUP(A41,OXY!A$2:G$55,4,0)</f>
        <v>103.1</v>
      </c>
      <c r="BZ41">
        <f>VLOOKUP(A41,PEP!A$2:G$55,4,0)</f>
        <v>92.56</v>
      </c>
      <c r="CA41">
        <f>VLOOKUP(A41,PFE!A$2:G$55,4,0)</f>
        <v>28.96</v>
      </c>
      <c r="CB41">
        <f>VLOOKUP(A41,PG!A$2:G$55,4,0)</f>
        <v>83.33</v>
      </c>
      <c r="CC41">
        <f>VLOOKUP(A41,PM!A$2:G$55,4,0)</f>
        <v>84.83</v>
      </c>
      <c r="CD41">
        <f>VLOOKUP(A41,QCOM!A$2:G$55,4,0)</f>
        <v>76.260000000000005</v>
      </c>
      <c r="CE41">
        <f>VLOOKUP(A41,RTN!A$2:G$55,4,0)</f>
        <v>96.58</v>
      </c>
      <c r="CF41">
        <f>VLOOKUP(A41,SBUX!A$2:G$55,4,0)</f>
        <v>77.760000000000005</v>
      </c>
      <c r="CG41">
        <f>VLOOKUP(A41,SLB!A$2:G$55,4,0)</f>
        <v>110.68</v>
      </c>
      <c r="CH41">
        <f>VLOOKUP(A41,SO!A$2:G$55,4,0)</f>
        <v>43.5</v>
      </c>
      <c r="CI41">
        <f>VLOOKUP(A41,SPG!A$2:G$55,4,0)</f>
        <v>168.55</v>
      </c>
      <c r="CJ41">
        <f>VLOOKUP(A41,T!A$2:G$55,4,0)</f>
        <v>34.46</v>
      </c>
      <c r="CK41">
        <f>VLOOKUP(A41,TGT!A$2:G$55,4,0)</f>
        <v>60.59</v>
      </c>
      <c r="CL41">
        <f>VLOOKUP(A41,TWX!A$2:G$55,4,0)</f>
        <v>76.849999999999994</v>
      </c>
      <c r="CM41">
        <f>VLOOKUP(A41,TXN!A$2:G$55,4,0)</f>
        <v>47.31</v>
      </c>
      <c r="CN41">
        <f>VLOOKUP(A41,UNH!A$2:G$55,4,0)</f>
        <v>84.15</v>
      </c>
      <c r="CO41">
        <f>VLOOKUP(A41,UNP!A$2:G$55,4,0)</f>
        <v>105.12</v>
      </c>
      <c r="CP41">
        <f>VLOOKUP(A41,UPS!A$2:G$55,4,0)</f>
        <v>97.38</v>
      </c>
      <c r="CQ41">
        <f>VLOOKUP(A41,USB!A$2:G$55,4,0)</f>
        <v>42.27</v>
      </c>
      <c r="CR41">
        <f>VLOOKUP(A41,UTX!A$2:G$55,4,0)</f>
        <v>109.64</v>
      </c>
      <c r="CS41">
        <f>VLOOKUP(A41,V!A$2:G$55,4,0)</f>
        <v>216.18</v>
      </c>
      <c r="CT41">
        <f>VLOOKUP(A41,VZ!A$2:G$55,4,0)</f>
        <v>49.02</v>
      </c>
      <c r="CU41">
        <f>VLOOKUP(A41,WAG!A$2:G$55,4,0)</f>
        <v>60.45</v>
      </c>
      <c r="CV41">
        <f>VLOOKUP(A41,WFC!A$2:G$55,4,0)</f>
        <v>51.47</v>
      </c>
      <c r="CW41">
        <f>VLOOKUP(A41,WMT!A$2:G$55,4,0)</f>
        <v>75.44</v>
      </c>
    </row>
    <row r="42" spans="1:101" x14ac:dyDescent="0.25">
      <c r="A42" s="34">
        <v>41878</v>
      </c>
      <c r="B42" s="36">
        <v>100.7</v>
      </c>
      <c r="C42">
        <f>VLOOKUP(A42,ABBV!A$2:G$55,4,0)</f>
        <v>55.4</v>
      </c>
      <c r="D42">
        <f>VLOOKUP(A42,ABT!A$2:G$55,4,0)</f>
        <v>42.5</v>
      </c>
      <c r="E42">
        <f>VLOOKUP(A42,ACN!A$2:G$55,4,0)</f>
        <v>80.760000000000005</v>
      </c>
      <c r="F42">
        <f>VLOOKUP(A42,AIG!A$2:G$55,4,0)</f>
        <v>56</v>
      </c>
      <c r="G42">
        <f>VLOOKUP(A42,ALL!A$2:G$55,4,0)</f>
        <v>61.42</v>
      </c>
      <c r="H42">
        <f>VLOOKUP(A42,AMGN!A$2:G$55,4,0)</f>
        <v>136.69</v>
      </c>
      <c r="I42">
        <f>VLOOKUP(A42,AMZN!A$2:G$55,4,0)</f>
        <v>341.34</v>
      </c>
      <c r="J42">
        <f>VLOOKUP(A42,APA!A$2:G$55,4,0)</f>
        <v>101.02</v>
      </c>
      <c r="K42">
        <f>VLOOKUP(A42,APC!A$2:G$55,4,0)</f>
        <v>110.32</v>
      </c>
      <c r="L42">
        <f>VLOOKUP(A42,AXP!A$2:G$55,4,0)</f>
        <v>88.99</v>
      </c>
      <c r="M42">
        <f>VLOOKUP(A42,BA!A$2:G$55,4,0)</f>
        <v>127.95</v>
      </c>
      <c r="N42">
        <f>VLOOKUP(A42,BAC!A$2:G$55,4,0)</f>
        <v>16.14</v>
      </c>
      <c r="O42">
        <f>VLOOKUP(A42,BAX!A$2:G$55,4,0)</f>
        <v>75.02</v>
      </c>
      <c r="P42">
        <f>VLOOKUP(A42,BIIB!A$2:G$55,4,0)</f>
        <v>338.54</v>
      </c>
      <c r="Q42">
        <f>VLOOKUP(A42,BK!A$2:G$55,4,0)</f>
        <v>39.07</v>
      </c>
      <c r="R42">
        <f>VLOOKUP(A42,BMY!A$2:G$55,4,0)</f>
        <v>50.1</v>
      </c>
      <c r="T42">
        <f>VLOOKUP(A42,'C'!A$2:G$55,4,0)</f>
        <v>51.68</v>
      </c>
      <c r="U42">
        <f>VLOOKUP(A42,CAT!A$2:G$55,4,0)</f>
        <v>108.08</v>
      </c>
      <c r="V42">
        <f>VLOOKUP(A42,CL!A$2:G$55,4,0)</f>
        <v>64.58</v>
      </c>
      <c r="W42">
        <f>VLOOKUP(A42,CMCSA!A$2:G$55,4,0)</f>
        <v>54.36</v>
      </c>
      <c r="X42">
        <f>VLOOKUP(A42,COF!A$2:G$55,4,0)</f>
        <v>81.69</v>
      </c>
      <c r="Y42">
        <f>VLOOKUP(A42,COP!A$2:G$55,4,0)</f>
        <v>80.61</v>
      </c>
      <c r="Z42">
        <f>VLOOKUP(A42,COST!A$2:G$55,4,0)</f>
        <v>120.83</v>
      </c>
      <c r="AA42">
        <f>VLOOKUP(A42,CSCO!A$2:G$55,4,0)</f>
        <v>24.71</v>
      </c>
      <c r="AB42">
        <f>VLOOKUP(A42,CVS!A$2:G$55,4,0)</f>
        <v>79.25</v>
      </c>
      <c r="AC42">
        <f>VLOOKUP(A42,CVX!A$2:G$55,4,0)</f>
        <v>128.19</v>
      </c>
      <c r="AD42">
        <f>VLOOKUP(A42,DD!A$2:G$55,4,0)</f>
        <v>65.84</v>
      </c>
      <c r="AE42">
        <f>VLOOKUP(A42,DIS!A$2:G$55,4,0)</f>
        <v>89.98</v>
      </c>
      <c r="AF42">
        <f>VLOOKUP(A42,DOW!A$2:G$55,4,0)</f>
        <v>53.09</v>
      </c>
      <c r="AG42">
        <f>VLOOKUP(A42,DVN!A$2:G$55,4,0)</f>
        <v>74.03</v>
      </c>
      <c r="AH42">
        <f>VLOOKUP(A42,EBAY!A$2:G$55,4,0)</f>
        <v>55.78</v>
      </c>
      <c r="AI42">
        <f>VLOOKUP(A42,EMC!A$2:G$55,4,0)</f>
        <v>29.35</v>
      </c>
      <c r="AJ42">
        <f>VLOOKUP(A42,EMR!A$2:G$55,4,0)</f>
        <v>64.08</v>
      </c>
      <c r="AK42">
        <f>VLOOKUP(A42,EXC!A$2:G$55,4,0)</f>
        <v>32.340000000000003</v>
      </c>
      <c r="AL42">
        <f>VLOOKUP(A42,F!A$2:G$55,4,0)</f>
        <v>17.21</v>
      </c>
      <c r="AM42">
        <f>VLOOKUP(A42,FB!A$2:G$55,4,0)</f>
        <v>74.459999999999994</v>
      </c>
      <c r="AN42">
        <f>VLOOKUP(A42,FCX!A$2:G$55,4,0)</f>
        <v>36.26</v>
      </c>
      <c r="AO42">
        <f>VLOOKUP(A42,FDX!A$2:G$55,4,0)</f>
        <v>148.94999999999999</v>
      </c>
      <c r="AP42">
        <f>VLOOKUP(A42,FOXA!A$2:G$55,4,0)</f>
        <v>35.47</v>
      </c>
      <c r="AQ42">
        <f>VLOOKUP(A42,GD!A$2:G$55,4,0)</f>
        <v>123.68</v>
      </c>
      <c r="AR42">
        <f>VLOOKUP(A42,GE!A$2:G$55,4,0)</f>
        <v>26.02</v>
      </c>
      <c r="AS42">
        <f>VLOOKUP(A42,GILD!A$2:G$55,4,0)</f>
        <v>105.76</v>
      </c>
      <c r="AT42">
        <f>VLOOKUP(A42,GM!A$2:G$55,4,0)</f>
        <v>34.58</v>
      </c>
      <c r="AU42">
        <f>VLOOKUP(A42,GOOG!A$2:G$55,4,0)</f>
        <v>570.1</v>
      </c>
      <c r="AV42">
        <f>VLOOKUP(A42,GOOGL!A$2:G$55,4,0)</f>
        <v>580.9</v>
      </c>
      <c r="AW42">
        <f>VLOOKUP(A42,GS!A$2:G$55,4,0)</f>
        <v>177.01</v>
      </c>
      <c r="AX42">
        <f>VLOOKUP(A42,HAL!A$2:G$55,4,0)</f>
        <v>68.069999999999993</v>
      </c>
      <c r="AY42">
        <f>VLOOKUP(A42,HD!A$2:G$55,4,0)</f>
        <v>91.31</v>
      </c>
      <c r="AZ42">
        <f>VLOOKUP(A42,HON!A$2:G$55,4,0)</f>
        <v>95.28</v>
      </c>
      <c r="BA42">
        <f>VLOOKUP(A42,HPQ!A$2:G$55,4,0)</f>
        <v>37.54</v>
      </c>
      <c r="BB42">
        <f>VLOOKUP(A42,IBM!A$2:G$55,4,0)</f>
        <v>191.56</v>
      </c>
      <c r="BC42">
        <f>VLOOKUP(A42,INTC!A$2:G$55,4,0)</f>
        <v>34.630000000000003</v>
      </c>
      <c r="BD42">
        <f>VLOOKUP(A42,JNJ!A$2:G$55,4,0)</f>
        <v>102.91</v>
      </c>
      <c r="BE42">
        <f>VLOOKUP(A42,JPM!A$2:G$55,4,0)</f>
        <v>59.53</v>
      </c>
      <c r="BF42">
        <f>VLOOKUP(A42,KO!A$2:G$55,4,0)</f>
        <v>41.44</v>
      </c>
      <c r="BG42">
        <f>VLOOKUP(A42,LLY!A$2:G$55,4,0)</f>
        <v>62.8</v>
      </c>
      <c r="BH42">
        <f>VLOOKUP(A42,LMT!A$2:G$55,4,0)</f>
        <v>176</v>
      </c>
      <c r="BI42">
        <f>VLOOKUP(A42,LOW!A$2:G$55,4,0)</f>
        <v>52.46</v>
      </c>
      <c r="BJ42">
        <f>VLOOKUP(A42,MA!A$2:G$55,4,0)</f>
        <v>76.5</v>
      </c>
      <c r="BK42">
        <f>VLOOKUP(A42,MCD!A$2:G$55,4,0)</f>
        <v>93.6</v>
      </c>
      <c r="BL42">
        <f>VLOOKUP(A42,MDLZ!A$2:G$55,4,0)</f>
        <v>36</v>
      </c>
      <c r="BM42">
        <f>VLOOKUP(A42,MDT!A$2:G$55,4,0)</f>
        <v>63.22</v>
      </c>
      <c r="BN42">
        <f>VLOOKUP(A42,MET!A$2:G$55,4,0)</f>
        <v>54.5</v>
      </c>
      <c r="BO42">
        <f>VLOOKUP(A42,MMM!A$2:G$55,4,0)</f>
        <v>143.63</v>
      </c>
      <c r="BP42">
        <f>VLOOKUP(A42,MO!A$2:G$55,4,0)</f>
        <v>42.58</v>
      </c>
      <c r="BQ42">
        <f>VLOOKUP(A42,MON!A$2:G$55,4,0)</f>
        <v>115.6</v>
      </c>
      <c r="BR42">
        <f>VLOOKUP(A42,MRK!A$2:G$55,4,0)</f>
        <v>60.11</v>
      </c>
      <c r="BS42">
        <f>VLOOKUP(A42,MS!A$2:G$55,4,0)</f>
        <v>34.049999999999997</v>
      </c>
      <c r="BT42">
        <f>VLOOKUP(A42,MSFT!A$2:G$55,4,0)</f>
        <v>44.76</v>
      </c>
      <c r="BU42">
        <f>VLOOKUP(A42,NKE!A$2:G$55,4,0)</f>
        <v>79.42</v>
      </c>
      <c r="BV42">
        <f>VLOOKUP(A42,NOV!A$2:G$55,4,0)</f>
        <v>84.3</v>
      </c>
      <c r="BW42">
        <f>VLOOKUP(A42,NSC!A$2:G$55,4,0)</f>
        <v>106</v>
      </c>
      <c r="BX42">
        <f>VLOOKUP(A42,ORCL!A$2:G$55,4,0)</f>
        <v>41.42</v>
      </c>
      <c r="BY42">
        <f>VLOOKUP(A42,OXY!A$2:G$55,4,0)</f>
        <v>102.95</v>
      </c>
      <c r="BZ42">
        <f>VLOOKUP(A42,PEP!A$2:G$55,4,0)</f>
        <v>92.06</v>
      </c>
      <c r="CA42">
        <f>VLOOKUP(A42,PFE!A$2:G$55,4,0)</f>
        <v>29.37</v>
      </c>
      <c r="CB42">
        <f>VLOOKUP(A42,PG!A$2:G$55,4,0)</f>
        <v>83.16</v>
      </c>
      <c r="CC42">
        <f>VLOOKUP(A42,PM!A$2:G$55,4,0)</f>
        <v>84.83</v>
      </c>
      <c r="CD42">
        <f>VLOOKUP(A42,QCOM!A$2:G$55,4,0)</f>
        <v>76.489999999999995</v>
      </c>
      <c r="CE42">
        <f>VLOOKUP(A42,RTN!A$2:G$55,4,0)</f>
        <v>95.94</v>
      </c>
      <c r="CF42">
        <f>VLOOKUP(A42,SBUX!A$2:G$55,4,0)</f>
        <v>77.66</v>
      </c>
      <c r="CG42">
        <f>VLOOKUP(A42,SLB!A$2:G$55,4,0)</f>
        <v>110.52</v>
      </c>
      <c r="CH42">
        <f>VLOOKUP(A42,SO!A$2:G$55,4,0)</f>
        <v>43.54</v>
      </c>
      <c r="CI42">
        <f>VLOOKUP(A42,SPG!A$2:G$55,4,0)</f>
        <v>168.75</v>
      </c>
      <c r="CJ42">
        <f>VLOOKUP(A42,T!A$2:G$55,4,0)</f>
        <v>34.54</v>
      </c>
      <c r="CK42">
        <f>VLOOKUP(A42,TGT!A$2:G$55,4,0)</f>
        <v>60.64</v>
      </c>
      <c r="CL42">
        <f>VLOOKUP(A42,TWX!A$2:G$55,4,0)</f>
        <v>76.73</v>
      </c>
      <c r="CM42">
        <f>VLOOKUP(A42,TXN!A$2:G$55,4,0)</f>
        <v>47.23</v>
      </c>
      <c r="CN42">
        <f>VLOOKUP(A42,UNH!A$2:G$55,4,0)</f>
        <v>84.96</v>
      </c>
      <c r="CO42">
        <f>VLOOKUP(A42,UNP!A$2:G$55,4,0)</f>
        <v>104.84</v>
      </c>
      <c r="CP42">
        <f>VLOOKUP(A42,UPS!A$2:G$55,4,0)</f>
        <v>96.99</v>
      </c>
      <c r="CQ42">
        <f>VLOOKUP(A42,USB!A$2:G$55,4,0)</f>
        <v>42.1</v>
      </c>
      <c r="CR42">
        <f>VLOOKUP(A42,UTX!A$2:G$55,4,0)</f>
        <v>108.87</v>
      </c>
      <c r="CS42">
        <f>VLOOKUP(A42,V!A$2:G$55,4,0)</f>
        <v>215.29</v>
      </c>
      <c r="CT42">
        <f>VLOOKUP(A42,VZ!A$2:G$55,4,0)</f>
        <v>49.21</v>
      </c>
      <c r="CU42">
        <f>VLOOKUP(A42,WAG!A$2:G$55,4,0)</f>
        <v>60.43</v>
      </c>
      <c r="CV42">
        <f>VLOOKUP(A42,WFC!A$2:G$55,4,0)</f>
        <v>51.27</v>
      </c>
      <c r="CW42">
        <f>VLOOKUP(A42,WMT!A$2:G$55,4,0)</f>
        <v>75.44</v>
      </c>
    </row>
    <row r="43" spans="1:101" x14ac:dyDescent="0.25">
      <c r="A43" s="34">
        <v>41879</v>
      </c>
      <c r="B43" s="36">
        <v>101.56</v>
      </c>
      <c r="C43">
        <f>VLOOKUP(A43,ABBV!A$2:G$55,4,0)</f>
        <v>55.25</v>
      </c>
      <c r="D43">
        <f>VLOOKUP(A43,ABT!A$2:G$55,4,0)</f>
        <v>42.27</v>
      </c>
      <c r="E43">
        <f>VLOOKUP(A43,ACN!A$2:G$55,4,0)</f>
        <v>80.33</v>
      </c>
      <c r="F43">
        <f>VLOOKUP(A43,AIG!A$2:G$55,4,0)</f>
        <v>55.47</v>
      </c>
      <c r="G43">
        <f>VLOOKUP(A43,ALL!A$2:G$55,4,0)</f>
        <v>61.13</v>
      </c>
      <c r="H43">
        <f>VLOOKUP(A43,AMGN!A$2:G$55,4,0)</f>
        <v>137.29</v>
      </c>
      <c r="I43">
        <f>VLOOKUP(A43,AMZN!A$2:G$55,4,0)</f>
        <v>338.8</v>
      </c>
      <c r="J43">
        <f>VLOOKUP(A43,APA!A$2:G$55,4,0)</f>
        <v>101.04</v>
      </c>
      <c r="K43">
        <f>VLOOKUP(A43,APC!A$2:G$55,4,0)</f>
        <v>109.84</v>
      </c>
      <c r="L43">
        <f>VLOOKUP(A43,AXP!A$2:G$55,4,0)</f>
        <v>88.61</v>
      </c>
      <c r="M43">
        <f>VLOOKUP(A43,BA!A$2:G$55,4,0)</f>
        <v>126.72</v>
      </c>
      <c r="N43">
        <f>VLOOKUP(A43,BAC!A$2:G$55,4,0)</f>
        <v>15.99</v>
      </c>
      <c r="O43">
        <f>VLOOKUP(A43,BAX!A$2:G$55,4,0)</f>
        <v>74.63</v>
      </c>
      <c r="P43">
        <f>VLOOKUP(A43,BIIB!A$2:G$55,4,0)</f>
        <v>339.52</v>
      </c>
      <c r="Q43">
        <f>VLOOKUP(A43,BK!A$2:G$55,4,0)</f>
        <v>38.82</v>
      </c>
      <c r="R43">
        <f>VLOOKUP(A43,BMY!A$2:G$55,4,0)</f>
        <v>50.16</v>
      </c>
      <c r="T43">
        <f>VLOOKUP(A43,'C'!A$2:G$55,4,0)</f>
        <v>51.28</v>
      </c>
      <c r="U43">
        <f>VLOOKUP(A43,CAT!A$2:G$55,4,0)</f>
        <v>107.8</v>
      </c>
      <c r="V43">
        <f>VLOOKUP(A43,CL!A$2:G$55,4,0)</f>
        <v>64.45</v>
      </c>
      <c r="W43">
        <f>VLOOKUP(A43,CMCSA!A$2:G$55,4,0)</f>
        <v>54.28</v>
      </c>
      <c r="X43">
        <f>VLOOKUP(A43,COF!A$2:G$55,4,0)</f>
        <v>81.209999999999994</v>
      </c>
      <c r="Y43">
        <f>VLOOKUP(A43,COP!A$2:G$55,4,0)</f>
        <v>80.540000000000006</v>
      </c>
      <c r="Z43">
        <f>VLOOKUP(A43,COST!A$2:G$55,4,0)</f>
        <v>120.7</v>
      </c>
      <c r="AA43">
        <f>VLOOKUP(A43,CSCO!A$2:G$55,4,0)</f>
        <v>24.64</v>
      </c>
      <c r="AB43">
        <f>VLOOKUP(A43,CVS!A$2:G$55,4,0)</f>
        <v>78.97</v>
      </c>
      <c r="AC43">
        <f>VLOOKUP(A43,CVX!A$2:G$55,4,0)</f>
        <v>128.25</v>
      </c>
      <c r="AD43">
        <f>VLOOKUP(A43,DD!A$2:G$55,4,0)</f>
        <v>65.52</v>
      </c>
      <c r="AE43">
        <f>VLOOKUP(A43,DIS!A$2:G$55,4,0)</f>
        <v>89.96</v>
      </c>
      <c r="AF43">
        <f>VLOOKUP(A43,DOW!A$2:G$55,4,0)</f>
        <v>53.23</v>
      </c>
      <c r="AG43">
        <f>VLOOKUP(A43,DVN!A$2:G$55,4,0)</f>
        <v>73.930000000000007</v>
      </c>
      <c r="AH43">
        <f>VLOOKUP(A43,EBAY!A$2:G$55,4,0)</f>
        <v>55.03</v>
      </c>
      <c r="AI43">
        <f>VLOOKUP(A43,EMC!A$2:G$55,4,0)</f>
        <v>29.26</v>
      </c>
      <c r="AJ43">
        <f>VLOOKUP(A43,EMR!A$2:G$55,4,0)</f>
        <v>63.9</v>
      </c>
      <c r="AK43">
        <f>VLOOKUP(A43,EXC!A$2:G$55,4,0)</f>
        <v>32.5</v>
      </c>
      <c r="AL43">
        <f>VLOOKUP(A43,F!A$2:G$55,4,0)</f>
        <v>17.21</v>
      </c>
      <c r="AM43">
        <f>VLOOKUP(A43,FB!A$2:G$55,4,0)</f>
        <v>73.73</v>
      </c>
      <c r="AN43">
        <f>VLOOKUP(A43,FCX!A$2:G$55,4,0)</f>
        <v>35.630000000000003</v>
      </c>
      <c r="AO43">
        <f>VLOOKUP(A43,FDX!A$2:G$55,4,0)</f>
        <v>147.03</v>
      </c>
      <c r="AP43">
        <f>VLOOKUP(A43,FOXA!A$2:G$55,4,0)</f>
        <v>35.57</v>
      </c>
      <c r="AQ43">
        <f>VLOOKUP(A43,GD!A$2:G$55,4,0)</f>
        <v>122.94</v>
      </c>
      <c r="AR43">
        <f>VLOOKUP(A43,GE!A$2:G$55,4,0)</f>
        <v>25.96</v>
      </c>
      <c r="AS43">
        <f>VLOOKUP(A43,GILD!A$2:G$55,4,0)</f>
        <v>106.74</v>
      </c>
      <c r="AT43">
        <f>VLOOKUP(A43,GM!A$2:G$55,4,0)</f>
        <v>34.22</v>
      </c>
      <c r="AU43">
        <f>VLOOKUP(A43,GOOG!A$2:G$55,4,0)</f>
        <v>567.1</v>
      </c>
      <c r="AV43">
        <f>VLOOKUP(A43,GOOGL!A$2:G$55,4,0)</f>
        <v>577.88</v>
      </c>
      <c r="AW43">
        <f>VLOOKUP(A43,GS!A$2:G$55,4,0)</f>
        <v>175.89</v>
      </c>
      <c r="AX43">
        <f>VLOOKUP(A43,HAL!A$2:G$55,4,0)</f>
        <v>67.27</v>
      </c>
      <c r="AY43">
        <f>VLOOKUP(A43,HD!A$2:G$55,4,0)</f>
        <v>91.27</v>
      </c>
      <c r="AZ43">
        <f>VLOOKUP(A43,HON!A$2:G$55,4,0)</f>
        <v>94.7</v>
      </c>
      <c r="BA43">
        <f>VLOOKUP(A43,HPQ!A$2:G$55,4,0)</f>
        <v>37.6</v>
      </c>
      <c r="BB43">
        <f>VLOOKUP(A43,IBM!A$2:G$55,4,0)</f>
        <v>190.66</v>
      </c>
      <c r="BC43">
        <f>VLOOKUP(A43,INTC!A$2:G$55,4,0)</f>
        <v>34.61</v>
      </c>
      <c r="BD43">
        <f>VLOOKUP(A43,JNJ!A$2:G$55,4,0)</f>
        <v>102.71</v>
      </c>
      <c r="BE43">
        <f>VLOOKUP(A43,JPM!A$2:G$55,4,0)</f>
        <v>58.81</v>
      </c>
      <c r="BF43">
        <f>VLOOKUP(A43,KO!A$2:G$55,4,0)</f>
        <v>41.44</v>
      </c>
      <c r="BG43">
        <f>VLOOKUP(A43,LLY!A$2:G$55,4,0)</f>
        <v>62.54</v>
      </c>
      <c r="BH43">
        <f>VLOOKUP(A43,LMT!A$2:G$55,4,0)</f>
        <v>173.74</v>
      </c>
      <c r="BI43">
        <f>VLOOKUP(A43,LOW!A$2:G$55,4,0)</f>
        <v>52.03</v>
      </c>
      <c r="BJ43">
        <f>VLOOKUP(A43,MA!A$2:G$55,4,0)</f>
        <v>75.66</v>
      </c>
      <c r="BK43">
        <f>VLOOKUP(A43,MCD!A$2:G$55,4,0)</f>
        <v>93.51</v>
      </c>
      <c r="BL43">
        <f>VLOOKUP(A43,MDLZ!A$2:G$55,4,0)</f>
        <v>36.06</v>
      </c>
      <c r="BM43">
        <f>VLOOKUP(A43,MDT!A$2:G$55,4,0)</f>
        <v>63.06</v>
      </c>
      <c r="BN43">
        <f>VLOOKUP(A43,MET!A$2:G$55,4,0)</f>
        <v>53.69</v>
      </c>
      <c r="BO43">
        <f>VLOOKUP(A43,MMM!A$2:G$55,4,0)</f>
        <v>143.02000000000001</v>
      </c>
      <c r="BP43">
        <f>VLOOKUP(A43,MO!A$2:G$55,4,0)</f>
        <v>42.64</v>
      </c>
      <c r="BQ43">
        <f>VLOOKUP(A43,MON!A$2:G$55,4,0)</f>
        <v>114.92</v>
      </c>
      <c r="BR43">
        <f>VLOOKUP(A43,MRK!A$2:G$55,4,0)</f>
        <v>59.84</v>
      </c>
      <c r="BS43">
        <f>VLOOKUP(A43,MS!A$2:G$55,4,0)</f>
        <v>33.72</v>
      </c>
      <c r="BT43">
        <f>VLOOKUP(A43,MSFT!A$2:G$55,4,0)</f>
        <v>44.61</v>
      </c>
      <c r="BU43">
        <f>VLOOKUP(A43,NKE!A$2:G$55,4,0)</f>
        <v>78.66</v>
      </c>
      <c r="BV43">
        <f>VLOOKUP(A43,NOV!A$2:G$55,4,0)</f>
        <v>84.69</v>
      </c>
      <c r="BW43">
        <f>VLOOKUP(A43,NSC!A$2:G$55,4,0)</f>
        <v>106.11</v>
      </c>
      <c r="BX43">
        <f>VLOOKUP(A43,ORCL!A$2:G$55,4,0)</f>
        <v>41.21</v>
      </c>
      <c r="BY43">
        <f>VLOOKUP(A43,OXY!A$2:G$55,4,0)</f>
        <v>103.09</v>
      </c>
      <c r="BZ43">
        <f>VLOOKUP(A43,PEP!A$2:G$55,4,0)</f>
        <v>91.81</v>
      </c>
      <c r="CA43">
        <f>VLOOKUP(A43,PFE!A$2:G$55,4,0)</f>
        <v>29.36</v>
      </c>
      <c r="CB43">
        <f>VLOOKUP(A43,PG!A$2:G$55,4,0)</f>
        <v>82.76</v>
      </c>
      <c r="CC43">
        <f>VLOOKUP(A43,PM!A$2:G$55,4,0)</f>
        <v>84.84</v>
      </c>
      <c r="CD43">
        <f>VLOOKUP(A43,QCOM!A$2:G$55,4,0)</f>
        <v>76.31</v>
      </c>
      <c r="CE43">
        <f>VLOOKUP(A43,RTN!A$2:G$55,4,0)</f>
        <v>95.5</v>
      </c>
      <c r="CF43">
        <f>VLOOKUP(A43,SBUX!A$2:G$55,4,0)</f>
        <v>77.510000000000005</v>
      </c>
      <c r="CG43">
        <f>VLOOKUP(A43,SLB!A$2:G$55,4,0)</f>
        <v>110.01</v>
      </c>
      <c r="CH43">
        <f>VLOOKUP(A43,SO!A$2:G$55,4,0)</f>
        <v>43.69</v>
      </c>
      <c r="CI43">
        <f>VLOOKUP(A43,SPG!A$2:G$55,4,0)</f>
        <v>168.65</v>
      </c>
      <c r="CJ43">
        <f>VLOOKUP(A43,T!A$2:G$55,4,0)</f>
        <v>34.56</v>
      </c>
      <c r="CK43">
        <f>VLOOKUP(A43,TGT!A$2:G$55,4,0)</f>
        <v>60.07</v>
      </c>
      <c r="CL43">
        <f>VLOOKUP(A43,TWX!A$2:G$55,4,0)</f>
        <v>76.599999999999994</v>
      </c>
      <c r="CM43">
        <f>VLOOKUP(A43,TXN!A$2:G$55,4,0)</f>
        <v>47.49</v>
      </c>
      <c r="CN43">
        <f>VLOOKUP(A43,UNH!A$2:G$55,4,0)</f>
        <v>85.52</v>
      </c>
      <c r="CO43">
        <f>VLOOKUP(A43,UNP!A$2:G$55,4,0)</f>
        <v>104.54</v>
      </c>
      <c r="CP43">
        <f>VLOOKUP(A43,UPS!A$2:G$55,4,0)</f>
        <v>96.94</v>
      </c>
      <c r="CQ43">
        <f>VLOOKUP(A43,USB!A$2:G$55,4,0)</f>
        <v>41.93</v>
      </c>
      <c r="CR43">
        <f>VLOOKUP(A43,UTX!A$2:G$55,4,0)</f>
        <v>108.28</v>
      </c>
      <c r="CS43">
        <f>VLOOKUP(A43,V!A$2:G$55,4,0)</f>
        <v>213.77</v>
      </c>
      <c r="CT43">
        <f>VLOOKUP(A43,VZ!A$2:G$55,4,0)</f>
        <v>49.2</v>
      </c>
      <c r="CU43">
        <f>VLOOKUP(A43,WAG!A$2:G$55,4,0)</f>
        <v>60.23</v>
      </c>
      <c r="CV43">
        <f>VLOOKUP(A43,WFC!A$2:G$55,4,0)</f>
        <v>51</v>
      </c>
      <c r="CW43">
        <f>VLOOKUP(A43,WMT!A$2:G$55,4,0)</f>
        <v>75.47</v>
      </c>
    </row>
    <row r="44" spans="1:101" x14ac:dyDescent="0.25">
      <c r="A44" s="34">
        <v>41880</v>
      </c>
      <c r="B44" s="36">
        <v>102.2</v>
      </c>
      <c r="C44">
        <f>VLOOKUP(A44,ABBV!A$2:G$55,4,0)</f>
        <v>55.24</v>
      </c>
      <c r="D44">
        <f>VLOOKUP(A44,ABT!A$2:G$55,4,0)</f>
        <v>42.06</v>
      </c>
      <c r="E44">
        <f>VLOOKUP(A44,ACN!A$2:G$55,4,0)</f>
        <v>80.52</v>
      </c>
      <c r="F44">
        <f>VLOOKUP(A44,AIG!A$2:G$55,4,0)</f>
        <v>55.74</v>
      </c>
      <c r="G44">
        <f>VLOOKUP(A44,ALL!A$2:G$55,4,0)</f>
        <v>61.06</v>
      </c>
      <c r="H44">
        <f>VLOOKUP(A44,AMGN!A$2:G$55,4,0)</f>
        <v>138.31</v>
      </c>
      <c r="I44">
        <f>VLOOKUP(A44,AMZN!A$2:G$55,4,0)</f>
        <v>337.68</v>
      </c>
      <c r="J44">
        <f>VLOOKUP(A44,APA!A$2:G$55,4,0)</f>
        <v>100.81</v>
      </c>
      <c r="K44">
        <f>VLOOKUP(A44,APC!A$2:G$55,4,0)</f>
        <v>110.47</v>
      </c>
      <c r="L44">
        <f>VLOOKUP(A44,AXP!A$2:G$55,4,0)</f>
        <v>89.09</v>
      </c>
      <c r="M44">
        <f>VLOOKUP(A44,BA!A$2:G$55,4,0)</f>
        <v>126.05</v>
      </c>
      <c r="N44">
        <f>VLOOKUP(A44,BAC!A$2:G$55,4,0)</f>
        <v>16.02</v>
      </c>
      <c r="O44">
        <f>VLOOKUP(A44,BAX!A$2:G$55,4,0)</f>
        <v>74.540000000000006</v>
      </c>
      <c r="P44">
        <f>VLOOKUP(A44,BIIB!A$2:G$55,4,0)</f>
        <v>339.18</v>
      </c>
      <c r="Q44">
        <f>VLOOKUP(A44,BK!A$2:G$55,4,0)</f>
        <v>38.909999999999997</v>
      </c>
      <c r="R44">
        <f>VLOOKUP(A44,BMY!A$2:G$55,4,0)</f>
        <v>50.3</v>
      </c>
      <c r="T44">
        <f>VLOOKUP(A44,'C'!A$2:G$55,4,0)</f>
        <v>51.46</v>
      </c>
      <c r="U44">
        <f>VLOOKUP(A44,CAT!A$2:G$55,4,0)</f>
        <v>108.25</v>
      </c>
      <c r="V44">
        <f>VLOOKUP(A44,CL!A$2:G$55,4,0)</f>
        <v>64.400000000000006</v>
      </c>
      <c r="W44">
        <f>VLOOKUP(A44,CMCSA!A$2:G$55,4,0)</f>
        <v>54.43</v>
      </c>
      <c r="X44">
        <f>VLOOKUP(A44,COF!A$2:G$55,4,0)</f>
        <v>81.790000000000006</v>
      </c>
      <c r="Y44">
        <f>VLOOKUP(A44,COP!A$2:G$55,4,0)</f>
        <v>80.66</v>
      </c>
      <c r="Z44">
        <f>VLOOKUP(A44,COST!A$2:G$55,4,0)</f>
        <v>120.58</v>
      </c>
      <c r="AA44">
        <f>VLOOKUP(A44,CSCO!A$2:G$55,4,0)</f>
        <v>24.76</v>
      </c>
      <c r="AB44">
        <f>VLOOKUP(A44,CVS!A$2:G$55,4,0)</f>
        <v>79.28</v>
      </c>
      <c r="AC44">
        <f>VLOOKUP(A44,CVX!A$2:G$55,4,0)</f>
        <v>128.5</v>
      </c>
      <c r="AD44">
        <f>VLOOKUP(A44,DD!A$2:G$55,4,0)</f>
        <v>65.900000000000006</v>
      </c>
      <c r="AE44">
        <f>VLOOKUP(A44,DIS!A$2:G$55,4,0)</f>
        <v>89.33</v>
      </c>
      <c r="AF44">
        <f>VLOOKUP(A44,DOW!A$2:G$55,4,0)</f>
        <v>53.49</v>
      </c>
      <c r="AG44">
        <f>VLOOKUP(A44,DVN!A$2:G$55,4,0)</f>
        <v>74.47</v>
      </c>
      <c r="AH44">
        <f>VLOOKUP(A44,EBAY!A$2:G$55,4,0)</f>
        <v>54.94</v>
      </c>
      <c r="AI44">
        <f>VLOOKUP(A44,EMC!A$2:G$55,4,0)</f>
        <v>29.29</v>
      </c>
      <c r="AJ44">
        <f>VLOOKUP(A44,EMR!A$2:G$55,4,0)</f>
        <v>63.99</v>
      </c>
      <c r="AK44">
        <f>VLOOKUP(A44,EXC!A$2:G$55,4,0)</f>
        <v>32.979999999999997</v>
      </c>
      <c r="AL44">
        <f>VLOOKUP(A44,F!A$2:G$55,4,0)</f>
        <v>17.39</v>
      </c>
      <c r="AM44">
        <f>VLOOKUP(A44,FB!A$2:G$55,4,0)</f>
        <v>74.010000000000005</v>
      </c>
      <c r="AN44">
        <f>VLOOKUP(A44,FCX!A$2:G$55,4,0)</f>
        <v>36.159999999999997</v>
      </c>
      <c r="AO44">
        <f>VLOOKUP(A44,FDX!A$2:G$55,4,0)</f>
        <v>147.65</v>
      </c>
      <c r="AP44">
        <f>VLOOKUP(A44,FOXA!A$2:G$55,4,0)</f>
        <v>35.26</v>
      </c>
      <c r="AQ44">
        <f>VLOOKUP(A44,GD!A$2:G$55,4,0)</f>
        <v>122.64</v>
      </c>
      <c r="AR44">
        <f>VLOOKUP(A44,GE!A$2:G$55,4,0)</f>
        <v>25.9</v>
      </c>
      <c r="AS44">
        <f>VLOOKUP(A44,GILD!A$2:G$55,4,0)</f>
        <v>106.78</v>
      </c>
      <c r="AT44">
        <f>VLOOKUP(A44,GM!A$2:G$55,4,0)</f>
        <v>34.61</v>
      </c>
      <c r="AU44">
        <f>VLOOKUP(A44,GOOG!A$2:G$55,4,0)</f>
        <v>567.07000000000005</v>
      </c>
      <c r="AV44">
        <f>VLOOKUP(A44,GOOGL!A$2:G$55,4,0)</f>
        <v>578.24</v>
      </c>
      <c r="AW44">
        <f>VLOOKUP(A44,GS!A$2:G$55,4,0)</f>
        <v>177.85</v>
      </c>
      <c r="AX44">
        <f>VLOOKUP(A44,HAL!A$2:G$55,4,0)</f>
        <v>67.150000000000006</v>
      </c>
      <c r="AY44">
        <f>VLOOKUP(A44,HD!A$2:G$55,4,0)</f>
        <v>92.61</v>
      </c>
      <c r="AZ44">
        <f>VLOOKUP(A44,HON!A$2:G$55,4,0)</f>
        <v>94.83</v>
      </c>
      <c r="BA44">
        <f>VLOOKUP(A44,HPQ!A$2:G$55,4,0)</f>
        <v>37.82</v>
      </c>
      <c r="BB44">
        <f>VLOOKUP(A44,IBM!A$2:G$55,4,0)</f>
        <v>191.14</v>
      </c>
      <c r="BC44">
        <f>VLOOKUP(A44,INTC!A$2:G$55,4,0)</f>
        <v>34.67</v>
      </c>
      <c r="BD44">
        <f>VLOOKUP(A44,JNJ!A$2:G$55,4,0)</f>
        <v>103.01</v>
      </c>
      <c r="BE44">
        <f>VLOOKUP(A44,JPM!A$2:G$55,4,0)</f>
        <v>59.23</v>
      </c>
      <c r="BF44">
        <f>VLOOKUP(A44,KO!A$2:G$55,4,0)</f>
        <v>41.47</v>
      </c>
      <c r="BG44">
        <f>VLOOKUP(A44,LLY!A$2:G$55,4,0)</f>
        <v>62.97</v>
      </c>
      <c r="BH44">
        <f>VLOOKUP(A44,LMT!A$2:G$55,4,0)</f>
        <v>173.75</v>
      </c>
      <c r="BI44">
        <f>VLOOKUP(A44,LOW!A$2:G$55,4,0)</f>
        <v>52.26</v>
      </c>
      <c r="BJ44">
        <f>VLOOKUP(A44,MA!A$2:G$55,4,0)</f>
        <v>75.73</v>
      </c>
      <c r="BK44">
        <f>VLOOKUP(A44,MCD!A$2:G$55,4,0)</f>
        <v>93.51</v>
      </c>
      <c r="BL44">
        <f>VLOOKUP(A44,MDLZ!A$2:G$55,4,0)</f>
        <v>36.07</v>
      </c>
      <c r="BM44">
        <f>VLOOKUP(A44,MDT!A$2:G$55,4,0)</f>
        <v>63.06</v>
      </c>
      <c r="BN44">
        <f>VLOOKUP(A44,MET!A$2:G$55,4,0)</f>
        <v>54.31</v>
      </c>
      <c r="BO44">
        <f>VLOOKUP(A44,MMM!A$2:G$55,4,0)</f>
        <v>143.18</v>
      </c>
      <c r="BP44">
        <f>VLOOKUP(A44,MO!A$2:G$55,4,0)</f>
        <v>42.93</v>
      </c>
      <c r="BQ44">
        <f>VLOOKUP(A44,MON!A$2:G$55,4,0)</f>
        <v>115.45</v>
      </c>
      <c r="BR44">
        <f>VLOOKUP(A44,MRK!A$2:G$55,4,0)</f>
        <v>59.83</v>
      </c>
      <c r="BS44">
        <f>VLOOKUP(A44,MS!A$2:G$55,4,0)</f>
        <v>34.08</v>
      </c>
      <c r="BT44">
        <f>VLOOKUP(A44,MSFT!A$2:G$55,4,0)</f>
        <v>44.86</v>
      </c>
      <c r="BU44">
        <f>VLOOKUP(A44,NKE!A$2:G$55,4,0)</f>
        <v>78.27</v>
      </c>
      <c r="BV44">
        <f>VLOOKUP(A44,NOV!A$2:G$55,4,0)</f>
        <v>85.21</v>
      </c>
      <c r="BW44">
        <f>VLOOKUP(A44,NSC!A$2:G$55,4,0)</f>
        <v>106.29</v>
      </c>
      <c r="BX44">
        <f>VLOOKUP(A44,ORCL!A$2:G$55,4,0)</f>
        <v>41.24</v>
      </c>
      <c r="BY44">
        <f>VLOOKUP(A44,OXY!A$2:G$55,4,0)</f>
        <v>103.02</v>
      </c>
      <c r="BZ44">
        <f>VLOOKUP(A44,PEP!A$2:G$55,4,0)</f>
        <v>92.01</v>
      </c>
      <c r="CA44">
        <f>VLOOKUP(A44,PFE!A$2:G$55,4,0)</f>
        <v>29.29</v>
      </c>
      <c r="CB44">
        <f>VLOOKUP(A44,PG!A$2:G$55,4,0)</f>
        <v>82.6</v>
      </c>
      <c r="CC44">
        <f>VLOOKUP(A44,PM!A$2:G$55,4,0)</f>
        <v>85.04</v>
      </c>
      <c r="CD44">
        <f>VLOOKUP(A44,QCOM!A$2:G$55,4,0)</f>
        <v>75.760000000000005</v>
      </c>
      <c r="CE44">
        <f>VLOOKUP(A44,RTN!A$2:G$55,4,0)</f>
        <v>95.9</v>
      </c>
      <c r="CF44">
        <f>VLOOKUP(A44,SBUX!A$2:G$55,4,0)</f>
        <v>77.52</v>
      </c>
      <c r="CG44">
        <f>VLOOKUP(A44,SLB!A$2:G$55,4,0)</f>
        <v>109.17</v>
      </c>
      <c r="CH44">
        <f>VLOOKUP(A44,SO!A$2:G$55,4,0)</f>
        <v>44.06</v>
      </c>
      <c r="CI44">
        <f>VLOOKUP(A44,SPG!A$2:G$55,4,0)</f>
        <v>168.98</v>
      </c>
      <c r="CJ44">
        <f>VLOOKUP(A44,T!A$2:G$55,4,0)</f>
        <v>34.619999999999997</v>
      </c>
      <c r="CK44">
        <f>VLOOKUP(A44,TGT!A$2:G$55,4,0)</f>
        <v>60.05</v>
      </c>
      <c r="CL44">
        <f>VLOOKUP(A44,TWX!A$2:G$55,4,0)</f>
        <v>76.78</v>
      </c>
      <c r="CM44">
        <f>VLOOKUP(A44,TXN!A$2:G$55,4,0)</f>
        <v>47.89</v>
      </c>
      <c r="CN44">
        <f>VLOOKUP(A44,UNH!A$2:G$55,4,0)</f>
        <v>86.35</v>
      </c>
      <c r="CO44">
        <f>VLOOKUP(A44,UNP!A$2:G$55,4,0)</f>
        <v>104.56</v>
      </c>
      <c r="CP44">
        <f>VLOOKUP(A44,UPS!A$2:G$55,4,0)</f>
        <v>97.11</v>
      </c>
      <c r="CQ44">
        <f>VLOOKUP(A44,USB!A$2:G$55,4,0)</f>
        <v>41.99</v>
      </c>
      <c r="CR44">
        <f>VLOOKUP(A44,UTX!A$2:G$55,4,0)</f>
        <v>107.71</v>
      </c>
      <c r="CS44">
        <f>VLOOKUP(A44,V!A$2:G$55,4,0)</f>
        <v>212.1</v>
      </c>
      <c r="CT44">
        <f>VLOOKUP(A44,VZ!A$2:G$55,4,0)</f>
        <v>49.4</v>
      </c>
      <c r="CU44">
        <f>VLOOKUP(A44,WAG!A$2:G$55,4,0)</f>
        <v>60.26</v>
      </c>
      <c r="CV44">
        <f>VLOOKUP(A44,WFC!A$2:G$55,4,0)</f>
        <v>51.18</v>
      </c>
      <c r="CW44">
        <f>VLOOKUP(A44,WMT!A$2:G$55,4,0)</f>
        <v>75.290000000000006</v>
      </c>
    </row>
    <row r="45" spans="1:101" x14ac:dyDescent="0.25">
      <c r="A45" s="34">
        <v>41884</v>
      </c>
      <c r="B45" s="36">
        <v>102.72</v>
      </c>
      <c r="C45">
        <f>VLOOKUP(A45,ABBV!A$2:G$55,4,0)</f>
        <v>54.96</v>
      </c>
      <c r="D45">
        <f>VLOOKUP(A45,ABT!A$2:G$55,4,0)</f>
        <v>41.94</v>
      </c>
      <c r="E45">
        <f>VLOOKUP(A45,ACN!A$2:G$55,4,0)</f>
        <v>80.91</v>
      </c>
      <c r="F45">
        <f>VLOOKUP(A45,AIG!A$2:G$55,4,0)</f>
        <v>55.46</v>
      </c>
      <c r="G45">
        <f>VLOOKUP(A45,ALL!A$2:G$55,4,0)</f>
        <v>61.52</v>
      </c>
      <c r="H45">
        <f>VLOOKUP(A45,AMGN!A$2:G$55,4,0)</f>
        <v>137.19999999999999</v>
      </c>
      <c r="I45">
        <f>VLOOKUP(A45,AMZN!A$2:G$55,4,0)</f>
        <v>337.16</v>
      </c>
      <c r="J45">
        <f>VLOOKUP(A45,APA!A$2:G$55,4,0)</f>
        <v>99.56</v>
      </c>
      <c r="K45">
        <f>VLOOKUP(A45,APC!A$2:G$55,4,0)</f>
        <v>110.87</v>
      </c>
      <c r="L45">
        <f>VLOOKUP(A45,AXP!A$2:G$55,4,0)</f>
        <v>89.28</v>
      </c>
      <c r="M45">
        <f>VLOOKUP(A45,BA!A$2:G$55,4,0)</f>
        <v>124.57</v>
      </c>
      <c r="N45">
        <f>VLOOKUP(A45,BAC!A$2:G$55,4,0)</f>
        <v>16.059999999999999</v>
      </c>
      <c r="O45">
        <f>VLOOKUP(A45,BAX!A$2:G$55,4,0)</f>
        <v>74.17</v>
      </c>
      <c r="P45">
        <f>VLOOKUP(A45,BIIB!A$2:G$55,4,0)</f>
        <v>340.6</v>
      </c>
      <c r="Q45">
        <f>VLOOKUP(A45,BK!A$2:G$55,4,0)</f>
        <v>39.21</v>
      </c>
      <c r="R45">
        <f>VLOOKUP(A45,BMY!A$2:G$55,4,0)</f>
        <v>50.12</v>
      </c>
      <c r="T45">
        <f>VLOOKUP(A45,'C'!A$2:G$55,4,0)</f>
        <v>51.44</v>
      </c>
      <c r="U45">
        <f>VLOOKUP(A45,CAT!A$2:G$55,4,0)</f>
        <v>108.83</v>
      </c>
      <c r="V45">
        <f>VLOOKUP(A45,CL!A$2:G$55,4,0)</f>
        <v>64.16</v>
      </c>
      <c r="W45">
        <f>VLOOKUP(A45,CMCSA!A$2:G$55,4,0)</f>
        <v>54.35</v>
      </c>
      <c r="X45">
        <f>VLOOKUP(A45,COF!A$2:G$55,4,0)</f>
        <v>81.87</v>
      </c>
      <c r="Y45">
        <f>VLOOKUP(A45,COP!A$2:G$55,4,0)</f>
        <v>79.77</v>
      </c>
      <c r="Z45">
        <f>VLOOKUP(A45,COST!A$2:G$55,4,0)</f>
        <v>120.9</v>
      </c>
      <c r="AA45">
        <f>VLOOKUP(A45,CSCO!A$2:G$55,4,0)</f>
        <v>24.75</v>
      </c>
      <c r="AB45">
        <f>VLOOKUP(A45,CVS!A$2:G$55,4,0)</f>
        <v>79.22</v>
      </c>
      <c r="AC45">
        <f>VLOOKUP(A45,CVX!A$2:G$55,4,0)</f>
        <v>127.06</v>
      </c>
      <c r="AD45">
        <f>VLOOKUP(A45,DD!A$2:G$55,4,0)</f>
        <v>65.58</v>
      </c>
      <c r="AE45">
        <f>VLOOKUP(A45,DIS!A$2:G$55,4,0)</f>
        <v>90.15</v>
      </c>
      <c r="AF45">
        <f>VLOOKUP(A45,DOW!A$2:G$55,4,0)</f>
        <v>53.25</v>
      </c>
      <c r="AG45">
        <f>VLOOKUP(A45,DVN!A$2:G$55,4,0)</f>
        <v>73.55</v>
      </c>
      <c r="AH45">
        <f>VLOOKUP(A45,EBAY!A$2:G$55,4,0)</f>
        <v>54.69</v>
      </c>
      <c r="AI45">
        <f>VLOOKUP(A45,EMC!A$2:G$55,4,0)</f>
        <v>29.09</v>
      </c>
      <c r="AJ45">
        <f>VLOOKUP(A45,EMR!A$2:G$55,4,0)</f>
        <v>64.069999999999993</v>
      </c>
      <c r="AK45">
        <f>VLOOKUP(A45,EXC!A$2:G$55,4,0)</f>
        <v>32.6</v>
      </c>
      <c r="AL45">
        <f>VLOOKUP(A45,F!A$2:G$55,4,0)</f>
        <v>17.48</v>
      </c>
      <c r="AM45">
        <f>VLOOKUP(A45,FB!A$2:G$55,4,0)</f>
        <v>74.819999999999993</v>
      </c>
      <c r="AN45">
        <f>VLOOKUP(A45,FCX!A$2:G$55,4,0)</f>
        <v>35.450000000000003</v>
      </c>
      <c r="AO45">
        <f>VLOOKUP(A45,FDX!A$2:G$55,4,0)</f>
        <v>148.37</v>
      </c>
      <c r="AP45">
        <f>VLOOKUP(A45,FOXA!A$2:G$55,4,0)</f>
        <v>35.39</v>
      </c>
      <c r="AQ45">
        <f>VLOOKUP(A45,GD!A$2:G$55,4,0)</f>
        <v>122.54</v>
      </c>
      <c r="AR45">
        <f>VLOOKUP(A45,GE!A$2:G$55,4,0)</f>
        <v>25.77</v>
      </c>
      <c r="AS45">
        <f>VLOOKUP(A45,GILD!A$2:G$55,4,0)</f>
        <v>107.61</v>
      </c>
      <c r="AT45">
        <f>VLOOKUP(A45,GM!A$2:G$55,4,0)</f>
        <v>34.619999999999997</v>
      </c>
      <c r="AU45">
        <f>VLOOKUP(A45,GOOG!A$2:G$55,4,0)</f>
        <v>571.19000000000005</v>
      </c>
      <c r="AV45">
        <f>VLOOKUP(A45,GOOGL!A$2:G$55,4,0)</f>
        <v>582.4</v>
      </c>
      <c r="AW45">
        <f>VLOOKUP(A45,GS!A$2:G$55,4,0)</f>
        <v>178.38</v>
      </c>
      <c r="AX45">
        <f>VLOOKUP(A45,HAL!A$2:G$55,4,0)</f>
        <v>66.23</v>
      </c>
      <c r="AY45">
        <f>VLOOKUP(A45,HD!A$2:G$55,4,0)</f>
        <v>89.85</v>
      </c>
      <c r="AZ45">
        <f>VLOOKUP(A45,HON!A$2:G$55,4,0)</f>
        <v>95.06</v>
      </c>
      <c r="BA45">
        <f>VLOOKUP(A45,HPQ!A$2:G$55,4,0)</f>
        <v>37.659999999999997</v>
      </c>
      <c r="BB45">
        <f>VLOOKUP(A45,IBM!A$2:G$55,4,0)</f>
        <v>190.93</v>
      </c>
      <c r="BC45">
        <f>VLOOKUP(A45,INTC!A$2:G$55,4,0)</f>
        <v>34.43</v>
      </c>
      <c r="BD45">
        <f>VLOOKUP(A45,JNJ!A$2:G$55,4,0)</f>
        <v>103.02</v>
      </c>
      <c r="BE45">
        <f>VLOOKUP(A45,JPM!A$2:G$55,4,0)</f>
        <v>59.15</v>
      </c>
      <c r="BF45">
        <f>VLOOKUP(A45,KO!A$2:G$55,4,0)</f>
        <v>41.31</v>
      </c>
      <c r="BG45">
        <f>VLOOKUP(A45,LLY!A$2:G$55,4,0)</f>
        <v>63.48</v>
      </c>
      <c r="BH45">
        <f>VLOOKUP(A45,LMT!A$2:G$55,4,0)</f>
        <v>173.07</v>
      </c>
      <c r="BI45">
        <f>VLOOKUP(A45,LOW!A$2:G$55,4,0)</f>
        <v>52.03</v>
      </c>
      <c r="BJ45">
        <f>VLOOKUP(A45,MA!A$2:G$55,4,0)</f>
        <v>75.44</v>
      </c>
      <c r="BK45">
        <f>VLOOKUP(A45,MCD!A$2:G$55,4,0)</f>
        <v>92.69</v>
      </c>
      <c r="BL45">
        <f>VLOOKUP(A45,MDLZ!A$2:G$55,4,0)</f>
        <v>35.549999999999997</v>
      </c>
      <c r="BM45">
        <f>VLOOKUP(A45,MDT!A$2:G$55,4,0)</f>
        <v>63.55</v>
      </c>
      <c r="BN45">
        <f>VLOOKUP(A45,MET!A$2:G$55,4,0)</f>
        <v>54.86</v>
      </c>
      <c r="BO45">
        <f>VLOOKUP(A45,MMM!A$2:G$55,4,0)</f>
        <v>143.30000000000001</v>
      </c>
      <c r="BP45">
        <f>VLOOKUP(A45,MO!A$2:G$55,4,0)</f>
        <v>43.05</v>
      </c>
      <c r="BQ45">
        <f>VLOOKUP(A45,MON!A$2:G$55,4,0)</f>
        <v>114.6</v>
      </c>
      <c r="BR45">
        <f>VLOOKUP(A45,MRK!A$2:G$55,4,0)</f>
        <v>59.67</v>
      </c>
      <c r="BS45">
        <f>VLOOKUP(A45,MS!A$2:G$55,4,0)</f>
        <v>34.18</v>
      </c>
      <c r="BT45">
        <f>VLOOKUP(A45,MSFT!A$2:G$55,4,0)</f>
        <v>44.85</v>
      </c>
      <c r="BU45">
        <f>VLOOKUP(A45,NKE!A$2:G$55,4,0)</f>
        <v>78.349999999999994</v>
      </c>
      <c r="BV45">
        <f>VLOOKUP(A45,NOV!A$2:G$55,4,0)</f>
        <v>84.2</v>
      </c>
      <c r="BW45">
        <f>VLOOKUP(A45,NSC!A$2:G$55,4,0)</f>
        <v>106.64</v>
      </c>
      <c r="BX45">
        <f>VLOOKUP(A45,ORCL!A$2:G$55,4,0)</f>
        <v>41.46</v>
      </c>
      <c r="BY45">
        <f>VLOOKUP(A45,OXY!A$2:G$55,4,0)</f>
        <v>102.08</v>
      </c>
      <c r="BZ45">
        <f>VLOOKUP(A45,PEP!A$2:G$55,4,0)</f>
        <v>92.38</v>
      </c>
      <c r="CA45">
        <f>VLOOKUP(A45,PFE!A$2:G$55,4,0)</f>
        <v>29.16</v>
      </c>
      <c r="CB45">
        <f>VLOOKUP(A45,PG!A$2:G$55,4,0)</f>
        <v>82.71</v>
      </c>
      <c r="CC45">
        <f>VLOOKUP(A45,PM!A$2:G$55,4,0)</f>
        <v>85.06</v>
      </c>
      <c r="CD45">
        <f>VLOOKUP(A45,QCOM!A$2:G$55,4,0)</f>
        <v>74.75</v>
      </c>
      <c r="CE45">
        <f>VLOOKUP(A45,RTN!A$2:G$55,4,0)</f>
        <v>95.91</v>
      </c>
      <c r="CF45">
        <f>VLOOKUP(A45,SBUX!A$2:G$55,4,0)</f>
        <v>77.16</v>
      </c>
      <c r="CG45">
        <f>VLOOKUP(A45,SLB!A$2:G$55,4,0)</f>
        <v>107.52</v>
      </c>
      <c r="CH45">
        <f>VLOOKUP(A45,SO!A$2:G$55,4,0)</f>
        <v>43.61</v>
      </c>
      <c r="CI45">
        <f>VLOOKUP(A45,SPG!A$2:G$55,4,0)</f>
        <v>169.63</v>
      </c>
      <c r="CJ45">
        <f>VLOOKUP(A45,T!A$2:G$55,4,0)</f>
        <v>34.700000000000003</v>
      </c>
      <c r="CK45">
        <f>VLOOKUP(A45,TGT!A$2:G$55,4,0)</f>
        <v>59.98</v>
      </c>
      <c r="CL45">
        <f>VLOOKUP(A45,TWX!A$2:G$55,4,0)</f>
        <v>76.81</v>
      </c>
      <c r="CM45">
        <f>VLOOKUP(A45,TXN!A$2:G$55,4,0)</f>
        <v>47.65</v>
      </c>
      <c r="CN45">
        <f>VLOOKUP(A45,UNH!A$2:G$55,4,0)</f>
        <v>85.76</v>
      </c>
      <c r="CO45">
        <f>VLOOKUP(A45,UNP!A$2:G$55,4,0)</f>
        <v>105.49</v>
      </c>
      <c r="CP45">
        <f>VLOOKUP(A45,UPS!A$2:G$55,4,0)</f>
        <v>97.5</v>
      </c>
      <c r="CQ45">
        <f>VLOOKUP(A45,USB!A$2:G$55,4,0)</f>
        <v>42.07</v>
      </c>
      <c r="CR45">
        <f>VLOOKUP(A45,UTX!A$2:G$55,4,0)</f>
        <v>107.72</v>
      </c>
      <c r="CS45">
        <f>VLOOKUP(A45,V!A$2:G$55,4,0)</f>
        <v>212.71</v>
      </c>
      <c r="CT45">
        <f>VLOOKUP(A45,VZ!A$2:G$55,4,0)</f>
        <v>49.5</v>
      </c>
      <c r="CU45">
        <f>VLOOKUP(A45,WAG!A$2:G$55,4,0)</f>
        <v>59.99</v>
      </c>
      <c r="CV45">
        <f>VLOOKUP(A45,WFC!A$2:G$55,4,0)</f>
        <v>51.24</v>
      </c>
      <c r="CW45">
        <f>VLOOKUP(A45,WMT!A$2:G$55,4,0)</f>
        <v>75.41</v>
      </c>
    </row>
    <row r="46" spans="1:101" x14ac:dyDescent="0.25">
      <c r="A46" s="34">
        <v>41885</v>
      </c>
      <c r="B46" s="36">
        <v>98.58</v>
      </c>
      <c r="C46">
        <f>VLOOKUP(A46,ABBV!A$2:G$55,4,0)</f>
        <v>54.83</v>
      </c>
      <c r="D46">
        <f>VLOOKUP(A46,ABT!A$2:G$55,4,0)</f>
        <v>42.35</v>
      </c>
      <c r="E46">
        <f>VLOOKUP(A46,ACN!A$2:G$55,4,0)</f>
        <v>81.3</v>
      </c>
      <c r="F46">
        <f>VLOOKUP(A46,AIG!A$2:G$55,4,0)</f>
        <v>55.56</v>
      </c>
      <c r="G46">
        <f>VLOOKUP(A46,ALL!A$2:G$55,4,0)</f>
        <v>61.61</v>
      </c>
      <c r="H46">
        <f>VLOOKUP(A46,AMGN!A$2:G$55,4,0)</f>
        <v>137.34</v>
      </c>
      <c r="I46">
        <f>VLOOKUP(A46,AMZN!A$2:G$55,4,0)</f>
        <v>337.55</v>
      </c>
      <c r="J46">
        <f>VLOOKUP(A46,APA!A$2:G$55,4,0)</f>
        <v>100.26</v>
      </c>
      <c r="K46">
        <f>VLOOKUP(A46,APC!A$2:G$55,4,0)</f>
        <v>111.16</v>
      </c>
      <c r="L46">
        <f>VLOOKUP(A46,AXP!A$2:G$55,4,0)</f>
        <v>90</v>
      </c>
      <c r="M46">
        <f>VLOOKUP(A46,BA!A$2:G$55,4,0)</f>
        <v>125.2</v>
      </c>
      <c r="N46">
        <f>VLOOKUP(A46,BAC!A$2:G$55,4,0)</f>
        <v>16.04</v>
      </c>
      <c r="O46">
        <f>VLOOKUP(A46,BAX!A$2:G$55,4,0)</f>
        <v>73.88</v>
      </c>
      <c r="P46">
        <f>VLOOKUP(A46,BIIB!A$2:G$55,4,0)</f>
        <v>342.17</v>
      </c>
      <c r="Q46">
        <f>VLOOKUP(A46,BK!A$2:G$55,4,0)</f>
        <v>39.43</v>
      </c>
      <c r="R46">
        <f>VLOOKUP(A46,BMY!A$2:G$55,4,0)</f>
        <v>50.29</v>
      </c>
      <c r="T46">
        <f>VLOOKUP(A46,'C'!A$2:G$55,4,0)</f>
        <v>52.04</v>
      </c>
      <c r="U46">
        <f>VLOOKUP(A46,CAT!A$2:G$55,4,0)</f>
        <v>108.05</v>
      </c>
      <c r="V46">
        <f>VLOOKUP(A46,CL!A$2:G$55,4,0)</f>
        <v>64.31</v>
      </c>
      <c r="W46">
        <f>VLOOKUP(A46,CMCSA!A$2:G$55,4,0)</f>
        <v>54.62</v>
      </c>
      <c r="X46">
        <f>VLOOKUP(A46,COF!A$2:G$55,4,0)</f>
        <v>82.44</v>
      </c>
      <c r="Y46">
        <f>VLOOKUP(A46,COP!A$2:G$55,4,0)</f>
        <v>80.8</v>
      </c>
      <c r="Z46">
        <f>VLOOKUP(A46,COST!A$2:G$55,4,0)</f>
        <v>121.11</v>
      </c>
      <c r="AA46">
        <f>VLOOKUP(A46,CSCO!A$2:G$55,4,0)</f>
        <v>24.92</v>
      </c>
      <c r="AB46">
        <f>VLOOKUP(A46,CVS!A$2:G$55,4,0)</f>
        <v>79.67</v>
      </c>
      <c r="AC46">
        <f>VLOOKUP(A46,CVX!A$2:G$55,4,0)</f>
        <v>127.67</v>
      </c>
      <c r="AD46">
        <f>VLOOKUP(A46,DD!A$2:G$55,4,0)</f>
        <v>65.73</v>
      </c>
      <c r="AE46">
        <f>VLOOKUP(A46,DIS!A$2:G$55,4,0)</f>
        <v>90.67</v>
      </c>
      <c r="AF46">
        <f>VLOOKUP(A46,DOW!A$2:G$55,4,0)</f>
        <v>53.65</v>
      </c>
      <c r="AG46">
        <f>VLOOKUP(A46,DVN!A$2:G$55,4,0)</f>
        <v>74.09</v>
      </c>
      <c r="AH46">
        <f>VLOOKUP(A46,EBAY!A$2:G$55,4,0)</f>
        <v>54.35</v>
      </c>
      <c r="AI46">
        <f>VLOOKUP(A46,EMC!A$2:G$55,4,0)</f>
        <v>29.44</v>
      </c>
      <c r="AJ46">
        <f>VLOOKUP(A46,EMR!A$2:G$55,4,0)</f>
        <v>64.19</v>
      </c>
      <c r="AK46">
        <f>VLOOKUP(A46,EXC!A$2:G$55,4,0)</f>
        <v>32.979999999999997</v>
      </c>
      <c r="AL46">
        <f>VLOOKUP(A46,F!A$2:G$55,4,0)</f>
        <v>17.440000000000001</v>
      </c>
      <c r="AM46">
        <f>VLOOKUP(A46,FB!A$2:G$55,4,0)</f>
        <v>75.599999999999994</v>
      </c>
      <c r="AN46">
        <f>VLOOKUP(A46,FCX!A$2:G$55,4,0)</f>
        <v>35.21</v>
      </c>
      <c r="AO46">
        <f>VLOOKUP(A46,FDX!A$2:G$55,4,0)</f>
        <v>150.37</v>
      </c>
      <c r="AP46">
        <f>VLOOKUP(A46,FOXA!A$2:G$55,4,0)</f>
        <v>35.86</v>
      </c>
      <c r="AQ46">
        <f>VLOOKUP(A46,GD!A$2:G$55,4,0)</f>
        <v>123.47</v>
      </c>
      <c r="AR46">
        <f>VLOOKUP(A46,GE!A$2:G$55,4,0)</f>
        <v>25.82</v>
      </c>
      <c r="AS46">
        <f>VLOOKUP(A46,GILD!A$2:G$55,4,0)</f>
        <v>108.34</v>
      </c>
      <c r="AT46">
        <f>VLOOKUP(A46,GM!A$2:G$55,4,0)</f>
        <v>34.46</v>
      </c>
      <c r="AU46">
        <f>VLOOKUP(A46,GOOG!A$2:G$55,4,0)</f>
        <v>575</v>
      </c>
      <c r="AV46">
        <f>VLOOKUP(A46,GOOGL!A$2:G$55,4,0)</f>
        <v>586.5</v>
      </c>
      <c r="AW46">
        <f>VLOOKUP(A46,GS!A$2:G$55,4,0)</f>
        <v>179.43</v>
      </c>
      <c r="AX46">
        <f>VLOOKUP(A46,HAL!A$2:G$55,4,0)</f>
        <v>66.81</v>
      </c>
      <c r="AY46">
        <f>VLOOKUP(A46,HD!A$2:G$55,4,0)</f>
        <v>88.98</v>
      </c>
      <c r="AZ46">
        <f>VLOOKUP(A46,HON!A$2:G$55,4,0)</f>
        <v>95.26</v>
      </c>
      <c r="BA46">
        <f>VLOOKUP(A46,HPQ!A$2:G$55,4,0)</f>
        <v>38.04</v>
      </c>
      <c r="BB46">
        <f>VLOOKUP(A46,IBM!A$2:G$55,4,0)</f>
        <v>191.86</v>
      </c>
      <c r="BC46">
        <f>VLOOKUP(A46,INTC!A$2:G$55,4,0)</f>
        <v>34.450000000000003</v>
      </c>
      <c r="BD46">
        <f>VLOOKUP(A46,JNJ!A$2:G$55,4,0)</f>
        <v>103.54</v>
      </c>
      <c r="BE46">
        <f>VLOOKUP(A46,JPM!A$2:G$55,4,0)</f>
        <v>59.46</v>
      </c>
      <c r="BF46">
        <f>VLOOKUP(A46,KO!A$2:G$55,4,0)</f>
        <v>41.66</v>
      </c>
      <c r="BG46">
        <f>VLOOKUP(A46,LLY!A$2:G$55,4,0)</f>
        <v>63.75</v>
      </c>
      <c r="BH46">
        <f>VLOOKUP(A46,LMT!A$2:G$55,4,0)</f>
        <v>173.21</v>
      </c>
      <c r="BI46">
        <f>VLOOKUP(A46,LOW!A$2:G$55,4,0)</f>
        <v>52.36</v>
      </c>
      <c r="BJ46">
        <f>VLOOKUP(A46,MA!A$2:G$55,4,0)</f>
        <v>75.73</v>
      </c>
      <c r="BK46">
        <f>VLOOKUP(A46,MCD!A$2:G$55,4,0)</f>
        <v>93.04</v>
      </c>
      <c r="BL46">
        <f>VLOOKUP(A46,MDLZ!A$2:G$55,4,0)</f>
        <v>35.729999999999997</v>
      </c>
      <c r="BM46">
        <f>VLOOKUP(A46,MDT!A$2:G$55,4,0)</f>
        <v>63.95</v>
      </c>
      <c r="BN46">
        <f>VLOOKUP(A46,MET!A$2:G$55,4,0)</f>
        <v>55.11</v>
      </c>
      <c r="BO46">
        <f>VLOOKUP(A46,MMM!A$2:G$55,4,0)</f>
        <v>143.55000000000001</v>
      </c>
      <c r="BP46">
        <f>VLOOKUP(A46,MO!A$2:G$55,4,0)</f>
        <v>43.11</v>
      </c>
      <c r="BQ46">
        <f>VLOOKUP(A46,MON!A$2:G$55,4,0)</f>
        <v>115.18</v>
      </c>
      <c r="BR46">
        <f>VLOOKUP(A46,MRK!A$2:G$55,4,0)</f>
        <v>60.06</v>
      </c>
      <c r="BS46">
        <f>VLOOKUP(A46,MS!A$2:G$55,4,0)</f>
        <v>34.479999999999997</v>
      </c>
      <c r="BT46">
        <f>VLOOKUP(A46,MSFT!A$2:G$55,4,0)</f>
        <v>44.53</v>
      </c>
      <c r="BU46">
        <f>VLOOKUP(A46,NKE!A$2:G$55,4,0)</f>
        <v>78.540000000000006</v>
      </c>
      <c r="BV46">
        <f>VLOOKUP(A46,NOV!A$2:G$55,4,0)</f>
        <v>85.07</v>
      </c>
      <c r="BW46">
        <f>VLOOKUP(A46,NSC!A$2:G$55,4,0)</f>
        <v>107.34</v>
      </c>
      <c r="BX46">
        <f>VLOOKUP(A46,ORCL!A$2:G$55,4,0)</f>
        <v>41.62</v>
      </c>
      <c r="BY46">
        <f>VLOOKUP(A46,OXY!A$2:G$55,4,0)</f>
        <v>102.39</v>
      </c>
      <c r="BZ46">
        <f>VLOOKUP(A46,PEP!A$2:G$55,4,0)</f>
        <v>91.81</v>
      </c>
      <c r="CA46">
        <f>VLOOKUP(A46,PFE!A$2:G$55,4,0)</f>
        <v>29.23</v>
      </c>
      <c r="CB46">
        <f>VLOOKUP(A46,PG!A$2:G$55,4,0)</f>
        <v>82.77</v>
      </c>
      <c r="CC46">
        <f>VLOOKUP(A46,PM!A$2:G$55,4,0)</f>
        <v>85.2</v>
      </c>
      <c r="CD46">
        <f>VLOOKUP(A46,QCOM!A$2:G$55,4,0)</f>
        <v>74.819999999999993</v>
      </c>
      <c r="CE46">
        <f>VLOOKUP(A46,RTN!A$2:G$55,4,0)</f>
        <v>96.21</v>
      </c>
      <c r="CF46">
        <f>VLOOKUP(A46,SBUX!A$2:G$55,4,0)</f>
        <v>76.7</v>
      </c>
      <c r="CG46">
        <f>VLOOKUP(A46,SLB!A$2:G$55,4,0)</f>
        <v>108.11</v>
      </c>
      <c r="CH46">
        <f>VLOOKUP(A46,SO!A$2:G$55,4,0)</f>
        <v>43.94</v>
      </c>
      <c r="CI46">
        <f>VLOOKUP(A46,SPG!A$2:G$55,4,0)</f>
        <v>169.68</v>
      </c>
      <c r="CJ46">
        <f>VLOOKUP(A46,T!A$2:G$55,4,0)</f>
        <v>34.82</v>
      </c>
      <c r="CK46">
        <f>VLOOKUP(A46,TGT!A$2:G$55,4,0)</f>
        <v>59.98</v>
      </c>
      <c r="CL46">
        <f>VLOOKUP(A46,TWX!A$2:G$55,4,0)</f>
        <v>77.319999999999993</v>
      </c>
      <c r="CM46">
        <f>VLOOKUP(A46,TXN!A$2:G$55,4,0)</f>
        <v>47.91</v>
      </c>
      <c r="CN46">
        <f>VLOOKUP(A46,UNH!A$2:G$55,4,0)</f>
        <v>86.42</v>
      </c>
      <c r="CO46">
        <f>VLOOKUP(A46,UNP!A$2:G$55,4,0)</f>
        <v>106.16</v>
      </c>
      <c r="CP46">
        <f>VLOOKUP(A46,UPS!A$2:G$55,4,0)</f>
        <v>97.75</v>
      </c>
      <c r="CQ46">
        <f>VLOOKUP(A46,USB!A$2:G$55,4,0)</f>
        <v>42.01</v>
      </c>
      <c r="CR46">
        <f>VLOOKUP(A46,UTX!A$2:G$55,4,0)</f>
        <v>108.82</v>
      </c>
      <c r="CS46">
        <f>VLOOKUP(A46,V!A$2:G$55,4,0)</f>
        <v>214.31</v>
      </c>
      <c r="CT46">
        <f>VLOOKUP(A46,VZ!A$2:G$55,4,0)</f>
        <v>49.69</v>
      </c>
      <c r="CU46">
        <f>VLOOKUP(A46,WAG!A$2:G$55,4,0)</f>
        <v>59.82</v>
      </c>
      <c r="CV46">
        <f>VLOOKUP(A46,WFC!A$2:G$55,4,0)</f>
        <v>51.4</v>
      </c>
      <c r="CW46">
        <f>VLOOKUP(A46,WMT!A$2:G$55,4,0)</f>
        <v>75.88</v>
      </c>
    </row>
    <row r="47" spans="1:101" x14ac:dyDescent="0.25">
      <c r="A47" s="34">
        <v>41886</v>
      </c>
      <c r="B47" s="36">
        <v>97.79</v>
      </c>
      <c r="C47">
        <f>VLOOKUP(A47,ABBV!A$2:G$55,4,0)</f>
        <v>55.09</v>
      </c>
      <c r="D47">
        <f>VLOOKUP(A47,ABT!A$2:G$55,4,0)</f>
        <v>42.67</v>
      </c>
      <c r="E47">
        <f>VLOOKUP(A47,ACN!A$2:G$55,4,0)</f>
        <v>81.52</v>
      </c>
      <c r="F47">
        <f>VLOOKUP(A47,AIG!A$2:G$55,4,0)</f>
        <v>54.97</v>
      </c>
      <c r="G47">
        <f>VLOOKUP(A47,ALL!A$2:G$55,4,0)</f>
        <v>61.32</v>
      </c>
      <c r="H47">
        <f>VLOOKUP(A47,AMGN!A$2:G$55,4,0)</f>
        <v>137.53</v>
      </c>
      <c r="I47">
        <f>VLOOKUP(A47,AMZN!A$2:G$55,4,0)</f>
        <v>343.58</v>
      </c>
      <c r="J47">
        <f>VLOOKUP(A47,APA!A$2:G$55,4,0)</f>
        <v>98.1</v>
      </c>
      <c r="K47">
        <f>VLOOKUP(A47,APC!A$2:G$55,4,0)</f>
        <v>107.99</v>
      </c>
      <c r="L47">
        <f>VLOOKUP(A47,AXP!A$2:G$55,4,0)</f>
        <v>89.42</v>
      </c>
      <c r="M47">
        <f>VLOOKUP(A47,BA!A$2:G$55,4,0)</f>
        <v>125.26</v>
      </c>
      <c r="N47">
        <f>VLOOKUP(A47,BAC!A$2:G$55,4,0)</f>
        <v>16.04</v>
      </c>
      <c r="O47">
        <f>VLOOKUP(A47,BAX!A$2:G$55,4,0)</f>
        <v>73.62</v>
      </c>
      <c r="P47">
        <f>VLOOKUP(A47,BIIB!A$2:G$55,4,0)</f>
        <v>333.78</v>
      </c>
      <c r="Q47">
        <f>VLOOKUP(A47,BK!A$2:G$55,4,0)</f>
        <v>39.409999999999997</v>
      </c>
      <c r="R47">
        <f>VLOOKUP(A47,BMY!A$2:G$55,4,0)</f>
        <v>50.3</v>
      </c>
      <c r="T47">
        <f>VLOOKUP(A47,'C'!A$2:G$55,4,0)</f>
        <v>52.22</v>
      </c>
      <c r="U47">
        <f>VLOOKUP(A47,CAT!A$2:G$55,4,0)</f>
        <v>108.16</v>
      </c>
      <c r="V47">
        <f>VLOOKUP(A47,CL!A$2:G$55,4,0)</f>
        <v>64.08</v>
      </c>
      <c r="W47">
        <f>VLOOKUP(A47,CMCSA!A$2:G$55,4,0)</f>
        <v>54.83</v>
      </c>
      <c r="X47">
        <f>VLOOKUP(A47,COF!A$2:G$55,4,0)</f>
        <v>82.18</v>
      </c>
      <c r="Y47">
        <f>VLOOKUP(A47,COP!A$2:G$55,4,0)</f>
        <v>79.45</v>
      </c>
      <c r="Z47">
        <f>VLOOKUP(A47,COST!A$2:G$55,4,0)</f>
        <v>122.56</v>
      </c>
      <c r="AA47">
        <f>VLOOKUP(A47,CSCO!A$2:G$55,4,0)</f>
        <v>24.83</v>
      </c>
      <c r="AB47">
        <f>VLOOKUP(A47,CVS!A$2:G$55,4,0)</f>
        <v>80.02</v>
      </c>
      <c r="AC47">
        <f>VLOOKUP(A47,CVX!A$2:G$55,4,0)</f>
        <v>126.2</v>
      </c>
      <c r="AD47">
        <f>VLOOKUP(A47,DD!A$2:G$55,4,0)</f>
        <v>65.75</v>
      </c>
      <c r="AE47">
        <f>VLOOKUP(A47,DIS!A$2:G$55,4,0)</f>
        <v>90.01</v>
      </c>
      <c r="AF47">
        <f>VLOOKUP(A47,DOW!A$2:G$55,4,0)</f>
        <v>53.87</v>
      </c>
      <c r="AG47">
        <f>VLOOKUP(A47,DVN!A$2:G$55,4,0)</f>
        <v>71.94</v>
      </c>
      <c r="AH47">
        <f>VLOOKUP(A47,EBAY!A$2:G$55,4,0)</f>
        <v>53.99</v>
      </c>
      <c r="AI47">
        <f>VLOOKUP(A47,EMC!A$2:G$55,4,0)</f>
        <v>29.04</v>
      </c>
      <c r="AJ47">
        <f>VLOOKUP(A47,EMR!A$2:G$55,4,0)</f>
        <v>64.19</v>
      </c>
      <c r="AK47">
        <f>VLOOKUP(A47,EXC!A$2:G$55,4,0)</f>
        <v>33.049999999999997</v>
      </c>
      <c r="AL47">
        <f>VLOOKUP(A47,F!A$2:G$55,4,0)</f>
        <v>17.190000000000001</v>
      </c>
      <c r="AM47">
        <f>VLOOKUP(A47,FB!A$2:G$55,4,0)</f>
        <v>75.53</v>
      </c>
      <c r="AN47">
        <f>VLOOKUP(A47,FCX!A$2:G$55,4,0)</f>
        <v>35.049999999999997</v>
      </c>
      <c r="AO47">
        <f>VLOOKUP(A47,FDX!A$2:G$55,4,0)</f>
        <v>151.69</v>
      </c>
      <c r="AP47">
        <f>VLOOKUP(A47,FOXA!A$2:G$55,4,0)</f>
        <v>36.1</v>
      </c>
      <c r="AQ47">
        <f>VLOOKUP(A47,GD!A$2:G$55,4,0)</f>
        <v>124.51</v>
      </c>
      <c r="AR47">
        <f>VLOOKUP(A47,GE!A$2:G$55,4,0)</f>
        <v>25.89</v>
      </c>
      <c r="AS47">
        <f>VLOOKUP(A47,GILD!A$2:G$55,4,0)</f>
        <v>106.27</v>
      </c>
      <c r="AT47">
        <f>VLOOKUP(A47,GM!A$2:G$55,4,0)</f>
        <v>34.44</v>
      </c>
      <c r="AU47">
        <f>VLOOKUP(A47,GOOG!A$2:G$55,4,0)</f>
        <v>579.22</v>
      </c>
      <c r="AV47">
        <f>VLOOKUP(A47,GOOGL!A$2:G$55,4,0)</f>
        <v>590.6</v>
      </c>
      <c r="AW47">
        <f>VLOOKUP(A47,GS!A$2:G$55,4,0)</f>
        <v>179.55</v>
      </c>
      <c r="AX47">
        <f>VLOOKUP(A47,HAL!A$2:G$55,4,0)</f>
        <v>66.23</v>
      </c>
      <c r="AY47">
        <f>VLOOKUP(A47,HD!A$2:G$55,4,0)</f>
        <v>89</v>
      </c>
      <c r="AZ47">
        <f>VLOOKUP(A47,HON!A$2:G$55,4,0)</f>
        <v>94.82</v>
      </c>
      <c r="BA47">
        <f>VLOOKUP(A47,HPQ!A$2:G$55,4,0)</f>
        <v>37.479999999999997</v>
      </c>
      <c r="BB47">
        <f>VLOOKUP(A47,IBM!A$2:G$55,4,0)</f>
        <v>190.06</v>
      </c>
      <c r="BC47">
        <f>VLOOKUP(A47,INTC!A$2:G$55,4,0)</f>
        <v>34.520000000000003</v>
      </c>
      <c r="BD47">
        <f>VLOOKUP(A47,JNJ!A$2:G$55,4,0)</f>
        <v>103.76</v>
      </c>
      <c r="BE47">
        <f>VLOOKUP(A47,JPM!A$2:G$55,4,0)</f>
        <v>59.43</v>
      </c>
      <c r="BF47">
        <f>VLOOKUP(A47,KO!A$2:G$55,4,0)</f>
        <v>41.73</v>
      </c>
      <c r="BG47">
        <f>VLOOKUP(A47,LLY!A$2:G$55,4,0)</f>
        <v>64</v>
      </c>
      <c r="BH47">
        <f>VLOOKUP(A47,LMT!A$2:G$55,4,0)</f>
        <v>172.76</v>
      </c>
      <c r="BI47">
        <f>VLOOKUP(A47,LOW!A$2:G$55,4,0)</f>
        <v>52.95</v>
      </c>
      <c r="BJ47">
        <f>VLOOKUP(A47,MA!A$2:G$55,4,0)</f>
        <v>76</v>
      </c>
      <c r="BK47">
        <f>VLOOKUP(A47,MCD!A$2:G$55,4,0)</f>
        <v>92.8</v>
      </c>
      <c r="BL47">
        <f>VLOOKUP(A47,MDLZ!A$2:G$55,4,0)</f>
        <v>35.4</v>
      </c>
      <c r="BM47">
        <f>VLOOKUP(A47,MDT!A$2:G$55,4,0)</f>
        <v>63.64</v>
      </c>
      <c r="BN47">
        <f>VLOOKUP(A47,MET!A$2:G$55,4,0)</f>
        <v>55.29</v>
      </c>
      <c r="BO47">
        <f>VLOOKUP(A47,MMM!A$2:G$55,4,0)</f>
        <v>143.35</v>
      </c>
      <c r="BP47">
        <f>VLOOKUP(A47,MO!A$2:G$55,4,0)</f>
        <v>43.05</v>
      </c>
      <c r="BQ47">
        <f>VLOOKUP(A47,MON!A$2:G$55,4,0)</f>
        <v>113.25</v>
      </c>
      <c r="BR47">
        <f>VLOOKUP(A47,MRK!A$2:G$55,4,0)</f>
        <v>59.92</v>
      </c>
      <c r="BS47">
        <f>VLOOKUP(A47,MS!A$2:G$55,4,0)</f>
        <v>34.520000000000003</v>
      </c>
      <c r="BT47">
        <f>VLOOKUP(A47,MSFT!A$2:G$55,4,0)</f>
        <v>44.72</v>
      </c>
      <c r="BU47">
        <f>VLOOKUP(A47,NKE!A$2:G$55,4,0)</f>
        <v>79.180000000000007</v>
      </c>
      <c r="BV47">
        <f>VLOOKUP(A47,NOV!A$2:G$55,4,0)</f>
        <v>83.19</v>
      </c>
      <c r="BW47">
        <f>VLOOKUP(A47,NSC!A$2:G$55,4,0)</f>
        <v>106.6</v>
      </c>
      <c r="BX47">
        <f>VLOOKUP(A47,ORCL!A$2:G$55,4,0)</f>
        <v>41.37</v>
      </c>
      <c r="BY47">
        <f>VLOOKUP(A47,OXY!A$2:G$55,4,0)</f>
        <v>101.91</v>
      </c>
      <c r="BZ47">
        <f>VLOOKUP(A47,PEP!A$2:G$55,4,0)</f>
        <v>91.77</v>
      </c>
      <c r="CA47">
        <f>VLOOKUP(A47,PFE!A$2:G$55,4,0)</f>
        <v>29.3</v>
      </c>
      <c r="CB47">
        <f>VLOOKUP(A47,PG!A$2:G$55,4,0)</f>
        <v>82.78</v>
      </c>
      <c r="CC47">
        <f>VLOOKUP(A47,PM!A$2:G$55,4,0)</f>
        <v>84.79</v>
      </c>
      <c r="CD47">
        <f>VLOOKUP(A47,QCOM!A$2:G$55,4,0)</f>
        <v>74.62</v>
      </c>
      <c r="CE47">
        <f>VLOOKUP(A47,RTN!A$2:G$55,4,0)</f>
        <v>96.64</v>
      </c>
      <c r="CF47">
        <f>VLOOKUP(A47,SBUX!A$2:G$55,4,0)</f>
        <v>76.760000000000005</v>
      </c>
      <c r="CG47">
        <f>VLOOKUP(A47,SLB!A$2:G$55,4,0)</f>
        <v>105.09</v>
      </c>
      <c r="CH47">
        <f>VLOOKUP(A47,SO!A$2:G$55,4,0)</f>
        <v>43.78</v>
      </c>
      <c r="CI47">
        <f>VLOOKUP(A47,SPG!A$2:G$55,4,0)</f>
        <v>169.86</v>
      </c>
      <c r="CJ47">
        <f>VLOOKUP(A47,T!A$2:G$55,4,0)</f>
        <v>34.82</v>
      </c>
      <c r="CK47">
        <f>VLOOKUP(A47,TGT!A$2:G$55,4,0)</f>
        <v>60.2</v>
      </c>
      <c r="CL47">
        <f>VLOOKUP(A47,TWX!A$2:G$55,4,0)</f>
        <v>76.989999999999995</v>
      </c>
      <c r="CM47">
        <f>VLOOKUP(A47,TXN!A$2:G$55,4,0)</f>
        <v>48.16</v>
      </c>
      <c r="CN47">
        <f>VLOOKUP(A47,UNH!A$2:G$55,4,0)</f>
        <v>86.71</v>
      </c>
      <c r="CO47">
        <f>VLOOKUP(A47,UNP!A$2:G$55,4,0)</f>
        <v>106.65</v>
      </c>
      <c r="CP47">
        <f>VLOOKUP(A47,UPS!A$2:G$55,4,0)</f>
        <v>97.93</v>
      </c>
      <c r="CQ47">
        <f>VLOOKUP(A47,USB!A$2:G$55,4,0)</f>
        <v>42.05</v>
      </c>
      <c r="CR47">
        <f>VLOOKUP(A47,UTX!A$2:G$55,4,0)</f>
        <v>109.06</v>
      </c>
      <c r="CS47">
        <f>VLOOKUP(A47,V!A$2:G$55,4,0)</f>
        <v>214</v>
      </c>
      <c r="CT47">
        <f>VLOOKUP(A47,VZ!A$2:G$55,4,0)</f>
        <v>49.51</v>
      </c>
      <c r="CU47">
        <f>VLOOKUP(A47,WAG!A$2:G$55,4,0)</f>
        <v>60.08</v>
      </c>
      <c r="CV47">
        <f>VLOOKUP(A47,WFC!A$2:G$55,4,0)</f>
        <v>51.4</v>
      </c>
      <c r="CW47">
        <f>VLOOKUP(A47,WMT!A$2:G$55,4,0)</f>
        <v>76.11</v>
      </c>
    </row>
    <row r="48" spans="1:101" x14ac:dyDescent="0.25">
      <c r="A48" s="34">
        <v>41887</v>
      </c>
      <c r="B48" s="36">
        <v>98.31</v>
      </c>
      <c r="C48">
        <f>VLOOKUP(A48,ABBV!A$2:G$55,4,0)</f>
        <v>54.87</v>
      </c>
      <c r="D48">
        <f>VLOOKUP(A48,ABT!A$2:G$55,4,0)</f>
        <v>42.45</v>
      </c>
      <c r="E48">
        <f>VLOOKUP(A48,ACN!A$2:G$55,4,0)</f>
        <v>81.47</v>
      </c>
      <c r="F48">
        <f>VLOOKUP(A48,AIG!A$2:G$55,4,0)</f>
        <v>54.64</v>
      </c>
      <c r="G48">
        <f>VLOOKUP(A48,ALL!A$2:G$55,4,0)</f>
        <v>61.1</v>
      </c>
      <c r="H48">
        <f>VLOOKUP(A48,AMGN!A$2:G$55,4,0)</f>
        <v>135.63</v>
      </c>
      <c r="I48">
        <f>VLOOKUP(A48,AMZN!A$2:G$55,4,0)</f>
        <v>342.5</v>
      </c>
      <c r="J48">
        <f>VLOOKUP(A48,APA!A$2:G$55,4,0)</f>
        <v>98.26</v>
      </c>
      <c r="K48">
        <f>VLOOKUP(A48,APC!A$2:G$55,4,0)</f>
        <v>106.93</v>
      </c>
      <c r="L48">
        <f>VLOOKUP(A48,AXP!A$2:G$55,4,0)</f>
        <v>89.02</v>
      </c>
      <c r="M48">
        <f>VLOOKUP(A48,BA!A$2:G$55,4,0)</f>
        <v>124.1</v>
      </c>
      <c r="N48">
        <f>VLOOKUP(A48,BAC!A$2:G$55,4,0)</f>
        <v>15.9</v>
      </c>
      <c r="O48">
        <f>VLOOKUP(A48,BAX!A$2:G$55,4,0)</f>
        <v>73.510000000000005</v>
      </c>
      <c r="P48">
        <f>VLOOKUP(A48,BIIB!A$2:G$55,4,0)</f>
        <v>321</v>
      </c>
      <c r="Q48">
        <f>VLOOKUP(A48,BK!A$2:G$55,4,0)</f>
        <v>39.22</v>
      </c>
      <c r="R48">
        <f>VLOOKUP(A48,BMY!A$2:G$55,4,0)</f>
        <v>50.34</v>
      </c>
      <c r="T48">
        <f>VLOOKUP(A48,'C'!A$2:G$55,4,0)</f>
        <v>51.72</v>
      </c>
      <c r="U48">
        <f>VLOOKUP(A48,CAT!A$2:G$55,4,0)</f>
        <v>108.19</v>
      </c>
      <c r="V48">
        <f>VLOOKUP(A48,CL!A$2:G$55,4,0)</f>
        <v>64.12</v>
      </c>
      <c r="W48">
        <f>VLOOKUP(A48,CMCSA!A$2:G$55,4,0)</f>
        <v>54.87</v>
      </c>
      <c r="X48">
        <f>VLOOKUP(A48,COF!A$2:G$55,4,0)</f>
        <v>82.14</v>
      </c>
      <c r="Y48">
        <f>VLOOKUP(A48,COP!A$2:G$55,4,0)</f>
        <v>79.47</v>
      </c>
      <c r="Z48">
        <f>VLOOKUP(A48,COST!A$2:G$55,4,0)</f>
        <v>124.71</v>
      </c>
      <c r="AA48">
        <f>VLOOKUP(A48,CSCO!A$2:G$55,4,0)</f>
        <v>24.86</v>
      </c>
      <c r="AB48">
        <f>VLOOKUP(A48,CVS!A$2:G$55,4,0)</f>
        <v>80.11</v>
      </c>
      <c r="AC48">
        <f>VLOOKUP(A48,CVX!A$2:G$55,4,0)</f>
        <v>126.16</v>
      </c>
      <c r="AD48">
        <f>VLOOKUP(A48,DD!A$2:G$55,4,0)</f>
        <v>65.66</v>
      </c>
      <c r="AE48">
        <f>VLOOKUP(A48,DIS!A$2:G$55,4,0)</f>
        <v>90.1</v>
      </c>
      <c r="AF48">
        <f>VLOOKUP(A48,DOW!A$2:G$55,4,0)</f>
        <v>54.2</v>
      </c>
      <c r="AG48">
        <f>VLOOKUP(A48,DVN!A$2:G$55,4,0)</f>
        <v>71.87</v>
      </c>
      <c r="AH48">
        <f>VLOOKUP(A48,EBAY!A$2:G$55,4,0)</f>
        <v>53.3</v>
      </c>
      <c r="AI48">
        <f>VLOOKUP(A48,EMC!A$2:G$55,4,0)</f>
        <v>28.79</v>
      </c>
      <c r="AJ48">
        <f>VLOOKUP(A48,EMR!A$2:G$55,4,0)</f>
        <v>64.239999999999995</v>
      </c>
      <c r="AK48">
        <f>VLOOKUP(A48,EXC!A$2:G$55,4,0)</f>
        <v>33.380000000000003</v>
      </c>
      <c r="AL48">
        <f>VLOOKUP(A48,F!A$2:G$55,4,0)</f>
        <v>16.940000000000001</v>
      </c>
      <c r="AM48">
        <f>VLOOKUP(A48,FB!A$2:G$55,4,0)</f>
        <v>75.599999999999994</v>
      </c>
      <c r="AN48">
        <f>VLOOKUP(A48,FCX!A$2:G$55,4,0)</f>
        <v>34.729999999999997</v>
      </c>
      <c r="AO48">
        <f>VLOOKUP(A48,FDX!A$2:G$55,4,0)</f>
        <v>150.1</v>
      </c>
      <c r="AP48">
        <f>VLOOKUP(A48,FOXA!A$2:G$55,4,0)</f>
        <v>35.83</v>
      </c>
      <c r="AQ48">
        <f>VLOOKUP(A48,GD!A$2:G$55,4,0)</f>
        <v>123.56</v>
      </c>
      <c r="AR48">
        <f>VLOOKUP(A48,GE!A$2:G$55,4,0)</f>
        <v>25.8</v>
      </c>
      <c r="AS48">
        <f>VLOOKUP(A48,GILD!A$2:G$55,4,0)</f>
        <v>97.54</v>
      </c>
      <c r="AT48">
        <f>VLOOKUP(A48,GM!A$2:G$55,4,0)</f>
        <v>34.229999999999997</v>
      </c>
      <c r="AU48">
        <f>VLOOKUP(A48,GOOG!A$2:G$55,4,0)</f>
        <v>581.95000000000005</v>
      </c>
      <c r="AV48">
        <f>VLOOKUP(A48,GOOGL!A$2:G$55,4,0)</f>
        <v>593.54999999999995</v>
      </c>
      <c r="AW48">
        <f>VLOOKUP(A48,GS!A$2:G$55,4,0)</f>
        <v>177.88</v>
      </c>
      <c r="AX48">
        <f>VLOOKUP(A48,HAL!A$2:G$55,4,0)</f>
        <v>65.88</v>
      </c>
      <c r="AY48">
        <f>VLOOKUP(A48,HD!A$2:G$55,4,0)</f>
        <v>89.28</v>
      </c>
      <c r="AZ48">
        <f>VLOOKUP(A48,HON!A$2:G$55,4,0)</f>
        <v>94.5</v>
      </c>
      <c r="BA48">
        <f>VLOOKUP(A48,HPQ!A$2:G$55,4,0)</f>
        <v>37.17</v>
      </c>
      <c r="BB48">
        <f>VLOOKUP(A48,IBM!A$2:G$55,4,0)</f>
        <v>190.09</v>
      </c>
      <c r="BC48">
        <f>VLOOKUP(A48,INTC!A$2:G$55,4,0)</f>
        <v>34.83</v>
      </c>
      <c r="BD48">
        <f>VLOOKUP(A48,JNJ!A$2:G$55,4,0)</f>
        <v>103.34</v>
      </c>
      <c r="BE48">
        <f>VLOOKUP(A48,JPM!A$2:G$55,4,0)</f>
        <v>59.22</v>
      </c>
      <c r="BF48">
        <f>VLOOKUP(A48,KO!A$2:G$55,4,0)</f>
        <v>41.61</v>
      </c>
      <c r="BG48">
        <f>VLOOKUP(A48,LLY!A$2:G$55,4,0)</f>
        <v>63.97</v>
      </c>
      <c r="BH48">
        <f>VLOOKUP(A48,LMT!A$2:G$55,4,0)</f>
        <v>172.37</v>
      </c>
      <c r="BI48">
        <f>VLOOKUP(A48,LOW!A$2:G$55,4,0)</f>
        <v>53.1</v>
      </c>
      <c r="BJ48">
        <f>VLOOKUP(A48,MA!A$2:G$55,4,0)</f>
        <v>75.86</v>
      </c>
      <c r="BK48">
        <f>VLOOKUP(A48,MCD!A$2:G$55,4,0)</f>
        <v>92.8</v>
      </c>
      <c r="BL48">
        <f>VLOOKUP(A48,MDLZ!A$2:G$55,4,0)</f>
        <v>35.22</v>
      </c>
      <c r="BM48">
        <f>VLOOKUP(A48,MDT!A$2:G$55,4,0)</f>
        <v>63.68</v>
      </c>
      <c r="BN48">
        <f>VLOOKUP(A48,MET!A$2:G$55,4,0)</f>
        <v>54.75</v>
      </c>
      <c r="BO48">
        <f>VLOOKUP(A48,MMM!A$2:G$55,4,0)</f>
        <v>143.15</v>
      </c>
      <c r="BP48">
        <f>VLOOKUP(A48,MO!A$2:G$55,4,0)</f>
        <v>43.08</v>
      </c>
      <c r="BQ48">
        <f>VLOOKUP(A48,MON!A$2:G$55,4,0)</f>
        <v>113.04</v>
      </c>
      <c r="BR48">
        <f>VLOOKUP(A48,MRK!A$2:G$55,4,0)</f>
        <v>60.15</v>
      </c>
      <c r="BS48">
        <f>VLOOKUP(A48,MS!A$2:G$55,4,0)</f>
        <v>33.94</v>
      </c>
      <c r="BT48">
        <f>VLOOKUP(A48,MSFT!A$2:G$55,4,0)</f>
        <v>45.11</v>
      </c>
      <c r="BU48">
        <f>VLOOKUP(A48,NKE!A$2:G$55,4,0)</f>
        <v>79.349999999999994</v>
      </c>
      <c r="BV48">
        <f>VLOOKUP(A48,NOV!A$2:G$55,4,0)</f>
        <v>82.25</v>
      </c>
      <c r="BW48">
        <f>VLOOKUP(A48,NSC!A$2:G$55,4,0)</f>
        <v>108.3</v>
      </c>
      <c r="BX48">
        <f>VLOOKUP(A48,ORCL!A$2:G$55,4,0)</f>
        <v>41.26</v>
      </c>
      <c r="BY48">
        <f>VLOOKUP(A48,OXY!A$2:G$55,4,0)</f>
        <v>100.77</v>
      </c>
      <c r="BZ48">
        <f>VLOOKUP(A48,PEP!A$2:G$55,4,0)</f>
        <v>91.39</v>
      </c>
      <c r="CA48">
        <f>VLOOKUP(A48,PFE!A$2:G$55,4,0)</f>
        <v>29.21</v>
      </c>
      <c r="CB48">
        <f>VLOOKUP(A48,PG!A$2:G$55,4,0)</f>
        <v>83.07</v>
      </c>
      <c r="CC48">
        <f>VLOOKUP(A48,PM!A$2:G$55,4,0)</f>
        <v>84.81</v>
      </c>
      <c r="CD48">
        <f>VLOOKUP(A48,QCOM!A$2:G$55,4,0)</f>
        <v>74.89</v>
      </c>
      <c r="CE48">
        <f>VLOOKUP(A48,RTN!A$2:G$55,4,0)</f>
        <v>96.99</v>
      </c>
      <c r="CF48">
        <f>VLOOKUP(A48,SBUX!A$2:G$55,4,0)</f>
        <v>76.81</v>
      </c>
      <c r="CG48">
        <f>VLOOKUP(A48,SLB!A$2:G$55,4,0)</f>
        <v>104.89</v>
      </c>
      <c r="CH48">
        <f>VLOOKUP(A48,SO!A$2:G$55,4,0)</f>
        <v>44.26</v>
      </c>
      <c r="CI48">
        <f>VLOOKUP(A48,SPG!A$2:G$55,4,0)</f>
        <v>170.59</v>
      </c>
      <c r="CJ48">
        <f>VLOOKUP(A48,T!A$2:G$55,4,0)</f>
        <v>34.880000000000003</v>
      </c>
      <c r="CK48">
        <f>VLOOKUP(A48,TGT!A$2:G$55,4,0)</f>
        <v>60.5</v>
      </c>
      <c r="CL48">
        <f>VLOOKUP(A48,TWX!A$2:G$55,4,0)</f>
        <v>76.239999999999995</v>
      </c>
      <c r="CM48">
        <f>VLOOKUP(A48,TXN!A$2:G$55,4,0)</f>
        <v>48.21</v>
      </c>
      <c r="CN48">
        <f>VLOOKUP(A48,UNH!A$2:G$55,4,0)</f>
        <v>86.74</v>
      </c>
      <c r="CO48">
        <f>VLOOKUP(A48,UNP!A$2:G$55,4,0)</f>
        <v>106.81</v>
      </c>
      <c r="CP48">
        <f>VLOOKUP(A48,UPS!A$2:G$55,4,0)</f>
        <v>98.06</v>
      </c>
      <c r="CQ48">
        <f>VLOOKUP(A48,USB!A$2:G$55,4,0)</f>
        <v>41.89</v>
      </c>
      <c r="CR48">
        <f>VLOOKUP(A48,UTX!A$2:G$55,4,0)</f>
        <v>108.38</v>
      </c>
      <c r="CS48">
        <f>VLOOKUP(A48,V!A$2:G$55,4,0)</f>
        <v>213.1</v>
      </c>
      <c r="CT48">
        <f>VLOOKUP(A48,VZ!A$2:G$55,4,0)</f>
        <v>49.56</v>
      </c>
      <c r="CU48">
        <f>VLOOKUP(A48,WAG!A$2:G$55,4,0)</f>
        <v>61.9</v>
      </c>
      <c r="CV48">
        <f>VLOOKUP(A48,WFC!A$2:G$55,4,0)</f>
        <v>51.16</v>
      </c>
      <c r="CW48">
        <f>VLOOKUP(A48,WMT!A$2:G$55,4,0)</f>
        <v>76.48</v>
      </c>
    </row>
    <row r="49" spans="1:101" x14ac:dyDescent="0.25">
      <c r="A49" s="34">
        <v>41890</v>
      </c>
      <c r="B49" s="36">
        <v>98.05</v>
      </c>
      <c r="C49">
        <f>VLOOKUP(A49,ABBV!A$2:G$55,4,0)</f>
        <v>55.37</v>
      </c>
      <c r="D49">
        <f>VLOOKUP(A49,ABT!A$2:G$55,4,0)</f>
        <v>42.6</v>
      </c>
      <c r="E49">
        <f>VLOOKUP(A49,ACN!A$2:G$55,4,0)</f>
        <v>81.540000000000006</v>
      </c>
      <c r="F49">
        <f>VLOOKUP(A49,AIG!A$2:G$55,4,0)</f>
        <v>54.94</v>
      </c>
      <c r="G49">
        <f>VLOOKUP(A49,ALL!A$2:G$55,4,0)</f>
        <v>61.2</v>
      </c>
      <c r="H49">
        <f>VLOOKUP(A49,AMGN!A$2:G$55,4,0)</f>
        <v>137.66</v>
      </c>
      <c r="I49">
        <f>VLOOKUP(A49,AMZN!A$2:G$55,4,0)</f>
        <v>339.04</v>
      </c>
      <c r="J49">
        <f>VLOOKUP(A49,APA!A$2:G$55,4,0)</f>
        <v>97.35</v>
      </c>
      <c r="K49">
        <f>VLOOKUP(A49,APC!A$2:G$55,4,0)</f>
        <v>105.96</v>
      </c>
      <c r="L49">
        <f>VLOOKUP(A49,AXP!A$2:G$55,4,0)</f>
        <v>88.62</v>
      </c>
      <c r="M49">
        <f>VLOOKUP(A49,BA!A$2:G$55,4,0)</f>
        <v>125.9</v>
      </c>
      <c r="N49">
        <f>VLOOKUP(A49,BAC!A$2:G$55,4,0)</f>
        <v>16.149999999999999</v>
      </c>
      <c r="O49">
        <f>VLOOKUP(A49,BAX!A$2:G$55,4,0)</f>
        <v>74</v>
      </c>
      <c r="P49">
        <f>VLOOKUP(A49,BIIB!A$2:G$55,4,0)</f>
        <v>326.74</v>
      </c>
      <c r="Q49">
        <f>VLOOKUP(A49,BK!A$2:G$55,4,0)</f>
        <v>39.299999999999997</v>
      </c>
      <c r="R49">
        <f>VLOOKUP(A49,BMY!A$2:G$55,4,0)</f>
        <v>50.93</v>
      </c>
      <c r="T49">
        <f>VLOOKUP(A49,'C'!A$2:G$55,4,0)</f>
        <v>51.91</v>
      </c>
      <c r="U49">
        <f>VLOOKUP(A49,CAT!A$2:G$55,4,0)</f>
        <v>107.52</v>
      </c>
      <c r="V49">
        <f>VLOOKUP(A49,CL!A$2:G$55,4,0)</f>
        <v>63.63</v>
      </c>
      <c r="W49">
        <f>VLOOKUP(A49,CMCSA!A$2:G$55,4,0)</f>
        <v>55.42</v>
      </c>
      <c r="X49">
        <f>VLOOKUP(A49,COF!A$2:G$55,4,0)</f>
        <v>81.849999999999994</v>
      </c>
      <c r="Y49">
        <f>VLOOKUP(A49,COP!A$2:G$55,4,0)</f>
        <v>78.66</v>
      </c>
      <c r="Z49">
        <f>VLOOKUP(A49,COST!A$2:G$55,4,0)</f>
        <v>126.26</v>
      </c>
      <c r="AA49">
        <f>VLOOKUP(A49,CSCO!A$2:G$55,4,0)</f>
        <v>24.81</v>
      </c>
      <c r="AB49">
        <f>VLOOKUP(A49,CVS!A$2:G$55,4,0)</f>
        <v>81.150000000000006</v>
      </c>
      <c r="AC49">
        <f>VLOOKUP(A49,CVX!A$2:G$55,4,0)</f>
        <v>125.69</v>
      </c>
      <c r="AD49">
        <f>VLOOKUP(A49,DD!A$2:G$55,4,0)</f>
        <v>65.349999999999994</v>
      </c>
      <c r="AE49">
        <f>VLOOKUP(A49,DIS!A$2:G$55,4,0)</f>
        <v>90.16</v>
      </c>
      <c r="AF49">
        <f>VLOOKUP(A49,DOW!A$2:G$55,4,0)</f>
        <v>54.26</v>
      </c>
      <c r="AG49">
        <f>VLOOKUP(A49,DVN!A$2:G$55,4,0)</f>
        <v>70.48</v>
      </c>
      <c r="AH49">
        <f>VLOOKUP(A49,EBAY!A$2:G$55,4,0)</f>
        <v>53.47</v>
      </c>
      <c r="AI49">
        <f>VLOOKUP(A49,EMC!A$2:G$55,4,0)</f>
        <v>28.96</v>
      </c>
      <c r="AJ49">
        <f>VLOOKUP(A49,EMR!A$2:G$55,4,0)</f>
        <v>64.86</v>
      </c>
      <c r="AK49">
        <f>VLOOKUP(A49,EXC!A$2:G$55,4,0)</f>
        <v>33.32</v>
      </c>
      <c r="AL49">
        <f>VLOOKUP(A49,F!A$2:G$55,4,0)</f>
        <v>16.71</v>
      </c>
      <c r="AM49">
        <f>VLOOKUP(A49,FB!A$2:G$55,4,0)</f>
        <v>77.010000000000005</v>
      </c>
      <c r="AN49">
        <f>VLOOKUP(A49,FCX!A$2:G$55,4,0)</f>
        <v>34.74</v>
      </c>
      <c r="AO49">
        <f>VLOOKUP(A49,FDX!A$2:G$55,4,0)</f>
        <v>151.88999999999999</v>
      </c>
      <c r="AP49">
        <f>VLOOKUP(A49,FOXA!A$2:G$55,4,0)</f>
        <v>35.83</v>
      </c>
      <c r="AQ49">
        <f>VLOOKUP(A49,GD!A$2:G$55,4,0)</f>
        <v>125.04</v>
      </c>
      <c r="AR49">
        <f>VLOOKUP(A49,GE!A$2:G$55,4,0)</f>
        <v>26.06</v>
      </c>
      <c r="AS49">
        <f>VLOOKUP(A49,GILD!A$2:G$55,4,0)</f>
        <v>104.74</v>
      </c>
      <c r="AT49">
        <f>VLOOKUP(A49,GM!A$2:G$55,4,0)</f>
        <v>33.15</v>
      </c>
      <c r="AU49">
        <f>VLOOKUP(A49,GOOG!A$2:G$55,4,0)</f>
        <v>586.29999999999995</v>
      </c>
      <c r="AV49">
        <f>VLOOKUP(A49,GOOGL!A$2:G$55,4,0)</f>
        <v>598.02</v>
      </c>
      <c r="AW49">
        <f>VLOOKUP(A49,GS!A$2:G$55,4,0)</f>
        <v>179.22</v>
      </c>
      <c r="AX49">
        <f>VLOOKUP(A49,HAL!A$2:G$55,4,0)</f>
        <v>65.94</v>
      </c>
      <c r="AY49">
        <f>VLOOKUP(A49,HD!A$2:G$55,4,0)</f>
        <v>90.57</v>
      </c>
      <c r="AZ49">
        <f>VLOOKUP(A49,HON!A$2:G$55,4,0)</f>
        <v>94.98</v>
      </c>
      <c r="BA49">
        <f>VLOOKUP(A49,HPQ!A$2:G$55,4,0)</f>
        <v>37.11</v>
      </c>
      <c r="BB49">
        <f>VLOOKUP(A49,IBM!A$2:G$55,4,0)</f>
        <v>189.51</v>
      </c>
      <c r="BC49">
        <f>VLOOKUP(A49,INTC!A$2:G$55,4,0)</f>
        <v>34.880000000000003</v>
      </c>
      <c r="BD49">
        <f>VLOOKUP(A49,JNJ!A$2:G$55,4,0)</f>
        <v>103.83</v>
      </c>
      <c r="BE49">
        <f>VLOOKUP(A49,JPM!A$2:G$55,4,0)</f>
        <v>59.74</v>
      </c>
      <c r="BF49">
        <f>VLOOKUP(A49,KO!A$2:G$55,4,0)</f>
        <v>41.63</v>
      </c>
      <c r="BG49">
        <f>VLOOKUP(A49,LLY!A$2:G$55,4,0)</f>
        <v>64.59</v>
      </c>
      <c r="BH49">
        <f>VLOOKUP(A49,LMT!A$2:G$55,4,0)</f>
        <v>174.36</v>
      </c>
      <c r="BI49">
        <f>VLOOKUP(A49,LOW!A$2:G$55,4,0)</f>
        <v>53.46</v>
      </c>
      <c r="BJ49">
        <f>VLOOKUP(A49,MA!A$2:G$55,4,0)</f>
        <v>75.900000000000006</v>
      </c>
      <c r="BK49">
        <f>VLOOKUP(A49,MCD!A$2:G$55,4,0)</f>
        <v>92.2</v>
      </c>
      <c r="BL49">
        <f>VLOOKUP(A49,MDLZ!A$2:G$55,4,0)</f>
        <v>35.270000000000003</v>
      </c>
      <c r="BM49">
        <f>VLOOKUP(A49,MDT!A$2:G$55,4,0)</f>
        <v>64.319999999999993</v>
      </c>
      <c r="BN49">
        <f>VLOOKUP(A49,MET!A$2:G$55,4,0)</f>
        <v>54.62</v>
      </c>
      <c r="BO49">
        <f>VLOOKUP(A49,MMM!A$2:G$55,4,0)</f>
        <v>144.11000000000001</v>
      </c>
      <c r="BP49">
        <f>VLOOKUP(A49,MO!A$2:G$55,4,0)</f>
        <v>43.36</v>
      </c>
      <c r="BQ49">
        <f>VLOOKUP(A49,MON!A$2:G$55,4,0)</f>
        <v>114.01</v>
      </c>
      <c r="BR49">
        <f>VLOOKUP(A49,MRK!A$2:G$55,4,0)</f>
        <v>60.83</v>
      </c>
      <c r="BS49">
        <f>VLOOKUP(A49,MS!A$2:G$55,4,0)</f>
        <v>34.590000000000003</v>
      </c>
      <c r="BT49">
        <f>VLOOKUP(A49,MSFT!A$2:G$55,4,0)</f>
        <v>45.99</v>
      </c>
      <c r="BU49">
        <f>VLOOKUP(A49,NKE!A$2:G$55,4,0)</f>
        <v>81.09</v>
      </c>
      <c r="BV49">
        <f>VLOOKUP(A49,NOV!A$2:G$55,4,0)</f>
        <v>81.8</v>
      </c>
      <c r="BW49">
        <f>VLOOKUP(A49,NSC!A$2:G$55,4,0)</f>
        <v>108.17</v>
      </c>
      <c r="BX49">
        <f>VLOOKUP(A49,ORCL!A$2:G$55,4,0)</f>
        <v>40.270000000000003</v>
      </c>
      <c r="BY49">
        <f>VLOOKUP(A49,OXY!A$2:G$55,4,0)</f>
        <v>98.11</v>
      </c>
      <c r="BZ49">
        <f>VLOOKUP(A49,PEP!A$2:G$55,4,0)</f>
        <v>91.39</v>
      </c>
      <c r="CA49">
        <f>VLOOKUP(A49,PFE!A$2:G$55,4,0)</f>
        <v>29.3</v>
      </c>
      <c r="CB49">
        <f>VLOOKUP(A49,PG!A$2:G$55,4,0)</f>
        <v>83.13</v>
      </c>
      <c r="CC49">
        <f>VLOOKUP(A49,PM!A$2:G$55,4,0)</f>
        <v>83.92</v>
      </c>
      <c r="CD49">
        <f>VLOOKUP(A49,QCOM!A$2:G$55,4,0)</f>
        <v>75.489999999999995</v>
      </c>
      <c r="CE49">
        <f>VLOOKUP(A49,RTN!A$2:G$55,4,0)</f>
        <v>97.8</v>
      </c>
      <c r="CF49">
        <f>VLOOKUP(A49,SBUX!A$2:G$55,4,0)</f>
        <v>77.33</v>
      </c>
      <c r="CG49">
        <f>VLOOKUP(A49,SLB!A$2:G$55,4,0)</f>
        <v>103.77</v>
      </c>
      <c r="CH49">
        <f>VLOOKUP(A49,SO!A$2:G$55,4,0)</f>
        <v>44.35</v>
      </c>
      <c r="CI49">
        <f>VLOOKUP(A49,SPG!A$2:G$55,4,0)</f>
        <v>172.12</v>
      </c>
      <c r="CJ49">
        <f>VLOOKUP(A49,T!A$2:G$55,4,0)</f>
        <v>34.9</v>
      </c>
      <c r="CK49">
        <f>VLOOKUP(A49,TGT!A$2:G$55,4,0)</f>
        <v>60.27</v>
      </c>
      <c r="CL49">
        <f>VLOOKUP(A49,TWX!A$2:G$55,4,0)</f>
        <v>76.39</v>
      </c>
      <c r="CM49">
        <f>VLOOKUP(A49,TXN!A$2:G$55,4,0)</f>
        <v>48.32</v>
      </c>
      <c r="CN49">
        <f>VLOOKUP(A49,UNH!A$2:G$55,4,0)</f>
        <v>87.42</v>
      </c>
      <c r="CO49">
        <f>VLOOKUP(A49,UNP!A$2:G$55,4,0)</f>
        <v>107.33</v>
      </c>
      <c r="CP49">
        <f>VLOOKUP(A49,UPS!A$2:G$55,4,0)</f>
        <v>98.14</v>
      </c>
      <c r="CQ49">
        <f>VLOOKUP(A49,USB!A$2:G$55,4,0)</f>
        <v>41.87</v>
      </c>
      <c r="CR49">
        <f>VLOOKUP(A49,UTX!A$2:G$55,4,0)</f>
        <v>108.48</v>
      </c>
      <c r="CS49">
        <f>VLOOKUP(A49,V!A$2:G$55,4,0)</f>
        <v>213.5</v>
      </c>
      <c r="CT49">
        <f>VLOOKUP(A49,VZ!A$2:G$55,4,0)</f>
        <v>49.35</v>
      </c>
      <c r="CU49">
        <f>VLOOKUP(A49,WAG!A$2:G$55,4,0)</f>
        <v>62.83</v>
      </c>
      <c r="CV49">
        <f>VLOOKUP(A49,WFC!A$2:G$55,4,0)</f>
        <v>51.34</v>
      </c>
      <c r="CW49">
        <f>VLOOKUP(A49,WMT!A$2:G$55,4,0)</f>
        <v>76.430000000000007</v>
      </c>
    </row>
    <row r="50" spans="1:101" x14ac:dyDescent="0.25">
      <c r="A50" s="34">
        <v>41891</v>
      </c>
      <c r="B50" s="36">
        <v>96.14</v>
      </c>
      <c r="C50">
        <f>VLOOKUP(A50,ABBV!A$2:G$55,4,0)</f>
        <v>55.43</v>
      </c>
      <c r="D50">
        <f>VLOOKUP(A50,ABT!A$2:G$55,4,0)</f>
        <v>42.64</v>
      </c>
      <c r="E50">
        <f>VLOOKUP(A50,ACN!A$2:G$55,4,0)</f>
        <v>80.7</v>
      </c>
      <c r="F50">
        <f>VLOOKUP(A50,AIG!A$2:G$55,4,0)</f>
        <v>54.51</v>
      </c>
      <c r="G50">
        <f>VLOOKUP(A50,ALL!A$2:G$55,4,0)</f>
        <v>60.73</v>
      </c>
      <c r="H50">
        <f>VLOOKUP(A50,AMGN!A$2:G$55,4,0)</f>
        <v>137.07</v>
      </c>
      <c r="I50">
        <f>VLOOKUP(A50,AMZN!A$2:G$55,4,0)</f>
        <v>329.18</v>
      </c>
      <c r="J50">
        <f>VLOOKUP(A50,APA!A$2:G$55,4,0)</f>
        <v>96.64</v>
      </c>
      <c r="K50">
        <f>VLOOKUP(A50,APC!A$2:G$55,4,0)</f>
        <v>105.5</v>
      </c>
      <c r="L50">
        <f>VLOOKUP(A50,AXP!A$2:G$55,4,0)</f>
        <v>87.75</v>
      </c>
      <c r="M50">
        <f>VLOOKUP(A50,BA!A$2:G$55,4,0)</f>
        <v>127.62</v>
      </c>
      <c r="N50">
        <f>VLOOKUP(A50,BAC!A$2:G$55,4,0)</f>
        <v>16.100000000000001</v>
      </c>
      <c r="O50">
        <f>VLOOKUP(A50,BAX!A$2:G$55,4,0)</f>
        <v>73.78</v>
      </c>
      <c r="P50">
        <f>VLOOKUP(A50,BIIB!A$2:G$55,4,0)</f>
        <v>326.02999999999997</v>
      </c>
      <c r="Q50">
        <f>VLOOKUP(A50,BK!A$2:G$55,4,0)</f>
        <v>38.75</v>
      </c>
      <c r="R50">
        <f>VLOOKUP(A50,BMY!A$2:G$55,4,0)</f>
        <v>50.38</v>
      </c>
      <c r="T50">
        <f>VLOOKUP(A50,'C'!A$2:G$55,4,0)</f>
        <v>51.12</v>
      </c>
      <c r="U50">
        <f>VLOOKUP(A50,CAT!A$2:G$55,4,0)</f>
        <v>107.19</v>
      </c>
      <c r="V50">
        <f>VLOOKUP(A50,CL!A$2:G$55,4,0)</f>
        <v>63.37</v>
      </c>
      <c r="W50">
        <f>VLOOKUP(A50,CMCSA!A$2:G$55,4,0)</f>
        <v>55.64</v>
      </c>
      <c r="X50">
        <f>VLOOKUP(A50,COF!A$2:G$55,4,0)</f>
        <v>81.48</v>
      </c>
      <c r="Y50">
        <f>VLOOKUP(A50,COP!A$2:G$55,4,0)</f>
        <v>78.44</v>
      </c>
      <c r="Z50">
        <f>VLOOKUP(A50,COST!A$2:G$55,4,0)</f>
        <v>125.74</v>
      </c>
      <c r="AA50">
        <f>VLOOKUP(A50,CSCO!A$2:G$55,4,0)</f>
        <v>24.6</v>
      </c>
      <c r="AB50">
        <f>VLOOKUP(A50,CVS!A$2:G$55,4,0)</f>
        <v>80.569999999999993</v>
      </c>
      <c r="AC50">
        <f>VLOOKUP(A50,CVX!A$2:G$55,4,0)</f>
        <v>124.26</v>
      </c>
      <c r="AD50">
        <f>VLOOKUP(A50,DD!A$2:G$55,4,0)</f>
        <v>65.209999999999994</v>
      </c>
      <c r="AE50">
        <f>VLOOKUP(A50,DIS!A$2:G$55,4,0)</f>
        <v>89.51</v>
      </c>
      <c r="AF50">
        <f>VLOOKUP(A50,DOW!A$2:G$55,4,0)</f>
        <v>53.37</v>
      </c>
      <c r="AG50">
        <f>VLOOKUP(A50,DVN!A$2:G$55,4,0)</f>
        <v>70.180000000000007</v>
      </c>
      <c r="AH50">
        <f>VLOOKUP(A50,EBAY!A$2:G$55,4,0)</f>
        <v>52.43</v>
      </c>
      <c r="AI50">
        <f>VLOOKUP(A50,EMC!A$2:G$55,4,0)</f>
        <v>29.16</v>
      </c>
      <c r="AJ50">
        <f>VLOOKUP(A50,EMR!A$2:G$55,4,0)</f>
        <v>64.790000000000006</v>
      </c>
      <c r="AK50">
        <f>VLOOKUP(A50,EXC!A$2:G$55,4,0)</f>
        <v>33.01</v>
      </c>
      <c r="AL50">
        <f>VLOOKUP(A50,F!A$2:G$55,4,0)</f>
        <v>16.59</v>
      </c>
      <c r="AM50">
        <f>VLOOKUP(A50,FB!A$2:G$55,4,0)</f>
        <v>76.2</v>
      </c>
      <c r="AN50">
        <f>VLOOKUP(A50,FCX!A$2:G$55,4,0)</f>
        <v>34.200000000000003</v>
      </c>
      <c r="AO50">
        <f>VLOOKUP(A50,FDX!A$2:G$55,4,0)</f>
        <v>150.69</v>
      </c>
      <c r="AP50">
        <f>VLOOKUP(A50,FOXA!A$2:G$55,4,0)</f>
        <v>35.47</v>
      </c>
      <c r="AQ50">
        <f>VLOOKUP(A50,GD!A$2:G$55,4,0)</f>
        <v>125.72</v>
      </c>
      <c r="AR50">
        <f>VLOOKUP(A50,GE!A$2:G$55,4,0)</f>
        <v>25.85</v>
      </c>
      <c r="AS50">
        <f>VLOOKUP(A50,GILD!A$2:G$55,4,0)</f>
        <v>104.32</v>
      </c>
      <c r="AT50">
        <f>VLOOKUP(A50,GM!A$2:G$55,4,0)</f>
        <v>33.01</v>
      </c>
      <c r="AU50">
        <f>VLOOKUP(A50,GOOG!A$2:G$55,4,0)</f>
        <v>580</v>
      </c>
      <c r="AV50">
        <f>VLOOKUP(A50,GOOGL!A$2:G$55,4,0)</f>
        <v>590.48</v>
      </c>
      <c r="AW50">
        <f>VLOOKUP(A50,GS!A$2:G$55,4,0)</f>
        <v>176.62</v>
      </c>
      <c r="AX50">
        <f>VLOOKUP(A50,HAL!A$2:G$55,4,0)</f>
        <v>65.47</v>
      </c>
      <c r="AY50">
        <f>VLOOKUP(A50,HD!A$2:G$55,4,0)</f>
        <v>88.78</v>
      </c>
      <c r="AZ50">
        <f>VLOOKUP(A50,HON!A$2:G$55,4,0)</f>
        <v>94.33</v>
      </c>
      <c r="BA50">
        <f>VLOOKUP(A50,HPQ!A$2:G$55,4,0)</f>
        <v>36.630000000000003</v>
      </c>
      <c r="BB50">
        <f>VLOOKUP(A50,IBM!A$2:G$55,4,0)</f>
        <v>189.78</v>
      </c>
      <c r="BC50">
        <f>VLOOKUP(A50,INTC!A$2:G$55,4,0)</f>
        <v>34.85</v>
      </c>
      <c r="BD50">
        <f>VLOOKUP(A50,JNJ!A$2:G$55,4,0)</f>
        <v>103.55</v>
      </c>
      <c r="BE50">
        <f>VLOOKUP(A50,JPM!A$2:G$55,4,0)</f>
        <v>58.78</v>
      </c>
      <c r="BF50">
        <f>VLOOKUP(A50,KO!A$2:G$55,4,0)</f>
        <v>41.75</v>
      </c>
      <c r="BG50">
        <f>VLOOKUP(A50,LLY!A$2:G$55,4,0)</f>
        <v>64.099999999999994</v>
      </c>
      <c r="BH50">
        <f>VLOOKUP(A50,LMT!A$2:G$55,4,0)</f>
        <v>174.84</v>
      </c>
      <c r="BI50">
        <f>VLOOKUP(A50,LOW!A$2:G$55,4,0)</f>
        <v>52.91</v>
      </c>
      <c r="BJ50">
        <f>VLOOKUP(A50,MA!A$2:G$55,4,0)</f>
        <v>75.69</v>
      </c>
      <c r="BK50">
        <f>VLOOKUP(A50,MCD!A$2:G$55,4,0)</f>
        <v>90.96</v>
      </c>
      <c r="BL50">
        <f>VLOOKUP(A50,MDLZ!A$2:G$55,4,0)</f>
        <v>35.15</v>
      </c>
      <c r="BM50">
        <f>VLOOKUP(A50,MDT!A$2:G$55,4,0)</f>
        <v>64.66</v>
      </c>
      <c r="BN50">
        <f>VLOOKUP(A50,MET!A$2:G$55,4,0)</f>
        <v>54.17</v>
      </c>
      <c r="BO50">
        <f>VLOOKUP(A50,MMM!A$2:G$55,4,0)</f>
        <v>144.25</v>
      </c>
      <c r="BP50">
        <f>VLOOKUP(A50,MO!A$2:G$55,4,0)</f>
        <v>43.46</v>
      </c>
      <c r="BQ50">
        <f>VLOOKUP(A50,MON!A$2:G$55,4,0)</f>
        <v>114.05</v>
      </c>
      <c r="BR50">
        <f>VLOOKUP(A50,MRK!A$2:G$55,4,0)</f>
        <v>60.47</v>
      </c>
      <c r="BS50">
        <f>VLOOKUP(A50,MS!A$2:G$55,4,0)</f>
        <v>33.82</v>
      </c>
      <c r="BT50">
        <f>VLOOKUP(A50,MSFT!A$2:G$55,4,0)</f>
        <v>46.42</v>
      </c>
      <c r="BU50">
        <f>VLOOKUP(A50,NKE!A$2:G$55,4,0)</f>
        <v>81.510000000000005</v>
      </c>
      <c r="BV50">
        <f>VLOOKUP(A50,NOV!A$2:G$55,4,0)</f>
        <v>81.209999999999994</v>
      </c>
      <c r="BW50">
        <f>VLOOKUP(A50,NSC!A$2:G$55,4,0)</f>
        <v>108.12</v>
      </c>
      <c r="BX50">
        <f>VLOOKUP(A50,ORCL!A$2:G$55,4,0)</f>
        <v>40.43</v>
      </c>
      <c r="BY50">
        <f>VLOOKUP(A50,OXY!A$2:G$55,4,0)</f>
        <v>97.79</v>
      </c>
      <c r="BZ50">
        <f>VLOOKUP(A50,PEP!A$2:G$55,4,0)</f>
        <v>91.3</v>
      </c>
      <c r="CA50">
        <f>VLOOKUP(A50,PFE!A$2:G$55,4,0)</f>
        <v>29.01</v>
      </c>
      <c r="CB50">
        <f>VLOOKUP(A50,PG!A$2:G$55,4,0)</f>
        <v>82.83</v>
      </c>
      <c r="CC50">
        <f>VLOOKUP(A50,PM!A$2:G$55,4,0)</f>
        <v>83.63</v>
      </c>
      <c r="CD50">
        <f>VLOOKUP(A50,QCOM!A$2:G$55,4,0)</f>
        <v>75.510000000000005</v>
      </c>
      <c r="CE50">
        <f>VLOOKUP(A50,RTN!A$2:G$55,4,0)</f>
        <v>98.75</v>
      </c>
      <c r="CF50">
        <f>VLOOKUP(A50,SBUX!A$2:G$55,4,0)</f>
        <v>76.98</v>
      </c>
      <c r="CG50">
        <f>VLOOKUP(A50,SLB!A$2:G$55,4,0)</f>
        <v>103.26</v>
      </c>
      <c r="CH50">
        <f>VLOOKUP(A50,SO!A$2:G$55,4,0)</f>
        <v>43.9</v>
      </c>
      <c r="CI50">
        <f>VLOOKUP(A50,SPG!A$2:G$55,4,0)</f>
        <v>171.62</v>
      </c>
      <c r="CJ50">
        <f>VLOOKUP(A50,T!A$2:G$55,4,0)</f>
        <v>34.549999999999997</v>
      </c>
      <c r="CK50">
        <f>VLOOKUP(A50,TGT!A$2:G$55,4,0)</f>
        <v>60.18</v>
      </c>
      <c r="CL50">
        <f>VLOOKUP(A50,TWX!A$2:G$55,4,0)</f>
        <v>76.260000000000005</v>
      </c>
      <c r="CM50">
        <f>VLOOKUP(A50,TXN!A$2:G$55,4,0)</f>
        <v>48.2</v>
      </c>
      <c r="CN50">
        <f>VLOOKUP(A50,UNH!A$2:G$55,4,0)</f>
        <v>87.49</v>
      </c>
      <c r="CO50">
        <f>VLOOKUP(A50,UNP!A$2:G$55,4,0)</f>
        <v>107.2</v>
      </c>
      <c r="CP50">
        <f>VLOOKUP(A50,UPS!A$2:G$55,4,0)</f>
        <v>97.5</v>
      </c>
      <c r="CQ50">
        <f>VLOOKUP(A50,USB!A$2:G$55,4,0)</f>
        <v>41.48</v>
      </c>
      <c r="CR50">
        <f>VLOOKUP(A50,UTX!A$2:G$55,4,0)</f>
        <v>108.41</v>
      </c>
      <c r="CS50">
        <f>VLOOKUP(A50,V!A$2:G$55,4,0)</f>
        <v>214</v>
      </c>
      <c r="CT50">
        <f>VLOOKUP(A50,VZ!A$2:G$55,4,0)</f>
        <v>48.8</v>
      </c>
      <c r="CU50">
        <f>VLOOKUP(A50,WAG!A$2:G$55,4,0)</f>
        <v>62.41</v>
      </c>
      <c r="CV50">
        <f>VLOOKUP(A50,WFC!A$2:G$55,4,0)</f>
        <v>51</v>
      </c>
      <c r="CW50">
        <f>VLOOKUP(A50,WMT!A$2:G$55,4,0)</f>
        <v>76.17</v>
      </c>
    </row>
    <row r="51" spans="1:101" x14ac:dyDescent="0.25">
      <c r="A51" s="34">
        <v>41892</v>
      </c>
      <c r="B51" s="36">
        <v>97.76</v>
      </c>
      <c r="C51">
        <f>VLOOKUP(A51,ABBV!A$2:G$55,4,0)</f>
        <v>56.51</v>
      </c>
      <c r="D51">
        <f>VLOOKUP(A51,ABT!A$2:G$55,4,0)</f>
        <v>42.63</v>
      </c>
      <c r="E51">
        <f>VLOOKUP(A51,ACN!A$2:G$55,4,0)</f>
        <v>80.7</v>
      </c>
      <c r="F51">
        <f>VLOOKUP(A51,AIG!A$2:G$55,4,0)</f>
        <v>55.02</v>
      </c>
      <c r="G51">
        <f>VLOOKUP(A51,ALL!A$2:G$55,4,0)</f>
        <v>60.79</v>
      </c>
      <c r="H51">
        <f>VLOOKUP(A51,AMGN!A$2:G$55,4,0)</f>
        <v>137.27000000000001</v>
      </c>
      <c r="I51">
        <f>VLOOKUP(A51,AMZN!A$2:G$55,4,0)</f>
        <v>328.82</v>
      </c>
      <c r="J51">
        <f>VLOOKUP(A51,APA!A$2:G$55,4,0)</f>
        <v>95.91</v>
      </c>
      <c r="K51">
        <f>VLOOKUP(A51,APC!A$2:G$55,4,0)</f>
        <v>105.01</v>
      </c>
      <c r="L51">
        <f>VLOOKUP(A51,AXP!A$2:G$55,4,0)</f>
        <v>88.01</v>
      </c>
      <c r="M51">
        <f>VLOOKUP(A51,BA!A$2:G$55,4,0)</f>
        <v>127.48</v>
      </c>
      <c r="N51">
        <f>VLOOKUP(A51,BAC!A$2:G$55,4,0)</f>
        <v>16.13</v>
      </c>
      <c r="O51">
        <f>VLOOKUP(A51,BAX!A$2:G$55,4,0)</f>
        <v>74.16</v>
      </c>
      <c r="P51">
        <f>VLOOKUP(A51,BIIB!A$2:G$55,4,0)</f>
        <v>325.99</v>
      </c>
      <c r="Q51">
        <f>VLOOKUP(A51,BK!A$2:G$55,4,0)</f>
        <v>38.89</v>
      </c>
      <c r="R51">
        <f>VLOOKUP(A51,BMY!A$2:G$55,4,0)</f>
        <v>50.41</v>
      </c>
      <c r="T51">
        <f>VLOOKUP(A51,'C'!A$2:G$55,4,0)</f>
        <v>51.18</v>
      </c>
      <c r="U51">
        <f>VLOOKUP(A51,CAT!A$2:G$55,4,0)</f>
        <v>105.38</v>
      </c>
      <c r="V51">
        <f>VLOOKUP(A51,CL!A$2:G$55,4,0)</f>
        <v>63.36</v>
      </c>
      <c r="W51">
        <f>VLOOKUP(A51,CMCSA!A$2:G$55,4,0)</f>
        <v>56.04</v>
      </c>
      <c r="X51">
        <f>VLOOKUP(A51,COF!A$2:G$55,4,0)</f>
        <v>81.2</v>
      </c>
      <c r="Y51">
        <f>VLOOKUP(A51,COP!A$2:G$55,4,0)</f>
        <v>77.709999999999994</v>
      </c>
      <c r="Z51">
        <f>VLOOKUP(A51,COST!A$2:G$55,4,0)</f>
        <v>125.87</v>
      </c>
      <c r="AA51">
        <f>VLOOKUP(A51,CSCO!A$2:G$55,4,0)</f>
        <v>24.84</v>
      </c>
      <c r="AB51">
        <f>VLOOKUP(A51,CVS!A$2:G$55,4,0)</f>
        <v>80.59</v>
      </c>
      <c r="AC51">
        <f>VLOOKUP(A51,CVX!A$2:G$55,4,0)</f>
        <v>123.01</v>
      </c>
      <c r="AD51">
        <f>VLOOKUP(A51,DD!A$2:G$55,4,0)</f>
        <v>64.63</v>
      </c>
      <c r="AE51">
        <f>VLOOKUP(A51,DIS!A$2:G$55,4,0)</f>
        <v>88.75</v>
      </c>
      <c r="AF51">
        <f>VLOOKUP(A51,DOW!A$2:G$55,4,0)</f>
        <v>52.99</v>
      </c>
      <c r="AG51">
        <f>VLOOKUP(A51,DVN!A$2:G$55,4,0)</f>
        <v>69.319999999999993</v>
      </c>
      <c r="AH51">
        <f>VLOOKUP(A51,EBAY!A$2:G$55,4,0)</f>
        <v>50.54</v>
      </c>
      <c r="AI51">
        <f>VLOOKUP(A51,EMC!A$2:G$55,4,0)</f>
        <v>29.13</v>
      </c>
      <c r="AJ51">
        <f>VLOOKUP(A51,EMR!A$2:G$55,4,0)</f>
        <v>64.87</v>
      </c>
      <c r="AK51">
        <f>VLOOKUP(A51,EXC!A$2:G$55,4,0)</f>
        <v>32.590000000000003</v>
      </c>
      <c r="AL51">
        <f>VLOOKUP(A51,F!A$2:G$55,4,0)</f>
        <v>16.61</v>
      </c>
      <c r="AM51">
        <f>VLOOKUP(A51,FB!A$2:G$55,4,0)</f>
        <v>76.510000000000005</v>
      </c>
      <c r="AN51">
        <f>VLOOKUP(A51,FCX!A$2:G$55,4,0)</f>
        <v>33.909999999999997</v>
      </c>
      <c r="AO51">
        <f>VLOOKUP(A51,FDX!A$2:G$55,4,0)</f>
        <v>150.01</v>
      </c>
      <c r="AP51">
        <f>VLOOKUP(A51,FOXA!A$2:G$55,4,0)</f>
        <v>35.36</v>
      </c>
      <c r="AQ51">
        <f>VLOOKUP(A51,GD!A$2:G$55,4,0)</f>
        <v>126.03</v>
      </c>
      <c r="AR51">
        <f>VLOOKUP(A51,GE!A$2:G$55,4,0)</f>
        <v>25.85</v>
      </c>
      <c r="AS51">
        <f>VLOOKUP(A51,GILD!A$2:G$55,4,0)</f>
        <v>105.76</v>
      </c>
      <c r="AT51">
        <f>VLOOKUP(A51,GM!A$2:G$55,4,0)</f>
        <v>33.06</v>
      </c>
      <c r="AU51">
        <f>VLOOKUP(A51,GOOG!A$2:G$55,4,0)</f>
        <v>576.94000000000005</v>
      </c>
      <c r="AV51">
        <f>VLOOKUP(A51,GOOGL!A$2:G$55,4,0)</f>
        <v>587.14</v>
      </c>
      <c r="AW51">
        <f>VLOOKUP(A51,GS!A$2:G$55,4,0)</f>
        <v>178.12</v>
      </c>
      <c r="AX51">
        <f>VLOOKUP(A51,HAL!A$2:G$55,4,0)</f>
        <v>65.430000000000007</v>
      </c>
      <c r="AY51">
        <f>VLOOKUP(A51,HD!A$2:G$55,4,0)</f>
        <v>88.33</v>
      </c>
      <c r="AZ51">
        <f>VLOOKUP(A51,HON!A$2:G$55,4,0)</f>
        <v>93.8</v>
      </c>
      <c r="BA51">
        <f>VLOOKUP(A51,HPQ!A$2:G$55,4,0)</f>
        <v>36.75</v>
      </c>
      <c r="BB51">
        <f>VLOOKUP(A51,IBM!A$2:G$55,4,0)</f>
        <v>190.1</v>
      </c>
      <c r="BC51">
        <f>VLOOKUP(A51,INTC!A$2:G$55,4,0)</f>
        <v>34.67</v>
      </c>
      <c r="BD51">
        <f>VLOOKUP(A51,JNJ!A$2:G$55,4,0)</f>
        <v>103.96</v>
      </c>
      <c r="BE51">
        <f>VLOOKUP(A51,JPM!A$2:G$55,4,0)</f>
        <v>58.92</v>
      </c>
      <c r="BF51">
        <f>VLOOKUP(A51,KO!A$2:G$55,4,0)</f>
        <v>41.83</v>
      </c>
      <c r="BG51">
        <f>VLOOKUP(A51,LLY!A$2:G$55,4,0)</f>
        <v>64.33</v>
      </c>
      <c r="BH51">
        <f>VLOOKUP(A51,LMT!A$2:G$55,4,0)</f>
        <v>173.72</v>
      </c>
      <c r="BI51">
        <f>VLOOKUP(A51,LOW!A$2:G$55,4,0)</f>
        <v>52.89</v>
      </c>
      <c r="BJ51">
        <f>VLOOKUP(A51,MA!A$2:G$55,4,0)</f>
        <v>75.88</v>
      </c>
      <c r="BK51">
        <f>VLOOKUP(A51,MCD!A$2:G$55,4,0)</f>
        <v>90.53</v>
      </c>
      <c r="BL51">
        <f>VLOOKUP(A51,MDLZ!A$2:G$55,4,0)</f>
        <v>35.36</v>
      </c>
      <c r="BM51">
        <f>VLOOKUP(A51,MDT!A$2:G$55,4,0)</f>
        <v>65.540000000000006</v>
      </c>
      <c r="BN51">
        <f>VLOOKUP(A51,MET!A$2:G$55,4,0)</f>
        <v>54.46</v>
      </c>
      <c r="BO51">
        <f>VLOOKUP(A51,MMM!A$2:G$55,4,0)</f>
        <v>144</v>
      </c>
      <c r="BP51">
        <f>VLOOKUP(A51,MO!A$2:G$55,4,0)</f>
        <v>43.49</v>
      </c>
      <c r="BQ51">
        <f>VLOOKUP(A51,MON!A$2:G$55,4,0)</f>
        <v>111.03</v>
      </c>
      <c r="BR51">
        <f>VLOOKUP(A51,MRK!A$2:G$55,4,0)</f>
        <v>60.35</v>
      </c>
      <c r="BS51">
        <f>VLOOKUP(A51,MS!A$2:G$55,4,0)</f>
        <v>34.04</v>
      </c>
      <c r="BT51">
        <f>VLOOKUP(A51,MSFT!A$2:G$55,4,0)</f>
        <v>46.28</v>
      </c>
      <c r="BU51">
        <f>VLOOKUP(A51,NKE!A$2:G$55,4,0)</f>
        <v>81.5</v>
      </c>
      <c r="BV51">
        <f>VLOOKUP(A51,NOV!A$2:G$55,4,0)</f>
        <v>80.14</v>
      </c>
      <c r="BW51">
        <f>VLOOKUP(A51,NSC!A$2:G$55,4,0)</f>
        <v>107.75</v>
      </c>
      <c r="BX51">
        <f>VLOOKUP(A51,ORCL!A$2:G$55,4,0)</f>
        <v>40.57</v>
      </c>
      <c r="BY51">
        <f>VLOOKUP(A51,OXY!A$2:G$55,4,0)</f>
        <v>97.59</v>
      </c>
      <c r="BZ51">
        <f>VLOOKUP(A51,PEP!A$2:G$55,4,0)</f>
        <v>91.53</v>
      </c>
      <c r="CA51">
        <f>VLOOKUP(A51,PFE!A$2:G$55,4,0)</f>
        <v>29.16</v>
      </c>
      <c r="CB51">
        <f>VLOOKUP(A51,PG!A$2:G$55,4,0)</f>
        <v>83.15</v>
      </c>
      <c r="CC51">
        <f>VLOOKUP(A51,PM!A$2:G$55,4,0)</f>
        <v>83.81</v>
      </c>
      <c r="CD51">
        <f>VLOOKUP(A51,QCOM!A$2:G$55,4,0)</f>
        <v>75.760000000000005</v>
      </c>
      <c r="CE51">
        <f>VLOOKUP(A51,RTN!A$2:G$55,4,0)</f>
        <v>99.23</v>
      </c>
      <c r="CF51">
        <f>VLOOKUP(A51,SBUX!A$2:G$55,4,0)</f>
        <v>76.75</v>
      </c>
      <c r="CG51">
        <f>VLOOKUP(A51,SLB!A$2:G$55,4,0)</f>
        <v>102.75</v>
      </c>
      <c r="CH51">
        <f>VLOOKUP(A51,SO!A$2:G$55,4,0)</f>
        <v>43.6</v>
      </c>
      <c r="CI51">
        <f>VLOOKUP(A51,SPG!A$2:G$55,4,0)</f>
        <v>170.05</v>
      </c>
      <c r="CJ51">
        <f>VLOOKUP(A51,T!A$2:G$55,4,0)</f>
        <v>34.39</v>
      </c>
      <c r="CK51">
        <f>VLOOKUP(A51,TGT!A$2:G$55,4,0)</f>
        <v>60.87</v>
      </c>
      <c r="CL51">
        <f>VLOOKUP(A51,TWX!A$2:G$55,4,0)</f>
        <v>74.98</v>
      </c>
      <c r="CM51">
        <f>VLOOKUP(A51,TXN!A$2:G$55,4,0)</f>
        <v>47.83</v>
      </c>
      <c r="CN51">
        <f>VLOOKUP(A51,UNH!A$2:G$55,4,0)</f>
        <v>86.69</v>
      </c>
      <c r="CO51">
        <f>VLOOKUP(A51,UNP!A$2:G$55,4,0)</f>
        <v>106.91</v>
      </c>
      <c r="CP51">
        <f>VLOOKUP(A51,UPS!A$2:G$55,4,0)</f>
        <v>97.25</v>
      </c>
      <c r="CQ51">
        <f>VLOOKUP(A51,USB!A$2:G$55,4,0)</f>
        <v>41.62</v>
      </c>
      <c r="CR51">
        <f>VLOOKUP(A51,UTX!A$2:G$55,4,0)</f>
        <v>108.09</v>
      </c>
      <c r="CS51">
        <f>VLOOKUP(A51,V!A$2:G$55,4,0)</f>
        <v>214.04</v>
      </c>
      <c r="CT51">
        <f>VLOOKUP(A51,VZ!A$2:G$55,4,0)</f>
        <v>48.37</v>
      </c>
      <c r="CU51">
        <f>VLOOKUP(A51,WAG!A$2:G$55,4,0)</f>
        <v>62.56</v>
      </c>
      <c r="CV51">
        <f>VLOOKUP(A51,WFC!A$2:G$55,4,0)</f>
        <v>51.06</v>
      </c>
      <c r="CW51">
        <f>VLOOKUP(A51,WMT!A$2:G$55,4,0)</f>
        <v>76.37</v>
      </c>
    </row>
    <row r="52" spans="1:101" x14ac:dyDescent="0.25">
      <c r="A52" s="34">
        <v>41893</v>
      </c>
      <c r="B52" s="36">
        <v>99.62</v>
      </c>
      <c r="C52">
        <f>VLOOKUP(A52,ABBV!A$2:G$55,4,0)</f>
        <v>56.85</v>
      </c>
      <c r="D52">
        <f>VLOOKUP(A52,ABT!A$2:G$55,4,0)</f>
        <v>42.38</v>
      </c>
      <c r="E52">
        <f>VLOOKUP(A52,ACN!A$2:G$55,4,0)</f>
        <v>80.819999999999993</v>
      </c>
      <c r="F52">
        <f>VLOOKUP(A52,AIG!A$2:G$55,4,0)</f>
        <v>55.03</v>
      </c>
      <c r="G52">
        <f>VLOOKUP(A52,ALL!A$2:G$55,4,0)</f>
        <v>60.78</v>
      </c>
      <c r="H52">
        <f>VLOOKUP(A52,AMGN!A$2:G$55,4,0)</f>
        <v>137.35</v>
      </c>
      <c r="I52">
        <f>VLOOKUP(A52,AMZN!A$2:G$55,4,0)</f>
        <v>326.39</v>
      </c>
      <c r="J52">
        <f>VLOOKUP(A52,APA!A$2:G$55,4,0)</f>
        <v>95.81</v>
      </c>
      <c r="K52">
        <f>VLOOKUP(A52,APC!A$2:G$55,4,0)</f>
        <v>105.18</v>
      </c>
      <c r="L52">
        <f>VLOOKUP(A52,AXP!A$2:G$55,4,0)</f>
        <v>87.88</v>
      </c>
      <c r="M52">
        <f>VLOOKUP(A52,BA!A$2:G$55,4,0)</f>
        <v>127.2</v>
      </c>
      <c r="N52">
        <f>VLOOKUP(A52,BAC!A$2:G$55,4,0)</f>
        <v>16.3</v>
      </c>
      <c r="O52">
        <f>VLOOKUP(A52,BAX!A$2:G$55,4,0)</f>
        <v>74.650000000000006</v>
      </c>
      <c r="P52">
        <f>VLOOKUP(A52,BIIB!A$2:G$55,4,0)</f>
        <v>324.74</v>
      </c>
      <c r="Q52">
        <f>VLOOKUP(A52,BK!A$2:G$55,4,0)</f>
        <v>38.94</v>
      </c>
      <c r="R52">
        <f>VLOOKUP(A52,BMY!A$2:G$55,4,0)</f>
        <v>50.42</v>
      </c>
      <c r="T52">
        <f>VLOOKUP(A52,'C'!A$2:G$55,4,0)</f>
        <v>51.52</v>
      </c>
      <c r="U52">
        <f>VLOOKUP(A52,CAT!A$2:G$55,4,0)</f>
        <v>104.59</v>
      </c>
      <c r="V52">
        <f>VLOOKUP(A52,CL!A$2:G$55,4,0)</f>
        <v>63.78</v>
      </c>
      <c r="W52">
        <f>VLOOKUP(A52,CMCSA!A$2:G$55,4,0)</f>
        <v>56.56</v>
      </c>
      <c r="X52">
        <f>VLOOKUP(A52,COF!A$2:G$55,4,0)</f>
        <v>80.930000000000007</v>
      </c>
      <c r="Y52">
        <f>VLOOKUP(A52,COP!A$2:G$55,4,0)</f>
        <v>78.02</v>
      </c>
      <c r="Z52">
        <f>VLOOKUP(A52,COST!A$2:G$55,4,0)</f>
        <v>125.64</v>
      </c>
      <c r="AA52">
        <f>VLOOKUP(A52,CSCO!A$2:G$55,4,0)</f>
        <v>24.85</v>
      </c>
      <c r="AB52">
        <f>VLOOKUP(A52,CVS!A$2:G$55,4,0)</f>
        <v>80.75</v>
      </c>
      <c r="AC52">
        <f>VLOOKUP(A52,CVX!A$2:G$55,4,0)</f>
        <v>122.41</v>
      </c>
      <c r="AD52">
        <f>VLOOKUP(A52,DD!A$2:G$55,4,0)</f>
        <v>64.790000000000006</v>
      </c>
      <c r="AE52">
        <f>VLOOKUP(A52,DIS!A$2:G$55,4,0)</f>
        <v>89.06</v>
      </c>
      <c r="AF52">
        <f>VLOOKUP(A52,DOW!A$2:G$55,4,0)</f>
        <v>52.37</v>
      </c>
      <c r="AG52">
        <f>VLOOKUP(A52,DVN!A$2:G$55,4,0)</f>
        <v>69.7</v>
      </c>
      <c r="AH52">
        <f>VLOOKUP(A52,EBAY!A$2:G$55,4,0)</f>
        <v>50.51</v>
      </c>
      <c r="AI52">
        <f>VLOOKUP(A52,EMC!A$2:G$55,4,0)</f>
        <v>29.45</v>
      </c>
      <c r="AJ52">
        <f>VLOOKUP(A52,EMR!A$2:G$55,4,0)</f>
        <v>64.55</v>
      </c>
      <c r="AK52">
        <f>VLOOKUP(A52,EXC!A$2:G$55,4,0)</f>
        <v>33.04</v>
      </c>
      <c r="AL52">
        <f>VLOOKUP(A52,F!A$2:G$55,4,0)</f>
        <v>16.510000000000002</v>
      </c>
      <c r="AM52">
        <f>VLOOKUP(A52,FB!A$2:G$55,4,0)</f>
        <v>77.05</v>
      </c>
      <c r="AN52">
        <f>VLOOKUP(A52,FCX!A$2:G$55,4,0)</f>
        <v>34.119999999999997</v>
      </c>
      <c r="AO52">
        <f>VLOOKUP(A52,FDX!A$2:G$55,4,0)</f>
        <v>150.01</v>
      </c>
      <c r="AP52">
        <f>VLOOKUP(A52,FOXA!A$2:G$55,4,0)</f>
        <v>34.83</v>
      </c>
      <c r="AQ52">
        <f>VLOOKUP(A52,GD!A$2:G$55,4,0)</f>
        <v>126.34</v>
      </c>
      <c r="AR52">
        <f>VLOOKUP(A52,GE!A$2:G$55,4,0)</f>
        <v>25.83</v>
      </c>
      <c r="AS52">
        <f>VLOOKUP(A52,GILD!A$2:G$55,4,0)</f>
        <v>105.8</v>
      </c>
      <c r="AT52">
        <f>VLOOKUP(A52,GM!A$2:G$55,4,0)</f>
        <v>33.15</v>
      </c>
      <c r="AU52">
        <f>VLOOKUP(A52,GOOG!A$2:G$55,4,0)</f>
        <v>576.26</v>
      </c>
      <c r="AV52">
        <f>VLOOKUP(A52,GOOGL!A$2:G$55,4,0)</f>
        <v>586.04</v>
      </c>
      <c r="AW52">
        <f>VLOOKUP(A52,GS!A$2:G$55,4,0)</f>
        <v>178.5</v>
      </c>
      <c r="AX52">
        <f>VLOOKUP(A52,HAL!A$2:G$55,4,0)</f>
        <v>65.73</v>
      </c>
      <c r="AY52">
        <f>VLOOKUP(A52,HD!A$2:G$55,4,0)</f>
        <v>88.62</v>
      </c>
      <c r="AZ52">
        <f>VLOOKUP(A52,HON!A$2:G$55,4,0)</f>
        <v>93.94</v>
      </c>
      <c r="BA52">
        <f>VLOOKUP(A52,HPQ!A$2:G$55,4,0)</f>
        <v>36.520000000000003</v>
      </c>
      <c r="BB52">
        <f>VLOOKUP(A52,IBM!A$2:G$55,4,0)</f>
        <v>190.12</v>
      </c>
      <c r="BC52">
        <f>VLOOKUP(A52,INTC!A$2:G$55,4,0)</f>
        <v>34.53</v>
      </c>
      <c r="BD52">
        <f>VLOOKUP(A52,JNJ!A$2:G$55,4,0)</f>
        <v>104.1</v>
      </c>
      <c r="BE52">
        <f>VLOOKUP(A52,JPM!A$2:G$55,4,0)</f>
        <v>58.97</v>
      </c>
      <c r="BF52">
        <f>VLOOKUP(A52,KO!A$2:G$55,4,0)</f>
        <v>41.66</v>
      </c>
      <c r="BG52">
        <f>VLOOKUP(A52,LLY!A$2:G$55,4,0)</f>
        <v>64.56</v>
      </c>
      <c r="BH52">
        <f>VLOOKUP(A52,LMT!A$2:G$55,4,0)</f>
        <v>173.58</v>
      </c>
      <c r="BI52">
        <f>VLOOKUP(A52,LOW!A$2:G$55,4,0)</f>
        <v>52.67</v>
      </c>
      <c r="BJ52">
        <f>VLOOKUP(A52,MA!A$2:G$55,4,0)</f>
        <v>75.41</v>
      </c>
      <c r="BK52">
        <f>VLOOKUP(A52,MCD!A$2:G$55,4,0)</f>
        <v>92.42</v>
      </c>
      <c r="BL52">
        <f>VLOOKUP(A52,MDLZ!A$2:G$55,4,0)</f>
        <v>35.17</v>
      </c>
      <c r="BM52">
        <f>VLOOKUP(A52,MDT!A$2:G$55,4,0)</f>
        <v>65.239999999999995</v>
      </c>
      <c r="BN52">
        <f>VLOOKUP(A52,MET!A$2:G$55,4,0)</f>
        <v>54.24</v>
      </c>
      <c r="BO52">
        <f>VLOOKUP(A52,MMM!A$2:G$55,4,0)</f>
        <v>143.6</v>
      </c>
      <c r="BP52">
        <f>VLOOKUP(A52,MO!A$2:G$55,4,0)</f>
        <v>42.92</v>
      </c>
      <c r="BQ52">
        <f>VLOOKUP(A52,MON!A$2:G$55,4,0)</f>
        <v>112.8</v>
      </c>
      <c r="BR52">
        <f>VLOOKUP(A52,MRK!A$2:G$55,4,0)</f>
        <v>59.81</v>
      </c>
      <c r="BS52">
        <f>VLOOKUP(A52,MS!A$2:G$55,4,0)</f>
        <v>34.1</v>
      </c>
      <c r="BT52">
        <f>VLOOKUP(A52,MSFT!A$2:G$55,4,0)</f>
        <v>46.47</v>
      </c>
      <c r="BU52">
        <f>VLOOKUP(A52,NKE!A$2:G$55,4,0)</f>
        <v>81.540000000000006</v>
      </c>
      <c r="BV52">
        <f>VLOOKUP(A52,NOV!A$2:G$55,4,0)</f>
        <v>80.8</v>
      </c>
      <c r="BW52">
        <f>VLOOKUP(A52,NSC!A$2:G$55,4,0)</f>
        <v>107.54</v>
      </c>
      <c r="BX52">
        <f>VLOOKUP(A52,ORCL!A$2:G$55,4,0)</f>
        <v>40.200000000000003</v>
      </c>
      <c r="BY52">
        <f>VLOOKUP(A52,OXY!A$2:G$55,4,0)</f>
        <v>97.34</v>
      </c>
      <c r="BZ52">
        <f>VLOOKUP(A52,PEP!A$2:G$55,4,0)</f>
        <v>91.48</v>
      </c>
      <c r="CA52">
        <f>VLOOKUP(A52,PFE!A$2:G$55,4,0)</f>
        <v>29.28</v>
      </c>
      <c r="CB52">
        <f>VLOOKUP(A52,PG!A$2:G$55,4,0)</f>
        <v>83.37</v>
      </c>
      <c r="CC52">
        <f>VLOOKUP(A52,PM!A$2:G$55,4,0)</f>
        <v>83.95</v>
      </c>
      <c r="CD52">
        <f>VLOOKUP(A52,QCOM!A$2:G$55,4,0)</f>
        <v>75.2</v>
      </c>
      <c r="CE52">
        <f>VLOOKUP(A52,RTN!A$2:G$55,4,0)</f>
        <v>100.53</v>
      </c>
      <c r="CF52">
        <f>VLOOKUP(A52,SBUX!A$2:G$55,4,0)</f>
        <v>76.08</v>
      </c>
      <c r="CG52">
        <f>VLOOKUP(A52,SLB!A$2:G$55,4,0)</f>
        <v>103</v>
      </c>
      <c r="CH52">
        <f>VLOOKUP(A52,SO!A$2:G$55,4,0)</f>
        <v>43.62</v>
      </c>
      <c r="CI52">
        <f>VLOOKUP(A52,SPG!A$2:G$55,4,0)</f>
        <v>169.33</v>
      </c>
      <c r="CJ52">
        <f>VLOOKUP(A52,T!A$2:G$55,4,0)</f>
        <v>34.5</v>
      </c>
      <c r="CK52">
        <f>VLOOKUP(A52,TGT!A$2:G$55,4,0)</f>
        <v>61.61</v>
      </c>
      <c r="CL52">
        <f>VLOOKUP(A52,TWX!A$2:G$55,4,0)</f>
        <v>75.319999999999993</v>
      </c>
      <c r="CM52">
        <f>VLOOKUP(A52,TXN!A$2:G$55,4,0)</f>
        <v>47.7</v>
      </c>
      <c r="CN52">
        <f>VLOOKUP(A52,UNH!A$2:G$55,4,0)</f>
        <v>86.2</v>
      </c>
      <c r="CO52">
        <f>VLOOKUP(A52,UNP!A$2:G$55,4,0)</f>
        <v>106.75</v>
      </c>
      <c r="CP52">
        <f>VLOOKUP(A52,UPS!A$2:G$55,4,0)</f>
        <v>96.9</v>
      </c>
      <c r="CQ52">
        <f>VLOOKUP(A52,USB!A$2:G$55,4,0)</f>
        <v>41.72</v>
      </c>
      <c r="CR52">
        <f>VLOOKUP(A52,UTX!A$2:G$55,4,0)</f>
        <v>108.05</v>
      </c>
      <c r="CS52">
        <f>VLOOKUP(A52,V!A$2:G$55,4,0)</f>
        <v>214.45</v>
      </c>
      <c r="CT52">
        <f>VLOOKUP(A52,VZ!A$2:G$55,4,0)</f>
        <v>48.33</v>
      </c>
      <c r="CU52">
        <f>VLOOKUP(A52,WAG!A$2:G$55,4,0)</f>
        <v>62.87</v>
      </c>
      <c r="CV52">
        <f>VLOOKUP(A52,WFC!A$2:G$55,4,0)</f>
        <v>51.32</v>
      </c>
      <c r="CW52">
        <f>VLOOKUP(A52,WMT!A$2:G$55,4,0)</f>
        <v>76.09</v>
      </c>
    </row>
    <row r="53" spans="1:101" x14ac:dyDescent="0.25">
      <c r="A53" s="34">
        <v>41894</v>
      </c>
      <c r="B53" s="36">
        <v>101.08</v>
      </c>
      <c r="C53">
        <f>VLOOKUP(A53,ABBV!A$2:G$55,4,0)</f>
        <v>57.74</v>
      </c>
      <c r="D53">
        <f>VLOOKUP(A53,ABT!A$2:G$55,4,0)</f>
        <v>42.45</v>
      </c>
      <c r="E53">
        <f>VLOOKUP(A53,ACN!A$2:G$55,4,0)</f>
        <v>80.58</v>
      </c>
      <c r="F53">
        <f>VLOOKUP(A53,AIG!A$2:G$55,4,0)</f>
        <v>55.01</v>
      </c>
      <c r="G53">
        <f>VLOOKUP(A53,ALL!A$2:G$55,4,0)</f>
        <v>60.76</v>
      </c>
      <c r="H53">
        <f>VLOOKUP(A53,AMGN!A$2:G$55,4,0)</f>
        <v>136.82</v>
      </c>
      <c r="I53">
        <f>VLOOKUP(A53,AMZN!A$2:G$55,4,0)</f>
        <v>328.79</v>
      </c>
      <c r="J53">
        <f>VLOOKUP(A53,APA!A$2:G$55,4,0)</f>
        <v>96.08</v>
      </c>
      <c r="K53">
        <f>VLOOKUP(A53,APC!A$2:G$55,4,0)</f>
        <v>104.59</v>
      </c>
      <c r="L53">
        <f>VLOOKUP(A53,AXP!A$2:G$55,4,0)</f>
        <v>87.44</v>
      </c>
      <c r="M53">
        <f>VLOOKUP(A53,BA!A$2:G$55,4,0)</f>
        <v>126.61</v>
      </c>
      <c r="N53">
        <f>VLOOKUP(A53,BAC!A$2:G$55,4,0)</f>
        <v>16.61</v>
      </c>
      <c r="O53">
        <f>VLOOKUP(A53,BAX!A$2:G$55,4,0)</f>
        <v>74.47</v>
      </c>
      <c r="P53">
        <f>VLOOKUP(A53,BIIB!A$2:G$55,4,0)</f>
        <v>321.11</v>
      </c>
      <c r="Q53">
        <f>VLOOKUP(A53,BK!A$2:G$55,4,0)</f>
        <v>39.35</v>
      </c>
      <c r="R53">
        <f>VLOOKUP(A53,BMY!A$2:G$55,4,0)</f>
        <v>50.13</v>
      </c>
      <c r="T53">
        <f>VLOOKUP(A53,'C'!A$2:G$55,4,0)</f>
        <v>52.09</v>
      </c>
      <c r="U53">
        <f>VLOOKUP(A53,CAT!A$2:G$55,4,0)</f>
        <v>104.4</v>
      </c>
      <c r="V53">
        <f>VLOOKUP(A53,CL!A$2:G$55,4,0)</f>
        <v>64.08</v>
      </c>
      <c r="W53">
        <f>VLOOKUP(A53,CMCSA!A$2:G$55,4,0)</f>
        <v>56.67</v>
      </c>
      <c r="X53">
        <f>VLOOKUP(A53,COF!A$2:G$55,4,0)</f>
        <v>80.66</v>
      </c>
      <c r="Y53">
        <f>VLOOKUP(A53,COP!A$2:G$55,4,0)</f>
        <v>78.11</v>
      </c>
      <c r="Z53">
        <f>VLOOKUP(A53,COST!A$2:G$55,4,0)</f>
        <v>125.02</v>
      </c>
      <c r="AA53">
        <f>VLOOKUP(A53,CSCO!A$2:G$55,4,0)</f>
        <v>25.07</v>
      </c>
      <c r="AB53">
        <f>VLOOKUP(A53,CVS!A$2:G$55,4,0)</f>
        <v>80.33</v>
      </c>
      <c r="AC53">
        <f>VLOOKUP(A53,CVX!A$2:G$55,4,0)</f>
        <v>122.21</v>
      </c>
      <c r="AD53">
        <f>VLOOKUP(A53,DD!A$2:G$55,4,0)</f>
        <v>64.52</v>
      </c>
      <c r="AE53">
        <f>VLOOKUP(A53,DIS!A$2:G$55,4,0)</f>
        <v>89.25</v>
      </c>
      <c r="AF53">
        <f>VLOOKUP(A53,DOW!A$2:G$55,4,0)</f>
        <v>52.38</v>
      </c>
      <c r="AG53">
        <f>VLOOKUP(A53,DVN!A$2:G$55,4,0)</f>
        <v>69.69</v>
      </c>
      <c r="AH53">
        <f>VLOOKUP(A53,EBAY!A$2:G$55,4,0)</f>
        <v>50.04</v>
      </c>
      <c r="AI53">
        <f>VLOOKUP(A53,EMC!A$2:G$55,4,0)</f>
        <v>29.53</v>
      </c>
      <c r="AJ53">
        <f>VLOOKUP(A53,EMR!A$2:G$55,4,0)</f>
        <v>64.150000000000006</v>
      </c>
      <c r="AK53">
        <f>VLOOKUP(A53,EXC!A$2:G$55,4,0)</f>
        <v>32.58</v>
      </c>
      <c r="AL53">
        <f>VLOOKUP(A53,F!A$2:G$55,4,0)</f>
        <v>16.5</v>
      </c>
      <c r="AM53">
        <f>VLOOKUP(A53,FB!A$2:G$55,4,0)</f>
        <v>77.099999999999994</v>
      </c>
      <c r="AN53">
        <f>VLOOKUP(A53,FCX!A$2:G$55,4,0)</f>
        <v>34.1</v>
      </c>
      <c r="AO53">
        <f>VLOOKUP(A53,FDX!A$2:G$55,4,0)</f>
        <v>152.54</v>
      </c>
      <c r="AP53">
        <f>VLOOKUP(A53,FOXA!A$2:G$55,4,0)</f>
        <v>34.96</v>
      </c>
      <c r="AQ53">
        <f>VLOOKUP(A53,GD!A$2:G$55,4,0)</f>
        <v>125.8</v>
      </c>
      <c r="AR53">
        <f>VLOOKUP(A53,GE!A$2:G$55,4,0)</f>
        <v>25.8</v>
      </c>
      <c r="AS53">
        <f>VLOOKUP(A53,GILD!A$2:G$55,4,0)</f>
        <v>102.9</v>
      </c>
      <c r="AT53">
        <f>VLOOKUP(A53,GM!A$2:G$55,4,0)</f>
        <v>33.1</v>
      </c>
      <c r="AU53">
        <f>VLOOKUP(A53,GOOG!A$2:G$55,4,0)</f>
        <v>574.46</v>
      </c>
      <c r="AV53">
        <f>VLOOKUP(A53,GOOGL!A$2:G$55,4,0)</f>
        <v>583.28</v>
      </c>
      <c r="AW53">
        <f>VLOOKUP(A53,GS!A$2:G$55,4,0)</f>
        <v>180.63</v>
      </c>
      <c r="AX53">
        <f>VLOOKUP(A53,HAL!A$2:G$55,4,0)</f>
        <v>65.61</v>
      </c>
      <c r="AY53">
        <f>VLOOKUP(A53,HD!A$2:G$55,4,0)</f>
        <v>88.46</v>
      </c>
      <c r="AZ53">
        <f>VLOOKUP(A53,HON!A$2:G$55,4,0)</f>
        <v>94.27</v>
      </c>
      <c r="BA53">
        <f>VLOOKUP(A53,HPQ!A$2:G$55,4,0)</f>
        <v>36.5</v>
      </c>
      <c r="BB53">
        <f>VLOOKUP(A53,IBM!A$2:G$55,4,0)</f>
        <v>190.57</v>
      </c>
      <c r="BC53">
        <f>VLOOKUP(A53,INTC!A$2:G$55,4,0)</f>
        <v>34.5</v>
      </c>
      <c r="BD53">
        <f>VLOOKUP(A53,JNJ!A$2:G$55,4,0)</f>
        <v>103.96</v>
      </c>
      <c r="BE53">
        <f>VLOOKUP(A53,JPM!A$2:G$55,4,0)</f>
        <v>59.75</v>
      </c>
      <c r="BF53">
        <f>VLOOKUP(A53,KO!A$2:G$55,4,0)</f>
        <v>41.36</v>
      </c>
      <c r="BG53">
        <f>VLOOKUP(A53,LLY!A$2:G$55,4,0)</f>
        <v>65</v>
      </c>
      <c r="BH53">
        <f>VLOOKUP(A53,LMT!A$2:G$55,4,0)</f>
        <v>173.71</v>
      </c>
      <c r="BI53">
        <f>VLOOKUP(A53,LOW!A$2:G$55,4,0)</f>
        <v>52.67</v>
      </c>
      <c r="BJ53">
        <f>VLOOKUP(A53,MA!A$2:G$55,4,0)</f>
        <v>74.930000000000007</v>
      </c>
      <c r="BK53">
        <f>VLOOKUP(A53,MCD!A$2:G$55,4,0)</f>
        <v>92.82</v>
      </c>
      <c r="BL53">
        <f>VLOOKUP(A53,MDLZ!A$2:G$55,4,0)</f>
        <v>35.25</v>
      </c>
      <c r="BM53">
        <f>VLOOKUP(A53,MDT!A$2:G$55,4,0)</f>
        <v>64.930000000000007</v>
      </c>
      <c r="BN53">
        <f>VLOOKUP(A53,MET!A$2:G$55,4,0)</f>
        <v>54.79</v>
      </c>
      <c r="BO53">
        <f>VLOOKUP(A53,MMM!A$2:G$55,4,0)</f>
        <v>143.5</v>
      </c>
      <c r="BP53">
        <f>VLOOKUP(A53,MO!A$2:G$55,4,0)</f>
        <v>42.96</v>
      </c>
      <c r="BQ53">
        <f>VLOOKUP(A53,MON!A$2:G$55,4,0)</f>
        <v>112.63</v>
      </c>
      <c r="BR53">
        <f>VLOOKUP(A53,MRK!A$2:G$55,4,0)</f>
        <v>59.26</v>
      </c>
      <c r="BS53">
        <f>VLOOKUP(A53,MS!A$2:G$55,4,0)</f>
        <v>34.700000000000003</v>
      </c>
      <c r="BT53">
        <f>VLOOKUP(A53,MSFT!A$2:G$55,4,0)</f>
        <v>46.6</v>
      </c>
      <c r="BU53">
        <f>VLOOKUP(A53,NKE!A$2:G$55,4,0)</f>
        <v>81.41</v>
      </c>
      <c r="BV53">
        <f>VLOOKUP(A53,NOV!A$2:G$55,4,0)</f>
        <v>80.31</v>
      </c>
      <c r="BW53">
        <f>VLOOKUP(A53,NSC!A$2:G$55,4,0)</f>
        <v>107.56</v>
      </c>
      <c r="BX53">
        <f>VLOOKUP(A53,ORCL!A$2:G$55,4,0)</f>
        <v>40.4</v>
      </c>
      <c r="BY53">
        <f>VLOOKUP(A53,OXY!A$2:G$55,4,0)</f>
        <v>97.05</v>
      </c>
      <c r="BZ53">
        <f>VLOOKUP(A53,PEP!A$2:G$55,4,0)</f>
        <v>90.58</v>
      </c>
      <c r="CA53">
        <f>VLOOKUP(A53,PFE!A$2:G$55,4,0)</f>
        <v>29.34</v>
      </c>
      <c r="CB53">
        <f>VLOOKUP(A53,PG!A$2:G$55,4,0)</f>
        <v>82.86</v>
      </c>
      <c r="CC53">
        <f>VLOOKUP(A53,PM!A$2:G$55,4,0)</f>
        <v>83.72</v>
      </c>
      <c r="CD53">
        <f>VLOOKUP(A53,QCOM!A$2:G$55,4,0)</f>
        <v>75.209999999999994</v>
      </c>
      <c r="CE53">
        <f>VLOOKUP(A53,RTN!A$2:G$55,4,0)</f>
        <v>100.32</v>
      </c>
      <c r="CF53">
        <f>VLOOKUP(A53,SBUX!A$2:G$55,4,0)</f>
        <v>74.94</v>
      </c>
      <c r="CG53">
        <f>VLOOKUP(A53,SLB!A$2:G$55,4,0)</f>
        <v>102.09</v>
      </c>
      <c r="CH53">
        <f>VLOOKUP(A53,SO!A$2:G$55,4,0)</f>
        <v>43.25</v>
      </c>
      <c r="CI53">
        <f>VLOOKUP(A53,SPG!A$2:G$55,4,0)</f>
        <v>164.2</v>
      </c>
      <c r="CJ53">
        <f>VLOOKUP(A53,T!A$2:G$55,4,0)</f>
        <v>34.36</v>
      </c>
      <c r="CK53">
        <f>VLOOKUP(A53,TGT!A$2:G$55,4,0)</f>
        <v>61.98</v>
      </c>
      <c r="CL53">
        <f>VLOOKUP(A53,TWX!A$2:G$55,4,0)</f>
        <v>76.27</v>
      </c>
      <c r="CM53">
        <f>VLOOKUP(A53,TXN!A$2:G$55,4,0)</f>
        <v>47.46</v>
      </c>
      <c r="CN53">
        <f>VLOOKUP(A53,UNH!A$2:G$55,4,0)</f>
        <v>85.86</v>
      </c>
      <c r="CO53">
        <f>VLOOKUP(A53,UNP!A$2:G$55,4,0)</f>
        <v>106.79</v>
      </c>
      <c r="CP53">
        <f>VLOOKUP(A53,UPS!A$2:G$55,4,0)</f>
        <v>97.79</v>
      </c>
      <c r="CQ53">
        <f>VLOOKUP(A53,USB!A$2:G$55,4,0)</f>
        <v>41.97</v>
      </c>
      <c r="CR53">
        <f>VLOOKUP(A53,UTX!A$2:G$55,4,0)</f>
        <v>107.95</v>
      </c>
      <c r="CS53">
        <f>VLOOKUP(A53,V!A$2:G$55,4,0)</f>
        <v>212.75</v>
      </c>
      <c r="CT53">
        <f>VLOOKUP(A53,VZ!A$2:G$55,4,0)</f>
        <v>48.26</v>
      </c>
      <c r="CU53">
        <f>VLOOKUP(A53,WAG!A$2:G$55,4,0)</f>
        <v>62.56</v>
      </c>
      <c r="CV53">
        <f>VLOOKUP(A53,WFC!A$2:G$55,4,0)</f>
        <v>51.52</v>
      </c>
      <c r="CW53">
        <f>VLOOKUP(A53,WMT!A$2:G$55,4,0)</f>
        <v>75.66</v>
      </c>
    </row>
    <row r="54" spans="1:101" x14ac:dyDescent="0.25">
      <c r="A54" s="34">
        <v>41897</v>
      </c>
      <c r="B54" s="36">
        <v>101.44</v>
      </c>
      <c r="C54">
        <f>VLOOKUP(A54,ABBV!A$2:G$55,4,0)</f>
        <v>57.47</v>
      </c>
      <c r="D54">
        <f>VLOOKUP(A54,ABT!A$2:G$55,4,0)</f>
        <v>42.44</v>
      </c>
      <c r="E54">
        <f>VLOOKUP(A54,ACN!A$2:G$55,4,0)</f>
        <v>80.45</v>
      </c>
      <c r="F54">
        <f>VLOOKUP(A54,AIG!A$2:G$55,4,0)</f>
        <v>54.74</v>
      </c>
      <c r="G54">
        <f>VLOOKUP(A54,ALL!A$2:G$55,4,0)</f>
        <v>61.09</v>
      </c>
      <c r="H54">
        <f>VLOOKUP(A54,AMGN!A$2:G$55,4,0)</f>
        <v>136.88999999999999</v>
      </c>
      <c r="I54">
        <f>VLOOKUP(A54,AMZN!A$2:G$55,4,0)</f>
        <v>319</v>
      </c>
      <c r="J54">
        <f>VLOOKUP(A54,APA!A$2:G$55,4,0)</f>
        <v>95.22</v>
      </c>
      <c r="K54">
        <f>VLOOKUP(A54,APC!A$2:G$55,4,0)</f>
        <v>104.08</v>
      </c>
      <c r="L54">
        <f>VLOOKUP(A54,AXP!A$2:G$55,4,0)</f>
        <v>87.11</v>
      </c>
      <c r="M54">
        <f>VLOOKUP(A54,BA!A$2:G$55,4,0)</f>
        <v>125.69</v>
      </c>
      <c r="N54">
        <f>VLOOKUP(A54,BAC!A$2:G$55,4,0)</f>
        <v>16.62</v>
      </c>
      <c r="O54">
        <f>VLOOKUP(A54,BAX!A$2:G$55,4,0)</f>
        <v>74.08</v>
      </c>
      <c r="P54">
        <f>VLOOKUP(A54,BIIB!A$2:G$55,4,0)</f>
        <v>315.70999999999998</v>
      </c>
      <c r="Q54">
        <f>VLOOKUP(A54,BK!A$2:G$55,4,0)</f>
        <v>39.56</v>
      </c>
      <c r="R54">
        <f>VLOOKUP(A54,BMY!A$2:G$55,4,0)</f>
        <v>49.75</v>
      </c>
      <c r="T54">
        <f>VLOOKUP(A54,'C'!A$2:G$55,4,0)</f>
        <v>51.92</v>
      </c>
      <c r="U54">
        <f>VLOOKUP(A54,CAT!A$2:G$55,4,0)</f>
        <v>103.22</v>
      </c>
      <c r="V54">
        <f>VLOOKUP(A54,CL!A$2:G$55,4,0)</f>
        <v>64.13</v>
      </c>
      <c r="W54">
        <f>VLOOKUP(A54,CMCSA!A$2:G$55,4,0)</f>
        <v>56.88</v>
      </c>
      <c r="X54">
        <f>VLOOKUP(A54,COF!A$2:G$55,4,0)</f>
        <v>80.92</v>
      </c>
      <c r="Y54">
        <f>VLOOKUP(A54,COP!A$2:G$55,4,0)</f>
        <v>77.959999999999994</v>
      </c>
      <c r="Z54">
        <f>VLOOKUP(A54,COST!A$2:G$55,4,0)</f>
        <v>125.45</v>
      </c>
      <c r="AA54">
        <f>VLOOKUP(A54,CSCO!A$2:G$55,4,0)</f>
        <v>24.87</v>
      </c>
      <c r="AB54">
        <f>VLOOKUP(A54,CVS!A$2:G$55,4,0)</f>
        <v>80.900000000000006</v>
      </c>
      <c r="AC54">
        <f>VLOOKUP(A54,CVX!A$2:G$55,4,0)</f>
        <v>122.06</v>
      </c>
      <c r="AD54">
        <f>VLOOKUP(A54,DD!A$2:G$55,4,0)</f>
        <v>64.75</v>
      </c>
      <c r="AE54">
        <f>VLOOKUP(A54,DIS!A$2:G$55,4,0)</f>
        <v>89.56</v>
      </c>
      <c r="AF54">
        <f>VLOOKUP(A54,DOW!A$2:G$55,4,0)</f>
        <v>52.43</v>
      </c>
      <c r="AG54">
        <f>VLOOKUP(A54,DVN!A$2:G$55,4,0)</f>
        <v>69.34</v>
      </c>
      <c r="AH54">
        <f>VLOOKUP(A54,EBAY!A$2:G$55,4,0)</f>
        <v>50.76</v>
      </c>
      <c r="AI54">
        <f>VLOOKUP(A54,EMC!A$2:G$55,4,0)</f>
        <v>29.3</v>
      </c>
      <c r="AJ54">
        <f>VLOOKUP(A54,EMR!A$2:G$55,4,0)</f>
        <v>64.180000000000007</v>
      </c>
      <c r="AK54">
        <f>VLOOKUP(A54,EXC!A$2:G$55,4,0)</f>
        <v>32.9</v>
      </c>
      <c r="AL54">
        <f>VLOOKUP(A54,F!A$2:G$55,4,0)</f>
        <v>16.420000000000002</v>
      </c>
      <c r="AM54">
        <f>VLOOKUP(A54,FB!A$2:G$55,4,0)</f>
        <v>73.430000000000007</v>
      </c>
      <c r="AN54">
        <f>VLOOKUP(A54,FCX!A$2:G$55,4,0)</f>
        <v>34.11</v>
      </c>
      <c r="AO54">
        <f>VLOOKUP(A54,FDX!A$2:G$55,4,0)</f>
        <v>152.01</v>
      </c>
      <c r="AP54">
        <f>VLOOKUP(A54,FOXA!A$2:G$55,4,0)</f>
        <v>34.53</v>
      </c>
      <c r="AQ54">
        <f>VLOOKUP(A54,GD!A$2:G$55,4,0)</f>
        <v>125.78</v>
      </c>
      <c r="AR54">
        <f>VLOOKUP(A54,GE!A$2:G$55,4,0)</f>
        <v>25.75</v>
      </c>
      <c r="AS54">
        <f>VLOOKUP(A54,GILD!A$2:G$55,4,0)</f>
        <v>99.33</v>
      </c>
      <c r="AT54">
        <f>VLOOKUP(A54,GM!A$2:G$55,4,0)</f>
        <v>33.15</v>
      </c>
      <c r="AU54">
        <f>VLOOKUP(A54,GOOG!A$2:G$55,4,0)</f>
        <v>568.21</v>
      </c>
      <c r="AV54">
        <f>VLOOKUP(A54,GOOGL!A$2:G$55,4,0)</f>
        <v>577.01</v>
      </c>
      <c r="AW54">
        <f>VLOOKUP(A54,GS!A$2:G$55,4,0)</f>
        <v>182.51</v>
      </c>
      <c r="AX54">
        <f>VLOOKUP(A54,HAL!A$2:G$55,4,0)</f>
        <v>64.91</v>
      </c>
      <c r="AY54">
        <f>VLOOKUP(A54,HD!A$2:G$55,4,0)</f>
        <v>88.6</v>
      </c>
      <c r="AZ54">
        <f>VLOOKUP(A54,HON!A$2:G$55,4,0)</f>
        <v>93.77</v>
      </c>
      <c r="BA54">
        <f>VLOOKUP(A54,HPQ!A$2:G$55,4,0)</f>
        <v>36.130000000000003</v>
      </c>
      <c r="BB54">
        <f>VLOOKUP(A54,IBM!A$2:G$55,4,0)</f>
        <v>190.58</v>
      </c>
      <c r="BC54">
        <f>VLOOKUP(A54,INTC!A$2:G$55,4,0)</f>
        <v>34.229999999999997</v>
      </c>
      <c r="BD54">
        <f>VLOOKUP(A54,JNJ!A$2:G$55,4,0)</f>
        <v>104.35</v>
      </c>
      <c r="BE54">
        <f>VLOOKUP(A54,JPM!A$2:G$55,4,0)</f>
        <v>59.45</v>
      </c>
      <c r="BF54">
        <f>VLOOKUP(A54,KO!A$2:G$55,4,0)</f>
        <v>41.33</v>
      </c>
      <c r="BG54">
        <f>VLOOKUP(A54,LLY!A$2:G$55,4,0)</f>
        <v>64.790000000000006</v>
      </c>
      <c r="BH54">
        <f>VLOOKUP(A54,LMT!A$2:G$55,4,0)</f>
        <v>173.92</v>
      </c>
      <c r="BI54">
        <f>VLOOKUP(A54,LOW!A$2:G$55,4,0)</f>
        <v>52.71</v>
      </c>
      <c r="BJ54">
        <f>VLOOKUP(A54,MA!A$2:G$55,4,0)</f>
        <v>74.78</v>
      </c>
      <c r="BK54">
        <f>VLOOKUP(A54,MCD!A$2:G$55,4,0)</f>
        <v>93.25</v>
      </c>
      <c r="BL54">
        <f>VLOOKUP(A54,MDLZ!A$2:G$55,4,0)</f>
        <v>35.21</v>
      </c>
      <c r="BM54">
        <f>VLOOKUP(A54,MDT!A$2:G$55,4,0)</f>
        <v>64.75</v>
      </c>
      <c r="BN54">
        <f>VLOOKUP(A54,MET!A$2:G$55,4,0)</f>
        <v>54.78</v>
      </c>
      <c r="BO54">
        <f>VLOOKUP(A54,MMM!A$2:G$55,4,0)</f>
        <v>143.66</v>
      </c>
      <c r="BP54">
        <f>VLOOKUP(A54,MO!A$2:G$55,4,0)</f>
        <v>43.37</v>
      </c>
      <c r="BQ54">
        <f>VLOOKUP(A54,MON!A$2:G$55,4,0)</f>
        <v>112.57</v>
      </c>
      <c r="BR54">
        <f>VLOOKUP(A54,MRK!A$2:G$55,4,0)</f>
        <v>59.5</v>
      </c>
      <c r="BS54">
        <f>VLOOKUP(A54,MS!A$2:G$55,4,0)</f>
        <v>34.76</v>
      </c>
      <c r="BT54">
        <f>VLOOKUP(A54,MSFT!A$2:G$55,4,0)</f>
        <v>46.1</v>
      </c>
      <c r="BU54">
        <f>VLOOKUP(A54,NKE!A$2:G$55,4,0)</f>
        <v>81.010000000000005</v>
      </c>
      <c r="BV54">
        <f>VLOOKUP(A54,NOV!A$2:G$55,4,0)</f>
        <v>80.3</v>
      </c>
      <c r="BW54">
        <f>VLOOKUP(A54,NSC!A$2:G$55,4,0)</f>
        <v>107.32</v>
      </c>
      <c r="BX54">
        <f>VLOOKUP(A54,ORCL!A$2:G$55,4,0)</f>
        <v>40.21</v>
      </c>
      <c r="BY54">
        <f>VLOOKUP(A54,OXY!A$2:G$55,4,0)</f>
        <v>96.34</v>
      </c>
      <c r="BZ54">
        <f>VLOOKUP(A54,PEP!A$2:G$55,4,0)</f>
        <v>90.78</v>
      </c>
      <c r="CA54">
        <f>VLOOKUP(A54,PFE!A$2:G$55,4,0)</f>
        <v>29.38</v>
      </c>
      <c r="CB54">
        <f>VLOOKUP(A54,PG!A$2:G$55,4,0)</f>
        <v>83.14</v>
      </c>
      <c r="CC54">
        <f>VLOOKUP(A54,PM!A$2:G$55,4,0)</f>
        <v>83.88</v>
      </c>
      <c r="CD54">
        <f>VLOOKUP(A54,QCOM!A$2:G$55,4,0)</f>
        <v>74.989999999999995</v>
      </c>
      <c r="CE54">
        <f>VLOOKUP(A54,RTN!A$2:G$55,4,0)</f>
        <v>100.44</v>
      </c>
      <c r="CF54">
        <f>VLOOKUP(A54,SBUX!A$2:G$55,4,0)</f>
        <v>74.39</v>
      </c>
      <c r="CG54">
        <f>VLOOKUP(A54,SLB!A$2:G$55,4,0)</f>
        <v>101.85</v>
      </c>
      <c r="CH54">
        <f>VLOOKUP(A54,SO!A$2:G$55,4,0)</f>
        <v>43.22</v>
      </c>
      <c r="CI54">
        <f>VLOOKUP(A54,SPG!A$2:G$55,4,0)</f>
        <v>164.44</v>
      </c>
      <c r="CJ54">
        <f>VLOOKUP(A54,T!A$2:G$55,4,0)</f>
        <v>34.42</v>
      </c>
      <c r="CK54">
        <f>VLOOKUP(A54,TGT!A$2:G$55,4,0)</f>
        <v>62.07</v>
      </c>
      <c r="CL54">
        <f>VLOOKUP(A54,TWX!A$2:G$55,4,0)</f>
        <v>75.97</v>
      </c>
      <c r="CM54">
        <f>VLOOKUP(A54,TXN!A$2:G$55,4,0)</f>
        <v>47.11</v>
      </c>
      <c r="CN54">
        <f>VLOOKUP(A54,UNH!A$2:G$55,4,0)</f>
        <v>85.83</v>
      </c>
      <c r="CO54">
        <f>VLOOKUP(A54,UNP!A$2:G$55,4,0)</f>
        <v>106.41</v>
      </c>
      <c r="CP54">
        <f>VLOOKUP(A54,UPS!A$2:G$55,4,0)</f>
        <v>97.15</v>
      </c>
      <c r="CQ54">
        <f>VLOOKUP(A54,USB!A$2:G$55,4,0)</f>
        <v>42.14</v>
      </c>
      <c r="CR54">
        <f>VLOOKUP(A54,UTX!A$2:G$55,4,0)</f>
        <v>107.75</v>
      </c>
      <c r="CS54">
        <f>VLOOKUP(A54,V!A$2:G$55,4,0)</f>
        <v>213.85</v>
      </c>
      <c r="CT54">
        <f>VLOOKUP(A54,VZ!A$2:G$55,4,0)</f>
        <v>48.3</v>
      </c>
      <c r="CU54">
        <f>VLOOKUP(A54,WAG!A$2:G$55,4,0)</f>
        <v>62.32</v>
      </c>
      <c r="CV54">
        <f>VLOOKUP(A54,WFC!A$2:G$55,4,0)</f>
        <v>51.66</v>
      </c>
      <c r="CW54">
        <f>VLOOKUP(A54,WMT!A$2:G$55,4,0)</f>
        <v>75.61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54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35</v>
      </c>
      <c r="C1" t="s">
        <v>222</v>
      </c>
      <c r="D1" t="s">
        <v>41</v>
      </c>
      <c r="E1" t="s">
        <v>42</v>
      </c>
      <c r="F1" t="s">
        <v>223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219</v>
      </c>
      <c r="Q1" t="s">
        <v>52</v>
      </c>
      <c r="R1" t="s">
        <v>53</v>
      </c>
      <c r="S1" t="s">
        <v>142</v>
      </c>
      <c r="T1" t="s">
        <v>34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224</v>
      </c>
      <c r="AN1" t="s">
        <v>72</v>
      </c>
      <c r="AO1" t="s">
        <v>73</v>
      </c>
      <c r="AP1" t="s">
        <v>225</v>
      </c>
      <c r="AQ1" t="s">
        <v>74</v>
      </c>
      <c r="AR1" t="s">
        <v>75</v>
      </c>
      <c r="AS1" t="s">
        <v>76</v>
      </c>
      <c r="AT1" t="s">
        <v>226</v>
      </c>
      <c r="AU1" t="s">
        <v>77</v>
      </c>
      <c r="AV1" t="s">
        <v>227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83</v>
      </c>
      <c r="BC1" t="s">
        <v>84</v>
      </c>
      <c r="BD1" t="s">
        <v>85</v>
      </c>
      <c r="BE1" t="s">
        <v>86</v>
      </c>
      <c r="BF1" t="s">
        <v>87</v>
      </c>
      <c r="BG1" t="s">
        <v>88</v>
      </c>
      <c r="BH1" t="s">
        <v>89</v>
      </c>
      <c r="BI1" t="s">
        <v>90</v>
      </c>
      <c r="BJ1" t="s">
        <v>91</v>
      </c>
      <c r="BK1" t="s">
        <v>92</v>
      </c>
      <c r="BL1" t="s">
        <v>93</v>
      </c>
      <c r="BM1" t="s">
        <v>94</v>
      </c>
      <c r="BN1" t="s">
        <v>95</v>
      </c>
      <c r="BO1" t="s">
        <v>96</v>
      </c>
      <c r="BP1" t="s">
        <v>97</v>
      </c>
      <c r="BQ1" t="s">
        <v>98</v>
      </c>
      <c r="BR1" t="s">
        <v>99</v>
      </c>
      <c r="BS1" t="s">
        <v>100</v>
      </c>
      <c r="BT1" t="s">
        <v>26</v>
      </c>
      <c r="BU1" t="s">
        <v>101</v>
      </c>
      <c r="BV1" t="s">
        <v>102</v>
      </c>
      <c r="BW1" t="s">
        <v>103</v>
      </c>
      <c r="BX1" t="s">
        <v>104</v>
      </c>
      <c r="BY1" t="s">
        <v>105</v>
      </c>
      <c r="BZ1" t="s">
        <v>106</v>
      </c>
      <c r="CA1" t="s">
        <v>107</v>
      </c>
      <c r="CB1" t="s">
        <v>108</v>
      </c>
      <c r="CC1" t="s">
        <v>109</v>
      </c>
      <c r="CD1" t="s">
        <v>110</v>
      </c>
      <c r="CE1" t="s">
        <v>111</v>
      </c>
      <c r="CF1" t="s">
        <v>112</v>
      </c>
      <c r="CG1" t="s">
        <v>113</v>
      </c>
      <c r="CH1" t="s">
        <v>114</v>
      </c>
      <c r="CI1" t="s">
        <v>115</v>
      </c>
      <c r="CJ1" t="s">
        <v>116</v>
      </c>
      <c r="CK1" t="s">
        <v>117</v>
      </c>
      <c r="CL1" t="s">
        <v>118</v>
      </c>
      <c r="CM1" t="s">
        <v>119</v>
      </c>
      <c r="CN1" t="s">
        <v>120</v>
      </c>
      <c r="CO1" t="s">
        <v>121</v>
      </c>
      <c r="CP1" t="s">
        <v>122</v>
      </c>
      <c r="CQ1" t="s">
        <v>123</v>
      </c>
      <c r="CR1" t="s">
        <v>124</v>
      </c>
      <c r="CS1" t="s">
        <v>125</v>
      </c>
      <c r="CT1" t="s">
        <v>126</v>
      </c>
      <c r="CU1" t="s">
        <v>127</v>
      </c>
      <c r="CV1" t="s">
        <v>128</v>
      </c>
      <c r="CW1" t="s">
        <v>22</v>
      </c>
    </row>
    <row r="2" spans="1:101" x14ac:dyDescent="0.25">
      <c r="A2" s="34">
        <v>41821</v>
      </c>
      <c r="B2" s="36">
        <v>93.52</v>
      </c>
      <c r="C2">
        <f>VLOOKUP(A2,ABBV!A$2:G$55,5,0)</f>
        <v>56.89</v>
      </c>
      <c r="D2">
        <f>VLOOKUP(A2,ABT!A$2:G$55,5,0)</f>
        <v>41.18</v>
      </c>
      <c r="E2">
        <f>VLOOKUP(A2,ACN!A$2:G$55,5,0)</f>
        <v>81.25</v>
      </c>
      <c r="F2">
        <f>VLOOKUP(A2,AIG!A$2:G$55,5,0)</f>
        <v>55.38</v>
      </c>
      <c r="G2">
        <f>VLOOKUP(A2,ALL!A$2:G$55,5,0)</f>
        <v>59.12</v>
      </c>
      <c r="H2">
        <f>VLOOKUP(A2,AMGN!A$2:G$55,5,0)</f>
        <v>120.31</v>
      </c>
      <c r="I2">
        <f>VLOOKUP(A2,AMZN!A$2:G$55,5,0)</f>
        <v>332.39</v>
      </c>
      <c r="J2">
        <f>VLOOKUP(A2,APA!A$2:G$55,5,0)</f>
        <v>100.51</v>
      </c>
      <c r="K2">
        <f>VLOOKUP(A2,APC!A$2:G$55,5,0)</f>
        <v>109.33</v>
      </c>
      <c r="L2">
        <f>VLOOKUP(A2,AXP!A$2:G$55,5,0)</f>
        <v>95.35</v>
      </c>
      <c r="M2">
        <f>VLOOKUP(A2,BA!A$2:G$55,5,0)</f>
        <v>128.15</v>
      </c>
      <c r="N2">
        <f>VLOOKUP(A2,BAC!A$2:G$55,5,0)</f>
        <v>15.6</v>
      </c>
      <c r="O2">
        <f>VLOOKUP(A2,BAX!A$2:G$55,5,0)</f>
        <v>73.760000000000005</v>
      </c>
      <c r="P2">
        <f>VLOOKUP(A2,BIIB!A$2:G$55,5,0)</f>
        <v>324.74</v>
      </c>
      <c r="Q2">
        <f>VLOOKUP(A2,BK!A$2:G$55,5,0)</f>
        <v>37.9</v>
      </c>
      <c r="R2">
        <f>VLOOKUP(A2,BMY!A$2:G$55,5,0)</f>
        <v>48.12</v>
      </c>
      <c r="T2">
        <f>VLOOKUP(A2,'C'!A$2:G$55,5,0)</f>
        <v>47.46</v>
      </c>
      <c r="U2">
        <f>VLOOKUP(A2,CAT!A$2:G$55,5,0)</f>
        <v>109.17</v>
      </c>
      <c r="V2">
        <f>VLOOKUP(A2,CL!A$2:G$55,5,0)</f>
        <v>68.48</v>
      </c>
      <c r="W2">
        <f>VLOOKUP(A2,CMCSA!A$2:G$55,5,0)</f>
        <v>54.11</v>
      </c>
      <c r="X2">
        <f>VLOOKUP(A2,COF!A$2:G$55,5,0)</f>
        <v>83.02</v>
      </c>
      <c r="Y2">
        <f>VLOOKUP(A2,COP!A$2:G$55,5,0)</f>
        <v>86.11</v>
      </c>
      <c r="Z2">
        <f>VLOOKUP(A2,COST!A$2:G$55,5,0)</f>
        <v>115.44</v>
      </c>
      <c r="AA2">
        <f>VLOOKUP(A2,CSCO!A$2:G$55,5,0)</f>
        <v>25.08</v>
      </c>
      <c r="AB2">
        <f>VLOOKUP(A2,CVS!A$2:G$55,5,0)</f>
        <v>76.040000000000006</v>
      </c>
      <c r="AC2">
        <f>VLOOKUP(A2,CVX!A$2:G$55,5,0)</f>
        <v>130.54</v>
      </c>
      <c r="AD2">
        <f>VLOOKUP(A2,DD!A$2:G$55,5,0)</f>
        <v>65.41</v>
      </c>
      <c r="AE2">
        <f>VLOOKUP(A2,DIS!A$2:G$55,5,0)</f>
        <v>86.47</v>
      </c>
      <c r="AF2">
        <f>VLOOKUP(A2,DOW!A$2:G$55,5,0)</f>
        <v>51.54</v>
      </c>
      <c r="AG2">
        <f>VLOOKUP(A2,DVN!A$2:G$55,5,0)</f>
        <v>79.08</v>
      </c>
      <c r="AH2">
        <f>VLOOKUP(A2,EBAY!A$2:G$55,5,0)</f>
        <v>50.5</v>
      </c>
      <c r="AI2">
        <f>VLOOKUP(A2,EMC!A$2:G$55,5,0)</f>
        <v>26.61</v>
      </c>
      <c r="AJ2">
        <f>VLOOKUP(A2,EMR!A$2:G$55,5,0)</f>
        <v>66.55</v>
      </c>
      <c r="AK2">
        <f>VLOOKUP(A2,EXC!A$2:G$55,5,0)</f>
        <v>35.700000000000003</v>
      </c>
      <c r="AL2">
        <f>VLOOKUP(A2,F!A$2:G$55,5,0)</f>
        <v>17.21</v>
      </c>
      <c r="AM2">
        <f>VLOOKUP(A2,FB!A$2:G$55,5,0)</f>
        <v>68.06</v>
      </c>
      <c r="AN2">
        <f>VLOOKUP(A2,FCX!A$2:G$55,5,0)</f>
        <v>36.85</v>
      </c>
      <c r="AO2">
        <f>VLOOKUP(A2,FDX!A$2:G$55,5,0)</f>
        <v>152.38</v>
      </c>
      <c r="AP2">
        <f>VLOOKUP(A2,FOXA!A$2:G$55,5,0)</f>
        <v>35.299999999999997</v>
      </c>
      <c r="AQ2">
        <f>VLOOKUP(A2,GD!A$2:G$55,5,0)</f>
        <v>116.45</v>
      </c>
      <c r="AR2">
        <f>VLOOKUP(A2,GE!A$2:G$55,5,0)</f>
        <v>26.4</v>
      </c>
      <c r="AS2">
        <f>VLOOKUP(A2,GILD!A$2:G$55,5,0)</f>
        <v>85.29</v>
      </c>
      <c r="AT2">
        <f>VLOOKUP(A2,GM!A$2:G$55,5,0)</f>
        <v>37.590000000000003</v>
      </c>
      <c r="AU2">
        <f>VLOOKUP(A2,GOOG!A$2:G$55,5,0)</f>
        <v>582.66999999999996</v>
      </c>
      <c r="AV2">
        <f>VLOOKUP(A2,GOOGL!A$2:G$55,5,0)</f>
        <v>591.49</v>
      </c>
      <c r="AW2">
        <f>VLOOKUP(A2,GS!A$2:G$55,5,0)</f>
        <v>166.81</v>
      </c>
      <c r="AX2">
        <f>VLOOKUP(A2,HAL!A$2:G$55,5,0)</f>
        <v>70.849999999999994</v>
      </c>
      <c r="AY2">
        <f>VLOOKUP(A2,HD!A$2:G$55,5,0)</f>
        <v>81.819999999999993</v>
      </c>
      <c r="AZ2">
        <f>VLOOKUP(A2,HON!A$2:G$55,5,0)</f>
        <v>94.59</v>
      </c>
      <c r="BA2">
        <f>VLOOKUP(A2,HPQ!A$2:G$55,5,0)</f>
        <v>34.18</v>
      </c>
      <c r="BB2">
        <f>VLOOKUP(A2,IBM!A$2:G$55,5,0)</f>
        <v>186.35</v>
      </c>
      <c r="BC2">
        <f>VLOOKUP(A2,INTC!A$2:G$55,5,0)</f>
        <v>30.98</v>
      </c>
      <c r="BD2">
        <f>VLOOKUP(A2,JNJ!A$2:G$55,5,0)</f>
        <v>105.87</v>
      </c>
      <c r="BE2">
        <f>VLOOKUP(A2,JPM!A$2:G$55,5,0)</f>
        <v>57.57</v>
      </c>
      <c r="BF2">
        <f>VLOOKUP(A2,KO!A$2:G$55,5,0)</f>
        <v>42.29</v>
      </c>
      <c r="BG2">
        <f>VLOOKUP(A2,LLY!A$2:G$55,5,0)</f>
        <v>62.5</v>
      </c>
      <c r="BH2">
        <f>VLOOKUP(A2,LMT!A$2:G$55,5,0)</f>
        <v>160.63999999999999</v>
      </c>
      <c r="BI2">
        <f>VLOOKUP(A2,LOW!A$2:G$55,5,0)</f>
        <v>48.13</v>
      </c>
      <c r="BJ2">
        <f>VLOOKUP(A2,MA!A$2:G$55,5,0)</f>
        <v>75.53</v>
      </c>
      <c r="BK2">
        <f>VLOOKUP(A2,MCD!A$2:G$55,5,0)</f>
        <v>101</v>
      </c>
      <c r="BL2">
        <f>VLOOKUP(A2,MDLZ!A$2:G$55,5,0)</f>
        <v>37.869999999999997</v>
      </c>
      <c r="BM2">
        <f>VLOOKUP(A2,MDT!A$2:G$55,5,0)</f>
        <v>63.91</v>
      </c>
      <c r="BN2">
        <f>VLOOKUP(A2,MET!A$2:G$55,5,0)</f>
        <v>56.18</v>
      </c>
      <c r="BO2">
        <f>VLOOKUP(A2,MMM!A$2:G$55,5,0)</f>
        <v>144.56</v>
      </c>
      <c r="BP2">
        <f>VLOOKUP(A2,MO!A$2:G$55,5,0)</f>
        <v>41.83</v>
      </c>
      <c r="BQ2">
        <f>VLOOKUP(A2,MON!A$2:G$55,5,0)</f>
        <v>124.3</v>
      </c>
      <c r="BR2">
        <f>VLOOKUP(A2,MRK!A$2:G$55,5,0)</f>
        <v>58.51</v>
      </c>
      <c r="BS2">
        <f>VLOOKUP(A2,MS!A$2:G$55,5,0)</f>
        <v>32.32</v>
      </c>
      <c r="BT2">
        <f>VLOOKUP(A2,MSFT!A$2:G$55,5,0)</f>
        <v>41.87</v>
      </c>
      <c r="BU2">
        <f>VLOOKUP(A2,NKE!A$2:G$55,5,0)</f>
        <v>78</v>
      </c>
      <c r="BV2">
        <f>VLOOKUP(A2,NOV!A$2:G$55,5,0)</f>
        <v>82.41</v>
      </c>
      <c r="BW2">
        <f>VLOOKUP(A2,NSC!A$2:G$55,5,0)</f>
        <v>102.55</v>
      </c>
      <c r="BX2">
        <f>VLOOKUP(A2,ORCL!A$2:G$55,5,0)</f>
        <v>40.770000000000003</v>
      </c>
      <c r="BY2">
        <f>VLOOKUP(A2,OXY!A$2:G$55,5,0)</f>
        <v>102.8</v>
      </c>
      <c r="BZ2">
        <f>VLOOKUP(A2,PEP!A$2:G$55,5,0)</f>
        <v>89.13</v>
      </c>
      <c r="CA2">
        <f>VLOOKUP(A2,PFE!A$2:G$55,5,0)</f>
        <v>30.08</v>
      </c>
      <c r="CB2">
        <f>VLOOKUP(A2,PG!A$2:G$55,5,0)</f>
        <v>79.28</v>
      </c>
      <c r="CC2">
        <f>VLOOKUP(A2,PM!A$2:G$55,5,0)</f>
        <v>84.21</v>
      </c>
      <c r="CD2">
        <f>VLOOKUP(A2,QCOM!A$2:G$55,5,0)</f>
        <v>79.73</v>
      </c>
      <c r="CE2">
        <f>VLOOKUP(A2,RTN!A$2:G$55,5,0)</f>
        <v>93.1</v>
      </c>
      <c r="CF2">
        <f>VLOOKUP(A2,SBUX!A$2:G$55,5,0)</f>
        <v>78.08</v>
      </c>
      <c r="CG2">
        <f>VLOOKUP(A2,SLB!A$2:G$55,5,0)</f>
        <v>117.85</v>
      </c>
      <c r="CH2">
        <f>VLOOKUP(A2,SO!A$2:G$55,5,0)</f>
        <v>45.08</v>
      </c>
      <c r="CI2">
        <f>VLOOKUP(A2,SPG!A$2:G$55,5,0)</f>
        <v>166.88</v>
      </c>
      <c r="CJ2">
        <f>VLOOKUP(A2,T!A$2:G$55,5,0)</f>
        <v>35.479999999999997</v>
      </c>
      <c r="CK2">
        <f>VLOOKUP(A2,TGT!A$2:G$55,5,0)</f>
        <v>58.37</v>
      </c>
      <c r="CL2">
        <f>VLOOKUP(A2,TWX!A$2:G$55,5,0)</f>
        <v>70.569999999999993</v>
      </c>
      <c r="CM2">
        <f>VLOOKUP(A2,TXN!A$2:G$55,5,0)</f>
        <v>48.49</v>
      </c>
      <c r="CN2">
        <f>VLOOKUP(A2,UNH!A$2:G$55,5,0)</f>
        <v>81.89</v>
      </c>
      <c r="CO2">
        <f>VLOOKUP(A2,UNP!A$2:G$55,5,0)</f>
        <v>100.1</v>
      </c>
      <c r="CP2">
        <f>VLOOKUP(A2,UPS!A$2:G$55,5,0)</f>
        <v>102.85</v>
      </c>
      <c r="CQ2">
        <f>VLOOKUP(A2,USB!A$2:G$55,5,0)</f>
        <v>43.34</v>
      </c>
      <c r="CR2">
        <f>VLOOKUP(A2,UTX!A$2:G$55,5,0)</f>
        <v>115.93</v>
      </c>
      <c r="CS2">
        <f>VLOOKUP(A2,V!A$2:G$55,5,0)</f>
        <v>214.25</v>
      </c>
      <c r="CT2">
        <f>VLOOKUP(A2,VZ!A$2:G$55,5,0)</f>
        <v>49.37</v>
      </c>
      <c r="CU2">
        <f>VLOOKUP(A2,WAG!A$2:G$55,5,0)</f>
        <v>73.78</v>
      </c>
      <c r="CV2">
        <f>VLOOKUP(A2,WFC!A$2:G$55,5,0)</f>
        <v>52.72</v>
      </c>
      <c r="CW2">
        <f>VLOOKUP(A2,WMT!A$2:G$55,5,0)</f>
        <v>75.28</v>
      </c>
    </row>
    <row r="3" spans="1:101" x14ac:dyDescent="0.25">
      <c r="A3" s="34">
        <v>41822</v>
      </c>
      <c r="B3" s="36">
        <v>93.48</v>
      </c>
      <c r="C3">
        <f>VLOOKUP(A3,ABBV!A$2:G$55,5,0)</f>
        <v>58.11</v>
      </c>
      <c r="D3">
        <f>VLOOKUP(A3,ABT!A$2:G$55,5,0)</f>
        <v>41.79</v>
      </c>
      <c r="E3">
        <f>VLOOKUP(A3,ACN!A$2:G$55,5,0)</f>
        <v>81.06</v>
      </c>
      <c r="F3">
        <f>VLOOKUP(A3,AIG!A$2:G$55,5,0)</f>
        <v>55.25</v>
      </c>
      <c r="G3">
        <f>VLOOKUP(A3,ALL!A$2:G$55,5,0)</f>
        <v>59</v>
      </c>
      <c r="H3">
        <f>VLOOKUP(A3,AMGN!A$2:G$55,5,0)</f>
        <v>121.03</v>
      </c>
      <c r="I3">
        <f>VLOOKUP(A3,AMZN!A$2:G$55,5,0)</f>
        <v>332.85</v>
      </c>
      <c r="J3">
        <f>VLOOKUP(A3,APA!A$2:G$55,5,0)</f>
        <v>99.85</v>
      </c>
      <c r="K3">
        <f>VLOOKUP(A3,APC!A$2:G$55,5,0)</f>
        <v>107.63</v>
      </c>
      <c r="L3">
        <f>VLOOKUP(A3,AXP!A$2:G$55,5,0)</f>
        <v>95.21</v>
      </c>
      <c r="M3">
        <f>VLOOKUP(A3,BA!A$2:G$55,5,0)</f>
        <v>127.62</v>
      </c>
      <c r="N3">
        <f>VLOOKUP(A3,BAC!A$2:G$55,5,0)</f>
        <v>15.85</v>
      </c>
      <c r="O3">
        <f>VLOOKUP(A3,BAX!A$2:G$55,5,0)</f>
        <v>74.989999999999995</v>
      </c>
      <c r="P3">
        <f>VLOOKUP(A3,BIIB!A$2:G$55,5,0)</f>
        <v>331</v>
      </c>
      <c r="Q3">
        <f>VLOOKUP(A3,BK!A$2:G$55,5,0)</f>
        <v>37.61</v>
      </c>
      <c r="R3">
        <f>VLOOKUP(A3,BMY!A$2:G$55,5,0)</f>
        <v>48.24</v>
      </c>
      <c r="T3">
        <f>VLOOKUP(A3,'C'!A$2:G$55,5,0)</f>
        <v>48.01</v>
      </c>
      <c r="U3">
        <f>VLOOKUP(A3,CAT!A$2:G$55,5,0)</f>
        <v>109.56</v>
      </c>
      <c r="V3">
        <f>VLOOKUP(A3,CL!A$2:G$55,5,0)</f>
        <v>68.47</v>
      </c>
      <c r="W3">
        <f>VLOOKUP(A3,CMCSA!A$2:G$55,5,0)</f>
        <v>54.56</v>
      </c>
      <c r="X3">
        <f>VLOOKUP(A3,COF!A$2:G$55,5,0)</f>
        <v>83.6</v>
      </c>
      <c r="Y3">
        <f>VLOOKUP(A3,COP!A$2:G$55,5,0)</f>
        <v>85.86</v>
      </c>
      <c r="Z3">
        <f>VLOOKUP(A3,COST!A$2:G$55,5,0)</f>
        <v>115.75</v>
      </c>
      <c r="AA3">
        <f>VLOOKUP(A3,CSCO!A$2:G$55,5,0)</f>
        <v>25.03</v>
      </c>
      <c r="AB3">
        <f>VLOOKUP(A3,CVS!A$2:G$55,5,0)</f>
        <v>76.25</v>
      </c>
      <c r="AC3">
        <f>VLOOKUP(A3,CVX!A$2:G$55,5,0)</f>
        <v>130.22999999999999</v>
      </c>
      <c r="AD3">
        <f>VLOOKUP(A3,DD!A$2:G$55,5,0)</f>
        <v>65.36</v>
      </c>
      <c r="AE3">
        <f>VLOOKUP(A3,DIS!A$2:G$55,5,0)</f>
        <v>86.44</v>
      </c>
      <c r="AF3">
        <f>VLOOKUP(A3,DOW!A$2:G$55,5,0)</f>
        <v>51.52</v>
      </c>
      <c r="AG3">
        <f>VLOOKUP(A3,DVN!A$2:G$55,5,0)</f>
        <v>78.58</v>
      </c>
      <c r="AH3">
        <f>VLOOKUP(A3,EBAY!A$2:G$55,5,0)</f>
        <v>50.55</v>
      </c>
      <c r="AI3">
        <f>VLOOKUP(A3,EMC!A$2:G$55,5,0)</f>
        <v>26.7</v>
      </c>
      <c r="AJ3">
        <f>VLOOKUP(A3,EMR!A$2:G$55,5,0)</f>
        <v>66.64</v>
      </c>
      <c r="AK3">
        <f>VLOOKUP(A3,EXC!A$2:G$55,5,0)</f>
        <v>34.590000000000003</v>
      </c>
      <c r="AL3">
        <f>VLOOKUP(A3,F!A$2:G$55,5,0)</f>
        <v>17.22</v>
      </c>
      <c r="AM3">
        <f>VLOOKUP(A3,FB!A$2:G$55,5,0)</f>
        <v>66.45</v>
      </c>
      <c r="AN3">
        <f>VLOOKUP(A3,FCX!A$2:G$55,5,0)</f>
        <v>37.83</v>
      </c>
      <c r="AO3">
        <f>VLOOKUP(A3,FDX!A$2:G$55,5,0)</f>
        <v>152.27000000000001</v>
      </c>
      <c r="AP3">
        <f>VLOOKUP(A3,FOXA!A$2:G$55,5,0)</f>
        <v>35.700000000000003</v>
      </c>
      <c r="AQ3">
        <f>VLOOKUP(A3,GD!A$2:G$55,5,0)</f>
        <v>115.5</v>
      </c>
      <c r="AR3">
        <f>VLOOKUP(A3,GE!A$2:G$55,5,0)</f>
        <v>26.61</v>
      </c>
      <c r="AS3">
        <f>VLOOKUP(A3,GILD!A$2:G$55,5,0)</f>
        <v>87.1</v>
      </c>
      <c r="AT3">
        <f>VLOOKUP(A3,GM!A$2:G$55,5,0)</f>
        <v>37.74</v>
      </c>
      <c r="AU3">
        <f>VLOOKUP(A3,GOOG!A$2:G$55,5,0)</f>
        <v>582.34</v>
      </c>
      <c r="AV3">
        <f>VLOOKUP(A3,GOOGL!A$2:G$55,5,0)</f>
        <v>590.78</v>
      </c>
      <c r="AW3">
        <f>VLOOKUP(A3,GS!A$2:G$55,5,0)</f>
        <v>166.89</v>
      </c>
      <c r="AX3">
        <f>VLOOKUP(A3,HAL!A$2:G$55,5,0)</f>
        <v>70.819999999999993</v>
      </c>
      <c r="AY3">
        <f>VLOOKUP(A3,HD!A$2:G$55,5,0)</f>
        <v>81.98</v>
      </c>
      <c r="AZ3">
        <f>VLOOKUP(A3,HON!A$2:G$55,5,0)</f>
        <v>94.28</v>
      </c>
      <c r="BA3">
        <f>VLOOKUP(A3,HPQ!A$2:G$55,5,0)</f>
        <v>33.880000000000003</v>
      </c>
      <c r="BB3">
        <f>VLOOKUP(A3,IBM!A$2:G$55,5,0)</f>
        <v>188.39</v>
      </c>
      <c r="BC3">
        <f>VLOOKUP(A3,INTC!A$2:G$55,5,0)</f>
        <v>30.98</v>
      </c>
      <c r="BD3">
        <f>VLOOKUP(A3,JNJ!A$2:G$55,5,0)</f>
        <v>105.86</v>
      </c>
      <c r="BE3">
        <f>VLOOKUP(A3,JPM!A$2:G$55,5,0)</f>
        <v>56.97</v>
      </c>
      <c r="BF3">
        <f>VLOOKUP(A3,KO!A$2:G$55,5,0)</f>
        <v>42.29</v>
      </c>
      <c r="BG3">
        <f>VLOOKUP(A3,LLY!A$2:G$55,5,0)</f>
        <v>62.7</v>
      </c>
      <c r="BH3">
        <f>VLOOKUP(A3,LMT!A$2:G$55,5,0)</f>
        <v>158.97999999999999</v>
      </c>
      <c r="BI3">
        <f>VLOOKUP(A3,LOW!A$2:G$55,5,0)</f>
        <v>48.12</v>
      </c>
      <c r="BJ3">
        <f>VLOOKUP(A3,MA!A$2:G$55,5,0)</f>
        <v>76.2</v>
      </c>
      <c r="BK3">
        <f>VLOOKUP(A3,MCD!A$2:G$55,5,0)</f>
        <v>100.53</v>
      </c>
      <c r="BL3">
        <f>VLOOKUP(A3,MDLZ!A$2:G$55,5,0)</f>
        <v>37.909999999999997</v>
      </c>
      <c r="BM3">
        <f>VLOOKUP(A3,MDT!A$2:G$55,5,0)</f>
        <v>63.91</v>
      </c>
      <c r="BN3">
        <f>VLOOKUP(A3,MET!A$2:G$55,5,0)</f>
        <v>56.1</v>
      </c>
      <c r="BO3">
        <f>VLOOKUP(A3,MMM!A$2:G$55,5,0)</f>
        <v>145.22999999999999</v>
      </c>
      <c r="BP3">
        <f>VLOOKUP(A3,MO!A$2:G$55,5,0)</f>
        <v>41.87</v>
      </c>
      <c r="BQ3">
        <f>VLOOKUP(A3,MON!A$2:G$55,5,0)</f>
        <v>126.53</v>
      </c>
      <c r="BR3">
        <f>VLOOKUP(A3,MRK!A$2:G$55,5,0)</f>
        <v>59.05</v>
      </c>
      <c r="BS3">
        <f>VLOOKUP(A3,MS!A$2:G$55,5,0)</f>
        <v>32.49</v>
      </c>
      <c r="BT3">
        <f>VLOOKUP(A3,MSFT!A$2:G$55,5,0)</f>
        <v>41.9</v>
      </c>
      <c r="BU3">
        <f>VLOOKUP(A3,NKE!A$2:G$55,5,0)</f>
        <v>77.790000000000006</v>
      </c>
      <c r="BV3">
        <f>VLOOKUP(A3,NOV!A$2:G$55,5,0)</f>
        <v>82.61</v>
      </c>
      <c r="BW3">
        <f>VLOOKUP(A3,NSC!A$2:G$55,5,0)</f>
        <v>103.56</v>
      </c>
      <c r="BX3">
        <f>VLOOKUP(A3,ORCL!A$2:G$55,5,0)</f>
        <v>40.950000000000003</v>
      </c>
      <c r="BY3">
        <f>VLOOKUP(A3,OXY!A$2:G$55,5,0)</f>
        <v>102.24</v>
      </c>
      <c r="BZ3">
        <f>VLOOKUP(A3,PEP!A$2:G$55,5,0)</f>
        <v>89.67</v>
      </c>
      <c r="CA3">
        <f>VLOOKUP(A3,PFE!A$2:G$55,5,0)</f>
        <v>30.37</v>
      </c>
      <c r="CB3">
        <f>VLOOKUP(A3,PG!A$2:G$55,5,0)</f>
        <v>79.56</v>
      </c>
      <c r="CC3">
        <f>VLOOKUP(A3,PM!A$2:G$55,5,0)</f>
        <v>84.86</v>
      </c>
      <c r="CD3">
        <f>VLOOKUP(A3,QCOM!A$2:G$55,5,0)</f>
        <v>80.17</v>
      </c>
      <c r="CE3">
        <f>VLOOKUP(A3,RTN!A$2:G$55,5,0)</f>
        <v>92.47</v>
      </c>
      <c r="CF3">
        <f>VLOOKUP(A3,SBUX!A$2:G$55,5,0)</f>
        <v>78.19</v>
      </c>
      <c r="CG3">
        <f>VLOOKUP(A3,SLB!A$2:G$55,5,0)</f>
        <v>117.73</v>
      </c>
      <c r="CH3">
        <f>VLOOKUP(A3,SO!A$2:G$55,5,0)</f>
        <v>44.26</v>
      </c>
      <c r="CI3">
        <f>VLOOKUP(A3,SPG!A$2:G$55,5,0)</f>
        <v>166.74</v>
      </c>
      <c r="CJ3">
        <f>VLOOKUP(A3,T!A$2:G$55,5,0)</f>
        <v>35.67</v>
      </c>
      <c r="CK3">
        <f>VLOOKUP(A3,TGT!A$2:G$55,5,0)</f>
        <v>58.77</v>
      </c>
      <c r="CL3">
        <f>VLOOKUP(A3,TWX!A$2:G$55,5,0)</f>
        <v>70.930000000000007</v>
      </c>
      <c r="CM3">
        <f>VLOOKUP(A3,TXN!A$2:G$55,5,0)</f>
        <v>48.51</v>
      </c>
      <c r="CN3">
        <f>VLOOKUP(A3,UNH!A$2:G$55,5,0)</f>
        <v>82.49</v>
      </c>
      <c r="CO3">
        <f>VLOOKUP(A3,UNP!A$2:G$55,5,0)</f>
        <v>100.07</v>
      </c>
      <c r="CP3">
        <f>VLOOKUP(A3,UPS!A$2:G$55,5,0)</f>
        <v>103.55</v>
      </c>
      <c r="CQ3">
        <f>VLOOKUP(A3,USB!A$2:G$55,5,0)</f>
        <v>43.25</v>
      </c>
      <c r="CR3">
        <f>VLOOKUP(A3,UTX!A$2:G$55,5,0)</f>
        <v>115.14</v>
      </c>
      <c r="CS3">
        <f>VLOOKUP(A3,V!A$2:G$55,5,0)</f>
        <v>214.84</v>
      </c>
      <c r="CT3">
        <f>VLOOKUP(A3,VZ!A$2:G$55,5,0)</f>
        <v>49.66</v>
      </c>
      <c r="CU3">
        <f>VLOOKUP(A3,WAG!A$2:G$55,5,0)</f>
        <v>73.040000000000006</v>
      </c>
      <c r="CV3">
        <f>VLOOKUP(A3,WFC!A$2:G$55,5,0)</f>
        <v>52.66</v>
      </c>
      <c r="CW3">
        <f>VLOOKUP(A3,WMT!A$2:G$55,5,0)</f>
        <v>75.62</v>
      </c>
    </row>
    <row r="4" spans="1:101" x14ac:dyDescent="0.25">
      <c r="A4" s="34">
        <v>41823</v>
      </c>
      <c r="B4" s="36">
        <v>94.03</v>
      </c>
      <c r="C4">
        <f>VLOOKUP(A4,ABBV!A$2:G$55,5,0)</f>
        <v>58.22</v>
      </c>
      <c r="D4">
        <f>VLOOKUP(A4,ABT!A$2:G$55,5,0)</f>
        <v>41.89</v>
      </c>
      <c r="E4">
        <f>VLOOKUP(A4,ACN!A$2:G$55,5,0)</f>
        <v>81.55</v>
      </c>
      <c r="F4">
        <f>VLOOKUP(A4,AIG!A$2:G$55,5,0)</f>
        <v>55.64</v>
      </c>
      <c r="G4">
        <f>VLOOKUP(A4,ALL!A$2:G$55,5,0)</f>
        <v>58.97</v>
      </c>
      <c r="H4">
        <f>VLOOKUP(A4,AMGN!A$2:G$55,5,0)</f>
        <v>122.85</v>
      </c>
      <c r="I4">
        <f>VLOOKUP(A4,AMZN!A$2:G$55,5,0)</f>
        <v>337.49</v>
      </c>
      <c r="J4">
        <f>VLOOKUP(A4,APA!A$2:G$55,5,0)</f>
        <v>100.03</v>
      </c>
      <c r="K4">
        <f>VLOOKUP(A4,APC!A$2:G$55,5,0)</f>
        <v>107.58</v>
      </c>
      <c r="L4">
        <f>VLOOKUP(A4,AXP!A$2:G$55,5,0)</f>
        <v>95.84</v>
      </c>
      <c r="M4">
        <f>VLOOKUP(A4,BA!A$2:G$55,5,0)</f>
        <v>128.51</v>
      </c>
      <c r="N4">
        <f>VLOOKUP(A4,BAC!A$2:G$55,5,0)</f>
        <v>16.03</v>
      </c>
      <c r="O4">
        <f>VLOOKUP(A4,BAX!A$2:G$55,5,0)</f>
        <v>74.88</v>
      </c>
      <c r="P4">
        <f>VLOOKUP(A4,BIIB!A$2:G$55,5,0)</f>
        <v>331.15</v>
      </c>
      <c r="Q4">
        <f>VLOOKUP(A4,BK!A$2:G$55,5,0)</f>
        <v>37.93</v>
      </c>
      <c r="R4">
        <f>VLOOKUP(A4,BMY!A$2:G$55,5,0)</f>
        <v>48.44</v>
      </c>
      <c r="T4">
        <f>VLOOKUP(A4,'C'!A$2:G$55,5,0)</f>
        <v>48.24</v>
      </c>
      <c r="U4">
        <f>VLOOKUP(A4,CAT!A$2:G$55,5,0)</f>
        <v>111.08</v>
      </c>
      <c r="V4">
        <f>VLOOKUP(A4,CL!A$2:G$55,5,0)</f>
        <v>68.819999999999993</v>
      </c>
      <c r="W4">
        <f>VLOOKUP(A4,CMCSA!A$2:G$55,5,0)</f>
        <v>54.9</v>
      </c>
      <c r="X4">
        <f>VLOOKUP(A4,COF!A$2:G$55,5,0)</f>
        <v>84.95</v>
      </c>
      <c r="Y4">
        <f>VLOOKUP(A4,COP!A$2:G$55,5,0)</f>
        <v>86.4</v>
      </c>
      <c r="Z4">
        <f>VLOOKUP(A4,COST!A$2:G$55,5,0)</f>
        <v>116.35</v>
      </c>
      <c r="AA4">
        <f>VLOOKUP(A4,CSCO!A$2:G$55,5,0)</f>
        <v>25.19</v>
      </c>
      <c r="AB4">
        <f>VLOOKUP(A4,CVS!A$2:G$55,5,0)</f>
        <v>76.83</v>
      </c>
      <c r="AC4">
        <f>VLOOKUP(A4,CVX!A$2:G$55,5,0)</f>
        <v>131.19</v>
      </c>
      <c r="AD4">
        <f>VLOOKUP(A4,DD!A$2:G$55,5,0)</f>
        <v>65.8</v>
      </c>
      <c r="AE4">
        <f>VLOOKUP(A4,DIS!A$2:G$55,5,0)</f>
        <v>86.84</v>
      </c>
      <c r="AF4">
        <f>VLOOKUP(A4,DOW!A$2:G$55,5,0)</f>
        <v>52.05</v>
      </c>
      <c r="AG4">
        <f>VLOOKUP(A4,DVN!A$2:G$55,5,0)</f>
        <v>79.209999999999994</v>
      </c>
      <c r="AH4">
        <f>VLOOKUP(A4,EBAY!A$2:G$55,5,0)</f>
        <v>50.94</v>
      </c>
      <c r="AI4">
        <f>VLOOKUP(A4,EMC!A$2:G$55,5,0)</f>
        <v>26.92</v>
      </c>
      <c r="AJ4">
        <f>VLOOKUP(A4,EMR!A$2:G$55,5,0)</f>
        <v>67.37</v>
      </c>
      <c r="AK4">
        <f>VLOOKUP(A4,EXC!A$2:G$55,5,0)</f>
        <v>33.97</v>
      </c>
      <c r="AL4">
        <f>VLOOKUP(A4,F!A$2:G$55,5,0)</f>
        <v>17.32</v>
      </c>
      <c r="AM4">
        <f>VLOOKUP(A4,FB!A$2:G$55,5,0)</f>
        <v>66.290000000000006</v>
      </c>
      <c r="AN4">
        <f>VLOOKUP(A4,FCX!A$2:G$55,5,0)</f>
        <v>38.51</v>
      </c>
      <c r="AO4">
        <f>VLOOKUP(A4,FDX!A$2:G$55,5,0)</f>
        <v>153.61000000000001</v>
      </c>
      <c r="AP4">
        <f>VLOOKUP(A4,FOXA!A$2:G$55,5,0)</f>
        <v>36.21</v>
      </c>
      <c r="AQ4">
        <f>VLOOKUP(A4,GD!A$2:G$55,5,0)</f>
        <v>116.02</v>
      </c>
      <c r="AR4">
        <f>VLOOKUP(A4,GE!A$2:G$55,5,0)</f>
        <v>26.86</v>
      </c>
      <c r="AS4">
        <f>VLOOKUP(A4,GILD!A$2:G$55,5,0)</f>
        <v>87.9</v>
      </c>
      <c r="AT4">
        <f>VLOOKUP(A4,GM!A$2:G$55,5,0)</f>
        <v>37.74</v>
      </c>
      <c r="AU4">
        <f>VLOOKUP(A4,GOOG!A$2:G$55,5,0)</f>
        <v>584.73</v>
      </c>
      <c r="AV4">
        <f>VLOOKUP(A4,GOOGL!A$2:G$55,5,0)</f>
        <v>593.08000000000004</v>
      </c>
      <c r="AW4">
        <f>VLOOKUP(A4,GS!A$2:G$55,5,0)</f>
        <v>169.46</v>
      </c>
      <c r="AX4">
        <f>VLOOKUP(A4,HAL!A$2:G$55,5,0)</f>
        <v>70.97</v>
      </c>
      <c r="AY4">
        <f>VLOOKUP(A4,HD!A$2:G$55,5,0)</f>
        <v>82.05</v>
      </c>
      <c r="AZ4">
        <f>VLOOKUP(A4,HON!A$2:G$55,5,0)</f>
        <v>94.88</v>
      </c>
      <c r="BA4">
        <f>VLOOKUP(A4,HPQ!A$2:G$55,5,0)</f>
        <v>34</v>
      </c>
      <c r="BB4">
        <f>VLOOKUP(A4,IBM!A$2:G$55,5,0)</f>
        <v>188.53</v>
      </c>
      <c r="BC4">
        <f>VLOOKUP(A4,INTC!A$2:G$55,5,0)</f>
        <v>31.14</v>
      </c>
      <c r="BD4">
        <f>VLOOKUP(A4,JNJ!A$2:G$55,5,0)</f>
        <v>105.42</v>
      </c>
      <c r="BE4">
        <f>VLOOKUP(A4,JPM!A$2:G$55,5,0)</f>
        <v>57.05</v>
      </c>
      <c r="BF4">
        <f>VLOOKUP(A4,KO!A$2:G$55,5,0)</f>
        <v>42.23</v>
      </c>
      <c r="BG4">
        <f>VLOOKUP(A4,LLY!A$2:G$55,5,0)</f>
        <v>63.06</v>
      </c>
      <c r="BH4">
        <f>VLOOKUP(A4,LMT!A$2:G$55,5,0)</f>
        <v>159.9</v>
      </c>
      <c r="BI4">
        <f>VLOOKUP(A4,LOW!A$2:G$55,5,0)</f>
        <v>48.23</v>
      </c>
      <c r="BJ4">
        <f>VLOOKUP(A4,MA!A$2:G$55,5,0)</f>
        <v>76.739999999999995</v>
      </c>
      <c r="BK4">
        <f>VLOOKUP(A4,MCD!A$2:G$55,5,0)</f>
        <v>100.98</v>
      </c>
      <c r="BL4">
        <f>VLOOKUP(A4,MDLZ!A$2:G$55,5,0)</f>
        <v>37.97</v>
      </c>
      <c r="BM4">
        <f>VLOOKUP(A4,MDT!A$2:G$55,5,0)</f>
        <v>64.55</v>
      </c>
      <c r="BN4">
        <f>VLOOKUP(A4,MET!A$2:G$55,5,0)</f>
        <v>57.22</v>
      </c>
      <c r="BO4">
        <f>VLOOKUP(A4,MMM!A$2:G$55,5,0)</f>
        <v>145.41</v>
      </c>
      <c r="BP4">
        <f>VLOOKUP(A4,MO!A$2:G$55,5,0)</f>
        <v>42.39</v>
      </c>
      <c r="BQ4">
        <f>VLOOKUP(A4,MON!A$2:G$55,5,0)</f>
        <v>126.52</v>
      </c>
      <c r="BR4">
        <f>VLOOKUP(A4,MRK!A$2:G$55,5,0)</f>
        <v>59.2</v>
      </c>
      <c r="BS4">
        <f>VLOOKUP(A4,MS!A$2:G$55,5,0)</f>
        <v>32.619999999999997</v>
      </c>
      <c r="BT4">
        <f>VLOOKUP(A4,MSFT!A$2:G$55,5,0)</f>
        <v>41.8</v>
      </c>
      <c r="BU4">
        <f>VLOOKUP(A4,NKE!A$2:G$55,5,0)</f>
        <v>78.45</v>
      </c>
      <c r="BV4">
        <f>VLOOKUP(A4,NOV!A$2:G$55,5,0)</f>
        <v>83.02</v>
      </c>
      <c r="BW4">
        <f>VLOOKUP(A4,NSC!A$2:G$55,5,0)</f>
        <v>103.84</v>
      </c>
      <c r="BX4">
        <f>VLOOKUP(A4,ORCL!A$2:G$55,5,0)</f>
        <v>41.34</v>
      </c>
      <c r="BY4">
        <f>VLOOKUP(A4,OXY!A$2:G$55,5,0)</f>
        <v>102.17</v>
      </c>
      <c r="BZ4">
        <f>VLOOKUP(A4,PEP!A$2:G$55,5,0)</f>
        <v>90.02</v>
      </c>
      <c r="CA4">
        <f>VLOOKUP(A4,PFE!A$2:G$55,5,0)</f>
        <v>30.53</v>
      </c>
      <c r="CB4">
        <f>VLOOKUP(A4,PG!A$2:G$55,5,0)</f>
        <v>79.98</v>
      </c>
      <c r="CC4">
        <f>VLOOKUP(A4,PM!A$2:G$55,5,0)</f>
        <v>85.69</v>
      </c>
      <c r="CD4">
        <f>VLOOKUP(A4,QCOM!A$2:G$55,5,0)</f>
        <v>80.989999999999995</v>
      </c>
      <c r="CE4">
        <f>VLOOKUP(A4,RTN!A$2:G$55,5,0)</f>
        <v>93.22</v>
      </c>
      <c r="CF4">
        <f>VLOOKUP(A4,SBUX!A$2:G$55,5,0)</f>
        <v>79.06</v>
      </c>
      <c r="CG4">
        <f>VLOOKUP(A4,SLB!A$2:G$55,5,0)</f>
        <v>117.5</v>
      </c>
      <c r="CH4">
        <f>VLOOKUP(A4,SO!A$2:G$55,5,0)</f>
        <v>44.01</v>
      </c>
      <c r="CI4">
        <f>VLOOKUP(A4,SPG!A$2:G$55,5,0)</f>
        <v>166.13</v>
      </c>
      <c r="CJ4">
        <f>VLOOKUP(A4,T!A$2:G$55,5,0)</f>
        <v>35.840000000000003</v>
      </c>
      <c r="CK4">
        <f>VLOOKUP(A4,TGT!A$2:G$55,5,0)</f>
        <v>59.51</v>
      </c>
      <c r="CL4">
        <f>VLOOKUP(A4,TWX!A$2:G$55,5,0)</f>
        <v>71.39</v>
      </c>
      <c r="CM4">
        <f>VLOOKUP(A4,TXN!A$2:G$55,5,0)</f>
        <v>48.95</v>
      </c>
      <c r="CN4">
        <f>VLOOKUP(A4,UNH!A$2:G$55,5,0)</f>
        <v>83.35</v>
      </c>
      <c r="CO4">
        <f>VLOOKUP(A4,UNP!A$2:G$55,5,0)</f>
        <v>100.98</v>
      </c>
      <c r="CP4">
        <f>VLOOKUP(A4,UPS!A$2:G$55,5,0)</f>
        <v>103.88</v>
      </c>
      <c r="CQ4">
        <f>VLOOKUP(A4,USB!A$2:G$55,5,0)</f>
        <v>43.59</v>
      </c>
      <c r="CR4">
        <f>VLOOKUP(A4,UTX!A$2:G$55,5,0)</f>
        <v>115.53</v>
      </c>
      <c r="CS4">
        <f>VLOOKUP(A4,V!A$2:G$55,5,0)</f>
        <v>216.51</v>
      </c>
      <c r="CT4">
        <f>VLOOKUP(A4,VZ!A$2:G$55,5,0)</f>
        <v>49.71</v>
      </c>
      <c r="CU4">
        <f>VLOOKUP(A4,WAG!A$2:G$55,5,0)</f>
        <v>73.98</v>
      </c>
      <c r="CV4">
        <f>VLOOKUP(A4,WFC!A$2:G$55,5,0)</f>
        <v>53</v>
      </c>
      <c r="CW4">
        <f>VLOOKUP(A4,WMT!A$2:G$55,5,0)</f>
        <v>75.75</v>
      </c>
    </row>
    <row r="5" spans="1:101" x14ac:dyDescent="0.25">
      <c r="A5" s="34">
        <v>41827</v>
      </c>
      <c r="B5" s="36">
        <v>95.97</v>
      </c>
      <c r="C5">
        <f>VLOOKUP(A5,ABBV!A$2:G$55,5,0)</f>
        <v>57.4</v>
      </c>
      <c r="D5">
        <f>VLOOKUP(A5,ABT!A$2:G$55,5,0)</f>
        <v>41.51</v>
      </c>
      <c r="E5">
        <f>VLOOKUP(A5,ACN!A$2:G$55,5,0)</f>
        <v>81.05</v>
      </c>
      <c r="F5">
        <f>VLOOKUP(A5,AIG!A$2:G$55,5,0)</f>
        <v>55.31</v>
      </c>
      <c r="G5">
        <f>VLOOKUP(A5,ALL!A$2:G$55,5,0)</f>
        <v>58.53</v>
      </c>
      <c r="H5">
        <f>VLOOKUP(A5,AMGN!A$2:G$55,5,0)</f>
        <v>120.16</v>
      </c>
      <c r="I5">
        <f>VLOOKUP(A5,AMZN!A$2:G$55,5,0)</f>
        <v>333.55</v>
      </c>
      <c r="J5">
        <f>VLOOKUP(A5,APA!A$2:G$55,5,0)</f>
        <v>99.05</v>
      </c>
      <c r="K5">
        <f>VLOOKUP(A5,APC!A$2:G$55,5,0)</f>
        <v>106.79</v>
      </c>
      <c r="L5">
        <f>VLOOKUP(A5,AXP!A$2:G$55,5,0)</f>
        <v>95.4</v>
      </c>
      <c r="M5">
        <f>VLOOKUP(A5,BA!A$2:G$55,5,0)</f>
        <v>129.09</v>
      </c>
      <c r="N5">
        <f>VLOOKUP(A5,BAC!A$2:G$55,5,0)</f>
        <v>15.94</v>
      </c>
      <c r="O5">
        <f>VLOOKUP(A5,BAX!A$2:G$55,5,0)</f>
        <v>74.88</v>
      </c>
      <c r="P5">
        <f>VLOOKUP(A5,BIIB!A$2:G$55,5,0)</f>
        <v>325.68</v>
      </c>
      <c r="Q5">
        <f>VLOOKUP(A5,BK!A$2:G$55,5,0)</f>
        <v>37.72</v>
      </c>
      <c r="R5">
        <f>VLOOKUP(A5,BMY!A$2:G$55,5,0)</f>
        <v>48.01</v>
      </c>
      <c r="T5">
        <f>VLOOKUP(A5,'C'!A$2:G$55,5,0)</f>
        <v>47.98</v>
      </c>
      <c r="U5">
        <f>VLOOKUP(A5,CAT!A$2:G$55,5,0)</f>
        <v>110.16</v>
      </c>
      <c r="V5">
        <f>VLOOKUP(A5,CL!A$2:G$55,5,0)</f>
        <v>68.86</v>
      </c>
      <c r="W5">
        <f>VLOOKUP(A5,CMCSA!A$2:G$55,5,0)</f>
        <v>54.18</v>
      </c>
      <c r="X5">
        <f>VLOOKUP(A5,COF!A$2:G$55,5,0)</f>
        <v>83.57</v>
      </c>
      <c r="Y5">
        <f>VLOOKUP(A5,COP!A$2:G$55,5,0)</f>
        <v>86.1</v>
      </c>
      <c r="Z5">
        <f>VLOOKUP(A5,COST!A$2:G$55,5,0)</f>
        <v>116.32</v>
      </c>
      <c r="AA5">
        <f>VLOOKUP(A5,CSCO!A$2:G$55,5,0)</f>
        <v>25.23</v>
      </c>
      <c r="AB5">
        <f>VLOOKUP(A5,CVS!A$2:G$55,5,0)</f>
        <v>76.67</v>
      </c>
      <c r="AC5">
        <f>VLOOKUP(A5,CVX!A$2:G$55,5,0)</f>
        <v>130.47</v>
      </c>
      <c r="AD5">
        <f>VLOOKUP(A5,DD!A$2:G$55,5,0)</f>
        <v>65.64</v>
      </c>
      <c r="AE5">
        <f>VLOOKUP(A5,DIS!A$2:G$55,5,0)</f>
        <v>86.59</v>
      </c>
      <c r="AF5">
        <f>VLOOKUP(A5,DOW!A$2:G$55,5,0)</f>
        <v>51.23</v>
      </c>
      <c r="AG5">
        <f>VLOOKUP(A5,DVN!A$2:G$55,5,0)</f>
        <v>78.28</v>
      </c>
      <c r="AH5">
        <f>VLOOKUP(A5,EBAY!A$2:G$55,5,0)</f>
        <v>50.74</v>
      </c>
      <c r="AI5">
        <f>VLOOKUP(A5,EMC!A$2:G$55,5,0)</f>
        <v>26.86</v>
      </c>
      <c r="AJ5">
        <f>VLOOKUP(A5,EMR!A$2:G$55,5,0)</f>
        <v>67.650000000000006</v>
      </c>
      <c r="AK5">
        <f>VLOOKUP(A5,EXC!A$2:G$55,5,0)</f>
        <v>34.36</v>
      </c>
      <c r="AL5">
        <f>VLOOKUP(A5,F!A$2:G$55,5,0)</f>
        <v>17.32</v>
      </c>
      <c r="AM5">
        <f>VLOOKUP(A5,FB!A$2:G$55,5,0)</f>
        <v>65.290000000000006</v>
      </c>
      <c r="AN5">
        <f>VLOOKUP(A5,FCX!A$2:G$55,5,0)</f>
        <v>38.67</v>
      </c>
      <c r="AO5">
        <f>VLOOKUP(A5,FDX!A$2:G$55,5,0)</f>
        <v>151.68</v>
      </c>
      <c r="AP5">
        <f>VLOOKUP(A5,FOXA!A$2:G$55,5,0)</f>
        <v>35.69</v>
      </c>
      <c r="AQ5">
        <f>VLOOKUP(A5,GD!A$2:G$55,5,0)</f>
        <v>115.75</v>
      </c>
      <c r="AR5">
        <f>VLOOKUP(A5,GE!A$2:G$55,5,0)</f>
        <v>26.75</v>
      </c>
      <c r="AS5">
        <f>VLOOKUP(A5,GILD!A$2:G$55,5,0)</f>
        <v>87.21</v>
      </c>
      <c r="AT5">
        <f>VLOOKUP(A5,GM!A$2:G$55,5,0)</f>
        <v>37.44</v>
      </c>
      <c r="AU5">
        <f>VLOOKUP(A5,GOOG!A$2:G$55,5,0)</f>
        <v>582.25</v>
      </c>
      <c r="AV5">
        <f>VLOOKUP(A5,GOOGL!A$2:G$55,5,0)</f>
        <v>590.76</v>
      </c>
      <c r="AW5">
        <f>VLOOKUP(A5,GS!A$2:G$55,5,0)</f>
        <v>167.78</v>
      </c>
      <c r="AX5">
        <f>VLOOKUP(A5,HAL!A$2:G$55,5,0)</f>
        <v>70.16</v>
      </c>
      <c r="AY5">
        <f>VLOOKUP(A5,HD!A$2:G$55,5,0)</f>
        <v>81.42</v>
      </c>
      <c r="AZ5">
        <f>VLOOKUP(A5,HON!A$2:G$55,5,0)</f>
        <v>94.38</v>
      </c>
      <c r="BA5">
        <f>VLOOKUP(A5,HPQ!A$2:G$55,5,0)</f>
        <v>33.869999999999997</v>
      </c>
      <c r="BB5">
        <f>VLOOKUP(A5,IBM!A$2:G$55,5,0)</f>
        <v>188.04</v>
      </c>
      <c r="BC5">
        <f>VLOOKUP(A5,INTC!A$2:G$55,5,0)</f>
        <v>31.03</v>
      </c>
      <c r="BD5">
        <f>VLOOKUP(A5,JNJ!A$2:G$55,5,0)</f>
        <v>106.47</v>
      </c>
      <c r="BE5">
        <f>VLOOKUP(A5,JPM!A$2:G$55,5,0)</f>
        <v>56.67</v>
      </c>
      <c r="BF5">
        <f>VLOOKUP(A5,KO!A$2:G$55,5,0)</f>
        <v>42.14</v>
      </c>
      <c r="BG5">
        <f>VLOOKUP(A5,LLY!A$2:G$55,5,0)</f>
        <v>62.61</v>
      </c>
      <c r="BH5">
        <f>VLOOKUP(A5,LMT!A$2:G$55,5,0)</f>
        <v>158.30000000000001</v>
      </c>
      <c r="BI5">
        <f>VLOOKUP(A5,LOW!A$2:G$55,5,0)</f>
        <v>48.21</v>
      </c>
      <c r="BJ5">
        <f>VLOOKUP(A5,MA!A$2:G$55,5,0)</f>
        <v>76.180000000000007</v>
      </c>
      <c r="BK5">
        <f>VLOOKUP(A5,MCD!A$2:G$55,5,0)</f>
        <v>100.17</v>
      </c>
      <c r="BL5">
        <f>VLOOKUP(A5,MDLZ!A$2:G$55,5,0)</f>
        <v>37.950000000000003</v>
      </c>
      <c r="BM5">
        <f>VLOOKUP(A5,MDT!A$2:G$55,5,0)</f>
        <v>63.61</v>
      </c>
      <c r="BN5">
        <f>VLOOKUP(A5,MET!A$2:G$55,5,0)</f>
        <v>56.62</v>
      </c>
      <c r="BO5">
        <f>VLOOKUP(A5,MMM!A$2:G$55,5,0)</f>
        <v>144.91</v>
      </c>
      <c r="BP5">
        <f>VLOOKUP(A5,MO!A$2:G$55,5,0)</f>
        <v>42.62</v>
      </c>
      <c r="BQ5">
        <f>VLOOKUP(A5,MON!A$2:G$55,5,0)</f>
        <v>125.25</v>
      </c>
      <c r="BR5">
        <f>VLOOKUP(A5,MRK!A$2:G$55,5,0)</f>
        <v>58.52</v>
      </c>
      <c r="BS5">
        <f>VLOOKUP(A5,MS!A$2:G$55,5,0)</f>
        <v>32.39</v>
      </c>
      <c r="BT5">
        <f>VLOOKUP(A5,MSFT!A$2:G$55,5,0)</f>
        <v>41.99</v>
      </c>
      <c r="BU5">
        <f>VLOOKUP(A5,NKE!A$2:G$55,5,0)</f>
        <v>78.650000000000006</v>
      </c>
      <c r="BV5">
        <f>VLOOKUP(A5,NOV!A$2:G$55,5,0)</f>
        <v>83.14</v>
      </c>
      <c r="BW5">
        <f>VLOOKUP(A5,NSC!A$2:G$55,5,0)</f>
        <v>103.23</v>
      </c>
      <c r="BX5">
        <f>VLOOKUP(A5,ORCL!A$2:G$55,5,0)</f>
        <v>40.89</v>
      </c>
      <c r="BY5">
        <f>VLOOKUP(A5,OXY!A$2:G$55,5,0)</f>
        <v>101.59</v>
      </c>
      <c r="BZ5">
        <f>VLOOKUP(A5,PEP!A$2:G$55,5,0)</f>
        <v>89.86</v>
      </c>
      <c r="CA5">
        <f>VLOOKUP(A5,PFE!A$2:G$55,5,0)</f>
        <v>30.49</v>
      </c>
      <c r="CB5">
        <f>VLOOKUP(A5,PG!A$2:G$55,5,0)</f>
        <v>80.19</v>
      </c>
      <c r="CC5">
        <f>VLOOKUP(A5,PM!A$2:G$55,5,0)</f>
        <v>86.08</v>
      </c>
      <c r="CD5">
        <f>VLOOKUP(A5,QCOM!A$2:G$55,5,0)</f>
        <v>80.819999999999993</v>
      </c>
      <c r="CE5">
        <f>VLOOKUP(A5,RTN!A$2:G$55,5,0)</f>
        <v>92.29</v>
      </c>
      <c r="CF5">
        <f>VLOOKUP(A5,SBUX!A$2:G$55,5,0)</f>
        <v>78.69</v>
      </c>
      <c r="CG5">
        <f>VLOOKUP(A5,SLB!A$2:G$55,5,0)</f>
        <v>117.43</v>
      </c>
      <c r="CH5">
        <f>VLOOKUP(A5,SO!A$2:G$55,5,0)</f>
        <v>44.21</v>
      </c>
      <c r="CI5">
        <f>VLOOKUP(A5,SPG!A$2:G$55,5,0)</f>
        <v>166.48</v>
      </c>
      <c r="CJ5">
        <f>VLOOKUP(A5,T!A$2:G$55,5,0)</f>
        <v>36.020000000000003</v>
      </c>
      <c r="CK5">
        <f>VLOOKUP(A5,TGT!A$2:G$55,5,0)</f>
        <v>59.99</v>
      </c>
      <c r="CL5">
        <f>VLOOKUP(A5,TWX!A$2:G$55,5,0)</f>
        <v>71.17</v>
      </c>
      <c r="CM5">
        <f>VLOOKUP(A5,TXN!A$2:G$55,5,0)</f>
        <v>48.92</v>
      </c>
      <c r="CN5">
        <f>VLOOKUP(A5,UNH!A$2:G$55,5,0)</f>
        <v>82.22</v>
      </c>
      <c r="CO5">
        <f>VLOOKUP(A5,UNP!A$2:G$55,5,0)</f>
        <v>100.26</v>
      </c>
      <c r="CP5">
        <f>VLOOKUP(A5,UPS!A$2:G$55,5,0)</f>
        <v>103.24</v>
      </c>
      <c r="CQ5">
        <f>VLOOKUP(A5,USB!A$2:G$55,5,0)</f>
        <v>43.48</v>
      </c>
      <c r="CR5">
        <f>VLOOKUP(A5,UTX!A$2:G$55,5,0)</f>
        <v>115.1</v>
      </c>
      <c r="CS5">
        <f>VLOOKUP(A5,V!A$2:G$55,5,0)</f>
        <v>216.74</v>
      </c>
      <c r="CT5">
        <f>VLOOKUP(A5,VZ!A$2:G$55,5,0)</f>
        <v>49.75</v>
      </c>
      <c r="CU5">
        <f>VLOOKUP(A5,WAG!A$2:G$55,5,0)</f>
        <v>73.58</v>
      </c>
      <c r="CV5">
        <f>VLOOKUP(A5,WFC!A$2:G$55,5,0)</f>
        <v>52.5</v>
      </c>
      <c r="CW5">
        <f>VLOOKUP(A5,WMT!A$2:G$55,5,0)</f>
        <v>76.069999999999993</v>
      </c>
    </row>
    <row r="6" spans="1:101" x14ac:dyDescent="0.25">
      <c r="A6" s="34">
        <v>41828</v>
      </c>
      <c r="B6" s="36">
        <v>95.35</v>
      </c>
      <c r="C6">
        <f>VLOOKUP(A6,ABBV!A$2:G$55,5,0)</f>
        <v>55.69</v>
      </c>
      <c r="D6">
        <f>VLOOKUP(A6,ABT!A$2:G$55,5,0)</f>
        <v>41.05</v>
      </c>
      <c r="E6">
        <f>VLOOKUP(A6,ACN!A$2:G$55,5,0)</f>
        <v>81.11</v>
      </c>
      <c r="F6">
        <f>VLOOKUP(A6,AIG!A$2:G$55,5,0)</f>
        <v>54.93</v>
      </c>
      <c r="G6">
        <f>VLOOKUP(A6,ALL!A$2:G$55,5,0)</f>
        <v>58.48</v>
      </c>
      <c r="H6">
        <f>VLOOKUP(A6,AMGN!A$2:G$55,5,0)</f>
        <v>119.96</v>
      </c>
      <c r="I6">
        <f>VLOOKUP(A6,AMZN!A$2:G$55,5,0)</f>
        <v>323.81</v>
      </c>
      <c r="J6">
        <f>VLOOKUP(A6,APA!A$2:G$55,5,0)</f>
        <v>98.46</v>
      </c>
      <c r="K6">
        <f>VLOOKUP(A6,APC!A$2:G$55,5,0)</f>
        <v>107.49</v>
      </c>
      <c r="L6">
        <f>VLOOKUP(A6,AXP!A$2:G$55,5,0)</f>
        <v>94.57</v>
      </c>
      <c r="M6">
        <f>VLOOKUP(A6,BA!A$2:G$55,5,0)</f>
        <v>126.79</v>
      </c>
      <c r="N6">
        <f>VLOOKUP(A6,BAC!A$2:G$55,5,0)</f>
        <v>15.58</v>
      </c>
      <c r="O6">
        <f>VLOOKUP(A6,BAX!A$2:G$55,5,0)</f>
        <v>75.38</v>
      </c>
      <c r="P6">
        <f>VLOOKUP(A6,BIIB!A$2:G$55,5,0)</f>
        <v>317.58999999999997</v>
      </c>
      <c r="Q6">
        <f>VLOOKUP(A6,BK!A$2:G$55,5,0)</f>
        <v>37.6</v>
      </c>
      <c r="R6">
        <f>VLOOKUP(A6,BMY!A$2:G$55,5,0)</f>
        <v>47.86</v>
      </c>
      <c r="T6">
        <f>VLOOKUP(A6,'C'!A$2:G$55,5,0)</f>
        <v>47.42</v>
      </c>
      <c r="U6">
        <f>VLOOKUP(A6,CAT!A$2:G$55,5,0)</f>
        <v>109.46</v>
      </c>
      <c r="V6">
        <f>VLOOKUP(A6,CL!A$2:G$55,5,0)</f>
        <v>69.5</v>
      </c>
      <c r="W6">
        <f>VLOOKUP(A6,CMCSA!A$2:G$55,5,0)</f>
        <v>53.31</v>
      </c>
      <c r="X6">
        <f>VLOOKUP(A6,COF!A$2:G$55,5,0)</f>
        <v>83.23</v>
      </c>
      <c r="Y6">
        <f>VLOOKUP(A6,COP!A$2:G$55,5,0)</f>
        <v>86.04</v>
      </c>
      <c r="Z6">
        <f>VLOOKUP(A6,COST!A$2:G$55,5,0)</f>
        <v>117.46</v>
      </c>
      <c r="AA6">
        <f>VLOOKUP(A6,CSCO!A$2:G$55,5,0)</f>
        <v>25.07</v>
      </c>
      <c r="AB6">
        <f>VLOOKUP(A6,CVS!A$2:G$55,5,0)</f>
        <v>76.53</v>
      </c>
      <c r="AC6">
        <f>VLOOKUP(A6,CVX!A$2:G$55,5,0)</f>
        <v>129.9</v>
      </c>
      <c r="AD6">
        <f>VLOOKUP(A6,DD!A$2:G$55,5,0)</f>
        <v>65.33</v>
      </c>
      <c r="AE6">
        <f>VLOOKUP(A6,DIS!A$2:G$55,5,0)</f>
        <v>85.86</v>
      </c>
      <c r="AF6">
        <f>VLOOKUP(A6,DOW!A$2:G$55,5,0)</f>
        <v>50.99</v>
      </c>
      <c r="AG6">
        <f>VLOOKUP(A6,DVN!A$2:G$55,5,0)</f>
        <v>78.14</v>
      </c>
      <c r="AH6">
        <f>VLOOKUP(A6,EBAY!A$2:G$55,5,0)</f>
        <v>50.18</v>
      </c>
      <c r="AI6">
        <f>VLOOKUP(A6,EMC!A$2:G$55,5,0)</f>
        <v>26.43</v>
      </c>
      <c r="AJ6">
        <f>VLOOKUP(A6,EMR!A$2:G$55,5,0)</f>
        <v>67.83</v>
      </c>
      <c r="AK6">
        <f>VLOOKUP(A6,EXC!A$2:G$55,5,0)</f>
        <v>34.32</v>
      </c>
      <c r="AL6">
        <f>VLOOKUP(A6,F!A$2:G$55,5,0)</f>
        <v>17.11</v>
      </c>
      <c r="AM6">
        <f>VLOOKUP(A6,FB!A$2:G$55,5,0)</f>
        <v>62.76</v>
      </c>
      <c r="AN6">
        <f>VLOOKUP(A6,FCX!A$2:G$55,5,0)</f>
        <v>38.74</v>
      </c>
      <c r="AO6">
        <f>VLOOKUP(A6,FDX!A$2:G$55,5,0)</f>
        <v>151.16999999999999</v>
      </c>
      <c r="AP6">
        <f>VLOOKUP(A6,FOXA!A$2:G$55,5,0)</f>
        <v>35.1</v>
      </c>
      <c r="AQ6">
        <f>VLOOKUP(A6,GD!A$2:G$55,5,0)</f>
        <v>114.8</v>
      </c>
      <c r="AR6">
        <f>VLOOKUP(A6,GE!A$2:G$55,5,0)</f>
        <v>26.37</v>
      </c>
      <c r="AS6">
        <f>VLOOKUP(A6,GILD!A$2:G$55,5,0)</f>
        <v>87.11</v>
      </c>
      <c r="AT6">
        <f>VLOOKUP(A6,GM!A$2:G$55,5,0)</f>
        <v>37.58</v>
      </c>
      <c r="AU6">
        <f>VLOOKUP(A6,GOOG!A$2:G$55,5,0)</f>
        <v>571.09</v>
      </c>
      <c r="AV6">
        <f>VLOOKUP(A6,GOOGL!A$2:G$55,5,0)</f>
        <v>578.4</v>
      </c>
      <c r="AW6">
        <f>VLOOKUP(A6,GS!A$2:G$55,5,0)</f>
        <v>164.91</v>
      </c>
      <c r="AX6">
        <f>VLOOKUP(A6,HAL!A$2:G$55,5,0)</f>
        <v>69.66</v>
      </c>
      <c r="AY6">
        <f>VLOOKUP(A6,HD!A$2:G$55,5,0)</f>
        <v>80.760000000000005</v>
      </c>
      <c r="AZ6">
        <f>VLOOKUP(A6,HON!A$2:G$55,5,0)</f>
        <v>94.21</v>
      </c>
      <c r="BA6">
        <f>VLOOKUP(A6,HPQ!A$2:G$55,5,0)</f>
        <v>33.5</v>
      </c>
      <c r="BB6">
        <f>VLOOKUP(A6,IBM!A$2:G$55,5,0)</f>
        <v>187.22</v>
      </c>
      <c r="BC6">
        <f>VLOOKUP(A6,INTC!A$2:G$55,5,0)</f>
        <v>30.79</v>
      </c>
      <c r="BD6">
        <f>VLOOKUP(A6,JNJ!A$2:G$55,5,0)</f>
        <v>105.72</v>
      </c>
      <c r="BE6">
        <f>VLOOKUP(A6,JPM!A$2:G$55,5,0)</f>
        <v>55.76</v>
      </c>
      <c r="BF6">
        <f>VLOOKUP(A6,KO!A$2:G$55,5,0)</f>
        <v>41.94</v>
      </c>
      <c r="BG6">
        <f>VLOOKUP(A6,LLY!A$2:G$55,5,0)</f>
        <v>62.46</v>
      </c>
      <c r="BH6">
        <f>VLOOKUP(A6,LMT!A$2:G$55,5,0)</f>
        <v>157.21</v>
      </c>
      <c r="BI6">
        <f>VLOOKUP(A6,LOW!A$2:G$55,5,0)</f>
        <v>47.82</v>
      </c>
      <c r="BJ6">
        <f>VLOOKUP(A6,MA!A$2:G$55,5,0)</f>
        <v>75.69</v>
      </c>
      <c r="BK6">
        <f>VLOOKUP(A6,MCD!A$2:G$55,5,0)</f>
        <v>100.09</v>
      </c>
      <c r="BL6">
        <f>VLOOKUP(A6,MDLZ!A$2:G$55,5,0)</f>
        <v>38.08</v>
      </c>
      <c r="BM6">
        <f>VLOOKUP(A6,MDT!A$2:G$55,5,0)</f>
        <v>63.62</v>
      </c>
      <c r="BN6">
        <f>VLOOKUP(A6,MET!A$2:G$55,5,0)</f>
        <v>55.99</v>
      </c>
      <c r="BO6">
        <f>VLOOKUP(A6,MMM!A$2:G$55,5,0)</f>
        <v>144.56</v>
      </c>
      <c r="BP6">
        <f>VLOOKUP(A6,MO!A$2:G$55,5,0)</f>
        <v>42.71</v>
      </c>
      <c r="BQ6">
        <f>VLOOKUP(A6,MON!A$2:G$55,5,0)</f>
        <v>124.56</v>
      </c>
      <c r="BR6">
        <f>VLOOKUP(A6,MRK!A$2:G$55,5,0)</f>
        <v>58.17</v>
      </c>
      <c r="BS6">
        <f>VLOOKUP(A6,MS!A$2:G$55,5,0)</f>
        <v>31.75</v>
      </c>
      <c r="BT6">
        <f>VLOOKUP(A6,MSFT!A$2:G$55,5,0)</f>
        <v>41.78</v>
      </c>
      <c r="BU6">
        <f>VLOOKUP(A6,NKE!A$2:G$55,5,0)</f>
        <v>77.67</v>
      </c>
      <c r="BV6">
        <f>VLOOKUP(A6,NOV!A$2:G$55,5,0)</f>
        <v>83.14</v>
      </c>
      <c r="BW6">
        <f>VLOOKUP(A6,NSC!A$2:G$55,5,0)</f>
        <v>102.69</v>
      </c>
      <c r="BX6">
        <f>VLOOKUP(A6,ORCL!A$2:G$55,5,0)</f>
        <v>40.56</v>
      </c>
      <c r="BY6">
        <f>VLOOKUP(A6,OXY!A$2:G$55,5,0)</f>
        <v>101.88</v>
      </c>
      <c r="BZ6">
        <f>VLOOKUP(A6,PEP!A$2:G$55,5,0)</f>
        <v>89.73</v>
      </c>
      <c r="CA6">
        <f>VLOOKUP(A6,PFE!A$2:G$55,5,0)</f>
        <v>30.15</v>
      </c>
      <c r="CB6">
        <f>VLOOKUP(A6,PG!A$2:G$55,5,0)</f>
        <v>80.56</v>
      </c>
      <c r="CC6">
        <f>VLOOKUP(A6,PM!A$2:G$55,5,0)</f>
        <v>86.29</v>
      </c>
      <c r="CD6">
        <f>VLOOKUP(A6,QCOM!A$2:G$55,5,0)</f>
        <v>80.650000000000006</v>
      </c>
      <c r="CE6">
        <f>VLOOKUP(A6,RTN!A$2:G$55,5,0)</f>
        <v>91.2</v>
      </c>
      <c r="CF6">
        <f>VLOOKUP(A6,SBUX!A$2:G$55,5,0)</f>
        <v>78.56</v>
      </c>
      <c r="CG6">
        <f>VLOOKUP(A6,SLB!A$2:G$55,5,0)</f>
        <v>116.75</v>
      </c>
      <c r="CH6">
        <f>VLOOKUP(A6,SO!A$2:G$55,5,0)</f>
        <v>44.54</v>
      </c>
      <c r="CI6">
        <f>VLOOKUP(A6,SPG!A$2:G$55,5,0)</f>
        <v>166.71</v>
      </c>
      <c r="CJ6">
        <f>VLOOKUP(A6,T!A$2:G$55,5,0)</f>
        <v>35.56</v>
      </c>
      <c r="CK6">
        <f>VLOOKUP(A6,TGT!A$2:G$55,5,0)</f>
        <v>59.8</v>
      </c>
      <c r="CL6">
        <f>VLOOKUP(A6,TWX!A$2:G$55,5,0)</f>
        <v>70.75</v>
      </c>
      <c r="CM6">
        <f>VLOOKUP(A6,TXN!A$2:G$55,5,0)</f>
        <v>48.85</v>
      </c>
      <c r="CN6">
        <f>VLOOKUP(A6,UNH!A$2:G$55,5,0)</f>
        <v>81.93</v>
      </c>
      <c r="CO6">
        <f>VLOOKUP(A6,UNP!A$2:G$55,5,0)</f>
        <v>100.09</v>
      </c>
      <c r="CP6">
        <f>VLOOKUP(A6,UPS!A$2:G$55,5,0)</f>
        <v>102.9</v>
      </c>
      <c r="CQ6">
        <f>VLOOKUP(A6,USB!A$2:G$55,5,0)</f>
        <v>43.19</v>
      </c>
      <c r="CR6">
        <f>VLOOKUP(A6,UTX!A$2:G$55,5,0)</f>
        <v>114.07</v>
      </c>
      <c r="CS6">
        <f>VLOOKUP(A6,V!A$2:G$55,5,0)</f>
        <v>215.26</v>
      </c>
      <c r="CT6">
        <f>VLOOKUP(A6,VZ!A$2:G$55,5,0)</f>
        <v>48.76</v>
      </c>
      <c r="CU6">
        <f>VLOOKUP(A6,WAG!A$2:G$55,5,0)</f>
        <v>71.12</v>
      </c>
      <c r="CV6">
        <f>VLOOKUP(A6,WFC!A$2:G$55,5,0)</f>
        <v>52.25</v>
      </c>
      <c r="CW6">
        <f>VLOOKUP(A6,WMT!A$2:G$55,5,0)</f>
        <v>76.650000000000006</v>
      </c>
    </row>
    <row r="7" spans="1:101" x14ac:dyDescent="0.25">
      <c r="A7" s="34">
        <v>41829</v>
      </c>
      <c r="B7" s="36">
        <v>95.39</v>
      </c>
      <c r="C7">
        <f>VLOOKUP(A7,ABBV!A$2:G$55,5,0)</f>
        <v>55.01</v>
      </c>
      <c r="D7">
        <f>VLOOKUP(A7,ABT!A$2:G$55,5,0)</f>
        <v>41.27</v>
      </c>
      <c r="E7">
        <f>VLOOKUP(A7,ACN!A$2:G$55,5,0)</f>
        <v>80.64</v>
      </c>
      <c r="F7">
        <f>VLOOKUP(A7,AIG!A$2:G$55,5,0)</f>
        <v>55.07</v>
      </c>
      <c r="G7">
        <f>VLOOKUP(A7,ALL!A$2:G$55,5,0)</f>
        <v>58.48</v>
      </c>
      <c r="H7">
        <f>VLOOKUP(A7,AMGN!A$2:G$55,5,0)</f>
        <v>119.57</v>
      </c>
      <c r="I7">
        <f>VLOOKUP(A7,AMZN!A$2:G$55,5,0)</f>
        <v>329.97</v>
      </c>
      <c r="J7">
        <f>VLOOKUP(A7,APA!A$2:G$55,5,0)</f>
        <v>99.65</v>
      </c>
      <c r="K7">
        <f>VLOOKUP(A7,APC!A$2:G$55,5,0)</f>
        <v>107.5</v>
      </c>
      <c r="L7">
        <f>VLOOKUP(A7,AXP!A$2:G$55,5,0)</f>
        <v>94.74</v>
      </c>
      <c r="M7">
        <f>VLOOKUP(A7,BA!A$2:G$55,5,0)</f>
        <v>126.79</v>
      </c>
      <c r="N7">
        <f>VLOOKUP(A7,BAC!A$2:G$55,5,0)</f>
        <v>15.6</v>
      </c>
      <c r="O7">
        <f>VLOOKUP(A7,BAX!A$2:G$55,5,0)</f>
        <v>75.819999999999993</v>
      </c>
      <c r="P7">
        <f>VLOOKUP(A7,BIIB!A$2:G$55,5,0)</f>
        <v>320.14</v>
      </c>
      <c r="Q7">
        <f>VLOOKUP(A7,BK!A$2:G$55,5,0)</f>
        <v>37.630000000000003</v>
      </c>
      <c r="R7">
        <f>VLOOKUP(A7,BMY!A$2:G$55,5,0)</f>
        <v>47.92</v>
      </c>
      <c r="T7">
        <f>VLOOKUP(A7,'C'!A$2:G$55,5,0)</f>
        <v>47.38</v>
      </c>
      <c r="U7">
        <f>VLOOKUP(A7,CAT!A$2:G$55,5,0)</f>
        <v>110.14</v>
      </c>
      <c r="V7">
        <f>VLOOKUP(A7,CL!A$2:G$55,5,0)</f>
        <v>69.650000000000006</v>
      </c>
      <c r="W7">
        <f>VLOOKUP(A7,CMCSA!A$2:G$55,5,0)</f>
        <v>54.73</v>
      </c>
      <c r="X7">
        <f>VLOOKUP(A7,COF!A$2:G$55,5,0)</f>
        <v>84.39</v>
      </c>
      <c r="Y7">
        <f>VLOOKUP(A7,COP!A$2:G$55,5,0)</f>
        <v>85.8</v>
      </c>
      <c r="Z7">
        <f>VLOOKUP(A7,COST!A$2:G$55,5,0)</f>
        <v>117.92</v>
      </c>
      <c r="AA7">
        <f>VLOOKUP(A7,CSCO!A$2:G$55,5,0)</f>
        <v>25.44</v>
      </c>
      <c r="AB7">
        <f>VLOOKUP(A7,CVS!A$2:G$55,5,0)</f>
        <v>76.84</v>
      </c>
      <c r="AC7">
        <f>VLOOKUP(A7,CVX!A$2:G$55,5,0)</f>
        <v>131.38999999999999</v>
      </c>
      <c r="AD7">
        <f>VLOOKUP(A7,DD!A$2:G$55,5,0)</f>
        <v>65.040000000000006</v>
      </c>
      <c r="AE7">
        <f>VLOOKUP(A7,DIS!A$2:G$55,5,0)</f>
        <v>87.22</v>
      </c>
      <c r="AF7">
        <f>VLOOKUP(A7,DOW!A$2:G$55,5,0)</f>
        <v>51.2</v>
      </c>
      <c r="AG7">
        <f>VLOOKUP(A7,DVN!A$2:G$55,5,0)</f>
        <v>79.400000000000006</v>
      </c>
      <c r="AH7">
        <f>VLOOKUP(A7,EBAY!A$2:G$55,5,0)</f>
        <v>50.93</v>
      </c>
      <c r="AI7">
        <f>VLOOKUP(A7,EMC!A$2:G$55,5,0)</f>
        <v>26.69</v>
      </c>
      <c r="AJ7">
        <f>VLOOKUP(A7,EMR!A$2:G$55,5,0)</f>
        <v>67.7</v>
      </c>
      <c r="AK7">
        <f>VLOOKUP(A7,EXC!A$2:G$55,5,0)</f>
        <v>34.26</v>
      </c>
      <c r="AL7">
        <f>VLOOKUP(A7,F!A$2:G$55,5,0)</f>
        <v>17.43</v>
      </c>
      <c r="AM7">
        <f>VLOOKUP(A7,FB!A$2:G$55,5,0)</f>
        <v>64.97</v>
      </c>
      <c r="AN7">
        <f>VLOOKUP(A7,FCX!A$2:G$55,5,0)</f>
        <v>39.04</v>
      </c>
      <c r="AO7">
        <f>VLOOKUP(A7,FDX!A$2:G$55,5,0)</f>
        <v>151.32</v>
      </c>
      <c r="AP7">
        <f>VLOOKUP(A7,FOXA!A$2:G$55,5,0)</f>
        <v>35.909999999999997</v>
      </c>
      <c r="AQ7">
        <f>VLOOKUP(A7,GD!A$2:G$55,5,0)</f>
        <v>115.62</v>
      </c>
      <c r="AR7">
        <f>VLOOKUP(A7,GE!A$2:G$55,5,0)</f>
        <v>26.32</v>
      </c>
      <c r="AS7">
        <f>VLOOKUP(A7,GILD!A$2:G$55,5,0)</f>
        <v>88.68</v>
      </c>
      <c r="AT7">
        <f>VLOOKUP(A7,GM!A$2:G$55,5,0)</f>
        <v>37.97</v>
      </c>
      <c r="AU7">
        <f>VLOOKUP(A7,GOOG!A$2:G$55,5,0)</f>
        <v>576.08000000000004</v>
      </c>
      <c r="AV7">
        <f>VLOOKUP(A7,GOOGL!A$2:G$55,5,0)</f>
        <v>583.36</v>
      </c>
      <c r="AW7">
        <f>VLOOKUP(A7,GS!A$2:G$55,5,0)</f>
        <v>164.67</v>
      </c>
      <c r="AX7">
        <f>VLOOKUP(A7,HAL!A$2:G$55,5,0)</f>
        <v>70.67</v>
      </c>
      <c r="AY7">
        <f>VLOOKUP(A7,HD!A$2:G$55,5,0)</f>
        <v>80.73</v>
      </c>
      <c r="AZ7">
        <f>VLOOKUP(A7,HON!A$2:G$55,5,0)</f>
        <v>94.54</v>
      </c>
      <c r="BA7">
        <f>VLOOKUP(A7,HPQ!A$2:G$55,5,0)</f>
        <v>33.65</v>
      </c>
      <c r="BB7">
        <f>VLOOKUP(A7,IBM!A$2:G$55,5,0)</f>
        <v>188.42</v>
      </c>
      <c r="BC7">
        <f>VLOOKUP(A7,INTC!A$2:G$55,5,0)</f>
        <v>30.89</v>
      </c>
      <c r="BD7">
        <f>VLOOKUP(A7,JNJ!A$2:G$55,5,0)</f>
        <v>106.04</v>
      </c>
      <c r="BE7">
        <f>VLOOKUP(A7,JPM!A$2:G$55,5,0)</f>
        <v>56.02</v>
      </c>
      <c r="BF7">
        <f>VLOOKUP(A7,KO!A$2:G$55,5,0)</f>
        <v>41.95</v>
      </c>
      <c r="BG7">
        <f>VLOOKUP(A7,LLY!A$2:G$55,5,0)</f>
        <v>62.62</v>
      </c>
      <c r="BH7">
        <f>VLOOKUP(A7,LMT!A$2:G$55,5,0)</f>
        <v>157.93</v>
      </c>
      <c r="BI7">
        <f>VLOOKUP(A7,LOW!A$2:G$55,5,0)</f>
        <v>47.86</v>
      </c>
      <c r="BJ7">
        <f>VLOOKUP(A7,MA!A$2:G$55,5,0)</f>
        <v>76.63</v>
      </c>
      <c r="BK7">
        <f>VLOOKUP(A7,MCD!A$2:G$55,5,0)</f>
        <v>101.07</v>
      </c>
      <c r="BL7">
        <f>VLOOKUP(A7,MDLZ!A$2:G$55,5,0)</f>
        <v>38.01</v>
      </c>
      <c r="BM7">
        <f>VLOOKUP(A7,MDT!A$2:G$55,5,0)</f>
        <v>63.6</v>
      </c>
      <c r="BN7">
        <f>VLOOKUP(A7,MET!A$2:G$55,5,0)</f>
        <v>56.35</v>
      </c>
      <c r="BO7">
        <f>VLOOKUP(A7,MMM!A$2:G$55,5,0)</f>
        <v>144.68</v>
      </c>
      <c r="BP7">
        <f>VLOOKUP(A7,MO!A$2:G$55,5,0)</f>
        <v>42.8</v>
      </c>
      <c r="BQ7">
        <f>VLOOKUP(A7,MON!A$2:G$55,5,0)</f>
        <v>123.47</v>
      </c>
      <c r="BR7">
        <f>VLOOKUP(A7,MRK!A$2:G$55,5,0)</f>
        <v>58.55</v>
      </c>
      <c r="BS7">
        <f>VLOOKUP(A7,MS!A$2:G$55,5,0)</f>
        <v>32.01</v>
      </c>
      <c r="BT7">
        <f>VLOOKUP(A7,MSFT!A$2:G$55,5,0)</f>
        <v>41.67</v>
      </c>
      <c r="BU7">
        <f>VLOOKUP(A7,NKE!A$2:G$55,5,0)</f>
        <v>78.69</v>
      </c>
      <c r="BV7">
        <f>VLOOKUP(A7,NOV!A$2:G$55,5,0)</f>
        <v>84.5</v>
      </c>
      <c r="BW7">
        <f>VLOOKUP(A7,NSC!A$2:G$55,5,0)</f>
        <v>103.4</v>
      </c>
      <c r="BX7">
        <f>VLOOKUP(A7,ORCL!A$2:G$55,5,0)</f>
        <v>40.26</v>
      </c>
      <c r="BY7">
        <f>VLOOKUP(A7,OXY!A$2:G$55,5,0)</f>
        <v>101.95</v>
      </c>
      <c r="BZ7">
        <f>VLOOKUP(A7,PEP!A$2:G$55,5,0)</f>
        <v>89.77</v>
      </c>
      <c r="CA7">
        <f>VLOOKUP(A7,PFE!A$2:G$55,5,0)</f>
        <v>30.05</v>
      </c>
      <c r="CB7">
        <f>VLOOKUP(A7,PG!A$2:G$55,5,0)</f>
        <v>81.67</v>
      </c>
      <c r="CC7">
        <f>VLOOKUP(A7,PM!A$2:G$55,5,0)</f>
        <v>86.03</v>
      </c>
      <c r="CD7">
        <f>VLOOKUP(A7,QCOM!A$2:G$55,5,0)</f>
        <v>80.77</v>
      </c>
      <c r="CE7">
        <f>VLOOKUP(A7,RTN!A$2:G$55,5,0)</f>
        <v>91.86</v>
      </c>
      <c r="CF7">
        <f>VLOOKUP(A7,SBUX!A$2:G$55,5,0)</f>
        <v>79.45</v>
      </c>
      <c r="CG7">
        <f>VLOOKUP(A7,SLB!A$2:G$55,5,0)</f>
        <v>116.96</v>
      </c>
      <c r="CH7">
        <f>VLOOKUP(A7,SO!A$2:G$55,5,0)</f>
        <v>44.46</v>
      </c>
      <c r="CI7">
        <f>VLOOKUP(A7,SPG!A$2:G$55,5,0)</f>
        <v>167.66</v>
      </c>
      <c r="CJ7">
        <f>VLOOKUP(A7,T!A$2:G$55,5,0)</f>
        <v>35.65</v>
      </c>
      <c r="CK7">
        <f>VLOOKUP(A7,TGT!A$2:G$55,5,0)</f>
        <v>60.05</v>
      </c>
      <c r="CL7">
        <f>VLOOKUP(A7,TWX!A$2:G$55,5,0)</f>
        <v>72.41</v>
      </c>
      <c r="CM7">
        <f>VLOOKUP(A7,TXN!A$2:G$55,5,0)</f>
        <v>49.28</v>
      </c>
      <c r="CN7">
        <f>VLOOKUP(A7,UNH!A$2:G$55,5,0)</f>
        <v>82.74</v>
      </c>
      <c r="CO7">
        <f>VLOOKUP(A7,UNP!A$2:G$55,5,0)</f>
        <v>100.61</v>
      </c>
      <c r="CP7">
        <f>VLOOKUP(A7,UPS!A$2:G$55,5,0)</f>
        <v>102.98</v>
      </c>
      <c r="CQ7">
        <f>VLOOKUP(A7,USB!A$2:G$55,5,0)</f>
        <v>43.38</v>
      </c>
      <c r="CR7">
        <f>VLOOKUP(A7,UTX!A$2:G$55,5,0)</f>
        <v>113.84</v>
      </c>
      <c r="CS7">
        <f>VLOOKUP(A7,V!A$2:G$55,5,0)</f>
        <v>216.16</v>
      </c>
      <c r="CT7">
        <f>VLOOKUP(A7,VZ!A$2:G$55,5,0)</f>
        <v>48.9</v>
      </c>
      <c r="CU7">
        <f>VLOOKUP(A7,WAG!A$2:G$55,5,0)</f>
        <v>71.95</v>
      </c>
      <c r="CV7">
        <f>VLOOKUP(A7,WFC!A$2:G$55,5,0)</f>
        <v>52.19</v>
      </c>
      <c r="CW7">
        <f>VLOOKUP(A7,WMT!A$2:G$55,5,0)</f>
        <v>77.209999999999994</v>
      </c>
    </row>
    <row r="8" spans="1:101" x14ac:dyDescent="0.25">
      <c r="A8" s="34">
        <v>41830</v>
      </c>
      <c r="B8" s="36">
        <v>95.04</v>
      </c>
      <c r="C8">
        <f>VLOOKUP(A8,ABBV!A$2:G$55,5,0)</f>
        <v>55.79</v>
      </c>
      <c r="D8">
        <f>VLOOKUP(A8,ABT!A$2:G$55,5,0)</f>
        <v>41.24</v>
      </c>
      <c r="E8">
        <f>VLOOKUP(A8,ACN!A$2:G$55,5,0)</f>
        <v>79.77</v>
      </c>
      <c r="F8">
        <f>VLOOKUP(A8,AIG!A$2:G$55,5,0)</f>
        <v>54.48</v>
      </c>
      <c r="G8">
        <f>VLOOKUP(A8,ALL!A$2:G$55,5,0)</f>
        <v>58.07</v>
      </c>
      <c r="H8">
        <f>VLOOKUP(A8,AMGN!A$2:G$55,5,0)</f>
        <v>118.95</v>
      </c>
      <c r="I8">
        <f>VLOOKUP(A8,AMZN!A$2:G$55,5,0)</f>
        <v>327.92</v>
      </c>
      <c r="J8">
        <f>VLOOKUP(A8,APA!A$2:G$55,5,0)</f>
        <v>99.22</v>
      </c>
      <c r="K8">
        <f>VLOOKUP(A8,APC!A$2:G$55,5,0)</f>
        <v>106.14</v>
      </c>
      <c r="L8">
        <f>VLOOKUP(A8,AXP!A$2:G$55,5,0)</f>
        <v>94.46</v>
      </c>
      <c r="M8">
        <f>VLOOKUP(A8,BA!A$2:G$55,5,0)</f>
        <v>126.79</v>
      </c>
      <c r="N8">
        <f>VLOOKUP(A8,BAC!A$2:G$55,5,0)</f>
        <v>15.44</v>
      </c>
      <c r="O8">
        <f>VLOOKUP(A8,BAX!A$2:G$55,5,0)</f>
        <v>76.75</v>
      </c>
      <c r="P8">
        <f>VLOOKUP(A8,BIIB!A$2:G$55,5,0)</f>
        <v>319.12</v>
      </c>
      <c r="Q8">
        <f>VLOOKUP(A8,BK!A$2:G$55,5,0)</f>
        <v>37.72</v>
      </c>
      <c r="R8">
        <f>VLOOKUP(A8,BMY!A$2:G$55,5,0)</f>
        <v>48.51</v>
      </c>
      <c r="T8">
        <f>VLOOKUP(A8,'C'!A$2:G$55,5,0)</f>
        <v>46.9</v>
      </c>
      <c r="U8">
        <f>VLOOKUP(A8,CAT!A$2:G$55,5,0)</f>
        <v>109.36</v>
      </c>
      <c r="V8">
        <f>VLOOKUP(A8,CL!A$2:G$55,5,0)</f>
        <v>69.42</v>
      </c>
      <c r="W8">
        <f>VLOOKUP(A8,CMCSA!A$2:G$55,5,0)</f>
        <v>54.36</v>
      </c>
      <c r="X8">
        <f>VLOOKUP(A8,COF!A$2:G$55,5,0)</f>
        <v>83.69</v>
      </c>
      <c r="Y8">
        <f>VLOOKUP(A8,COP!A$2:G$55,5,0)</f>
        <v>85.67</v>
      </c>
      <c r="Z8">
        <f>VLOOKUP(A8,COST!A$2:G$55,5,0)</f>
        <v>118.08</v>
      </c>
      <c r="AA8">
        <f>VLOOKUP(A8,CSCO!A$2:G$55,5,0)</f>
        <v>25.44</v>
      </c>
      <c r="AB8">
        <f>VLOOKUP(A8,CVS!A$2:G$55,5,0)</f>
        <v>76.61</v>
      </c>
      <c r="AC8">
        <f>VLOOKUP(A8,CVX!A$2:G$55,5,0)</f>
        <v>130.25</v>
      </c>
      <c r="AD8">
        <f>VLOOKUP(A8,DD!A$2:G$55,5,0)</f>
        <v>64.94</v>
      </c>
      <c r="AE8">
        <f>VLOOKUP(A8,DIS!A$2:G$55,5,0)</f>
        <v>86.86</v>
      </c>
      <c r="AF8">
        <f>VLOOKUP(A8,DOW!A$2:G$55,5,0)</f>
        <v>51.12</v>
      </c>
      <c r="AG8">
        <f>VLOOKUP(A8,DVN!A$2:G$55,5,0)</f>
        <v>78.099999999999994</v>
      </c>
      <c r="AH8">
        <f>VLOOKUP(A8,EBAY!A$2:G$55,5,0)</f>
        <v>50.34</v>
      </c>
      <c r="AI8">
        <f>VLOOKUP(A8,EMC!A$2:G$55,5,0)</f>
        <v>26.72</v>
      </c>
      <c r="AJ8">
        <f>VLOOKUP(A8,EMR!A$2:G$55,5,0)</f>
        <v>67.2</v>
      </c>
      <c r="AK8">
        <f>VLOOKUP(A8,EXC!A$2:G$55,5,0)</f>
        <v>34.36</v>
      </c>
      <c r="AL8">
        <f>VLOOKUP(A8,F!A$2:G$55,5,0)</f>
        <v>17.3</v>
      </c>
      <c r="AM8">
        <f>VLOOKUP(A8,FB!A$2:G$55,5,0)</f>
        <v>64.87</v>
      </c>
      <c r="AN8">
        <f>VLOOKUP(A8,FCX!A$2:G$55,5,0)</f>
        <v>38.86</v>
      </c>
      <c r="AO8">
        <f>VLOOKUP(A8,FDX!A$2:G$55,5,0)</f>
        <v>150.26</v>
      </c>
      <c r="AP8">
        <f>VLOOKUP(A8,FOXA!A$2:G$55,5,0)</f>
        <v>35.71</v>
      </c>
      <c r="AQ8">
        <f>VLOOKUP(A8,GD!A$2:G$55,5,0)</f>
        <v>115.53</v>
      </c>
      <c r="AR8">
        <f>VLOOKUP(A8,GE!A$2:G$55,5,0)</f>
        <v>26.2</v>
      </c>
      <c r="AS8">
        <f>VLOOKUP(A8,GILD!A$2:G$55,5,0)</f>
        <v>88.94</v>
      </c>
      <c r="AT8">
        <f>VLOOKUP(A8,GM!A$2:G$55,5,0)</f>
        <v>37.75</v>
      </c>
      <c r="AU8">
        <f>VLOOKUP(A8,GOOG!A$2:G$55,5,0)</f>
        <v>571.1</v>
      </c>
      <c r="AV8">
        <f>VLOOKUP(A8,GOOGL!A$2:G$55,5,0)</f>
        <v>580.04</v>
      </c>
      <c r="AW8">
        <f>VLOOKUP(A8,GS!A$2:G$55,5,0)</f>
        <v>163.41999999999999</v>
      </c>
      <c r="AX8">
        <f>VLOOKUP(A8,HAL!A$2:G$55,5,0)</f>
        <v>69.349999999999994</v>
      </c>
      <c r="AY8">
        <f>VLOOKUP(A8,HD!A$2:G$55,5,0)</f>
        <v>79.400000000000006</v>
      </c>
      <c r="AZ8">
        <f>VLOOKUP(A8,HON!A$2:G$55,5,0)</f>
        <v>94.28</v>
      </c>
      <c r="BA8">
        <f>VLOOKUP(A8,HPQ!A$2:G$55,5,0)</f>
        <v>33.85</v>
      </c>
      <c r="BB8">
        <f>VLOOKUP(A8,IBM!A$2:G$55,5,0)</f>
        <v>187.7</v>
      </c>
      <c r="BC8">
        <f>VLOOKUP(A8,INTC!A$2:G$55,5,0)</f>
        <v>31.26</v>
      </c>
      <c r="BD8">
        <f>VLOOKUP(A8,JNJ!A$2:G$55,5,0)</f>
        <v>105.8</v>
      </c>
      <c r="BE8">
        <f>VLOOKUP(A8,JPM!A$2:G$55,5,0)</f>
        <v>55.56</v>
      </c>
      <c r="BF8">
        <f>VLOOKUP(A8,KO!A$2:G$55,5,0)</f>
        <v>42.26</v>
      </c>
      <c r="BG8">
        <f>VLOOKUP(A8,LLY!A$2:G$55,5,0)</f>
        <v>62.53</v>
      </c>
      <c r="BH8">
        <f>VLOOKUP(A8,LMT!A$2:G$55,5,0)</f>
        <v>158.18</v>
      </c>
      <c r="BI8">
        <f>VLOOKUP(A8,LOW!A$2:G$55,5,0)</f>
        <v>47.2</v>
      </c>
      <c r="BJ8">
        <f>VLOOKUP(A8,MA!A$2:G$55,5,0)</f>
        <v>75.47</v>
      </c>
      <c r="BK8">
        <f>VLOOKUP(A8,MCD!A$2:G$55,5,0)</f>
        <v>100.58</v>
      </c>
      <c r="BL8">
        <f>VLOOKUP(A8,MDLZ!A$2:G$55,5,0)</f>
        <v>37.99</v>
      </c>
      <c r="BM8">
        <f>VLOOKUP(A8,MDT!A$2:G$55,5,0)</f>
        <v>63.47</v>
      </c>
      <c r="BN8">
        <f>VLOOKUP(A8,MET!A$2:G$55,5,0)</f>
        <v>55.45</v>
      </c>
      <c r="BO8">
        <f>VLOOKUP(A8,MMM!A$2:G$55,5,0)</f>
        <v>143.88999999999999</v>
      </c>
      <c r="BP8">
        <f>VLOOKUP(A8,MO!A$2:G$55,5,0)</f>
        <v>42.95</v>
      </c>
      <c r="BQ8">
        <f>VLOOKUP(A8,MON!A$2:G$55,5,0)</f>
        <v>122.56</v>
      </c>
      <c r="BR8">
        <f>VLOOKUP(A8,MRK!A$2:G$55,5,0)</f>
        <v>58.58</v>
      </c>
      <c r="BS8">
        <f>VLOOKUP(A8,MS!A$2:G$55,5,0)</f>
        <v>31.68</v>
      </c>
      <c r="BT8">
        <f>VLOOKUP(A8,MSFT!A$2:G$55,5,0)</f>
        <v>41.69</v>
      </c>
      <c r="BU8">
        <f>VLOOKUP(A8,NKE!A$2:G$55,5,0)</f>
        <v>77.5</v>
      </c>
      <c r="BV8">
        <f>VLOOKUP(A8,NOV!A$2:G$55,5,0)</f>
        <v>83.36</v>
      </c>
      <c r="BW8">
        <f>VLOOKUP(A8,NSC!A$2:G$55,5,0)</f>
        <v>102.41</v>
      </c>
      <c r="BX8">
        <f>VLOOKUP(A8,ORCL!A$2:G$55,5,0)</f>
        <v>40.32</v>
      </c>
      <c r="BY8">
        <f>VLOOKUP(A8,OXY!A$2:G$55,5,0)</f>
        <v>100.41</v>
      </c>
      <c r="BZ8">
        <f>VLOOKUP(A8,PEP!A$2:G$55,5,0)</f>
        <v>90.1</v>
      </c>
      <c r="CA8">
        <f>VLOOKUP(A8,PFE!A$2:G$55,5,0)</f>
        <v>30</v>
      </c>
      <c r="CB8">
        <f>VLOOKUP(A8,PG!A$2:G$55,5,0)</f>
        <v>81.61</v>
      </c>
      <c r="CC8">
        <f>VLOOKUP(A8,PM!A$2:G$55,5,0)</f>
        <v>84.9</v>
      </c>
      <c r="CD8">
        <f>VLOOKUP(A8,QCOM!A$2:G$55,5,0)</f>
        <v>80.430000000000007</v>
      </c>
      <c r="CE8">
        <f>VLOOKUP(A8,RTN!A$2:G$55,5,0)</f>
        <v>92.1</v>
      </c>
      <c r="CF8">
        <f>VLOOKUP(A8,SBUX!A$2:G$55,5,0)</f>
        <v>78.849999999999994</v>
      </c>
      <c r="CG8">
        <f>VLOOKUP(A8,SLB!A$2:G$55,5,0)</f>
        <v>115.4</v>
      </c>
      <c r="CH8">
        <f>VLOOKUP(A8,SO!A$2:G$55,5,0)</f>
        <v>44.64</v>
      </c>
      <c r="CI8">
        <f>VLOOKUP(A8,SPG!A$2:G$55,5,0)</f>
        <v>168.22</v>
      </c>
      <c r="CJ8">
        <f>VLOOKUP(A8,T!A$2:G$55,5,0)</f>
        <v>35.700000000000003</v>
      </c>
      <c r="CK8">
        <f>VLOOKUP(A8,TGT!A$2:G$55,5,0)</f>
        <v>59.93</v>
      </c>
      <c r="CL8">
        <f>VLOOKUP(A8,TWX!A$2:G$55,5,0)</f>
        <v>72.22</v>
      </c>
      <c r="CM8">
        <f>VLOOKUP(A8,TXN!A$2:G$55,5,0)</f>
        <v>49</v>
      </c>
      <c r="CN8">
        <f>VLOOKUP(A8,UNH!A$2:G$55,5,0)</f>
        <v>82.08</v>
      </c>
      <c r="CO8">
        <f>VLOOKUP(A8,UNP!A$2:G$55,5,0)</f>
        <v>99.61</v>
      </c>
      <c r="CP8">
        <f>VLOOKUP(A8,UPS!A$2:G$55,5,0)</f>
        <v>102.09</v>
      </c>
      <c r="CQ8">
        <f>VLOOKUP(A8,USB!A$2:G$55,5,0)</f>
        <v>43.1</v>
      </c>
      <c r="CR8">
        <f>VLOOKUP(A8,UTX!A$2:G$55,5,0)</f>
        <v>113.51</v>
      </c>
      <c r="CS8">
        <f>VLOOKUP(A8,V!A$2:G$55,5,0)</f>
        <v>215.54</v>
      </c>
      <c r="CT8">
        <f>VLOOKUP(A8,VZ!A$2:G$55,5,0)</f>
        <v>49.64</v>
      </c>
      <c r="CU8">
        <f>VLOOKUP(A8,WAG!A$2:G$55,5,0)</f>
        <v>71.53</v>
      </c>
      <c r="CV8">
        <f>VLOOKUP(A8,WFC!A$2:G$55,5,0)</f>
        <v>51.81</v>
      </c>
      <c r="CW8">
        <f>VLOOKUP(A8,WMT!A$2:G$55,5,0)</f>
        <v>77.06</v>
      </c>
    </row>
    <row r="9" spans="1:101" x14ac:dyDescent="0.25">
      <c r="A9" s="34">
        <v>41831</v>
      </c>
      <c r="B9" s="36">
        <v>95.22</v>
      </c>
      <c r="C9">
        <f>VLOOKUP(A9,ABBV!A$2:G$55,5,0)</f>
        <v>54.96</v>
      </c>
      <c r="D9">
        <f>VLOOKUP(A9,ABT!A$2:G$55,5,0)</f>
        <v>41.3</v>
      </c>
      <c r="E9">
        <f>VLOOKUP(A9,ACN!A$2:G$55,5,0)</f>
        <v>79.77</v>
      </c>
      <c r="F9">
        <f>VLOOKUP(A9,AIG!A$2:G$55,5,0)</f>
        <v>54.52</v>
      </c>
      <c r="G9">
        <f>VLOOKUP(A9,ALL!A$2:G$55,5,0)</f>
        <v>58.2</v>
      </c>
      <c r="H9">
        <f>VLOOKUP(A9,AMGN!A$2:G$55,5,0)</f>
        <v>119.77</v>
      </c>
      <c r="I9">
        <f>VLOOKUP(A9,AMZN!A$2:G$55,5,0)</f>
        <v>346.2</v>
      </c>
      <c r="J9">
        <f>VLOOKUP(A9,APA!A$2:G$55,5,0)</f>
        <v>97.4</v>
      </c>
      <c r="K9">
        <f>VLOOKUP(A9,APC!A$2:G$55,5,0)</f>
        <v>104.78</v>
      </c>
      <c r="L9">
        <f>VLOOKUP(A9,AXP!A$2:G$55,5,0)</f>
        <v>94.47</v>
      </c>
      <c r="M9">
        <f>VLOOKUP(A9,BA!A$2:G$55,5,0)</f>
        <v>128.09</v>
      </c>
      <c r="N9">
        <f>VLOOKUP(A9,BAC!A$2:G$55,5,0)</f>
        <v>15.38</v>
      </c>
      <c r="O9">
        <f>VLOOKUP(A9,BAX!A$2:G$55,5,0)</f>
        <v>76.59</v>
      </c>
      <c r="P9">
        <f>VLOOKUP(A9,BIIB!A$2:G$55,5,0)</f>
        <v>322.22000000000003</v>
      </c>
      <c r="Q9">
        <f>VLOOKUP(A9,BK!A$2:G$55,5,0)</f>
        <v>37.61</v>
      </c>
      <c r="R9">
        <f>VLOOKUP(A9,BMY!A$2:G$55,5,0)</f>
        <v>48.62</v>
      </c>
      <c r="T9">
        <f>VLOOKUP(A9,'C'!A$2:G$55,5,0)</f>
        <v>47</v>
      </c>
      <c r="U9">
        <f>VLOOKUP(A9,CAT!A$2:G$55,5,0)</f>
        <v>109.96</v>
      </c>
      <c r="V9">
        <f>VLOOKUP(A9,CL!A$2:G$55,5,0)</f>
        <v>69.52</v>
      </c>
      <c r="W9">
        <f>VLOOKUP(A9,CMCSA!A$2:G$55,5,0)</f>
        <v>54.55</v>
      </c>
      <c r="X9">
        <f>VLOOKUP(A9,COF!A$2:G$55,5,0)</f>
        <v>83.96</v>
      </c>
      <c r="Y9">
        <f>VLOOKUP(A9,COP!A$2:G$55,5,0)</f>
        <v>84.73</v>
      </c>
      <c r="Z9">
        <f>VLOOKUP(A9,COST!A$2:G$55,5,0)</f>
        <v>118.01</v>
      </c>
      <c r="AA9">
        <f>VLOOKUP(A9,CSCO!A$2:G$55,5,0)</f>
        <v>25.52</v>
      </c>
      <c r="AB9">
        <f>VLOOKUP(A9,CVS!A$2:G$55,5,0)</f>
        <v>76.900000000000006</v>
      </c>
      <c r="AC9">
        <f>VLOOKUP(A9,CVX!A$2:G$55,5,0)</f>
        <v>128.47</v>
      </c>
      <c r="AD9">
        <f>VLOOKUP(A9,DD!A$2:G$55,5,0)</f>
        <v>64.89</v>
      </c>
      <c r="AE9">
        <f>VLOOKUP(A9,DIS!A$2:G$55,5,0)</f>
        <v>86.89</v>
      </c>
      <c r="AF9">
        <f>VLOOKUP(A9,DOW!A$2:G$55,5,0)</f>
        <v>51.6</v>
      </c>
      <c r="AG9">
        <f>VLOOKUP(A9,DVN!A$2:G$55,5,0)</f>
        <v>77.13</v>
      </c>
      <c r="AH9">
        <f>VLOOKUP(A9,EBAY!A$2:G$55,5,0)</f>
        <v>51.5</v>
      </c>
      <c r="AI9">
        <f>VLOOKUP(A9,EMC!A$2:G$55,5,0)</f>
        <v>26.64</v>
      </c>
      <c r="AJ9">
        <f>VLOOKUP(A9,EMR!A$2:G$55,5,0)</f>
        <v>67.099999999999994</v>
      </c>
      <c r="AK9">
        <f>VLOOKUP(A9,EXC!A$2:G$55,5,0)</f>
        <v>33.78</v>
      </c>
      <c r="AL9">
        <f>VLOOKUP(A9,F!A$2:G$55,5,0)</f>
        <v>17.47</v>
      </c>
      <c r="AM9">
        <f>VLOOKUP(A9,FB!A$2:G$55,5,0)</f>
        <v>66.34</v>
      </c>
      <c r="AN9">
        <f>VLOOKUP(A9,FCX!A$2:G$55,5,0)</f>
        <v>38.71</v>
      </c>
      <c r="AO9">
        <f>VLOOKUP(A9,FDX!A$2:G$55,5,0)</f>
        <v>150.63999999999999</v>
      </c>
      <c r="AP9">
        <f>VLOOKUP(A9,FOXA!A$2:G$55,5,0)</f>
        <v>35.64</v>
      </c>
      <c r="AQ9">
        <f>VLOOKUP(A9,GD!A$2:G$55,5,0)</f>
        <v>116.85</v>
      </c>
      <c r="AR9">
        <f>VLOOKUP(A9,GE!A$2:G$55,5,0)</f>
        <v>26.55</v>
      </c>
      <c r="AS9">
        <f>VLOOKUP(A9,GILD!A$2:G$55,5,0)</f>
        <v>88.73</v>
      </c>
      <c r="AT9">
        <f>VLOOKUP(A9,GM!A$2:G$55,5,0)</f>
        <v>37.950000000000003</v>
      </c>
      <c r="AU9">
        <f>VLOOKUP(A9,GOOG!A$2:G$55,5,0)</f>
        <v>579.17999999999995</v>
      </c>
      <c r="AV9">
        <f>VLOOKUP(A9,GOOGL!A$2:G$55,5,0)</f>
        <v>586.65</v>
      </c>
      <c r="AW9">
        <f>VLOOKUP(A9,GS!A$2:G$55,5,0)</f>
        <v>164.8</v>
      </c>
      <c r="AX9">
        <f>VLOOKUP(A9,HAL!A$2:G$55,5,0)</f>
        <v>68.989999999999995</v>
      </c>
      <c r="AY9">
        <f>VLOOKUP(A9,HD!A$2:G$55,5,0)</f>
        <v>79.61</v>
      </c>
      <c r="AZ9">
        <f>VLOOKUP(A9,HON!A$2:G$55,5,0)</f>
        <v>94.9</v>
      </c>
      <c r="BA9">
        <f>VLOOKUP(A9,HPQ!A$2:G$55,5,0)</f>
        <v>33.97</v>
      </c>
      <c r="BB9">
        <f>VLOOKUP(A9,IBM!A$2:G$55,5,0)</f>
        <v>188</v>
      </c>
      <c r="BC9">
        <f>VLOOKUP(A9,INTC!A$2:G$55,5,0)</f>
        <v>31.25</v>
      </c>
      <c r="BD9">
        <f>VLOOKUP(A9,JNJ!A$2:G$55,5,0)</f>
        <v>105.1</v>
      </c>
      <c r="BE9">
        <f>VLOOKUP(A9,JPM!A$2:G$55,5,0)</f>
        <v>55.8</v>
      </c>
      <c r="BF9">
        <f>VLOOKUP(A9,KO!A$2:G$55,5,0)</f>
        <v>41.97</v>
      </c>
      <c r="BG9">
        <f>VLOOKUP(A9,LLY!A$2:G$55,5,0)</f>
        <v>62.84</v>
      </c>
      <c r="BH9">
        <f>VLOOKUP(A9,LMT!A$2:G$55,5,0)</f>
        <v>160.31</v>
      </c>
      <c r="BI9">
        <f>VLOOKUP(A9,LOW!A$2:G$55,5,0)</f>
        <v>47.44</v>
      </c>
      <c r="BJ9">
        <f>VLOOKUP(A9,MA!A$2:G$55,5,0)</f>
        <v>75.83</v>
      </c>
      <c r="BK9">
        <f>VLOOKUP(A9,MCD!A$2:G$55,5,0)</f>
        <v>100.37</v>
      </c>
      <c r="BL9">
        <f>VLOOKUP(A9,MDLZ!A$2:G$55,5,0)</f>
        <v>38.42</v>
      </c>
      <c r="BM9">
        <f>VLOOKUP(A9,MDT!A$2:G$55,5,0)</f>
        <v>63.79</v>
      </c>
      <c r="BN9">
        <f>VLOOKUP(A9,MET!A$2:G$55,5,0)</f>
        <v>55.74</v>
      </c>
      <c r="BO9">
        <f>VLOOKUP(A9,MMM!A$2:G$55,5,0)</f>
        <v>144.31</v>
      </c>
      <c r="BP9">
        <f>VLOOKUP(A9,MO!A$2:G$55,5,0)</f>
        <v>43.43</v>
      </c>
      <c r="BQ9">
        <f>VLOOKUP(A9,MON!A$2:G$55,5,0)</f>
        <v>120.9</v>
      </c>
      <c r="BR9">
        <f>VLOOKUP(A9,MRK!A$2:G$55,5,0)</f>
        <v>58.44</v>
      </c>
      <c r="BS9">
        <f>VLOOKUP(A9,MS!A$2:G$55,5,0)</f>
        <v>31.41</v>
      </c>
      <c r="BT9">
        <f>VLOOKUP(A9,MSFT!A$2:G$55,5,0)</f>
        <v>42.09</v>
      </c>
      <c r="BU9">
        <f>VLOOKUP(A9,NKE!A$2:G$55,5,0)</f>
        <v>77.290000000000006</v>
      </c>
      <c r="BV9">
        <f>VLOOKUP(A9,NOV!A$2:G$55,5,0)</f>
        <v>82.75</v>
      </c>
      <c r="BW9">
        <f>VLOOKUP(A9,NSC!A$2:G$55,5,0)</f>
        <v>103.95</v>
      </c>
      <c r="BX9">
        <f>VLOOKUP(A9,ORCL!A$2:G$55,5,0)</f>
        <v>40.130000000000003</v>
      </c>
      <c r="BY9">
        <f>VLOOKUP(A9,OXY!A$2:G$55,5,0)</f>
        <v>100.48</v>
      </c>
      <c r="BZ9">
        <f>VLOOKUP(A9,PEP!A$2:G$55,5,0)</f>
        <v>89.85</v>
      </c>
      <c r="CA9">
        <f>VLOOKUP(A9,PFE!A$2:G$55,5,0)</f>
        <v>30.07</v>
      </c>
      <c r="CB9">
        <f>VLOOKUP(A9,PG!A$2:G$55,5,0)</f>
        <v>81.16</v>
      </c>
      <c r="CC9">
        <f>VLOOKUP(A9,PM!A$2:G$55,5,0)</f>
        <v>85.41</v>
      </c>
      <c r="CD9">
        <f>VLOOKUP(A9,QCOM!A$2:G$55,5,0)</f>
        <v>79.599999999999994</v>
      </c>
      <c r="CE9">
        <f>VLOOKUP(A9,RTN!A$2:G$55,5,0)</f>
        <v>92.96</v>
      </c>
      <c r="CF9">
        <f>VLOOKUP(A9,SBUX!A$2:G$55,5,0)</f>
        <v>78.599999999999994</v>
      </c>
      <c r="CG9">
        <f>VLOOKUP(A9,SLB!A$2:G$55,5,0)</f>
        <v>114.7</v>
      </c>
      <c r="CH9">
        <f>VLOOKUP(A9,SO!A$2:G$55,5,0)</f>
        <v>44.53</v>
      </c>
      <c r="CI9">
        <f>VLOOKUP(A9,SPG!A$2:G$55,5,0)</f>
        <v>168.99</v>
      </c>
      <c r="CJ9">
        <f>VLOOKUP(A9,T!A$2:G$55,5,0)</f>
        <v>35.76</v>
      </c>
      <c r="CK9">
        <f>VLOOKUP(A9,TGT!A$2:G$55,5,0)</f>
        <v>60</v>
      </c>
      <c r="CL9">
        <f>VLOOKUP(A9,TWX!A$2:G$55,5,0)</f>
        <v>72.290000000000006</v>
      </c>
      <c r="CM9">
        <f>VLOOKUP(A9,TXN!A$2:G$55,5,0)</f>
        <v>49.29</v>
      </c>
      <c r="CN9">
        <f>VLOOKUP(A9,UNH!A$2:G$55,5,0)</f>
        <v>82.87</v>
      </c>
      <c r="CO9">
        <f>VLOOKUP(A9,UNP!A$2:G$55,5,0)</f>
        <v>100.27</v>
      </c>
      <c r="CP9">
        <f>VLOOKUP(A9,UPS!A$2:G$55,5,0)</f>
        <v>102.53</v>
      </c>
      <c r="CQ9">
        <f>VLOOKUP(A9,USB!A$2:G$55,5,0)</f>
        <v>43.18</v>
      </c>
      <c r="CR9">
        <f>VLOOKUP(A9,UTX!A$2:G$55,5,0)</f>
        <v>114.13</v>
      </c>
      <c r="CS9">
        <f>VLOOKUP(A9,V!A$2:G$55,5,0)</f>
        <v>217</v>
      </c>
      <c r="CT9">
        <f>VLOOKUP(A9,VZ!A$2:G$55,5,0)</f>
        <v>50.32</v>
      </c>
      <c r="CU9">
        <f>VLOOKUP(A9,WAG!A$2:G$55,5,0)</f>
        <v>71.66</v>
      </c>
      <c r="CV9">
        <f>VLOOKUP(A9,WFC!A$2:G$55,5,0)</f>
        <v>51.49</v>
      </c>
      <c r="CW9">
        <f>VLOOKUP(A9,WMT!A$2:G$55,5,0)</f>
        <v>76.819999999999993</v>
      </c>
    </row>
    <row r="10" spans="1:101" x14ac:dyDescent="0.25">
      <c r="A10" s="34">
        <v>41834</v>
      </c>
      <c r="B10" s="36">
        <v>96.45</v>
      </c>
      <c r="C10">
        <f>VLOOKUP(A10,ABBV!A$2:G$55,5,0)</f>
        <v>54.85</v>
      </c>
      <c r="D10">
        <f>VLOOKUP(A10,ABT!A$2:G$55,5,0)</f>
        <v>41.82</v>
      </c>
      <c r="E10">
        <f>VLOOKUP(A10,ACN!A$2:G$55,5,0)</f>
        <v>79.459999999999994</v>
      </c>
      <c r="F10">
        <f>VLOOKUP(A10,AIG!A$2:G$55,5,0)</f>
        <v>55.1</v>
      </c>
      <c r="G10">
        <f>VLOOKUP(A10,ALL!A$2:G$55,5,0)</f>
        <v>58.28</v>
      </c>
      <c r="H10">
        <f>VLOOKUP(A10,AMGN!A$2:G$55,5,0)</f>
        <v>118.98</v>
      </c>
      <c r="I10">
        <f>VLOOKUP(A10,AMZN!A$2:G$55,5,0)</f>
        <v>355.32</v>
      </c>
      <c r="J10">
        <f>VLOOKUP(A10,APA!A$2:G$55,5,0)</f>
        <v>98.55</v>
      </c>
      <c r="K10">
        <f>VLOOKUP(A10,APC!A$2:G$55,5,0)</f>
        <v>105.92</v>
      </c>
      <c r="L10">
        <f>VLOOKUP(A10,AXP!A$2:G$55,5,0)</f>
        <v>94.54</v>
      </c>
      <c r="M10">
        <f>VLOOKUP(A10,BA!A$2:G$55,5,0)</f>
        <v>129.52000000000001</v>
      </c>
      <c r="N10">
        <f>VLOOKUP(A10,BAC!A$2:G$55,5,0)</f>
        <v>15.57</v>
      </c>
      <c r="O10">
        <f>VLOOKUP(A10,BAX!A$2:G$55,5,0)</f>
        <v>76.790000000000006</v>
      </c>
      <c r="P10">
        <f>VLOOKUP(A10,BIIB!A$2:G$55,5,0)</f>
        <v>319.75</v>
      </c>
      <c r="Q10">
        <f>VLOOKUP(A10,BK!A$2:G$55,5,0)</f>
        <v>37.64</v>
      </c>
      <c r="R10">
        <f>VLOOKUP(A10,BMY!A$2:G$55,5,0)</f>
        <v>49.08</v>
      </c>
      <c r="T10">
        <f>VLOOKUP(A10,'C'!A$2:G$55,5,0)</f>
        <v>48.42</v>
      </c>
      <c r="U10">
        <f>VLOOKUP(A10,CAT!A$2:G$55,5,0)</f>
        <v>110.09</v>
      </c>
      <c r="V10">
        <f>VLOOKUP(A10,CL!A$2:G$55,5,0)</f>
        <v>69.790000000000006</v>
      </c>
      <c r="W10">
        <f>VLOOKUP(A10,CMCSA!A$2:G$55,5,0)</f>
        <v>55.05</v>
      </c>
      <c r="X10">
        <f>VLOOKUP(A10,COF!A$2:G$55,5,0)</f>
        <v>84.01</v>
      </c>
      <c r="Y10">
        <f>VLOOKUP(A10,COP!A$2:G$55,5,0)</f>
        <v>85.84</v>
      </c>
      <c r="Z10">
        <f>VLOOKUP(A10,COST!A$2:G$55,5,0)</f>
        <v>117.36</v>
      </c>
      <c r="AA10">
        <f>VLOOKUP(A10,CSCO!A$2:G$55,5,0)</f>
        <v>25.44</v>
      </c>
      <c r="AB10">
        <f>VLOOKUP(A10,CVS!A$2:G$55,5,0)</f>
        <v>77.290000000000006</v>
      </c>
      <c r="AC10">
        <f>VLOOKUP(A10,CVX!A$2:G$55,5,0)</f>
        <v>129.26</v>
      </c>
      <c r="AD10">
        <f>VLOOKUP(A10,DD!A$2:G$55,5,0)</f>
        <v>65.010000000000005</v>
      </c>
      <c r="AE10">
        <f>VLOOKUP(A10,DIS!A$2:G$55,5,0)</f>
        <v>86.76</v>
      </c>
      <c r="AF10">
        <f>VLOOKUP(A10,DOW!A$2:G$55,5,0)</f>
        <v>51.5</v>
      </c>
      <c r="AG10">
        <f>VLOOKUP(A10,DVN!A$2:G$55,5,0)</f>
        <v>77.81</v>
      </c>
      <c r="AH10">
        <f>VLOOKUP(A10,EBAY!A$2:G$55,5,0)</f>
        <v>51.16</v>
      </c>
      <c r="AI10">
        <f>VLOOKUP(A10,EMC!A$2:G$55,5,0)</f>
        <v>26.92</v>
      </c>
      <c r="AJ10">
        <f>VLOOKUP(A10,EMR!A$2:G$55,5,0)</f>
        <v>67.260000000000005</v>
      </c>
      <c r="AK10">
        <f>VLOOKUP(A10,EXC!A$2:G$55,5,0)</f>
        <v>32.89</v>
      </c>
      <c r="AL10">
        <f>VLOOKUP(A10,F!A$2:G$55,5,0)</f>
        <v>17.55</v>
      </c>
      <c r="AM10">
        <f>VLOOKUP(A10,FB!A$2:G$55,5,0)</f>
        <v>67.900000000000006</v>
      </c>
      <c r="AN10">
        <f>VLOOKUP(A10,FCX!A$2:G$55,5,0)</f>
        <v>38.700000000000003</v>
      </c>
      <c r="AO10">
        <f>VLOOKUP(A10,FDX!A$2:G$55,5,0)</f>
        <v>151.07</v>
      </c>
      <c r="AP10">
        <f>VLOOKUP(A10,FOXA!A$2:G$55,5,0)</f>
        <v>35.54</v>
      </c>
      <c r="AQ10">
        <f>VLOOKUP(A10,GD!A$2:G$55,5,0)</f>
        <v>116.68</v>
      </c>
      <c r="AR10">
        <f>VLOOKUP(A10,GE!A$2:G$55,5,0)</f>
        <v>26.66</v>
      </c>
      <c r="AS10">
        <f>VLOOKUP(A10,GILD!A$2:G$55,5,0)</f>
        <v>89.85</v>
      </c>
      <c r="AT10">
        <f>VLOOKUP(A10,GM!A$2:G$55,5,0)</f>
        <v>37.700000000000003</v>
      </c>
      <c r="AU10">
        <f>VLOOKUP(A10,GOOG!A$2:G$55,5,0)</f>
        <v>584.87</v>
      </c>
      <c r="AV10">
        <f>VLOOKUP(A10,GOOGL!A$2:G$55,5,0)</f>
        <v>594.26</v>
      </c>
      <c r="AW10">
        <f>VLOOKUP(A10,GS!A$2:G$55,5,0)</f>
        <v>167</v>
      </c>
      <c r="AX10">
        <f>VLOOKUP(A10,HAL!A$2:G$55,5,0)</f>
        <v>69.8</v>
      </c>
      <c r="AY10">
        <f>VLOOKUP(A10,HD!A$2:G$55,5,0)</f>
        <v>79.459999999999994</v>
      </c>
      <c r="AZ10">
        <f>VLOOKUP(A10,HON!A$2:G$55,5,0)</f>
        <v>95.74</v>
      </c>
      <c r="BA10">
        <f>VLOOKUP(A10,HPQ!A$2:G$55,5,0)</f>
        <v>34.15</v>
      </c>
      <c r="BB10">
        <f>VLOOKUP(A10,IBM!A$2:G$55,5,0)</f>
        <v>189.86</v>
      </c>
      <c r="BC10">
        <f>VLOOKUP(A10,INTC!A$2:G$55,5,0)</f>
        <v>31.49</v>
      </c>
      <c r="BD10">
        <f>VLOOKUP(A10,JNJ!A$2:G$55,5,0)</f>
        <v>105.38</v>
      </c>
      <c r="BE10">
        <f>VLOOKUP(A10,JPM!A$2:G$55,5,0)</f>
        <v>56.29</v>
      </c>
      <c r="BF10">
        <f>VLOOKUP(A10,KO!A$2:G$55,5,0)</f>
        <v>42.38</v>
      </c>
      <c r="BG10">
        <f>VLOOKUP(A10,LLY!A$2:G$55,5,0)</f>
        <v>63.01</v>
      </c>
      <c r="BH10">
        <f>VLOOKUP(A10,LMT!A$2:G$55,5,0)</f>
        <v>161.81</v>
      </c>
      <c r="BI10">
        <f>VLOOKUP(A10,LOW!A$2:G$55,5,0)</f>
        <v>47.22</v>
      </c>
      <c r="BJ10">
        <f>VLOOKUP(A10,MA!A$2:G$55,5,0)</f>
        <v>77.33</v>
      </c>
      <c r="BK10">
        <f>VLOOKUP(A10,MCD!A$2:G$55,5,0)</f>
        <v>100.47</v>
      </c>
      <c r="BL10">
        <f>VLOOKUP(A10,MDLZ!A$2:G$55,5,0)</f>
        <v>38.56</v>
      </c>
      <c r="BM10">
        <f>VLOOKUP(A10,MDT!A$2:G$55,5,0)</f>
        <v>64.040000000000006</v>
      </c>
      <c r="BN10">
        <f>VLOOKUP(A10,MET!A$2:G$55,5,0)</f>
        <v>56.14</v>
      </c>
      <c r="BO10">
        <f>VLOOKUP(A10,MMM!A$2:G$55,5,0)</f>
        <v>145</v>
      </c>
      <c r="BP10">
        <f>VLOOKUP(A10,MO!A$2:G$55,5,0)</f>
        <v>43.35</v>
      </c>
      <c r="BQ10">
        <f>VLOOKUP(A10,MON!A$2:G$55,5,0)</f>
        <v>120</v>
      </c>
      <c r="BR10">
        <f>VLOOKUP(A10,MRK!A$2:G$55,5,0)</f>
        <v>58.18</v>
      </c>
      <c r="BS10">
        <f>VLOOKUP(A10,MS!A$2:G$55,5,0)</f>
        <v>31.81</v>
      </c>
      <c r="BT10">
        <f>VLOOKUP(A10,MSFT!A$2:G$55,5,0)</f>
        <v>42.14</v>
      </c>
      <c r="BU10">
        <f>VLOOKUP(A10,NKE!A$2:G$55,5,0)</f>
        <v>77.95</v>
      </c>
      <c r="BV10">
        <f>VLOOKUP(A10,NOV!A$2:G$55,5,0)</f>
        <v>83.75</v>
      </c>
      <c r="BW10">
        <f>VLOOKUP(A10,NSC!A$2:G$55,5,0)</f>
        <v>104.43</v>
      </c>
      <c r="BX10">
        <f>VLOOKUP(A10,ORCL!A$2:G$55,5,0)</f>
        <v>40.49</v>
      </c>
      <c r="BY10">
        <f>VLOOKUP(A10,OXY!A$2:G$55,5,0)</f>
        <v>101.22</v>
      </c>
      <c r="BZ10">
        <f>VLOOKUP(A10,PEP!A$2:G$55,5,0)</f>
        <v>91.08</v>
      </c>
      <c r="CA10">
        <f>VLOOKUP(A10,PFE!A$2:G$55,5,0)</f>
        <v>30.24</v>
      </c>
      <c r="CB10">
        <f>VLOOKUP(A10,PG!A$2:G$55,5,0)</f>
        <v>81.319999999999993</v>
      </c>
      <c r="CC10">
        <f>VLOOKUP(A10,PM!A$2:G$55,5,0)</f>
        <v>85.95</v>
      </c>
      <c r="CD10">
        <f>VLOOKUP(A10,QCOM!A$2:G$55,5,0)</f>
        <v>79.52</v>
      </c>
      <c r="CE10">
        <f>VLOOKUP(A10,RTN!A$2:G$55,5,0)</f>
        <v>93.96</v>
      </c>
      <c r="CF10">
        <f>VLOOKUP(A10,SBUX!A$2:G$55,5,0)</f>
        <v>78.56</v>
      </c>
      <c r="CG10">
        <f>VLOOKUP(A10,SLB!A$2:G$55,5,0)</f>
        <v>115.94</v>
      </c>
      <c r="CH10">
        <f>VLOOKUP(A10,SO!A$2:G$55,5,0)</f>
        <v>44.18</v>
      </c>
      <c r="CI10">
        <f>VLOOKUP(A10,SPG!A$2:G$55,5,0)</f>
        <v>169.41</v>
      </c>
      <c r="CJ10">
        <f>VLOOKUP(A10,T!A$2:G$55,5,0)</f>
        <v>35.86</v>
      </c>
      <c r="CK10">
        <f>VLOOKUP(A10,TGT!A$2:G$55,5,0)</f>
        <v>60.18</v>
      </c>
      <c r="CL10">
        <f>VLOOKUP(A10,TWX!A$2:G$55,5,0)</f>
        <v>71.680000000000007</v>
      </c>
      <c r="CM10">
        <f>VLOOKUP(A10,TXN!A$2:G$55,5,0)</f>
        <v>48.92</v>
      </c>
      <c r="CN10">
        <f>VLOOKUP(A10,UNH!A$2:G$55,5,0)</f>
        <v>84.27</v>
      </c>
      <c r="CO10">
        <f>VLOOKUP(A10,UNP!A$2:G$55,5,0)</f>
        <v>101.09</v>
      </c>
      <c r="CP10">
        <f>VLOOKUP(A10,UPS!A$2:G$55,5,0)</f>
        <v>103.45</v>
      </c>
      <c r="CQ10">
        <f>VLOOKUP(A10,USB!A$2:G$55,5,0)</f>
        <v>43.05</v>
      </c>
      <c r="CR10">
        <f>VLOOKUP(A10,UTX!A$2:G$55,5,0)</f>
        <v>114.88</v>
      </c>
      <c r="CS10">
        <f>VLOOKUP(A10,V!A$2:G$55,5,0)</f>
        <v>221.03</v>
      </c>
      <c r="CT10">
        <f>VLOOKUP(A10,VZ!A$2:G$55,5,0)</f>
        <v>50.53</v>
      </c>
      <c r="CU10">
        <f>VLOOKUP(A10,WAG!A$2:G$55,5,0)</f>
        <v>71.489999999999995</v>
      </c>
      <c r="CV10">
        <f>VLOOKUP(A10,WFC!A$2:G$55,5,0)</f>
        <v>51.31</v>
      </c>
      <c r="CW10">
        <f>VLOOKUP(A10,WMT!A$2:G$55,5,0)</f>
        <v>76.55</v>
      </c>
    </row>
    <row r="11" spans="1:101" x14ac:dyDescent="0.25">
      <c r="A11" s="34">
        <v>41835</v>
      </c>
      <c r="B11" s="36">
        <v>95.32</v>
      </c>
      <c r="C11">
        <f>VLOOKUP(A11,ABBV!A$2:G$55,5,0)</f>
        <v>53.44</v>
      </c>
      <c r="D11">
        <f>VLOOKUP(A11,ABT!A$2:G$55,5,0)</f>
        <v>41.17</v>
      </c>
      <c r="E11">
        <f>VLOOKUP(A11,ACN!A$2:G$55,5,0)</f>
        <v>79.36</v>
      </c>
      <c r="F11">
        <f>VLOOKUP(A11,AIG!A$2:G$55,5,0)</f>
        <v>55.05</v>
      </c>
      <c r="G11">
        <f>VLOOKUP(A11,ALL!A$2:G$55,5,0)</f>
        <v>58.46</v>
      </c>
      <c r="H11">
        <f>VLOOKUP(A11,AMGN!A$2:G$55,5,0)</f>
        <v>116.86</v>
      </c>
      <c r="I11">
        <f>VLOOKUP(A11,AMZN!A$2:G$55,5,0)</f>
        <v>354.44</v>
      </c>
      <c r="J11">
        <f>VLOOKUP(A11,APA!A$2:G$55,5,0)</f>
        <v>97.94</v>
      </c>
      <c r="K11">
        <f>VLOOKUP(A11,APC!A$2:G$55,5,0)</f>
        <v>109.72</v>
      </c>
      <c r="L11">
        <f>VLOOKUP(A11,AXP!A$2:G$55,5,0)</f>
        <v>94.45</v>
      </c>
      <c r="M11">
        <f>VLOOKUP(A11,BA!A$2:G$55,5,0)</f>
        <v>129.1</v>
      </c>
      <c r="N11">
        <f>VLOOKUP(A11,BAC!A$2:G$55,5,0)</f>
        <v>15.81</v>
      </c>
      <c r="O11">
        <f>VLOOKUP(A11,BAX!A$2:G$55,5,0)</f>
        <v>76.760000000000005</v>
      </c>
      <c r="P11">
        <f>VLOOKUP(A11,BIIB!A$2:G$55,5,0)</f>
        <v>312</v>
      </c>
      <c r="Q11">
        <f>VLOOKUP(A11,BK!A$2:G$55,5,0)</f>
        <v>38.24</v>
      </c>
      <c r="R11">
        <f>VLOOKUP(A11,BMY!A$2:G$55,5,0)</f>
        <v>48.71</v>
      </c>
      <c r="T11">
        <f>VLOOKUP(A11,'C'!A$2:G$55,5,0)</f>
        <v>49.29</v>
      </c>
      <c r="U11">
        <f>VLOOKUP(A11,CAT!A$2:G$55,5,0)</f>
        <v>109.85</v>
      </c>
      <c r="V11">
        <f>VLOOKUP(A11,CL!A$2:G$55,5,0)</f>
        <v>69.66</v>
      </c>
      <c r="W11">
        <f>VLOOKUP(A11,CMCSA!A$2:G$55,5,0)</f>
        <v>54.89</v>
      </c>
      <c r="X11">
        <f>VLOOKUP(A11,COF!A$2:G$55,5,0)</f>
        <v>84.9</v>
      </c>
      <c r="Y11">
        <f>VLOOKUP(A11,COP!A$2:G$55,5,0)</f>
        <v>84.71</v>
      </c>
      <c r="Z11">
        <f>VLOOKUP(A11,COST!A$2:G$55,5,0)</f>
        <v>117.82</v>
      </c>
      <c r="AA11">
        <f>VLOOKUP(A11,CSCO!A$2:G$55,5,0)</f>
        <v>25.67</v>
      </c>
      <c r="AB11">
        <f>VLOOKUP(A11,CVS!A$2:G$55,5,0)</f>
        <v>77.41</v>
      </c>
      <c r="AC11">
        <f>VLOOKUP(A11,CVX!A$2:G$55,5,0)</f>
        <v>129.26</v>
      </c>
      <c r="AD11">
        <f>VLOOKUP(A11,DD!A$2:G$55,5,0)</f>
        <v>64.58</v>
      </c>
      <c r="AE11">
        <f>VLOOKUP(A11,DIS!A$2:G$55,5,0)</f>
        <v>86.15</v>
      </c>
      <c r="AF11">
        <f>VLOOKUP(A11,DOW!A$2:G$55,5,0)</f>
        <v>51.54</v>
      </c>
      <c r="AG11">
        <f>VLOOKUP(A11,DVN!A$2:G$55,5,0)</f>
        <v>76.5</v>
      </c>
      <c r="AH11">
        <f>VLOOKUP(A11,EBAY!A$2:G$55,5,0)</f>
        <v>50.82</v>
      </c>
      <c r="AI11">
        <f>VLOOKUP(A11,EMC!A$2:G$55,5,0)</f>
        <v>26.86</v>
      </c>
      <c r="AJ11">
        <f>VLOOKUP(A11,EMR!A$2:G$55,5,0)</f>
        <v>67.5</v>
      </c>
      <c r="AK11">
        <f>VLOOKUP(A11,EXC!A$2:G$55,5,0)</f>
        <v>32.85</v>
      </c>
      <c r="AL11">
        <f>VLOOKUP(A11,F!A$2:G$55,5,0)</f>
        <v>17.54</v>
      </c>
      <c r="AM11">
        <f>VLOOKUP(A11,FB!A$2:G$55,5,0)</f>
        <v>67.17</v>
      </c>
      <c r="AN11">
        <f>VLOOKUP(A11,FCX!A$2:G$55,5,0)</f>
        <v>38.29</v>
      </c>
      <c r="AO11">
        <f>VLOOKUP(A11,FDX!A$2:G$55,5,0)</f>
        <v>151.9</v>
      </c>
      <c r="AP11">
        <f>VLOOKUP(A11,FOXA!A$2:G$55,5,0)</f>
        <v>35.19</v>
      </c>
      <c r="AQ11">
        <f>VLOOKUP(A11,GD!A$2:G$55,5,0)</f>
        <v>117.51</v>
      </c>
      <c r="AR11">
        <f>VLOOKUP(A11,GE!A$2:G$55,5,0)</f>
        <v>26.61</v>
      </c>
      <c r="AS11">
        <f>VLOOKUP(A11,GILD!A$2:G$55,5,0)</f>
        <v>89</v>
      </c>
      <c r="AT11">
        <f>VLOOKUP(A11,GM!A$2:G$55,5,0)</f>
        <v>37.58</v>
      </c>
      <c r="AU11">
        <f>VLOOKUP(A11,GOOG!A$2:G$55,5,0)</f>
        <v>584.78</v>
      </c>
      <c r="AV11">
        <f>VLOOKUP(A11,GOOGL!A$2:G$55,5,0)</f>
        <v>593.05999999999995</v>
      </c>
      <c r="AW11">
        <f>VLOOKUP(A11,GS!A$2:G$55,5,0)</f>
        <v>169.17</v>
      </c>
      <c r="AX11">
        <f>VLOOKUP(A11,HAL!A$2:G$55,5,0)</f>
        <v>70.260000000000005</v>
      </c>
      <c r="AY11">
        <f>VLOOKUP(A11,HD!A$2:G$55,5,0)</f>
        <v>79.86</v>
      </c>
      <c r="AZ11">
        <f>VLOOKUP(A11,HON!A$2:G$55,5,0)</f>
        <v>95.96</v>
      </c>
      <c r="BA11">
        <f>VLOOKUP(A11,HPQ!A$2:G$55,5,0)</f>
        <v>34.15</v>
      </c>
      <c r="BB11">
        <f>VLOOKUP(A11,IBM!A$2:G$55,5,0)</f>
        <v>188.49</v>
      </c>
      <c r="BC11">
        <f>VLOOKUP(A11,INTC!A$2:G$55,5,0)</f>
        <v>31.71</v>
      </c>
      <c r="BD11">
        <f>VLOOKUP(A11,JNJ!A$2:G$55,5,0)</f>
        <v>103.28</v>
      </c>
      <c r="BE11">
        <f>VLOOKUP(A11,JPM!A$2:G$55,5,0)</f>
        <v>58.27</v>
      </c>
      <c r="BF11">
        <f>VLOOKUP(A11,KO!A$2:G$55,5,0)</f>
        <v>42.1</v>
      </c>
      <c r="BG11">
        <f>VLOOKUP(A11,LLY!A$2:G$55,5,0)</f>
        <v>62.86</v>
      </c>
      <c r="BH11">
        <f>VLOOKUP(A11,LMT!A$2:G$55,5,0)</f>
        <v>162.62</v>
      </c>
      <c r="BI11">
        <f>VLOOKUP(A11,LOW!A$2:G$55,5,0)</f>
        <v>47.51</v>
      </c>
      <c r="BJ11">
        <f>VLOOKUP(A11,MA!A$2:G$55,5,0)</f>
        <v>78.319999999999993</v>
      </c>
      <c r="BK11">
        <f>VLOOKUP(A11,MCD!A$2:G$55,5,0)</f>
        <v>100.3</v>
      </c>
      <c r="BL11">
        <f>VLOOKUP(A11,MDLZ!A$2:G$55,5,0)</f>
        <v>38.1</v>
      </c>
      <c r="BM11">
        <f>VLOOKUP(A11,MDT!A$2:G$55,5,0)</f>
        <v>63.56</v>
      </c>
      <c r="BN11">
        <f>VLOOKUP(A11,MET!A$2:G$55,5,0)</f>
        <v>56.14</v>
      </c>
      <c r="BO11">
        <f>VLOOKUP(A11,MMM!A$2:G$55,5,0)</f>
        <v>145.06</v>
      </c>
      <c r="BP11">
        <f>VLOOKUP(A11,MO!A$2:G$55,5,0)</f>
        <v>41.76</v>
      </c>
      <c r="BQ11">
        <f>VLOOKUP(A11,MON!A$2:G$55,5,0)</f>
        <v>119.98</v>
      </c>
      <c r="BR11">
        <f>VLOOKUP(A11,MRK!A$2:G$55,5,0)</f>
        <v>57.91</v>
      </c>
      <c r="BS11">
        <f>VLOOKUP(A11,MS!A$2:G$55,5,0)</f>
        <v>32</v>
      </c>
      <c r="BT11">
        <f>VLOOKUP(A11,MSFT!A$2:G$55,5,0)</f>
        <v>42.45</v>
      </c>
      <c r="BU11">
        <f>VLOOKUP(A11,NKE!A$2:G$55,5,0)</f>
        <v>78.03</v>
      </c>
      <c r="BV11">
        <f>VLOOKUP(A11,NOV!A$2:G$55,5,0)</f>
        <v>83.88</v>
      </c>
      <c r="BW11">
        <f>VLOOKUP(A11,NSC!A$2:G$55,5,0)</f>
        <v>104.35</v>
      </c>
      <c r="BX11">
        <f>VLOOKUP(A11,ORCL!A$2:G$55,5,0)</f>
        <v>40.54</v>
      </c>
      <c r="BY11">
        <f>VLOOKUP(A11,OXY!A$2:G$55,5,0)</f>
        <v>99.52</v>
      </c>
      <c r="BZ11">
        <f>VLOOKUP(A11,PEP!A$2:G$55,5,0)</f>
        <v>90.34</v>
      </c>
      <c r="CA11">
        <f>VLOOKUP(A11,PFE!A$2:G$55,5,0)</f>
        <v>30.41</v>
      </c>
      <c r="CB11">
        <f>VLOOKUP(A11,PG!A$2:G$55,5,0)</f>
        <v>81.260000000000005</v>
      </c>
      <c r="CC11">
        <f>VLOOKUP(A11,PM!A$2:G$55,5,0)</f>
        <v>84.59</v>
      </c>
      <c r="CD11">
        <f>VLOOKUP(A11,QCOM!A$2:G$55,5,0)</f>
        <v>79.44</v>
      </c>
      <c r="CE11">
        <f>VLOOKUP(A11,RTN!A$2:G$55,5,0)</f>
        <v>94.56</v>
      </c>
      <c r="CF11">
        <f>VLOOKUP(A11,SBUX!A$2:G$55,5,0)</f>
        <v>78.89</v>
      </c>
      <c r="CG11">
        <f>VLOOKUP(A11,SLB!A$2:G$55,5,0)</f>
        <v>114.46</v>
      </c>
      <c r="CH11">
        <f>VLOOKUP(A11,SO!A$2:G$55,5,0)</f>
        <v>44.47</v>
      </c>
      <c r="CI11">
        <f>VLOOKUP(A11,SPG!A$2:G$55,5,0)</f>
        <v>170.27</v>
      </c>
      <c r="CJ11">
        <f>VLOOKUP(A11,T!A$2:G$55,5,0)</f>
        <v>36.24</v>
      </c>
      <c r="CK11">
        <f>VLOOKUP(A11,TGT!A$2:G$55,5,0)</f>
        <v>60.71</v>
      </c>
      <c r="CL11">
        <f>VLOOKUP(A11,TWX!A$2:G$55,5,0)</f>
        <v>71.010000000000005</v>
      </c>
      <c r="CM11">
        <f>VLOOKUP(A11,TXN!A$2:G$55,5,0)</f>
        <v>48.66</v>
      </c>
      <c r="CN11">
        <f>VLOOKUP(A11,UNH!A$2:G$55,5,0)</f>
        <v>83.9</v>
      </c>
      <c r="CO11">
        <f>VLOOKUP(A11,UNP!A$2:G$55,5,0)</f>
        <v>101.37</v>
      </c>
      <c r="CP11">
        <f>VLOOKUP(A11,UPS!A$2:G$55,5,0)</f>
        <v>104.29</v>
      </c>
      <c r="CQ11">
        <f>VLOOKUP(A11,USB!A$2:G$55,5,0)</f>
        <v>43.3</v>
      </c>
      <c r="CR11">
        <f>VLOOKUP(A11,UTX!A$2:G$55,5,0)</f>
        <v>114.84</v>
      </c>
      <c r="CS11">
        <f>VLOOKUP(A11,V!A$2:G$55,5,0)</f>
        <v>221.78</v>
      </c>
      <c r="CT11">
        <f>VLOOKUP(A11,VZ!A$2:G$55,5,0)</f>
        <v>50.71</v>
      </c>
      <c r="CU11">
        <f>VLOOKUP(A11,WAG!A$2:G$55,5,0)</f>
        <v>71.59</v>
      </c>
      <c r="CV11">
        <f>VLOOKUP(A11,WFC!A$2:G$55,5,0)</f>
        <v>51.35</v>
      </c>
      <c r="CW11">
        <f>VLOOKUP(A11,WMT!A$2:G$55,5,0)</f>
        <v>76.84</v>
      </c>
    </row>
    <row r="12" spans="1:101" x14ac:dyDescent="0.25">
      <c r="A12" s="34">
        <v>41836</v>
      </c>
      <c r="B12" s="36">
        <v>94.78</v>
      </c>
      <c r="C12">
        <f>VLOOKUP(A12,ABBV!A$2:G$55,5,0)</f>
        <v>53.65</v>
      </c>
      <c r="D12">
        <f>VLOOKUP(A12,ABT!A$2:G$55,5,0)</f>
        <v>41.05</v>
      </c>
      <c r="E12">
        <f>VLOOKUP(A12,ACN!A$2:G$55,5,0)</f>
        <v>79.739999999999995</v>
      </c>
      <c r="F12">
        <f>VLOOKUP(A12,AIG!A$2:G$55,5,0)</f>
        <v>55.04</v>
      </c>
      <c r="G12">
        <f>VLOOKUP(A12,ALL!A$2:G$55,5,0)</f>
        <v>58.16</v>
      </c>
      <c r="H12">
        <f>VLOOKUP(A12,AMGN!A$2:G$55,5,0)</f>
        <v>117.71</v>
      </c>
      <c r="I12">
        <f>VLOOKUP(A12,AMZN!A$2:G$55,5,0)</f>
        <v>355.9</v>
      </c>
      <c r="J12">
        <f>VLOOKUP(A12,APA!A$2:G$55,5,0)</f>
        <v>99.87</v>
      </c>
      <c r="K12">
        <f>VLOOKUP(A12,APC!A$2:G$55,5,0)</f>
        <v>112.53</v>
      </c>
      <c r="L12">
        <f>VLOOKUP(A12,AXP!A$2:G$55,5,0)</f>
        <v>94.47</v>
      </c>
      <c r="M12">
        <f>VLOOKUP(A12,BA!A$2:G$55,5,0)</f>
        <v>127.42</v>
      </c>
      <c r="N12">
        <f>VLOOKUP(A12,BAC!A$2:G$55,5,0)</f>
        <v>15.51</v>
      </c>
      <c r="O12">
        <f>VLOOKUP(A12,BAX!A$2:G$55,5,0)</f>
        <v>76.599999999999994</v>
      </c>
      <c r="P12">
        <f>VLOOKUP(A12,BIIB!A$2:G$55,5,0)</f>
        <v>303.74</v>
      </c>
      <c r="Q12">
        <f>VLOOKUP(A12,BK!A$2:G$55,5,0)</f>
        <v>38.11</v>
      </c>
      <c r="R12">
        <f>VLOOKUP(A12,BMY!A$2:G$55,5,0)</f>
        <v>48.8</v>
      </c>
      <c r="T12">
        <f>VLOOKUP(A12,'C'!A$2:G$55,5,0)</f>
        <v>49.82</v>
      </c>
      <c r="U12">
        <f>VLOOKUP(A12,CAT!A$2:G$55,5,0)</f>
        <v>111.4</v>
      </c>
      <c r="V12">
        <f>VLOOKUP(A12,CL!A$2:G$55,5,0)</f>
        <v>69.45</v>
      </c>
      <c r="W12">
        <f>VLOOKUP(A12,CMCSA!A$2:G$55,5,0)</f>
        <v>55.05</v>
      </c>
      <c r="X12">
        <f>VLOOKUP(A12,COF!A$2:G$55,5,0)</f>
        <v>84.38</v>
      </c>
      <c r="Y12">
        <f>VLOOKUP(A12,COP!A$2:G$55,5,0)</f>
        <v>86.69</v>
      </c>
      <c r="Z12">
        <f>VLOOKUP(A12,COST!A$2:G$55,5,0)</f>
        <v>117.85</v>
      </c>
      <c r="AA12">
        <f>VLOOKUP(A12,CSCO!A$2:G$55,5,0)</f>
        <v>25.98</v>
      </c>
      <c r="AB12">
        <f>VLOOKUP(A12,CVS!A$2:G$55,5,0)</f>
        <v>77.03</v>
      </c>
      <c r="AC12">
        <f>VLOOKUP(A12,CVX!A$2:G$55,5,0)</f>
        <v>130.88999999999999</v>
      </c>
      <c r="AD12">
        <f>VLOOKUP(A12,DD!A$2:G$55,5,0)</f>
        <v>65.03</v>
      </c>
      <c r="AE12">
        <f>VLOOKUP(A12,DIS!A$2:G$55,5,0)</f>
        <v>85.35</v>
      </c>
      <c r="AF12">
        <f>VLOOKUP(A12,DOW!A$2:G$55,5,0)</f>
        <v>52.07</v>
      </c>
      <c r="AG12">
        <f>VLOOKUP(A12,DVN!A$2:G$55,5,0)</f>
        <v>77.89</v>
      </c>
      <c r="AH12">
        <f>VLOOKUP(A12,EBAY!A$2:G$55,5,0)</f>
        <v>50.7</v>
      </c>
      <c r="AI12">
        <f>VLOOKUP(A12,EMC!A$2:G$55,5,0)</f>
        <v>27.01</v>
      </c>
      <c r="AJ12">
        <f>VLOOKUP(A12,EMR!A$2:G$55,5,0)</f>
        <v>67.989999999999995</v>
      </c>
      <c r="AK12">
        <f>VLOOKUP(A12,EXC!A$2:G$55,5,0)</f>
        <v>32.94</v>
      </c>
      <c r="AL12">
        <f>VLOOKUP(A12,F!A$2:G$55,5,0)</f>
        <v>17.8</v>
      </c>
      <c r="AM12">
        <f>VLOOKUP(A12,FB!A$2:G$55,5,0)</f>
        <v>67.66</v>
      </c>
      <c r="AN12">
        <f>VLOOKUP(A12,FCX!A$2:G$55,5,0)</f>
        <v>38.83</v>
      </c>
      <c r="AO12">
        <f>VLOOKUP(A12,FDX!A$2:G$55,5,0)</f>
        <v>154.38</v>
      </c>
      <c r="AP12">
        <f>VLOOKUP(A12,FOXA!A$2:G$55,5,0)</f>
        <v>33</v>
      </c>
      <c r="AQ12">
        <f>VLOOKUP(A12,GD!A$2:G$55,5,0)</f>
        <v>117.51</v>
      </c>
      <c r="AR12">
        <f>VLOOKUP(A12,GE!A$2:G$55,5,0)</f>
        <v>27.02</v>
      </c>
      <c r="AS12">
        <f>VLOOKUP(A12,GILD!A$2:G$55,5,0)</f>
        <v>87</v>
      </c>
      <c r="AT12">
        <f>VLOOKUP(A12,GM!A$2:G$55,5,0)</f>
        <v>37.479999999999997</v>
      </c>
      <c r="AU12">
        <f>VLOOKUP(A12,GOOG!A$2:G$55,5,0)</f>
        <v>582.66</v>
      </c>
      <c r="AV12">
        <f>VLOOKUP(A12,GOOGL!A$2:G$55,5,0)</f>
        <v>590.62</v>
      </c>
      <c r="AW12">
        <f>VLOOKUP(A12,GS!A$2:G$55,5,0)</f>
        <v>170.47</v>
      </c>
      <c r="AX12">
        <f>VLOOKUP(A12,HAL!A$2:G$55,5,0)</f>
        <v>71.86</v>
      </c>
      <c r="AY12">
        <f>VLOOKUP(A12,HD!A$2:G$55,5,0)</f>
        <v>79.66</v>
      </c>
      <c r="AZ12">
        <f>VLOOKUP(A12,HON!A$2:G$55,5,0)</f>
        <v>96.39</v>
      </c>
      <c r="BA12">
        <f>VLOOKUP(A12,HPQ!A$2:G$55,5,0)</f>
        <v>34.82</v>
      </c>
      <c r="BB12">
        <f>VLOOKUP(A12,IBM!A$2:G$55,5,0)</f>
        <v>192.36</v>
      </c>
      <c r="BC12">
        <f>VLOOKUP(A12,INTC!A$2:G$55,5,0)</f>
        <v>34.65</v>
      </c>
      <c r="BD12">
        <f>VLOOKUP(A12,JNJ!A$2:G$55,5,0)</f>
        <v>102.22</v>
      </c>
      <c r="BE12">
        <f>VLOOKUP(A12,JPM!A$2:G$55,5,0)</f>
        <v>58.71</v>
      </c>
      <c r="BF12">
        <f>VLOOKUP(A12,KO!A$2:G$55,5,0)</f>
        <v>42.12</v>
      </c>
      <c r="BG12">
        <f>VLOOKUP(A12,LLY!A$2:G$55,5,0)</f>
        <v>62.81</v>
      </c>
      <c r="BH12">
        <f>VLOOKUP(A12,LMT!A$2:G$55,5,0)</f>
        <v>161.55000000000001</v>
      </c>
      <c r="BI12">
        <f>VLOOKUP(A12,LOW!A$2:G$55,5,0)</f>
        <v>47.66</v>
      </c>
      <c r="BJ12">
        <f>VLOOKUP(A12,MA!A$2:G$55,5,0)</f>
        <v>78.31</v>
      </c>
      <c r="BK12">
        <f>VLOOKUP(A12,MCD!A$2:G$55,5,0)</f>
        <v>99.27</v>
      </c>
      <c r="BL12">
        <f>VLOOKUP(A12,MDLZ!A$2:G$55,5,0)</f>
        <v>38.14</v>
      </c>
      <c r="BM12">
        <f>VLOOKUP(A12,MDT!A$2:G$55,5,0)</f>
        <v>62.93</v>
      </c>
      <c r="BN12">
        <f>VLOOKUP(A12,MET!A$2:G$55,5,0)</f>
        <v>55.96</v>
      </c>
      <c r="BO12">
        <f>VLOOKUP(A12,MMM!A$2:G$55,5,0)</f>
        <v>146.16999999999999</v>
      </c>
      <c r="BP12">
        <f>VLOOKUP(A12,MO!A$2:G$55,5,0)</f>
        <v>41.82</v>
      </c>
      <c r="BQ12">
        <f>VLOOKUP(A12,MON!A$2:G$55,5,0)</f>
        <v>120.18</v>
      </c>
      <c r="BR12">
        <f>VLOOKUP(A12,MRK!A$2:G$55,5,0)</f>
        <v>58.15</v>
      </c>
      <c r="BS12">
        <f>VLOOKUP(A12,MS!A$2:G$55,5,0)</f>
        <v>32.5</v>
      </c>
      <c r="BT12">
        <f>VLOOKUP(A12,MSFT!A$2:G$55,5,0)</f>
        <v>44.08</v>
      </c>
      <c r="BU12">
        <f>VLOOKUP(A12,NKE!A$2:G$55,5,0)</f>
        <v>76.92</v>
      </c>
      <c r="BV12">
        <f>VLOOKUP(A12,NOV!A$2:G$55,5,0)</f>
        <v>85.36</v>
      </c>
      <c r="BW12">
        <f>VLOOKUP(A12,NSC!A$2:G$55,5,0)</f>
        <v>105.3</v>
      </c>
      <c r="BX12">
        <f>VLOOKUP(A12,ORCL!A$2:G$55,5,0)</f>
        <v>40.26</v>
      </c>
      <c r="BY12">
        <f>VLOOKUP(A12,OXY!A$2:G$55,5,0)</f>
        <v>101.73</v>
      </c>
      <c r="BZ12">
        <f>VLOOKUP(A12,PEP!A$2:G$55,5,0)</f>
        <v>90.5</v>
      </c>
      <c r="CA12">
        <f>VLOOKUP(A12,PFE!A$2:G$55,5,0)</f>
        <v>30.96</v>
      </c>
      <c r="CB12">
        <f>VLOOKUP(A12,PG!A$2:G$55,5,0)</f>
        <v>80.94</v>
      </c>
      <c r="CC12">
        <f>VLOOKUP(A12,PM!A$2:G$55,5,0)</f>
        <v>84.7</v>
      </c>
      <c r="CD12">
        <f>VLOOKUP(A12,QCOM!A$2:G$55,5,0)</f>
        <v>79.62</v>
      </c>
      <c r="CE12">
        <f>VLOOKUP(A12,RTN!A$2:G$55,5,0)</f>
        <v>94.63</v>
      </c>
      <c r="CF12">
        <f>VLOOKUP(A12,SBUX!A$2:G$55,5,0)</f>
        <v>78.73</v>
      </c>
      <c r="CG12">
        <f>VLOOKUP(A12,SLB!A$2:G$55,5,0)</f>
        <v>115.88</v>
      </c>
      <c r="CH12">
        <f>VLOOKUP(A12,SO!A$2:G$55,5,0)</f>
        <v>44.77</v>
      </c>
      <c r="CI12">
        <f>VLOOKUP(A12,SPG!A$2:G$55,5,0)</f>
        <v>170.86</v>
      </c>
      <c r="CJ12">
        <f>VLOOKUP(A12,T!A$2:G$55,5,0)</f>
        <v>36.450000000000003</v>
      </c>
      <c r="CK12">
        <f>VLOOKUP(A12,TGT!A$2:G$55,5,0)</f>
        <v>60.14</v>
      </c>
      <c r="CL12">
        <f>VLOOKUP(A12,TWX!A$2:G$55,5,0)</f>
        <v>83.13</v>
      </c>
      <c r="CM12">
        <f>VLOOKUP(A12,TXN!A$2:G$55,5,0)</f>
        <v>49.05</v>
      </c>
      <c r="CN12">
        <f>VLOOKUP(A12,UNH!A$2:G$55,5,0)</f>
        <v>83.76</v>
      </c>
      <c r="CO12">
        <f>VLOOKUP(A12,UNP!A$2:G$55,5,0)</f>
        <v>101.78</v>
      </c>
      <c r="CP12">
        <f>VLOOKUP(A12,UPS!A$2:G$55,5,0)</f>
        <v>104.52</v>
      </c>
      <c r="CQ12">
        <f>VLOOKUP(A12,USB!A$2:G$55,5,0)</f>
        <v>42.53</v>
      </c>
      <c r="CR12">
        <f>VLOOKUP(A12,UTX!A$2:G$55,5,0)</f>
        <v>114.36</v>
      </c>
      <c r="CS12">
        <f>VLOOKUP(A12,V!A$2:G$55,5,0)</f>
        <v>222.67</v>
      </c>
      <c r="CT12">
        <f>VLOOKUP(A12,VZ!A$2:G$55,5,0)</f>
        <v>50.96</v>
      </c>
      <c r="CU12">
        <f>VLOOKUP(A12,WAG!A$2:G$55,5,0)</f>
        <v>71.42</v>
      </c>
      <c r="CV12">
        <f>VLOOKUP(A12,WFC!A$2:G$55,5,0)</f>
        <v>51.17</v>
      </c>
      <c r="CW12">
        <f>VLOOKUP(A12,WMT!A$2:G$55,5,0)</f>
        <v>76.86</v>
      </c>
    </row>
    <row r="13" spans="1:101" x14ac:dyDescent="0.25">
      <c r="A13" s="34">
        <v>41837</v>
      </c>
      <c r="B13" s="36">
        <v>93.09</v>
      </c>
      <c r="C13">
        <f>VLOOKUP(A13,ABBV!A$2:G$55,5,0)</f>
        <v>53.52</v>
      </c>
      <c r="D13">
        <f>VLOOKUP(A13,ABT!A$2:G$55,5,0)</f>
        <v>41.9</v>
      </c>
      <c r="E13">
        <f>VLOOKUP(A13,ACN!A$2:G$55,5,0)</f>
        <v>79.239999999999995</v>
      </c>
      <c r="F13">
        <f>VLOOKUP(A13,AIG!A$2:G$55,5,0)</f>
        <v>54.7</v>
      </c>
      <c r="G13">
        <f>VLOOKUP(A13,ALL!A$2:G$55,5,0)</f>
        <v>57.82</v>
      </c>
      <c r="H13">
        <f>VLOOKUP(A13,AMGN!A$2:G$55,5,0)</f>
        <v>115.39</v>
      </c>
      <c r="I13">
        <f>VLOOKUP(A13,AMZN!A$2:G$55,5,0)</f>
        <v>352.45</v>
      </c>
      <c r="J13">
        <f>VLOOKUP(A13,APA!A$2:G$55,5,0)</f>
        <v>98.91</v>
      </c>
      <c r="K13">
        <f>VLOOKUP(A13,APC!A$2:G$55,5,0)</f>
        <v>108.11</v>
      </c>
      <c r="L13">
        <f>VLOOKUP(A13,AXP!A$2:G$55,5,0)</f>
        <v>92.99</v>
      </c>
      <c r="M13">
        <f>VLOOKUP(A13,BA!A$2:G$55,5,0)</f>
        <v>125.88</v>
      </c>
      <c r="N13">
        <f>VLOOKUP(A13,BAC!A$2:G$55,5,0)</f>
        <v>15.2</v>
      </c>
      <c r="O13">
        <f>VLOOKUP(A13,BAX!A$2:G$55,5,0)</f>
        <v>76.25</v>
      </c>
      <c r="P13">
        <f>VLOOKUP(A13,BIIB!A$2:G$55,5,0)</f>
        <v>299.29000000000002</v>
      </c>
      <c r="Q13">
        <f>VLOOKUP(A13,BK!A$2:G$55,5,0)</f>
        <v>38</v>
      </c>
      <c r="R13">
        <f>VLOOKUP(A13,BMY!A$2:G$55,5,0)</f>
        <v>48.42</v>
      </c>
      <c r="T13">
        <f>VLOOKUP(A13,'C'!A$2:G$55,5,0)</f>
        <v>49.18</v>
      </c>
      <c r="U13">
        <f>VLOOKUP(A13,CAT!A$2:G$55,5,0)</f>
        <v>109.07</v>
      </c>
      <c r="V13">
        <f>VLOOKUP(A13,CL!A$2:G$55,5,0)</f>
        <v>68.599999999999994</v>
      </c>
      <c r="W13">
        <f>VLOOKUP(A13,CMCSA!A$2:G$55,5,0)</f>
        <v>54.2</v>
      </c>
      <c r="X13">
        <f>VLOOKUP(A13,COF!A$2:G$55,5,0)</f>
        <v>82.49</v>
      </c>
      <c r="Y13">
        <f>VLOOKUP(A13,COP!A$2:G$55,5,0)</f>
        <v>84.68</v>
      </c>
      <c r="Z13">
        <f>VLOOKUP(A13,COST!A$2:G$55,5,0)</f>
        <v>116.79</v>
      </c>
      <c r="AA13">
        <f>VLOOKUP(A13,CSCO!A$2:G$55,5,0)</f>
        <v>25.63</v>
      </c>
      <c r="AB13">
        <f>VLOOKUP(A13,CVS!A$2:G$55,5,0)</f>
        <v>76.11</v>
      </c>
      <c r="AC13">
        <f>VLOOKUP(A13,CVX!A$2:G$55,5,0)</f>
        <v>130.08000000000001</v>
      </c>
      <c r="AD13">
        <f>VLOOKUP(A13,DD!A$2:G$55,5,0)</f>
        <v>64.89</v>
      </c>
      <c r="AE13">
        <f>VLOOKUP(A13,DIS!A$2:G$55,5,0)</f>
        <v>85.03</v>
      </c>
      <c r="AF13">
        <f>VLOOKUP(A13,DOW!A$2:G$55,5,0)</f>
        <v>51.65</v>
      </c>
      <c r="AG13">
        <f>VLOOKUP(A13,DVN!A$2:G$55,5,0)</f>
        <v>75.739999999999995</v>
      </c>
      <c r="AH13">
        <f>VLOOKUP(A13,EBAY!A$2:G$55,5,0)</f>
        <v>51.03</v>
      </c>
      <c r="AI13">
        <f>VLOOKUP(A13,EMC!A$2:G$55,5,0)</f>
        <v>26.73</v>
      </c>
      <c r="AJ13">
        <f>VLOOKUP(A13,EMR!A$2:G$55,5,0)</f>
        <v>66.98</v>
      </c>
      <c r="AK13">
        <f>VLOOKUP(A13,EXC!A$2:G$55,5,0)</f>
        <v>31.95</v>
      </c>
      <c r="AL13">
        <f>VLOOKUP(A13,F!A$2:G$55,5,0)</f>
        <v>17.739999999999998</v>
      </c>
      <c r="AM13">
        <f>VLOOKUP(A13,FB!A$2:G$55,5,0)</f>
        <v>66.41</v>
      </c>
      <c r="AN13">
        <f>VLOOKUP(A13,FCX!A$2:G$55,5,0)</f>
        <v>38.5</v>
      </c>
      <c r="AO13">
        <f>VLOOKUP(A13,FDX!A$2:G$55,5,0)</f>
        <v>151.9</v>
      </c>
      <c r="AP13">
        <f>VLOOKUP(A13,FOXA!A$2:G$55,5,0)</f>
        <v>32.770000000000003</v>
      </c>
      <c r="AQ13">
        <f>VLOOKUP(A13,GD!A$2:G$55,5,0)</f>
        <v>116.1</v>
      </c>
      <c r="AR13">
        <f>VLOOKUP(A13,GE!A$2:G$55,5,0)</f>
        <v>26.61</v>
      </c>
      <c r="AS13">
        <f>VLOOKUP(A13,GILD!A$2:G$55,5,0)</f>
        <v>85.07</v>
      </c>
      <c r="AT13">
        <f>VLOOKUP(A13,GM!A$2:G$55,5,0)</f>
        <v>37.1</v>
      </c>
      <c r="AU13">
        <f>VLOOKUP(A13,GOOG!A$2:G$55,5,0)</f>
        <v>573.73</v>
      </c>
      <c r="AV13">
        <f>VLOOKUP(A13,GOOGL!A$2:G$55,5,0)</f>
        <v>580.82000000000005</v>
      </c>
      <c r="AW13">
        <f>VLOOKUP(A13,GS!A$2:G$55,5,0)</f>
        <v>170.14</v>
      </c>
      <c r="AX13">
        <f>VLOOKUP(A13,HAL!A$2:G$55,5,0)</f>
        <v>70.349999999999994</v>
      </c>
      <c r="AY13">
        <f>VLOOKUP(A13,HD!A$2:G$55,5,0)</f>
        <v>79.55</v>
      </c>
      <c r="AZ13">
        <f>VLOOKUP(A13,HON!A$2:G$55,5,0)</f>
        <v>95.17</v>
      </c>
      <c r="BA13">
        <f>VLOOKUP(A13,HPQ!A$2:G$55,5,0)</f>
        <v>34.43</v>
      </c>
      <c r="BB13">
        <f>VLOOKUP(A13,IBM!A$2:G$55,5,0)</f>
        <v>192.49</v>
      </c>
      <c r="BC13">
        <f>VLOOKUP(A13,INTC!A$2:G$55,5,0)</f>
        <v>33.700000000000003</v>
      </c>
      <c r="BD13">
        <f>VLOOKUP(A13,JNJ!A$2:G$55,5,0)</f>
        <v>100.37</v>
      </c>
      <c r="BE13">
        <f>VLOOKUP(A13,JPM!A$2:G$55,5,0)</f>
        <v>57.86</v>
      </c>
      <c r="BF13">
        <f>VLOOKUP(A13,KO!A$2:G$55,5,0)</f>
        <v>42.02</v>
      </c>
      <c r="BG13">
        <f>VLOOKUP(A13,LLY!A$2:G$55,5,0)</f>
        <v>62.26</v>
      </c>
      <c r="BH13">
        <f>VLOOKUP(A13,LMT!A$2:G$55,5,0)</f>
        <v>161.33000000000001</v>
      </c>
      <c r="BI13">
        <f>VLOOKUP(A13,LOW!A$2:G$55,5,0)</f>
        <v>47.3</v>
      </c>
      <c r="BJ13">
        <f>VLOOKUP(A13,MA!A$2:G$55,5,0)</f>
        <v>76.39</v>
      </c>
      <c r="BK13">
        <f>VLOOKUP(A13,MCD!A$2:G$55,5,0)</f>
        <v>98.37</v>
      </c>
      <c r="BL13">
        <f>VLOOKUP(A13,MDLZ!A$2:G$55,5,0)</f>
        <v>37.99</v>
      </c>
      <c r="BM13">
        <f>VLOOKUP(A13,MDT!A$2:G$55,5,0)</f>
        <v>61.52</v>
      </c>
      <c r="BN13">
        <f>VLOOKUP(A13,MET!A$2:G$55,5,0)</f>
        <v>55.02</v>
      </c>
      <c r="BO13">
        <f>VLOOKUP(A13,MMM!A$2:G$55,5,0)</f>
        <v>143.54</v>
      </c>
      <c r="BP13">
        <f>VLOOKUP(A13,MO!A$2:G$55,5,0)</f>
        <v>41.58</v>
      </c>
      <c r="BQ13">
        <f>VLOOKUP(A13,MON!A$2:G$55,5,0)</f>
        <v>119.59</v>
      </c>
      <c r="BR13">
        <f>VLOOKUP(A13,MRK!A$2:G$55,5,0)</f>
        <v>57.6</v>
      </c>
      <c r="BS13">
        <f>VLOOKUP(A13,MS!A$2:G$55,5,0)</f>
        <v>32.299999999999997</v>
      </c>
      <c r="BT13">
        <f>VLOOKUP(A13,MSFT!A$2:G$55,5,0)</f>
        <v>44.53</v>
      </c>
      <c r="BU13">
        <f>VLOOKUP(A13,NKE!A$2:G$55,5,0)</f>
        <v>76.53</v>
      </c>
      <c r="BV13">
        <f>VLOOKUP(A13,NOV!A$2:G$55,5,0)</f>
        <v>84.6</v>
      </c>
      <c r="BW13">
        <f>VLOOKUP(A13,NSC!A$2:G$55,5,0)</f>
        <v>104.38</v>
      </c>
      <c r="BX13">
        <f>VLOOKUP(A13,ORCL!A$2:G$55,5,0)</f>
        <v>39.909999999999997</v>
      </c>
      <c r="BY13">
        <f>VLOOKUP(A13,OXY!A$2:G$55,5,0)</f>
        <v>99.95</v>
      </c>
      <c r="BZ13">
        <f>VLOOKUP(A13,PEP!A$2:G$55,5,0)</f>
        <v>89.99</v>
      </c>
      <c r="CA13">
        <f>VLOOKUP(A13,PFE!A$2:G$55,5,0)</f>
        <v>30.55</v>
      </c>
      <c r="CB13">
        <f>VLOOKUP(A13,PG!A$2:G$55,5,0)</f>
        <v>80.400000000000006</v>
      </c>
      <c r="CC13">
        <f>VLOOKUP(A13,PM!A$2:G$55,5,0)</f>
        <v>84.55</v>
      </c>
      <c r="CD13">
        <f>VLOOKUP(A13,QCOM!A$2:G$55,5,0)</f>
        <v>78.11</v>
      </c>
      <c r="CE13">
        <f>VLOOKUP(A13,RTN!A$2:G$55,5,0)</f>
        <v>94.15</v>
      </c>
      <c r="CF13">
        <f>VLOOKUP(A13,SBUX!A$2:G$55,5,0)</f>
        <v>77.239999999999995</v>
      </c>
      <c r="CG13">
        <f>VLOOKUP(A13,SLB!A$2:G$55,5,0)</f>
        <v>114.64</v>
      </c>
      <c r="CH13">
        <f>VLOOKUP(A13,SO!A$2:G$55,5,0)</f>
        <v>44.55</v>
      </c>
      <c r="CI13">
        <f>VLOOKUP(A13,SPG!A$2:G$55,5,0)</f>
        <v>169.61</v>
      </c>
      <c r="CJ13">
        <f>VLOOKUP(A13,T!A$2:G$55,5,0)</f>
        <v>36.03</v>
      </c>
      <c r="CK13">
        <f>VLOOKUP(A13,TGT!A$2:G$55,5,0)</f>
        <v>59.72</v>
      </c>
      <c r="CL13">
        <f>VLOOKUP(A13,TWX!A$2:G$55,5,0)</f>
        <v>86.12</v>
      </c>
      <c r="CM13">
        <f>VLOOKUP(A13,TXN!A$2:G$55,5,0)</f>
        <v>48.15</v>
      </c>
      <c r="CN13">
        <f>VLOOKUP(A13,UNH!A$2:G$55,5,0)</f>
        <v>85.11</v>
      </c>
      <c r="CO13">
        <f>VLOOKUP(A13,UNP!A$2:G$55,5,0)</f>
        <v>100.45</v>
      </c>
      <c r="CP13">
        <f>VLOOKUP(A13,UPS!A$2:G$55,5,0)</f>
        <v>102.65</v>
      </c>
      <c r="CQ13">
        <f>VLOOKUP(A13,USB!A$2:G$55,5,0)</f>
        <v>41.61</v>
      </c>
      <c r="CR13">
        <f>VLOOKUP(A13,UTX!A$2:G$55,5,0)</f>
        <v>112.77</v>
      </c>
      <c r="CS13">
        <f>VLOOKUP(A13,V!A$2:G$55,5,0)</f>
        <v>217.88</v>
      </c>
      <c r="CT13">
        <f>VLOOKUP(A13,VZ!A$2:G$55,5,0)</f>
        <v>50.32</v>
      </c>
      <c r="CU13">
        <f>VLOOKUP(A13,WAG!A$2:G$55,5,0)</f>
        <v>70.180000000000007</v>
      </c>
      <c r="CV13">
        <f>VLOOKUP(A13,WFC!A$2:G$55,5,0)</f>
        <v>50.68</v>
      </c>
      <c r="CW13">
        <f>VLOOKUP(A13,WMT!A$2:G$55,5,0)</f>
        <v>76.61</v>
      </c>
    </row>
    <row r="14" spans="1:101" x14ac:dyDescent="0.25">
      <c r="A14" s="34">
        <v>41838</v>
      </c>
      <c r="B14" s="36">
        <v>94.43</v>
      </c>
      <c r="C14">
        <f>VLOOKUP(A14,ABBV!A$2:G$55,5,0)</f>
        <v>54.91</v>
      </c>
      <c r="D14">
        <f>VLOOKUP(A14,ABT!A$2:G$55,5,0)</f>
        <v>42.73</v>
      </c>
      <c r="E14">
        <f>VLOOKUP(A14,ACN!A$2:G$55,5,0)</f>
        <v>79.739999999999995</v>
      </c>
      <c r="F14">
        <f>VLOOKUP(A14,AIG!A$2:G$55,5,0)</f>
        <v>55.2</v>
      </c>
      <c r="G14">
        <f>VLOOKUP(A14,ALL!A$2:G$55,5,0)</f>
        <v>58.06</v>
      </c>
      <c r="H14">
        <f>VLOOKUP(A14,AMGN!A$2:G$55,5,0)</f>
        <v>118.3</v>
      </c>
      <c r="I14">
        <f>VLOOKUP(A14,AMZN!A$2:G$55,5,0)</f>
        <v>358.66</v>
      </c>
      <c r="J14">
        <f>VLOOKUP(A14,APA!A$2:G$55,5,0)</f>
        <v>98.58</v>
      </c>
      <c r="K14">
        <f>VLOOKUP(A14,APC!A$2:G$55,5,0)</f>
        <v>108.33</v>
      </c>
      <c r="L14">
        <f>VLOOKUP(A14,AXP!A$2:G$55,5,0)</f>
        <v>93.53</v>
      </c>
      <c r="M14">
        <f>VLOOKUP(A14,BA!A$2:G$55,5,0)</f>
        <v>127.64</v>
      </c>
      <c r="N14">
        <f>VLOOKUP(A14,BAC!A$2:G$55,5,0)</f>
        <v>15.49</v>
      </c>
      <c r="O14">
        <f>VLOOKUP(A14,BAX!A$2:G$55,5,0)</f>
        <v>76.52</v>
      </c>
      <c r="P14">
        <f>VLOOKUP(A14,BIIB!A$2:G$55,5,0)</f>
        <v>304.10000000000002</v>
      </c>
      <c r="Q14">
        <f>VLOOKUP(A14,BK!A$2:G$55,5,0)</f>
        <v>38.43</v>
      </c>
      <c r="R14">
        <f>VLOOKUP(A14,BMY!A$2:G$55,5,0)</f>
        <v>49.12</v>
      </c>
      <c r="T14">
        <f>VLOOKUP(A14,'C'!A$2:G$55,5,0)</f>
        <v>49.56</v>
      </c>
      <c r="U14">
        <f>VLOOKUP(A14,CAT!A$2:G$55,5,0)</f>
        <v>110.17</v>
      </c>
      <c r="V14">
        <f>VLOOKUP(A14,CL!A$2:G$55,5,0)</f>
        <v>68.900000000000006</v>
      </c>
      <c r="W14">
        <f>VLOOKUP(A14,CMCSA!A$2:G$55,5,0)</f>
        <v>54.54</v>
      </c>
      <c r="X14">
        <f>VLOOKUP(A14,COF!A$2:G$55,5,0)</f>
        <v>82.29</v>
      </c>
      <c r="Y14">
        <f>VLOOKUP(A14,COP!A$2:G$55,5,0)</f>
        <v>84.76</v>
      </c>
      <c r="Z14">
        <f>VLOOKUP(A14,COST!A$2:G$55,5,0)</f>
        <v>117.74</v>
      </c>
      <c r="AA14">
        <f>VLOOKUP(A14,CSCO!A$2:G$55,5,0)</f>
        <v>25.91</v>
      </c>
      <c r="AB14">
        <f>VLOOKUP(A14,CVS!A$2:G$55,5,0)</f>
        <v>77.47</v>
      </c>
      <c r="AC14">
        <f>VLOOKUP(A14,CVX!A$2:G$55,5,0)</f>
        <v>130.38999999999999</v>
      </c>
      <c r="AD14">
        <f>VLOOKUP(A14,DD!A$2:G$55,5,0)</f>
        <v>65.55</v>
      </c>
      <c r="AE14">
        <f>VLOOKUP(A14,DIS!A$2:G$55,5,0)</f>
        <v>85.81</v>
      </c>
      <c r="AF14">
        <f>VLOOKUP(A14,DOW!A$2:G$55,5,0)</f>
        <v>51.69</v>
      </c>
      <c r="AG14">
        <f>VLOOKUP(A14,DVN!A$2:G$55,5,0)</f>
        <v>77.010000000000005</v>
      </c>
      <c r="AH14">
        <f>VLOOKUP(A14,EBAY!A$2:G$55,5,0)</f>
        <v>51.48</v>
      </c>
      <c r="AI14">
        <f>VLOOKUP(A14,EMC!A$2:G$55,5,0)</f>
        <v>26.98</v>
      </c>
      <c r="AJ14">
        <f>VLOOKUP(A14,EMR!A$2:G$55,5,0)</f>
        <v>67.39</v>
      </c>
      <c r="AK14">
        <f>VLOOKUP(A14,EXC!A$2:G$55,5,0)</f>
        <v>32.090000000000003</v>
      </c>
      <c r="AL14">
        <f>VLOOKUP(A14,F!A$2:G$55,5,0)</f>
        <v>17.72</v>
      </c>
      <c r="AM14">
        <f>VLOOKUP(A14,FB!A$2:G$55,5,0)</f>
        <v>68.42</v>
      </c>
      <c r="AN14">
        <f>VLOOKUP(A14,FCX!A$2:G$55,5,0)</f>
        <v>38.35</v>
      </c>
      <c r="AO14">
        <f>VLOOKUP(A14,FDX!A$2:G$55,5,0)</f>
        <v>152.87</v>
      </c>
      <c r="AP14">
        <f>VLOOKUP(A14,FOXA!A$2:G$55,5,0)</f>
        <v>33.01</v>
      </c>
      <c r="AQ14">
        <f>VLOOKUP(A14,GD!A$2:G$55,5,0)</f>
        <v>117.64</v>
      </c>
      <c r="AR14">
        <f>VLOOKUP(A14,GE!A$2:G$55,5,0)</f>
        <v>26.46</v>
      </c>
      <c r="AS14">
        <f>VLOOKUP(A14,GILD!A$2:G$55,5,0)</f>
        <v>89.19</v>
      </c>
      <c r="AT14">
        <f>VLOOKUP(A14,GM!A$2:G$55,5,0)</f>
        <v>37.409999999999997</v>
      </c>
      <c r="AU14">
        <f>VLOOKUP(A14,GOOG!A$2:G$55,5,0)</f>
        <v>595.08000000000004</v>
      </c>
      <c r="AV14">
        <f>VLOOKUP(A14,GOOGL!A$2:G$55,5,0)</f>
        <v>605.11</v>
      </c>
      <c r="AW14">
        <f>VLOOKUP(A14,GS!A$2:G$55,5,0)</f>
        <v>171.47</v>
      </c>
      <c r="AX14">
        <f>VLOOKUP(A14,HAL!A$2:G$55,5,0)</f>
        <v>70.930000000000007</v>
      </c>
      <c r="AY14">
        <f>VLOOKUP(A14,HD!A$2:G$55,5,0)</f>
        <v>80.08</v>
      </c>
      <c r="AZ14">
        <f>VLOOKUP(A14,HON!A$2:G$55,5,0)</f>
        <v>96.82</v>
      </c>
      <c r="BA14">
        <f>VLOOKUP(A14,HPQ!A$2:G$55,5,0)</f>
        <v>34.81</v>
      </c>
      <c r="BB14">
        <f>VLOOKUP(A14,IBM!A$2:G$55,5,0)</f>
        <v>192.5</v>
      </c>
      <c r="BC14">
        <f>VLOOKUP(A14,INTC!A$2:G$55,5,0)</f>
        <v>33.700000000000003</v>
      </c>
      <c r="BD14">
        <f>VLOOKUP(A14,JNJ!A$2:G$55,5,0)</f>
        <v>101.8</v>
      </c>
      <c r="BE14">
        <f>VLOOKUP(A14,JPM!A$2:G$55,5,0)</f>
        <v>58.23</v>
      </c>
      <c r="BF14">
        <f>VLOOKUP(A14,KO!A$2:G$55,5,0)</f>
        <v>42.43</v>
      </c>
      <c r="BG14">
        <f>VLOOKUP(A14,LLY!A$2:G$55,5,0)</f>
        <v>63.47</v>
      </c>
      <c r="BH14">
        <f>VLOOKUP(A14,LMT!A$2:G$55,5,0)</f>
        <v>162.49</v>
      </c>
      <c r="BI14">
        <f>VLOOKUP(A14,LOW!A$2:G$55,5,0)</f>
        <v>47.81</v>
      </c>
      <c r="BJ14">
        <f>VLOOKUP(A14,MA!A$2:G$55,5,0)</f>
        <v>77.5</v>
      </c>
      <c r="BK14">
        <f>VLOOKUP(A14,MCD!A$2:G$55,5,0)</f>
        <v>98.99</v>
      </c>
      <c r="BL14">
        <f>VLOOKUP(A14,MDLZ!A$2:G$55,5,0)</f>
        <v>38.479999999999997</v>
      </c>
      <c r="BM14">
        <f>VLOOKUP(A14,MDT!A$2:G$55,5,0)</f>
        <v>62.36</v>
      </c>
      <c r="BN14">
        <f>VLOOKUP(A14,MET!A$2:G$55,5,0)</f>
        <v>55.83</v>
      </c>
      <c r="BO14">
        <f>VLOOKUP(A14,MMM!A$2:G$55,5,0)</f>
        <v>144.83000000000001</v>
      </c>
      <c r="BP14">
        <f>VLOOKUP(A14,MO!A$2:G$55,5,0)</f>
        <v>42.17</v>
      </c>
      <c r="BQ14">
        <f>VLOOKUP(A14,MON!A$2:G$55,5,0)</f>
        <v>119.98</v>
      </c>
      <c r="BR14">
        <f>VLOOKUP(A14,MRK!A$2:G$55,5,0)</f>
        <v>58.34</v>
      </c>
      <c r="BS14">
        <f>VLOOKUP(A14,MS!A$2:G$55,5,0)</f>
        <v>32.64</v>
      </c>
      <c r="BT14">
        <f>VLOOKUP(A14,MSFT!A$2:G$55,5,0)</f>
        <v>44.69</v>
      </c>
      <c r="BU14">
        <f>VLOOKUP(A14,NKE!A$2:G$55,5,0)</f>
        <v>77.52</v>
      </c>
      <c r="BV14">
        <f>VLOOKUP(A14,NOV!A$2:G$55,5,0)</f>
        <v>85.45</v>
      </c>
      <c r="BW14">
        <f>VLOOKUP(A14,NSC!A$2:G$55,5,0)</f>
        <v>106.18</v>
      </c>
      <c r="BX14">
        <f>VLOOKUP(A14,ORCL!A$2:G$55,5,0)</f>
        <v>40</v>
      </c>
      <c r="BY14">
        <f>VLOOKUP(A14,OXY!A$2:G$55,5,0)</f>
        <v>100.93</v>
      </c>
      <c r="BZ14">
        <f>VLOOKUP(A14,PEP!A$2:G$55,5,0)</f>
        <v>90.09</v>
      </c>
      <c r="CA14">
        <f>VLOOKUP(A14,PFE!A$2:G$55,5,0)</f>
        <v>30.73</v>
      </c>
      <c r="CB14">
        <f>VLOOKUP(A14,PG!A$2:G$55,5,0)</f>
        <v>80.55</v>
      </c>
      <c r="CC14">
        <f>VLOOKUP(A14,PM!A$2:G$55,5,0)</f>
        <v>86.02</v>
      </c>
      <c r="CD14">
        <f>VLOOKUP(A14,QCOM!A$2:G$55,5,0)</f>
        <v>79.39</v>
      </c>
      <c r="CE14">
        <f>VLOOKUP(A14,RTN!A$2:G$55,5,0)</f>
        <v>94.85</v>
      </c>
      <c r="CF14">
        <f>VLOOKUP(A14,SBUX!A$2:G$55,5,0)</f>
        <v>77.94</v>
      </c>
      <c r="CG14">
        <f>VLOOKUP(A14,SLB!A$2:G$55,5,0)</f>
        <v>112.36</v>
      </c>
      <c r="CH14">
        <f>VLOOKUP(A14,SO!A$2:G$55,5,0)</f>
        <v>44.89</v>
      </c>
      <c r="CI14">
        <f>VLOOKUP(A14,SPG!A$2:G$55,5,0)</f>
        <v>171.03</v>
      </c>
      <c r="CJ14">
        <f>VLOOKUP(A14,T!A$2:G$55,5,0)</f>
        <v>36.17</v>
      </c>
      <c r="CK14">
        <f>VLOOKUP(A14,TGT!A$2:G$55,5,0)</f>
        <v>60.01</v>
      </c>
      <c r="CL14">
        <f>VLOOKUP(A14,TWX!A$2:G$55,5,0)</f>
        <v>87.23</v>
      </c>
      <c r="CM14">
        <f>VLOOKUP(A14,TXN!A$2:G$55,5,0)</f>
        <v>48.82</v>
      </c>
      <c r="CN14">
        <f>VLOOKUP(A14,UNH!A$2:G$55,5,0)</f>
        <v>85.52</v>
      </c>
      <c r="CO14">
        <f>VLOOKUP(A14,UNP!A$2:G$55,5,0)</f>
        <v>101.34</v>
      </c>
      <c r="CP14">
        <f>VLOOKUP(A14,UPS!A$2:G$55,5,0)</f>
        <v>103.82</v>
      </c>
      <c r="CQ14">
        <f>VLOOKUP(A14,USB!A$2:G$55,5,0)</f>
        <v>42.17</v>
      </c>
      <c r="CR14">
        <f>VLOOKUP(A14,UTX!A$2:G$55,5,0)</f>
        <v>113.57</v>
      </c>
      <c r="CS14">
        <f>VLOOKUP(A14,V!A$2:G$55,5,0)</f>
        <v>220.2</v>
      </c>
      <c r="CT14">
        <f>VLOOKUP(A14,VZ!A$2:G$55,5,0)</f>
        <v>50.75</v>
      </c>
      <c r="CU14">
        <f>VLOOKUP(A14,WAG!A$2:G$55,5,0)</f>
        <v>71.97</v>
      </c>
      <c r="CV14">
        <f>VLOOKUP(A14,WFC!A$2:G$55,5,0)</f>
        <v>51.28</v>
      </c>
      <c r="CW14">
        <f>VLOOKUP(A14,WMT!A$2:G$55,5,0)</f>
        <v>77.09</v>
      </c>
    </row>
    <row r="15" spans="1:101" x14ac:dyDescent="0.25">
      <c r="A15" s="34">
        <v>41841</v>
      </c>
      <c r="B15" s="36">
        <v>93.94</v>
      </c>
      <c r="C15">
        <f>VLOOKUP(A15,ABBV!A$2:G$55,5,0)</f>
        <v>54</v>
      </c>
      <c r="D15">
        <f>VLOOKUP(A15,ABT!A$2:G$55,5,0)</f>
        <v>42.96</v>
      </c>
      <c r="E15">
        <f>VLOOKUP(A15,ACN!A$2:G$55,5,0)</f>
        <v>79.8</v>
      </c>
      <c r="F15">
        <f>VLOOKUP(A15,AIG!A$2:G$55,5,0)</f>
        <v>55.11</v>
      </c>
      <c r="G15">
        <f>VLOOKUP(A15,ALL!A$2:G$55,5,0)</f>
        <v>58.01</v>
      </c>
      <c r="H15">
        <f>VLOOKUP(A15,AMGN!A$2:G$55,5,0)</f>
        <v>119.03</v>
      </c>
      <c r="I15">
        <f>VLOOKUP(A15,AMZN!A$2:G$55,5,0)</f>
        <v>359.76</v>
      </c>
      <c r="J15">
        <f>VLOOKUP(A15,APA!A$2:G$55,5,0)</f>
        <v>98.56</v>
      </c>
      <c r="K15">
        <f>VLOOKUP(A15,APC!A$2:G$55,5,0)</f>
        <v>108.87</v>
      </c>
      <c r="L15">
        <f>VLOOKUP(A15,AXP!A$2:G$55,5,0)</f>
        <v>92.88</v>
      </c>
      <c r="M15">
        <f>VLOOKUP(A15,BA!A$2:G$55,5,0)</f>
        <v>128.30000000000001</v>
      </c>
      <c r="N15">
        <f>VLOOKUP(A15,BAC!A$2:G$55,5,0)</f>
        <v>15.52</v>
      </c>
      <c r="O15">
        <f>VLOOKUP(A15,BAX!A$2:G$55,5,0)</f>
        <v>76.11</v>
      </c>
      <c r="P15">
        <f>VLOOKUP(A15,BIIB!A$2:G$55,5,0)</f>
        <v>302.5</v>
      </c>
      <c r="Q15">
        <f>VLOOKUP(A15,BK!A$2:G$55,5,0)</f>
        <v>38.44</v>
      </c>
      <c r="R15">
        <f>VLOOKUP(A15,BMY!A$2:G$55,5,0)</f>
        <v>48.92</v>
      </c>
      <c r="T15">
        <f>VLOOKUP(A15,'C'!A$2:G$55,5,0)</f>
        <v>49.35</v>
      </c>
      <c r="U15">
        <f>VLOOKUP(A15,CAT!A$2:G$55,5,0)</f>
        <v>110.23</v>
      </c>
      <c r="V15">
        <f>VLOOKUP(A15,CL!A$2:G$55,5,0)</f>
        <v>68.760000000000005</v>
      </c>
      <c r="W15">
        <f>VLOOKUP(A15,CMCSA!A$2:G$55,5,0)</f>
        <v>53.82</v>
      </c>
      <c r="X15">
        <f>VLOOKUP(A15,COF!A$2:G$55,5,0)</f>
        <v>81.92</v>
      </c>
      <c r="Y15">
        <f>VLOOKUP(A15,COP!A$2:G$55,5,0)</f>
        <v>84.53</v>
      </c>
      <c r="Z15">
        <f>VLOOKUP(A15,COST!A$2:G$55,5,0)</f>
        <v>117.04</v>
      </c>
      <c r="AA15">
        <f>VLOOKUP(A15,CSCO!A$2:G$55,5,0)</f>
        <v>25.85</v>
      </c>
      <c r="AB15">
        <f>VLOOKUP(A15,CVS!A$2:G$55,5,0)</f>
        <v>77.040000000000006</v>
      </c>
      <c r="AC15">
        <f>VLOOKUP(A15,CVX!A$2:G$55,5,0)</f>
        <v>131.29</v>
      </c>
      <c r="AD15">
        <f>VLOOKUP(A15,DD!A$2:G$55,5,0)</f>
        <v>65.540000000000006</v>
      </c>
      <c r="AE15">
        <f>VLOOKUP(A15,DIS!A$2:G$55,5,0)</f>
        <v>85.74</v>
      </c>
      <c r="AF15">
        <f>VLOOKUP(A15,DOW!A$2:G$55,5,0)</f>
        <v>51.86</v>
      </c>
      <c r="AG15">
        <f>VLOOKUP(A15,DVN!A$2:G$55,5,0)</f>
        <v>77.12</v>
      </c>
      <c r="AH15">
        <f>VLOOKUP(A15,EBAY!A$2:G$55,5,0)</f>
        <v>51.7</v>
      </c>
      <c r="AI15">
        <f>VLOOKUP(A15,EMC!A$2:G$55,5,0)</f>
        <v>28.33</v>
      </c>
      <c r="AJ15">
        <f>VLOOKUP(A15,EMR!A$2:G$55,5,0)</f>
        <v>67.36</v>
      </c>
      <c r="AK15">
        <f>VLOOKUP(A15,EXC!A$2:G$55,5,0)</f>
        <v>32.229999999999997</v>
      </c>
      <c r="AL15">
        <f>VLOOKUP(A15,F!A$2:G$55,5,0)</f>
        <v>17.7</v>
      </c>
      <c r="AM15">
        <f>VLOOKUP(A15,FB!A$2:G$55,5,0)</f>
        <v>69.400000000000006</v>
      </c>
      <c r="AN15">
        <f>VLOOKUP(A15,FCX!A$2:G$55,5,0)</f>
        <v>38.67</v>
      </c>
      <c r="AO15">
        <f>VLOOKUP(A15,FDX!A$2:G$55,5,0)</f>
        <v>152.35</v>
      </c>
      <c r="AP15">
        <f>VLOOKUP(A15,FOXA!A$2:G$55,5,0)</f>
        <v>32.89</v>
      </c>
      <c r="AQ15">
        <f>VLOOKUP(A15,GD!A$2:G$55,5,0)</f>
        <v>118.35</v>
      </c>
      <c r="AR15">
        <f>VLOOKUP(A15,GE!A$2:G$55,5,0)</f>
        <v>25.98</v>
      </c>
      <c r="AS15">
        <f>VLOOKUP(A15,GILD!A$2:G$55,5,0)</f>
        <v>88.86</v>
      </c>
      <c r="AT15">
        <f>VLOOKUP(A15,GM!A$2:G$55,5,0)</f>
        <v>37.43</v>
      </c>
      <c r="AU15">
        <f>VLOOKUP(A15,GOOG!A$2:G$55,5,0)</f>
        <v>589.47</v>
      </c>
      <c r="AV15">
        <f>VLOOKUP(A15,GOOGL!A$2:G$55,5,0)</f>
        <v>598.44000000000005</v>
      </c>
      <c r="AW15">
        <f>VLOOKUP(A15,GS!A$2:G$55,5,0)</f>
        <v>171.72</v>
      </c>
      <c r="AX15">
        <f>VLOOKUP(A15,HAL!A$2:G$55,5,0)</f>
        <v>71</v>
      </c>
      <c r="AY15">
        <f>VLOOKUP(A15,HD!A$2:G$55,5,0)</f>
        <v>79.709999999999994</v>
      </c>
      <c r="AZ15">
        <f>VLOOKUP(A15,HON!A$2:G$55,5,0)</f>
        <v>97.34</v>
      </c>
      <c r="BA15">
        <f>VLOOKUP(A15,HPQ!A$2:G$55,5,0)</f>
        <v>34.520000000000003</v>
      </c>
      <c r="BB15">
        <f>VLOOKUP(A15,IBM!A$2:G$55,5,0)</f>
        <v>190.85</v>
      </c>
      <c r="BC15">
        <f>VLOOKUP(A15,INTC!A$2:G$55,5,0)</f>
        <v>34.06</v>
      </c>
      <c r="BD15">
        <f>VLOOKUP(A15,JNJ!A$2:G$55,5,0)</f>
        <v>101.27</v>
      </c>
      <c r="BE15">
        <f>VLOOKUP(A15,JPM!A$2:G$55,5,0)</f>
        <v>58.24</v>
      </c>
      <c r="BF15">
        <f>VLOOKUP(A15,KO!A$2:G$55,5,0)</f>
        <v>42.4</v>
      </c>
      <c r="BG15">
        <f>VLOOKUP(A15,LLY!A$2:G$55,5,0)</f>
        <v>63.64</v>
      </c>
      <c r="BH15">
        <f>VLOOKUP(A15,LMT!A$2:G$55,5,0)</f>
        <v>162.97999999999999</v>
      </c>
      <c r="BI15">
        <f>VLOOKUP(A15,LOW!A$2:G$55,5,0)</f>
        <v>47.58</v>
      </c>
      <c r="BJ15">
        <f>VLOOKUP(A15,MA!A$2:G$55,5,0)</f>
        <v>77.349999999999994</v>
      </c>
      <c r="BK15">
        <f>VLOOKUP(A15,MCD!A$2:G$55,5,0)</f>
        <v>97.55</v>
      </c>
      <c r="BL15">
        <f>VLOOKUP(A15,MDLZ!A$2:G$55,5,0)</f>
        <v>38.270000000000003</v>
      </c>
      <c r="BM15">
        <f>VLOOKUP(A15,MDT!A$2:G$55,5,0)</f>
        <v>62.41</v>
      </c>
      <c r="BN15">
        <f>VLOOKUP(A15,MET!A$2:G$55,5,0)</f>
        <v>55.51</v>
      </c>
      <c r="BO15">
        <f>VLOOKUP(A15,MMM!A$2:G$55,5,0)</f>
        <v>144.30000000000001</v>
      </c>
      <c r="BP15">
        <f>VLOOKUP(A15,MO!A$2:G$55,5,0)</f>
        <v>42.01</v>
      </c>
      <c r="BQ15">
        <f>VLOOKUP(A15,MON!A$2:G$55,5,0)</f>
        <v>118.96</v>
      </c>
      <c r="BR15">
        <f>VLOOKUP(A15,MRK!A$2:G$55,5,0)</f>
        <v>58</v>
      </c>
      <c r="BS15">
        <f>VLOOKUP(A15,MS!A$2:G$55,5,0)</f>
        <v>32.549999999999997</v>
      </c>
      <c r="BT15">
        <f>VLOOKUP(A15,MSFT!A$2:G$55,5,0)</f>
        <v>44.84</v>
      </c>
      <c r="BU15">
        <f>VLOOKUP(A15,NKE!A$2:G$55,5,0)</f>
        <v>76.819999999999993</v>
      </c>
      <c r="BV15">
        <f>VLOOKUP(A15,NOV!A$2:G$55,5,0)</f>
        <v>85.58</v>
      </c>
      <c r="BW15">
        <f>VLOOKUP(A15,NSC!A$2:G$55,5,0)</f>
        <v>106.22</v>
      </c>
      <c r="BX15">
        <f>VLOOKUP(A15,ORCL!A$2:G$55,5,0)</f>
        <v>40.01</v>
      </c>
      <c r="BY15">
        <f>VLOOKUP(A15,OXY!A$2:G$55,5,0)</f>
        <v>100.58</v>
      </c>
      <c r="BZ15">
        <f>VLOOKUP(A15,PEP!A$2:G$55,5,0)</f>
        <v>89.91</v>
      </c>
      <c r="CA15">
        <f>VLOOKUP(A15,PFE!A$2:G$55,5,0)</f>
        <v>30.35</v>
      </c>
      <c r="CB15">
        <f>VLOOKUP(A15,PG!A$2:G$55,5,0)</f>
        <v>80.28</v>
      </c>
      <c r="CC15">
        <f>VLOOKUP(A15,PM!A$2:G$55,5,0)</f>
        <v>85.57</v>
      </c>
      <c r="CD15">
        <f>VLOOKUP(A15,QCOM!A$2:G$55,5,0)</f>
        <v>79.67</v>
      </c>
      <c r="CE15">
        <f>VLOOKUP(A15,RTN!A$2:G$55,5,0)</f>
        <v>95.82</v>
      </c>
      <c r="CF15">
        <f>VLOOKUP(A15,SBUX!A$2:G$55,5,0)</f>
        <v>77.61</v>
      </c>
      <c r="CG15">
        <f>VLOOKUP(A15,SLB!A$2:G$55,5,0)</f>
        <v>113.04</v>
      </c>
      <c r="CH15">
        <f>VLOOKUP(A15,SO!A$2:G$55,5,0)</f>
        <v>44.91</v>
      </c>
      <c r="CI15">
        <f>VLOOKUP(A15,SPG!A$2:G$55,5,0)</f>
        <v>170.41</v>
      </c>
      <c r="CJ15">
        <f>VLOOKUP(A15,T!A$2:G$55,5,0)</f>
        <v>35.96</v>
      </c>
      <c r="CK15">
        <f>VLOOKUP(A15,TGT!A$2:G$55,5,0)</f>
        <v>59.3</v>
      </c>
      <c r="CL15">
        <f>VLOOKUP(A15,TWX!A$2:G$55,5,0)</f>
        <v>87.36</v>
      </c>
      <c r="CM15">
        <f>VLOOKUP(A15,TXN!A$2:G$55,5,0)</f>
        <v>49.17</v>
      </c>
      <c r="CN15">
        <f>VLOOKUP(A15,UNH!A$2:G$55,5,0)</f>
        <v>85.06</v>
      </c>
      <c r="CO15">
        <f>VLOOKUP(A15,UNP!A$2:G$55,5,0)</f>
        <v>101.64</v>
      </c>
      <c r="CP15">
        <f>VLOOKUP(A15,UPS!A$2:G$55,5,0)</f>
        <v>104.06</v>
      </c>
      <c r="CQ15">
        <f>VLOOKUP(A15,USB!A$2:G$55,5,0)</f>
        <v>42.12</v>
      </c>
      <c r="CR15">
        <f>VLOOKUP(A15,UTX!A$2:G$55,5,0)</f>
        <v>112.98</v>
      </c>
      <c r="CS15">
        <f>VLOOKUP(A15,V!A$2:G$55,5,0)</f>
        <v>219.22</v>
      </c>
      <c r="CT15">
        <f>VLOOKUP(A15,VZ!A$2:G$55,5,0)</f>
        <v>50.7</v>
      </c>
      <c r="CU15">
        <f>VLOOKUP(A15,WAG!A$2:G$55,5,0)</f>
        <v>71.67</v>
      </c>
      <c r="CV15">
        <f>VLOOKUP(A15,WFC!A$2:G$55,5,0)</f>
        <v>51.05</v>
      </c>
      <c r="CW15">
        <f>VLOOKUP(A15,WMT!A$2:G$55,5,0)</f>
        <v>76.77</v>
      </c>
    </row>
    <row r="16" spans="1:101" x14ac:dyDescent="0.25">
      <c r="A16" s="34">
        <v>41842</v>
      </c>
      <c r="B16" s="36">
        <v>94.72</v>
      </c>
      <c r="C16">
        <f>VLOOKUP(A16,ABBV!A$2:G$55,5,0)</f>
        <v>54.05</v>
      </c>
      <c r="D16">
        <f>VLOOKUP(A16,ABT!A$2:G$55,5,0)</f>
        <v>43.09</v>
      </c>
      <c r="E16">
        <f>VLOOKUP(A16,ACN!A$2:G$55,5,0)</f>
        <v>80.290000000000006</v>
      </c>
      <c r="F16">
        <f>VLOOKUP(A16,AIG!A$2:G$55,5,0)</f>
        <v>54.7</v>
      </c>
      <c r="G16">
        <f>VLOOKUP(A16,ALL!A$2:G$55,5,0)</f>
        <v>58.09</v>
      </c>
      <c r="H16">
        <f>VLOOKUP(A16,AMGN!A$2:G$55,5,0)</f>
        <v>121.11</v>
      </c>
      <c r="I16">
        <f>VLOOKUP(A16,AMZN!A$2:G$55,5,0)</f>
        <v>360.84</v>
      </c>
      <c r="J16">
        <f>VLOOKUP(A16,APA!A$2:G$55,5,0)</f>
        <v>103.12</v>
      </c>
      <c r="K16">
        <f>VLOOKUP(A16,APC!A$2:G$55,5,0)</f>
        <v>108.32</v>
      </c>
      <c r="L16">
        <f>VLOOKUP(A16,AXP!A$2:G$55,5,0)</f>
        <v>93.37</v>
      </c>
      <c r="M16">
        <f>VLOOKUP(A16,BA!A$2:G$55,5,0)</f>
        <v>129.74</v>
      </c>
      <c r="N16">
        <f>VLOOKUP(A16,BAC!A$2:G$55,5,0)</f>
        <v>15.52</v>
      </c>
      <c r="O16">
        <f>VLOOKUP(A16,BAX!A$2:G$55,5,0)</f>
        <v>76.87</v>
      </c>
      <c r="P16">
        <f>VLOOKUP(A16,BIIB!A$2:G$55,5,0)</f>
        <v>303.67</v>
      </c>
      <c r="Q16">
        <f>VLOOKUP(A16,BK!A$2:G$55,5,0)</f>
        <v>39.06</v>
      </c>
      <c r="R16">
        <f>VLOOKUP(A16,BMY!A$2:G$55,5,0)</f>
        <v>49.12</v>
      </c>
      <c r="T16">
        <f>VLOOKUP(A16,'C'!A$2:G$55,5,0)</f>
        <v>49.6</v>
      </c>
      <c r="U16">
        <f>VLOOKUP(A16,CAT!A$2:G$55,5,0)</f>
        <v>110.06</v>
      </c>
      <c r="V16">
        <f>VLOOKUP(A16,CL!A$2:G$55,5,0)</f>
        <v>68.59</v>
      </c>
      <c r="W16">
        <f>VLOOKUP(A16,CMCSA!A$2:G$55,5,0)</f>
        <v>54.63</v>
      </c>
      <c r="X16">
        <f>VLOOKUP(A16,COF!A$2:G$55,5,0)</f>
        <v>82.12</v>
      </c>
      <c r="Y16">
        <f>VLOOKUP(A16,COP!A$2:G$55,5,0)</f>
        <v>86.02</v>
      </c>
      <c r="Z16">
        <f>VLOOKUP(A16,COST!A$2:G$55,5,0)</f>
        <v>117.55</v>
      </c>
      <c r="AA16">
        <f>VLOOKUP(A16,CSCO!A$2:G$55,5,0)</f>
        <v>25.95</v>
      </c>
      <c r="AB16">
        <f>VLOOKUP(A16,CVS!A$2:G$55,5,0)</f>
        <v>77.87</v>
      </c>
      <c r="AC16">
        <f>VLOOKUP(A16,CVX!A$2:G$55,5,0)</f>
        <v>132.58000000000001</v>
      </c>
      <c r="AD16">
        <f>VLOOKUP(A16,DD!A$2:G$55,5,0)</f>
        <v>64.95</v>
      </c>
      <c r="AE16">
        <f>VLOOKUP(A16,DIS!A$2:G$55,5,0)</f>
        <v>86.21</v>
      </c>
      <c r="AF16">
        <f>VLOOKUP(A16,DOW!A$2:G$55,5,0)</f>
        <v>52.3</v>
      </c>
      <c r="AG16">
        <f>VLOOKUP(A16,DVN!A$2:G$55,5,0)</f>
        <v>78.150000000000006</v>
      </c>
      <c r="AH16">
        <f>VLOOKUP(A16,EBAY!A$2:G$55,5,0)</f>
        <v>52.05</v>
      </c>
      <c r="AI16">
        <f>VLOOKUP(A16,EMC!A$2:G$55,5,0)</f>
        <v>28.52</v>
      </c>
      <c r="AJ16">
        <f>VLOOKUP(A16,EMR!A$2:G$55,5,0)</f>
        <v>67.42</v>
      </c>
      <c r="AK16">
        <f>VLOOKUP(A16,EXC!A$2:G$55,5,0)</f>
        <v>31.78</v>
      </c>
      <c r="AL16">
        <f>VLOOKUP(A16,F!A$2:G$55,5,0)</f>
        <v>17.82</v>
      </c>
      <c r="AM16">
        <f>VLOOKUP(A16,FB!A$2:G$55,5,0)</f>
        <v>69.27</v>
      </c>
      <c r="AN16">
        <f>VLOOKUP(A16,FCX!A$2:G$55,5,0)</f>
        <v>38.72</v>
      </c>
      <c r="AO16">
        <f>VLOOKUP(A16,FDX!A$2:G$55,5,0)</f>
        <v>153.29</v>
      </c>
      <c r="AP16">
        <f>VLOOKUP(A16,FOXA!A$2:G$55,5,0)</f>
        <v>33.340000000000003</v>
      </c>
      <c r="AQ16">
        <f>VLOOKUP(A16,GD!A$2:G$55,5,0)</f>
        <v>118.55</v>
      </c>
      <c r="AR16">
        <f>VLOOKUP(A16,GE!A$2:G$55,5,0)</f>
        <v>26.02</v>
      </c>
      <c r="AS16">
        <f>VLOOKUP(A16,GILD!A$2:G$55,5,0)</f>
        <v>89.33</v>
      </c>
      <c r="AT16">
        <f>VLOOKUP(A16,GM!A$2:G$55,5,0)</f>
        <v>37.76</v>
      </c>
      <c r="AU16">
        <f>VLOOKUP(A16,GOOG!A$2:G$55,5,0)</f>
        <v>594.74</v>
      </c>
      <c r="AV16">
        <f>VLOOKUP(A16,GOOGL!A$2:G$55,5,0)</f>
        <v>603.57000000000005</v>
      </c>
      <c r="AW16">
        <f>VLOOKUP(A16,GS!A$2:G$55,5,0)</f>
        <v>175.02</v>
      </c>
      <c r="AX16">
        <f>VLOOKUP(A16,HAL!A$2:G$55,5,0)</f>
        <v>73.290000000000006</v>
      </c>
      <c r="AY16">
        <f>VLOOKUP(A16,HD!A$2:G$55,5,0)</f>
        <v>80.540000000000006</v>
      </c>
      <c r="AZ16">
        <f>VLOOKUP(A16,HON!A$2:G$55,5,0)</f>
        <v>97.19</v>
      </c>
      <c r="BA16">
        <f>VLOOKUP(A16,HPQ!A$2:G$55,5,0)</f>
        <v>35.15</v>
      </c>
      <c r="BB16">
        <f>VLOOKUP(A16,IBM!A$2:G$55,5,0)</f>
        <v>194.09</v>
      </c>
      <c r="BC16">
        <f>VLOOKUP(A16,INTC!A$2:G$55,5,0)</f>
        <v>34.79</v>
      </c>
      <c r="BD16">
        <f>VLOOKUP(A16,JNJ!A$2:G$55,5,0)</f>
        <v>102.47</v>
      </c>
      <c r="BE16">
        <f>VLOOKUP(A16,JPM!A$2:G$55,5,0)</f>
        <v>58.67</v>
      </c>
      <c r="BF16">
        <f>VLOOKUP(A16,KO!A$2:G$55,5,0)</f>
        <v>41.19</v>
      </c>
      <c r="BG16">
        <f>VLOOKUP(A16,LLY!A$2:G$55,5,0)</f>
        <v>63.72</v>
      </c>
      <c r="BH16">
        <f>VLOOKUP(A16,LMT!A$2:G$55,5,0)</f>
        <v>167.87</v>
      </c>
      <c r="BI16">
        <f>VLOOKUP(A16,LOW!A$2:G$55,5,0)</f>
        <v>47.79</v>
      </c>
      <c r="BJ16">
        <f>VLOOKUP(A16,MA!A$2:G$55,5,0)</f>
        <v>78.27</v>
      </c>
      <c r="BK16">
        <f>VLOOKUP(A16,MCD!A$2:G$55,5,0)</f>
        <v>96.27</v>
      </c>
      <c r="BL16">
        <f>VLOOKUP(A16,MDLZ!A$2:G$55,5,0)</f>
        <v>38.51</v>
      </c>
      <c r="BM16">
        <f>VLOOKUP(A16,MDT!A$2:G$55,5,0)</f>
        <v>62.71</v>
      </c>
      <c r="BN16">
        <f>VLOOKUP(A16,MET!A$2:G$55,5,0)</f>
        <v>55.5</v>
      </c>
      <c r="BO16">
        <f>VLOOKUP(A16,MMM!A$2:G$55,5,0)</f>
        <v>145.12</v>
      </c>
      <c r="BP16">
        <f>VLOOKUP(A16,MO!A$2:G$55,5,0)</f>
        <v>41.93</v>
      </c>
      <c r="BQ16">
        <f>VLOOKUP(A16,MON!A$2:G$55,5,0)</f>
        <v>118.77</v>
      </c>
      <c r="BR16">
        <f>VLOOKUP(A16,MRK!A$2:G$55,5,0)</f>
        <v>58.43</v>
      </c>
      <c r="BS16">
        <f>VLOOKUP(A16,MS!A$2:G$55,5,0)</f>
        <v>32.909999999999997</v>
      </c>
      <c r="BT16">
        <f>VLOOKUP(A16,MSFT!A$2:G$55,5,0)</f>
        <v>44.83</v>
      </c>
      <c r="BU16">
        <f>VLOOKUP(A16,NKE!A$2:G$55,5,0)</f>
        <v>77.040000000000006</v>
      </c>
      <c r="BV16">
        <f>VLOOKUP(A16,NOV!A$2:G$55,5,0)</f>
        <v>86.03</v>
      </c>
      <c r="BW16">
        <f>VLOOKUP(A16,NSC!A$2:G$55,5,0)</f>
        <v>107.61</v>
      </c>
      <c r="BX16">
        <f>VLOOKUP(A16,ORCL!A$2:G$55,5,0)</f>
        <v>40.43</v>
      </c>
      <c r="BY16">
        <f>VLOOKUP(A16,OXY!A$2:G$55,5,0)</f>
        <v>101.27</v>
      </c>
      <c r="BZ16">
        <f>VLOOKUP(A16,PEP!A$2:G$55,5,0)</f>
        <v>89.17</v>
      </c>
      <c r="CA16">
        <f>VLOOKUP(A16,PFE!A$2:G$55,5,0)</f>
        <v>30.49</v>
      </c>
      <c r="CB16">
        <f>VLOOKUP(A16,PG!A$2:G$55,5,0)</f>
        <v>80.099999999999994</v>
      </c>
      <c r="CC16">
        <f>VLOOKUP(A16,PM!A$2:G$55,5,0)</f>
        <v>85.38</v>
      </c>
      <c r="CD16">
        <f>VLOOKUP(A16,QCOM!A$2:G$55,5,0)</f>
        <v>81.53</v>
      </c>
      <c r="CE16">
        <f>VLOOKUP(A16,RTN!A$2:G$55,5,0)</f>
        <v>96.86</v>
      </c>
      <c r="CF16">
        <f>VLOOKUP(A16,SBUX!A$2:G$55,5,0)</f>
        <v>78.739999999999995</v>
      </c>
      <c r="CG16">
        <f>VLOOKUP(A16,SLB!A$2:G$55,5,0)</f>
        <v>113.41</v>
      </c>
      <c r="CH16">
        <f>VLOOKUP(A16,SO!A$2:G$55,5,0)</f>
        <v>44.91</v>
      </c>
      <c r="CI16">
        <f>VLOOKUP(A16,SPG!A$2:G$55,5,0)</f>
        <v>171.33</v>
      </c>
      <c r="CJ16">
        <f>VLOOKUP(A16,T!A$2:G$55,5,0)</f>
        <v>35.94</v>
      </c>
      <c r="CK16">
        <f>VLOOKUP(A16,TGT!A$2:G$55,5,0)</f>
        <v>59.38</v>
      </c>
      <c r="CL16">
        <f>VLOOKUP(A16,TWX!A$2:G$55,5,0)</f>
        <v>86.78</v>
      </c>
      <c r="CM16">
        <f>VLOOKUP(A16,TXN!A$2:G$55,5,0)</f>
        <v>49.12</v>
      </c>
      <c r="CN16">
        <f>VLOOKUP(A16,UNH!A$2:G$55,5,0)</f>
        <v>86.05</v>
      </c>
      <c r="CO16">
        <f>VLOOKUP(A16,UNP!A$2:G$55,5,0)</f>
        <v>102.86</v>
      </c>
      <c r="CP16">
        <f>VLOOKUP(A16,UPS!A$2:G$55,5,0)</f>
        <v>104.48</v>
      </c>
      <c r="CQ16">
        <f>VLOOKUP(A16,USB!A$2:G$55,5,0)</f>
        <v>42.25</v>
      </c>
      <c r="CR16">
        <f>VLOOKUP(A16,UTX!A$2:G$55,5,0)</f>
        <v>110.86</v>
      </c>
      <c r="CS16">
        <f>VLOOKUP(A16,V!A$2:G$55,5,0)</f>
        <v>221.26</v>
      </c>
      <c r="CT16">
        <f>VLOOKUP(A16,VZ!A$2:G$55,5,0)</f>
        <v>50.98</v>
      </c>
      <c r="CU16">
        <f>VLOOKUP(A16,WAG!A$2:G$55,5,0)</f>
        <v>72.86</v>
      </c>
      <c r="CV16">
        <f>VLOOKUP(A16,WFC!A$2:G$55,5,0)</f>
        <v>51.35</v>
      </c>
      <c r="CW16">
        <f>VLOOKUP(A16,WMT!A$2:G$55,5,0)</f>
        <v>76.64</v>
      </c>
    </row>
    <row r="17" spans="1:101" x14ac:dyDescent="0.25">
      <c r="A17" s="34">
        <v>41843</v>
      </c>
      <c r="B17" s="36">
        <v>97.19</v>
      </c>
      <c r="C17">
        <f>VLOOKUP(A17,ABBV!A$2:G$55,5,0)</f>
        <v>54.48</v>
      </c>
      <c r="D17">
        <f>VLOOKUP(A17,ABT!A$2:G$55,5,0)</f>
        <v>42.97</v>
      </c>
      <c r="E17">
        <f>VLOOKUP(A17,ACN!A$2:G$55,5,0)</f>
        <v>80.59</v>
      </c>
      <c r="F17">
        <f>VLOOKUP(A17,AIG!A$2:G$55,5,0)</f>
        <v>55.02</v>
      </c>
      <c r="G17">
        <f>VLOOKUP(A17,ALL!A$2:G$55,5,0)</f>
        <v>58.33</v>
      </c>
      <c r="H17">
        <f>VLOOKUP(A17,AMGN!A$2:G$55,5,0)</f>
        <v>122.01</v>
      </c>
      <c r="I17">
        <f>VLOOKUP(A17,AMZN!A$2:G$55,5,0)</f>
        <v>358.14</v>
      </c>
      <c r="J17">
        <f>VLOOKUP(A17,APA!A$2:G$55,5,0)</f>
        <v>103.48</v>
      </c>
      <c r="K17">
        <f>VLOOKUP(A17,APC!A$2:G$55,5,0)</f>
        <v>110.81</v>
      </c>
      <c r="L17">
        <f>VLOOKUP(A17,AXP!A$2:G$55,5,0)</f>
        <v>93.28</v>
      </c>
      <c r="M17">
        <f>VLOOKUP(A17,BA!A$2:G$55,5,0)</f>
        <v>126.71</v>
      </c>
      <c r="N17">
        <f>VLOOKUP(A17,BAC!A$2:G$55,5,0)</f>
        <v>15.52</v>
      </c>
      <c r="O17">
        <f>VLOOKUP(A17,BAX!A$2:G$55,5,0)</f>
        <v>76.84</v>
      </c>
      <c r="P17">
        <f>VLOOKUP(A17,BIIB!A$2:G$55,5,0)</f>
        <v>337.6</v>
      </c>
      <c r="Q17">
        <f>VLOOKUP(A17,BK!A$2:G$55,5,0)</f>
        <v>39.130000000000003</v>
      </c>
      <c r="R17">
        <f>VLOOKUP(A17,BMY!A$2:G$55,5,0)</f>
        <v>49.32</v>
      </c>
      <c r="T17">
        <f>VLOOKUP(A17,'C'!A$2:G$55,5,0)</f>
        <v>50.18</v>
      </c>
      <c r="U17">
        <f>VLOOKUP(A17,CAT!A$2:G$55,5,0)</f>
        <v>108.38</v>
      </c>
      <c r="V17">
        <f>VLOOKUP(A17,CL!A$2:G$55,5,0)</f>
        <v>68.17</v>
      </c>
      <c r="W17">
        <f>VLOOKUP(A17,CMCSA!A$2:G$55,5,0)</f>
        <v>54.71</v>
      </c>
      <c r="X17">
        <f>VLOOKUP(A17,COF!A$2:G$55,5,0)</f>
        <v>81.99</v>
      </c>
      <c r="Y17">
        <f>VLOOKUP(A17,COP!A$2:G$55,5,0)</f>
        <v>86.76</v>
      </c>
      <c r="Z17">
        <f>VLOOKUP(A17,COST!A$2:G$55,5,0)</f>
        <v>117.59</v>
      </c>
      <c r="AA17">
        <f>VLOOKUP(A17,CSCO!A$2:G$55,5,0)</f>
        <v>25.68</v>
      </c>
      <c r="AB17">
        <f>VLOOKUP(A17,CVS!A$2:G$55,5,0)</f>
        <v>78.13</v>
      </c>
      <c r="AC17">
        <f>VLOOKUP(A17,CVX!A$2:G$55,5,0)</f>
        <v>133.88</v>
      </c>
      <c r="AD17">
        <f>VLOOKUP(A17,DD!A$2:G$55,5,0)</f>
        <v>65.37</v>
      </c>
      <c r="AE17">
        <f>VLOOKUP(A17,DIS!A$2:G$55,5,0)</f>
        <v>86.04</v>
      </c>
      <c r="AF17">
        <f>VLOOKUP(A17,DOW!A$2:G$55,5,0)</f>
        <v>53.89</v>
      </c>
      <c r="AG17">
        <f>VLOOKUP(A17,DVN!A$2:G$55,5,0)</f>
        <v>78.5</v>
      </c>
      <c r="AH17">
        <f>VLOOKUP(A17,EBAY!A$2:G$55,5,0)</f>
        <v>52.66</v>
      </c>
      <c r="AI17">
        <f>VLOOKUP(A17,EMC!A$2:G$55,5,0)</f>
        <v>28.75</v>
      </c>
      <c r="AJ17">
        <f>VLOOKUP(A17,EMR!A$2:G$55,5,0)</f>
        <v>67.02</v>
      </c>
      <c r="AK17">
        <f>VLOOKUP(A17,EXC!A$2:G$55,5,0)</f>
        <v>31.76</v>
      </c>
      <c r="AL17">
        <f>VLOOKUP(A17,F!A$2:G$55,5,0)</f>
        <v>17.78</v>
      </c>
      <c r="AM17">
        <f>VLOOKUP(A17,FB!A$2:G$55,5,0)</f>
        <v>71.290000000000006</v>
      </c>
      <c r="AN17">
        <f>VLOOKUP(A17,FCX!A$2:G$55,5,0)</f>
        <v>38.549999999999997</v>
      </c>
      <c r="AO17">
        <f>VLOOKUP(A17,FDX!A$2:G$55,5,0)</f>
        <v>152.68</v>
      </c>
      <c r="AP17">
        <f>VLOOKUP(A17,FOXA!A$2:G$55,5,0)</f>
        <v>32.700000000000003</v>
      </c>
      <c r="AQ17">
        <f>VLOOKUP(A17,GD!A$2:G$55,5,0)</f>
        <v>120.73</v>
      </c>
      <c r="AR17">
        <f>VLOOKUP(A17,GE!A$2:G$55,5,0)</f>
        <v>25.91</v>
      </c>
      <c r="AS17">
        <f>VLOOKUP(A17,GILD!A$2:G$55,5,0)</f>
        <v>90.34</v>
      </c>
      <c r="AT17">
        <f>VLOOKUP(A17,GM!A$2:G$55,5,0)</f>
        <v>37.409999999999997</v>
      </c>
      <c r="AU17">
        <f>VLOOKUP(A17,GOOG!A$2:G$55,5,0)</f>
        <v>595.98</v>
      </c>
      <c r="AV17">
        <f>VLOOKUP(A17,GOOGL!A$2:G$55,5,0)</f>
        <v>605.19000000000005</v>
      </c>
      <c r="AW17">
        <f>VLOOKUP(A17,GS!A$2:G$55,5,0)</f>
        <v>176.82</v>
      </c>
      <c r="AX17">
        <f>VLOOKUP(A17,HAL!A$2:G$55,5,0)</f>
        <v>74.02</v>
      </c>
      <c r="AY17">
        <f>VLOOKUP(A17,HD!A$2:G$55,5,0)</f>
        <v>81.02</v>
      </c>
      <c r="AZ17">
        <f>VLOOKUP(A17,HON!A$2:G$55,5,0)</f>
        <v>96.6</v>
      </c>
      <c r="BA17">
        <f>VLOOKUP(A17,HPQ!A$2:G$55,5,0)</f>
        <v>34.979999999999997</v>
      </c>
      <c r="BB17">
        <f>VLOOKUP(A17,IBM!A$2:G$55,5,0)</f>
        <v>193.63</v>
      </c>
      <c r="BC17">
        <f>VLOOKUP(A17,INTC!A$2:G$55,5,0)</f>
        <v>34.5</v>
      </c>
      <c r="BD17">
        <f>VLOOKUP(A17,JNJ!A$2:G$55,5,0)</f>
        <v>102.19</v>
      </c>
      <c r="BE17">
        <f>VLOOKUP(A17,JPM!A$2:G$55,5,0)</f>
        <v>59</v>
      </c>
      <c r="BF17">
        <f>VLOOKUP(A17,KO!A$2:G$55,5,0)</f>
        <v>40.81</v>
      </c>
      <c r="BG17">
        <f>VLOOKUP(A17,LLY!A$2:G$55,5,0)</f>
        <v>64.25</v>
      </c>
      <c r="BH17">
        <f>VLOOKUP(A17,LMT!A$2:G$55,5,0)</f>
        <v>168.1</v>
      </c>
      <c r="BI17">
        <f>VLOOKUP(A17,LOW!A$2:G$55,5,0)</f>
        <v>47.91</v>
      </c>
      <c r="BJ17">
        <f>VLOOKUP(A17,MA!A$2:G$55,5,0)</f>
        <v>77.739999999999995</v>
      </c>
      <c r="BK17">
        <f>VLOOKUP(A17,MCD!A$2:G$55,5,0)</f>
        <v>95.35</v>
      </c>
      <c r="BL17">
        <f>VLOOKUP(A17,MDLZ!A$2:G$55,5,0)</f>
        <v>38.29</v>
      </c>
      <c r="BM17">
        <f>VLOOKUP(A17,MDT!A$2:G$55,5,0)</f>
        <v>63.37</v>
      </c>
      <c r="BN17">
        <f>VLOOKUP(A17,MET!A$2:G$55,5,0)</f>
        <v>55.28</v>
      </c>
      <c r="BO17">
        <f>VLOOKUP(A17,MMM!A$2:G$55,5,0)</f>
        <v>144.68</v>
      </c>
      <c r="BP17">
        <f>VLOOKUP(A17,MO!A$2:G$55,5,0)</f>
        <v>41.72</v>
      </c>
      <c r="BQ17">
        <f>VLOOKUP(A17,MON!A$2:G$55,5,0)</f>
        <v>116.27</v>
      </c>
      <c r="BR17">
        <f>VLOOKUP(A17,MRK!A$2:G$55,5,0)</f>
        <v>58.11</v>
      </c>
      <c r="BS17">
        <f>VLOOKUP(A17,MS!A$2:G$55,5,0)</f>
        <v>33.35</v>
      </c>
      <c r="BT17">
        <f>VLOOKUP(A17,MSFT!A$2:G$55,5,0)</f>
        <v>44.87</v>
      </c>
      <c r="BU17">
        <f>VLOOKUP(A17,NKE!A$2:G$55,5,0)</f>
        <v>77.37</v>
      </c>
      <c r="BV17">
        <f>VLOOKUP(A17,NOV!A$2:G$55,5,0)</f>
        <v>86.18</v>
      </c>
      <c r="BW17">
        <f>VLOOKUP(A17,NSC!A$2:G$55,5,0)</f>
        <v>106.84</v>
      </c>
      <c r="BX17">
        <f>VLOOKUP(A17,ORCL!A$2:G$55,5,0)</f>
        <v>40.31</v>
      </c>
      <c r="BY17">
        <f>VLOOKUP(A17,OXY!A$2:G$55,5,0)</f>
        <v>101.6</v>
      </c>
      <c r="BZ17">
        <f>VLOOKUP(A17,PEP!A$2:G$55,5,0)</f>
        <v>90.82</v>
      </c>
      <c r="CA17">
        <f>VLOOKUP(A17,PFE!A$2:G$55,5,0)</f>
        <v>30.39</v>
      </c>
      <c r="CB17">
        <f>VLOOKUP(A17,PG!A$2:G$55,5,0)</f>
        <v>79.989999999999995</v>
      </c>
      <c r="CC17">
        <f>VLOOKUP(A17,PM!A$2:G$55,5,0)</f>
        <v>85.08</v>
      </c>
      <c r="CD17">
        <f>VLOOKUP(A17,QCOM!A$2:G$55,5,0)</f>
        <v>81.599999999999994</v>
      </c>
      <c r="CE17">
        <f>VLOOKUP(A17,RTN!A$2:G$55,5,0)</f>
        <v>95.37</v>
      </c>
      <c r="CF17">
        <f>VLOOKUP(A17,SBUX!A$2:G$55,5,0)</f>
        <v>79.14</v>
      </c>
      <c r="CG17">
        <f>VLOOKUP(A17,SLB!A$2:G$55,5,0)</f>
        <v>112.11</v>
      </c>
      <c r="CH17">
        <f>VLOOKUP(A17,SO!A$2:G$55,5,0)</f>
        <v>44.81</v>
      </c>
      <c r="CI17">
        <f>VLOOKUP(A17,SPG!A$2:G$55,5,0)</f>
        <v>170.42</v>
      </c>
      <c r="CJ17">
        <f>VLOOKUP(A17,T!A$2:G$55,5,0)</f>
        <v>35.880000000000003</v>
      </c>
      <c r="CK17">
        <f>VLOOKUP(A17,TGT!A$2:G$55,5,0)</f>
        <v>60.73</v>
      </c>
      <c r="CL17">
        <f>VLOOKUP(A17,TWX!A$2:G$55,5,0)</f>
        <v>84.26</v>
      </c>
      <c r="CM17">
        <f>VLOOKUP(A17,TXN!A$2:G$55,5,0)</f>
        <v>48.2</v>
      </c>
      <c r="CN17">
        <f>VLOOKUP(A17,UNH!A$2:G$55,5,0)</f>
        <v>85.94</v>
      </c>
      <c r="CO17">
        <f>VLOOKUP(A17,UNP!A$2:G$55,5,0)</f>
        <v>102.51</v>
      </c>
      <c r="CP17">
        <f>VLOOKUP(A17,UPS!A$2:G$55,5,0)</f>
        <v>104.34</v>
      </c>
      <c r="CQ17">
        <f>VLOOKUP(A17,USB!A$2:G$55,5,0)</f>
        <v>42.46</v>
      </c>
      <c r="CR17">
        <f>VLOOKUP(A17,UTX!A$2:G$55,5,0)</f>
        <v>109.73</v>
      </c>
      <c r="CS17">
        <f>VLOOKUP(A17,V!A$2:G$55,5,0)</f>
        <v>221.2</v>
      </c>
      <c r="CT17">
        <f>VLOOKUP(A17,VZ!A$2:G$55,5,0)</f>
        <v>50.91</v>
      </c>
      <c r="CU17">
        <f>VLOOKUP(A17,WAG!A$2:G$55,5,0)</f>
        <v>72.900000000000006</v>
      </c>
      <c r="CV17">
        <f>VLOOKUP(A17,WFC!A$2:G$55,5,0)</f>
        <v>51.33</v>
      </c>
      <c r="CW17">
        <f>VLOOKUP(A17,WMT!A$2:G$55,5,0)</f>
        <v>76.989999999999995</v>
      </c>
    </row>
    <row r="18" spans="1:101" x14ac:dyDescent="0.25">
      <c r="A18" s="34">
        <v>41844</v>
      </c>
      <c r="B18" s="36">
        <v>97.03</v>
      </c>
      <c r="C18">
        <f>VLOOKUP(A18,ABBV!A$2:G$55,5,0)</f>
        <v>54.08</v>
      </c>
      <c r="D18">
        <f>VLOOKUP(A18,ABT!A$2:G$55,5,0)</f>
        <v>42.89</v>
      </c>
      <c r="E18">
        <f>VLOOKUP(A18,ACN!A$2:G$55,5,0)</f>
        <v>80.69</v>
      </c>
      <c r="F18">
        <f>VLOOKUP(A18,AIG!A$2:G$55,5,0)</f>
        <v>55.17</v>
      </c>
      <c r="G18">
        <f>VLOOKUP(A18,ALL!A$2:G$55,5,0)</f>
        <v>58.49</v>
      </c>
      <c r="H18">
        <f>VLOOKUP(A18,AMGN!A$2:G$55,5,0)</f>
        <v>122.26</v>
      </c>
      <c r="I18">
        <f>VLOOKUP(A18,AMZN!A$2:G$55,5,0)</f>
        <v>358.61</v>
      </c>
      <c r="J18">
        <f>VLOOKUP(A18,APA!A$2:G$55,5,0)</f>
        <v>102.6</v>
      </c>
      <c r="K18">
        <f>VLOOKUP(A18,APC!A$2:G$55,5,0)</f>
        <v>111</v>
      </c>
      <c r="L18">
        <f>VLOOKUP(A18,AXP!A$2:G$55,5,0)</f>
        <v>93.15</v>
      </c>
      <c r="M18">
        <f>VLOOKUP(A18,BA!A$2:G$55,5,0)</f>
        <v>124.4</v>
      </c>
      <c r="N18">
        <f>VLOOKUP(A18,BAC!A$2:G$55,5,0)</f>
        <v>15.62</v>
      </c>
      <c r="O18">
        <f>VLOOKUP(A18,BAX!A$2:G$55,5,0)</f>
        <v>77</v>
      </c>
      <c r="P18">
        <f>VLOOKUP(A18,BIIB!A$2:G$55,5,0)</f>
        <v>336.79</v>
      </c>
      <c r="Q18">
        <f>VLOOKUP(A18,BK!A$2:G$55,5,0)</f>
        <v>39.770000000000003</v>
      </c>
      <c r="R18">
        <f>VLOOKUP(A18,BMY!A$2:G$55,5,0)</f>
        <v>49.46</v>
      </c>
      <c r="T18">
        <f>VLOOKUP(A18,'C'!A$2:G$55,5,0)</f>
        <v>50.09</v>
      </c>
      <c r="U18">
        <f>VLOOKUP(A18,CAT!A$2:G$55,5,0)</f>
        <v>105.04</v>
      </c>
      <c r="V18">
        <f>VLOOKUP(A18,CL!A$2:G$55,5,0)</f>
        <v>68.11</v>
      </c>
      <c r="W18">
        <f>VLOOKUP(A18,CMCSA!A$2:G$55,5,0)</f>
        <v>55.13</v>
      </c>
      <c r="X18">
        <f>VLOOKUP(A18,COF!A$2:G$55,5,0)</f>
        <v>82.4</v>
      </c>
      <c r="Y18">
        <f>VLOOKUP(A18,COP!A$2:G$55,5,0)</f>
        <v>86.25</v>
      </c>
      <c r="Z18">
        <f>VLOOKUP(A18,COST!A$2:G$55,5,0)</f>
        <v>118.14</v>
      </c>
      <c r="AA18">
        <f>VLOOKUP(A18,CSCO!A$2:G$55,5,0)</f>
        <v>25.83</v>
      </c>
      <c r="AB18">
        <f>VLOOKUP(A18,CVS!A$2:G$55,5,0)</f>
        <v>78.89</v>
      </c>
      <c r="AC18">
        <f>VLOOKUP(A18,CVX!A$2:G$55,5,0)</f>
        <v>134.85</v>
      </c>
      <c r="AD18">
        <f>VLOOKUP(A18,DD!A$2:G$55,5,0)</f>
        <v>65.2</v>
      </c>
      <c r="AE18">
        <f>VLOOKUP(A18,DIS!A$2:G$55,5,0)</f>
        <v>86.8</v>
      </c>
      <c r="AF18">
        <f>VLOOKUP(A18,DOW!A$2:G$55,5,0)</f>
        <v>53.84</v>
      </c>
      <c r="AG18">
        <f>VLOOKUP(A18,DVN!A$2:G$55,5,0)</f>
        <v>79.03</v>
      </c>
      <c r="AH18">
        <f>VLOOKUP(A18,EBAY!A$2:G$55,5,0)</f>
        <v>53.23</v>
      </c>
      <c r="AI18">
        <f>VLOOKUP(A18,EMC!A$2:G$55,5,0)</f>
        <v>28.89</v>
      </c>
      <c r="AJ18">
        <f>VLOOKUP(A18,EMR!A$2:G$55,5,0)</f>
        <v>67.05</v>
      </c>
      <c r="AK18">
        <f>VLOOKUP(A18,EXC!A$2:G$55,5,0)</f>
        <v>31.81</v>
      </c>
      <c r="AL18">
        <f>VLOOKUP(A18,F!A$2:G$55,5,0)</f>
        <v>17.84</v>
      </c>
      <c r="AM18">
        <f>VLOOKUP(A18,FB!A$2:G$55,5,0)</f>
        <v>74.98</v>
      </c>
      <c r="AN18">
        <f>VLOOKUP(A18,FCX!A$2:G$55,5,0)</f>
        <v>37.53</v>
      </c>
      <c r="AO18">
        <f>VLOOKUP(A18,FDX!A$2:G$55,5,0)</f>
        <v>152.5</v>
      </c>
      <c r="AP18">
        <f>VLOOKUP(A18,FOXA!A$2:G$55,5,0)</f>
        <v>32.92</v>
      </c>
      <c r="AQ18">
        <f>VLOOKUP(A18,GD!A$2:G$55,5,0)</f>
        <v>121.48</v>
      </c>
      <c r="AR18">
        <f>VLOOKUP(A18,GE!A$2:G$55,5,0)</f>
        <v>25.94</v>
      </c>
      <c r="AS18">
        <f>VLOOKUP(A18,GILD!A$2:G$55,5,0)</f>
        <v>90.54</v>
      </c>
      <c r="AT18">
        <f>VLOOKUP(A18,GM!A$2:G$55,5,0)</f>
        <v>35.74</v>
      </c>
      <c r="AU18">
        <f>VLOOKUP(A18,GOOG!A$2:G$55,5,0)</f>
        <v>593.35</v>
      </c>
      <c r="AV18">
        <f>VLOOKUP(A18,GOOGL!A$2:G$55,5,0)</f>
        <v>603.01</v>
      </c>
      <c r="AW18">
        <f>VLOOKUP(A18,GS!A$2:G$55,5,0)</f>
        <v>176.26</v>
      </c>
      <c r="AX18">
        <f>VLOOKUP(A18,HAL!A$2:G$55,5,0)</f>
        <v>73.41</v>
      </c>
      <c r="AY18">
        <f>VLOOKUP(A18,HD!A$2:G$55,5,0)</f>
        <v>81.2</v>
      </c>
      <c r="AZ18">
        <f>VLOOKUP(A18,HON!A$2:G$55,5,0)</f>
        <v>96.01</v>
      </c>
      <c r="BA18">
        <f>VLOOKUP(A18,HPQ!A$2:G$55,5,0)</f>
        <v>35.04</v>
      </c>
      <c r="BB18">
        <f>VLOOKUP(A18,IBM!A$2:G$55,5,0)</f>
        <v>195.24</v>
      </c>
      <c r="BC18">
        <f>VLOOKUP(A18,INTC!A$2:G$55,5,0)</f>
        <v>34.25</v>
      </c>
      <c r="BD18">
        <f>VLOOKUP(A18,JNJ!A$2:G$55,5,0)</f>
        <v>102.2</v>
      </c>
      <c r="BE18">
        <f>VLOOKUP(A18,JPM!A$2:G$55,5,0)</f>
        <v>59.17</v>
      </c>
      <c r="BF18">
        <f>VLOOKUP(A18,KO!A$2:G$55,5,0)</f>
        <v>40.97</v>
      </c>
      <c r="BG18">
        <f>VLOOKUP(A18,LLY!A$2:G$55,5,0)</f>
        <v>64.37</v>
      </c>
      <c r="BH18">
        <f>VLOOKUP(A18,LMT!A$2:G$55,5,0)</f>
        <v>169.97</v>
      </c>
      <c r="BI18">
        <f>VLOOKUP(A18,LOW!A$2:G$55,5,0)</f>
        <v>48</v>
      </c>
      <c r="BJ18">
        <f>VLOOKUP(A18,MA!A$2:G$55,5,0)</f>
        <v>77.569999999999993</v>
      </c>
      <c r="BK18">
        <f>VLOOKUP(A18,MCD!A$2:G$55,5,0)</f>
        <v>95.35</v>
      </c>
      <c r="BL18">
        <f>VLOOKUP(A18,MDLZ!A$2:G$55,5,0)</f>
        <v>38.31</v>
      </c>
      <c r="BM18">
        <f>VLOOKUP(A18,MDT!A$2:G$55,5,0)</f>
        <v>63.28</v>
      </c>
      <c r="BN18">
        <f>VLOOKUP(A18,MET!A$2:G$55,5,0)</f>
        <v>55.15</v>
      </c>
      <c r="BO18">
        <f>VLOOKUP(A18,MMM!A$2:G$55,5,0)</f>
        <v>145.13</v>
      </c>
      <c r="BP18">
        <f>VLOOKUP(A18,MO!A$2:G$55,5,0)</f>
        <v>42.04</v>
      </c>
      <c r="BQ18">
        <f>VLOOKUP(A18,MON!A$2:G$55,5,0)</f>
        <v>116.19</v>
      </c>
      <c r="BR18">
        <f>VLOOKUP(A18,MRK!A$2:G$55,5,0)</f>
        <v>58.21</v>
      </c>
      <c r="BS18">
        <f>VLOOKUP(A18,MS!A$2:G$55,5,0)</f>
        <v>33.4</v>
      </c>
      <c r="BT18">
        <f>VLOOKUP(A18,MSFT!A$2:G$55,5,0)</f>
        <v>44.4</v>
      </c>
      <c r="BU18">
        <f>VLOOKUP(A18,NKE!A$2:G$55,5,0)</f>
        <v>78.599999999999994</v>
      </c>
      <c r="BV18">
        <f>VLOOKUP(A18,NOV!A$2:G$55,5,0)</f>
        <v>85.45</v>
      </c>
      <c r="BW18">
        <f>VLOOKUP(A18,NSC!A$2:G$55,5,0)</f>
        <v>107.78</v>
      </c>
      <c r="BX18">
        <f>VLOOKUP(A18,ORCL!A$2:G$55,5,0)</f>
        <v>40.47</v>
      </c>
      <c r="BY18">
        <f>VLOOKUP(A18,OXY!A$2:G$55,5,0)</f>
        <v>100.88</v>
      </c>
      <c r="BZ18">
        <f>VLOOKUP(A18,PEP!A$2:G$55,5,0)</f>
        <v>91.91</v>
      </c>
      <c r="CA18">
        <f>VLOOKUP(A18,PFE!A$2:G$55,5,0)</f>
        <v>30.34</v>
      </c>
      <c r="CB18">
        <f>VLOOKUP(A18,PG!A$2:G$55,5,0)</f>
        <v>80.260000000000005</v>
      </c>
      <c r="CC18">
        <f>VLOOKUP(A18,PM!A$2:G$55,5,0)</f>
        <v>85.54</v>
      </c>
      <c r="CD18">
        <f>VLOOKUP(A18,QCOM!A$2:G$55,5,0)</f>
        <v>76.17</v>
      </c>
      <c r="CE18">
        <f>VLOOKUP(A18,RTN!A$2:G$55,5,0)</f>
        <v>93.55</v>
      </c>
      <c r="CF18">
        <f>VLOOKUP(A18,SBUX!A$2:G$55,5,0)</f>
        <v>80.45</v>
      </c>
      <c r="CG18">
        <f>VLOOKUP(A18,SLB!A$2:G$55,5,0)</f>
        <v>113.1</v>
      </c>
      <c r="CH18">
        <f>VLOOKUP(A18,SO!A$2:G$55,5,0)</f>
        <v>44.78</v>
      </c>
      <c r="CI18">
        <f>VLOOKUP(A18,SPG!A$2:G$55,5,0)</f>
        <v>171.31</v>
      </c>
      <c r="CJ18">
        <f>VLOOKUP(A18,T!A$2:G$55,5,0)</f>
        <v>35.5</v>
      </c>
      <c r="CK18">
        <f>VLOOKUP(A18,TGT!A$2:G$55,5,0)</f>
        <v>60.99</v>
      </c>
      <c r="CL18">
        <f>VLOOKUP(A18,TWX!A$2:G$55,5,0)</f>
        <v>84.01</v>
      </c>
      <c r="CM18">
        <f>VLOOKUP(A18,TXN!A$2:G$55,5,0)</f>
        <v>47.86</v>
      </c>
      <c r="CN18">
        <f>VLOOKUP(A18,UNH!A$2:G$55,5,0)</f>
        <v>85.68</v>
      </c>
      <c r="CO18">
        <f>VLOOKUP(A18,UNP!A$2:G$55,5,0)</f>
        <v>101.77</v>
      </c>
      <c r="CP18">
        <f>VLOOKUP(A18,UPS!A$2:G$55,5,0)</f>
        <v>104.09</v>
      </c>
      <c r="CQ18">
        <f>VLOOKUP(A18,USB!A$2:G$55,5,0)</f>
        <v>42.73</v>
      </c>
      <c r="CR18">
        <f>VLOOKUP(A18,UTX!A$2:G$55,5,0)</f>
        <v>108.95</v>
      </c>
      <c r="CS18">
        <f>VLOOKUP(A18,V!A$2:G$55,5,0)</f>
        <v>222.74</v>
      </c>
      <c r="CT18">
        <f>VLOOKUP(A18,VZ!A$2:G$55,5,0)</f>
        <v>51.05</v>
      </c>
      <c r="CU18">
        <f>VLOOKUP(A18,WAG!A$2:G$55,5,0)</f>
        <v>73.08</v>
      </c>
      <c r="CV18">
        <f>VLOOKUP(A18,WFC!A$2:G$55,5,0)</f>
        <v>51.59</v>
      </c>
      <c r="CW18">
        <f>VLOOKUP(A18,WMT!A$2:G$55,5,0)</f>
        <v>76.349999999999994</v>
      </c>
    </row>
    <row r="19" spans="1:101" x14ac:dyDescent="0.25">
      <c r="A19" s="34">
        <v>41845</v>
      </c>
      <c r="B19" s="36">
        <v>97.67</v>
      </c>
      <c r="C19">
        <f>VLOOKUP(A19,ABBV!A$2:G$55,5,0)</f>
        <v>53.18</v>
      </c>
      <c r="D19">
        <f>VLOOKUP(A19,ABT!A$2:G$55,5,0)</f>
        <v>43.04</v>
      </c>
      <c r="E19">
        <f>VLOOKUP(A19,ACN!A$2:G$55,5,0)</f>
        <v>80.38</v>
      </c>
      <c r="F19">
        <f>VLOOKUP(A19,AIG!A$2:G$55,5,0)</f>
        <v>54.16</v>
      </c>
      <c r="G19">
        <f>VLOOKUP(A19,ALL!A$2:G$55,5,0)</f>
        <v>57.94</v>
      </c>
      <c r="H19">
        <f>VLOOKUP(A19,AMGN!A$2:G$55,5,0)</f>
        <v>122.84</v>
      </c>
      <c r="I19">
        <f>VLOOKUP(A19,AMZN!A$2:G$55,5,0)</f>
        <v>324.01</v>
      </c>
      <c r="J19">
        <f>VLOOKUP(A19,APA!A$2:G$55,5,0)</f>
        <v>101.85</v>
      </c>
      <c r="K19">
        <f>VLOOKUP(A19,APC!A$2:G$55,5,0)</f>
        <v>109.21</v>
      </c>
      <c r="L19">
        <f>VLOOKUP(A19,AXP!A$2:G$55,5,0)</f>
        <v>91.93</v>
      </c>
      <c r="M19">
        <f>VLOOKUP(A19,BA!A$2:G$55,5,0)</f>
        <v>123.2</v>
      </c>
      <c r="N19">
        <f>VLOOKUP(A19,BAC!A$2:G$55,5,0)</f>
        <v>15.59</v>
      </c>
      <c r="O19">
        <f>VLOOKUP(A19,BAX!A$2:G$55,5,0)</f>
        <v>76.650000000000006</v>
      </c>
      <c r="P19">
        <f>VLOOKUP(A19,BIIB!A$2:G$55,5,0)</f>
        <v>335.45</v>
      </c>
      <c r="Q19">
        <f>VLOOKUP(A19,BK!A$2:G$55,5,0)</f>
        <v>39.43</v>
      </c>
      <c r="R19">
        <f>VLOOKUP(A19,BMY!A$2:G$55,5,0)</f>
        <v>49.39</v>
      </c>
      <c r="T19">
        <f>VLOOKUP(A19,'C'!A$2:G$55,5,0)</f>
        <v>50.03</v>
      </c>
      <c r="U19">
        <f>VLOOKUP(A19,CAT!A$2:G$55,5,0)</f>
        <v>104.85</v>
      </c>
      <c r="V19">
        <f>VLOOKUP(A19,CL!A$2:G$55,5,0)</f>
        <v>67.59</v>
      </c>
      <c r="W19">
        <f>VLOOKUP(A19,CMCSA!A$2:G$55,5,0)</f>
        <v>54.39</v>
      </c>
      <c r="X19">
        <f>VLOOKUP(A19,COF!A$2:G$55,5,0)</f>
        <v>81.650000000000006</v>
      </c>
      <c r="Y19">
        <f>VLOOKUP(A19,COP!A$2:G$55,5,0)</f>
        <v>85.92</v>
      </c>
      <c r="Z19">
        <f>VLOOKUP(A19,COST!A$2:G$55,5,0)</f>
        <v>117.55</v>
      </c>
      <c r="AA19">
        <f>VLOOKUP(A19,CSCO!A$2:G$55,5,0)</f>
        <v>25.97</v>
      </c>
      <c r="AB19">
        <f>VLOOKUP(A19,CVS!A$2:G$55,5,0)</f>
        <v>79.12</v>
      </c>
      <c r="AC19">
        <f>VLOOKUP(A19,CVX!A$2:G$55,5,0)</f>
        <v>133.57</v>
      </c>
      <c r="AD19">
        <f>VLOOKUP(A19,DD!A$2:G$55,5,0)</f>
        <v>64.930000000000007</v>
      </c>
      <c r="AE19">
        <f>VLOOKUP(A19,DIS!A$2:G$55,5,0)</f>
        <v>86.23</v>
      </c>
      <c r="AF19">
        <f>VLOOKUP(A19,DOW!A$2:G$55,5,0)</f>
        <v>53.71</v>
      </c>
      <c r="AG19">
        <f>VLOOKUP(A19,DVN!A$2:G$55,5,0)</f>
        <v>78.34</v>
      </c>
      <c r="AH19">
        <f>VLOOKUP(A19,EBAY!A$2:G$55,5,0)</f>
        <v>52.75</v>
      </c>
      <c r="AI19">
        <f>VLOOKUP(A19,EMC!A$2:G$55,5,0)</f>
        <v>29.2</v>
      </c>
      <c r="AJ19">
        <f>VLOOKUP(A19,EMR!A$2:G$55,5,0)</f>
        <v>67.430000000000007</v>
      </c>
      <c r="AK19">
        <f>VLOOKUP(A19,EXC!A$2:G$55,5,0)</f>
        <v>31.45</v>
      </c>
      <c r="AL19">
        <f>VLOOKUP(A19,F!A$2:G$55,5,0)</f>
        <v>17.62</v>
      </c>
      <c r="AM19">
        <f>VLOOKUP(A19,FB!A$2:G$55,5,0)</f>
        <v>75.19</v>
      </c>
      <c r="AN19">
        <f>VLOOKUP(A19,FCX!A$2:G$55,5,0)</f>
        <v>37.99</v>
      </c>
      <c r="AO19">
        <f>VLOOKUP(A19,FDX!A$2:G$55,5,0)</f>
        <v>150.86000000000001</v>
      </c>
      <c r="AP19">
        <f>VLOOKUP(A19,FOXA!A$2:G$55,5,0)</f>
        <v>32.81</v>
      </c>
      <c r="AQ19">
        <f>VLOOKUP(A19,GD!A$2:G$55,5,0)</f>
        <v>121.14</v>
      </c>
      <c r="AR19">
        <f>VLOOKUP(A19,GE!A$2:G$55,5,0)</f>
        <v>25.79</v>
      </c>
      <c r="AS19">
        <f>VLOOKUP(A19,GILD!A$2:G$55,5,0)</f>
        <v>89.84</v>
      </c>
      <c r="AT19">
        <f>VLOOKUP(A19,GM!A$2:G$55,5,0)</f>
        <v>35.07</v>
      </c>
      <c r="AU19">
        <f>VLOOKUP(A19,GOOG!A$2:G$55,5,0)</f>
        <v>589.02</v>
      </c>
      <c r="AV19">
        <f>VLOOKUP(A19,GOOGL!A$2:G$55,5,0)</f>
        <v>598.08000000000004</v>
      </c>
      <c r="AW19">
        <f>VLOOKUP(A19,GS!A$2:G$55,5,0)</f>
        <v>175.4</v>
      </c>
      <c r="AX19">
        <f>VLOOKUP(A19,HAL!A$2:G$55,5,0)</f>
        <v>73.41</v>
      </c>
      <c r="AY19">
        <f>VLOOKUP(A19,HD!A$2:G$55,5,0)</f>
        <v>81.03</v>
      </c>
      <c r="AZ19">
        <f>VLOOKUP(A19,HON!A$2:G$55,5,0)</f>
        <v>95.76</v>
      </c>
      <c r="BA19">
        <f>VLOOKUP(A19,HPQ!A$2:G$55,5,0)</f>
        <v>35.43</v>
      </c>
      <c r="BB19">
        <f>VLOOKUP(A19,IBM!A$2:G$55,5,0)</f>
        <v>194.4</v>
      </c>
      <c r="BC19">
        <f>VLOOKUP(A19,INTC!A$2:G$55,5,0)</f>
        <v>34.25</v>
      </c>
      <c r="BD19">
        <f>VLOOKUP(A19,JNJ!A$2:G$55,5,0)</f>
        <v>102.11</v>
      </c>
      <c r="BE19">
        <f>VLOOKUP(A19,JPM!A$2:G$55,5,0)</f>
        <v>59.01</v>
      </c>
      <c r="BF19">
        <f>VLOOKUP(A19,KO!A$2:G$55,5,0)</f>
        <v>41</v>
      </c>
      <c r="BG19">
        <f>VLOOKUP(A19,LLY!A$2:G$55,5,0)</f>
        <v>63.78</v>
      </c>
      <c r="BH19">
        <f>VLOOKUP(A19,LMT!A$2:G$55,5,0)</f>
        <v>170.04</v>
      </c>
      <c r="BI19">
        <f>VLOOKUP(A19,LOW!A$2:G$55,5,0)</f>
        <v>47.7</v>
      </c>
      <c r="BJ19">
        <f>VLOOKUP(A19,MA!A$2:G$55,5,0)</f>
        <v>75.75</v>
      </c>
      <c r="BK19">
        <f>VLOOKUP(A19,MCD!A$2:G$55,5,0)</f>
        <v>95.72</v>
      </c>
      <c r="BL19">
        <f>VLOOKUP(A19,MDLZ!A$2:G$55,5,0)</f>
        <v>38.18</v>
      </c>
      <c r="BM19">
        <f>VLOOKUP(A19,MDT!A$2:G$55,5,0)</f>
        <v>62.9</v>
      </c>
      <c r="BN19">
        <f>VLOOKUP(A19,MET!A$2:G$55,5,0)</f>
        <v>54.75</v>
      </c>
      <c r="BO19">
        <f>VLOOKUP(A19,MMM!A$2:G$55,5,0)</f>
        <v>145.12</v>
      </c>
      <c r="BP19">
        <f>VLOOKUP(A19,MO!A$2:G$55,5,0)</f>
        <v>41.74</v>
      </c>
      <c r="BQ19">
        <f>VLOOKUP(A19,MON!A$2:G$55,5,0)</f>
        <v>115.79</v>
      </c>
      <c r="BR19">
        <f>VLOOKUP(A19,MRK!A$2:G$55,5,0)</f>
        <v>58.15</v>
      </c>
      <c r="BS19">
        <f>VLOOKUP(A19,MS!A$2:G$55,5,0)</f>
        <v>33.24</v>
      </c>
      <c r="BT19">
        <f>VLOOKUP(A19,MSFT!A$2:G$55,5,0)</f>
        <v>44.5</v>
      </c>
      <c r="BU19">
        <f>VLOOKUP(A19,NKE!A$2:G$55,5,0)</f>
        <v>77.72</v>
      </c>
      <c r="BV19">
        <f>VLOOKUP(A19,NOV!A$2:G$55,5,0)</f>
        <v>85.17</v>
      </c>
      <c r="BW19">
        <f>VLOOKUP(A19,NSC!A$2:G$55,5,0)</f>
        <v>107.5</v>
      </c>
      <c r="BX19">
        <f>VLOOKUP(A19,ORCL!A$2:G$55,5,0)</f>
        <v>40.33</v>
      </c>
      <c r="BY19">
        <f>VLOOKUP(A19,OXY!A$2:G$55,5,0)</f>
        <v>100.09</v>
      </c>
      <c r="BZ19">
        <f>VLOOKUP(A19,PEP!A$2:G$55,5,0)</f>
        <v>91.55</v>
      </c>
      <c r="CA19">
        <f>VLOOKUP(A19,PFE!A$2:G$55,5,0)</f>
        <v>30.19</v>
      </c>
      <c r="CB19">
        <f>VLOOKUP(A19,PG!A$2:G$55,5,0)</f>
        <v>79.56</v>
      </c>
      <c r="CC19">
        <f>VLOOKUP(A19,PM!A$2:G$55,5,0)</f>
        <v>84.85</v>
      </c>
      <c r="CD19">
        <f>VLOOKUP(A19,QCOM!A$2:G$55,5,0)</f>
        <v>76.099999999999994</v>
      </c>
      <c r="CE19">
        <f>VLOOKUP(A19,RTN!A$2:G$55,5,0)</f>
        <v>92.07</v>
      </c>
      <c r="CF19">
        <f>VLOOKUP(A19,SBUX!A$2:G$55,5,0)</f>
        <v>78.739999999999995</v>
      </c>
      <c r="CG19">
        <f>VLOOKUP(A19,SLB!A$2:G$55,5,0)</f>
        <v>111.78</v>
      </c>
      <c r="CH19">
        <f>VLOOKUP(A19,SO!A$2:G$55,5,0)</f>
        <v>44.74</v>
      </c>
      <c r="CI19">
        <f>VLOOKUP(A19,SPG!A$2:G$55,5,0)</f>
        <v>168.97</v>
      </c>
      <c r="CJ19">
        <f>VLOOKUP(A19,T!A$2:G$55,5,0)</f>
        <v>35.54</v>
      </c>
      <c r="CK19">
        <f>VLOOKUP(A19,TGT!A$2:G$55,5,0)</f>
        <v>60.39</v>
      </c>
      <c r="CL19">
        <f>VLOOKUP(A19,TWX!A$2:G$55,5,0)</f>
        <v>84.99</v>
      </c>
      <c r="CM19">
        <f>VLOOKUP(A19,TXN!A$2:G$55,5,0)</f>
        <v>46.82</v>
      </c>
      <c r="CN19">
        <f>VLOOKUP(A19,UNH!A$2:G$55,5,0)</f>
        <v>84.68</v>
      </c>
      <c r="CO19">
        <f>VLOOKUP(A19,UNP!A$2:G$55,5,0)</f>
        <v>101.66</v>
      </c>
      <c r="CP19">
        <f>VLOOKUP(A19,UPS!A$2:G$55,5,0)</f>
        <v>103.57</v>
      </c>
      <c r="CQ19">
        <f>VLOOKUP(A19,USB!A$2:G$55,5,0)</f>
        <v>42.75</v>
      </c>
      <c r="CR19">
        <f>VLOOKUP(A19,UTX!A$2:G$55,5,0)</f>
        <v>108.88</v>
      </c>
      <c r="CS19">
        <f>VLOOKUP(A19,V!A$2:G$55,5,0)</f>
        <v>214.77</v>
      </c>
      <c r="CT19">
        <f>VLOOKUP(A19,VZ!A$2:G$55,5,0)</f>
        <v>51.28</v>
      </c>
      <c r="CU19">
        <f>VLOOKUP(A19,WAG!A$2:G$55,5,0)</f>
        <v>73.290000000000006</v>
      </c>
      <c r="CV19">
        <f>VLOOKUP(A19,WFC!A$2:G$55,5,0)</f>
        <v>51.6</v>
      </c>
      <c r="CW19">
        <f>VLOOKUP(A19,WMT!A$2:G$55,5,0)</f>
        <v>75.97</v>
      </c>
    </row>
    <row r="20" spans="1:101" x14ac:dyDescent="0.25">
      <c r="A20" s="34">
        <v>41848</v>
      </c>
      <c r="B20" s="36">
        <v>99.02</v>
      </c>
      <c r="C20">
        <f>VLOOKUP(A20,ABBV!A$2:G$55,5,0)</f>
        <v>53.74</v>
      </c>
      <c r="D20">
        <f>VLOOKUP(A20,ABT!A$2:G$55,5,0)</f>
        <v>42.93</v>
      </c>
      <c r="E20">
        <f>VLOOKUP(A20,ACN!A$2:G$55,5,0)</f>
        <v>80.650000000000006</v>
      </c>
      <c r="F20">
        <f>VLOOKUP(A20,AIG!A$2:G$55,5,0)</f>
        <v>53.95</v>
      </c>
      <c r="G20">
        <f>VLOOKUP(A20,ALL!A$2:G$55,5,0)</f>
        <v>57.94</v>
      </c>
      <c r="H20">
        <f>VLOOKUP(A20,AMGN!A$2:G$55,5,0)</f>
        <v>122.65</v>
      </c>
      <c r="I20">
        <f>VLOOKUP(A20,AMZN!A$2:G$55,5,0)</f>
        <v>320.41000000000003</v>
      </c>
      <c r="J20">
        <f>VLOOKUP(A20,APA!A$2:G$55,5,0)</f>
        <v>101.27</v>
      </c>
      <c r="K20">
        <f>VLOOKUP(A20,APC!A$2:G$55,5,0)</f>
        <v>107.65</v>
      </c>
      <c r="L20">
        <f>VLOOKUP(A20,AXP!A$2:G$55,5,0)</f>
        <v>91.86</v>
      </c>
      <c r="M20">
        <f>VLOOKUP(A20,BA!A$2:G$55,5,0)</f>
        <v>123.06</v>
      </c>
      <c r="N20">
        <f>VLOOKUP(A20,BAC!A$2:G$55,5,0)</f>
        <v>15.5</v>
      </c>
      <c r="O20">
        <f>VLOOKUP(A20,BAX!A$2:G$55,5,0)</f>
        <v>76.47</v>
      </c>
      <c r="P20">
        <f>VLOOKUP(A20,BIIB!A$2:G$55,5,0)</f>
        <v>336.39</v>
      </c>
      <c r="Q20">
        <f>VLOOKUP(A20,BK!A$2:G$55,5,0)</f>
        <v>39.479999999999997</v>
      </c>
      <c r="R20">
        <f>VLOOKUP(A20,BMY!A$2:G$55,5,0)</f>
        <v>49.8</v>
      </c>
      <c r="T20">
        <f>VLOOKUP(A20,'C'!A$2:G$55,5,0)</f>
        <v>49.7</v>
      </c>
      <c r="U20">
        <f>VLOOKUP(A20,CAT!A$2:G$55,5,0)</f>
        <v>104.15</v>
      </c>
      <c r="V20">
        <f>VLOOKUP(A20,CL!A$2:G$55,5,0)</f>
        <v>67.33</v>
      </c>
      <c r="W20">
        <f>VLOOKUP(A20,CMCSA!A$2:G$55,5,0)</f>
        <v>54.73</v>
      </c>
      <c r="X20">
        <f>VLOOKUP(A20,COF!A$2:G$55,5,0)</f>
        <v>81.53</v>
      </c>
      <c r="Y20">
        <f>VLOOKUP(A20,COP!A$2:G$55,5,0)</f>
        <v>85.19</v>
      </c>
      <c r="Z20">
        <f>VLOOKUP(A20,COST!A$2:G$55,5,0)</f>
        <v>117.12</v>
      </c>
      <c r="AA20">
        <f>VLOOKUP(A20,CSCO!A$2:G$55,5,0)</f>
        <v>25.92</v>
      </c>
      <c r="AB20">
        <f>VLOOKUP(A20,CVS!A$2:G$55,5,0)</f>
        <v>78.38</v>
      </c>
      <c r="AC20">
        <f>VLOOKUP(A20,CVX!A$2:G$55,5,0)</f>
        <v>133.24</v>
      </c>
      <c r="AD20">
        <f>VLOOKUP(A20,DD!A$2:G$55,5,0)</f>
        <v>65.319999999999993</v>
      </c>
      <c r="AE20">
        <f>VLOOKUP(A20,DIS!A$2:G$55,5,0)</f>
        <v>87.15</v>
      </c>
      <c r="AF20">
        <f>VLOOKUP(A20,DOW!A$2:G$55,5,0)</f>
        <v>53.7</v>
      </c>
      <c r="AG20">
        <f>VLOOKUP(A20,DVN!A$2:G$55,5,0)</f>
        <v>77.819999999999993</v>
      </c>
      <c r="AH20">
        <f>VLOOKUP(A20,EBAY!A$2:G$55,5,0)</f>
        <v>52.93</v>
      </c>
      <c r="AI20">
        <f>VLOOKUP(A20,EMC!A$2:G$55,5,0)</f>
        <v>29.67</v>
      </c>
      <c r="AJ20">
        <f>VLOOKUP(A20,EMR!A$2:G$55,5,0)</f>
        <v>67.08</v>
      </c>
      <c r="AK20">
        <f>VLOOKUP(A20,EXC!A$2:G$55,5,0)</f>
        <v>31.95</v>
      </c>
      <c r="AL20">
        <f>VLOOKUP(A20,F!A$2:G$55,5,0)</f>
        <v>17.64</v>
      </c>
      <c r="AM20">
        <f>VLOOKUP(A20,FB!A$2:G$55,5,0)</f>
        <v>74.92</v>
      </c>
      <c r="AN20">
        <f>VLOOKUP(A20,FCX!A$2:G$55,5,0)</f>
        <v>38.06</v>
      </c>
      <c r="AO20">
        <f>VLOOKUP(A20,FDX!A$2:G$55,5,0)</f>
        <v>149.53</v>
      </c>
      <c r="AP20">
        <f>VLOOKUP(A20,FOXA!A$2:G$55,5,0)</f>
        <v>32.46</v>
      </c>
      <c r="AQ20">
        <f>VLOOKUP(A20,GD!A$2:G$55,5,0)</f>
        <v>120.48</v>
      </c>
      <c r="AR20">
        <f>VLOOKUP(A20,GE!A$2:G$55,5,0)</f>
        <v>25.59</v>
      </c>
      <c r="AS20">
        <f>VLOOKUP(A20,GILD!A$2:G$55,5,0)</f>
        <v>91.46</v>
      </c>
      <c r="AT20">
        <f>VLOOKUP(A20,GM!A$2:G$55,5,0)</f>
        <v>34.9</v>
      </c>
      <c r="AU20">
        <f>VLOOKUP(A20,GOOG!A$2:G$55,5,0)</f>
        <v>590.6</v>
      </c>
      <c r="AV20">
        <f>VLOOKUP(A20,GOOGL!A$2:G$55,5,0)</f>
        <v>599.02</v>
      </c>
      <c r="AW20">
        <f>VLOOKUP(A20,GS!A$2:G$55,5,0)</f>
        <v>175.95</v>
      </c>
      <c r="AX20">
        <f>VLOOKUP(A20,HAL!A$2:G$55,5,0)</f>
        <v>72.64</v>
      </c>
      <c r="AY20">
        <f>VLOOKUP(A20,HD!A$2:G$55,5,0)</f>
        <v>81.069999999999993</v>
      </c>
      <c r="AZ20">
        <f>VLOOKUP(A20,HON!A$2:G$55,5,0)</f>
        <v>95.17</v>
      </c>
      <c r="BA20">
        <f>VLOOKUP(A20,HPQ!A$2:G$55,5,0)</f>
        <v>35.6</v>
      </c>
      <c r="BB20">
        <f>VLOOKUP(A20,IBM!A$2:G$55,5,0)</f>
        <v>195.78</v>
      </c>
      <c r="BC20">
        <f>VLOOKUP(A20,INTC!A$2:G$55,5,0)</f>
        <v>34.229999999999997</v>
      </c>
      <c r="BD20">
        <f>VLOOKUP(A20,JNJ!A$2:G$55,5,0)</f>
        <v>102.11</v>
      </c>
      <c r="BE20">
        <f>VLOOKUP(A20,JPM!A$2:G$55,5,0)</f>
        <v>59.19</v>
      </c>
      <c r="BF20">
        <f>VLOOKUP(A20,KO!A$2:G$55,5,0)</f>
        <v>40.68</v>
      </c>
      <c r="BG20">
        <f>VLOOKUP(A20,LLY!A$2:G$55,5,0)</f>
        <v>63.39</v>
      </c>
      <c r="BH20">
        <f>VLOOKUP(A20,LMT!A$2:G$55,5,0)</f>
        <v>170</v>
      </c>
      <c r="BI20">
        <f>VLOOKUP(A20,LOW!A$2:G$55,5,0)</f>
        <v>47.69</v>
      </c>
      <c r="BJ20">
        <f>VLOOKUP(A20,MA!A$2:G$55,5,0)</f>
        <v>76.19</v>
      </c>
      <c r="BK20">
        <f>VLOOKUP(A20,MCD!A$2:G$55,5,0)</f>
        <v>95.78</v>
      </c>
      <c r="BL20">
        <f>VLOOKUP(A20,MDLZ!A$2:G$55,5,0)</f>
        <v>38.22</v>
      </c>
      <c r="BM20">
        <f>VLOOKUP(A20,MDT!A$2:G$55,5,0)</f>
        <v>62.76</v>
      </c>
      <c r="BN20">
        <f>VLOOKUP(A20,MET!A$2:G$55,5,0)</f>
        <v>54.81</v>
      </c>
      <c r="BO20">
        <f>VLOOKUP(A20,MMM!A$2:G$55,5,0)</f>
        <v>145.53</v>
      </c>
      <c r="BP20">
        <f>VLOOKUP(A20,MO!A$2:G$55,5,0)</f>
        <v>41.65</v>
      </c>
      <c r="BQ20">
        <f>VLOOKUP(A20,MON!A$2:G$55,5,0)</f>
        <v>114.97</v>
      </c>
      <c r="BR20">
        <f>VLOOKUP(A20,MRK!A$2:G$55,5,0)</f>
        <v>57.97</v>
      </c>
      <c r="BS20">
        <f>VLOOKUP(A20,MS!A$2:G$55,5,0)</f>
        <v>33.07</v>
      </c>
      <c r="BT20">
        <f>VLOOKUP(A20,MSFT!A$2:G$55,5,0)</f>
        <v>43.97</v>
      </c>
      <c r="BU20">
        <f>VLOOKUP(A20,NKE!A$2:G$55,5,0)</f>
        <v>78.400000000000006</v>
      </c>
      <c r="BV20">
        <f>VLOOKUP(A20,NOV!A$2:G$55,5,0)</f>
        <v>84.7</v>
      </c>
      <c r="BW20">
        <f>VLOOKUP(A20,NSC!A$2:G$55,5,0)</f>
        <v>105.33</v>
      </c>
      <c r="BX20">
        <f>VLOOKUP(A20,ORCL!A$2:G$55,5,0)</f>
        <v>40.549999999999997</v>
      </c>
      <c r="BY20">
        <f>VLOOKUP(A20,OXY!A$2:G$55,5,0)</f>
        <v>99.82</v>
      </c>
      <c r="BZ20">
        <f>VLOOKUP(A20,PEP!A$2:G$55,5,0)</f>
        <v>90.97</v>
      </c>
      <c r="CA20">
        <f>VLOOKUP(A20,PFE!A$2:G$55,5,0)</f>
        <v>30.1</v>
      </c>
      <c r="CB20">
        <f>VLOOKUP(A20,PG!A$2:G$55,5,0)</f>
        <v>79.260000000000005</v>
      </c>
      <c r="CC20">
        <f>VLOOKUP(A20,PM!A$2:G$55,5,0)</f>
        <v>84.48</v>
      </c>
      <c r="CD20">
        <f>VLOOKUP(A20,QCOM!A$2:G$55,5,0)</f>
        <v>75.83</v>
      </c>
      <c r="CE20">
        <f>VLOOKUP(A20,RTN!A$2:G$55,5,0)</f>
        <v>93.28</v>
      </c>
      <c r="CF20">
        <f>VLOOKUP(A20,SBUX!A$2:G$55,5,0)</f>
        <v>78.36</v>
      </c>
      <c r="CG20">
        <f>VLOOKUP(A20,SLB!A$2:G$55,5,0)</f>
        <v>111.89</v>
      </c>
      <c r="CH20">
        <f>VLOOKUP(A20,SO!A$2:G$55,5,0)</f>
        <v>45.36</v>
      </c>
      <c r="CI20">
        <f>VLOOKUP(A20,SPG!A$2:G$55,5,0)</f>
        <v>170.47</v>
      </c>
      <c r="CJ20">
        <f>VLOOKUP(A20,T!A$2:G$55,5,0)</f>
        <v>35.65</v>
      </c>
      <c r="CK20">
        <f>VLOOKUP(A20,TGT!A$2:G$55,5,0)</f>
        <v>60.3</v>
      </c>
      <c r="CL20">
        <f>VLOOKUP(A20,TWX!A$2:G$55,5,0)</f>
        <v>85.24</v>
      </c>
      <c r="CM20">
        <f>VLOOKUP(A20,TXN!A$2:G$55,5,0)</f>
        <v>47.35</v>
      </c>
      <c r="CN20">
        <f>VLOOKUP(A20,UNH!A$2:G$55,5,0)</f>
        <v>85.75</v>
      </c>
      <c r="CO20">
        <f>VLOOKUP(A20,UNP!A$2:G$55,5,0)</f>
        <v>100.64</v>
      </c>
      <c r="CP20">
        <f>VLOOKUP(A20,UPS!A$2:G$55,5,0)</f>
        <v>102.66</v>
      </c>
      <c r="CQ20">
        <f>VLOOKUP(A20,USB!A$2:G$55,5,0)</f>
        <v>42.57</v>
      </c>
      <c r="CR20">
        <f>VLOOKUP(A20,UTX!A$2:G$55,5,0)</f>
        <v>108.99</v>
      </c>
      <c r="CS20">
        <f>VLOOKUP(A20,V!A$2:G$55,5,0)</f>
        <v>214.22</v>
      </c>
      <c r="CT20">
        <f>VLOOKUP(A20,VZ!A$2:G$55,5,0)</f>
        <v>51.58</v>
      </c>
      <c r="CU20">
        <f>VLOOKUP(A20,WAG!A$2:G$55,5,0)</f>
        <v>71.45</v>
      </c>
      <c r="CV20">
        <f>VLOOKUP(A20,WFC!A$2:G$55,5,0)</f>
        <v>51.6</v>
      </c>
      <c r="CW20">
        <f>VLOOKUP(A20,WMT!A$2:G$55,5,0)</f>
        <v>75.709999999999994</v>
      </c>
    </row>
    <row r="21" spans="1:101" x14ac:dyDescent="0.25">
      <c r="A21" s="34">
        <v>41849</v>
      </c>
      <c r="B21" s="36">
        <v>98.38</v>
      </c>
      <c r="C21">
        <f>VLOOKUP(A21,ABBV!A$2:G$55,5,0)</f>
        <v>53.43</v>
      </c>
      <c r="D21">
        <f>VLOOKUP(A21,ABT!A$2:G$55,5,0)</f>
        <v>42.75</v>
      </c>
      <c r="E21">
        <f>VLOOKUP(A21,ACN!A$2:G$55,5,0)</f>
        <v>80.569999999999993</v>
      </c>
      <c r="F21">
        <f>VLOOKUP(A21,AIG!A$2:G$55,5,0)</f>
        <v>53.35</v>
      </c>
      <c r="G21">
        <f>VLOOKUP(A21,ALL!A$2:G$55,5,0)</f>
        <v>57.05</v>
      </c>
      <c r="H21">
        <f>VLOOKUP(A21,AMGN!A$2:G$55,5,0)</f>
        <v>123.31</v>
      </c>
      <c r="I21">
        <f>VLOOKUP(A21,AMZN!A$2:G$55,5,0)</f>
        <v>320</v>
      </c>
      <c r="J21">
        <f>VLOOKUP(A21,APA!A$2:G$55,5,0)</f>
        <v>101.32</v>
      </c>
      <c r="K21">
        <f>VLOOKUP(A21,APC!A$2:G$55,5,0)</f>
        <v>109.23</v>
      </c>
      <c r="L21">
        <f>VLOOKUP(A21,AXP!A$2:G$55,5,0)</f>
        <v>91.71</v>
      </c>
      <c r="M21">
        <f>VLOOKUP(A21,BA!A$2:G$55,5,0)</f>
        <v>122.32</v>
      </c>
      <c r="N21">
        <f>VLOOKUP(A21,BAC!A$2:G$55,5,0)</f>
        <v>15.34</v>
      </c>
      <c r="O21">
        <f>VLOOKUP(A21,BAX!A$2:G$55,5,0)</f>
        <v>76.34</v>
      </c>
      <c r="P21">
        <f>VLOOKUP(A21,BIIB!A$2:G$55,5,0)</f>
        <v>341.73</v>
      </c>
      <c r="Q21">
        <f>VLOOKUP(A21,BK!A$2:G$55,5,0)</f>
        <v>39.22</v>
      </c>
      <c r="R21">
        <f>VLOOKUP(A21,BMY!A$2:G$55,5,0)</f>
        <v>51.01</v>
      </c>
      <c r="T21">
        <f>VLOOKUP(A21,'C'!A$2:G$55,5,0)</f>
        <v>49.42</v>
      </c>
      <c r="U21">
        <f>VLOOKUP(A21,CAT!A$2:G$55,5,0)</f>
        <v>104.69</v>
      </c>
      <c r="V21">
        <f>VLOOKUP(A21,CL!A$2:G$55,5,0)</f>
        <v>66.36</v>
      </c>
      <c r="W21">
        <f>VLOOKUP(A21,CMCSA!A$2:G$55,5,0)</f>
        <v>54.99</v>
      </c>
      <c r="X21">
        <f>VLOOKUP(A21,COF!A$2:G$55,5,0)</f>
        <v>81.19</v>
      </c>
      <c r="Y21">
        <f>VLOOKUP(A21,COP!A$2:G$55,5,0)</f>
        <v>84.71</v>
      </c>
      <c r="Z21">
        <f>VLOOKUP(A21,COST!A$2:G$55,5,0)</f>
        <v>118.9</v>
      </c>
      <c r="AA21">
        <f>VLOOKUP(A21,CSCO!A$2:G$55,5,0)</f>
        <v>25.71</v>
      </c>
      <c r="AB21">
        <f>VLOOKUP(A21,CVS!A$2:G$55,5,0)</f>
        <v>77.81</v>
      </c>
      <c r="AC21">
        <f>VLOOKUP(A21,CVX!A$2:G$55,5,0)</f>
        <v>132.41999999999999</v>
      </c>
      <c r="AD21">
        <f>VLOOKUP(A21,DD!A$2:G$55,5,0)</f>
        <v>66.2</v>
      </c>
      <c r="AE21">
        <f>VLOOKUP(A21,DIS!A$2:G$55,5,0)</f>
        <v>86.2</v>
      </c>
      <c r="AF21">
        <f>VLOOKUP(A21,DOW!A$2:G$55,5,0)</f>
        <v>53.45</v>
      </c>
      <c r="AG21">
        <f>VLOOKUP(A21,DVN!A$2:G$55,5,0)</f>
        <v>77.400000000000006</v>
      </c>
      <c r="AH21">
        <f>VLOOKUP(A21,EBAY!A$2:G$55,5,0)</f>
        <v>53.21</v>
      </c>
      <c r="AI21">
        <f>VLOOKUP(A21,EMC!A$2:G$55,5,0)</f>
        <v>29.47</v>
      </c>
      <c r="AJ21">
        <f>VLOOKUP(A21,EMR!A$2:G$55,5,0)</f>
        <v>66.099999999999994</v>
      </c>
      <c r="AK21">
        <f>VLOOKUP(A21,EXC!A$2:G$55,5,0)</f>
        <v>31.47</v>
      </c>
      <c r="AL21">
        <f>VLOOKUP(A21,F!A$2:G$55,5,0)</f>
        <v>17.57</v>
      </c>
      <c r="AM21">
        <f>VLOOKUP(A21,FB!A$2:G$55,5,0)</f>
        <v>73.709999999999994</v>
      </c>
      <c r="AN21">
        <f>VLOOKUP(A21,FCX!A$2:G$55,5,0)</f>
        <v>37.909999999999997</v>
      </c>
      <c r="AO21">
        <f>VLOOKUP(A21,FDX!A$2:G$55,5,0)</f>
        <v>147.13999999999999</v>
      </c>
      <c r="AP21">
        <f>VLOOKUP(A21,FOXA!A$2:G$55,5,0)</f>
        <v>32.15</v>
      </c>
      <c r="AQ21">
        <f>VLOOKUP(A21,GD!A$2:G$55,5,0)</f>
        <v>119.18</v>
      </c>
      <c r="AR21">
        <f>VLOOKUP(A21,GE!A$2:G$55,5,0)</f>
        <v>25.45</v>
      </c>
      <c r="AS21">
        <f>VLOOKUP(A21,GILD!A$2:G$55,5,0)</f>
        <v>92.99</v>
      </c>
      <c r="AT21">
        <f>VLOOKUP(A21,GM!A$2:G$55,5,0)</f>
        <v>34.450000000000003</v>
      </c>
      <c r="AU21">
        <f>VLOOKUP(A21,GOOG!A$2:G$55,5,0)</f>
        <v>585.61</v>
      </c>
      <c r="AV21">
        <f>VLOOKUP(A21,GOOGL!A$2:G$55,5,0)</f>
        <v>593.95000000000005</v>
      </c>
      <c r="AW21">
        <f>VLOOKUP(A21,GS!A$2:G$55,5,0)</f>
        <v>175.54</v>
      </c>
      <c r="AX21">
        <f>VLOOKUP(A21,HAL!A$2:G$55,5,0)</f>
        <v>71.22</v>
      </c>
      <c r="AY21">
        <f>VLOOKUP(A21,HD!A$2:G$55,5,0)</f>
        <v>80.98</v>
      </c>
      <c r="AZ21">
        <f>VLOOKUP(A21,HON!A$2:G$55,5,0)</f>
        <v>93.78</v>
      </c>
      <c r="BA21">
        <f>VLOOKUP(A21,HPQ!A$2:G$55,5,0)</f>
        <v>35.94</v>
      </c>
      <c r="BB21">
        <f>VLOOKUP(A21,IBM!A$2:G$55,5,0)</f>
        <v>194.57</v>
      </c>
      <c r="BC21">
        <f>VLOOKUP(A21,INTC!A$2:G$55,5,0)</f>
        <v>34.19</v>
      </c>
      <c r="BD21">
        <f>VLOOKUP(A21,JNJ!A$2:G$55,5,0)</f>
        <v>101.96</v>
      </c>
      <c r="BE21">
        <f>VLOOKUP(A21,JPM!A$2:G$55,5,0)</f>
        <v>58.64</v>
      </c>
      <c r="BF21">
        <f>VLOOKUP(A21,KO!A$2:G$55,5,0)</f>
        <v>40.35</v>
      </c>
      <c r="BG21">
        <f>VLOOKUP(A21,LLY!A$2:G$55,5,0)</f>
        <v>62.77</v>
      </c>
      <c r="BH21">
        <f>VLOOKUP(A21,LMT!A$2:G$55,5,0)</f>
        <v>169.33</v>
      </c>
      <c r="BI21">
        <f>VLOOKUP(A21,LOW!A$2:G$55,5,0)</f>
        <v>48.04</v>
      </c>
      <c r="BJ21">
        <f>VLOOKUP(A21,MA!A$2:G$55,5,0)</f>
        <v>75.89</v>
      </c>
      <c r="BK21">
        <f>VLOOKUP(A21,MCD!A$2:G$55,5,0)</f>
        <v>95.82</v>
      </c>
      <c r="BL21">
        <f>VLOOKUP(A21,MDLZ!A$2:G$55,5,0)</f>
        <v>38.01</v>
      </c>
      <c r="BM21">
        <f>VLOOKUP(A21,MDT!A$2:G$55,5,0)</f>
        <v>62.65</v>
      </c>
      <c r="BN21">
        <f>VLOOKUP(A21,MET!A$2:G$55,5,0)</f>
        <v>54.09</v>
      </c>
      <c r="BO21">
        <f>VLOOKUP(A21,MMM!A$2:G$55,5,0)</f>
        <v>144.02000000000001</v>
      </c>
      <c r="BP21">
        <f>VLOOKUP(A21,MO!A$2:G$55,5,0)</f>
        <v>41.54</v>
      </c>
      <c r="BQ21">
        <f>VLOOKUP(A21,MON!A$2:G$55,5,0)</f>
        <v>114.41</v>
      </c>
      <c r="BR21">
        <f>VLOOKUP(A21,MRK!A$2:G$55,5,0)</f>
        <v>58.58</v>
      </c>
      <c r="BS21">
        <f>VLOOKUP(A21,MS!A$2:G$55,5,0)</f>
        <v>32.65</v>
      </c>
      <c r="BT21">
        <f>VLOOKUP(A21,MSFT!A$2:G$55,5,0)</f>
        <v>43.89</v>
      </c>
      <c r="BU21">
        <f>VLOOKUP(A21,NKE!A$2:G$55,5,0)</f>
        <v>78.099999999999994</v>
      </c>
      <c r="BV21">
        <f>VLOOKUP(A21,NOV!A$2:G$55,5,0)</f>
        <v>83.41</v>
      </c>
      <c r="BW21">
        <f>VLOOKUP(A21,NSC!A$2:G$55,5,0)</f>
        <v>103.46</v>
      </c>
      <c r="BX21">
        <f>VLOOKUP(A21,ORCL!A$2:G$55,5,0)</f>
        <v>40.630000000000003</v>
      </c>
      <c r="BY21">
        <f>VLOOKUP(A21,OXY!A$2:G$55,5,0)</f>
        <v>99.33</v>
      </c>
      <c r="BZ21">
        <f>VLOOKUP(A21,PEP!A$2:G$55,5,0)</f>
        <v>90.14</v>
      </c>
      <c r="CA21">
        <f>VLOOKUP(A21,PFE!A$2:G$55,5,0)</f>
        <v>29.73</v>
      </c>
      <c r="CB21">
        <f>VLOOKUP(A21,PG!A$2:G$55,5,0)</f>
        <v>78.650000000000006</v>
      </c>
      <c r="CC21">
        <f>VLOOKUP(A21,PM!A$2:G$55,5,0)</f>
        <v>84.65</v>
      </c>
      <c r="CD21">
        <f>VLOOKUP(A21,QCOM!A$2:G$55,5,0)</f>
        <v>75.31</v>
      </c>
      <c r="CE21">
        <f>VLOOKUP(A21,RTN!A$2:G$55,5,0)</f>
        <v>92.49</v>
      </c>
      <c r="CF21">
        <f>VLOOKUP(A21,SBUX!A$2:G$55,5,0)</f>
        <v>78.650000000000006</v>
      </c>
      <c r="CG21">
        <f>VLOOKUP(A21,SLB!A$2:G$55,5,0)</f>
        <v>111.12</v>
      </c>
      <c r="CH21">
        <f>VLOOKUP(A21,SO!A$2:G$55,5,0)</f>
        <v>44.86</v>
      </c>
      <c r="CI21">
        <f>VLOOKUP(A21,SPG!A$2:G$55,5,0)</f>
        <v>170.1</v>
      </c>
      <c r="CJ21">
        <f>VLOOKUP(A21,T!A$2:G$55,5,0)</f>
        <v>36.590000000000003</v>
      </c>
      <c r="CK21">
        <f>VLOOKUP(A21,TGT!A$2:G$55,5,0)</f>
        <v>61.1</v>
      </c>
      <c r="CL21">
        <f>VLOOKUP(A21,TWX!A$2:G$55,5,0)</f>
        <v>83.85</v>
      </c>
      <c r="CM21">
        <f>VLOOKUP(A21,TXN!A$2:G$55,5,0)</f>
        <v>46.77</v>
      </c>
      <c r="CN21">
        <f>VLOOKUP(A21,UNH!A$2:G$55,5,0)</f>
        <v>84.27</v>
      </c>
      <c r="CO21">
        <f>VLOOKUP(A21,UNP!A$2:G$55,5,0)</f>
        <v>99.6</v>
      </c>
      <c r="CP21">
        <f>VLOOKUP(A21,UPS!A$2:G$55,5,0)</f>
        <v>98.86</v>
      </c>
      <c r="CQ21">
        <f>VLOOKUP(A21,USB!A$2:G$55,5,0)</f>
        <v>42.64</v>
      </c>
      <c r="CR21">
        <f>VLOOKUP(A21,UTX!A$2:G$55,5,0)</f>
        <v>107.33</v>
      </c>
      <c r="CS21">
        <f>VLOOKUP(A21,V!A$2:G$55,5,0)</f>
        <v>213.5</v>
      </c>
      <c r="CT21">
        <f>VLOOKUP(A21,VZ!A$2:G$55,5,0)</f>
        <v>51.97</v>
      </c>
      <c r="CU21">
        <f>VLOOKUP(A21,WAG!A$2:G$55,5,0)</f>
        <v>70.16</v>
      </c>
      <c r="CV21">
        <f>VLOOKUP(A21,WFC!A$2:G$55,5,0)</f>
        <v>51.54</v>
      </c>
      <c r="CW21">
        <f>VLOOKUP(A21,WMT!A$2:G$55,5,0)</f>
        <v>75.44</v>
      </c>
    </row>
    <row r="22" spans="1:101" x14ac:dyDescent="0.25">
      <c r="A22" s="34">
        <v>41850</v>
      </c>
      <c r="B22" s="36">
        <v>98.15</v>
      </c>
      <c r="C22">
        <f>VLOOKUP(A22,ABBV!A$2:G$55,5,0)</f>
        <v>53.75</v>
      </c>
      <c r="D22">
        <f>VLOOKUP(A22,ABT!A$2:G$55,5,0)</f>
        <v>42.86</v>
      </c>
      <c r="E22">
        <f>VLOOKUP(A22,ACN!A$2:G$55,5,0)</f>
        <v>80.489999999999995</v>
      </c>
      <c r="F22">
        <f>VLOOKUP(A22,AIG!A$2:G$55,5,0)</f>
        <v>53.05</v>
      </c>
      <c r="G22">
        <f>VLOOKUP(A22,ALL!A$2:G$55,5,0)</f>
        <v>56.89</v>
      </c>
      <c r="H22">
        <f>VLOOKUP(A22,AMGN!A$2:G$55,5,0)</f>
        <v>130.01</v>
      </c>
      <c r="I22">
        <f>VLOOKUP(A22,AMZN!A$2:G$55,5,0)</f>
        <v>322.51</v>
      </c>
      <c r="J22">
        <f>VLOOKUP(A22,APA!A$2:G$55,5,0)</f>
        <v>101.29</v>
      </c>
      <c r="K22">
        <f>VLOOKUP(A22,APC!A$2:G$55,5,0)</f>
        <v>109.87</v>
      </c>
      <c r="L22">
        <f>VLOOKUP(A22,AXP!A$2:G$55,5,0)</f>
        <v>90.91</v>
      </c>
      <c r="M22">
        <f>VLOOKUP(A22,BA!A$2:G$55,5,0)</f>
        <v>122.29</v>
      </c>
      <c r="N22">
        <f>VLOOKUP(A22,BAC!A$2:G$55,5,0)</f>
        <v>15.58</v>
      </c>
      <c r="O22">
        <f>VLOOKUP(A22,BAX!A$2:G$55,5,0)</f>
        <v>76.09</v>
      </c>
      <c r="P22">
        <f>VLOOKUP(A22,BIIB!A$2:G$55,5,0)</f>
        <v>344.52</v>
      </c>
      <c r="Q22">
        <f>VLOOKUP(A22,BK!A$2:G$55,5,0)</f>
        <v>39.82</v>
      </c>
      <c r="R22">
        <f>VLOOKUP(A22,BMY!A$2:G$55,5,0)</f>
        <v>51.12</v>
      </c>
      <c r="T22">
        <f>VLOOKUP(A22,'C'!A$2:G$55,5,0)</f>
        <v>50</v>
      </c>
      <c r="U22">
        <f>VLOOKUP(A22,CAT!A$2:G$55,5,0)</f>
        <v>103.38</v>
      </c>
      <c r="V22">
        <f>VLOOKUP(A22,CL!A$2:G$55,5,0)</f>
        <v>66.11</v>
      </c>
      <c r="W22">
        <f>VLOOKUP(A22,CMCSA!A$2:G$55,5,0)</f>
        <v>55.41</v>
      </c>
      <c r="X22">
        <f>VLOOKUP(A22,COF!A$2:G$55,5,0)</f>
        <v>81.56</v>
      </c>
      <c r="Y22">
        <f>VLOOKUP(A22,COP!A$2:G$55,5,0)</f>
        <v>84.63</v>
      </c>
      <c r="Z22">
        <f>VLOOKUP(A22,COST!A$2:G$55,5,0)</f>
        <v>118.18</v>
      </c>
      <c r="AA22">
        <f>VLOOKUP(A22,CSCO!A$2:G$55,5,0)</f>
        <v>25.63</v>
      </c>
      <c r="AB22">
        <f>VLOOKUP(A22,CVS!A$2:G$55,5,0)</f>
        <v>77.739999999999995</v>
      </c>
      <c r="AC22">
        <f>VLOOKUP(A22,CVX!A$2:G$55,5,0)</f>
        <v>132.53</v>
      </c>
      <c r="AD22">
        <f>VLOOKUP(A22,DD!A$2:G$55,5,0)</f>
        <v>65.39</v>
      </c>
      <c r="AE22">
        <f>VLOOKUP(A22,DIS!A$2:G$55,5,0)</f>
        <v>87.21</v>
      </c>
      <c r="AF22">
        <f>VLOOKUP(A22,DOW!A$2:G$55,5,0)</f>
        <v>52.48</v>
      </c>
      <c r="AG22">
        <f>VLOOKUP(A22,DVN!A$2:G$55,5,0)</f>
        <v>77.31</v>
      </c>
      <c r="AH22">
        <f>VLOOKUP(A22,EBAY!A$2:G$55,5,0)</f>
        <v>53.23</v>
      </c>
      <c r="AI22">
        <f>VLOOKUP(A22,EMC!A$2:G$55,5,0)</f>
        <v>29.9</v>
      </c>
      <c r="AJ22">
        <f>VLOOKUP(A22,EMR!A$2:G$55,5,0)</f>
        <v>65.209999999999994</v>
      </c>
      <c r="AK22">
        <f>VLOOKUP(A22,EXC!A$2:G$55,5,0)</f>
        <v>31.01</v>
      </c>
      <c r="AL22">
        <f>VLOOKUP(A22,F!A$2:G$55,5,0)</f>
        <v>17.46</v>
      </c>
      <c r="AM22">
        <f>VLOOKUP(A22,FB!A$2:G$55,5,0)</f>
        <v>74.680000000000007</v>
      </c>
      <c r="AN22">
        <f>VLOOKUP(A22,FCX!A$2:G$55,5,0)</f>
        <v>37.880000000000003</v>
      </c>
      <c r="AO22">
        <f>VLOOKUP(A22,FDX!A$2:G$55,5,0)</f>
        <v>149.36000000000001</v>
      </c>
      <c r="AP22">
        <f>VLOOKUP(A22,FOXA!A$2:G$55,5,0)</f>
        <v>32</v>
      </c>
      <c r="AQ22">
        <f>VLOOKUP(A22,GD!A$2:G$55,5,0)</f>
        <v>119.21</v>
      </c>
      <c r="AR22">
        <f>VLOOKUP(A22,GE!A$2:G$55,5,0)</f>
        <v>25.64</v>
      </c>
      <c r="AS22">
        <f>VLOOKUP(A22,GILD!A$2:G$55,5,0)</f>
        <v>93.79</v>
      </c>
      <c r="AT22">
        <f>VLOOKUP(A22,GM!A$2:G$55,5,0)</f>
        <v>34.31</v>
      </c>
      <c r="AU22">
        <f>VLOOKUP(A22,GOOG!A$2:G$55,5,0)</f>
        <v>587.41999999999996</v>
      </c>
      <c r="AV22">
        <f>VLOOKUP(A22,GOOGL!A$2:G$55,5,0)</f>
        <v>595.44000000000005</v>
      </c>
      <c r="AW22">
        <f>VLOOKUP(A22,GS!A$2:G$55,5,0)</f>
        <v>175.76</v>
      </c>
      <c r="AX22">
        <f>VLOOKUP(A22,HAL!A$2:G$55,5,0)</f>
        <v>70.739999999999995</v>
      </c>
      <c r="AY22">
        <f>VLOOKUP(A22,HD!A$2:G$55,5,0)</f>
        <v>81.760000000000005</v>
      </c>
      <c r="AZ22">
        <f>VLOOKUP(A22,HON!A$2:G$55,5,0)</f>
        <v>94.07</v>
      </c>
      <c r="BA22">
        <f>VLOOKUP(A22,HPQ!A$2:G$55,5,0)</f>
        <v>36.11</v>
      </c>
      <c r="BB22">
        <f>VLOOKUP(A22,IBM!A$2:G$55,5,0)</f>
        <v>194</v>
      </c>
      <c r="BC22">
        <f>VLOOKUP(A22,INTC!A$2:G$55,5,0)</f>
        <v>34.35</v>
      </c>
      <c r="BD22">
        <f>VLOOKUP(A22,JNJ!A$2:G$55,5,0)</f>
        <v>102.3</v>
      </c>
      <c r="BE22">
        <f>VLOOKUP(A22,JPM!A$2:G$55,5,0)</f>
        <v>58.91</v>
      </c>
      <c r="BF22">
        <f>VLOOKUP(A22,KO!A$2:G$55,5,0)</f>
        <v>39.619999999999997</v>
      </c>
      <c r="BG22">
        <f>VLOOKUP(A22,LLY!A$2:G$55,5,0)</f>
        <v>62.62</v>
      </c>
      <c r="BH22">
        <f>VLOOKUP(A22,LMT!A$2:G$55,5,0)</f>
        <v>170.18</v>
      </c>
      <c r="BI22">
        <f>VLOOKUP(A22,LOW!A$2:G$55,5,0)</f>
        <v>48.47</v>
      </c>
      <c r="BJ22">
        <f>VLOOKUP(A22,MA!A$2:G$55,5,0)</f>
        <v>75.91</v>
      </c>
      <c r="BK22">
        <f>VLOOKUP(A22,MCD!A$2:G$55,5,0)</f>
        <v>95.95</v>
      </c>
      <c r="BL22">
        <f>VLOOKUP(A22,MDLZ!A$2:G$55,5,0)</f>
        <v>36.97</v>
      </c>
      <c r="BM22">
        <f>VLOOKUP(A22,MDT!A$2:G$55,5,0)</f>
        <v>62.58</v>
      </c>
      <c r="BN22">
        <f>VLOOKUP(A22,MET!A$2:G$55,5,0)</f>
        <v>54.44</v>
      </c>
      <c r="BO22">
        <f>VLOOKUP(A22,MMM!A$2:G$55,5,0)</f>
        <v>143.74</v>
      </c>
      <c r="BP22">
        <f>VLOOKUP(A22,MO!A$2:G$55,5,0)</f>
        <v>41.12</v>
      </c>
      <c r="BQ22">
        <f>VLOOKUP(A22,MON!A$2:G$55,5,0)</f>
        <v>114.39</v>
      </c>
      <c r="BR22">
        <f>VLOOKUP(A22,MRK!A$2:G$55,5,0)</f>
        <v>58.08</v>
      </c>
      <c r="BS22">
        <f>VLOOKUP(A22,MS!A$2:G$55,5,0)</f>
        <v>33.340000000000003</v>
      </c>
      <c r="BT22">
        <f>VLOOKUP(A22,MSFT!A$2:G$55,5,0)</f>
        <v>43.58</v>
      </c>
      <c r="BU22">
        <f>VLOOKUP(A22,NKE!A$2:G$55,5,0)</f>
        <v>79.61</v>
      </c>
      <c r="BV22">
        <f>VLOOKUP(A22,NOV!A$2:G$55,5,0)</f>
        <v>81.73</v>
      </c>
      <c r="BW22">
        <f>VLOOKUP(A22,NSC!A$2:G$55,5,0)</f>
        <v>103.65</v>
      </c>
      <c r="BX22">
        <f>VLOOKUP(A22,ORCL!A$2:G$55,5,0)</f>
        <v>40.96</v>
      </c>
      <c r="BY22">
        <f>VLOOKUP(A22,OXY!A$2:G$55,5,0)</f>
        <v>98.11</v>
      </c>
      <c r="BZ22">
        <f>VLOOKUP(A22,PEP!A$2:G$55,5,0)</f>
        <v>88.91</v>
      </c>
      <c r="CA22">
        <f>VLOOKUP(A22,PFE!A$2:G$55,5,0)</f>
        <v>29.26</v>
      </c>
      <c r="CB22">
        <f>VLOOKUP(A22,PG!A$2:G$55,5,0)</f>
        <v>78.16</v>
      </c>
      <c r="CC22">
        <f>VLOOKUP(A22,PM!A$2:G$55,5,0)</f>
        <v>83.19</v>
      </c>
      <c r="CD22">
        <f>VLOOKUP(A22,QCOM!A$2:G$55,5,0)</f>
        <v>76.040000000000006</v>
      </c>
      <c r="CE22">
        <f>VLOOKUP(A22,RTN!A$2:G$55,5,0)</f>
        <v>92.62</v>
      </c>
      <c r="CF22">
        <f>VLOOKUP(A22,SBUX!A$2:G$55,5,0)</f>
        <v>78.900000000000006</v>
      </c>
      <c r="CG22">
        <f>VLOOKUP(A22,SLB!A$2:G$55,5,0)</f>
        <v>110.27</v>
      </c>
      <c r="CH22">
        <f>VLOOKUP(A22,SO!A$2:G$55,5,0)</f>
        <v>44.38</v>
      </c>
      <c r="CI22">
        <f>VLOOKUP(A22,SPG!A$2:G$55,5,0)</f>
        <v>170.16</v>
      </c>
      <c r="CJ22">
        <f>VLOOKUP(A22,T!A$2:G$55,5,0)</f>
        <v>36.36</v>
      </c>
      <c r="CK22">
        <f>VLOOKUP(A22,TGT!A$2:G$55,5,0)</f>
        <v>61.38</v>
      </c>
      <c r="CL22">
        <f>VLOOKUP(A22,TWX!A$2:G$55,5,0)</f>
        <v>84.49</v>
      </c>
      <c r="CM22">
        <f>VLOOKUP(A22,TXN!A$2:G$55,5,0)</f>
        <v>47.23</v>
      </c>
      <c r="CN22">
        <f>VLOOKUP(A22,UNH!A$2:G$55,5,0)</f>
        <v>82.95</v>
      </c>
      <c r="CO22">
        <f>VLOOKUP(A22,UNP!A$2:G$55,5,0)</f>
        <v>99.47</v>
      </c>
      <c r="CP22">
        <f>VLOOKUP(A22,UPS!A$2:G$55,5,0)</f>
        <v>99.35</v>
      </c>
      <c r="CQ22">
        <f>VLOOKUP(A22,USB!A$2:G$55,5,0)</f>
        <v>42.92</v>
      </c>
      <c r="CR22">
        <f>VLOOKUP(A22,UTX!A$2:G$55,5,0)</f>
        <v>106.38</v>
      </c>
      <c r="CS22">
        <f>VLOOKUP(A22,V!A$2:G$55,5,0)</f>
        <v>214.06</v>
      </c>
      <c r="CT22">
        <f>VLOOKUP(A22,VZ!A$2:G$55,5,0)</f>
        <v>51.76</v>
      </c>
      <c r="CU22">
        <f>VLOOKUP(A22,WAG!A$2:G$55,5,0)</f>
        <v>70.89</v>
      </c>
      <c r="CV22">
        <f>VLOOKUP(A22,WFC!A$2:G$55,5,0)</f>
        <v>52.1</v>
      </c>
      <c r="CW22">
        <f>VLOOKUP(A22,WMT!A$2:G$55,5,0)</f>
        <v>74.78</v>
      </c>
    </row>
    <row r="23" spans="1:101" x14ac:dyDescent="0.25">
      <c r="A23" s="34">
        <v>41851</v>
      </c>
      <c r="B23" s="36">
        <v>95.6</v>
      </c>
      <c r="C23">
        <f>VLOOKUP(A23,ABBV!A$2:G$55,5,0)</f>
        <v>52.34</v>
      </c>
      <c r="D23">
        <f>VLOOKUP(A23,ABT!A$2:G$55,5,0)</f>
        <v>42.12</v>
      </c>
      <c r="E23">
        <f>VLOOKUP(A23,ACN!A$2:G$55,5,0)</f>
        <v>79.28</v>
      </c>
      <c r="F23">
        <f>VLOOKUP(A23,AIG!A$2:G$55,5,0)</f>
        <v>51.98</v>
      </c>
      <c r="G23">
        <f>VLOOKUP(A23,ALL!A$2:G$55,5,0)</f>
        <v>58.45</v>
      </c>
      <c r="H23">
        <f>VLOOKUP(A23,AMGN!A$2:G$55,5,0)</f>
        <v>127.39</v>
      </c>
      <c r="I23">
        <f>VLOOKUP(A23,AMZN!A$2:G$55,5,0)</f>
        <v>312.99</v>
      </c>
      <c r="J23">
        <f>VLOOKUP(A23,APA!A$2:G$55,5,0)</f>
        <v>102.66</v>
      </c>
      <c r="K23">
        <f>VLOOKUP(A23,APC!A$2:G$55,5,0)</f>
        <v>106.85</v>
      </c>
      <c r="L23">
        <f>VLOOKUP(A23,AXP!A$2:G$55,5,0)</f>
        <v>88</v>
      </c>
      <c r="M23">
        <f>VLOOKUP(A23,BA!A$2:G$55,5,0)</f>
        <v>120.48</v>
      </c>
      <c r="N23">
        <f>VLOOKUP(A23,BAC!A$2:G$55,5,0)</f>
        <v>15.25</v>
      </c>
      <c r="O23">
        <f>VLOOKUP(A23,BAX!A$2:G$55,5,0)</f>
        <v>74.69</v>
      </c>
      <c r="P23">
        <f>VLOOKUP(A23,BIIB!A$2:G$55,5,0)</f>
        <v>334.39</v>
      </c>
      <c r="Q23">
        <f>VLOOKUP(A23,BK!A$2:G$55,5,0)</f>
        <v>39.04</v>
      </c>
      <c r="R23">
        <f>VLOOKUP(A23,BMY!A$2:G$55,5,0)</f>
        <v>50.62</v>
      </c>
      <c r="T23">
        <f>VLOOKUP(A23,'C'!A$2:G$55,5,0)</f>
        <v>48.91</v>
      </c>
      <c r="U23">
        <f>VLOOKUP(A23,CAT!A$2:G$55,5,0)</f>
        <v>100.75</v>
      </c>
      <c r="V23">
        <f>VLOOKUP(A23,CL!A$2:G$55,5,0)</f>
        <v>63.4</v>
      </c>
      <c r="W23">
        <f>VLOOKUP(A23,CMCSA!A$2:G$55,5,0)</f>
        <v>53.73</v>
      </c>
      <c r="X23">
        <f>VLOOKUP(A23,COF!A$2:G$55,5,0)</f>
        <v>79.540000000000006</v>
      </c>
      <c r="Y23">
        <f>VLOOKUP(A23,COP!A$2:G$55,5,0)</f>
        <v>82.5</v>
      </c>
      <c r="Z23">
        <f>VLOOKUP(A23,COST!A$2:G$55,5,0)</f>
        <v>117.54</v>
      </c>
      <c r="AA23">
        <f>VLOOKUP(A23,CSCO!A$2:G$55,5,0)</f>
        <v>25.23</v>
      </c>
      <c r="AB23">
        <f>VLOOKUP(A23,CVS!A$2:G$55,5,0)</f>
        <v>76.36</v>
      </c>
      <c r="AC23">
        <f>VLOOKUP(A23,CVX!A$2:G$55,5,0)</f>
        <v>129.24</v>
      </c>
      <c r="AD23">
        <f>VLOOKUP(A23,DD!A$2:G$55,5,0)</f>
        <v>64.31</v>
      </c>
      <c r="AE23">
        <f>VLOOKUP(A23,DIS!A$2:G$55,5,0)</f>
        <v>85.88</v>
      </c>
      <c r="AF23">
        <f>VLOOKUP(A23,DOW!A$2:G$55,5,0)</f>
        <v>51.07</v>
      </c>
      <c r="AG23">
        <f>VLOOKUP(A23,DVN!A$2:G$55,5,0)</f>
        <v>75.5</v>
      </c>
      <c r="AH23">
        <f>VLOOKUP(A23,EBAY!A$2:G$55,5,0)</f>
        <v>52.83</v>
      </c>
      <c r="AI23">
        <f>VLOOKUP(A23,EMC!A$2:G$55,5,0)</f>
        <v>29.3</v>
      </c>
      <c r="AJ23">
        <f>VLOOKUP(A23,EMR!A$2:G$55,5,0)</f>
        <v>63.65</v>
      </c>
      <c r="AK23">
        <f>VLOOKUP(A23,EXC!A$2:G$55,5,0)</f>
        <v>31.08</v>
      </c>
      <c r="AL23">
        <f>VLOOKUP(A23,F!A$2:G$55,5,0)</f>
        <v>17.02</v>
      </c>
      <c r="AM23">
        <f>VLOOKUP(A23,FB!A$2:G$55,5,0)</f>
        <v>72.650000000000006</v>
      </c>
      <c r="AN23">
        <f>VLOOKUP(A23,FCX!A$2:G$55,5,0)</f>
        <v>37.22</v>
      </c>
      <c r="AO23">
        <f>VLOOKUP(A23,FDX!A$2:G$55,5,0)</f>
        <v>146.88</v>
      </c>
      <c r="AP23">
        <f>VLOOKUP(A23,FOXA!A$2:G$55,5,0)</f>
        <v>31.67</v>
      </c>
      <c r="AQ23">
        <f>VLOOKUP(A23,GD!A$2:G$55,5,0)</f>
        <v>116.77</v>
      </c>
      <c r="AR23">
        <f>VLOOKUP(A23,GE!A$2:G$55,5,0)</f>
        <v>25.15</v>
      </c>
      <c r="AS23">
        <f>VLOOKUP(A23,GILD!A$2:G$55,5,0)</f>
        <v>91.55</v>
      </c>
      <c r="AT23">
        <f>VLOOKUP(A23,GM!A$2:G$55,5,0)</f>
        <v>33.82</v>
      </c>
      <c r="AU23">
        <f>VLOOKUP(A23,GOOG!A$2:G$55,5,0)</f>
        <v>571.6</v>
      </c>
      <c r="AV23">
        <f>VLOOKUP(A23,GOOGL!A$2:G$55,5,0)</f>
        <v>579.54999999999995</v>
      </c>
      <c r="AW23">
        <f>VLOOKUP(A23,GS!A$2:G$55,5,0)</f>
        <v>172.87</v>
      </c>
      <c r="AX23">
        <f>VLOOKUP(A23,HAL!A$2:G$55,5,0)</f>
        <v>68.989999999999995</v>
      </c>
      <c r="AY23">
        <f>VLOOKUP(A23,HD!A$2:G$55,5,0)</f>
        <v>80.849999999999994</v>
      </c>
      <c r="AZ23">
        <f>VLOOKUP(A23,HON!A$2:G$55,5,0)</f>
        <v>91.83</v>
      </c>
      <c r="BA23">
        <f>VLOOKUP(A23,HPQ!A$2:G$55,5,0)</f>
        <v>35.61</v>
      </c>
      <c r="BB23">
        <f>VLOOKUP(A23,IBM!A$2:G$55,5,0)</f>
        <v>191.67</v>
      </c>
      <c r="BC23">
        <f>VLOOKUP(A23,INTC!A$2:G$55,5,0)</f>
        <v>33.89</v>
      </c>
      <c r="BD23">
        <f>VLOOKUP(A23,JNJ!A$2:G$55,5,0)</f>
        <v>100.09</v>
      </c>
      <c r="BE23">
        <f>VLOOKUP(A23,JPM!A$2:G$55,5,0)</f>
        <v>57.67</v>
      </c>
      <c r="BF23">
        <f>VLOOKUP(A23,KO!A$2:G$55,5,0)</f>
        <v>39.29</v>
      </c>
      <c r="BG23">
        <f>VLOOKUP(A23,LLY!A$2:G$55,5,0)</f>
        <v>61.06</v>
      </c>
      <c r="BH23">
        <f>VLOOKUP(A23,LMT!A$2:G$55,5,0)</f>
        <v>166.97</v>
      </c>
      <c r="BI23">
        <f>VLOOKUP(A23,LOW!A$2:G$55,5,0)</f>
        <v>47.85</v>
      </c>
      <c r="BJ23">
        <f>VLOOKUP(A23,MA!A$2:G$55,5,0)</f>
        <v>74.150000000000006</v>
      </c>
      <c r="BK23">
        <f>VLOOKUP(A23,MCD!A$2:G$55,5,0)</f>
        <v>94.56</v>
      </c>
      <c r="BL23">
        <f>VLOOKUP(A23,MDLZ!A$2:G$55,5,0)</f>
        <v>36.020000000000003</v>
      </c>
      <c r="BM23">
        <f>VLOOKUP(A23,MDT!A$2:G$55,5,0)</f>
        <v>61.74</v>
      </c>
      <c r="BN23">
        <f>VLOOKUP(A23,MET!A$2:G$55,5,0)</f>
        <v>52.6</v>
      </c>
      <c r="BO23">
        <f>VLOOKUP(A23,MMM!A$2:G$55,5,0)</f>
        <v>140.88999999999999</v>
      </c>
      <c r="BP23">
        <f>VLOOKUP(A23,MO!A$2:G$55,5,0)</f>
        <v>40.6</v>
      </c>
      <c r="BQ23">
        <f>VLOOKUP(A23,MON!A$2:G$55,5,0)</f>
        <v>113.09</v>
      </c>
      <c r="BR23">
        <f>VLOOKUP(A23,MRK!A$2:G$55,5,0)</f>
        <v>56.74</v>
      </c>
      <c r="BS23">
        <f>VLOOKUP(A23,MS!A$2:G$55,5,0)</f>
        <v>32.340000000000003</v>
      </c>
      <c r="BT23">
        <f>VLOOKUP(A23,MSFT!A$2:G$55,5,0)</f>
        <v>43.16</v>
      </c>
      <c r="BU23">
        <f>VLOOKUP(A23,NKE!A$2:G$55,5,0)</f>
        <v>77.13</v>
      </c>
      <c r="BV23">
        <f>VLOOKUP(A23,NOV!A$2:G$55,5,0)</f>
        <v>81.040000000000006</v>
      </c>
      <c r="BW23">
        <f>VLOOKUP(A23,NSC!A$2:G$55,5,0)</f>
        <v>101.66</v>
      </c>
      <c r="BX23">
        <f>VLOOKUP(A23,ORCL!A$2:G$55,5,0)</f>
        <v>40.39</v>
      </c>
      <c r="BY23">
        <f>VLOOKUP(A23,OXY!A$2:G$55,5,0)</f>
        <v>97.71</v>
      </c>
      <c r="BZ23">
        <f>VLOOKUP(A23,PEP!A$2:G$55,5,0)</f>
        <v>88.1</v>
      </c>
      <c r="CA23">
        <f>VLOOKUP(A23,PFE!A$2:G$55,5,0)</f>
        <v>28.7</v>
      </c>
      <c r="CB23">
        <f>VLOOKUP(A23,PG!A$2:G$55,5,0)</f>
        <v>77.319999999999993</v>
      </c>
      <c r="CC23">
        <f>VLOOKUP(A23,PM!A$2:G$55,5,0)</f>
        <v>82.01</v>
      </c>
      <c r="CD23">
        <f>VLOOKUP(A23,QCOM!A$2:G$55,5,0)</f>
        <v>73.72</v>
      </c>
      <c r="CE23">
        <f>VLOOKUP(A23,RTN!A$2:G$55,5,0)</f>
        <v>90.77</v>
      </c>
      <c r="CF23">
        <f>VLOOKUP(A23,SBUX!A$2:G$55,5,0)</f>
        <v>77.680000000000007</v>
      </c>
      <c r="CG23">
        <f>VLOOKUP(A23,SLB!A$2:G$55,5,0)</f>
        <v>108.39</v>
      </c>
      <c r="CH23">
        <f>VLOOKUP(A23,SO!A$2:G$55,5,0)</f>
        <v>43.29</v>
      </c>
      <c r="CI23">
        <f>VLOOKUP(A23,SPG!A$2:G$55,5,0)</f>
        <v>168.19</v>
      </c>
      <c r="CJ23">
        <f>VLOOKUP(A23,T!A$2:G$55,5,0)</f>
        <v>35.590000000000003</v>
      </c>
      <c r="CK23">
        <f>VLOOKUP(A23,TGT!A$2:G$55,5,0)</f>
        <v>59.59</v>
      </c>
      <c r="CL23">
        <f>VLOOKUP(A23,TWX!A$2:G$55,5,0)</f>
        <v>83.02</v>
      </c>
      <c r="CM23">
        <f>VLOOKUP(A23,TXN!A$2:G$55,5,0)</f>
        <v>46.25</v>
      </c>
      <c r="CN23">
        <f>VLOOKUP(A23,UNH!A$2:G$55,5,0)</f>
        <v>81.05</v>
      </c>
      <c r="CO23">
        <f>VLOOKUP(A23,UNP!A$2:G$55,5,0)</f>
        <v>98.31</v>
      </c>
      <c r="CP23">
        <f>VLOOKUP(A23,UPS!A$2:G$55,5,0)</f>
        <v>97.09</v>
      </c>
      <c r="CQ23">
        <f>VLOOKUP(A23,USB!A$2:G$55,5,0)</f>
        <v>42.03</v>
      </c>
      <c r="CR23">
        <f>VLOOKUP(A23,UTX!A$2:G$55,5,0)</f>
        <v>105.15</v>
      </c>
      <c r="CS23">
        <f>VLOOKUP(A23,V!A$2:G$55,5,0)</f>
        <v>211.01</v>
      </c>
      <c r="CT23">
        <f>VLOOKUP(A23,VZ!A$2:G$55,5,0)</f>
        <v>50.42</v>
      </c>
      <c r="CU23">
        <f>VLOOKUP(A23,WAG!A$2:G$55,5,0)</f>
        <v>68.77</v>
      </c>
      <c r="CV23">
        <f>VLOOKUP(A23,WFC!A$2:G$55,5,0)</f>
        <v>50.9</v>
      </c>
      <c r="CW23">
        <f>VLOOKUP(A23,WMT!A$2:G$55,5,0)</f>
        <v>73.58</v>
      </c>
    </row>
    <row r="24" spans="1:101" x14ac:dyDescent="0.25">
      <c r="A24" s="34">
        <v>41852</v>
      </c>
      <c r="B24" s="36">
        <v>96.13</v>
      </c>
      <c r="C24">
        <f>VLOOKUP(A24,ABBV!A$2:G$55,5,0)</f>
        <v>52.48</v>
      </c>
      <c r="D24">
        <f>VLOOKUP(A24,ABT!A$2:G$55,5,0)</f>
        <v>42.03</v>
      </c>
      <c r="E24">
        <f>VLOOKUP(A24,ACN!A$2:G$55,5,0)</f>
        <v>78.7</v>
      </c>
      <c r="F24">
        <f>VLOOKUP(A24,AIG!A$2:G$55,5,0)</f>
        <v>52.05</v>
      </c>
      <c r="G24">
        <f>VLOOKUP(A24,ALL!A$2:G$55,5,0)</f>
        <v>58.14</v>
      </c>
      <c r="H24">
        <f>VLOOKUP(A24,AMGN!A$2:G$55,5,0)</f>
        <v>125.55</v>
      </c>
      <c r="I24">
        <f>VLOOKUP(A24,AMZN!A$2:G$55,5,0)</f>
        <v>307.06</v>
      </c>
      <c r="J24">
        <f>VLOOKUP(A24,APA!A$2:G$55,5,0)</f>
        <v>100.32</v>
      </c>
      <c r="K24">
        <f>VLOOKUP(A24,APC!A$2:G$55,5,0)</f>
        <v>105.62</v>
      </c>
      <c r="L24">
        <f>VLOOKUP(A24,AXP!A$2:G$55,5,0)</f>
        <v>86.47</v>
      </c>
      <c r="M24">
        <f>VLOOKUP(A24,BA!A$2:G$55,5,0)</f>
        <v>120.38</v>
      </c>
      <c r="N24">
        <f>VLOOKUP(A24,BAC!A$2:G$55,5,0)</f>
        <v>14.98</v>
      </c>
      <c r="O24">
        <f>VLOOKUP(A24,BAX!A$2:G$55,5,0)</f>
        <v>74.97</v>
      </c>
      <c r="P24">
        <f>VLOOKUP(A24,BIIB!A$2:G$55,5,0)</f>
        <v>329.83</v>
      </c>
      <c r="Q24">
        <f>VLOOKUP(A24,BK!A$2:G$55,5,0)</f>
        <v>38.729999999999997</v>
      </c>
      <c r="R24">
        <f>VLOOKUP(A24,BMY!A$2:G$55,5,0)</f>
        <v>49.81</v>
      </c>
      <c r="T24">
        <f>VLOOKUP(A24,'C'!A$2:G$55,5,0)</f>
        <v>48.1</v>
      </c>
      <c r="U24">
        <f>VLOOKUP(A24,CAT!A$2:G$55,5,0)</f>
        <v>100.52</v>
      </c>
      <c r="V24">
        <f>VLOOKUP(A24,CL!A$2:G$55,5,0)</f>
        <v>63.95</v>
      </c>
      <c r="W24">
        <f>VLOOKUP(A24,CMCSA!A$2:G$55,5,0)</f>
        <v>53.39</v>
      </c>
      <c r="X24">
        <f>VLOOKUP(A24,COF!A$2:G$55,5,0)</f>
        <v>79.489999999999995</v>
      </c>
      <c r="Y24">
        <f>VLOOKUP(A24,COP!A$2:G$55,5,0)</f>
        <v>80.7</v>
      </c>
      <c r="Z24">
        <f>VLOOKUP(A24,COST!A$2:G$55,5,0)</f>
        <v>117.88</v>
      </c>
      <c r="AA24">
        <f>VLOOKUP(A24,CSCO!A$2:G$55,5,0)</f>
        <v>25</v>
      </c>
      <c r="AB24">
        <f>VLOOKUP(A24,CVS!A$2:G$55,5,0)</f>
        <v>76.489999999999995</v>
      </c>
      <c r="AC24">
        <f>VLOOKUP(A24,CVX!A$2:G$55,5,0)</f>
        <v>127.9</v>
      </c>
      <c r="AD24">
        <f>VLOOKUP(A24,DD!A$2:G$55,5,0)</f>
        <v>64.209999999999994</v>
      </c>
      <c r="AE24">
        <f>VLOOKUP(A24,DIS!A$2:G$55,5,0)</f>
        <v>85.38</v>
      </c>
      <c r="AF24">
        <f>VLOOKUP(A24,DOW!A$2:G$55,5,0)</f>
        <v>50.97</v>
      </c>
      <c r="AG24">
        <f>VLOOKUP(A24,DVN!A$2:G$55,5,0)</f>
        <v>75.09</v>
      </c>
      <c r="AH24">
        <f>VLOOKUP(A24,EBAY!A$2:G$55,5,0)</f>
        <v>52.53</v>
      </c>
      <c r="AI24">
        <f>VLOOKUP(A24,EMC!A$2:G$55,5,0)</f>
        <v>29.06</v>
      </c>
      <c r="AJ24">
        <f>VLOOKUP(A24,EMR!A$2:G$55,5,0)</f>
        <v>63.4</v>
      </c>
      <c r="AK24">
        <f>VLOOKUP(A24,EXC!A$2:G$55,5,0)</f>
        <v>31.54</v>
      </c>
      <c r="AL24">
        <f>VLOOKUP(A24,F!A$2:G$55,5,0)</f>
        <v>16.809999999999999</v>
      </c>
      <c r="AM24">
        <f>VLOOKUP(A24,FB!A$2:G$55,5,0)</f>
        <v>72.36</v>
      </c>
      <c r="AN24">
        <f>VLOOKUP(A24,FCX!A$2:G$55,5,0)</f>
        <v>36.78</v>
      </c>
      <c r="AO24">
        <f>VLOOKUP(A24,FDX!A$2:G$55,5,0)</f>
        <v>146.75</v>
      </c>
      <c r="AP24">
        <f>VLOOKUP(A24,FOXA!A$2:G$55,5,0)</f>
        <v>31.94</v>
      </c>
      <c r="AQ24">
        <f>VLOOKUP(A24,GD!A$2:G$55,5,0)</f>
        <v>117.38</v>
      </c>
      <c r="AR24">
        <f>VLOOKUP(A24,GE!A$2:G$55,5,0)</f>
        <v>25.35</v>
      </c>
      <c r="AS24">
        <f>VLOOKUP(A24,GILD!A$2:G$55,5,0)</f>
        <v>91.5</v>
      </c>
      <c r="AT24">
        <f>VLOOKUP(A24,GM!A$2:G$55,5,0)</f>
        <v>33.44</v>
      </c>
      <c r="AU24">
        <f>VLOOKUP(A24,GOOG!A$2:G$55,5,0)</f>
        <v>566.07000000000005</v>
      </c>
      <c r="AV24">
        <f>VLOOKUP(A24,GOOGL!A$2:G$55,5,0)</f>
        <v>573.6</v>
      </c>
      <c r="AW24">
        <f>VLOOKUP(A24,GS!A$2:G$55,5,0)</f>
        <v>170.25</v>
      </c>
      <c r="AX24">
        <f>VLOOKUP(A24,HAL!A$2:G$55,5,0)</f>
        <v>68.72</v>
      </c>
      <c r="AY24">
        <f>VLOOKUP(A24,HD!A$2:G$55,5,0)</f>
        <v>79.75</v>
      </c>
      <c r="AZ24">
        <f>VLOOKUP(A24,HON!A$2:G$55,5,0)</f>
        <v>91.57</v>
      </c>
      <c r="BA24">
        <f>VLOOKUP(A24,HPQ!A$2:G$55,5,0)</f>
        <v>35.19</v>
      </c>
      <c r="BB24">
        <f>VLOOKUP(A24,IBM!A$2:G$55,5,0)</f>
        <v>189.15</v>
      </c>
      <c r="BC24">
        <f>VLOOKUP(A24,INTC!A$2:G$55,5,0)</f>
        <v>33.74</v>
      </c>
      <c r="BD24">
        <f>VLOOKUP(A24,JNJ!A$2:G$55,5,0)</f>
        <v>99.9</v>
      </c>
      <c r="BE24">
        <f>VLOOKUP(A24,JPM!A$2:G$55,5,0)</f>
        <v>56.48</v>
      </c>
      <c r="BF24">
        <f>VLOOKUP(A24,KO!A$2:G$55,5,0)</f>
        <v>39.29</v>
      </c>
      <c r="BG24">
        <f>VLOOKUP(A24,LLY!A$2:G$55,5,0)</f>
        <v>60.68</v>
      </c>
      <c r="BH24">
        <f>VLOOKUP(A24,LMT!A$2:G$55,5,0)</f>
        <v>167.12</v>
      </c>
      <c r="BI24">
        <f>VLOOKUP(A24,LOW!A$2:G$55,5,0)</f>
        <v>47.59</v>
      </c>
      <c r="BJ24">
        <f>VLOOKUP(A24,MA!A$2:G$55,5,0)</f>
        <v>74.98</v>
      </c>
      <c r="BK24">
        <f>VLOOKUP(A24,MCD!A$2:G$55,5,0)</f>
        <v>94.3</v>
      </c>
      <c r="BL24">
        <f>VLOOKUP(A24,MDLZ!A$2:G$55,5,0)</f>
        <v>36.33</v>
      </c>
      <c r="BM24">
        <f>VLOOKUP(A24,MDT!A$2:G$55,5,0)</f>
        <v>61.48</v>
      </c>
      <c r="BN24">
        <f>VLOOKUP(A24,MET!A$2:G$55,5,0)</f>
        <v>52.13</v>
      </c>
      <c r="BO24">
        <f>VLOOKUP(A24,MMM!A$2:G$55,5,0)</f>
        <v>140.11000000000001</v>
      </c>
      <c r="BP24">
        <f>VLOOKUP(A24,MO!A$2:G$55,5,0)</f>
        <v>40.5</v>
      </c>
      <c r="BQ24">
        <f>VLOOKUP(A24,MON!A$2:G$55,5,0)</f>
        <v>113.59</v>
      </c>
      <c r="BR24">
        <f>VLOOKUP(A24,MRK!A$2:G$55,5,0)</f>
        <v>56.8</v>
      </c>
      <c r="BS24">
        <f>VLOOKUP(A24,MS!A$2:G$55,5,0)</f>
        <v>31.6</v>
      </c>
      <c r="BT24">
        <f>VLOOKUP(A24,MSFT!A$2:G$55,5,0)</f>
        <v>42.86</v>
      </c>
      <c r="BU24">
        <f>VLOOKUP(A24,NKE!A$2:G$55,5,0)</f>
        <v>76.78</v>
      </c>
      <c r="BV24">
        <f>VLOOKUP(A24,NOV!A$2:G$55,5,0)</f>
        <v>81.09</v>
      </c>
      <c r="BW24">
        <f>VLOOKUP(A24,NSC!A$2:G$55,5,0)</f>
        <v>101.2</v>
      </c>
      <c r="BX24">
        <f>VLOOKUP(A24,ORCL!A$2:G$55,5,0)</f>
        <v>39.61</v>
      </c>
      <c r="BY24">
        <f>VLOOKUP(A24,OXY!A$2:G$55,5,0)</f>
        <v>97.89</v>
      </c>
      <c r="BZ24">
        <f>VLOOKUP(A24,PEP!A$2:G$55,5,0)</f>
        <v>88.11</v>
      </c>
      <c r="CA24">
        <f>VLOOKUP(A24,PFE!A$2:G$55,5,0)</f>
        <v>28.86</v>
      </c>
      <c r="CB24">
        <f>VLOOKUP(A24,PG!A$2:G$55,5,0)</f>
        <v>79.650000000000006</v>
      </c>
      <c r="CC24">
        <f>VLOOKUP(A24,PM!A$2:G$55,5,0)</f>
        <v>81.900000000000006</v>
      </c>
      <c r="CD24">
        <f>VLOOKUP(A24,QCOM!A$2:G$55,5,0)</f>
        <v>72.55</v>
      </c>
      <c r="CE24">
        <f>VLOOKUP(A24,RTN!A$2:G$55,5,0)</f>
        <v>91.79</v>
      </c>
      <c r="CF24">
        <f>VLOOKUP(A24,SBUX!A$2:G$55,5,0)</f>
        <v>76.98</v>
      </c>
      <c r="CG24">
        <f>VLOOKUP(A24,SLB!A$2:G$55,5,0)</f>
        <v>107.95</v>
      </c>
      <c r="CH24">
        <f>VLOOKUP(A24,SO!A$2:G$55,5,0)</f>
        <v>43.32</v>
      </c>
      <c r="CI24">
        <f>VLOOKUP(A24,SPG!A$2:G$55,5,0)</f>
        <v>167.67</v>
      </c>
      <c r="CJ24">
        <f>VLOOKUP(A24,T!A$2:G$55,5,0)</f>
        <v>35.33</v>
      </c>
      <c r="CK24">
        <f>VLOOKUP(A24,TGT!A$2:G$55,5,0)</f>
        <v>59.85</v>
      </c>
      <c r="CL24">
        <f>VLOOKUP(A24,TWX!A$2:G$55,5,0)</f>
        <v>83.8</v>
      </c>
      <c r="CM24">
        <f>VLOOKUP(A24,TXN!A$2:G$55,5,0)</f>
        <v>46.24</v>
      </c>
      <c r="CN24">
        <f>VLOOKUP(A24,UNH!A$2:G$55,5,0)</f>
        <v>81.489999999999995</v>
      </c>
      <c r="CO24">
        <f>VLOOKUP(A24,UNP!A$2:G$55,5,0)</f>
        <v>97.91</v>
      </c>
      <c r="CP24">
        <f>VLOOKUP(A24,UPS!A$2:G$55,5,0)</f>
        <v>97.03</v>
      </c>
      <c r="CQ24">
        <f>VLOOKUP(A24,USB!A$2:G$55,5,0)</f>
        <v>41.33</v>
      </c>
      <c r="CR24">
        <f>VLOOKUP(A24,UTX!A$2:G$55,5,0)</f>
        <v>104.75</v>
      </c>
      <c r="CS24">
        <f>VLOOKUP(A24,V!A$2:G$55,5,0)</f>
        <v>211.81</v>
      </c>
      <c r="CT24">
        <f>VLOOKUP(A24,VZ!A$2:G$55,5,0)</f>
        <v>49.83</v>
      </c>
      <c r="CU24">
        <f>VLOOKUP(A24,WAG!A$2:G$55,5,0)</f>
        <v>70.53</v>
      </c>
      <c r="CV24">
        <f>VLOOKUP(A24,WFC!A$2:G$55,5,0)</f>
        <v>50.35</v>
      </c>
      <c r="CW24">
        <f>VLOOKUP(A24,WMT!A$2:G$55,5,0)</f>
        <v>73.540000000000006</v>
      </c>
    </row>
    <row r="25" spans="1:101" x14ac:dyDescent="0.25">
      <c r="A25" s="34">
        <v>41855</v>
      </c>
      <c r="B25" s="36">
        <v>95.59</v>
      </c>
      <c r="C25">
        <f>VLOOKUP(A25,ABBV!A$2:G$55,5,0)</f>
        <v>53.29</v>
      </c>
      <c r="D25">
        <f>VLOOKUP(A25,ABT!A$2:G$55,5,0)</f>
        <v>42.39</v>
      </c>
      <c r="E25">
        <f>VLOOKUP(A25,ACN!A$2:G$55,5,0)</f>
        <v>79.349999999999994</v>
      </c>
      <c r="F25">
        <f>VLOOKUP(A25,AIG!A$2:G$55,5,0)</f>
        <v>52.66</v>
      </c>
      <c r="G25">
        <f>VLOOKUP(A25,ALL!A$2:G$55,5,0)</f>
        <v>58.96</v>
      </c>
      <c r="H25">
        <f>VLOOKUP(A25,AMGN!A$2:G$55,5,0)</f>
        <v>128.65</v>
      </c>
      <c r="I25">
        <f>VLOOKUP(A25,AMZN!A$2:G$55,5,0)</f>
        <v>313.64999999999998</v>
      </c>
      <c r="J25">
        <f>VLOOKUP(A25,APA!A$2:G$55,5,0)</f>
        <v>102.29</v>
      </c>
      <c r="K25">
        <f>VLOOKUP(A25,APC!A$2:G$55,5,0)</f>
        <v>110.73</v>
      </c>
      <c r="L25">
        <f>VLOOKUP(A25,AXP!A$2:G$55,5,0)</f>
        <v>86.93</v>
      </c>
      <c r="M25">
        <f>VLOOKUP(A25,BA!A$2:G$55,5,0)</f>
        <v>119.93</v>
      </c>
      <c r="N25">
        <f>VLOOKUP(A25,BAC!A$2:G$55,5,0)</f>
        <v>15.05</v>
      </c>
      <c r="O25">
        <f>VLOOKUP(A25,BAX!A$2:G$55,5,0)</f>
        <v>74.92</v>
      </c>
      <c r="P25">
        <f>VLOOKUP(A25,BIIB!A$2:G$55,5,0)</f>
        <v>326.55</v>
      </c>
      <c r="Q25">
        <f>VLOOKUP(A25,BK!A$2:G$55,5,0)</f>
        <v>39.200000000000003</v>
      </c>
      <c r="R25">
        <f>VLOOKUP(A25,BMY!A$2:G$55,5,0)</f>
        <v>49.98</v>
      </c>
      <c r="T25">
        <f>VLOOKUP(A25,'C'!A$2:G$55,5,0)</f>
        <v>48.34</v>
      </c>
      <c r="U25">
        <f>VLOOKUP(A25,CAT!A$2:G$55,5,0)</f>
        <v>101.81</v>
      </c>
      <c r="V25">
        <f>VLOOKUP(A25,CL!A$2:G$55,5,0)</f>
        <v>63.76</v>
      </c>
      <c r="W25">
        <f>VLOOKUP(A25,CMCSA!A$2:G$55,5,0)</f>
        <v>53.85</v>
      </c>
      <c r="X25">
        <f>VLOOKUP(A25,COF!A$2:G$55,5,0)</f>
        <v>80.22</v>
      </c>
      <c r="Y25">
        <f>VLOOKUP(A25,COP!A$2:G$55,5,0)</f>
        <v>81.98</v>
      </c>
      <c r="Z25">
        <f>VLOOKUP(A25,COST!A$2:G$55,5,0)</f>
        <v>118.15</v>
      </c>
      <c r="AA25">
        <f>VLOOKUP(A25,CSCO!A$2:G$55,5,0)</f>
        <v>25.17</v>
      </c>
      <c r="AB25">
        <f>VLOOKUP(A25,CVS!A$2:G$55,5,0)</f>
        <v>77.37</v>
      </c>
      <c r="AC25">
        <f>VLOOKUP(A25,CVX!A$2:G$55,5,0)</f>
        <v>128.16999999999999</v>
      </c>
      <c r="AD25">
        <f>VLOOKUP(A25,DD!A$2:G$55,5,0)</f>
        <v>64.63</v>
      </c>
      <c r="AE25">
        <f>VLOOKUP(A25,DIS!A$2:G$55,5,0)</f>
        <v>87.24</v>
      </c>
      <c r="AF25">
        <f>VLOOKUP(A25,DOW!A$2:G$55,5,0)</f>
        <v>51.68</v>
      </c>
      <c r="AG25">
        <f>VLOOKUP(A25,DVN!A$2:G$55,5,0)</f>
        <v>76.81</v>
      </c>
      <c r="AH25">
        <f>VLOOKUP(A25,EBAY!A$2:G$55,5,0)</f>
        <v>53.06</v>
      </c>
      <c r="AI25">
        <f>VLOOKUP(A25,EMC!A$2:G$55,5,0)</f>
        <v>29.57</v>
      </c>
      <c r="AJ25">
        <f>VLOOKUP(A25,EMR!A$2:G$55,5,0)</f>
        <v>63.99</v>
      </c>
      <c r="AK25">
        <f>VLOOKUP(A25,EXC!A$2:G$55,5,0)</f>
        <v>31.36</v>
      </c>
      <c r="AL25">
        <f>VLOOKUP(A25,F!A$2:G$55,5,0)</f>
        <v>17.02</v>
      </c>
      <c r="AM25">
        <f>VLOOKUP(A25,FB!A$2:G$55,5,0)</f>
        <v>73.510000000000005</v>
      </c>
      <c r="AN25">
        <f>VLOOKUP(A25,FCX!A$2:G$55,5,0)</f>
        <v>37.24</v>
      </c>
      <c r="AO25">
        <f>VLOOKUP(A25,FDX!A$2:G$55,5,0)</f>
        <v>148.83000000000001</v>
      </c>
      <c r="AP25">
        <f>VLOOKUP(A25,FOXA!A$2:G$55,5,0)</f>
        <v>31.52</v>
      </c>
      <c r="AQ25">
        <f>VLOOKUP(A25,GD!A$2:G$55,5,0)</f>
        <v>117.23</v>
      </c>
      <c r="AR25">
        <f>VLOOKUP(A25,GE!A$2:G$55,5,0)</f>
        <v>25.27</v>
      </c>
      <c r="AS25">
        <f>VLOOKUP(A25,GILD!A$2:G$55,5,0)</f>
        <v>92.18</v>
      </c>
      <c r="AT25">
        <f>VLOOKUP(A25,GM!A$2:G$55,5,0)</f>
        <v>33.61</v>
      </c>
      <c r="AU25">
        <f>VLOOKUP(A25,GOOG!A$2:G$55,5,0)</f>
        <v>573.15</v>
      </c>
      <c r="AV25">
        <f>VLOOKUP(A25,GOOGL!A$2:G$55,5,0)</f>
        <v>582.27</v>
      </c>
      <c r="AW25">
        <f>VLOOKUP(A25,GS!A$2:G$55,5,0)</f>
        <v>171.69</v>
      </c>
      <c r="AX25">
        <f>VLOOKUP(A25,HAL!A$2:G$55,5,0)</f>
        <v>70.09</v>
      </c>
      <c r="AY25">
        <f>VLOOKUP(A25,HD!A$2:G$55,5,0)</f>
        <v>80.03</v>
      </c>
      <c r="AZ25">
        <f>VLOOKUP(A25,HON!A$2:G$55,5,0)</f>
        <v>91.36</v>
      </c>
      <c r="BA25">
        <f>VLOOKUP(A25,HPQ!A$2:G$55,5,0)</f>
        <v>35.33</v>
      </c>
      <c r="BB25">
        <f>VLOOKUP(A25,IBM!A$2:G$55,5,0)</f>
        <v>189.64</v>
      </c>
      <c r="BC25">
        <f>VLOOKUP(A25,INTC!A$2:G$55,5,0)</f>
        <v>34.049999999999997</v>
      </c>
      <c r="BD25">
        <f>VLOOKUP(A25,JNJ!A$2:G$55,5,0)</f>
        <v>100.16</v>
      </c>
      <c r="BE25">
        <f>VLOOKUP(A25,JPM!A$2:G$55,5,0)</f>
        <v>56.65</v>
      </c>
      <c r="BF25">
        <f>VLOOKUP(A25,KO!A$2:G$55,5,0)</f>
        <v>39.4</v>
      </c>
      <c r="BG25">
        <f>VLOOKUP(A25,LLY!A$2:G$55,5,0)</f>
        <v>61.63</v>
      </c>
      <c r="BH25">
        <f>VLOOKUP(A25,LMT!A$2:G$55,5,0)</f>
        <v>168.29</v>
      </c>
      <c r="BI25">
        <f>VLOOKUP(A25,LOW!A$2:G$55,5,0)</f>
        <v>47.91</v>
      </c>
      <c r="BJ25">
        <f>VLOOKUP(A25,MA!A$2:G$55,5,0)</f>
        <v>75.680000000000007</v>
      </c>
      <c r="BK25">
        <f>VLOOKUP(A25,MCD!A$2:G$55,5,0)</f>
        <v>94.31</v>
      </c>
      <c r="BL25">
        <f>VLOOKUP(A25,MDLZ!A$2:G$55,5,0)</f>
        <v>36.450000000000003</v>
      </c>
      <c r="BM25">
        <f>VLOOKUP(A25,MDT!A$2:G$55,5,0)</f>
        <v>62.47</v>
      </c>
      <c r="BN25">
        <f>VLOOKUP(A25,MET!A$2:G$55,5,0)</f>
        <v>52.38</v>
      </c>
      <c r="BO25">
        <f>VLOOKUP(A25,MMM!A$2:G$55,5,0)</f>
        <v>140.75</v>
      </c>
      <c r="BP25">
        <f>VLOOKUP(A25,MO!A$2:G$55,5,0)</f>
        <v>40.729999999999997</v>
      </c>
      <c r="BQ25">
        <f>VLOOKUP(A25,MON!A$2:G$55,5,0)</f>
        <v>114.91</v>
      </c>
      <c r="BR25">
        <f>VLOOKUP(A25,MRK!A$2:G$55,5,0)</f>
        <v>57.06</v>
      </c>
      <c r="BS25">
        <f>VLOOKUP(A25,MS!A$2:G$55,5,0)</f>
        <v>31.83</v>
      </c>
      <c r="BT25">
        <f>VLOOKUP(A25,MSFT!A$2:G$55,5,0)</f>
        <v>43.37</v>
      </c>
      <c r="BU25">
        <f>VLOOKUP(A25,NKE!A$2:G$55,5,0)</f>
        <v>77.16</v>
      </c>
      <c r="BV25">
        <f>VLOOKUP(A25,NOV!A$2:G$55,5,0)</f>
        <v>82.87</v>
      </c>
      <c r="BW25">
        <f>VLOOKUP(A25,NSC!A$2:G$55,5,0)</f>
        <v>101.37</v>
      </c>
      <c r="BX25">
        <f>VLOOKUP(A25,ORCL!A$2:G$55,5,0)</f>
        <v>40.1</v>
      </c>
      <c r="BY25">
        <f>VLOOKUP(A25,OXY!A$2:G$55,5,0)</f>
        <v>100.75</v>
      </c>
      <c r="BZ25">
        <f>VLOOKUP(A25,PEP!A$2:G$55,5,0)</f>
        <v>89.69</v>
      </c>
      <c r="CA25">
        <f>VLOOKUP(A25,PFE!A$2:G$55,5,0)</f>
        <v>28.75</v>
      </c>
      <c r="CB25">
        <f>VLOOKUP(A25,PG!A$2:G$55,5,0)</f>
        <v>79.22</v>
      </c>
      <c r="CC25">
        <f>VLOOKUP(A25,PM!A$2:G$55,5,0)</f>
        <v>82.13</v>
      </c>
      <c r="CD25">
        <f>VLOOKUP(A25,QCOM!A$2:G$55,5,0)</f>
        <v>73.260000000000005</v>
      </c>
      <c r="CE25">
        <f>VLOOKUP(A25,RTN!A$2:G$55,5,0)</f>
        <v>91.55</v>
      </c>
      <c r="CF25">
        <f>VLOOKUP(A25,SBUX!A$2:G$55,5,0)</f>
        <v>77.53</v>
      </c>
      <c r="CG25">
        <f>VLOOKUP(A25,SLB!A$2:G$55,5,0)</f>
        <v>109.67</v>
      </c>
      <c r="CH25">
        <f>VLOOKUP(A25,SO!A$2:G$55,5,0)</f>
        <v>43.1</v>
      </c>
      <c r="CI25">
        <f>VLOOKUP(A25,SPG!A$2:G$55,5,0)</f>
        <v>168.38</v>
      </c>
      <c r="CJ25">
        <f>VLOOKUP(A25,T!A$2:G$55,5,0)</f>
        <v>35.46</v>
      </c>
      <c r="CK25">
        <f>VLOOKUP(A25,TGT!A$2:G$55,5,0)</f>
        <v>60.7</v>
      </c>
      <c r="CL25">
        <f>VLOOKUP(A25,TWX!A$2:G$55,5,0)</f>
        <v>85.53</v>
      </c>
      <c r="CM25">
        <f>VLOOKUP(A25,TXN!A$2:G$55,5,0)</f>
        <v>46.39</v>
      </c>
      <c r="CN25">
        <f>VLOOKUP(A25,UNH!A$2:G$55,5,0)</f>
        <v>82.27</v>
      </c>
      <c r="CO25">
        <f>VLOOKUP(A25,UNP!A$2:G$55,5,0)</f>
        <v>98.29</v>
      </c>
      <c r="CP25">
        <f>VLOOKUP(A25,UPS!A$2:G$55,5,0)</f>
        <v>97.18</v>
      </c>
      <c r="CQ25">
        <f>VLOOKUP(A25,USB!A$2:G$55,5,0)</f>
        <v>41.64</v>
      </c>
      <c r="CR25">
        <f>VLOOKUP(A25,UTX!A$2:G$55,5,0)</f>
        <v>105.05</v>
      </c>
      <c r="CS25">
        <f>VLOOKUP(A25,V!A$2:G$55,5,0)</f>
        <v>212.16</v>
      </c>
      <c r="CT25">
        <f>VLOOKUP(A25,VZ!A$2:G$55,5,0)</f>
        <v>50.21</v>
      </c>
      <c r="CU25">
        <f>VLOOKUP(A25,WAG!A$2:G$55,5,0)</f>
        <v>72.11</v>
      </c>
      <c r="CV25">
        <f>VLOOKUP(A25,WFC!A$2:G$55,5,0)</f>
        <v>50.99</v>
      </c>
      <c r="CW25">
        <f>VLOOKUP(A25,WMT!A$2:G$55,5,0)</f>
        <v>73.540000000000006</v>
      </c>
    </row>
    <row r="26" spans="1:101" x14ac:dyDescent="0.25">
      <c r="A26" s="34">
        <v>41856</v>
      </c>
      <c r="B26" s="36">
        <v>95.12</v>
      </c>
      <c r="C26">
        <f>VLOOKUP(A26,ABBV!A$2:G$55,5,0)</f>
        <v>52.79</v>
      </c>
      <c r="D26">
        <f>VLOOKUP(A26,ABT!A$2:G$55,5,0)</f>
        <v>41.78</v>
      </c>
      <c r="E26">
        <f>VLOOKUP(A26,ACN!A$2:G$55,5,0)</f>
        <v>78.45</v>
      </c>
      <c r="F26">
        <f>VLOOKUP(A26,AIG!A$2:G$55,5,0)</f>
        <v>52.2</v>
      </c>
      <c r="G26">
        <f>VLOOKUP(A26,ALL!A$2:G$55,5,0)</f>
        <v>58.85</v>
      </c>
      <c r="H26">
        <f>VLOOKUP(A26,AMGN!A$2:G$55,5,0)</f>
        <v>127.88</v>
      </c>
      <c r="I26">
        <f>VLOOKUP(A26,AMZN!A$2:G$55,5,0)</f>
        <v>312.32</v>
      </c>
      <c r="J26">
        <f>VLOOKUP(A26,APA!A$2:G$55,5,0)</f>
        <v>99.38</v>
      </c>
      <c r="K26">
        <f>VLOOKUP(A26,APC!A$2:G$55,5,0)</f>
        <v>108.1</v>
      </c>
      <c r="L26">
        <f>VLOOKUP(A26,AXP!A$2:G$55,5,0)</f>
        <v>86.36</v>
      </c>
      <c r="M26">
        <f>VLOOKUP(A26,BA!A$2:G$55,5,0)</f>
        <v>121.27</v>
      </c>
      <c r="N26">
        <f>VLOOKUP(A26,BAC!A$2:G$55,5,0)</f>
        <v>15</v>
      </c>
      <c r="O26">
        <f>VLOOKUP(A26,BAX!A$2:G$55,5,0)</f>
        <v>74.459999999999994</v>
      </c>
      <c r="P26">
        <f>VLOOKUP(A26,BIIB!A$2:G$55,5,0)</f>
        <v>325.23</v>
      </c>
      <c r="Q26">
        <f>VLOOKUP(A26,BK!A$2:G$55,5,0)</f>
        <v>38.950000000000003</v>
      </c>
      <c r="R26">
        <f>VLOOKUP(A26,BMY!A$2:G$55,5,0)</f>
        <v>49.36</v>
      </c>
      <c r="T26">
        <f>VLOOKUP(A26,'C'!A$2:G$55,5,0)</f>
        <v>47.89</v>
      </c>
      <c r="U26">
        <f>VLOOKUP(A26,CAT!A$2:G$55,5,0)</f>
        <v>101.5</v>
      </c>
      <c r="V26">
        <f>VLOOKUP(A26,CL!A$2:G$55,5,0)</f>
        <v>63.77</v>
      </c>
      <c r="W26">
        <f>VLOOKUP(A26,CMCSA!A$2:G$55,5,0)</f>
        <v>53.18</v>
      </c>
      <c r="X26">
        <f>VLOOKUP(A26,COF!A$2:G$55,5,0)</f>
        <v>78.790000000000006</v>
      </c>
      <c r="Y26">
        <f>VLOOKUP(A26,COP!A$2:G$55,5,0)</f>
        <v>79.739999999999995</v>
      </c>
      <c r="Z26">
        <f>VLOOKUP(A26,COST!A$2:G$55,5,0)</f>
        <v>118.05</v>
      </c>
      <c r="AA26">
        <f>VLOOKUP(A26,CSCO!A$2:G$55,5,0)</f>
        <v>24.97</v>
      </c>
      <c r="AB26">
        <f>VLOOKUP(A26,CVS!A$2:G$55,5,0)</f>
        <v>77.27</v>
      </c>
      <c r="AC26">
        <f>VLOOKUP(A26,CVX!A$2:G$55,5,0)</f>
        <v>124.96</v>
      </c>
      <c r="AD26">
        <f>VLOOKUP(A26,DD!A$2:G$55,5,0)</f>
        <v>64.03</v>
      </c>
      <c r="AE26">
        <f>VLOOKUP(A26,DIS!A$2:G$55,5,0)</f>
        <v>86.75</v>
      </c>
      <c r="AF26">
        <f>VLOOKUP(A26,DOW!A$2:G$55,5,0)</f>
        <v>51.1</v>
      </c>
      <c r="AG26">
        <f>VLOOKUP(A26,DVN!A$2:G$55,5,0)</f>
        <v>74.59</v>
      </c>
      <c r="AH26">
        <f>VLOOKUP(A26,EBAY!A$2:G$55,5,0)</f>
        <v>53.26</v>
      </c>
      <c r="AI26">
        <f>VLOOKUP(A26,EMC!A$2:G$55,5,0)</f>
        <v>29.23</v>
      </c>
      <c r="AJ26">
        <f>VLOOKUP(A26,EMR!A$2:G$55,5,0)</f>
        <v>62.84</v>
      </c>
      <c r="AK26">
        <f>VLOOKUP(A26,EXC!A$2:G$55,5,0)</f>
        <v>31.13</v>
      </c>
      <c r="AL26">
        <f>VLOOKUP(A26,F!A$2:G$55,5,0)</f>
        <v>16.87</v>
      </c>
      <c r="AM26">
        <f>VLOOKUP(A26,FB!A$2:G$55,5,0)</f>
        <v>72.69</v>
      </c>
      <c r="AN26">
        <f>VLOOKUP(A26,FCX!A$2:G$55,5,0)</f>
        <v>36.93</v>
      </c>
      <c r="AO26">
        <f>VLOOKUP(A26,FDX!A$2:G$55,5,0)</f>
        <v>146.84</v>
      </c>
      <c r="AP26">
        <f>VLOOKUP(A26,FOXA!A$2:G$55,5,0)</f>
        <v>31.3</v>
      </c>
      <c r="AQ26">
        <f>VLOOKUP(A26,GD!A$2:G$55,5,0)</f>
        <v>116.35</v>
      </c>
      <c r="AR26">
        <f>VLOOKUP(A26,GE!A$2:G$55,5,0)</f>
        <v>25.02</v>
      </c>
      <c r="AS26">
        <f>VLOOKUP(A26,GILD!A$2:G$55,5,0)</f>
        <v>92.27</v>
      </c>
      <c r="AT26">
        <f>VLOOKUP(A26,GM!A$2:G$55,5,0)</f>
        <v>33.36</v>
      </c>
      <c r="AU26">
        <f>VLOOKUP(A26,GOOG!A$2:G$55,5,0)</f>
        <v>565.07000000000005</v>
      </c>
      <c r="AV26">
        <f>VLOOKUP(A26,GOOGL!A$2:G$55,5,0)</f>
        <v>573.14</v>
      </c>
      <c r="AW26">
        <f>VLOOKUP(A26,GS!A$2:G$55,5,0)</f>
        <v>169.42</v>
      </c>
      <c r="AX26">
        <f>VLOOKUP(A26,HAL!A$2:G$55,5,0)</f>
        <v>67.72</v>
      </c>
      <c r="AY26">
        <f>VLOOKUP(A26,HD!A$2:G$55,5,0)</f>
        <v>80.03</v>
      </c>
      <c r="AZ26">
        <f>VLOOKUP(A26,HON!A$2:G$55,5,0)</f>
        <v>91.24</v>
      </c>
      <c r="BA26">
        <f>VLOOKUP(A26,HPQ!A$2:G$55,5,0)</f>
        <v>35.07</v>
      </c>
      <c r="BB26">
        <f>VLOOKUP(A26,IBM!A$2:G$55,5,0)</f>
        <v>187.1</v>
      </c>
      <c r="BC26">
        <f>VLOOKUP(A26,INTC!A$2:G$55,5,0)</f>
        <v>32.82</v>
      </c>
      <c r="BD26">
        <f>VLOOKUP(A26,JNJ!A$2:G$55,5,0)</f>
        <v>99.82</v>
      </c>
      <c r="BE26">
        <f>VLOOKUP(A26,JPM!A$2:G$55,5,0)</f>
        <v>56.06</v>
      </c>
      <c r="BF26">
        <f>VLOOKUP(A26,KO!A$2:G$55,5,0)</f>
        <v>39.18</v>
      </c>
      <c r="BG26">
        <f>VLOOKUP(A26,LLY!A$2:G$55,5,0)</f>
        <v>60.87</v>
      </c>
      <c r="BH26">
        <f>VLOOKUP(A26,LMT!A$2:G$55,5,0)</f>
        <v>166.93</v>
      </c>
      <c r="BI26">
        <f>VLOOKUP(A26,LOW!A$2:G$55,5,0)</f>
        <v>47.64</v>
      </c>
      <c r="BJ26">
        <f>VLOOKUP(A26,MA!A$2:G$55,5,0)</f>
        <v>75.2</v>
      </c>
      <c r="BK26">
        <f>VLOOKUP(A26,MCD!A$2:G$55,5,0)</f>
        <v>93.43</v>
      </c>
      <c r="BL26">
        <f>VLOOKUP(A26,MDLZ!A$2:G$55,5,0)</f>
        <v>35.96</v>
      </c>
      <c r="BM26">
        <f>VLOOKUP(A26,MDT!A$2:G$55,5,0)</f>
        <v>61.99</v>
      </c>
      <c r="BN26">
        <f>VLOOKUP(A26,MET!A$2:G$55,5,0)</f>
        <v>51.67</v>
      </c>
      <c r="BO26">
        <f>VLOOKUP(A26,MMM!A$2:G$55,5,0)</f>
        <v>139.78</v>
      </c>
      <c r="BP26">
        <f>VLOOKUP(A26,MO!A$2:G$55,5,0)</f>
        <v>40.57</v>
      </c>
      <c r="BQ26">
        <f>VLOOKUP(A26,MON!A$2:G$55,5,0)</f>
        <v>115</v>
      </c>
      <c r="BR26">
        <f>VLOOKUP(A26,MRK!A$2:G$55,5,0)</f>
        <v>56.03</v>
      </c>
      <c r="BS26">
        <f>VLOOKUP(A26,MS!A$2:G$55,5,0)</f>
        <v>31.41</v>
      </c>
      <c r="BT26">
        <f>VLOOKUP(A26,MSFT!A$2:G$55,5,0)</f>
        <v>43.08</v>
      </c>
      <c r="BU26">
        <f>VLOOKUP(A26,NKE!A$2:G$55,5,0)</f>
        <v>76.92</v>
      </c>
      <c r="BV26">
        <f>VLOOKUP(A26,NOV!A$2:G$55,5,0)</f>
        <v>81.56</v>
      </c>
      <c r="BW26">
        <f>VLOOKUP(A26,NSC!A$2:G$55,5,0)</f>
        <v>100.69</v>
      </c>
      <c r="BX26">
        <f>VLOOKUP(A26,ORCL!A$2:G$55,5,0)</f>
        <v>39.96</v>
      </c>
      <c r="BY26">
        <f>VLOOKUP(A26,OXY!A$2:G$55,5,0)</f>
        <v>99.11</v>
      </c>
      <c r="BZ26">
        <f>VLOOKUP(A26,PEP!A$2:G$55,5,0)</f>
        <v>89.2</v>
      </c>
      <c r="CA26">
        <f>VLOOKUP(A26,PFE!A$2:G$55,5,0)</f>
        <v>28.41</v>
      </c>
      <c r="CB26">
        <f>VLOOKUP(A26,PG!A$2:G$55,5,0)</f>
        <v>79.41</v>
      </c>
      <c r="CC26">
        <f>VLOOKUP(A26,PM!A$2:G$55,5,0)</f>
        <v>81.58</v>
      </c>
      <c r="CD26">
        <f>VLOOKUP(A26,QCOM!A$2:G$55,5,0)</f>
        <v>72.75</v>
      </c>
      <c r="CE26">
        <f>VLOOKUP(A26,RTN!A$2:G$55,5,0)</f>
        <v>91.57</v>
      </c>
      <c r="CF26">
        <f>VLOOKUP(A26,SBUX!A$2:G$55,5,0)</f>
        <v>76.790000000000006</v>
      </c>
      <c r="CG26">
        <f>VLOOKUP(A26,SLB!A$2:G$55,5,0)</f>
        <v>107.08</v>
      </c>
      <c r="CH26">
        <f>VLOOKUP(A26,SO!A$2:G$55,5,0)</f>
        <v>42.6</v>
      </c>
      <c r="CI26">
        <f>VLOOKUP(A26,SPG!A$2:G$55,5,0)</f>
        <v>166.36</v>
      </c>
      <c r="CJ26">
        <f>VLOOKUP(A26,T!A$2:G$55,5,0)</f>
        <v>35.11</v>
      </c>
      <c r="CK26">
        <f>VLOOKUP(A26,TGT!A$2:G$55,5,0)</f>
        <v>58.03</v>
      </c>
      <c r="CL26">
        <f>VLOOKUP(A26,TWX!A$2:G$55,5,0)</f>
        <v>85.19</v>
      </c>
      <c r="CM26">
        <f>VLOOKUP(A26,TXN!A$2:G$55,5,0)</f>
        <v>45.99</v>
      </c>
      <c r="CN26">
        <f>VLOOKUP(A26,UNH!A$2:G$55,5,0)</f>
        <v>80.989999999999995</v>
      </c>
      <c r="CO26">
        <f>VLOOKUP(A26,UNP!A$2:G$55,5,0)</f>
        <v>97.96</v>
      </c>
      <c r="CP26">
        <f>VLOOKUP(A26,UPS!A$2:G$55,5,0)</f>
        <v>96.51</v>
      </c>
      <c r="CQ26">
        <f>VLOOKUP(A26,USB!A$2:G$55,5,0)</f>
        <v>41.17</v>
      </c>
      <c r="CR26">
        <f>VLOOKUP(A26,UTX!A$2:G$55,5,0)</f>
        <v>105.02</v>
      </c>
      <c r="CS26">
        <f>VLOOKUP(A26,V!A$2:G$55,5,0)</f>
        <v>210.54</v>
      </c>
      <c r="CT26">
        <f>VLOOKUP(A26,VZ!A$2:G$55,5,0)</f>
        <v>49.66</v>
      </c>
      <c r="CU26">
        <f>VLOOKUP(A26,WAG!A$2:G$55,5,0)</f>
        <v>69.12</v>
      </c>
      <c r="CV26">
        <f>VLOOKUP(A26,WFC!A$2:G$55,5,0)</f>
        <v>50.4</v>
      </c>
      <c r="CW26">
        <f>VLOOKUP(A26,WMT!A$2:G$55,5,0)</f>
        <v>73.34</v>
      </c>
    </row>
    <row r="27" spans="1:101" x14ac:dyDescent="0.25">
      <c r="A27" s="34">
        <v>41857</v>
      </c>
      <c r="B27" s="36">
        <v>94.96</v>
      </c>
      <c r="C27">
        <f>VLOOKUP(A27,ABBV!A$2:G$55,5,0)</f>
        <v>52.05</v>
      </c>
      <c r="D27">
        <f>VLOOKUP(A27,ABT!A$2:G$55,5,0)</f>
        <v>41.77</v>
      </c>
      <c r="E27">
        <f>VLOOKUP(A27,ACN!A$2:G$55,5,0)</f>
        <v>77.84</v>
      </c>
      <c r="F27">
        <f>VLOOKUP(A27,AIG!A$2:G$55,5,0)</f>
        <v>52.5</v>
      </c>
      <c r="G27">
        <f>VLOOKUP(A27,ALL!A$2:G$55,5,0)</f>
        <v>59.58</v>
      </c>
      <c r="H27">
        <f>VLOOKUP(A27,AMGN!A$2:G$55,5,0)</f>
        <v>127.09</v>
      </c>
      <c r="I27">
        <f>VLOOKUP(A27,AMZN!A$2:G$55,5,0)</f>
        <v>313.89</v>
      </c>
      <c r="J27">
        <f>VLOOKUP(A27,APA!A$2:G$55,5,0)</f>
        <v>99.95</v>
      </c>
      <c r="K27">
        <f>VLOOKUP(A27,APC!A$2:G$55,5,0)</f>
        <v>106.9</v>
      </c>
      <c r="L27">
        <f>VLOOKUP(A27,AXP!A$2:G$55,5,0)</f>
        <v>86.4</v>
      </c>
      <c r="M27">
        <f>VLOOKUP(A27,BA!A$2:G$55,5,0)</f>
        <v>118.34</v>
      </c>
      <c r="N27">
        <f>VLOOKUP(A27,BAC!A$2:G$55,5,0)</f>
        <v>15.2</v>
      </c>
      <c r="O27">
        <f>VLOOKUP(A27,BAX!A$2:G$55,5,0)</f>
        <v>74.48</v>
      </c>
      <c r="P27">
        <f>VLOOKUP(A27,BIIB!A$2:G$55,5,0)</f>
        <v>325.2</v>
      </c>
      <c r="Q27">
        <f>VLOOKUP(A27,BK!A$2:G$55,5,0)</f>
        <v>39.33</v>
      </c>
      <c r="R27">
        <f>VLOOKUP(A27,BMY!A$2:G$55,5,0)</f>
        <v>49.48</v>
      </c>
      <c r="T27">
        <f>VLOOKUP(A27,'C'!A$2:G$55,5,0)</f>
        <v>48.14</v>
      </c>
      <c r="U27">
        <f>VLOOKUP(A27,CAT!A$2:G$55,5,0)</f>
        <v>101.49</v>
      </c>
      <c r="V27">
        <f>VLOOKUP(A27,CL!A$2:G$55,5,0)</f>
        <v>64.8</v>
      </c>
      <c r="W27">
        <f>VLOOKUP(A27,CMCSA!A$2:G$55,5,0)</f>
        <v>52.9</v>
      </c>
      <c r="X27">
        <f>VLOOKUP(A27,COF!A$2:G$55,5,0)</f>
        <v>78.760000000000005</v>
      </c>
      <c r="Y27">
        <f>VLOOKUP(A27,COP!A$2:G$55,5,0)</f>
        <v>80.61</v>
      </c>
      <c r="Z27">
        <f>VLOOKUP(A27,COST!A$2:G$55,5,0)</f>
        <v>119.59</v>
      </c>
      <c r="AA27">
        <f>VLOOKUP(A27,CSCO!A$2:G$55,5,0)</f>
        <v>24.93</v>
      </c>
      <c r="AB27">
        <f>VLOOKUP(A27,CVS!A$2:G$55,5,0)</f>
        <v>77.03</v>
      </c>
      <c r="AC27">
        <f>VLOOKUP(A27,CVX!A$2:G$55,5,0)</f>
        <v>125.73</v>
      </c>
      <c r="AD27">
        <f>VLOOKUP(A27,DD!A$2:G$55,5,0)</f>
        <v>64.77</v>
      </c>
      <c r="AE27">
        <f>VLOOKUP(A27,DIS!A$2:G$55,5,0)</f>
        <v>86.59</v>
      </c>
      <c r="AF27">
        <f>VLOOKUP(A27,DOW!A$2:G$55,5,0)</f>
        <v>51.49</v>
      </c>
      <c r="AG27">
        <f>VLOOKUP(A27,DVN!A$2:G$55,5,0)</f>
        <v>74.38</v>
      </c>
      <c r="AH27">
        <f>VLOOKUP(A27,EBAY!A$2:G$55,5,0)</f>
        <v>53.46</v>
      </c>
      <c r="AI27">
        <f>VLOOKUP(A27,EMC!A$2:G$55,5,0)</f>
        <v>29.16</v>
      </c>
      <c r="AJ27">
        <f>VLOOKUP(A27,EMR!A$2:G$55,5,0)</f>
        <v>61.85</v>
      </c>
      <c r="AK27">
        <f>VLOOKUP(A27,EXC!A$2:G$55,5,0)</f>
        <v>31.18</v>
      </c>
      <c r="AL27">
        <f>VLOOKUP(A27,F!A$2:G$55,5,0)</f>
        <v>16.98</v>
      </c>
      <c r="AM27">
        <f>VLOOKUP(A27,FB!A$2:G$55,5,0)</f>
        <v>72.47</v>
      </c>
      <c r="AN27">
        <f>VLOOKUP(A27,FCX!A$2:G$55,5,0)</f>
        <v>36.700000000000003</v>
      </c>
      <c r="AO27">
        <f>VLOOKUP(A27,FDX!A$2:G$55,5,0)</f>
        <v>145.47</v>
      </c>
      <c r="AP27">
        <f>VLOOKUP(A27,FOXA!A$2:G$55,5,0)</f>
        <v>32.33</v>
      </c>
      <c r="AQ27">
        <f>VLOOKUP(A27,GD!A$2:G$55,5,0)</f>
        <v>114.75</v>
      </c>
      <c r="AR27">
        <f>VLOOKUP(A27,GE!A$2:G$55,5,0)</f>
        <v>25.44</v>
      </c>
      <c r="AS27">
        <f>VLOOKUP(A27,GILD!A$2:G$55,5,0)</f>
        <v>92.79</v>
      </c>
      <c r="AT27">
        <f>VLOOKUP(A27,GM!A$2:G$55,5,0)</f>
        <v>33.4</v>
      </c>
      <c r="AU27">
        <f>VLOOKUP(A27,GOOG!A$2:G$55,5,0)</f>
        <v>566.37</v>
      </c>
      <c r="AV27">
        <f>VLOOKUP(A27,GOOGL!A$2:G$55,5,0)</f>
        <v>574.49</v>
      </c>
      <c r="AW27">
        <f>VLOOKUP(A27,GS!A$2:G$55,5,0)</f>
        <v>169.74</v>
      </c>
      <c r="AX27">
        <f>VLOOKUP(A27,HAL!A$2:G$55,5,0)</f>
        <v>67.959999999999994</v>
      </c>
      <c r="AY27">
        <f>VLOOKUP(A27,HD!A$2:G$55,5,0)</f>
        <v>80.52</v>
      </c>
      <c r="AZ27">
        <f>VLOOKUP(A27,HON!A$2:G$55,5,0)</f>
        <v>90.56</v>
      </c>
      <c r="BA27">
        <f>VLOOKUP(A27,HPQ!A$2:G$55,5,0)</f>
        <v>35.04</v>
      </c>
      <c r="BB27">
        <f>VLOOKUP(A27,IBM!A$2:G$55,5,0)</f>
        <v>185.97</v>
      </c>
      <c r="BC27">
        <f>VLOOKUP(A27,INTC!A$2:G$55,5,0)</f>
        <v>32.85</v>
      </c>
      <c r="BD27">
        <f>VLOOKUP(A27,JNJ!A$2:G$55,5,0)</f>
        <v>100.71</v>
      </c>
      <c r="BE27">
        <f>VLOOKUP(A27,JPM!A$2:G$55,5,0)</f>
        <v>56.23</v>
      </c>
      <c r="BF27">
        <f>VLOOKUP(A27,KO!A$2:G$55,5,0)</f>
        <v>39.92</v>
      </c>
      <c r="BG27">
        <f>VLOOKUP(A27,LLY!A$2:G$55,5,0)</f>
        <v>61.11</v>
      </c>
      <c r="BH27">
        <f>VLOOKUP(A27,LMT!A$2:G$55,5,0)</f>
        <v>163.05000000000001</v>
      </c>
      <c r="BI27">
        <f>VLOOKUP(A27,LOW!A$2:G$55,5,0)</f>
        <v>48.1</v>
      </c>
      <c r="BJ27">
        <f>VLOOKUP(A27,MA!A$2:G$55,5,0)</f>
        <v>75.36</v>
      </c>
      <c r="BK27">
        <f>VLOOKUP(A27,MCD!A$2:G$55,5,0)</f>
        <v>93.47</v>
      </c>
      <c r="BL27">
        <f>VLOOKUP(A27,MDLZ!A$2:G$55,5,0)</f>
        <v>35.659999999999997</v>
      </c>
      <c r="BM27">
        <f>VLOOKUP(A27,MDT!A$2:G$55,5,0)</f>
        <v>61.3</v>
      </c>
      <c r="BN27">
        <f>VLOOKUP(A27,MET!A$2:G$55,5,0)</f>
        <v>51.33</v>
      </c>
      <c r="BO27">
        <f>VLOOKUP(A27,MMM!A$2:G$55,5,0)</f>
        <v>139.55000000000001</v>
      </c>
      <c r="BP27">
        <f>VLOOKUP(A27,MO!A$2:G$55,5,0)</f>
        <v>41.43</v>
      </c>
      <c r="BQ27">
        <f>VLOOKUP(A27,MON!A$2:G$55,5,0)</f>
        <v>116.05</v>
      </c>
      <c r="BR27">
        <f>VLOOKUP(A27,MRK!A$2:G$55,5,0)</f>
        <v>55.93</v>
      </c>
      <c r="BS27">
        <f>VLOOKUP(A27,MS!A$2:G$55,5,0)</f>
        <v>31.56</v>
      </c>
      <c r="BT27">
        <f>VLOOKUP(A27,MSFT!A$2:G$55,5,0)</f>
        <v>42.74</v>
      </c>
      <c r="BU27">
        <f>VLOOKUP(A27,NKE!A$2:G$55,5,0)</f>
        <v>77.14</v>
      </c>
      <c r="BV27">
        <f>VLOOKUP(A27,NOV!A$2:G$55,5,0)</f>
        <v>82.01</v>
      </c>
      <c r="BW27">
        <f>VLOOKUP(A27,NSC!A$2:G$55,5,0)</f>
        <v>100.09</v>
      </c>
      <c r="BX27">
        <f>VLOOKUP(A27,ORCL!A$2:G$55,5,0)</f>
        <v>40.159999999999997</v>
      </c>
      <c r="BY27">
        <f>VLOOKUP(A27,OXY!A$2:G$55,5,0)</f>
        <v>99.41</v>
      </c>
      <c r="BZ27">
        <f>VLOOKUP(A27,PEP!A$2:G$55,5,0)</f>
        <v>90.51</v>
      </c>
      <c r="CA27">
        <f>VLOOKUP(A27,PFE!A$2:G$55,5,0)</f>
        <v>28.28</v>
      </c>
      <c r="CB27">
        <f>VLOOKUP(A27,PG!A$2:G$55,5,0)</f>
        <v>81.09</v>
      </c>
      <c r="CC27">
        <f>VLOOKUP(A27,PM!A$2:G$55,5,0)</f>
        <v>83.48</v>
      </c>
      <c r="CD27">
        <f>VLOOKUP(A27,QCOM!A$2:G$55,5,0)</f>
        <v>72.89</v>
      </c>
      <c r="CE27">
        <f>VLOOKUP(A27,RTN!A$2:G$55,5,0)</f>
        <v>89.52</v>
      </c>
      <c r="CF27">
        <f>VLOOKUP(A27,SBUX!A$2:G$55,5,0)</f>
        <v>77.13</v>
      </c>
      <c r="CG27">
        <f>VLOOKUP(A27,SLB!A$2:G$55,5,0)</f>
        <v>107.57</v>
      </c>
      <c r="CH27">
        <f>VLOOKUP(A27,SO!A$2:G$55,5,0)</f>
        <v>42.17</v>
      </c>
      <c r="CI27">
        <f>VLOOKUP(A27,SPG!A$2:G$55,5,0)</f>
        <v>165.3</v>
      </c>
      <c r="CJ27">
        <f>VLOOKUP(A27,T!A$2:G$55,5,0)</f>
        <v>34.619999999999997</v>
      </c>
      <c r="CK27">
        <f>VLOOKUP(A27,TGT!A$2:G$55,5,0)</f>
        <v>57.97</v>
      </c>
      <c r="CL27">
        <f>VLOOKUP(A27,TWX!A$2:G$55,5,0)</f>
        <v>74.239999999999995</v>
      </c>
      <c r="CM27">
        <f>VLOOKUP(A27,TXN!A$2:G$55,5,0)</f>
        <v>46.17</v>
      </c>
      <c r="CN27">
        <f>VLOOKUP(A27,UNH!A$2:G$55,5,0)</f>
        <v>81.5</v>
      </c>
      <c r="CO27">
        <f>VLOOKUP(A27,UNP!A$2:G$55,5,0)</f>
        <v>97.51</v>
      </c>
      <c r="CP27">
        <f>VLOOKUP(A27,UPS!A$2:G$55,5,0)</f>
        <v>95.73</v>
      </c>
      <c r="CQ27">
        <f>VLOOKUP(A27,USB!A$2:G$55,5,0)</f>
        <v>41.08</v>
      </c>
      <c r="CR27">
        <f>VLOOKUP(A27,UTX!A$2:G$55,5,0)</f>
        <v>103.79</v>
      </c>
      <c r="CS27">
        <f>VLOOKUP(A27,V!A$2:G$55,5,0)</f>
        <v>210.69</v>
      </c>
      <c r="CT27">
        <f>VLOOKUP(A27,VZ!A$2:G$55,5,0)</f>
        <v>49.13</v>
      </c>
      <c r="CU27">
        <f>VLOOKUP(A27,WAG!A$2:G$55,5,0)</f>
        <v>59.21</v>
      </c>
      <c r="CV27">
        <f>VLOOKUP(A27,WFC!A$2:G$55,5,0)</f>
        <v>50.06</v>
      </c>
      <c r="CW27">
        <f>VLOOKUP(A27,WMT!A$2:G$55,5,0)</f>
        <v>74.2</v>
      </c>
    </row>
    <row r="28" spans="1:101" x14ac:dyDescent="0.25">
      <c r="A28" s="34">
        <v>41858</v>
      </c>
      <c r="B28" s="36">
        <v>94.48</v>
      </c>
      <c r="C28">
        <f>VLOOKUP(A28,ABBV!A$2:G$55,5,0)</f>
        <v>52.43</v>
      </c>
      <c r="D28">
        <f>VLOOKUP(A28,ABT!A$2:G$55,5,0)</f>
        <v>41.53</v>
      </c>
      <c r="E28">
        <f>VLOOKUP(A28,ACN!A$2:G$55,5,0)</f>
        <v>77.5</v>
      </c>
      <c r="F28">
        <f>VLOOKUP(A28,AIG!A$2:G$55,5,0)</f>
        <v>52.06</v>
      </c>
      <c r="G28">
        <f>VLOOKUP(A28,ALL!A$2:G$55,5,0)</f>
        <v>59.31</v>
      </c>
      <c r="H28">
        <f>VLOOKUP(A28,AMGN!A$2:G$55,5,0)</f>
        <v>125.75</v>
      </c>
      <c r="I28">
        <f>VLOOKUP(A28,AMZN!A$2:G$55,5,0)</f>
        <v>311.45</v>
      </c>
      <c r="J28">
        <f>VLOOKUP(A28,APA!A$2:G$55,5,0)</f>
        <v>98.57</v>
      </c>
      <c r="K28">
        <f>VLOOKUP(A28,APC!A$2:G$55,5,0)</f>
        <v>107.12</v>
      </c>
      <c r="L28">
        <f>VLOOKUP(A28,AXP!A$2:G$55,5,0)</f>
        <v>86.02</v>
      </c>
      <c r="M28">
        <f>VLOOKUP(A28,BA!A$2:G$55,5,0)</f>
        <v>119.84</v>
      </c>
      <c r="N28">
        <f>VLOOKUP(A28,BAC!A$2:G$55,5,0)</f>
        <v>15.12</v>
      </c>
      <c r="O28">
        <f>VLOOKUP(A28,BAX!A$2:G$55,5,0)</f>
        <v>73.77</v>
      </c>
      <c r="P28">
        <f>VLOOKUP(A28,BIIB!A$2:G$55,5,0)</f>
        <v>320.60000000000002</v>
      </c>
      <c r="Q28">
        <f>VLOOKUP(A28,BK!A$2:G$55,5,0)</f>
        <v>38.42</v>
      </c>
      <c r="R28">
        <f>VLOOKUP(A28,BMY!A$2:G$55,5,0)</f>
        <v>48.65</v>
      </c>
      <c r="T28">
        <f>VLOOKUP(A28,'C'!A$2:G$55,5,0)</f>
        <v>48.06</v>
      </c>
      <c r="U28">
        <f>VLOOKUP(A28,CAT!A$2:G$55,5,0)</f>
        <v>101.94</v>
      </c>
      <c r="V28">
        <f>VLOOKUP(A28,CL!A$2:G$55,5,0)</f>
        <v>64.45</v>
      </c>
      <c r="W28">
        <f>VLOOKUP(A28,CMCSA!A$2:G$55,5,0)</f>
        <v>52.68</v>
      </c>
      <c r="X28">
        <f>VLOOKUP(A28,COF!A$2:G$55,5,0)</f>
        <v>78.040000000000006</v>
      </c>
      <c r="Y28">
        <f>VLOOKUP(A28,COP!A$2:G$55,5,0)</f>
        <v>79.59</v>
      </c>
      <c r="Z28">
        <f>VLOOKUP(A28,COST!A$2:G$55,5,0)</f>
        <v>117.8</v>
      </c>
      <c r="AA28">
        <f>VLOOKUP(A28,CSCO!A$2:G$55,5,0)</f>
        <v>24.86</v>
      </c>
      <c r="AB28">
        <f>VLOOKUP(A28,CVS!A$2:G$55,5,0)</f>
        <v>76.11</v>
      </c>
      <c r="AC28">
        <f>VLOOKUP(A28,CVX!A$2:G$55,5,0)</f>
        <v>125.65</v>
      </c>
      <c r="AD28">
        <f>VLOOKUP(A28,DD!A$2:G$55,5,0)</f>
        <v>64.400000000000006</v>
      </c>
      <c r="AE28">
        <f>VLOOKUP(A28,DIS!A$2:G$55,5,0)</f>
        <v>85.51</v>
      </c>
      <c r="AF28">
        <f>VLOOKUP(A28,DOW!A$2:G$55,5,0)</f>
        <v>51.32</v>
      </c>
      <c r="AG28">
        <f>VLOOKUP(A28,DVN!A$2:G$55,5,0)</f>
        <v>73.47</v>
      </c>
      <c r="AH28">
        <f>VLOOKUP(A28,EBAY!A$2:G$55,5,0)</f>
        <v>53.56</v>
      </c>
      <c r="AI28">
        <f>VLOOKUP(A28,EMC!A$2:G$55,5,0)</f>
        <v>28.91</v>
      </c>
      <c r="AJ28">
        <f>VLOOKUP(A28,EMR!A$2:G$55,5,0)</f>
        <v>61.79</v>
      </c>
      <c r="AK28">
        <f>VLOOKUP(A28,EXC!A$2:G$55,5,0)</f>
        <v>31.56</v>
      </c>
      <c r="AL28">
        <f>VLOOKUP(A28,F!A$2:G$55,5,0)</f>
        <v>16.82</v>
      </c>
      <c r="AM28">
        <f>VLOOKUP(A28,FB!A$2:G$55,5,0)</f>
        <v>73.17</v>
      </c>
      <c r="AN28">
        <f>VLOOKUP(A28,FCX!A$2:G$55,5,0)</f>
        <v>36.15</v>
      </c>
      <c r="AO28">
        <f>VLOOKUP(A28,FDX!A$2:G$55,5,0)</f>
        <v>146.02000000000001</v>
      </c>
      <c r="AP28">
        <f>VLOOKUP(A28,FOXA!A$2:G$55,5,0)</f>
        <v>33.96</v>
      </c>
      <c r="AQ28">
        <f>VLOOKUP(A28,GD!A$2:G$55,5,0)</f>
        <v>114.39</v>
      </c>
      <c r="AR28">
        <f>VLOOKUP(A28,GE!A$2:G$55,5,0)</f>
        <v>25.5</v>
      </c>
      <c r="AS28">
        <f>VLOOKUP(A28,GILD!A$2:G$55,5,0)</f>
        <v>92.05</v>
      </c>
      <c r="AT28">
        <f>VLOOKUP(A28,GM!A$2:G$55,5,0)</f>
        <v>33.11</v>
      </c>
      <c r="AU28">
        <f>VLOOKUP(A28,GOOG!A$2:G$55,5,0)</f>
        <v>563.36</v>
      </c>
      <c r="AV28">
        <f>VLOOKUP(A28,GOOGL!A$2:G$55,5,0)</f>
        <v>571.80999999999995</v>
      </c>
      <c r="AW28">
        <f>VLOOKUP(A28,GS!A$2:G$55,5,0)</f>
        <v>169.1</v>
      </c>
      <c r="AX28">
        <f>VLOOKUP(A28,HAL!A$2:G$55,5,0)</f>
        <v>67.37</v>
      </c>
      <c r="AY28">
        <f>VLOOKUP(A28,HD!A$2:G$55,5,0)</f>
        <v>80.47</v>
      </c>
      <c r="AZ28">
        <f>VLOOKUP(A28,HON!A$2:G$55,5,0)</f>
        <v>90.96</v>
      </c>
      <c r="BA28">
        <f>VLOOKUP(A28,HPQ!A$2:G$55,5,0)</f>
        <v>34.82</v>
      </c>
      <c r="BB28">
        <f>VLOOKUP(A28,IBM!A$2:G$55,5,0)</f>
        <v>184.3</v>
      </c>
      <c r="BC28">
        <f>VLOOKUP(A28,INTC!A$2:G$55,5,0)</f>
        <v>32.68</v>
      </c>
      <c r="BD28">
        <f>VLOOKUP(A28,JNJ!A$2:G$55,5,0)</f>
        <v>99.93</v>
      </c>
      <c r="BE28">
        <f>VLOOKUP(A28,JPM!A$2:G$55,5,0)</f>
        <v>55.91</v>
      </c>
      <c r="BF28">
        <f>VLOOKUP(A28,KO!A$2:G$55,5,0)</f>
        <v>39.35</v>
      </c>
      <c r="BG28">
        <f>VLOOKUP(A28,LLY!A$2:G$55,5,0)</f>
        <v>60.35</v>
      </c>
      <c r="BH28">
        <f>VLOOKUP(A28,LMT!A$2:G$55,5,0)</f>
        <v>162.94999999999999</v>
      </c>
      <c r="BI28">
        <f>VLOOKUP(A28,LOW!A$2:G$55,5,0)</f>
        <v>47.92</v>
      </c>
      <c r="BJ28">
        <f>VLOOKUP(A28,MA!A$2:G$55,5,0)</f>
        <v>74.06</v>
      </c>
      <c r="BK28">
        <f>VLOOKUP(A28,MCD!A$2:G$55,5,0)</f>
        <v>93.31</v>
      </c>
      <c r="BL28">
        <f>VLOOKUP(A28,MDLZ!A$2:G$55,5,0)</f>
        <v>35.07</v>
      </c>
      <c r="BM28">
        <f>VLOOKUP(A28,MDT!A$2:G$55,5,0)</f>
        <v>61</v>
      </c>
      <c r="BN28">
        <f>VLOOKUP(A28,MET!A$2:G$55,5,0)</f>
        <v>51.08</v>
      </c>
      <c r="BO28">
        <f>VLOOKUP(A28,MMM!A$2:G$55,5,0)</f>
        <v>139.13</v>
      </c>
      <c r="BP28">
        <f>VLOOKUP(A28,MO!A$2:G$55,5,0)</f>
        <v>41.15</v>
      </c>
      <c r="BQ28">
        <f>VLOOKUP(A28,MON!A$2:G$55,5,0)</f>
        <v>115.15</v>
      </c>
      <c r="BR28">
        <f>VLOOKUP(A28,MRK!A$2:G$55,5,0)</f>
        <v>55.64</v>
      </c>
      <c r="BS28">
        <f>VLOOKUP(A28,MS!A$2:G$55,5,0)</f>
        <v>31.36</v>
      </c>
      <c r="BT28">
        <f>VLOOKUP(A28,MSFT!A$2:G$55,5,0)</f>
        <v>43.23</v>
      </c>
      <c r="BU28">
        <f>VLOOKUP(A28,NKE!A$2:G$55,5,0)</f>
        <v>76.349999999999994</v>
      </c>
      <c r="BV28">
        <f>VLOOKUP(A28,NOV!A$2:G$55,5,0)</f>
        <v>81.64</v>
      </c>
      <c r="BW28">
        <f>VLOOKUP(A28,NSC!A$2:G$55,5,0)</f>
        <v>100</v>
      </c>
      <c r="BX28">
        <f>VLOOKUP(A28,ORCL!A$2:G$55,5,0)</f>
        <v>39.67</v>
      </c>
      <c r="BY28">
        <f>VLOOKUP(A28,OXY!A$2:G$55,5,0)</f>
        <v>98.29</v>
      </c>
      <c r="BZ28">
        <f>VLOOKUP(A28,PEP!A$2:G$55,5,0)</f>
        <v>89.9</v>
      </c>
      <c r="CA28">
        <f>VLOOKUP(A28,PFE!A$2:G$55,5,0)</f>
        <v>28.04</v>
      </c>
      <c r="CB28">
        <f>VLOOKUP(A28,PG!A$2:G$55,5,0)</f>
        <v>80.14</v>
      </c>
      <c r="CC28">
        <f>VLOOKUP(A28,PM!A$2:G$55,5,0)</f>
        <v>82.71</v>
      </c>
      <c r="CD28">
        <f>VLOOKUP(A28,QCOM!A$2:G$55,5,0)</f>
        <v>72.489999999999995</v>
      </c>
      <c r="CE28">
        <f>VLOOKUP(A28,RTN!A$2:G$55,5,0)</f>
        <v>89.43</v>
      </c>
      <c r="CF28">
        <f>VLOOKUP(A28,SBUX!A$2:G$55,5,0)</f>
        <v>76.709999999999994</v>
      </c>
      <c r="CG28">
        <f>VLOOKUP(A28,SLB!A$2:G$55,5,0)</f>
        <v>107.01</v>
      </c>
      <c r="CH28">
        <f>VLOOKUP(A28,SO!A$2:G$55,5,0)</f>
        <v>42.62</v>
      </c>
      <c r="CI28">
        <f>VLOOKUP(A28,SPG!A$2:G$55,5,0)</f>
        <v>165.27</v>
      </c>
      <c r="CJ28">
        <f>VLOOKUP(A28,T!A$2:G$55,5,0)</f>
        <v>34.21</v>
      </c>
      <c r="CK28">
        <f>VLOOKUP(A28,TGT!A$2:G$55,5,0)</f>
        <v>57.5</v>
      </c>
      <c r="CL28">
        <f>VLOOKUP(A28,TWX!A$2:G$55,5,0)</f>
        <v>72.06</v>
      </c>
      <c r="CM28">
        <f>VLOOKUP(A28,TXN!A$2:G$55,5,0)</f>
        <v>45.67</v>
      </c>
      <c r="CN28">
        <f>VLOOKUP(A28,UNH!A$2:G$55,5,0)</f>
        <v>79.260000000000005</v>
      </c>
      <c r="CO28">
        <f>VLOOKUP(A28,UNP!A$2:G$55,5,0)</f>
        <v>97.48</v>
      </c>
      <c r="CP28">
        <f>VLOOKUP(A28,UPS!A$2:G$55,5,0)</f>
        <v>95.05</v>
      </c>
      <c r="CQ28">
        <f>VLOOKUP(A28,USB!A$2:G$55,5,0)</f>
        <v>40.68</v>
      </c>
      <c r="CR28">
        <f>VLOOKUP(A28,UTX!A$2:G$55,5,0)</f>
        <v>104.22</v>
      </c>
      <c r="CS28">
        <f>VLOOKUP(A28,V!A$2:G$55,5,0)</f>
        <v>209.04</v>
      </c>
      <c r="CT28">
        <f>VLOOKUP(A28,VZ!A$2:G$55,5,0)</f>
        <v>48.65</v>
      </c>
      <c r="CU28">
        <f>VLOOKUP(A28,WAG!A$2:G$55,5,0)</f>
        <v>60.87</v>
      </c>
      <c r="CV28">
        <f>VLOOKUP(A28,WFC!A$2:G$55,5,0)</f>
        <v>49.7</v>
      </c>
      <c r="CW28">
        <f>VLOOKUP(A28,WMT!A$2:G$55,5,0)</f>
        <v>73.95</v>
      </c>
    </row>
    <row r="29" spans="1:101" x14ac:dyDescent="0.25">
      <c r="A29" s="34">
        <v>41859</v>
      </c>
      <c r="B29" s="36">
        <v>94.74</v>
      </c>
      <c r="C29">
        <f>VLOOKUP(A29,ABBV!A$2:G$55,5,0)</f>
        <v>52.82</v>
      </c>
      <c r="D29">
        <f>VLOOKUP(A29,ABT!A$2:G$55,5,0)</f>
        <v>41.69</v>
      </c>
      <c r="E29">
        <f>VLOOKUP(A29,ACN!A$2:G$55,5,0)</f>
        <v>78.87</v>
      </c>
      <c r="F29">
        <f>VLOOKUP(A29,AIG!A$2:G$55,5,0)</f>
        <v>52.45</v>
      </c>
      <c r="G29">
        <f>VLOOKUP(A29,ALL!A$2:G$55,5,0)</f>
        <v>59.67</v>
      </c>
      <c r="H29">
        <f>VLOOKUP(A29,AMGN!A$2:G$55,5,0)</f>
        <v>126.95</v>
      </c>
      <c r="I29">
        <f>VLOOKUP(A29,AMZN!A$2:G$55,5,0)</f>
        <v>316.8</v>
      </c>
      <c r="J29">
        <f>VLOOKUP(A29,APA!A$2:G$55,5,0)</f>
        <v>100.38</v>
      </c>
      <c r="K29">
        <f>VLOOKUP(A29,APC!A$2:G$55,5,0)</f>
        <v>109.23</v>
      </c>
      <c r="L29">
        <f>VLOOKUP(A29,AXP!A$2:G$55,5,0)</f>
        <v>87.47</v>
      </c>
      <c r="M29">
        <f>VLOOKUP(A29,BA!A$2:G$55,5,0)</f>
        <v>120.63</v>
      </c>
      <c r="N29">
        <f>VLOOKUP(A29,BAC!A$2:G$55,5,0)</f>
        <v>15.2</v>
      </c>
      <c r="O29">
        <f>VLOOKUP(A29,BAX!A$2:G$55,5,0)</f>
        <v>73.900000000000006</v>
      </c>
      <c r="P29">
        <f>VLOOKUP(A29,BIIB!A$2:G$55,5,0)</f>
        <v>324.05</v>
      </c>
      <c r="Q29">
        <f>VLOOKUP(A29,BK!A$2:G$55,5,0)</f>
        <v>38.5</v>
      </c>
      <c r="R29">
        <f>VLOOKUP(A29,BMY!A$2:G$55,5,0)</f>
        <v>49.19</v>
      </c>
      <c r="T29">
        <f>VLOOKUP(A29,'C'!A$2:G$55,5,0)</f>
        <v>48.45</v>
      </c>
      <c r="U29">
        <f>VLOOKUP(A29,CAT!A$2:G$55,5,0)</f>
        <v>103.28</v>
      </c>
      <c r="V29">
        <f>VLOOKUP(A29,CL!A$2:G$55,5,0)</f>
        <v>65.180000000000007</v>
      </c>
      <c r="W29">
        <f>VLOOKUP(A29,CMCSA!A$2:G$55,5,0)</f>
        <v>53.5</v>
      </c>
      <c r="X29">
        <f>VLOOKUP(A29,COF!A$2:G$55,5,0)</f>
        <v>78.88</v>
      </c>
      <c r="Y29">
        <f>VLOOKUP(A29,COP!A$2:G$55,5,0)</f>
        <v>81.33</v>
      </c>
      <c r="Z29">
        <f>VLOOKUP(A29,COST!A$2:G$55,5,0)</f>
        <v>119.16</v>
      </c>
      <c r="AA29">
        <f>VLOOKUP(A29,CSCO!A$2:G$55,5,0)</f>
        <v>25.03</v>
      </c>
      <c r="AB29">
        <f>VLOOKUP(A29,CVS!A$2:G$55,5,0)</f>
        <v>77.81</v>
      </c>
      <c r="AC29">
        <f>VLOOKUP(A29,CVX!A$2:G$55,5,0)</f>
        <v>127.86</v>
      </c>
      <c r="AD29">
        <f>VLOOKUP(A29,DD!A$2:G$55,5,0)</f>
        <v>65.040000000000006</v>
      </c>
      <c r="AE29">
        <f>VLOOKUP(A29,DIS!A$2:G$55,5,0)</f>
        <v>86.85</v>
      </c>
      <c r="AF29">
        <f>VLOOKUP(A29,DOW!A$2:G$55,5,0)</f>
        <v>52.28</v>
      </c>
      <c r="AG29">
        <f>VLOOKUP(A29,DVN!A$2:G$55,5,0)</f>
        <v>74.38</v>
      </c>
      <c r="AH29">
        <f>VLOOKUP(A29,EBAY!A$2:G$55,5,0)</f>
        <v>54.09</v>
      </c>
      <c r="AI29">
        <f>VLOOKUP(A29,EMC!A$2:G$55,5,0)</f>
        <v>29.09</v>
      </c>
      <c r="AJ29">
        <f>VLOOKUP(A29,EMR!A$2:G$55,5,0)</f>
        <v>62.8</v>
      </c>
      <c r="AK29">
        <f>VLOOKUP(A29,EXC!A$2:G$55,5,0)</f>
        <v>32.119999999999997</v>
      </c>
      <c r="AL29">
        <f>VLOOKUP(A29,F!A$2:G$55,5,0)</f>
        <v>17.09</v>
      </c>
      <c r="AM29">
        <f>VLOOKUP(A29,FB!A$2:G$55,5,0)</f>
        <v>73.06</v>
      </c>
      <c r="AN29">
        <f>VLOOKUP(A29,FCX!A$2:G$55,5,0)</f>
        <v>36.49</v>
      </c>
      <c r="AO29">
        <f>VLOOKUP(A29,FDX!A$2:G$55,5,0)</f>
        <v>147.85</v>
      </c>
      <c r="AP29">
        <f>VLOOKUP(A29,FOXA!A$2:G$55,5,0)</f>
        <v>34.369999999999997</v>
      </c>
      <c r="AQ29">
        <f>VLOOKUP(A29,GD!A$2:G$55,5,0)</f>
        <v>117.16</v>
      </c>
      <c r="AR29">
        <f>VLOOKUP(A29,GE!A$2:G$55,5,0)</f>
        <v>25.66</v>
      </c>
      <c r="AS29">
        <f>VLOOKUP(A29,GILD!A$2:G$55,5,0)</f>
        <v>92.45</v>
      </c>
      <c r="AT29">
        <f>VLOOKUP(A29,GM!A$2:G$55,5,0)</f>
        <v>33.53</v>
      </c>
      <c r="AU29">
        <f>VLOOKUP(A29,GOOG!A$2:G$55,5,0)</f>
        <v>568.77</v>
      </c>
      <c r="AV29">
        <f>VLOOKUP(A29,GOOGL!A$2:G$55,5,0)</f>
        <v>577.94000000000005</v>
      </c>
      <c r="AW29">
        <f>VLOOKUP(A29,GS!A$2:G$55,5,0)</f>
        <v>172.26</v>
      </c>
      <c r="AX29">
        <f>VLOOKUP(A29,HAL!A$2:G$55,5,0)</f>
        <v>68.31</v>
      </c>
      <c r="AY29">
        <f>VLOOKUP(A29,HD!A$2:G$55,5,0)</f>
        <v>82.43</v>
      </c>
      <c r="AZ29">
        <f>VLOOKUP(A29,HON!A$2:G$55,5,0)</f>
        <v>92.71</v>
      </c>
      <c r="BA29">
        <f>VLOOKUP(A29,HPQ!A$2:G$55,5,0)</f>
        <v>35.17</v>
      </c>
      <c r="BB29">
        <f>VLOOKUP(A29,IBM!A$2:G$55,5,0)</f>
        <v>186.63</v>
      </c>
      <c r="BC29">
        <f>VLOOKUP(A29,INTC!A$2:G$55,5,0)</f>
        <v>32.6</v>
      </c>
      <c r="BD29">
        <f>VLOOKUP(A29,JNJ!A$2:G$55,5,0)</f>
        <v>101.08</v>
      </c>
      <c r="BE29">
        <f>VLOOKUP(A29,JPM!A$2:G$55,5,0)</f>
        <v>56.34</v>
      </c>
      <c r="BF29">
        <f>VLOOKUP(A29,KO!A$2:G$55,5,0)</f>
        <v>39.450000000000003</v>
      </c>
      <c r="BG29">
        <f>VLOOKUP(A29,LLY!A$2:G$55,5,0)</f>
        <v>60.98</v>
      </c>
      <c r="BH29">
        <f>VLOOKUP(A29,LMT!A$2:G$55,5,0)</f>
        <v>165.8</v>
      </c>
      <c r="BI29">
        <f>VLOOKUP(A29,LOW!A$2:G$55,5,0)</f>
        <v>49.72</v>
      </c>
      <c r="BJ29">
        <f>VLOOKUP(A29,MA!A$2:G$55,5,0)</f>
        <v>75.17</v>
      </c>
      <c r="BK29">
        <f>VLOOKUP(A29,MCD!A$2:G$55,5,0)</f>
        <v>93.55</v>
      </c>
      <c r="BL29">
        <f>VLOOKUP(A29,MDLZ!A$2:G$55,5,0)</f>
        <v>35.479999999999997</v>
      </c>
      <c r="BM29">
        <f>VLOOKUP(A29,MDT!A$2:G$55,5,0)</f>
        <v>62.15</v>
      </c>
      <c r="BN29">
        <f>VLOOKUP(A29,MET!A$2:G$55,5,0)</f>
        <v>51.7</v>
      </c>
      <c r="BO29">
        <f>VLOOKUP(A29,MMM!A$2:G$55,5,0)</f>
        <v>140.85</v>
      </c>
      <c r="BP29">
        <f>VLOOKUP(A29,MO!A$2:G$55,5,0)</f>
        <v>41.63</v>
      </c>
      <c r="BQ29">
        <f>VLOOKUP(A29,MON!A$2:G$55,5,0)</f>
        <v>115.47</v>
      </c>
      <c r="BR29">
        <f>VLOOKUP(A29,MRK!A$2:G$55,5,0)</f>
        <v>56.55</v>
      </c>
      <c r="BS29">
        <f>VLOOKUP(A29,MS!A$2:G$55,5,0)</f>
        <v>31.95</v>
      </c>
      <c r="BT29">
        <f>VLOOKUP(A29,MSFT!A$2:G$55,5,0)</f>
        <v>43.2</v>
      </c>
      <c r="BU29">
        <f>VLOOKUP(A29,NKE!A$2:G$55,5,0)</f>
        <v>77.06</v>
      </c>
      <c r="BV29">
        <f>VLOOKUP(A29,NOV!A$2:G$55,5,0)</f>
        <v>82.31</v>
      </c>
      <c r="BW29">
        <f>VLOOKUP(A29,NSC!A$2:G$55,5,0)</f>
        <v>101.37</v>
      </c>
      <c r="BX29">
        <f>VLOOKUP(A29,ORCL!A$2:G$55,5,0)</f>
        <v>39.94</v>
      </c>
      <c r="BY29">
        <f>VLOOKUP(A29,OXY!A$2:G$55,5,0)</f>
        <v>99.8</v>
      </c>
      <c r="BZ29">
        <f>VLOOKUP(A29,PEP!A$2:G$55,5,0)</f>
        <v>90.29</v>
      </c>
      <c r="CA29">
        <f>VLOOKUP(A29,PFE!A$2:G$55,5,0)</f>
        <v>28.34</v>
      </c>
      <c r="CB29">
        <f>VLOOKUP(A29,PG!A$2:G$55,5,0)</f>
        <v>80.95</v>
      </c>
      <c r="CC29">
        <f>VLOOKUP(A29,PM!A$2:G$55,5,0)</f>
        <v>83.84</v>
      </c>
      <c r="CD29">
        <f>VLOOKUP(A29,QCOM!A$2:G$55,5,0)</f>
        <v>73.88</v>
      </c>
      <c r="CE29">
        <f>VLOOKUP(A29,RTN!A$2:G$55,5,0)</f>
        <v>91.61</v>
      </c>
      <c r="CF29">
        <f>VLOOKUP(A29,SBUX!A$2:G$55,5,0)</f>
        <v>77.62</v>
      </c>
      <c r="CG29">
        <f>VLOOKUP(A29,SLB!A$2:G$55,5,0)</f>
        <v>108.38</v>
      </c>
      <c r="CH29">
        <f>VLOOKUP(A29,SO!A$2:G$55,5,0)</f>
        <v>43.53</v>
      </c>
      <c r="CI29">
        <f>VLOOKUP(A29,SPG!A$2:G$55,5,0)</f>
        <v>166.28</v>
      </c>
      <c r="CJ29">
        <f>VLOOKUP(A29,T!A$2:G$55,5,0)</f>
        <v>34.47</v>
      </c>
      <c r="CK29">
        <f>VLOOKUP(A29,TGT!A$2:G$55,5,0)</f>
        <v>58.54</v>
      </c>
      <c r="CL29">
        <f>VLOOKUP(A29,TWX!A$2:G$55,5,0)</f>
        <v>73.23</v>
      </c>
      <c r="CM29">
        <f>VLOOKUP(A29,TXN!A$2:G$55,5,0)</f>
        <v>46.33</v>
      </c>
      <c r="CN29">
        <f>VLOOKUP(A29,UNH!A$2:G$55,5,0)</f>
        <v>80.12</v>
      </c>
      <c r="CO29">
        <f>VLOOKUP(A29,UNP!A$2:G$55,5,0)</f>
        <v>98.64</v>
      </c>
      <c r="CP29">
        <f>VLOOKUP(A29,UPS!A$2:G$55,5,0)</f>
        <v>95.94</v>
      </c>
      <c r="CQ29">
        <f>VLOOKUP(A29,USB!A$2:G$55,5,0)</f>
        <v>41.18</v>
      </c>
      <c r="CR29">
        <f>VLOOKUP(A29,UTX!A$2:G$55,5,0)</f>
        <v>105.96</v>
      </c>
      <c r="CS29">
        <f>VLOOKUP(A29,V!A$2:G$55,5,0)</f>
        <v>210.46</v>
      </c>
      <c r="CT29">
        <f>VLOOKUP(A29,VZ!A$2:G$55,5,0)</f>
        <v>48.7</v>
      </c>
      <c r="CU29">
        <f>VLOOKUP(A29,WAG!A$2:G$55,5,0)</f>
        <v>60.7</v>
      </c>
      <c r="CV29">
        <f>VLOOKUP(A29,WFC!A$2:G$55,5,0)</f>
        <v>50</v>
      </c>
      <c r="CW29">
        <f>VLOOKUP(A29,WMT!A$2:G$55,5,0)</f>
        <v>74.67</v>
      </c>
    </row>
    <row r="30" spans="1:101" x14ac:dyDescent="0.25">
      <c r="A30" s="34">
        <v>41862</v>
      </c>
      <c r="B30" s="36">
        <v>95.99</v>
      </c>
      <c r="C30">
        <f>VLOOKUP(A30,ABBV!A$2:G$55,5,0)</f>
        <v>53.31</v>
      </c>
      <c r="D30">
        <f>VLOOKUP(A30,ABT!A$2:G$55,5,0)</f>
        <v>42.05</v>
      </c>
      <c r="E30">
        <f>VLOOKUP(A30,ACN!A$2:G$55,5,0)</f>
        <v>78.959999999999994</v>
      </c>
      <c r="F30">
        <f>VLOOKUP(A30,AIG!A$2:G$55,5,0)</f>
        <v>52.9</v>
      </c>
      <c r="G30">
        <f>VLOOKUP(A30,ALL!A$2:G$55,5,0)</f>
        <v>59.56</v>
      </c>
      <c r="H30">
        <f>VLOOKUP(A30,AMGN!A$2:G$55,5,0)</f>
        <v>127.32</v>
      </c>
      <c r="I30">
        <f>VLOOKUP(A30,AMZN!A$2:G$55,5,0)</f>
        <v>318.33</v>
      </c>
      <c r="J30">
        <f>VLOOKUP(A30,APA!A$2:G$55,5,0)</f>
        <v>99.87</v>
      </c>
      <c r="K30">
        <f>VLOOKUP(A30,APC!A$2:G$55,5,0)</f>
        <v>108.51</v>
      </c>
      <c r="L30">
        <f>VLOOKUP(A30,AXP!A$2:G$55,5,0)</f>
        <v>86.95</v>
      </c>
      <c r="M30">
        <f>VLOOKUP(A30,BA!A$2:G$55,5,0)</f>
        <v>120.8</v>
      </c>
      <c r="N30">
        <f>VLOOKUP(A30,BAC!A$2:G$55,5,0)</f>
        <v>15.22</v>
      </c>
      <c r="O30">
        <f>VLOOKUP(A30,BAX!A$2:G$55,5,0)</f>
        <v>74.2</v>
      </c>
      <c r="P30">
        <f>VLOOKUP(A30,BIIB!A$2:G$55,5,0)</f>
        <v>320.33999999999997</v>
      </c>
      <c r="Q30">
        <f>VLOOKUP(A30,BK!A$2:G$55,5,0)</f>
        <v>38.44</v>
      </c>
      <c r="R30">
        <f>VLOOKUP(A30,BMY!A$2:G$55,5,0)</f>
        <v>49.09</v>
      </c>
      <c r="T30">
        <f>VLOOKUP(A30,'C'!A$2:G$55,5,0)</f>
        <v>48.39</v>
      </c>
      <c r="U30">
        <f>VLOOKUP(A30,CAT!A$2:G$55,5,0)</f>
        <v>104.5</v>
      </c>
      <c r="V30">
        <f>VLOOKUP(A30,CL!A$2:G$55,5,0)</f>
        <v>65.06</v>
      </c>
      <c r="W30">
        <f>VLOOKUP(A30,CMCSA!A$2:G$55,5,0)</f>
        <v>53.75</v>
      </c>
      <c r="X30">
        <f>VLOOKUP(A30,COF!A$2:G$55,5,0)</f>
        <v>78.709999999999994</v>
      </c>
      <c r="Y30">
        <f>VLOOKUP(A30,COP!A$2:G$55,5,0)</f>
        <v>80.8</v>
      </c>
      <c r="Z30">
        <f>VLOOKUP(A30,COST!A$2:G$55,5,0)</f>
        <v>119.18</v>
      </c>
      <c r="AA30">
        <f>VLOOKUP(A30,CSCO!A$2:G$55,5,0)</f>
        <v>25.23</v>
      </c>
      <c r="AB30">
        <f>VLOOKUP(A30,CVS!A$2:G$55,5,0)</f>
        <v>78.36</v>
      </c>
      <c r="AC30">
        <f>VLOOKUP(A30,CVX!A$2:G$55,5,0)</f>
        <v>127.71</v>
      </c>
      <c r="AD30">
        <f>VLOOKUP(A30,DD!A$2:G$55,5,0)</f>
        <v>65.03</v>
      </c>
      <c r="AE30">
        <f>VLOOKUP(A30,DIS!A$2:G$55,5,0)</f>
        <v>87.5</v>
      </c>
      <c r="AF30">
        <f>VLOOKUP(A30,DOW!A$2:G$55,5,0)</f>
        <v>51.8</v>
      </c>
      <c r="AG30">
        <f>VLOOKUP(A30,DVN!A$2:G$55,5,0)</f>
        <v>74.2</v>
      </c>
      <c r="AH30">
        <f>VLOOKUP(A30,EBAY!A$2:G$55,5,0)</f>
        <v>53.88</v>
      </c>
      <c r="AI30">
        <f>VLOOKUP(A30,EMC!A$2:G$55,5,0)</f>
        <v>29.36</v>
      </c>
      <c r="AJ30">
        <f>VLOOKUP(A30,EMR!A$2:G$55,5,0)</f>
        <v>62.58</v>
      </c>
      <c r="AK30">
        <f>VLOOKUP(A30,EXC!A$2:G$55,5,0)</f>
        <v>32.11</v>
      </c>
      <c r="AL30">
        <f>VLOOKUP(A30,F!A$2:G$55,5,0)</f>
        <v>17.170000000000002</v>
      </c>
      <c r="AM30">
        <f>VLOOKUP(A30,FB!A$2:G$55,5,0)</f>
        <v>73.44</v>
      </c>
      <c r="AN30">
        <f>VLOOKUP(A30,FCX!A$2:G$55,5,0)</f>
        <v>36.9</v>
      </c>
      <c r="AO30">
        <f>VLOOKUP(A30,FDX!A$2:G$55,5,0)</f>
        <v>148.28</v>
      </c>
      <c r="AP30">
        <f>VLOOKUP(A30,FOXA!A$2:G$55,5,0)</f>
        <v>34.770000000000003</v>
      </c>
      <c r="AQ30">
        <f>VLOOKUP(A30,GD!A$2:G$55,5,0)</f>
        <v>117.82</v>
      </c>
      <c r="AR30">
        <f>VLOOKUP(A30,GE!A$2:G$55,5,0)</f>
        <v>25.79</v>
      </c>
      <c r="AS30">
        <f>VLOOKUP(A30,GILD!A$2:G$55,5,0)</f>
        <v>92.92</v>
      </c>
      <c r="AT30">
        <f>VLOOKUP(A30,GM!A$2:G$55,5,0)</f>
        <v>33.799999999999997</v>
      </c>
      <c r="AU30">
        <f>VLOOKUP(A30,GOOG!A$2:G$55,5,0)</f>
        <v>567.88</v>
      </c>
      <c r="AV30">
        <f>VLOOKUP(A30,GOOGL!A$2:G$55,5,0)</f>
        <v>577.25</v>
      </c>
      <c r="AW30">
        <f>VLOOKUP(A30,GS!A$2:G$55,5,0)</f>
        <v>172.46</v>
      </c>
      <c r="AX30">
        <f>VLOOKUP(A30,HAL!A$2:G$55,5,0)</f>
        <v>69.42</v>
      </c>
      <c r="AY30">
        <f>VLOOKUP(A30,HD!A$2:G$55,5,0)</f>
        <v>82.88</v>
      </c>
      <c r="AZ30">
        <f>VLOOKUP(A30,HON!A$2:G$55,5,0)</f>
        <v>93.16</v>
      </c>
      <c r="BA30">
        <f>VLOOKUP(A30,HPQ!A$2:G$55,5,0)</f>
        <v>35.200000000000003</v>
      </c>
      <c r="BB30">
        <f>VLOOKUP(A30,IBM!A$2:G$55,5,0)</f>
        <v>187.47</v>
      </c>
      <c r="BC30">
        <f>VLOOKUP(A30,INTC!A$2:G$55,5,0)</f>
        <v>33.020000000000003</v>
      </c>
      <c r="BD30">
        <f>VLOOKUP(A30,JNJ!A$2:G$55,5,0)</f>
        <v>101.16</v>
      </c>
      <c r="BE30">
        <f>VLOOKUP(A30,JPM!A$2:G$55,5,0)</f>
        <v>56.32</v>
      </c>
      <c r="BF30">
        <f>VLOOKUP(A30,KO!A$2:G$55,5,0)</f>
        <v>39.57</v>
      </c>
      <c r="BG30">
        <f>VLOOKUP(A30,LLY!A$2:G$55,5,0)</f>
        <v>61.08</v>
      </c>
      <c r="BH30">
        <f>VLOOKUP(A30,LMT!A$2:G$55,5,0)</f>
        <v>166.15</v>
      </c>
      <c r="BI30">
        <f>VLOOKUP(A30,LOW!A$2:G$55,5,0)</f>
        <v>49.86</v>
      </c>
      <c r="BJ30">
        <f>VLOOKUP(A30,MA!A$2:G$55,5,0)</f>
        <v>75.63</v>
      </c>
      <c r="BK30">
        <f>VLOOKUP(A30,MCD!A$2:G$55,5,0)</f>
        <v>93.53</v>
      </c>
      <c r="BL30">
        <f>VLOOKUP(A30,MDLZ!A$2:G$55,5,0)</f>
        <v>35.76</v>
      </c>
      <c r="BM30">
        <f>VLOOKUP(A30,MDT!A$2:G$55,5,0)</f>
        <v>62.07</v>
      </c>
      <c r="BN30">
        <f>VLOOKUP(A30,MET!A$2:G$55,5,0)</f>
        <v>51.75</v>
      </c>
      <c r="BO30">
        <f>VLOOKUP(A30,MMM!A$2:G$55,5,0)</f>
        <v>140.58000000000001</v>
      </c>
      <c r="BP30">
        <f>VLOOKUP(A30,MO!A$2:G$55,5,0)</f>
        <v>42.01</v>
      </c>
      <c r="BQ30">
        <f>VLOOKUP(A30,MON!A$2:G$55,5,0)</f>
        <v>115.42</v>
      </c>
      <c r="BR30">
        <f>VLOOKUP(A30,MRK!A$2:G$55,5,0)</f>
        <v>56.66</v>
      </c>
      <c r="BS30">
        <f>VLOOKUP(A30,MS!A$2:G$55,5,0)</f>
        <v>32.08</v>
      </c>
      <c r="BT30">
        <f>VLOOKUP(A30,MSFT!A$2:G$55,5,0)</f>
        <v>43.2</v>
      </c>
      <c r="BU30">
        <f>VLOOKUP(A30,NKE!A$2:G$55,5,0)</f>
        <v>77.06</v>
      </c>
      <c r="BV30">
        <f>VLOOKUP(A30,NOV!A$2:G$55,5,0)</f>
        <v>81.97</v>
      </c>
      <c r="BW30">
        <f>VLOOKUP(A30,NSC!A$2:G$55,5,0)</f>
        <v>102.84</v>
      </c>
      <c r="BX30">
        <f>VLOOKUP(A30,ORCL!A$2:G$55,5,0)</f>
        <v>39.92</v>
      </c>
      <c r="BY30">
        <f>VLOOKUP(A30,OXY!A$2:G$55,5,0)</f>
        <v>99.77</v>
      </c>
      <c r="BZ30">
        <f>VLOOKUP(A30,PEP!A$2:G$55,5,0)</f>
        <v>91.79</v>
      </c>
      <c r="CA30">
        <f>VLOOKUP(A30,PFE!A$2:G$55,5,0)</f>
        <v>28.25</v>
      </c>
      <c r="CB30">
        <f>VLOOKUP(A30,PG!A$2:G$55,5,0)</f>
        <v>81.48</v>
      </c>
      <c r="CC30">
        <f>VLOOKUP(A30,PM!A$2:G$55,5,0)</f>
        <v>84.35</v>
      </c>
      <c r="CD30">
        <f>VLOOKUP(A30,QCOM!A$2:G$55,5,0)</f>
        <v>74.73</v>
      </c>
      <c r="CE30">
        <f>VLOOKUP(A30,RTN!A$2:G$55,5,0)</f>
        <v>91.41</v>
      </c>
      <c r="CF30">
        <f>VLOOKUP(A30,SBUX!A$2:G$55,5,0)</f>
        <v>77.87</v>
      </c>
      <c r="CG30">
        <f>VLOOKUP(A30,SLB!A$2:G$55,5,0)</f>
        <v>109.21</v>
      </c>
      <c r="CH30">
        <f>VLOOKUP(A30,SO!A$2:G$55,5,0)</f>
        <v>43.06</v>
      </c>
      <c r="CI30">
        <f>VLOOKUP(A30,SPG!A$2:G$55,5,0)</f>
        <v>168.04</v>
      </c>
      <c r="CJ30">
        <f>VLOOKUP(A30,T!A$2:G$55,5,0)</f>
        <v>34.47</v>
      </c>
      <c r="CK30">
        <f>VLOOKUP(A30,TGT!A$2:G$55,5,0)</f>
        <v>58.36</v>
      </c>
      <c r="CL30">
        <f>VLOOKUP(A30,TWX!A$2:G$55,5,0)</f>
        <v>74.040000000000006</v>
      </c>
      <c r="CM30">
        <f>VLOOKUP(A30,TXN!A$2:G$55,5,0)</f>
        <v>46.5</v>
      </c>
      <c r="CN30">
        <f>VLOOKUP(A30,UNH!A$2:G$55,5,0)</f>
        <v>79.87</v>
      </c>
      <c r="CO30">
        <f>VLOOKUP(A30,UNP!A$2:G$55,5,0)</f>
        <v>99.57</v>
      </c>
      <c r="CP30">
        <f>VLOOKUP(A30,UPS!A$2:G$55,5,0)</f>
        <v>96.07</v>
      </c>
      <c r="CQ30">
        <f>VLOOKUP(A30,USB!A$2:G$55,5,0)</f>
        <v>40.96</v>
      </c>
      <c r="CR30">
        <f>VLOOKUP(A30,UTX!A$2:G$55,5,0)</f>
        <v>105.72</v>
      </c>
      <c r="CS30">
        <f>VLOOKUP(A30,V!A$2:G$55,5,0)</f>
        <v>210.58</v>
      </c>
      <c r="CT30">
        <f>VLOOKUP(A30,VZ!A$2:G$55,5,0)</f>
        <v>48.67</v>
      </c>
      <c r="CU30">
        <f>VLOOKUP(A30,WAG!A$2:G$55,5,0)</f>
        <v>61.99</v>
      </c>
      <c r="CV30">
        <f>VLOOKUP(A30,WFC!A$2:G$55,5,0)</f>
        <v>49.89</v>
      </c>
      <c r="CW30">
        <f>VLOOKUP(A30,WMT!A$2:G$55,5,0)</f>
        <v>74.36</v>
      </c>
    </row>
    <row r="31" spans="1:101" x14ac:dyDescent="0.25">
      <c r="A31" s="34">
        <v>41863</v>
      </c>
      <c r="B31" s="36">
        <v>95.97</v>
      </c>
      <c r="C31">
        <f>VLOOKUP(A31,ABBV!A$2:G$55,5,0)</f>
        <v>52.84</v>
      </c>
      <c r="D31">
        <f>VLOOKUP(A31,ABT!A$2:G$55,5,0)</f>
        <v>41.57</v>
      </c>
      <c r="E31">
        <f>VLOOKUP(A31,ACN!A$2:G$55,5,0)</f>
        <v>78.569999999999993</v>
      </c>
      <c r="F31">
        <f>VLOOKUP(A31,AIG!A$2:G$55,5,0)</f>
        <v>53.35</v>
      </c>
      <c r="G31">
        <f>VLOOKUP(A31,ALL!A$2:G$55,5,0)</f>
        <v>60.15</v>
      </c>
      <c r="H31">
        <f>VLOOKUP(A31,AMGN!A$2:G$55,5,0)</f>
        <v>126.32</v>
      </c>
      <c r="I31">
        <f>VLOOKUP(A31,AMZN!A$2:G$55,5,0)</f>
        <v>319.32</v>
      </c>
      <c r="J31">
        <f>VLOOKUP(A31,APA!A$2:G$55,5,0)</f>
        <v>98.47</v>
      </c>
      <c r="K31">
        <f>VLOOKUP(A31,APC!A$2:G$55,5,0)</f>
        <v>106.06</v>
      </c>
      <c r="L31">
        <f>VLOOKUP(A31,AXP!A$2:G$55,5,0)</f>
        <v>87.08</v>
      </c>
      <c r="M31">
        <f>VLOOKUP(A31,BA!A$2:G$55,5,0)</f>
        <v>120.47</v>
      </c>
      <c r="N31">
        <f>VLOOKUP(A31,BAC!A$2:G$55,5,0)</f>
        <v>15.21</v>
      </c>
      <c r="O31">
        <f>VLOOKUP(A31,BAX!A$2:G$55,5,0)</f>
        <v>74.27</v>
      </c>
      <c r="P31">
        <f>VLOOKUP(A31,BIIB!A$2:G$55,5,0)</f>
        <v>324.95999999999998</v>
      </c>
      <c r="Q31">
        <f>VLOOKUP(A31,BK!A$2:G$55,5,0)</f>
        <v>38.42</v>
      </c>
      <c r="R31">
        <f>VLOOKUP(A31,BMY!A$2:G$55,5,0)</f>
        <v>48.98</v>
      </c>
      <c r="T31">
        <f>VLOOKUP(A31,'C'!A$2:G$55,5,0)</f>
        <v>48.44</v>
      </c>
      <c r="U31">
        <f>VLOOKUP(A31,CAT!A$2:G$55,5,0)</f>
        <v>104.33</v>
      </c>
      <c r="V31">
        <f>VLOOKUP(A31,CL!A$2:G$55,5,0)</f>
        <v>64.42</v>
      </c>
      <c r="W31">
        <f>VLOOKUP(A31,CMCSA!A$2:G$55,5,0)</f>
        <v>53.8</v>
      </c>
      <c r="X31">
        <f>VLOOKUP(A31,COF!A$2:G$55,5,0)</f>
        <v>79.34</v>
      </c>
      <c r="Y31">
        <f>VLOOKUP(A31,COP!A$2:G$55,5,0)</f>
        <v>80.42</v>
      </c>
      <c r="Z31">
        <f>VLOOKUP(A31,COST!A$2:G$55,5,0)</f>
        <v>119.01</v>
      </c>
      <c r="AA31">
        <f>VLOOKUP(A31,CSCO!A$2:G$55,5,0)</f>
        <v>25.15</v>
      </c>
      <c r="AB31">
        <f>VLOOKUP(A31,CVS!A$2:G$55,5,0)</f>
        <v>78.67</v>
      </c>
      <c r="AC31">
        <f>VLOOKUP(A31,CVX!A$2:G$55,5,0)</f>
        <v>127.09</v>
      </c>
      <c r="AD31">
        <f>VLOOKUP(A31,DD!A$2:G$55,5,0)</f>
        <v>65.489999999999995</v>
      </c>
      <c r="AE31">
        <f>VLOOKUP(A31,DIS!A$2:G$55,5,0)</f>
        <v>87.21</v>
      </c>
      <c r="AF31">
        <f>VLOOKUP(A31,DOW!A$2:G$55,5,0)</f>
        <v>51.8</v>
      </c>
      <c r="AG31">
        <f>VLOOKUP(A31,DVN!A$2:G$55,5,0)</f>
        <v>73.010000000000005</v>
      </c>
      <c r="AH31">
        <f>VLOOKUP(A31,EBAY!A$2:G$55,5,0)</f>
        <v>53.43</v>
      </c>
      <c r="AI31">
        <f>VLOOKUP(A31,EMC!A$2:G$55,5,0)</f>
        <v>29.34</v>
      </c>
      <c r="AJ31">
        <f>VLOOKUP(A31,EMR!A$2:G$55,5,0)</f>
        <v>62.67</v>
      </c>
      <c r="AK31">
        <f>VLOOKUP(A31,EXC!A$2:G$55,5,0)</f>
        <v>31.87</v>
      </c>
      <c r="AL31">
        <f>VLOOKUP(A31,F!A$2:G$55,5,0)</f>
        <v>17.21</v>
      </c>
      <c r="AM31">
        <f>VLOOKUP(A31,FB!A$2:G$55,5,0)</f>
        <v>72.83</v>
      </c>
      <c r="AN31">
        <f>VLOOKUP(A31,FCX!A$2:G$55,5,0)</f>
        <v>36.880000000000003</v>
      </c>
      <c r="AO31">
        <f>VLOOKUP(A31,FDX!A$2:G$55,5,0)</f>
        <v>148.43</v>
      </c>
      <c r="AP31">
        <f>VLOOKUP(A31,FOXA!A$2:G$55,5,0)</f>
        <v>35.11</v>
      </c>
      <c r="AQ31">
        <f>VLOOKUP(A31,GD!A$2:G$55,5,0)</f>
        <v>117.22</v>
      </c>
      <c r="AR31">
        <f>VLOOKUP(A31,GE!A$2:G$55,5,0)</f>
        <v>25.61</v>
      </c>
      <c r="AS31">
        <f>VLOOKUP(A31,GILD!A$2:G$55,5,0)</f>
        <v>93.36</v>
      </c>
      <c r="AT31">
        <f>VLOOKUP(A31,GM!A$2:G$55,5,0)</f>
        <v>33.700000000000003</v>
      </c>
      <c r="AU31">
        <f>VLOOKUP(A31,GOOG!A$2:G$55,5,0)</f>
        <v>562.73</v>
      </c>
      <c r="AV31">
        <f>VLOOKUP(A31,GOOGL!A$2:G$55,5,0)</f>
        <v>572.12</v>
      </c>
      <c r="AW31">
        <f>VLOOKUP(A31,GS!A$2:G$55,5,0)</f>
        <v>172.33</v>
      </c>
      <c r="AX31">
        <f>VLOOKUP(A31,HAL!A$2:G$55,5,0)</f>
        <v>69.02</v>
      </c>
      <c r="AY31">
        <f>VLOOKUP(A31,HD!A$2:G$55,5,0)</f>
        <v>82.92</v>
      </c>
      <c r="AZ31">
        <f>VLOOKUP(A31,HON!A$2:G$55,5,0)</f>
        <v>92.91</v>
      </c>
      <c r="BA31">
        <f>VLOOKUP(A31,HPQ!A$2:G$55,5,0)</f>
        <v>35.119999999999997</v>
      </c>
      <c r="BB31">
        <f>VLOOKUP(A31,IBM!A$2:G$55,5,0)</f>
        <v>187.34</v>
      </c>
      <c r="BC31">
        <f>VLOOKUP(A31,INTC!A$2:G$55,5,0)</f>
        <v>33.130000000000003</v>
      </c>
      <c r="BD31">
        <f>VLOOKUP(A31,JNJ!A$2:G$55,5,0)</f>
        <v>100.63</v>
      </c>
      <c r="BE31">
        <f>VLOOKUP(A31,JPM!A$2:G$55,5,0)</f>
        <v>56.35</v>
      </c>
      <c r="BF31">
        <f>VLOOKUP(A31,KO!A$2:G$55,5,0)</f>
        <v>39.68</v>
      </c>
      <c r="BG31">
        <f>VLOOKUP(A31,LLY!A$2:G$55,5,0)</f>
        <v>61.37</v>
      </c>
      <c r="BH31">
        <f>VLOOKUP(A31,LMT!A$2:G$55,5,0)</f>
        <v>165.78</v>
      </c>
      <c r="BI31">
        <f>VLOOKUP(A31,LOW!A$2:G$55,5,0)</f>
        <v>49.83</v>
      </c>
      <c r="BJ31">
        <f>VLOOKUP(A31,MA!A$2:G$55,5,0)</f>
        <v>75.63</v>
      </c>
      <c r="BK31">
        <f>VLOOKUP(A31,MCD!A$2:G$55,5,0)</f>
        <v>93.56</v>
      </c>
      <c r="BL31">
        <f>VLOOKUP(A31,MDLZ!A$2:G$55,5,0)</f>
        <v>35.67</v>
      </c>
      <c r="BM31">
        <f>VLOOKUP(A31,MDT!A$2:G$55,5,0)</f>
        <v>62.21</v>
      </c>
      <c r="BN31">
        <f>VLOOKUP(A31,MET!A$2:G$55,5,0)</f>
        <v>52.16</v>
      </c>
      <c r="BO31">
        <f>VLOOKUP(A31,MMM!A$2:G$55,5,0)</f>
        <v>140.88</v>
      </c>
      <c r="BP31">
        <f>VLOOKUP(A31,MO!A$2:G$55,5,0)</f>
        <v>41.96</v>
      </c>
      <c r="BQ31">
        <f>VLOOKUP(A31,MON!A$2:G$55,5,0)</f>
        <v>115.71</v>
      </c>
      <c r="BR31">
        <f>VLOOKUP(A31,MRK!A$2:G$55,5,0)</f>
        <v>57.03</v>
      </c>
      <c r="BS31">
        <f>VLOOKUP(A31,MS!A$2:G$55,5,0)</f>
        <v>32.01</v>
      </c>
      <c r="BT31">
        <f>VLOOKUP(A31,MSFT!A$2:G$55,5,0)</f>
        <v>43.52</v>
      </c>
      <c r="BU31">
        <f>VLOOKUP(A31,NKE!A$2:G$55,5,0)</f>
        <v>76.73</v>
      </c>
      <c r="BV31">
        <f>VLOOKUP(A31,NOV!A$2:G$55,5,0)</f>
        <v>81.89</v>
      </c>
      <c r="BW31">
        <f>VLOOKUP(A31,NSC!A$2:G$55,5,0)</f>
        <v>102.45</v>
      </c>
      <c r="BX31">
        <f>VLOOKUP(A31,ORCL!A$2:G$55,5,0)</f>
        <v>39.9</v>
      </c>
      <c r="BY31">
        <f>VLOOKUP(A31,OXY!A$2:G$55,5,0)</f>
        <v>99.81</v>
      </c>
      <c r="BZ31">
        <f>VLOOKUP(A31,PEP!A$2:G$55,5,0)</f>
        <v>91.21</v>
      </c>
      <c r="CA31">
        <f>VLOOKUP(A31,PFE!A$2:G$55,5,0)</f>
        <v>28.08</v>
      </c>
      <c r="CB31">
        <f>VLOOKUP(A31,PG!A$2:G$55,5,0)</f>
        <v>81.42</v>
      </c>
      <c r="CC31">
        <f>VLOOKUP(A31,PM!A$2:G$55,5,0)</f>
        <v>84.18</v>
      </c>
      <c r="CD31">
        <f>VLOOKUP(A31,QCOM!A$2:G$55,5,0)</f>
        <v>74.14</v>
      </c>
      <c r="CE31">
        <f>VLOOKUP(A31,RTN!A$2:G$55,5,0)</f>
        <v>91.38</v>
      </c>
      <c r="CF31">
        <f>VLOOKUP(A31,SBUX!A$2:G$55,5,0)</f>
        <v>77.819999999999993</v>
      </c>
      <c r="CG31">
        <f>VLOOKUP(A31,SLB!A$2:G$55,5,0)</f>
        <v>107.87</v>
      </c>
      <c r="CH31">
        <f>VLOOKUP(A31,SO!A$2:G$55,5,0)</f>
        <v>43.22</v>
      </c>
      <c r="CI31">
        <f>VLOOKUP(A31,SPG!A$2:G$55,5,0)</f>
        <v>167.13</v>
      </c>
      <c r="CJ31">
        <f>VLOOKUP(A31,T!A$2:G$55,5,0)</f>
        <v>34.64</v>
      </c>
      <c r="CK31">
        <f>VLOOKUP(A31,TGT!A$2:G$55,5,0)</f>
        <v>58.46</v>
      </c>
      <c r="CL31">
        <f>VLOOKUP(A31,TWX!A$2:G$55,5,0)</f>
        <v>73.040000000000006</v>
      </c>
      <c r="CM31">
        <f>VLOOKUP(A31,TXN!A$2:G$55,5,0)</f>
        <v>46.67</v>
      </c>
      <c r="CN31">
        <f>VLOOKUP(A31,UNH!A$2:G$55,5,0)</f>
        <v>80.22</v>
      </c>
      <c r="CO31">
        <f>VLOOKUP(A31,UNP!A$2:G$55,5,0)</f>
        <v>99.67</v>
      </c>
      <c r="CP31">
        <f>VLOOKUP(A31,UPS!A$2:G$55,5,0)</f>
        <v>96.41</v>
      </c>
      <c r="CQ31">
        <f>VLOOKUP(A31,USB!A$2:G$55,5,0)</f>
        <v>41.16</v>
      </c>
      <c r="CR31">
        <f>VLOOKUP(A31,UTX!A$2:G$55,5,0)</f>
        <v>104.91</v>
      </c>
      <c r="CS31">
        <f>VLOOKUP(A31,V!A$2:G$55,5,0)</f>
        <v>210.3</v>
      </c>
      <c r="CT31">
        <f>VLOOKUP(A31,VZ!A$2:G$55,5,0)</f>
        <v>48.84</v>
      </c>
      <c r="CU31">
        <f>VLOOKUP(A31,WAG!A$2:G$55,5,0)</f>
        <v>62.16</v>
      </c>
      <c r="CV31">
        <f>VLOOKUP(A31,WFC!A$2:G$55,5,0)</f>
        <v>49.78</v>
      </c>
      <c r="CW31">
        <f>VLOOKUP(A31,WMT!A$2:G$55,5,0)</f>
        <v>74.22</v>
      </c>
    </row>
    <row r="32" spans="1:101" x14ac:dyDescent="0.25">
      <c r="A32" s="34">
        <v>41864</v>
      </c>
      <c r="B32" s="36">
        <v>97.24</v>
      </c>
      <c r="C32">
        <f>VLOOKUP(A32,ABBV!A$2:G$55,5,0)</f>
        <v>53.6</v>
      </c>
      <c r="D32">
        <f>VLOOKUP(A32,ABT!A$2:G$55,5,0)</f>
        <v>42.16</v>
      </c>
      <c r="E32">
        <f>VLOOKUP(A32,ACN!A$2:G$55,5,0)</f>
        <v>78.989999999999995</v>
      </c>
      <c r="F32">
        <f>VLOOKUP(A32,AIG!A$2:G$55,5,0)</f>
        <v>53.53</v>
      </c>
      <c r="G32">
        <f>VLOOKUP(A32,ALL!A$2:G$55,5,0)</f>
        <v>60.11</v>
      </c>
      <c r="H32">
        <f>VLOOKUP(A32,AMGN!A$2:G$55,5,0)</f>
        <v>127.34</v>
      </c>
      <c r="I32">
        <f>VLOOKUP(A32,AMZN!A$2:G$55,5,0)</f>
        <v>326.27999999999997</v>
      </c>
      <c r="J32">
        <f>VLOOKUP(A32,APA!A$2:G$55,5,0)</f>
        <v>98.6</v>
      </c>
      <c r="K32">
        <f>VLOOKUP(A32,APC!A$2:G$55,5,0)</f>
        <v>106.51</v>
      </c>
      <c r="L32">
        <f>VLOOKUP(A32,AXP!A$2:G$55,5,0)</f>
        <v>87.4</v>
      </c>
      <c r="M32">
        <f>VLOOKUP(A32,BA!A$2:G$55,5,0)</f>
        <v>121.98</v>
      </c>
      <c r="N32">
        <f>VLOOKUP(A32,BAC!A$2:G$55,5,0)</f>
        <v>15.25</v>
      </c>
      <c r="O32">
        <f>VLOOKUP(A32,BAX!A$2:G$55,5,0)</f>
        <v>74.959999999999994</v>
      </c>
      <c r="P32">
        <f>VLOOKUP(A32,BIIB!A$2:G$55,5,0)</f>
        <v>334.64</v>
      </c>
      <c r="Q32">
        <f>VLOOKUP(A32,BK!A$2:G$55,5,0)</f>
        <v>38.450000000000003</v>
      </c>
      <c r="R32">
        <f>VLOOKUP(A32,BMY!A$2:G$55,5,0)</f>
        <v>49.17</v>
      </c>
      <c r="T32">
        <f>VLOOKUP(A32,'C'!A$2:G$55,5,0)</f>
        <v>48.75</v>
      </c>
      <c r="U32">
        <f>VLOOKUP(A32,CAT!A$2:G$55,5,0)</f>
        <v>105.16</v>
      </c>
      <c r="V32">
        <f>VLOOKUP(A32,CL!A$2:G$55,5,0)</f>
        <v>64.38</v>
      </c>
      <c r="W32">
        <f>VLOOKUP(A32,CMCSA!A$2:G$55,5,0)</f>
        <v>54.11</v>
      </c>
      <c r="X32">
        <f>VLOOKUP(A32,COF!A$2:G$55,5,0)</f>
        <v>79.88</v>
      </c>
      <c r="Y32">
        <f>VLOOKUP(A32,COP!A$2:G$55,5,0)</f>
        <v>80.89</v>
      </c>
      <c r="Z32">
        <f>VLOOKUP(A32,COST!A$2:G$55,5,0)</f>
        <v>118.64</v>
      </c>
      <c r="AA32">
        <f>VLOOKUP(A32,CSCO!A$2:G$55,5,0)</f>
        <v>25.2</v>
      </c>
      <c r="AB32">
        <f>VLOOKUP(A32,CVS!A$2:G$55,5,0)</f>
        <v>78.91</v>
      </c>
      <c r="AC32">
        <f>VLOOKUP(A32,CVX!A$2:G$55,5,0)</f>
        <v>127.6</v>
      </c>
      <c r="AD32">
        <f>VLOOKUP(A32,DD!A$2:G$55,5,0)</f>
        <v>65.11</v>
      </c>
      <c r="AE32">
        <f>VLOOKUP(A32,DIS!A$2:G$55,5,0)</f>
        <v>87.6</v>
      </c>
      <c r="AF32">
        <f>VLOOKUP(A32,DOW!A$2:G$55,5,0)</f>
        <v>52.5</v>
      </c>
      <c r="AG32">
        <f>VLOOKUP(A32,DVN!A$2:G$55,5,0)</f>
        <v>72.63</v>
      </c>
      <c r="AH32">
        <f>VLOOKUP(A32,EBAY!A$2:G$55,5,0)</f>
        <v>52.94</v>
      </c>
      <c r="AI32">
        <f>VLOOKUP(A32,EMC!A$2:G$55,5,0)</f>
        <v>29.45</v>
      </c>
      <c r="AJ32">
        <f>VLOOKUP(A32,EMR!A$2:G$55,5,0)</f>
        <v>63.05</v>
      </c>
      <c r="AK32">
        <f>VLOOKUP(A32,EXC!A$2:G$55,5,0)</f>
        <v>31.45</v>
      </c>
      <c r="AL32">
        <f>VLOOKUP(A32,F!A$2:G$55,5,0)</f>
        <v>17.420000000000002</v>
      </c>
      <c r="AM32">
        <f>VLOOKUP(A32,FB!A$2:G$55,5,0)</f>
        <v>73.77</v>
      </c>
      <c r="AN32">
        <f>VLOOKUP(A32,FCX!A$2:G$55,5,0)</f>
        <v>36.39</v>
      </c>
      <c r="AO32">
        <f>VLOOKUP(A32,FDX!A$2:G$55,5,0)</f>
        <v>149.35</v>
      </c>
      <c r="AP32">
        <f>VLOOKUP(A32,FOXA!A$2:G$55,5,0)</f>
        <v>35.4</v>
      </c>
      <c r="AQ32">
        <f>VLOOKUP(A32,GD!A$2:G$55,5,0)</f>
        <v>119.12</v>
      </c>
      <c r="AR32">
        <f>VLOOKUP(A32,GE!A$2:G$55,5,0)</f>
        <v>25.83</v>
      </c>
      <c r="AS32">
        <f>VLOOKUP(A32,GILD!A$2:G$55,5,0)</f>
        <v>93.98</v>
      </c>
      <c r="AT32">
        <f>VLOOKUP(A32,GM!A$2:G$55,5,0)</f>
        <v>33.950000000000003</v>
      </c>
      <c r="AU32">
        <f>VLOOKUP(A32,GOOG!A$2:G$55,5,0)</f>
        <v>574.78</v>
      </c>
      <c r="AV32">
        <f>VLOOKUP(A32,GOOGL!A$2:G$55,5,0)</f>
        <v>584.55999999999995</v>
      </c>
      <c r="AW32">
        <f>VLOOKUP(A32,GS!A$2:G$55,5,0)</f>
        <v>172.37</v>
      </c>
      <c r="AX32">
        <f>VLOOKUP(A32,HAL!A$2:G$55,5,0)</f>
        <v>69.540000000000006</v>
      </c>
      <c r="AY32">
        <f>VLOOKUP(A32,HD!A$2:G$55,5,0)</f>
        <v>83.12</v>
      </c>
      <c r="AZ32">
        <f>VLOOKUP(A32,HON!A$2:G$55,5,0)</f>
        <v>94.27</v>
      </c>
      <c r="BA32">
        <f>VLOOKUP(A32,HPQ!A$2:G$55,5,0)</f>
        <v>35.299999999999997</v>
      </c>
      <c r="BB32">
        <f>VLOOKUP(A32,IBM!A$2:G$55,5,0)</f>
        <v>187.95</v>
      </c>
      <c r="BC32">
        <f>VLOOKUP(A32,INTC!A$2:G$55,5,0)</f>
        <v>34.1</v>
      </c>
      <c r="BD32">
        <f>VLOOKUP(A32,JNJ!A$2:G$55,5,0)</f>
        <v>101.74</v>
      </c>
      <c r="BE32">
        <f>VLOOKUP(A32,JPM!A$2:G$55,5,0)</f>
        <v>56.72</v>
      </c>
      <c r="BF32">
        <f>VLOOKUP(A32,KO!A$2:G$55,5,0)</f>
        <v>39.94</v>
      </c>
      <c r="BG32">
        <f>VLOOKUP(A32,LLY!A$2:G$55,5,0)</f>
        <v>60.59</v>
      </c>
      <c r="BH32">
        <f>VLOOKUP(A32,LMT!A$2:G$55,5,0)</f>
        <v>169.09</v>
      </c>
      <c r="BI32">
        <f>VLOOKUP(A32,LOW!A$2:G$55,5,0)</f>
        <v>49.85</v>
      </c>
      <c r="BJ32">
        <f>VLOOKUP(A32,MA!A$2:G$55,5,0)</f>
        <v>76.3</v>
      </c>
      <c r="BK32">
        <f>VLOOKUP(A32,MCD!A$2:G$55,5,0)</f>
        <v>93.96</v>
      </c>
      <c r="BL32">
        <f>VLOOKUP(A32,MDLZ!A$2:G$55,5,0)</f>
        <v>35.799999999999997</v>
      </c>
      <c r="BM32">
        <f>VLOOKUP(A32,MDT!A$2:G$55,5,0)</f>
        <v>63.47</v>
      </c>
      <c r="BN32">
        <f>VLOOKUP(A32,MET!A$2:G$55,5,0)</f>
        <v>52.44</v>
      </c>
      <c r="BO32">
        <f>VLOOKUP(A32,MMM!A$2:G$55,5,0)</f>
        <v>141.80000000000001</v>
      </c>
      <c r="BP32">
        <f>VLOOKUP(A32,MO!A$2:G$55,5,0)</f>
        <v>42.07</v>
      </c>
      <c r="BQ32">
        <f>VLOOKUP(A32,MON!A$2:G$55,5,0)</f>
        <v>116.87</v>
      </c>
      <c r="BR32">
        <f>VLOOKUP(A32,MRK!A$2:G$55,5,0)</f>
        <v>57.85</v>
      </c>
      <c r="BS32">
        <f>VLOOKUP(A32,MS!A$2:G$55,5,0)</f>
        <v>32.020000000000003</v>
      </c>
      <c r="BT32">
        <f>VLOOKUP(A32,MSFT!A$2:G$55,5,0)</f>
        <v>44.08</v>
      </c>
      <c r="BU32">
        <f>VLOOKUP(A32,NKE!A$2:G$55,5,0)</f>
        <v>77.25</v>
      </c>
      <c r="BV32">
        <f>VLOOKUP(A32,NOV!A$2:G$55,5,0)</f>
        <v>82.22</v>
      </c>
      <c r="BW32">
        <f>VLOOKUP(A32,NSC!A$2:G$55,5,0)</f>
        <v>103.23</v>
      </c>
      <c r="BX32">
        <f>VLOOKUP(A32,ORCL!A$2:G$55,5,0)</f>
        <v>40.24</v>
      </c>
      <c r="BY32">
        <f>VLOOKUP(A32,OXY!A$2:G$55,5,0)</f>
        <v>99.99</v>
      </c>
      <c r="BZ32">
        <f>VLOOKUP(A32,PEP!A$2:G$55,5,0)</f>
        <v>91.74</v>
      </c>
      <c r="CA32">
        <f>VLOOKUP(A32,PFE!A$2:G$55,5,0)</f>
        <v>28.21</v>
      </c>
      <c r="CB32">
        <f>VLOOKUP(A32,PG!A$2:G$55,5,0)</f>
        <v>81.48</v>
      </c>
      <c r="CC32">
        <f>VLOOKUP(A32,PM!A$2:G$55,5,0)</f>
        <v>84.47</v>
      </c>
      <c r="CD32">
        <f>VLOOKUP(A32,QCOM!A$2:G$55,5,0)</f>
        <v>74.5</v>
      </c>
      <c r="CE32">
        <f>VLOOKUP(A32,RTN!A$2:G$55,5,0)</f>
        <v>93.64</v>
      </c>
      <c r="CF32">
        <f>VLOOKUP(A32,SBUX!A$2:G$55,5,0)</f>
        <v>77.239999999999995</v>
      </c>
      <c r="CG32">
        <f>VLOOKUP(A32,SLB!A$2:G$55,5,0)</f>
        <v>107.62</v>
      </c>
      <c r="CH32">
        <f>VLOOKUP(A32,SO!A$2:G$55,5,0)</f>
        <v>43.07</v>
      </c>
      <c r="CI32">
        <f>VLOOKUP(A32,SPG!A$2:G$55,5,0)</f>
        <v>168.52</v>
      </c>
      <c r="CJ32">
        <f>VLOOKUP(A32,T!A$2:G$55,5,0)</f>
        <v>34.69</v>
      </c>
      <c r="CK32">
        <f>VLOOKUP(A32,TGT!A$2:G$55,5,0)</f>
        <v>58.26</v>
      </c>
      <c r="CL32">
        <f>VLOOKUP(A32,TWX!A$2:G$55,5,0)</f>
        <v>74.16</v>
      </c>
      <c r="CM32">
        <f>VLOOKUP(A32,TXN!A$2:G$55,5,0)</f>
        <v>47.08</v>
      </c>
      <c r="CN32">
        <f>VLOOKUP(A32,UNH!A$2:G$55,5,0)</f>
        <v>81.510000000000005</v>
      </c>
      <c r="CO32">
        <f>VLOOKUP(A32,UNP!A$2:G$55,5,0)</f>
        <v>100.57</v>
      </c>
      <c r="CP32">
        <f>VLOOKUP(A32,UPS!A$2:G$55,5,0)</f>
        <v>96.62</v>
      </c>
      <c r="CQ32">
        <f>VLOOKUP(A32,USB!A$2:G$55,5,0)</f>
        <v>41.36</v>
      </c>
      <c r="CR32">
        <f>VLOOKUP(A32,UTX!A$2:G$55,5,0)</f>
        <v>105.56</v>
      </c>
      <c r="CS32">
        <f>VLOOKUP(A32,V!A$2:G$55,5,0)</f>
        <v>211.43</v>
      </c>
      <c r="CT32">
        <f>VLOOKUP(A32,VZ!A$2:G$55,5,0)</f>
        <v>48.92</v>
      </c>
      <c r="CU32">
        <f>VLOOKUP(A32,WAG!A$2:G$55,5,0)</f>
        <v>62.45</v>
      </c>
      <c r="CV32">
        <f>VLOOKUP(A32,WFC!A$2:G$55,5,0)</f>
        <v>49.99</v>
      </c>
      <c r="CW32">
        <f>VLOOKUP(A32,WMT!A$2:G$55,5,0)</f>
        <v>74.03</v>
      </c>
    </row>
    <row r="33" spans="1:101" x14ac:dyDescent="0.25">
      <c r="A33" s="34">
        <v>41865</v>
      </c>
      <c r="B33" s="36">
        <v>97.5</v>
      </c>
      <c r="C33">
        <f>VLOOKUP(A33,ABBV!A$2:G$55,5,0)</f>
        <v>54.19</v>
      </c>
      <c r="D33">
        <f>VLOOKUP(A33,ABT!A$2:G$55,5,0)</f>
        <v>42.33</v>
      </c>
      <c r="E33">
        <f>VLOOKUP(A33,ACN!A$2:G$55,5,0)</f>
        <v>79.27</v>
      </c>
      <c r="F33">
        <f>VLOOKUP(A33,AIG!A$2:G$55,5,0)</f>
        <v>54.06</v>
      </c>
      <c r="G33">
        <f>VLOOKUP(A33,ALL!A$2:G$55,5,0)</f>
        <v>60.78</v>
      </c>
      <c r="H33">
        <f>VLOOKUP(A33,AMGN!A$2:G$55,5,0)</f>
        <v>131.86000000000001</v>
      </c>
      <c r="I33">
        <f>VLOOKUP(A33,AMZN!A$2:G$55,5,0)</f>
        <v>333.21</v>
      </c>
      <c r="J33">
        <f>VLOOKUP(A33,APA!A$2:G$55,5,0)</f>
        <v>97.94</v>
      </c>
      <c r="K33">
        <f>VLOOKUP(A33,APC!A$2:G$55,5,0)</f>
        <v>105.89</v>
      </c>
      <c r="L33">
        <f>VLOOKUP(A33,AXP!A$2:G$55,5,0)</f>
        <v>87.27</v>
      </c>
      <c r="M33">
        <f>VLOOKUP(A33,BA!A$2:G$55,5,0)</f>
        <v>124.11</v>
      </c>
      <c r="N33">
        <f>VLOOKUP(A33,BAC!A$2:G$55,5,0)</f>
        <v>15.32</v>
      </c>
      <c r="O33">
        <f>VLOOKUP(A33,BAX!A$2:G$55,5,0)</f>
        <v>74.75</v>
      </c>
      <c r="P33">
        <f>VLOOKUP(A33,BIIB!A$2:G$55,5,0)</f>
        <v>337.01</v>
      </c>
      <c r="Q33">
        <f>VLOOKUP(A33,BK!A$2:G$55,5,0)</f>
        <v>38.29</v>
      </c>
      <c r="R33">
        <f>VLOOKUP(A33,BMY!A$2:G$55,5,0)</f>
        <v>49.82</v>
      </c>
      <c r="T33">
        <f>VLOOKUP(A33,'C'!A$2:G$55,5,0)</f>
        <v>49.13</v>
      </c>
      <c r="U33">
        <f>VLOOKUP(A33,CAT!A$2:G$55,5,0)</f>
        <v>105.66</v>
      </c>
      <c r="V33">
        <f>VLOOKUP(A33,CL!A$2:G$55,5,0)</f>
        <v>64.209999999999994</v>
      </c>
      <c r="W33">
        <f>VLOOKUP(A33,CMCSA!A$2:G$55,5,0)</f>
        <v>54.37</v>
      </c>
      <c r="X33">
        <f>VLOOKUP(A33,COF!A$2:G$55,5,0)</f>
        <v>79.790000000000006</v>
      </c>
      <c r="Y33">
        <f>VLOOKUP(A33,COP!A$2:G$55,5,0)</f>
        <v>80.17</v>
      </c>
      <c r="Z33">
        <f>VLOOKUP(A33,COST!A$2:G$55,5,0)</f>
        <v>119.26</v>
      </c>
      <c r="AA33">
        <f>VLOOKUP(A33,CSCO!A$2:G$55,5,0)</f>
        <v>24.54</v>
      </c>
      <c r="AB33">
        <f>VLOOKUP(A33,CVS!A$2:G$55,5,0)</f>
        <v>79.3</v>
      </c>
      <c r="AC33">
        <f>VLOOKUP(A33,CVX!A$2:G$55,5,0)</f>
        <v>126.96</v>
      </c>
      <c r="AD33">
        <f>VLOOKUP(A33,DD!A$2:G$55,5,0)</f>
        <v>65.2</v>
      </c>
      <c r="AE33">
        <f>VLOOKUP(A33,DIS!A$2:G$55,5,0)</f>
        <v>88.61</v>
      </c>
      <c r="AF33">
        <f>VLOOKUP(A33,DOW!A$2:G$55,5,0)</f>
        <v>52.13</v>
      </c>
      <c r="AG33">
        <f>VLOOKUP(A33,DVN!A$2:G$55,5,0)</f>
        <v>72.66</v>
      </c>
      <c r="AH33">
        <f>VLOOKUP(A33,EBAY!A$2:G$55,5,0)</f>
        <v>52.93</v>
      </c>
      <c r="AI33">
        <f>VLOOKUP(A33,EMC!A$2:G$55,5,0)</f>
        <v>29.75</v>
      </c>
      <c r="AJ33">
        <f>VLOOKUP(A33,EMR!A$2:G$55,5,0)</f>
        <v>62.95</v>
      </c>
      <c r="AK33">
        <f>VLOOKUP(A33,EXC!A$2:G$55,5,0)</f>
        <v>31.83</v>
      </c>
      <c r="AL33">
        <f>VLOOKUP(A33,F!A$2:G$55,5,0)</f>
        <v>17.43</v>
      </c>
      <c r="AM33">
        <f>VLOOKUP(A33,FB!A$2:G$55,5,0)</f>
        <v>74.3</v>
      </c>
      <c r="AN33">
        <f>VLOOKUP(A33,FCX!A$2:G$55,5,0)</f>
        <v>36.049999999999997</v>
      </c>
      <c r="AO33">
        <f>VLOOKUP(A33,FDX!A$2:G$55,5,0)</f>
        <v>149.63999999999999</v>
      </c>
      <c r="AP33">
        <f>VLOOKUP(A33,FOXA!A$2:G$55,5,0)</f>
        <v>35.76</v>
      </c>
      <c r="AQ33">
        <f>VLOOKUP(A33,GD!A$2:G$55,5,0)</f>
        <v>119.12</v>
      </c>
      <c r="AR33">
        <f>VLOOKUP(A33,GE!A$2:G$55,5,0)</f>
        <v>25.88</v>
      </c>
      <c r="AS33">
        <f>VLOOKUP(A33,GILD!A$2:G$55,5,0)</f>
        <v>96.36</v>
      </c>
      <c r="AT33">
        <f>VLOOKUP(A33,GM!A$2:G$55,5,0)</f>
        <v>33.950000000000003</v>
      </c>
      <c r="AU33">
        <f>VLOOKUP(A33,GOOG!A$2:G$55,5,0)</f>
        <v>574.65</v>
      </c>
      <c r="AV33">
        <f>VLOOKUP(A33,GOOGL!A$2:G$55,5,0)</f>
        <v>584.65</v>
      </c>
      <c r="AW33">
        <f>VLOOKUP(A33,GS!A$2:G$55,5,0)</f>
        <v>172.73</v>
      </c>
      <c r="AX33">
        <f>VLOOKUP(A33,HAL!A$2:G$55,5,0)</f>
        <v>67.34</v>
      </c>
      <c r="AY33">
        <f>VLOOKUP(A33,HD!A$2:G$55,5,0)</f>
        <v>83.86</v>
      </c>
      <c r="AZ33">
        <f>VLOOKUP(A33,HON!A$2:G$55,5,0)</f>
        <v>94.39</v>
      </c>
      <c r="BA33">
        <f>VLOOKUP(A33,HPQ!A$2:G$55,5,0)</f>
        <v>35.590000000000003</v>
      </c>
      <c r="BB33">
        <f>VLOOKUP(A33,IBM!A$2:G$55,5,0)</f>
        <v>187.88</v>
      </c>
      <c r="BC33">
        <f>VLOOKUP(A33,INTC!A$2:G$55,5,0)</f>
        <v>33.94</v>
      </c>
      <c r="BD33">
        <f>VLOOKUP(A33,JNJ!A$2:G$55,5,0)</f>
        <v>102.02</v>
      </c>
      <c r="BE33">
        <f>VLOOKUP(A33,JPM!A$2:G$55,5,0)</f>
        <v>56.98</v>
      </c>
      <c r="BF33">
        <f>VLOOKUP(A33,KO!A$2:G$55,5,0)</f>
        <v>40.18</v>
      </c>
      <c r="BG33">
        <f>VLOOKUP(A33,LLY!A$2:G$55,5,0)</f>
        <v>61.19</v>
      </c>
      <c r="BH33">
        <f>VLOOKUP(A33,LMT!A$2:G$55,5,0)</f>
        <v>169.5</v>
      </c>
      <c r="BI33">
        <f>VLOOKUP(A33,LOW!A$2:G$55,5,0)</f>
        <v>50.41</v>
      </c>
      <c r="BJ33">
        <f>VLOOKUP(A33,MA!A$2:G$55,5,0)</f>
        <v>76.05</v>
      </c>
      <c r="BK33">
        <f>VLOOKUP(A33,MCD!A$2:G$55,5,0)</f>
        <v>93.66</v>
      </c>
      <c r="BL33">
        <f>VLOOKUP(A33,MDLZ!A$2:G$55,5,0)</f>
        <v>35.700000000000003</v>
      </c>
      <c r="BM33">
        <f>VLOOKUP(A33,MDT!A$2:G$55,5,0)</f>
        <v>63.73</v>
      </c>
      <c r="BN33">
        <f>VLOOKUP(A33,MET!A$2:G$55,5,0)</f>
        <v>52.93</v>
      </c>
      <c r="BO33">
        <f>VLOOKUP(A33,MMM!A$2:G$55,5,0)</f>
        <v>142.34</v>
      </c>
      <c r="BP33">
        <f>VLOOKUP(A33,MO!A$2:G$55,5,0)</f>
        <v>42.26</v>
      </c>
      <c r="BQ33">
        <f>VLOOKUP(A33,MON!A$2:G$55,5,0)</f>
        <v>117.06</v>
      </c>
      <c r="BR33">
        <f>VLOOKUP(A33,MRK!A$2:G$55,5,0)</f>
        <v>58.78</v>
      </c>
      <c r="BS33">
        <f>VLOOKUP(A33,MS!A$2:G$55,5,0)</f>
        <v>32.17</v>
      </c>
      <c r="BT33">
        <f>VLOOKUP(A33,MSFT!A$2:G$55,5,0)</f>
        <v>44.27</v>
      </c>
      <c r="BU33">
        <f>VLOOKUP(A33,NKE!A$2:G$55,5,0)</f>
        <v>77.3</v>
      </c>
      <c r="BV33">
        <f>VLOOKUP(A33,NOV!A$2:G$55,5,0)</f>
        <v>80.77</v>
      </c>
      <c r="BW33">
        <f>VLOOKUP(A33,NSC!A$2:G$55,5,0)</f>
        <v>103.97</v>
      </c>
      <c r="BX33">
        <f>VLOOKUP(A33,ORCL!A$2:G$55,5,0)</f>
        <v>40.22</v>
      </c>
      <c r="BY33">
        <f>VLOOKUP(A33,OXY!A$2:G$55,5,0)</f>
        <v>99.97</v>
      </c>
      <c r="BZ33">
        <f>VLOOKUP(A33,PEP!A$2:G$55,5,0)</f>
        <v>91.79</v>
      </c>
      <c r="CA33">
        <f>VLOOKUP(A33,PFE!A$2:G$55,5,0)</f>
        <v>28.73</v>
      </c>
      <c r="CB33">
        <f>VLOOKUP(A33,PG!A$2:G$55,5,0)</f>
        <v>81.95</v>
      </c>
      <c r="CC33">
        <f>VLOOKUP(A33,PM!A$2:G$55,5,0)</f>
        <v>84.93</v>
      </c>
      <c r="CD33">
        <f>VLOOKUP(A33,QCOM!A$2:G$55,5,0)</f>
        <v>74.760000000000005</v>
      </c>
      <c r="CE33">
        <f>VLOOKUP(A33,RTN!A$2:G$55,5,0)</f>
        <v>93.41</v>
      </c>
      <c r="CF33">
        <f>VLOOKUP(A33,SBUX!A$2:G$55,5,0)</f>
        <v>76.62</v>
      </c>
      <c r="CG33">
        <f>VLOOKUP(A33,SLB!A$2:G$55,5,0)</f>
        <v>105.91</v>
      </c>
      <c r="CH33">
        <f>VLOOKUP(A33,SO!A$2:G$55,5,0)</f>
        <v>43.43</v>
      </c>
      <c r="CI33">
        <f>VLOOKUP(A33,SPG!A$2:G$55,5,0)</f>
        <v>168.25</v>
      </c>
      <c r="CJ33">
        <f>VLOOKUP(A33,T!A$2:G$55,5,0)</f>
        <v>34.909999999999997</v>
      </c>
      <c r="CK33">
        <f>VLOOKUP(A33,TGT!A$2:G$55,5,0)</f>
        <v>58.74</v>
      </c>
      <c r="CL33">
        <f>VLOOKUP(A33,TWX!A$2:G$55,5,0)</f>
        <v>76.52</v>
      </c>
      <c r="CM33">
        <f>VLOOKUP(A33,TXN!A$2:G$55,5,0)</f>
        <v>47.26</v>
      </c>
      <c r="CN33">
        <f>VLOOKUP(A33,UNH!A$2:G$55,5,0)</f>
        <v>81.819999999999993</v>
      </c>
      <c r="CO33">
        <f>VLOOKUP(A33,UNP!A$2:G$55,5,0)</f>
        <v>101.73</v>
      </c>
      <c r="CP33">
        <f>VLOOKUP(A33,UPS!A$2:G$55,5,0)</f>
        <v>96.07</v>
      </c>
      <c r="CQ33">
        <f>VLOOKUP(A33,USB!A$2:G$55,5,0)</f>
        <v>41.6</v>
      </c>
      <c r="CR33">
        <f>VLOOKUP(A33,UTX!A$2:G$55,5,0)</f>
        <v>105.77</v>
      </c>
      <c r="CS33">
        <f>VLOOKUP(A33,V!A$2:G$55,5,0)</f>
        <v>212.52</v>
      </c>
      <c r="CT33">
        <f>VLOOKUP(A33,VZ!A$2:G$55,5,0)</f>
        <v>49</v>
      </c>
      <c r="CU33">
        <f>VLOOKUP(A33,WAG!A$2:G$55,5,0)</f>
        <v>62.25</v>
      </c>
      <c r="CV33">
        <f>VLOOKUP(A33,WFC!A$2:G$55,5,0)</f>
        <v>50.38</v>
      </c>
      <c r="CW33">
        <f>VLOOKUP(A33,WMT!A$2:G$55,5,0)</f>
        <v>74.39</v>
      </c>
    </row>
    <row r="34" spans="1:101" x14ac:dyDescent="0.25">
      <c r="A34" s="34">
        <v>41866</v>
      </c>
      <c r="B34" s="36">
        <v>97.98</v>
      </c>
      <c r="C34">
        <f>VLOOKUP(A34,ABBV!A$2:G$55,5,0)</f>
        <v>53.9</v>
      </c>
      <c r="D34">
        <f>VLOOKUP(A34,ABT!A$2:G$55,5,0)</f>
        <v>42.06</v>
      </c>
      <c r="E34">
        <f>VLOOKUP(A34,ACN!A$2:G$55,5,0)</f>
        <v>79.010000000000005</v>
      </c>
      <c r="F34">
        <f>VLOOKUP(A34,AIG!A$2:G$55,5,0)</f>
        <v>53.99</v>
      </c>
      <c r="G34">
        <f>VLOOKUP(A34,ALL!A$2:G$55,5,0)</f>
        <v>60.69</v>
      </c>
      <c r="H34">
        <f>VLOOKUP(A34,AMGN!A$2:G$55,5,0)</f>
        <v>132.80000000000001</v>
      </c>
      <c r="I34">
        <f>VLOOKUP(A34,AMZN!A$2:G$55,5,0)</f>
        <v>333.63</v>
      </c>
      <c r="J34">
        <f>VLOOKUP(A34,APA!A$2:G$55,5,0)</f>
        <v>98.68</v>
      </c>
      <c r="K34">
        <f>VLOOKUP(A34,APC!A$2:G$55,5,0)</f>
        <v>108.21</v>
      </c>
      <c r="L34">
        <f>VLOOKUP(A34,AXP!A$2:G$55,5,0)</f>
        <v>86.6</v>
      </c>
      <c r="M34">
        <f>VLOOKUP(A34,BA!A$2:G$55,5,0)</f>
        <v>123.16</v>
      </c>
      <c r="N34">
        <f>VLOOKUP(A34,BAC!A$2:G$55,5,0)</f>
        <v>15.22</v>
      </c>
      <c r="O34">
        <f>VLOOKUP(A34,BAX!A$2:G$55,5,0)</f>
        <v>74.41</v>
      </c>
      <c r="P34">
        <f>VLOOKUP(A34,BIIB!A$2:G$55,5,0)</f>
        <v>342.47</v>
      </c>
      <c r="Q34">
        <f>VLOOKUP(A34,BK!A$2:G$55,5,0)</f>
        <v>38.24</v>
      </c>
      <c r="R34">
        <f>VLOOKUP(A34,BMY!A$2:G$55,5,0)</f>
        <v>49.68</v>
      </c>
      <c r="T34">
        <f>VLOOKUP(A34,'C'!A$2:G$55,5,0)</f>
        <v>48.72</v>
      </c>
      <c r="U34">
        <f>VLOOKUP(A34,CAT!A$2:G$55,5,0)</f>
        <v>105.74</v>
      </c>
      <c r="V34">
        <f>VLOOKUP(A34,CL!A$2:G$55,5,0)</f>
        <v>64.13</v>
      </c>
      <c r="W34">
        <f>VLOOKUP(A34,CMCSA!A$2:G$55,5,0)</f>
        <v>54.63</v>
      </c>
      <c r="X34">
        <f>VLOOKUP(A34,COF!A$2:G$55,5,0)</f>
        <v>79.3</v>
      </c>
      <c r="Y34">
        <f>VLOOKUP(A34,COP!A$2:G$55,5,0)</f>
        <v>80.62</v>
      </c>
      <c r="Z34">
        <f>VLOOKUP(A34,COST!A$2:G$55,5,0)</f>
        <v>118.57</v>
      </c>
      <c r="AA34">
        <f>VLOOKUP(A34,CSCO!A$2:G$55,5,0)</f>
        <v>24.43</v>
      </c>
      <c r="AB34">
        <f>VLOOKUP(A34,CVS!A$2:G$55,5,0)</f>
        <v>78.91</v>
      </c>
      <c r="AC34">
        <f>VLOOKUP(A34,CVX!A$2:G$55,5,0)</f>
        <v>126.1</v>
      </c>
      <c r="AD34">
        <f>VLOOKUP(A34,DD!A$2:G$55,5,0)</f>
        <v>65.25</v>
      </c>
      <c r="AE34">
        <f>VLOOKUP(A34,DIS!A$2:G$55,5,0)</f>
        <v>89.28</v>
      </c>
      <c r="AF34">
        <f>VLOOKUP(A34,DOW!A$2:G$55,5,0)</f>
        <v>52.02</v>
      </c>
      <c r="AG34">
        <f>VLOOKUP(A34,DVN!A$2:G$55,5,0)</f>
        <v>73.34</v>
      </c>
      <c r="AH34">
        <f>VLOOKUP(A34,EBAY!A$2:G$55,5,0)</f>
        <v>52.64</v>
      </c>
      <c r="AI34">
        <f>VLOOKUP(A34,EMC!A$2:G$55,5,0)</f>
        <v>29.73</v>
      </c>
      <c r="AJ34">
        <f>VLOOKUP(A34,EMR!A$2:G$55,5,0)</f>
        <v>62.97</v>
      </c>
      <c r="AK34">
        <f>VLOOKUP(A34,EXC!A$2:G$55,5,0)</f>
        <v>31.8</v>
      </c>
      <c r="AL34">
        <f>VLOOKUP(A34,F!A$2:G$55,5,0)</f>
        <v>17.309999999999999</v>
      </c>
      <c r="AM34">
        <f>VLOOKUP(A34,FB!A$2:G$55,5,0)</f>
        <v>73.63</v>
      </c>
      <c r="AN34">
        <f>VLOOKUP(A34,FCX!A$2:G$55,5,0)</f>
        <v>36.1</v>
      </c>
      <c r="AO34">
        <f>VLOOKUP(A34,FDX!A$2:G$55,5,0)</f>
        <v>148.72</v>
      </c>
      <c r="AP34">
        <f>VLOOKUP(A34,FOXA!A$2:G$55,5,0)</f>
        <v>35.86</v>
      </c>
      <c r="AQ34">
        <f>VLOOKUP(A34,GD!A$2:G$55,5,0)</f>
        <v>119.34</v>
      </c>
      <c r="AR34">
        <f>VLOOKUP(A34,GE!A$2:G$55,5,0)</f>
        <v>25.64</v>
      </c>
      <c r="AS34">
        <f>VLOOKUP(A34,GILD!A$2:G$55,5,0)</f>
        <v>99.49</v>
      </c>
      <c r="AT34">
        <f>VLOOKUP(A34,GM!A$2:G$55,5,0)</f>
        <v>33.840000000000003</v>
      </c>
      <c r="AU34">
        <f>VLOOKUP(A34,GOOG!A$2:G$55,5,0)</f>
        <v>573.48</v>
      </c>
      <c r="AV34">
        <f>VLOOKUP(A34,GOOGL!A$2:G$55,5,0)</f>
        <v>583.71</v>
      </c>
      <c r="AW34">
        <f>VLOOKUP(A34,GS!A$2:G$55,5,0)</f>
        <v>171.9</v>
      </c>
      <c r="AX34">
        <f>VLOOKUP(A34,HAL!A$2:G$55,5,0)</f>
        <v>68.42</v>
      </c>
      <c r="AY34">
        <f>VLOOKUP(A34,HD!A$2:G$55,5,0)</f>
        <v>83.69</v>
      </c>
      <c r="AZ34">
        <f>VLOOKUP(A34,HON!A$2:G$55,5,0)</f>
        <v>94.23</v>
      </c>
      <c r="BA34">
        <f>VLOOKUP(A34,HPQ!A$2:G$55,5,0)</f>
        <v>35.07</v>
      </c>
      <c r="BB34">
        <f>VLOOKUP(A34,IBM!A$2:G$55,5,0)</f>
        <v>187.38</v>
      </c>
      <c r="BC34">
        <f>VLOOKUP(A34,INTC!A$2:G$55,5,0)</f>
        <v>34.17</v>
      </c>
      <c r="BD34">
        <f>VLOOKUP(A34,JNJ!A$2:G$55,5,0)</f>
        <v>101.17</v>
      </c>
      <c r="BE34">
        <f>VLOOKUP(A34,JPM!A$2:G$55,5,0)</f>
        <v>56.75</v>
      </c>
      <c r="BF34">
        <f>VLOOKUP(A34,KO!A$2:G$55,5,0)</f>
        <v>40.880000000000003</v>
      </c>
      <c r="BG34">
        <f>VLOOKUP(A34,LLY!A$2:G$55,5,0)</f>
        <v>60.84</v>
      </c>
      <c r="BH34">
        <f>VLOOKUP(A34,LMT!A$2:G$55,5,0)</f>
        <v>169.16</v>
      </c>
      <c r="BI34">
        <f>VLOOKUP(A34,LOW!A$2:G$55,5,0)</f>
        <v>50</v>
      </c>
      <c r="BJ34">
        <f>VLOOKUP(A34,MA!A$2:G$55,5,0)</f>
        <v>75.209999999999994</v>
      </c>
      <c r="BK34">
        <f>VLOOKUP(A34,MCD!A$2:G$55,5,0)</f>
        <v>93.79</v>
      </c>
      <c r="BL34">
        <f>VLOOKUP(A34,MDLZ!A$2:G$55,5,0)</f>
        <v>35.78</v>
      </c>
      <c r="BM34">
        <f>VLOOKUP(A34,MDT!A$2:G$55,5,0)</f>
        <v>63.25</v>
      </c>
      <c r="BN34">
        <f>VLOOKUP(A34,MET!A$2:G$55,5,0)</f>
        <v>52.48</v>
      </c>
      <c r="BO34">
        <f>VLOOKUP(A34,MMM!A$2:G$55,5,0)</f>
        <v>141.91999999999999</v>
      </c>
      <c r="BP34">
        <f>VLOOKUP(A34,MO!A$2:G$55,5,0)</f>
        <v>42.2</v>
      </c>
      <c r="BQ34">
        <f>VLOOKUP(A34,MON!A$2:G$55,5,0)</f>
        <v>118.99</v>
      </c>
      <c r="BR34">
        <f>VLOOKUP(A34,MRK!A$2:G$55,5,0)</f>
        <v>58.61</v>
      </c>
      <c r="BS34">
        <f>VLOOKUP(A34,MS!A$2:G$55,5,0)</f>
        <v>32.22</v>
      </c>
      <c r="BT34">
        <f>VLOOKUP(A34,MSFT!A$2:G$55,5,0)</f>
        <v>44.79</v>
      </c>
      <c r="BU34">
        <f>VLOOKUP(A34,NKE!A$2:G$55,5,0)</f>
        <v>77.13</v>
      </c>
      <c r="BV34">
        <f>VLOOKUP(A34,NOV!A$2:G$55,5,0)</f>
        <v>82.11</v>
      </c>
      <c r="BW34">
        <f>VLOOKUP(A34,NSC!A$2:G$55,5,0)</f>
        <v>104.49</v>
      </c>
      <c r="BX34">
        <f>VLOOKUP(A34,ORCL!A$2:G$55,5,0)</f>
        <v>40.28</v>
      </c>
      <c r="BY34">
        <f>VLOOKUP(A34,OXY!A$2:G$55,5,0)</f>
        <v>100.46</v>
      </c>
      <c r="BZ34">
        <f>VLOOKUP(A34,PEP!A$2:G$55,5,0)</f>
        <v>91.85</v>
      </c>
      <c r="CA34">
        <f>VLOOKUP(A34,PFE!A$2:G$55,5,0)</f>
        <v>28.64</v>
      </c>
      <c r="CB34">
        <f>VLOOKUP(A34,PG!A$2:G$55,5,0)</f>
        <v>81.78</v>
      </c>
      <c r="CC34">
        <f>VLOOKUP(A34,PM!A$2:G$55,5,0)</f>
        <v>84.5</v>
      </c>
      <c r="CD34">
        <f>VLOOKUP(A34,QCOM!A$2:G$55,5,0)</f>
        <v>74.41</v>
      </c>
      <c r="CE34">
        <f>VLOOKUP(A34,RTN!A$2:G$55,5,0)</f>
        <v>93.45</v>
      </c>
      <c r="CF34">
        <f>VLOOKUP(A34,SBUX!A$2:G$55,5,0)</f>
        <v>76.91</v>
      </c>
      <c r="CG34">
        <f>VLOOKUP(A34,SLB!A$2:G$55,5,0)</f>
        <v>106.53</v>
      </c>
      <c r="CH34">
        <f>VLOOKUP(A34,SO!A$2:G$55,5,0)</f>
        <v>43.42</v>
      </c>
      <c r="CI34">
        <f>VLOOKUP(A34,SPG!A$2:G$55,5,0)</f>
        <v>168.85</v>
      </c>
      <c r="CJ34">
        <f>VLOOKUP(A34,T!A$2:G$55,5,0)</f>
        <v>34.74</v>
      </c>
      <c r="CK34">
        <f>VLOOKUP(A34,TGT!A$2:G$55,5,0)</f>
        <v>58.2</v>
      </c>
      <c r="CL34">
        <f>VLOOKUP(A34,TWX!A$2:G$55,5,0)</f>
        <v>76.5</v>
      </c>
      <c r="CM34">
        <f>VLOOKUP(A34,TXN!A$2:G$55,5,0)</f>
        <v>47.56</v>
      </c>
      <c r="CN34">
        <f>VLOOKUP(A34,UNH!A$2:G$55,5,0)</f>
        <v>81.47</v>
      </c>
      <c r="CO34">
        <f>VLOOKUP(A34,UNP!A$2:G$55,5,0)</f>
        <v>101.99</v>
      </c>
      <c r="CP34">
        <f>VLOOKUP(A34,UPS!A$2:G$55,5,0)</f>
        <v>96.85</v>
      </c>
      <c r="CQ34">
        <f>VLOOKUP(A34,USB!A$2:G$55,5,0)</f>
        <v>41.27</v>
      </c>
      <c r="CR34">
        <f>VLOOKUP(A34,UTX!A$2:G$55,5,0)</f>
        <v>105.63</v>
      </c>
      <c r="CS34">
        <f>VLOOKUP(A34,V!A$2:G$55,5,0)</f>
        <v>210.19</v>
      </c>
      <c r="CT34">
        <f>VLOOKUP(A34,VZ!A$2:G$55,5,0)</f>
        <v>48.8</v>
      </c>
      <c r="CU34">
        <f>VLOOKUP(A34,WAG!A$2:G$55,5,0)</f>
        <v>61.75</v>
      </c>
      <c r="CV34">
        <f>VLOOKUP(A34,WFC!A$2:G$55,5,0)</f>
        <v>50.21</v>
      </c>
      <c r="CW34">
        <f>VLOOKUP(A34,WMT!A$2:G$55,5,0)</f>
        <v>73.900000000000006</v>
      </c>
    </row>
    <row r="35" spans="1:101" x14ac:dyDescent="0.25">
      <c r="A35" s="34">
        <v>41869</v>
      </c>
      <c r="B35" s="36">
        <v>99.16</v>
      </c>
      <c r="C35">
        <f>VLOOKUP(A35,ABBV!A$2:G$55,5,0)</f>
        <v>54.31</v>
      </c>
      <c r="D35">
        <f>VLOOKUP(A35,ABT!A$2:G$55,5,0)</f>
        <v>42.23</v>
      </c>
      <c r="E35">
        <f>VLOOKUP(A35,ACN!A$2:G$55,5,0)</f>
        <v>79.81</v>
      </c>
      <c r="F35">
        <f>VLOOKUP(A35,AIG!A$2:G$55,5,0)</f>
        <v>54.48</v>
      </c>
      <c r="G35">
        <f>VLOOKUP(A35,ALL!A$2:G$55,5,0)</f>
        <v>61.28</v>
      </c>
      <c r="H35">
        <f>VLOOKUP(A35,AMGN!A$2:G$55,5,0)</f>
        <v>133.22</v>
      </c>
      <c r="I35">
        <f>VLOOKUP(A35,AMZN!A$2:G$55,5,0)</f>
        <v>334.53</v>
      </c>
      <c r="J35">
        <f>VLOOKUP(A35,APA!A$2:G$55,5,0)</f>
        <v>98.5</v>
      </c>
      <c r="K35">
        <f>VLOOKUP(A35,APC!A$2:G$55,5,0)</f>
        <v>108.85</v>
      </c>
      <c r="L35">
        <f>VLOOKUP(A35,AXP!A$2:G$55,5,0)</f>
        <v>87.16</v>
      </c>
      <c r="M35">
        <f>VLOOKUP(A35,BA!A$2:G$55,5,0)</f>
        <v>124.98</v>
      </c>
      <c r="N35">
        <f>VLOOKUP(A35,BAC!A$2:G$55,5,0)</f>
        <v>15.45</v>
      </c>
      <c r="O35">
        <f>VLOOKUP(A35,BAX!A$2:G$55,5,0)</f>
        <v>75.209999999999994</v>
      </c>
      <c r="P35">
        <f>VLOOKUP(A35,BIIB!A$2:G$55,5,0)</f>
        <v>344.6</v>
      </c>
      <c r="Q35">
        <f>VLOOKUP(A35,BK!A$2:G$55,5,0)</f>
        <v>38.57</v>
      </c>
      <c r="R35">
        <f>VLOOKUP(A35,BMY!A$2:G$55,5,0)</f>
        <v>49.99</v>
      </c>
      <c r="T35">
        <f>VLOOKUP(A35,'C'!A$2:G$55,5,0)</f>
        <v>49.51</v>
      </c>
      <c r="U35">
        <f>VLOOKUP(A35,CAT!A$2:G$55,5,0)</f>
        <v>106.98</v>
      </c>
      <c r="V35">
        <f>VLOOKUP(A35,CL!A$2:G$55,5,0)</f>
        <v>64.62</v>
      </c>
      <c r="W35">
        <f>VLOOKUP(A35,CMCSA!A$2:G$55,5,0)</f>
        <v>54.73</v>
      </c>
      <c r="X35">
        <f>VLOOKUP(A35,COF!A$2:G$55,5,0)</f>
        <v>80.42</v>
      </c>
      <c r="Y35">
        <f>VLOOKUP(A35,COP!A$2:G$55,5,0)</f>
        <v>79.34</v>
      </c>
      <c r="Z35">
        <f>VLOOKUP(A35,COST!A$2:G$55,5,0)</f>
        <v>119.46</v>
      </c>
      <c r="AA35">
        <f>VLOOKUP(A35,CSCO!A$2:G$55,5,0)</f>
        <v>24.63</v>
      </c>
      <c r="AB35">
        <f>VLOOKUP(A35,CVS!A$2:G$55,5,0)</f>
        <v>79.150000000000006</v>
      </c>
      <c r="AC35">
        <f>VLOOKUP(A35,CVX!A$2:G$55,5,0)</f>
        <v>126.3</v>
      </c>
      <c r="AD35">
        <f>VLOOKUP(A35,DD!A$2:G$55,5,0)</f>
        <v>65.87</v>
      </c>
      <c r="AE35">
        <f>VLOOKUP(A35,DIS!A$2:G$55,5,0)</f>
        <v>89.97</v>
      </c>
      <c r="AF35">
        <f>VLOOKUP(A35,DOW!A$2:G$55,5,0)</f>
        <v>52.88</v>
      </c>
      <c r="AG35">
        <f>VLOOKUP(A35,DVN!A$2:G$55,5,0)</f>
        <v>73.540000000000006</v>
      </c>
      <c r="AH35">
        <f>VLOOKUP(A35,EBAY!A$2:G$55,5,0)</f>
        <v>53.11</v>
      </c>
      <c r="AI35">
        <f>VLOOKUP(A35,EMC!A$2:G$55,5,0)</f>
        <v>29.95</v>
      </c>
      <c r="AJ35">
        <f>VLOOKUP(A35,EMR!A$2:G$55,5,0)</f>
        <v>63.82</v>
      </c>
      <c r="AK35">
        <f>VLOOKUP(A35,EXC!A$2:G$55,5,0)</f>
        <v>31.82</v>
      </c>
      <c r="AL35">
        <f>VLOOKUP(A35,F!A$2:G$55,5,0)</f>
        <v>17.43</v>
      </c>
      <c r="AM35">
        <f>VLOOKUP(A35,FB!A$2:G$55,5,0)</f>
        <v>74.59</v>
      </c>
      <c r="AN35">
        <f>VLOOKUP(A35,FCX!A$2:G$55,5,0)</f>
        <v>36.369999999999997</v>
      </c>
      <c r="AO35">
        <f>VLOOKUP(A35,FDX!A$2:G$55,5,0)</f>
        <v>150.41999999999999</v>
      </c>
      <c r="AP35">
        <f>VLOOKUP(A35,FOXA!A$2:G$55,5,0)</f>
        <v>35.97</v>
      </c>
      <c r="AQ35">
        <f>VLOOKUP(A35,GD!A$2:G$55,5,0)</f>
        <v>121.18</v>
      </c>
      <c r="AR35">
        <f>VLOOKUP(A35,GE!A$2:G$55,5,0)</f>
        <v>26.07</v>
      </c>
      <c r="AS35">
        <f>VLOOKUP(A35,GILD!A$2:G$55,5,0)</f>
        <v>100.72</v>
      </c>
      <c r="AT35">
        <f>VLOOKUP(A35,GM!A$2:G$55,5,0)</f>
        <v>34.4</v>
      </c>
      <c r="AU35">
        <f>VLOOKUP(A35,GOOG!A$2:G$55,5,0)</f>
        <v>582.16</v>
      </c>
      <c r="AV35">
        <f>VLOOKUP(A35,GOOGL!A$2:G$55,5,0)</f>
        <v>592.70000000000005</v>
      </c>
      <c r="AW35">
        <f>VLOOKUP(A35,GS!A$2:G$55,5,0)</f>
        <v>174.55</v>
      </c>
      <c r="AX35">
        <f>VLOOKUP(A35,HAL!A$2:G$55,5,0)</f>
        <v>68.87</v>
      </c>
      <c r="AY35">
        <f>VLOOKUP(A35,HD!A$2:G$55,5,0)</f>
        <v>83.59</v>
      </c>
      <c r="AZ35">
        <f>VLOOKUP(A35,HON!A$2:G$55,5,0)</f>
        <v>95.26</v>
      </c>
      <c r="BA35">
        <f>VLOOKUP(A35,HPQ!A$2:G$55,5,0)</f>
        <v>35.340000000000003</v>
      </c>
      <c r="BB35">
        <f>VLOOKUP(A35,IBM!A$2:G$55,5,0)</f>
        <v>189.36</v>
      </c>
      <c r="BC35">
        <f>VLOOKUP(A35,INTC!A$2:G$55,5,0)</f>
        <v>34.409999999999997</v>
      </c>
      <c r="BD35">
        <f>VLOOKUP(A35,JNJ!A$2:G$55,5,0)</f>
        <v>102.7</v>
      </c>
      <c r="BE35">
        <f>VLOOKUP(A35,JPM!A$2:G$55,5,0)</f>
        <v>57.23</v>
      </c>
      <c r="BF35">
        <f>VLOOKUP(A35,KO!A$2:G$55,5,0)</f>
        <v>41.35</v>
      </c>
      <c r="BG35">
        <f>VLOOKUP(A35,LLY!A$2:G$55,5,0)</f>
        <v>61.35</v>
      </c>
      <c r="BH35">
        <f>VLOOKUP(A35,LMT!A$2:G$55,5,0)</f>
        <v>171.52</v>
      </c>
      <c r="BI35">
        <f>VLOOKUP(A35,LOW!A$2:G$55,5,0)</f>
        <v>50.45</v>
      </c>
      <c r="BJ35">
        <f>VLOOKUP(A35,MA!A$2:G$55,5,0)</f>
        <v>76.77</v>
      </c>
      <c r="BK35">
        <f>VLOOKUP(A35,MCD!A$2:G$55,5,0)</f>
        <v>94.25</v>
      </c>
      <c r="BL35">
        <f>VLOOKUP(A35,MDLZ!A$2:G$55,5,0)</f>
        <v>36.04</v>
      </c>
      <c r="BM35">
        <f>VLOOKUP(A35,MDT!A$2:G$55,5,0)</f>
        <v>63.47</v>
      </c>
      <c r="BN35">
        <f>VLOOKUP(A35,MET!A$2:G$55,5,0)</f>
        <v>53.49</v>
      </c>
      <c r="BO35">
        <f>VLOOKUP(A35,MMM!A$2:G$55,5,0)</f>
        <v>144.12</v>
      </c>
      <c r="BP35">
        <f>VLOOKUP(A35,MO!A$2:G$55,5,0)</f>
        <v>42.5</v>
      </c>
      <c r="BQ35">
        <f>VLOOKUP(A35,MON!A$2:G$55,5,0)</f>
        <v>119.43</v>
      </c>
      <c r="BR35">
        <f>VLOOKUP(A35,MRK!A$2:G$55,5,0)</f>
        <v>58.42</v>
      </c>
      <c r="BS35">
        <f>VLOOKUP(A35,MS!A$2:G$55,5,0)</f>
        <v>32.61</v>
      </c>
      <c r="BT35">
        <f>VLOOKUP(A35,MSFT!A$2:G$55,5,0)</f>
        <v>45.11</v>
      </c>
      <c r="BU35">
        <f>VLOOKUP(A35,NKE!A$2:G$55,5,0)</f>
        <v>78.55</v>
      </c>
      <c r="BV35">
        <f>VLOOKUP(A35,NOV!A$2:G$55,5,0)</f>
        <v>82.49</v>
      </c>
      <c r="BW35">
        <f>VLOOKUP(A35,NSC!A$2:G$55,5,0)</f>
        <v>106.03</v>
      </c>
      <c r="BX35">
        <f>VLOOKUP(A35,ORCL!A$2:G$55,5,0)</f>
        <v>40.64</v>
      </c>
      <c r="BY35">
        <f>VLOOKUP(A35,OXY!A$2:G$55,5,0)</f>
        <v>100.6</v>
      </c>
      <c r="BZ35">
        <f>VLOOKUP(A35,PEP!A$2:G$55,5,0)</f>
        <v>92.15</v>
      </c>
      <c r="CA35">
        <f>VLOOKUP(A35,PFE!A$2:G$55,5,0)</f>
        <v>28.84</v>
      </c>
      <c r="CB35">
        <f>VLOOKUP(A35,PG!A$2:G$55,5,0)</f>
        <v>82.44</v>
      </c>
      <c r="CC35">
        <f>VLOOKUP(A35,PM!A$2:G$55,5,0)</f>
        <v>84.99</v>
      </c>
      <c r="CD35">
        <f>VLOOKUP(A35,QCOM!A$2:G$55,5,0)</f>
        <v>75.03</v>
      </c>
      <c r="CE35">
        <f>VLOOKUP(A35,RTN!A$2:G$55,5,0)</f>
        <v>94.8</v>
      </c>
      <c r="CF35">
        <f>VLOOKUP(A35,SBUX!A$2:G$55,5,0)</f>
        <v>77.59</v>
      </c>
      <c r="CG35">
        <f>VLOOKUP(A35,SLB!A$2:G$55,5,0)</f>
        <v>108.14</v>
      </c>
      <c r="CH35">
        <f>VLOOKUP(A35,SO!A$2:G$55,5,0)</f>
        <v>43.38</v>
      </c>
      <c r="CI35">
        <f>VLOOKUP(A35,SPG!A$2:G$55,5,0)</f>
        <v>170.24</v>
      </c>
      <c r="CJ35">
        <f>VLOOKUP(A35,T!A$2:G$55,5,0)</f>
        <v>34.65</v>
      </c>
      <c r="CK35">
        <f>VLOOKUP(A35,TGT!A$2:G$55,5,0)</f>
        <v>58.55</v>
      </c>
      <c r="CL35">
        <f>VLOOKUP(A35,TWX!A$2:G$55,5,0)</f>
        <v>76.86</v>
      </c>
      <c r="CM35">
        <f>VLOOKUP(A35,TXN!A$2:G$55,5,0)</f>
        <v>47.56</v>
      </c>
      <c r="CN35">
        <f>VLOOKUP(A35,UNH!A$2:G$55,5,0)</f>
        <v>82.34</v>
      </c>
      <c r="CO35">
        <f>VLOOKUP(A35,UNP!A$2:G$55,5,0)</f>
        <v>103.79</v>
      </c>
      <c r="CP35">
        <f>VLOOKUP(A35,UPS!A$2:G$55,5,0)</f>
        <v>97.62</v>
      </c>
      <c r="CQ35">
        <f>VLOOKUP(A35,USB!A$2:G$55,5,0)</f>
        <v>41.72</v>
      </c>
      <c r="CR35">
        <f>VLOOKUP(A35,UTX!A$2:G$55,5,0)</f>
        <v>108.09</v>
      </c>
      <c r="CS35">
        <f>VLOOKUP(A35,V!A$2:G$55,5,0)</f>
        <v>214.32</v>
      </c>
      <c r="CT35">
        <f>VLOOKUP(A35,VZ!A$2:G$55,5,0)</f>
        <v>48.78</v>
      </c>
      <c r="CU35">
        <f>VLOOKUP(A35,WAG!A$2:G$55,5,0)</f>
        <v>62.07</v>
      </c>
      <c r="CV35">
        <f>VLOOKUP(A35,WFC!A$2:G$55,5,0)</f>
        <v>50.69</v>
      </c>
      <c r="CW35">
        <f>VLOOKUP(A35,WMT!A$2:G$55,5,0)</f>
        <v>74.489999999999995</v>
      </c>
    </row>
    <row r="36" spans="1:101" x14ac:dyDescent="0.25">
      <c r="A36" s="34">
        <v>41870</v>
      </c>
      <c r="B36" s="36">
        <v>100.53</v>
      </c>
      <c r="C36">
        <f>VLOOKUP(A36,ABBV!A$2:G$55,5,0)</f>
        <v>55.29</v>
      </c>
      <c r="D36">
        <f>VLOOKUP(A36,ABT!A$2:G$55,5,0)</f>
        <v>42.54</v>
      </c>
      <c r="E36">
        <f>VLOOKUP(A36,ACN!A$2:G$55,5,0)</f>
        <v>80.319999999999993</v>
      </c>
      <c r="F36">
        <f>VLOOKUP(A36,AIG!A$2:G$55,5,0)</f>
        <v>54.62</v>
      </c>
      <c r="G36">
        <f>VLOOKUP(A36,ALL!A$2:G$55,5,0)</f>
        <v>61.09</v>
      </c>
      <c r="H36">
        <f>VLOOKUP(A36,AMGN!A$2:G$55,5,0)</f>
        <v>133.02000000000001</v>
      </c>
      <c r="I36">
        <f>VLOOKUP(A36,AMZN!A$2:G$55,5,0)</f>
        <v>335.13</v>
      </c>
      <c r="J36">
        <f>VLOOKUP(A36,APA!A$2:G$55,5,0)</f>
        <v>99.27</v>
      </c>
      <c r="K36">
        <f>VLOOKUP(A36,APC!A$2:G$55,5,0)</f>
        <v>109.89</v>
      </c>
      <c r="L36">
        <f>VLOOKUP(A36,AXP!A$2:G$55,5,0)</f>
        <v>88.12</v>
      </c>
      <c r="M36">
        <f>VLOOKUP(A36,BA!A$2:G$55,5,0)</f>
        <v>125.58</v>
      </c>
      <c r="N36">
        <f>VLOOKUP(A36,BAC!A$2:G$55,5,0)</f>
        <v>15.45</v>
      </c>
      <c r="O36">
        <f>VLOOKUP(A36,BAX!A$2:G$55,5,0)</f>
        <v>75.13</v>
      </c>
      <c r="P36">
        <f>VLOOKUP(A36,BIIB!A$2:G$55,5,0)</f>
        <v>345.84</v>
      </c>
      <c r="Q36">
        <f>VLOOKUP(A36,BK!A$2:G$55,5,0)</f>
        <v>38.590000000000003</v>
      </c>
      <c r="R36">
        <f>VLOOKUP(A36,BMY!A$2:G$55,5,0)</f>
        <v>50.3</v>
      </c>
      <c r="T36">
        <f>VLOOKUP(A36,'C'!A$2:G$55,5,0)</f>
        <v>49.7</v>
      </c>
      <c r="U36">
        <f>VLOOKUP(A36,CAT!A$2:G$55,5,0)</f>
        <v>107.3</v>
      </c>
      <c r="V36">
        <f>VLOOKUP(A36,CL!A$2:G$55,5,0)</f>
        <v>64.260000000000005</v>
      </c>
      <c r="W36">
        <f>VLOOKUP(A36,CMCSA!A$2:G$55,5,0)</f>
        <v>54.5</v>
      </c>
      <c r="X36">
        <f>VLOOKUP(A36,COF!A$2:G$55,5,0)</f>
        <v>80.48</v>
      </c>
      <c r="Y36">
        <f>VLOOKUP(A36,COP!A$2:G$55,5,0)</f>
        <v>79.91</v>
      </c>
      <c r="Z36">
        <f>VLOOKUP(A36,COST!A$2:G$55,5,0)</f>
        <v>120.61</v>
      </c>
      <c r="AA36">
        <f>VLOOKUP(A36,CSCO!A$2:G$55,5,0)</f>
        <v>24.64</v>
      </c>
      <c r="AB36">
        <f>VLOOKUP(A36,CVS!A$2:G$55,5,0)</f>
        <v>79.53</v>
      </c>
      <c r="AC36">
        <f>VLOOKUP(A36,CVX!A$2:G$55,5,0)</f>
        <v>127.63</v>
      </c>
      <c r="AD36">
        <f>VLOOKUP(A36,DD!A$2:G$55,5,0)</f>
        <v>66.290000000000006</v>
      </c>
      <c r="AE36">
        <f>VLOOKUP(A36,DIS!A$2:G$55,5,0)</f>
        <v>90.09</v>
      </c>
      <c r="AF36">
        <f>VLOOKUP(A36,DOW!A$2:G$55,5,0)</f>
        <v>53.08</v>
      </c>
      <c r="AG36">
        <f>VLOOKUP(A36,DVN!A$2:G$55,5,0)</f>
        <v>74.28</v>
      </c>
      <c r="AH36">
        <f>VLOOKUP(A36,EBAY!A$2:G$55,5,0)</f>
        <v>53.75</v>
      </c>
      <c r="AI36">
        <f>VLOOKUP(A36,EMC!A$2:G$55,5,0)</f>
        <v>29.89</v>
      </c>
      <c r="AJ36">
        <f>VLOOKUP(A36,EMR!A$2:G$55,5,0)</f>
        <v>63.93</v>
      </c>
      <c r="AK36">
        <f>VLOOKUP(A36,EXC!A$2:G$55,5,0)</f>
        <v>31.96</v>
      </c>
      <c r="AL36">
        <f>VLOOKUP(A36,F!A$2:G$55,5,0)</f>
        <v>17.36</v>
      </c>
      <c r="AM36">
        <f>VLOOKUP(A36,FB!A$2:G$55,5,0)</f>
        <v>75.290000000000006</v>
      </c>
      <c r="AN36">
        <f>VLOOKUP(A36,FCX!A$2:G$55,5,0)</f>
        <v>36.29</v>
      </c>
      <c r="AO36">
        <f>VLOOKUP(A36,FDX!A$2:G$55,5,0)</f>
        <v>150</v>
      </c>
      <c r="AP36">
        <f>VLOOKUP(A36,FOXA!A$2:G$55,5,0)</f>
        <v>35.89</v>
      </c>
      <c r="AQ36">
        <f>VLOOKUP(A36,GD!A$2:G$55,5,0)</f>
        <v>121.81</v>
      </c>
      <c r="AR36">
        <f>VLOOKUP(A36,GE!A$2:G$55,5,0)</f>
        <v>26.05</v>
      </c>
      <c r="AS36">
        <f>VLOOKUP(A36,GILD!A$2:G$55,5,0)</f>
        <v>101.28</v>
      </c>
      <c r="AT36">
        <f>VLOOKUP(A36,GM!A$2:G$55,5,0)</f>
        <v>34.57</v>
      </c>
      <c r="AU36">
        <f>VLOOKUP(A36,GOOG!A$2:G$55,5,0)</f>
        <v>586.86</v>
      </c>
      <c r="AV36">
        <f>VLOOKUP(A36,GOOGL!A$2:G$55,5,0)</f>
        <v>597.11</v>
      </c>
      <c r="AW36">
        <f>VLOOKUP(A36,GS!A$2:G$55,5,0)</f>
        <v>173.96</v>
      </c>
      <c r="AX36">
        <f>VLOOKUP(A36,HAL!A$2:G$55,5,0)</f>
        <v>68.77</v>
      </c>
      <c r="AY36">
        <f>VLOOKUP(A36,HD!A$2:G$55,5,0)</f>
        <v>88.23</v>
      </c>
      <c r="AZ36">
        <f>VLOOKUP(A36,HON!A$2:G$55,5,0)</f>
        <v>94.72</v>
      </c>
      <c r="BA36">
        <f>VLOOKUP(A36,HPQ!A$2:G$55,5,0)</f>
        <v>35.479999999999997</v>
      </c>
      <c r="BB36">
        <f>VLOOKUP(A36,IBM!A$2:G$55,5,0)</f>
        <v>190.07</v>
      </c>
      <c r="BC36">
        <f>VLOOKUP(A36,INTC!A$2:G$55,5,0)</f>
        <v>34.340000000000003</v>
      </c>
      <c r="BD36">
        <f>VLOOKUP(A36,JNJ!A$2:G$55,5,0)</f>
        <v>102.96</v>
      </c>
      <c r="BE36">
        <f>VLOOKUP(A36,JPM!A$2:G$55,5,0)</f>
        <v>57.56</v>
      </c>
      <c r="BF36">
        <f>VLOOKUP(A36,KO!A$2:G$55,5,0)</f>
        <v>41.26</v>
      </c>
      <c r="BG36">
        <f>VLOOKUP(A36,LLY!A$2:G$55,5,0)</f>
        <v>62.16</v>
      </c>
      <c r="BH36">
        <f>VLOOKUP(A36,LMT!A$2:G$55,5,0)</f>
        <v>172.13</v>
      </c>
      <c r="BI36">
        <f>VLOOKUP(A36,LOW!A$2:G$55,5,0)</f>
        <v>51.52</v>
      </c>
      <c r="BJ36">
        <f>VLOOKUP(A36,MA!A$2:G$55,5,0)</f>
        <v>76.400000000000006</v>
      </c>
      <c r="BK36">
        <f>VLOOKUP(A36,MCD!A$2:G$55,5,0)</f>
        <v>94.45</v>
      </c>
      <c r="BL36">
        <f>VLOOKUP(A36,MDLZ!A$2:G$55,5,0)</f>
        <v>36.17</v>
      </c>
      <c r="BM36">
        <f>VLOOKUP(A36,MDT!A$2:G$55,5,0)</f>
        <v>64.010000000000005</v>
      </c>
      <c r="BN36">
        <f>VLOOKUP(A36,MET!A$2:G$55,5,0)</f>
        <v>53.63</v>
      </c>
      <c r="BO36">
        <f>VLOOKUP(A36,MMM!A$2:G$55,5,0)</f>
        <v>144.25</v>
      </c>
      <c r="BP36">
        <f>VLOOKUP(A36,MO!A$2:G$55,5,0)</f>
        <v>42.7</v>
      </c>
      <c r="BQ36">
        <f>VLOOKUP(A36,MON!A$2:G$55,5,0)</f>
        <v>119.83</v>
      </c>
      <c r="BR36">
        <f>VLOOKUP(A36,MRK!A$2:G$55,5,0)</f>
        <v>58.91</v>
      </c>
      <c r="BS36">
        <f>VLOOKUP(A36,MS!A$2:G$55,5,0)</f>
        <v>32.53</v>
      </c>
      <c r="BT36">
        <f>VLOOKUP(A36,MSFT!A$2:G$55,5,0)</f>
        <v>45.33</v>
      </c>
      <c r="BU36">
        <f>VLOOKUP(A36,NKE!A$2:G$55,5,0)</f>
        <v>78.510000000000005</v>
      </c>
      <c r="BV36">
        <f>VLOOKUP(A36,NOV!A$2:G$55,5,0)</f>
        <v>83.62</v>
      </c>
      <c r="BW36">
        <f>VLOOKUP(A36,NSC!A$2:G$55,5,0)</f>
        <v>106.08</v>
      </c>
      <c r="BX36">
        <f>VLOOKUP(A36,ORCL!A$2:G$55,5,0)</f>
        <v>41.41</v>
      </c>
      <c r="BY36">
        <f>VLOOKUP(A36,OXY!A$2:G$55,5,0)</f>
        <v>101.8</v>
      </c>
      <c r="BZ36">
        <f>VLOOKUP(A36,PEP!A$2:G$55,5,0)</f>
        <v>91.86</v>
      </c>
      <c r="CA36">
        <f>VLOOKUP(A36,PFE!A$2:G$55,5,0)</f>
        <v>28.94</v>
      </c>
      <c r="CB36">
        <f>VLOOKUP(A36,PG!A$2:G$55,5,0)</f>
        <v>82.69</v>
      </c>
      <c r="CC36">
        <f>VLOOKUP(A36,PM!A$2:G$55,5,0)</f>
        <v>85.38</v>
      </c>
      <c r="CD36">
        <f>VLOOKUP(A36,QCOM!A$2:G$55,5,0)</f>
        <v>75.13</v>
      </c>
      <c r="CE36">
        <f>VLOOKUP(A36,RTN!A$2:G$55,5,0)</f>
        <v>95.06</v>
      </c>
      <c r="CF36">
        <f>VLOOKUP(A36,SBUX!A$2:G$55,5,0)</f>
        <v>78.12</v>
      </c>
      <c r="CG36">
        <f>VLOOKUP(A36,SLB!A$2:G$55,5,0)</f>
        <v>109.42</v>
      </c>
      <c r="CH36">
        <f>VLOOKUP(A36,SO!A$2:G$55,5,0)</f>
        <v>43.8</v>
      </c>
      <c r="CI36">
        <f>VLOOKUP(A36,SPG!A$2:G$55,5,0)</f>
        <v>169.87</v>
      </c>
      <c r="CJ36">
        <f>VLOOKUP(A36,T!A$2:G$55,5,0)</f>
        <v>34.479999999999997</v>
      </c>
      <c r="CK36">
        <f>VLOOKUP(A36,TGT!A$2:G$55,5,0)</f>
        <v>59.25</v>
      </c>
      <c r="CL36">
        <f>VLOOKUP(A36,TWX!A$2:G$55,5,0)</f>
        <v>76.989999999999995</v>
      </c>
      <c r="CM36">
        <f>VLOOKUP(A36,TXN!A$2:G$55,5,0)</f>
        <v>47.69</v>
      </c>
      <c r="CN36">
        <f>VLOOKUP(A36,UNH!A$2:G$55,5,0)</f>
        <v>83.47</v>
      </c>
      <c r="CO36">
        <f>VLOOKUP(A36,UNP!A$2:G$55,5,0)</f>
        <v>104.39</v>
      </c>
      <c r="CP36">
        <f>VLOOKUP(A36,UPS!A$2:G$55,5,0)</f>
        <v>98.27</v>
      </c>
      <c r="CQ36">
        <f>VLOOKUP(A36,USB!A$2:G$55,5,0)</f>
        <v>41.84</v>
      </c>
      <c r="CR36">
        <f>VLOOKUP(A36,UTX!A$2:G$55,5,0)</f>
        <v>108.56</v>
      </c>
      <c r="CS36">
        <f>VLOOKUP(A36,V!A$2:G$55,5,0)</f>
        <v>215</v>
      </c>
      <c r="CT36">
        <f>VLOOKUP(A36,VZ!A$2:G$55,5,0)</f>
        <v>48.7</v>
      </c>
      <c r="CU36">
        <f>VLOOKUP(A36,WAG!A$2:G$55,5,0)</f>
        <v>62.15</v>
      </c>
      <c r="CV36">
        <f>VLOOKUP(A36,WFC!A$2:G$55,5,0)</f>
        <v>50.86</v>
      </c>
      <c r="CW36">
        <f>VLOOKUP(A36,WMT!A$2:G$55,5,0)</f>
        <v>74.88</v>
      </c>
    </row>
    <row r="37" spans="1:101" x14ac:dyDescent="0.25">
      <c r="A37" s="34">
        <v>41871</v>
      </c>
      <c r="B37" s="36">
        <v>100.57</v>
      </c>
      <c r="C37">
        <f>VLOOKUP(A37,ABBV!A$2:G$55,5,0)</f>
        <v>55.06</v>
      </c>
      <c r="D37">
        <f>VLOOKUP(A37,ABT!A$2:G$55,5,0)</f>
        <v>42.14</v>
      </c>
      <c r="E37">
        <f>VLOOKUP(A37,ACN!A$2:G$55,5,0)</f>
        <v>80.400000000000006</v>
      </c>
      <c r="F37">
        <f>VLOOKUP(A37,AIG!A$2:G$55,5,0)</f>
        <v>54.87</v>
      </c>
      <c r="G37">
        <f>VLOOKUP(A37,ALL!A$2:G$55,5,0)</f>
        <v>61.4</v>
      </c>
      <c r="H37">
        <f>VLOOKUP(A37,AMGN!A$2:G$55,5,0)</f>
        <v>132.68</v>
      </c>
      <c r="I37">
        <f>VLOOKUP(A37,AMZN!A$2:G$55,5,0)</f>
        <v>335.78</v>
      </c>
      <c r="J37">
        <f>VLOOKUP(A37,APA!A$2:G$55,5,0)</f>
        <v>100.34</v>
      </c>
      <c r="K37">
        <f>VLOOKUP(A37,APC!A$2:G$55,5,0)</f>
        <v>110.02</v>
      </c>
      <c r="L37">
        <f>VLOOKUP(A37,AXP!A$2:G$55,5,0)</f>
        <v>88.49</v>
      </c>
      <c r="M37">
        <f>VLOOKUP(A37,BA!A$2:G$55,5,0)</f>
        <v>127.35</v>
      </c>
      <c r="N37">
        <f>VLOOKUP(A37,BAC!A$2:G$55,5,0)</f>
        <v>15.52</v>
      </c>
      <c r="O37">
        <f>VLOOKUP(A37,BAX!A$2:G$55,5,0)</f>
        <v>75.25</v>
      </c>
      <c r="P37">
        <f>VLOOKUP(A37,BIIB!A$2:G$55,5,0)</f>
        <v>342.58</v>
      </c>
      <c r="Q37">
        <f>VLOOKUP(A37,BK!A$2:G$55,5,0)</f>
        <v>38.78</v>
      </c>
      <c r="R37">
        <f>VLOOKUP(A37,BMY!A$2:G$55,5,0)</f>
        <v>50.04</v>
      </c>
      <c r="T37">
        <f>VLOOKUP(A37,'C'!A$2:G$55,5,0)</f>
        <v>49.8</v>
      </c>
      <c r="U37">
        <f>VLOOKUP(A37,CAT!A$2:G$55,5,0)</f>
        <v>107.7</v>
      </c>
      <c r="V37">
        <f>VLOOKUP(A37,CL!A$2:G$55,5,0)</f>
        <v>64.67</v>
      </c>
      <c r="W37">
        <f>VLOOKUP(A37,CMCSA!A$2:G$55,5,0)</f>
        <v>54.64</v>
      </c>
      <c r="X37">
        <f>VLOOKUP(A37,COF!A$2:G$55,5,0)</f>
        <v>80.92</v>
      </c>
      <c r="Y37">
        <f>VLOOKUP(A37,COP!A$2:G$55,5,0)</f>
        <v>80.5</v>
      </c>
      <c r="Z37">
        <f>VLOOKUP(A37,COST!A$2:G$55,5,0)</f>
        <v>120.91</v>
      </c>
      <c r="AA37">
        <f>VLOOKUP(A37,CSCO!A$2:G$55,5,0)</f>
        <v>24.71</v>
      </c>
      <c r="AB37">
        <f>VLOOKUP(A37,CVS!A$2:G$55,5,0)</f>
        <v>79.61</v>
      </c>
      <c r="AC37">
        <f>VLOOKUP(A37,CVX!A$2:G$55,5,0)</f>
        <v>127.49</v>
      </c>
      <c r="AD37">
        <f>VLOOKUP(A37,DD!A$2:G$55,5,0)</f>
        <v>66.22</v>
      </c>
      <c r="AE37">
        <f>VLOOKUP(A37,DIS!A$2:G$55,5,0)</f>
        <v>89.84</v>
      </c>
      <c r="AF37">
        <f>VLOOKUP(A37,DOW!A$2:G$55,5,0)</f>
        <v>53.3</v>
      </c>
      <c r="AG37">
        <f>VLOOKUP(A37,DVN!A$2:G$55,5,0)</f>
        <v>73.849999999999994</v>
      </c>
      <c r="AH37">
        <f>VLOOKUP(A37,EBAY!A$2:G$55,5,0)</f>
        <v>53.4</v>
      </c>
      <c r="AI37">
        <f>VLOOKUP(A37,EMC!A$2:G$55,5,0)</f>
        <v>29.7</v>
      </c>
      <c r="AJ37">
        <f>VLOOKUP(A37,EMR!A$2:G$55,5,0)</f>
        <v>64.48</v>
      </c>
      <c r="AK37">
        <f>VLOOKUP(A37,EXC!A$2:G$55,5,0)</f>
        <v>31.99</v>
      </c>
      <c r="AL37">
        <f>VLOOKUP(A37,F!A$2:G$55,5,0)</f>
        <v>17.41</v>
      </c>
      <c r="AM37">
        <f>VLOOKUP(A37,FB!A$2:G$55,5,0)</f>
        <v>74.81</v>
      </c>
      <c r="AN37">
        <f>VLOOKUP(A37,FCX!A$2:G$55,5,0)</f>
        <v>36.979999999999997</v>
      </c>
      <c r="AO37">
        <f>VLOOKUP(A37,FDX!A$2:G$55,5,0)</f>
        <v>150.63</v>
      </c>
      <c r="AP37">
        <f>VLOOKUP(A37,FOXA!A$2:G$55,5,0)</f>
        <v>35.67</v>
      </c>
      <c r="AQ37">
        <f>VLOOKUP(A37,GD!A$2:G$55,5,0)</f>
        <v>123.48</v>
      </c>
      <c r="AR37">
        <f>VLOOKUP(A37,GE!A$2:G$55,5,0)</f>
        <v>26.36</v>
      </c>
      <c r="AS37">
        <f>VLOOKUP(A37,GILD!A$2:G$55,5,0)</f>
        <v>100.79</v>
      </c>
      <c r="AT37">
        <f>VLOOKUP(A37,GM!A$2:G$55,5,0)</f>
        <v>34.53</v>
      </c>
      <c r="AU37">
        <f>VLOOKUP(A37,GOOG!A$2:G$55,5,0)</f>
        <v>584.49</v>
      </c>
      <c r="AV37">
        <f>VLOOKUP(A37,GOOGL!A$2:G$55,5,0)</f>
        <v>595.41</v>
      </c>
      <c r="AW37">
        <f>VLOOKUP(A37,GS!A$2:G$55,5,0)</f>
        <v>174.03</v>
      </c>
      <c r="AX37">
        <f>VLOOKUP(A37,HAL!A$2:G$55,5,0)</f>
        <v>68.78</v>
      </c>
      <c r="AY37">
        <f>VLOOKUP(A37,HD!A$2:G$55,5,0)</f>
        <v>90.75</v>
      </c>
      <c r="AZ37">
        <f>VLOOKUP(A37,HON!A$2:G$55,5,0)</f>
        <v>95.77</v>
      </c>
      <c r="BA37">
        <f>VLOOKUP(A37,HPQ!A$2:G$55,5,0)</f>
        <v>35.119999999999997</v>
      </c>
      <c r="BB37">
        <f>VLOOKUP(A37,IBM!A$2:G$55,5,0)</f>
        <v>190.1</v>
      </c>
      <c r="BC37">
        <f>VLOOKUP(A37,INTC!A$2:G$55,5,0)</f>
        <v>34.5</v>
      </c>
      <c r="BD37">
        <f>VLOOKUP(A37,JNJ!A$2:G$55,5,0)</f>
        <v>103.21</v>
      </c>
      <c r="BE37">
        <f>VLOOKUP(A37,JPM!A$2:G$55,5,0)</f>
        <v>57.64</v>
      </c>
      <c r="BF37">
        <f>VLOOKUP(A37,KO!A$2:G$55,5,0)</f>
        <v>41.25</v>
      </c>
      <c r="BG37">
        <f>VLOOKUP(A37,LLY!A$2:G$55,5,0)</f>
        <v>62.01</v>
      </c>
      <c r="BH37">
        <f>VLOOKUP(A37,LMT!A$2:G$55,5,0)</f>
        <v>175.31</v>
      </c>
      <c r="BI37">
        <f>VLOOKUP(A37,LOW!A$2:G$55,5,0)</f>
        <v>52.33</v>
      </c>
      <c r="BJ37">
        <f>VLOOKUP(A37,MA!A$2:G$55,5,0)</f>
        <v>76.39</v>
      </c>
      <c r="BK37">
        <f>VLOOKUP(A37,MCD!A$2:G$55,5,0)</f>
        <v>94.19</v>
      </c>
      <c r="BL37">
        <f>VLOOKUP(A37,MDLZ!A$2:G$55,5,0)</f>
        <v>36.200000000000003</v>
      </c>
      <c r="BM37">
        <f>VLOOKUP(A37,MDT!A$2:G$55,5,0)</f>
        <v>64.150000000000006</v>
      </c>
      <c r="BN37">
        <f>VLOOKUP(A37,MET!A$2:G$55,5,0)</f>
        <v>53.7</v>
      </c>
      <c r="BO37">
        <f>VLOOKUP(A37,MMM!A$2:G$55,5,0)</f>
        <v>144.6</v>
      </c>
      <c r="BP37">
        <f>VLOOKUP(A37,MO!A$2:G$55,5,0)</f>
        <v>42.46</v>
      </c>
      <c r="BQ37">
        <f>VLOOKUP(A37,MON!A$2:G$55,5,0)</f>
        <v>120.92</v>
      </c>
      <c r="BR37">
        <f>VLOOKUP(A37,MRK!A$2:G$55,5,0)</f>
        <v>59.48</v>
      </c>
      <c r="BS37">
        <f>VLOOKUP(A37,MS!A$2:G$55,5,0)</f>
        <v>32.54</v>
      </c>
      <c r="BT37">
        <f>VLOOKUP(A37,MSFT!A$2:G$55,5,0)</f>
        <v>44.95</v>
      </c>
      <c r="BU37">
        <f>VLOOKUP(A37,NKE!A$2:G$55,5,0)</f>
        <v>78.91</v>
      </c>
      <c r="BV37">
        <f>VLOOKUP(A37,NOV!A$2:G$55,5,0)</f>
        <v>83.84</v>
      </c>
      <c r="BW37">
        <f>VLOOKUP(A37,NSC!A$2:G$55,5,0)</f>
        <v>106.36</v>
      </c>
      <c r="BX37">
        <f>VLOOKUP(A37,ORCL!A$2:G$55,5,0)</f>
        <v>41.25</v>
      </c>
      <c r="BY37">
        <f>VLOOKUP(A37,OXY!A$2:G$55,5,0)</f>
        <v>101.74</v>
      </c>
      <c r="BZ37">
        <f>VLOOKUP(A37,PEP!A$2:G$55,5,0)</f>
        <v>92.23</v>
      </c>
      <c r="CA37">
        <f>VLOOKUP(A37,PFE!A$2:G$55,5,0)</f>
        <v>28.89</v>
      </c>
      <c r="CB37">
        <f>VLOOKUP(A37,PG!A$2:G$55,5,0)</f>
        <v>82.81</v>
      </c>
      <c r="CC37">
        <f>VLOOKUP(A37,PM!A$2:G$55,5,0)</f>
        <v>85.09</v>
      </c>
      <c r="CD37">
        <f>VLOOKUP(A37,QCOM!A$2:G$55,5,0)</f>
        <v>76.44</v>
      </c>
      <c r="CE37">
        <f>VLOOKUP(A37,RTN!A$2:G$55,5,0)</f>
        <v>96.66</v>
      </c>
      <c r="CF37">
        <f>VLOOKUP(A37,SBUX!A$2:G$55,5,0)</f>
        <v>78.03</v>
      </c>
      <c r="CG37">
        <f>VLOOKUP(A37,SLB!A$2:G$55,5,0)</f>
        <v>109.85</v>
      </c>
      <c r="CH37">
        <f>VLOOKUP(A37,SO!A$2:G$55,5,0)</f>
        <v>43.81</v>
      </c>
      <c r="CI37">
        <f>VLOOKUP(A37,SPG!A$2:G$55,5,0)</f>
        <v>170.52</v>
      </c>
      <c r="CJ37">
        <f>VLOOKUP(A37,T!A$2:G$55,5,0)</f>
        <v>34.53</v>
      </c>
      <c r="CK37">
        <f>VLOOKUP(A37,TGT!A$2:G$55,5,0)</f>
        <v>60.33</v>
      </c>
      <c r="CL37">
        <f>VLOOKUP(A37,TWX!A$2:G$55,5,0)</f>
        <v>77.02</v>
      </c>
      <c r="CM37">
        <f>VLOOKUP(A37,TXN!A$2:G$55,5,0)</f>
        <v>47.88</v>
      </c>
      <c r="CN37">
        <f>VLOOKUP(A37,UNH!A$2:G$55,5,0)</f>
        <v>83.43</v>
      </c>
      <c r="CO37">
        <f>VLOOKUP(A37,UNP!A$2:G$55,5,0)</f>
        <v>105.57</v>
      </c>
      <c r="CP37">
        <f>VLOOKUP(A37,UPS!A$2:G$55,5,0)</f>
        <v>98.8</v>
      </c>
      <c r="CQ37">
        <f>VLOOKUP(A37,USB!A$2:G$55,5,0)</f>
        <v>41.71</v>
      </c>
      <c r="CR37">
        <f>VLOOKUP(A37,UTX!A$2:G$55,5,0)</f>
        <v>109.71</v>
      </c>
      <c r="CS37">
        <f>VLOOKUP(A37,V!A$2:G$55,5,0)</f>
        <v>216.2</v>
      </c>
      <c r="CT37">
        <f>VLOOKUP(A37,VZ!A$2:G$55,5,0)</f>
        <v>48.82</v>
      </c>
      <c r="CU37">
        <f>VLOOKUP(A37,WAG!A$2:G$55,5,0)</f>
        <v>62</v>
      </c>
      <c r="CV37">
        <f>VLOOKUP(A37,WFC!A$2:G$55,5,0)</f>
        <v>50.85</v>
      </c>
      <c r="CW37">
        <f>VLOOKUP(A37,WMT!A$2:G$55,5,0)</f>
        <v>74.959999999999994</v>
      </c>
    </row>
    <row r="38" spans="1:101" x14ac:dyDescent="0.25">
      <c r="A38" s="34">
        <v>41872</v>
      </c>
      <c r="B38" s="36">
        <v>100.58</v>
      </c>
      <c r="C38">
        <f>VLOOKUP(A38,ABBV!A$2:G$55,5,0)</f>
        <v>54.96</v>
      </c>
      <c r="D38">
        <f>VLOOKUP(A38,ABT!A$2:G$55,5,0)</f>
        <v>42.32</v>
      </c>
      <c r="E38">
        <f>VLOOKUP(A38,ACN!A$2:G$55,5,0)</f>
        <v>80.819999999999993</v>
      </c>
      <c r="F38">
        <f>VLOOKUP(A38,AIG!A$2:G$55,5,0)</f>
        <v>55.58</v>
      </c>
      <c r="G38">
        <f>VLOOKUP(A38,ALL!A$2:G$55,5,0)</f>
        <v>61.51</v>
      </c>
      <c r="H38">
        <f>VLOOKUP(A38,AMGN!A$2:G$55,5,0)</f>
        <v>132.53</v>
      </c>
      <c r="I38">
        <f>VLOOKUP(A38,AMZN!A$2:G$55,5,0)</f>
        <v>332.91</v>
      </c>
      <c r="J38">
        <f>VLOOKUP(A38,APA!A$2:G$55,5,0)</f>
        <v>101.13</v>
      </c>
      <c r="K38">
        <f>VLOOKUP(A38,APC!A$2:G$55,5,0)</f>
        <v>110.73</v>
      </c>
      <c r="L38">
        <f>VLOOKUP(A38,AXP!A$2:G$55,5,0)</f>
        <v>89.14</v>
      </c>
      <c r="M38">
        <f>VLOOKUP(A38,BA!A$2:G$55,5,0)</f>
        <v>127.5</v>
      </c>
      <c r="N38">
        <f>VLOOKUP(A38,BAC!A$2:G$55,5,0)</f>
        <v>16.16</v>
      </c>
      <c r="O38">
        <f>VLOOKUP(A38,BAX!A$2:G$55,5,0)</f>
        <v>75.8</v>
      </c>
      <c r="P38">
        <f>VLOOKUP(A38,BIIB!A$2:G$55,5,0)</f>
        <v>338.65</v>
      </c>
      <c r="Q38">
        <f>VLOOKUP(A38,BK!A$2:G$55,5,0)</f>
        <v>39.14</v>
      </c>
      <c r="R38">
        <f>VLOOKUP(A38,BMY!A$2:G$55,5,0)</f>
        <v>49.99</v>
      </c>
      <c r="T38">
        <f>VLOOKUP(A38,'C'!A$2:G$55,5,0)</f>
        <v>51.07</v>
      </c>
      <c r="U38">
        <f>VLOOKUP(A38,CAT!A$2:G$55,5,0)</f>
        <v>107.97</v>
      </c>
      <c r="V38">
        <f>VLOOKUP(A38,CL!A$2:G$55,5,0)</f>
        <v>64.81</v>
      </c>
      <c r="W38">
        <f>VLOOKUP(A38,CMCSA!A$2:G$55,5,0)</f>
        <v>54.44</v>
      </c>
      <c r="X38">
        <f>VLOOKUP(A38,COF!A$2:G$55,5,0)</f>
        <v>81.69</v>
      </c>
      <c r="Y38">
        <f>VLOOKUP(A38,COP!A$2:G$55,5,0)</f>
        <v>80.98</v>
      </c>
      <c r="Z38">
        <f>VLOOKUP(A38,COST!A$2:G$55,5,0)</f>
        <v>121.62</v>
      </c>
      <c r="AA38">
        <f>VLOOKUP(A38,CSCO!A$2:G$55,5,0)</f>
        <v>24.89</v>
      </c>
      <c r="AB38">
        <f>VLOOKUP(A38,CVS!A$2:G$55,5,0)</f>
        <v>78.98</v>
      </c>
      <c r="AC38">
        <f>VLOOKUP(A38,CVX!A$2:G$55,5,0)</f>
        <v>127.93</v>
      </c>
      <c r="AD38">
        <f>VLOOKUP(A38,DD!A$2:G$55,5,0)</f>
        <v>66.3</v>
      </c>
      <c r="AE38">
        <f>VLOOKUP(A38,DIS!A$2:G$55,5,0)</f>
        <v>90.38</v>
      </c>
      <c r="AF38">
        <f>VLOOKUP(A38,DOW!A$2:G$55,5,0)</f>
        <v>53.07</v>
      </c>
      <c r="AG38">
        <f>VLOOKUP(A38,DVN!A$2:G$55,5,0)</f>
        <v>74.900000000000006</v>
      </c>
      <c r="AH38">
        <f>VLOOKUP(A38,EBAY!A$2:G$55,5,0)</f>
        <v>55.89</v>
      </c>
      <c r="AI38">
        <f>VLOOKUP(A38,EMC!A$2:G$55,5,0)</f>
        <v>29.62</v>
      </c>
      <c r="AJ38">
        <f>VLOOKUP(A38,EMR!A$2:G$55,5,0)</f>
        <v>64.56</v>
      </c>
      <c r="AK38">
        <f>VLOOKUP(A38,EXC!A$2:G$55,5,0)</f>
        <v>32.25</v>
      </c>
      <c r="AL38">
        <f>VLOOKUP(A38,F!A$2:G$55,5,0)</f>
        <v>17.399999999999999</v>
      </c>
      <c r="AM38">
        <f>VLOOKUP(A38,FB!A$2:G$55,5,0)</f>
        <v>74.569999999999993</v>
      </c>
      <c r="AN38">
        <f>VLOOKUP(A38,FCX!A$2:G$55,5,0)</f>
        <v>36.68</v>
      </c>
      <c r="AO38">
        <f>VLOOKUP(A38,FDX!A$2:G$55,5,0)</f>
        <v>150.55000000000001</v>
      </c>
      <c r="AP38">
        <f>VLOOKUP(A38,FOXA!A$2:G$55,5,0)</f>
        <v>35.729999999999997</v>
      </c>
      <c r="AQ38">
        <f>VLOOKUP(A38,GD!A$2:G$55,5,0)</f>
        <v>123.68</v>
      </c>
      <c r="AR38">
        <f>VLOOKUP(A38,GE!A$2:G$55,5,0)</f>
        <v>26.43</v>
      </c>
      <c r="AS38">
        <f>VLOOKUP(A38,GILD!A$2:G$55,5,0)</f>
        <v>102.27</v>
      </c>
      <c r="AT38">
        <f>VLOOKUP(A38,GM!A$2:G$55,5,0)</f>
        <v>34.6</v>
      </c>
      <c r="AU38">
        <f>VLOOKUP(A38,GOOG!A$2:G$55,5,0)</f>
        <v>583.37</v>
      </c>
      <c r="AV38">
        <f>VLOOKUP(A38,GOOGL!A$2:G$55,5,0)</f>
        <v>592.41999999999996</v>
      </c>
      <c r="AW38">
        <f>VLOOKUP(A38,GS!A$2:G$55,5,0)</f>
        <v>175.15</v>
      </c>
      <c r="AX38">
        <f>VLOOKUP(A38,HAL!A$2:G$55,5,0)</f>
        <v>68.34</v>
      </c>
      <c r="AY38">
        <f>VLOOKUP(A38,HD!A$2:G$55,5,0)</f>
        <v>91.15</v>
      </c>
      <c r="AZ38">
        <f>VLOOKUP(A38,HON!A$2:G$55,5,0)</f>
        <v>95.94</v>
      </c>
      <c r="BA38">
        <f>VLOOKUP(A38,HPQ!A$2:G$55,5,0)</f>
        <v>37</v>
      </c>
      <c r="BB38">
        <f>VLOOKUP(A38,IBM!A$2:G$55,5,0)</f>
        <v>191.23</v>
      </c>
      <c r="BC38">
        <f>VLOOKUP(A38,INTC!A$2:G$55,5,0)</f>
        <v>35.15</v>
      </c>
      <c r="BD38">
        <f>VLOOKUP(A38,JNJ!A$2:G$55,5,0)</f>
        <v>104.19</v>
      </c>
      <c r="BE38">
        <f>VLOOKUP(A38,JPM!A$2:G$55,5,0)</f>
        <v>58.5</v>
      </c>
      <c r="BF38">
        <f>VLOOKUP(A38,KO!A$2:G$55,5,0)</f>
        <v>41.41</v>
      </c>
      <c r="BG38">
        <f>VLOOKUP(A38,LLY!A$2:G$55,5,0)</f>
        <v>62.03</v>
      </c>
      <c r="BH38">
        <f>VLOOKUP(A38,LMT!A$2:G$55,5,0)</f>
        <v>175.1</v>
      </c>
      <c r="BI38">
        <f>VLOOKUP(A38,LOW!A$2:G$55,5,0)</f>
        <v>52.67</v>
      </c>
      <c r="BJ38">
        <f>VLOOKUP(A38,MA!A$2:G$55,5,0)</f>
        <v>76.989999999999995</v>
      </c>
      <c r="BK38">
        <f>VLOOKUP(A38,MCD!A$2:G$55,5,0)</f>
        <v>94.53</v>
      </c>
      <c r="BL38">
        <f>VLOOKUP(A38,MDLZ!A$2:G$55,5,0)</f>
        <v>36.159999999999997</v>
      </c>
      <c r="BM38">
        <f>VLOOKUP(A38,MDT!A$2:G$55,5,0)</f>
        <v>64.099999999999994</v>
      </c>
      <c r="BN38">
        <f>VLOOKUP(A38,MET!A$2:G$55,5,0)</f>
        <v>53.94</v>
      </c>
      <c r="BO38">
        <f>VLOOKUP(A38,MMM!A$2:G$55,5,0)</f>
        <v>144.5</v>
      </c>
      <c r="BP38">
        <f>VLOOKUP(A38,MO!A$2:G$55,5,0)</f>
        <v>42.58</v>
      </c>
      <c r="BQ38">
        <f>VLOOKUP(A38,MON!A$2:G$55,5,0)</f>
        <v>117.65</v>
      </c>
      <c r="BR38">
        <f>VLOOKUP(A38,MRK!A$2:G$55,5,0)</f>
        <v>58.85</v>
      </c>
      <c r="BS38">
        <f>VLOOKUP(A38,MS!A$2:G$55,5,0)</f>
        <v>33.03</v>
      </c>
      <c r="BT38">
        <f>VLOOKUP(A38,MSFT!A$2:G$55,5,0)</f>
        <v>45.22</v>
      </c>
      <c r="BU38">
        <f>VLOOKUP(A38,NKE!A$2:G$55,5,0)</f>
        <v>78.94</v>
      </c>
      <c r="BV38">
        <f>VLOOKUP(A38,NOV!A$2:G$55,5,0)</f>
        <v>84.41</v>
      </c>
      <c r="BW38">
        <f>VLOOKUP(A38,NSC!A$2:G$55,5,0)</f>
        <v>105.18</v>
      </c>
      <c r="BX38">
        <f>VLOOKUP(A38,ORCL!A$2:G$55,5,0)</f>
        <v>41.58</v>
      </c>
      <c r="BY38">
        <f>VLOOKUP(A38,OXY!A$2:G$55,5,0)</f>
        <v>102.27</v>
      </c>
      <c r="BZ38">
        <f>VLOOKUP(A38,PEP!A$2:G$55,5,0)</f>
        <v>92.05</v>
      </c>
      <c r="CA38">
        <f>VLOOKUP(A38,PFE!A$2:G$55,5,0)</f>
        <v>28.82</v>
      </c>
      <c r="CB38">
        <f>VLOOKUP(A38,PG!A$2:G$55,5,0)</f>
        <v>83.28</v>
      </c>
      <c r="CC38">
        <f>VLOOKUP(A38,PM!A$2:G$55,5,0)</f>
        <v>85.15</v>
      </c>
      <c r="CD38">
        <f>VLOOKUP(A38,QCOM!A$2:G$55,5,0)</f>
        <v>76.77</v>
      </c>
      <c r="CE38">
        <f>VLOOKUP(A38,RTN!A$2:G$55,5,0)</f>
        <v>96.58</v>
      </c>
      <c r="CF38">
        <f>VLOOKUP(A38,SBUX!A$2:G$55,5,0)</f>
        <v>77.47</v>
      </c>
      <c r="CG38">
        <f>VLOOKUP(A38,SLB!A$2:G$55,5,0)</f>
        <v>109.44</v>
      </c>
      <c r="CH38">
        <f>VLOOKUP(A38,SO!A$2:G$55,5,0)</f>
        <v>43.89</v>
      </c>
      <c r="CI38">
        <f>VLOOKUP(A38,SPG!A$2:G$55,5,0)</f>
        <v>170.46</v>
      </c>
      <c r="CJ38">
        <f>VLOOKUP(A38,T!A$2:G$55,5,0)</f>
        <v>34.64</v>
      </c>
      <c r="CK38">
        <f>VLOOKUP(A38,TGT!A$2:G$55,5,0)</f>
        <v>61.07</v>
      </c>
      <c r="CL38">
        <f>VLOOKUP(A38,TWX!A$2:G$55,5,0)</f>
        <v>76.760000000000005</v>
      </c>
      <c r="CM38">
        <f>VLOOKUP(A38,TXN!A$2:G$55,5,0)</f>
        <v>48.17</v>
      </c>
      <c r="CN38">
        <f>VLOOKUP(A38,UNH!A$2:G$55,5,0)</f>
        <v>83.77</v>
      </c>
      <c r="CO38">
        <f>VLOOKUP(A38,UNP!A$2:G$55,5,0)</f>
        <v>105.86</v>
      </c>
      <c r="CP38">
        <f>VLOOKUP(A38,UPS!A$2:G$55,5,0)</f>
        <v>98.41</v>
      </c>
      <c r="CQ38">
        <f>VLOOKUP(A38,USB!A$2:G$55,5,0)</f>
        <v>42.19</v>
      </c>
      <c r="CR38">
        <f>VLOOKUP(A38,UTX!A$2:G$55,5,0)</f>
        <v>110.06</v>
      </c>
      <c r="CS38">
        <f>VLOOKUP(A38,V!A$2:G$55,5,0)</f>
        <v>215.75</v>
      </c>
      <c r="CT38">
        <f>VLOOKUP(A38,VZ!A$2:G$55,5,0)</f>
        <v>48.87</v>
      </c>
      <c r="CU38">
        <f>VLOOKUP(A38,WAG!A$2:G$55,5,0)</f>
        <v>61.07</v>
      </c>
      <c r="CV38">
        <f>VLOOKUP(A38,WFC!A$2:G$55,5,0)</f>
        <v>51.29</v>
      </c>
      <c r="CW38">
        <f>VLOOKUP(A38,WMT!A$2:G$55,5,0)</f>
        <v>75.55</v>
      </c>
    </row>
    <row r="39" spans="1:101" x14ac:dyDescent="0.25">
      <c r="A39" s="34">
        <v>41873</v>
      </c>
      <c r="B39" s="36">
        <v>101.32</v>
      </c>
      <c r="C39">
        <f>VLOOKUP(A39,ABBV!A$2:G$55,5,0)</f>
        <v>55.2</v>
      </c>
      <c r="D39">
        <f>VLOOKUP(A39,ABT!A$2:G$55,5,0)</f>
        <v>42.11</v>
      </c>
      <c r="E39">
        <f>VLOOKUP(A39,ACN!A$2:G$55,5,0)</f>
        <v>80.510000000000005</v>
      </c>
      <c r="F39">
        <f>VLOOKUP(A39,AIG!A$2:G$55,5,0)</f>
        <v>55.33</v>
      </c>
      <c r="G39">
        <f>VLOOKUP(A39,ALL!A$2:G$55,5,0)</f>
        <v>61.22</v>
      </c>
      <c r="H39">
        <f>VLOOKUP(A39,AMGN!A$2:G$55,5,0)</f>
        <v>132.82</v>
      </c>
      <c r="I39">
        <f>VLOOKUP(A39,AMZN!A$2:G$55,5,0)</f>
        <v>331.59</v>
      </c>
      <c r="J39">
        <f>VLOOKUP(A39,APA!A$2:G$55,5,0)</f>
        <v>99.82</v>
      </c>
      <c r="K39">
        <f>VLOOKUP(A39,APC!A$2:G$55,5,0)</f>
        <v>109.74</v>
      </c>
      <c r="L39">
        <f>VLOOKUP(A39,AXP!A$2:G$55,5,0)</f>
        <v>88.88</v>
      </c>
      <c r="M39">
        <f>VLOOKUP(A39,BA!A$2:G$55,5,0)</f>
        <v>127.46</v>
      </c>
      <c r="N39">
        <f>VLOOKUP(A39,BAC!A$2:G$55,5,0)</f>
        <v>16.13</v>
      </c>
      <c r="O39">
        <f>VLOOKUP(A39,BAX!A$2:G$55,5,0)</f>
        <v>75.040000000000006</v>
      </c>
      <c r="P39">
        <f>VLOOKUP(A39,BIIB!A$2:G$55,5,0)</f>
        <v>339.97</v>
      </c>
      <c r="Q39">
        <f>VLOOKUP(A39,BK!A$2:G$55,5,0)</f>
        <v>39.119999999999997</v>
      </c>
      <c r="R39">
        <f>VLOOKUP(A39,BMY!A$2:G$55,5,0)</f>
        <v>50.18</v>
      </c>
      <c r="T39">
        <f>VLOOKUP(A39,'C'!A$2:G$55,5,0)</f>
        <v>50.93</v>
      </c>
      <c r="U39">
        <f>VLOOKUP(A39,CAT!A$2:G$55,5,0)</f>
        <v>107.31</v>
      </c>
      <c r="V39">
        <f>VLOOKUP(A39,CL!A$2:G$55,5,0)</f>
        <v>64.569999999999993</v>
      </c>
      <c r="W39">
        <f>VLOOKUP(A39,CMCSA!A$2:G$55,5,0)</f>
        <v>54.18</v>
      </c>
      <c r="X39">
        <f>VLOOKUP(A39,COF!A$2:G$55,5,0)</f>
        <v>81.3</v>
      </c>
      <c r="Y39">
        <f>VLOOKUP(A39,COP!A$2:G$55,5,0)</f>
        <v>80.239999999999995</v>
      </c>
      <c r="Z39">
        <f>VLOOKUP(A39,COST!A$2:G$55,5,0)</f>
        <v>121.29</v>
      </c>
      <c r="AA39">
        <f>VLOOKUP(A39,CSCO!A$2:G$55,5,0)</f>
        <v>24.65</v>
      </c>
      <c r="AB39">
        <f>VLOOKUP(A39,CVS!A$2:G$55,5,0)</f>
        <v>79.239999999999995</v>
      </c>
      <c r="AC39">
        <f>VLOOKUP(A39,CVX!A$2:G$55,5,0)</f>
        <v>127.11</v>
      </c>
      <c r="AD39">
        <f>VLOOKUP(A39,DD!A$2:G$55,5,0)</f>
        <v>65.86</v>
      </c>
      <c r="AE39">
        <f>VLOOKUP(A39,DIS!A$2:G$55,5,0)</f>
        <v>90.49</v>
      </c>
      <c r="AF39">
        <f>VLOOKUP(A39,DOW!A$2:G$55,5,0)</f>
        <v>53.11</v>
      </c>
      <c r="AG39">
        <f>VLOOKUP(A39,DVN!A$2:G$55,5,0)</f>
        <v>74.150000000000006</v>
      </c>
      <c r="AH39">
        <f>VLOOKUP(A39,EBAY!A$2:G$55,5,0)</f>
        <v>55.5</v>
      </c>
      <c r="AI39">
        <f>VLOOKUP(A39,EMC!A$2:G$55,5,0)</f>
        <v>29.64</v>
      </c>
      <c r="AJ39">
        <f>VLOOKUP(A39,EMR!A$2:G$55,5,0)</f>
        <v>64.599999999999994</v>
      </c>
      <c r="AK39">
        <f>VLOOKUP(A39,EXC!A$2:G$55,5,0)</f>
        <v>32.39</v>
      </c>
      <c r="AL39">
        <f>VLOOKUP(A39,F!A$2:G$55,5,0)</f>
        <v>17.170000000000002</v>
      </c>
      <c r="AM39">
        <f>VLOOKUP(A39,FB!A$2:G$55,5,0)</f>
        <v>74.569999999999993</v>
      </c>
      <c r="AN39">
        <f>VLOOKUP(A39,FCX!A$2:G$55,5,0)</f>
        <v>36.44</v>
      </c>
      <c r="AO39">
        <f>VLOOKUP(A39,FDX!A$2:G$55,5,0)</f>
        <v>149.46</v>
      </c>
      <c r="AP39">
        <f>VLOOKUP(A39,FOXA!A$2:G$55,5,0)</f>
        <v>35.69</v>
      </c>
      <c r="AQ39">
        <f>VLOOKUP(A39,GD!A$2:G$55,5,0)</f>
        <v>123.85</v>
      </c>
      <c r="AR39">
        <f>VLOOKUP(A39,GE!A$2:G$55,5,0)</f>
        <v>26.15</v>
      </c>
      <c r="AS39">
        <f>VLOOKUP(A39,GILD!A$2:G$55,5,0)</f>
        <v>103.96</v>
      </c>
      <c r="AT39">
        <f>VLOOKUP(A39,GM!A$2:G$55,5,0)</f>
        <v>34.24</v>
      </c>
      <c r="AU39">
        <f>VLOOKUP(A39,GOOG!A$2:G$55,5,0)</f>
        <v>582.55999999999995</v>
      </c>
      <c r="AV39">
        <f>VLOOKUP(A39,GOOGL!A$2:G$55,5,0)</f>
        <v>592.54</v>
      </c>
      <c r="AW39">
        <f>VLOOKUP(A39,GS!A$2:G$55,5,0)</f>
        <v>175.47</v>
      </c>
      <c r="AX39">
        <f>VLOOKUP(A39,HAL!A$2:G$55,5,0)</f>
        <v>67.47</v>
      </c>
      <c r="AY39">
        <f>VLOOKUP(A39,HD!A$2:G$55,5,0)</f>
        <v>91.03</v>
      </c>
      <c r="AZ39">
        <f>VLOOKUP(A39,HON!A$2:G$55,5,0)</f>
        <v>95.56</v>
      </c>
      <c r="BA39">
        <f>VLOOKUP(A39,HPQ!A$2:G$55,5,0)</f>
        <v>36.840000000000003</v>
      </c>
      <c r="BB39">
        <f>VLOOKUP(A39,IBM!A$2:G$55,5,0)</f>
        <v>190.41</v>
      </c>
      <c r="BC39">
        <f>VLOOKUP(A39,INTC!A$2:G$55,5,0)</f>
        <v>34.94</v>
      </c>
      <c r="BD39">
        <f>VLOOKUP(A39,JNJ!A$2:G$55,5,0)</f>
        <v>103.1</v>
      </c>
      <c r="BE39">
        <f>VLOOKUP(A39,JPM!A$2:G$55,5,0)</f>
        <v>58.49</v>
      </c>
      <c r="BF39">
        <f>VLOOKUP(A39,KO!A$2:G$55,5,0)</f>
        <v>41.12</v>
      </c>
      <c r="BG39">
        <f>VLOOKUP(A39,LLY!A$2:G$55,5,0)</f>
        <v>62.32</v>
      </c>
      <c r="BH39">
        <f>VLOOKUP(A39,LMT!A$2:G$55,5,0)</f>
        <v>175.15</v>
      </c>
      <c r="BI39">
        <f>VLOOKUP(A39,LOW!A$2:G$55,5,0)</f>
        <v>52.53</v>
      </c>
      <c r="BJ39">
        <f>VLOOKUP(A39,MA!A$2:G$55,5,0)</f>
        <v>76.48</v>
      </c>
      <c r="BK39">
        <f>VLOOKUP(A39,MCD!A$2:G$55,5,0)</f>
        <v>94.45</v>
      </c>
      <c r="BL39">
        <f>VLOOKUP(A39,MDLZ!A$2:G$55,5,0)</f>
        <v>35.85</v>
      </c>
      <c r="BM39">
        <f>VLOOKUP(A39,MDT!A$2:G$55,5,0)</f>
        <v>63.59</v>
      </c>
      <c r="BN39">
        <f>VLOOKUP(A39,MET!A$2:G$55,5,0)</f>
        <v>53.59</v>
      </c>
      <c r="BO39">
        <f>VLOOKUP(A39,MMM!A$2:G$55,5,0)</f>
        <v>144.13</v>
      </c>
      <c r="BP39">
        <f>VLOOKUP(A39,MO!A$2:G$55,5,0)</f>
        <v>42.59</v>
      </c>
      <c r="BQ39">
        <f>VLOOKUP(A39,MON!A$2:G$55,5,0)</f>
        <v>116.62</v>
      </c>
      <c r="BR39">
        <f>VLOOKUP(A39,MRK!A$2:G$55,5,0)</f>
        <v>59.17</v>
      </c>
      <c r="BS39">
        <f>VLOOKUP(A39,MS!A$2:G$55,5,0)</f>
        <v>33.47</v>
      </c>
      <c r="BT39">
        <f>VLOOKUP(A39,MSFT!A$2:G$55,5,0)</f>
        <v>45.15</v>
      </c>
      <c r="BU39">
        <f>VLOOKUP(A39,NKE!A$2:G$55,5,0)</f>
        <v>79.290000000000006</v>
      </c>
      <c r="BV39">
        <f>VLOOKUP(A39,NOV!A$2:G$55,5,0)</f>
        <v>84</v>
      </c>
      <c r="BW39">
        <f>VLOOKUP(A39,NSC!A$2:G$55,5,0)</f>
        <v>105.48</v>
      </c>
      <c r="BX39">
        <f>VLOOKUP(A39,ORCL!A$2:G$55,5,0)</f>
        <v>41.63</v>
      </c>
      <c r="BY39">
        <f>VLOOKUP(A39,OXY!A$2:G$55,5,0)</f>
        <v>102.44</v>
      </c>
      <c r="BZ39">
        <f>VLOOKUP(A39,PEP!A$2:G$55,5,0)</f>
        <v>91.6</v>
      </c>
      <c r="CA39">
        <f>VLOOKUP(A39,PFE!A$2:G$55,5,0)</f>
        <v>28.92</v>
      </c>
      <c r="CB39">
        <f>VLOOKUP(A39,PG!A$2:G$55,5,0)</f>
        <v>83.39</v>
      </c>
      <c r="CC39">
        <f>VLOOKUP(A39,PM!A$2:G$55,5,0)</f>
        <v>84.34</v>
      </c>
      <c r="CD39">
        <f>VLOOKUP(A39,QCOM!A$2:G$55,5,0)</f>
        <v>76.819999999999993</v>
      </c>
      <c r="CE39">
        <f>VLOOKUP(A39,RTN!A$2:G$55,5,0)</f>
        <v>96.58</v>
      </c>
      <c r="CF39">
        <f>VLOOKUP(A39,SBUX!A$2:G$55,5,0)</f>
        <v>77.28</v>
      </c>
      <c r="CG39">
        <f>VLOOKUP(A39,SLB!A$2:G$55,5,0)</f>
        <v>109.03</v>
      </c>
      <c r="CH39">
        <f>VLOOKUP(A39,SO!A$2:G$55,5,0)</f>
        <v>43.68</v>
      </c>
      <c r="CI39">
        <f>VLOOKUP(A39,SPG!A$2:G$55,5,0)</f>
        <v>169.42</v>
      </c>
      <c r="CJ39">
        <f>VLOOKUP(A39,T!A$2:G$55,5,0)</f>
        <v>34.5</v>
      </c>
      <c r="CK39">
        <f>VLOOKUP(A39,TGT!A$2:G$55,5,0)</f>
        <v>61.05</v>
      </c>
      <c r="CL39">
        <f>VLOOKUP(A39,TWX!A$2:G$55,5,0)</f>
        <v>77.23</v>
      </c>
      <c r="CM39">
        <f>VLOOKUP(A39,TXN!A$2:G$55,5,0)</f>
        <v>48.02</v>
      </c>
      <c r="CN39">
        <f>VLOOKUP(A39,UNH!A$2:G$55,5,0)</f>
        <v>83.78</v>
      </c>
      <c r="CO39">
        <f>VLOOKUP(A39,UNP!A$2:G$55,5,0)</f>
        <v>105.77</v>
      </c>
      <c r="CP39">
        <f>VLOOKUP(A39,UPS!A$2:G$55,5,0)</f>
        <v>97.77</v>
      </c>
      <c r="CQ39">
        <f>VLOOKUP(A39,USB!A$2:G$55,5,0)</f>
        <v>42.03</v>
      </c>
      <c r="CR39">
        <f>VLOOKUP(A39,UTX!A$2:G$55,5,0)</f>
        <v>109.39</v>
      </c>
      <c r="CS39">
        <f>VLOOKUP(A39,V!A$2:G$55,5,0)</f>
        <v>216.09</v>
      </c>
      <c r="CT39">
        <f>VLOOKUP(A39,VZ!A$2:G$55,5,0)</f>
        <v>48.64</v>
      </c>
      <c r="CU39">
        <f>VLOOKUP(A39,WAG!A$2:G$55,5,0)</f>
        <v>61.05</v>
      </c>
      <c r="CV39">
        <f>VLOOKUP(A39,WFC!A$2:G$55,5,0)</f>
        <v>51.18</v>
      </c>
      <c r="CW39">
        <f>VLOOKUP(A39,WMT!A$2:G$55,5,0)</f>
        <v>75.73</v>
      </c>
    </row>
    <row r="40" spans="1:101" x14ac:dyDescent="0.25">
      <c r="A40" s="34">
        <v>41876</v>
      </c>
      <c r="B40" s="36">
        <v>101.54</v>
      </c>
      <c r="C40">
        <f>VLOOKUP(A40,ABBV!A$2:G$55,5,0)</f>
        <v>55.87</v>
      </c>
      <c r="D40">
        <f>VLOOKUP(A40,ABT!A$2:G$55,5,0)</f>
        <v>42.49</v>
      </c>
      <c r="E40">
        <f>VLOOKUP(A40,ACN!A$2:G$55,5,0)</f>
        <v>80.98</v>
      </c>
      <c r="F40">
        <f>VLOOKUP(A40,AIG!A$2:G$55,5,0)</f>
        <v>55.89</v>
      </c>
      <c r="G40">
        <f>VLOOKUP(A40,ALL!A$2:G$55,5,0)</f>
        <v>61.91</v>
      </c>
      <c r="H40">
        <f>VLOOKUP(A40,AMGN!A$2:G$55,5,0)</f>
        <v>134.79</v>
      </c>
      <c r="I40">
        <f>VLOOKUP(A40,AMZN!A$2:G$55,5,0)</f>
        <v>334.02</v>
      </c>
      <c r="J40">
        <f>VLOOKUP(A40,APA!A$2:G$55,5,0)</f>
        <v>101.43</v>
      </c>
      <c r="K40">
        <f>VLOOKUP(A40,APC!A$2:G$55,5,0)</f>
        <v>111.97</v>
      </c>
      <c r="L40">
        <f>VLOOKUP(A40,AXP!A$2:G$55,5,0)</f>
        <v>89.59</v>
      </c>
      <c r="M40">
        <f>VLOOKUP(A40,BA!A$2:G$55,5,0)</f>
        <v>128.33000000000001</v>
      </c>
      <c r="N40">
        <f>VLOOKUP(A40,BAC!A$2:G$55,5,0)</f>
        <v>16.29</v>
      </c>
      <c r="O40">
        <f>VLOOKUP(A40,BAX!A$2:G$55,5,0)</f>
        <v>75.400000000000006</v>
      </c>
      <c r="P40">
        <f>VLOOKUP(A40,BIIB!A$2:G$55,5,0)</f>
        <v>342.7</v>
      </c>
      <c r="Q40">
        <f>VLOOKUP(A40,BK!A$2:G$55,5,0)</f>
        <v>39.47</v>
      </c>
      <c r="R40">
        <f>VLOOKUP(A40,BMY!A$2:G$55,5,0)</f>
        <v>50.73</v>
      </c>
      <c r="T40">
        <f>VLOOKUP(A40,'C'!A$2:G$55,5,0)</f>
        <v>51.63</v>
      </c>
      <c r="U40">
        <f>VLOOKUP(A40,CAT!A$2:G$55,5,0)</f>
        <v>107.97</v>
      </c>
      <c r="V40">
        <f>VLOOKUP(A40,CL!A$2:G$55,5,0)</f>
        <v>64.87</v>
      </c>
      <c r="W40">
        <f>VLOOKUP(A40,CMCSA!A$2:G$55,5,0)</f>
        <v>54.65</v>
      </c>
      <c r="X40">
        <f>VLOOKUP(A40,COF!A$2:G$55,5,0)</f>
        <v>82.06</v>
      </c>
      <c r="Y40">
        <f>VLOOKUP(A40,COP!A$2:G$55,5,0)</f>
        <v>80.8</v>
      </c>
      <c r="Z40">
        <f>VLOOKUP(A40,COST!A$2:G$55,5,0)</f>
        <v>121.39</v>
      </c>
      <c r="AA40">
        <f>VLOOKUP(A40,CSCO!A$2:G$55,5,0)</f>
        <v>24.7</v>
      </c>
      <c r="AB40">
        <f>VLOOKUP(A40,CVS!A$2:G$55,5,0)</f>
        <v>79.209999999999994</v>
      </c>
      <c r="AC40">
        <f>VLOOKUP(A40,CVX!A$2:G$55,5,0)</f>
        <v>127.84</v>
      </c>
      <c r="AD40">
        <f>VLOOKUP(A40,DD!A$2:G$55,5,0)</f>
        <v>66.150000000000006</v>
      </c>
      <c r="AE40">
        <f>VLOOKUP(A40,DIS!A$2:G$55,5,0)</f>
        <v>90.38</v>
      </c>
      <c r="AF40">
        <f>VLOOKUP(A40,DOW!A$2:G$55,5,0)</f>
        <v>53.13</v>
      </c>
      <c r="AG40">
        <f>VLOOKUP(A40,DVN!A$2:G$55,5,0)</f>
        <v>74.7</v>
      </c>
      <c r="AH40">
        <f>VLOOKUP(A40,EBAY!A$2:G$55,5,0)</f>
        <v>55.49</v>
      </c>
      <c r="AI40">
        <f>VLOOKUP(A40,EMC!A$2:G$55,5,0)</f>
        <v>29.66</v>
      </c>
      <c r="AJ40">
        <f>VLOOKUP(A40,EMR!A$2:G$55,5,0)</f>
        <v>64.75</v>
      </c>
      <c r="AK40">
        <f>VLOOKUP(A40,EXC!A$2:G$55,5,0)</f>
        <v>32.83</v>
      </c>
      <c r="AL40">
        <f>VLOOKUP(A40,F!A$2:G$55,5,0)</f>
        <v>17.23</v>
      </c>
      <c r="AM40">
        <f>VLOOKUP(A40,FB!A$2:G$55,5,0)</f>
        <v>75.02</v>
      </c>
      <c r="AN40">
        <f>VLOOKUP(A40,FCX!A$2:G$55,5,0)</f>
        <v>36.47</v>
      </c>
      <c r="AO40">
        <f>VLOOKUP(A40,FDX!A$2:G$55,5,0)</f>
        <v>149.79</v>
      </c>
      <c r="AP40">
        <f>VLOOKUP(A40,FOXA!A$2:G$55,5,0)</f>
        <v>35.56</v>
      </c>
      <c r="AQ40">
        <f>VLOOKUP(A40,GD!A$2:G$55,5,0)</f>
        <v>124.42</v>
      </c>
      <c r="AR40">
        <f>VLOOKUP(A40,GE!A$2:G$55,5,0)</f>
        <v>26.2</v>
      </c>
      <c r="AS40">
        <f>VLOOKUP(A40,GILD!A$2:G$55,5,0)</f>
        <v>107.45</v>
      </c>
      <c r="AT40">
        <f>VLOOKUP(A40,GM!A$2:G$55,5,0)</f>
        <v>34.67</v>
      </c>
      <c r="AU40">
        <f>VLOOKUP(A40,GOOG!A$2:G$55,5,0)</f>
        <v>580.20000000000005</v>
      </c>
      <c r="AV40">
        <f>VLOOKUP(A40,GOOGL!A$2:G$55,5,0)</f>
        <v>590.57000000000005</v>
      </c>
      <c r="AW40">
        <f>VLOOKUP(A40,GS!A$2:G$55,5,0)</f>
        <v>177.87</v>
      </c>
      <c r="AX40">
        <f>VLOOKUP(A40,HAL!A$2:G$55,5,0)</f>
        <v>68.55</v>
      </c>
      <c r="AY40">
        <f>VLOOKUP(A40,HD!A$2:G$55,5,0)</f>
        <v>91.2</v>
      </c>
      <c r="AZ40">
        <f>VLOOKUP(A40,HON!A$2:G$55,5,0)</f>
        <v>95.81</v>
      </c>
      <c r="BA40">
        <f>VLOOKUP(A40,HPQ!A$2:G$55,5,0)</f>
        <v>37.15</v>
      </c>
      <c r="BB40">
        <f>VLOOKUP(A40,IBM!A$2:G$55,5,0)</f>
        <v>191.16</v>
      </c>
      <c r="BC40">
        <f>VLOOKUP(A40,INTC!A$2:G$55,5,0)</f>
        <v>34.81</v>
      </c>
      <c r="BD40">
        <f>VLOOKUP(A40,JNJ!A$2:G$55,5,0)</f>
        <v>103.23</v>
      </c>
      <c r="BE40">
        <f>VLOOKUP(A40,JPM!A$2:G$55,5,0)</f>
        <v>59.34</v>
      </c>
      <c r="BF40">
        <f>VLOOKUP(A40,KO!A$2:G$55,5,0)</f>
        <v>41.41</v>
      </c>
      <c r="BG40">
        <f>VLOOKUP(A40,LLY!A$2:G$55,5,0)</f>
        <v>62.73</v>
      </c>
      <c r="BH40">
        <f>VLOOKUP(A40,LMT!A$2:G$55,5,0)</f>
        <v>176.53</v>
      </c>
      <c r="BI40">
        <f>VLOOKUP(A40,LOW!A$2:G$55,5,0)</f>
        <v>52.7</v>
      </c>
      <c r="BJ40">
        <f>VLOOKUP(A40,MA!A$2:G$55,5,0)</f>
        <v>76.430000000000007</v>
      </c>
      <c r="BK40">
        <f>VLOOKUP(A40,MCD!A$2:G$55,5,0)</f>
        <v>94.44</v>
      </c>
      <c r="BL40">
        <f>VLOOKUP(A40,MDLZ!A$2:G$55,5,0)</f>
        <v>36.15</v>
      </c>
      <c r="BM40">
        <f>VLOOKUP(A40,MDT!A$2:G$55,5,0)</f>
        <v>63.63</v>
      </c>
      <c r="BN40">
        <f>VLOOKUP(A40,MET!A$2:G$55,5,0)</f>
        <v>54.24</v>
      </c>
      <c r="BO40">
        <f>VLOOKUP(A40,MMM!A$2:G$55,5,0)</f>
        <v>144.69999999999999</v>
      </c>
      <c r="BP40">
        <f>VLOOKUP(A40,MO!A$2:G$55,5,0)</f>
        <v>42.77</v>
      </c>
      <c r="BQ40">
        <f>VLOOKUP(A40,MON!A$2:G$55,5,0)</f>
        <v>117.51</v>
      </c>
      <c r="BR40">
        <f>VLOOKUP(A40,MRK!A$2:G$55,5,0)</f>
        <v>59.73</v>
      </c>
      <c r="BS40">
        <f>VLOOKUP(A40,MS!A$2:G$55,5,0)</f>
        <v>34.200000000000003</v>
      </c>
      <c r="BT40">
        <f>VLOOKUP(A40,MSFT!A$2:G$55,5,0)</f>
        <v>45.17</v>
      </c>
      <c r="BU40">
        <f>VLOOKUP(A40,NKE!A$2:G$55,5,0)</f>
        <v>80.010000000000005</v>
      </c>
      <c r="BV40">
        <f>VLOOKUP(A40,NOV!A$2:G$55,5,0)</f>
        <v>84.67</v>
      </c>
      <c r="BW40">
        <f>VLOOKUP(A40,NSC!A$2:G$55,5,0)</f>
        <v>105.55</v>
      </c>
      <c r="BX40">
        <f>VLOOKUP(A40,ORCL!A$2:G$55,5,0)</f>
        <v>41.74</v>
      </c>
      <c r="BY40">
        <f>VLOOKUP(A40,OXY!A$2:G$55,5,0)</f>
        <v>103.28</v>
      </c>
      <c r="BZ40">
        <f>VLOOKUP(A40,PEP!A$2:G$55,5,0)</f>
        <v>93.19</v>
      </c>
      <c r="CA40">
        <f>VLOOKUP(A40,PFE!A$2:G$55,5,0)</f>
        <v>28.91</v>
      </c>
      <c r="CB40">
        <f>VLOOKUP(A40,PG!A$2:G$55,5,0)</f>
        <v>83.54</v>
      </c>
      <c r="CC40">
        <f>VLOOKUP(A40,PM!A$2:G$55,5,0)</f>
        <v>85.19</v>
      </c>
      <c r="CD40">
        <f>VLOOKUP(A40,QCOM!A$2:G$55,5,0)</f>
        <v>76.59</v>
      </c>
      <c r="CE40">
        <f>VLOOKUP(A40,RTN!A$2:G$55,5,0)</f>
        <v>97.07</v>
      </c>
      <c r="CF40">
        <f>VLOOKUP(A40,SBUX!A$2:G$55,5,0)</f>
        <v>77.97</v>
      </c>
      <c r="CG40">
        <f>VLOOKUP(A40,SLB!A$2:G$55,5,0)</f>
        <v>110.22</v>
      </c>
      <c r="CH40">
        <f>VLOOKUP(A40,SO!A$2:G$55,5,0)</f>
        <v>43.9</v>
      </c>
      <c r="CI40">
        <f>VLOOKUP(A40,SPG!A$2:G$55,5,0)</f>
        <v>169.21</v>
      </c>
      <c r="CJ40">
        <f>VLOOKUP(A40,T!A$2:G$55,5,0)</f>
        <v>34.51</v>
      </c>
      <c r="CK40">
        <f>VLOOKUP(A40,TGT!A$2:G$55,5,0)</f>
        <v>60.98</v>
      </c>
      <c r="CL40">
        <f>VLOOKUP(A40,TWX!A$2:G$55,5,0)</f>
        <v>76.95</v>
      </c>
      <c r="CM40">
        <f>VLOOKUP(A40,TXN!A$2:G$55,5,0)</f>
        <v>47.37</v>
      </c>
      <c r="CN40">
        <f>VLOOKUP(A40,UNH!A$2:G$55,5,0)</f>
        <v>84.24</v>
      </c>
      <c r="CO40">
        <f>VLOOKUP(A40,UNP!A$2:G$55,5,0)</f>
        <v>105.64</v>
      </c>
      <c r="CP40">
        <f>VLOOKUP(A40,UPS!A$2:G$55,5,0)</f>
        <v>97.9</v>
      </c>
      <c r="CQ40">
        <f>VLOOKUP(A40,USB!A$2:G$55,5,0)</f>
        <v>42.25</v>
      </c>
      <c r="CR40">
        <f>VLOOKUP(A40,UTX!A$2:G$55,5,0)</f>
        <v>109.82</v>
      </c>
      <c r="CS40">
        <f>VLOOKUP(A40,V!A$2:G$55,5,0)</f>
        <v>216.02</v>
      </c>
      <c r="CT40">
        <f>VLOOKUP(A40,VZ!A$2:G$55,5,0)</f>
        <v>49.15</v>
      </c>
      <c r="CU40">
        <f>VLOOKUP(A40,WAG!A$2:G$55,5,0)</f>
        <v>60.79</v>
      </c>
      <c r="CV40">
        <f>VLOOKUP(A40,WFC!A$2:G$55,5,0)</f>
        <v>51.45</v>
      </c>
      <c r="CW40">
        <f>VLOOKUP(A40,WMT!A$2:G$55,5,0)</f>
        <v>75.69</v>
      </c>
    </row>
    <row r="41" spans="1:101" x14ac:dyDescent="0.25">
      <c r="A41" s="34">
        <v>41877</v>
      </c>
      <c r="B41" s="36">
        <v>100.89</v>
      </c>
      <c r="C41">
        <f>VLOOKUP(A41,ABBV!A$2:G$55,5,0)</f>
        <v>55.75</v>
      </c>
      <c r="D41">
        <f>VLOOKUP(A41,ABT!A$2:G$55,5,0)</f>
        <v>42.8</v>
      </c>
      <c r="E41">
        <f>VLOOKUP(A41,ACN!A$2:G$55,5,0)</f>
        <v>81.62</v>
      </c>
      <c r="F41">
        <f>VLOOKUP(A41,AIG!A$2:G$55,5,0)</f>
        <v>56.08</v>
      </c>
      <c r="G41">
        <f>VLOOKUP(A41,ALL!A$2:G$55,5,0)</f>
        <v>61.86</v>
      </c>
      <c r="H41">
        <f>VLOOKUP(A41,AMGN!A$2:G$55,5,0)</f>
        <v>137.27000000000001</v>
      </c>
      <c r="I41">
        <f>VLOOKUP(A41,AMZN!A$2:G$55,5,0)</f>
        <v>341.83</v>
      </c>
      <c r="J41">
        <f>VLOOKUP(A41,APA!A$2:G$55,5,0)</f>
        <v>101.55</v>
      </c>
      <c r="K41">
        <f>VLOOKUP(A41,APC!A$2:G$55,5,0)</f>
        <v>112.05</v>
      </c>
      <c r="L41">
        <f>VLOOKUP(A41,AXP!A$2:G$55,5,0)</f>
        <v>89.15</v>
      </c>
      <c r="M41">
        <f>VLOOKUP(A41,BA!A$2:G$55,5,0)</f>
        <v>128.6</v>
      </c>
      <c r="N41">
        <f>VLOOKUP(A41,BAC!A$2:G$55,5,0)</f>
        <v>16.329999999999998</v>
      </c>
      <c r="O41">
        <f>VLOOKUP(A41,BAX!A$2:G$55,5,0)</f>
        <v>75.53</v>
      </c>
      <c r="P41">
        <f>VLOOKUP(A41,BIIB!A$2:G$55,5,0)</f>
        <v>342.99</v>
      </c>
      <c r="Q41">
        <f>VLOOKUP(A41,BK!A$2:G$55,5,0)</f>
        <v>39.33</v>
      </c>
      <c r="R41">
        <f>VLOOKUP(A41,BMY!A$2:G$55,5,0)</f>
        <v>50.77</v>
      </c>
      <c r="T41">
        <f>VLOOKUP(A41,'C'!A$2:G$55,5,0)</f>
        <v>52.13</v>
      </c>
      <c r="U41">
        <f>VLOOKUP(A41,CAT!A$2:G$55,5,0)</f>
        <v>108.06</v>
      </c>
      <c r="V41">
        <f>VLOOKUP(A41,CL!A$2:G$55,5,0)</f>
        <v>64.790000000000006</v>
      </c>
      <c r="W41">
        <f>VLOOKUP(A41,CMCSA!A$2:G$55,5,0)</f>
        <v>54.56</v>
      </c>
      <c r="X41">
        <f>VLOOKUP(A41,COF!A$2:G$55,5,0)</f>
        <v>81.8</v>
      </c>
      <c r="Y41">
        <f>VLOOKUP(A41,COP!A$2:G$55,5,0)</f>
        <v>80.540000000000006</v>
      </c>
      <c r="Z41">
        <f>VLOOKUP(A41,COST!A$2:G$55,5,0)</f>
        <v>121.09</v>
      </c>
      <c r="AA41">
        <f>VLOOKUP(A41,CSCO!A$2:G$55,5,0)</f>
        <v>24.81</v>
      </c>
      <c r="AB41">
        <f>VLOOKUP(A41,CVS!A$2:G$55,5,0)</f>
        <v>79.349999999999994</v>
      </c>
      <c r="AC41">
        <f>VLOOKUP(A41,CVX!A$2:G$55,5,0)</f>
        <v>128.25</v>
      </c>
      <c r="AD41">
        <f>VLOOKUP(A41,DD!A$2:G$55,5,0)</f>
        <v>66.16</v>
      </c>
      <c r="AE41">
        <f>VLOOKUP(A41,DIS!A$2:G$55,5,0)</f>
        <v>90.02</v>
      </c>
      <c r="AF41">
        <f>VLOOKUP(A41,DOW!A$2:G$55,5,0)</f>
        <v>53.1</v>
      </c>
      <c r="AG41">
        <f>VLOOKUP(A41,DVN!A$2:G$55,5,0)</f>
        <v>74.56</v>
      </c>
      <c r="AH41">
        <f>VLOOKUP(A41,EBAY!A$2:G$55,5,0)</f>
        <v>56.25</v>
      </c>
      <c r="AI41">
        <f>VLOOKUP(A41,EMC!A$2:G$55,5,0)</f>
        <v>29.57</v>
      </c>
      <c r="AJ41">
        <f>VLOOKUP(A41,EMR!A$2:G$55,5,0)</f>
        <v>64.34</v>
      </c>
      <c r="AK41">
        <f>VLOOKUP(A41,EXC!A$2:G$55,5,0)</f>
        <v>32.31</v>
      </c>
      <c r="AL41">
        <f>VLOOKUP(A41,F!A$2:G$55,5,0)</f>
        <v>17.190000000000001</v>
      </c>
      <c r="AM41">
        <f>VLOOKUP(A41,FB!A$2:G$55,5,0)</f>
        <v>75.959999999999994</v>
      </c>
      <c r="AN41">
        <f>VLOOKUP(A41,FCX!A$2:G$55,5,0)</f>
        <v>36.39</v>
      </c>
      <c r="AO41">
        <f>VLOOKUP(A41,FDX!A$2:G$55,5,0)</f>
        <v>149.28</v>
      </c>
      <c r="AP41">
        <f>VLOOKUP(A41,FOXA!A$2:G$55,5,0)</f>
        <v>35.56</v>
      </c>
      <c r="AQ41">
        <f>VLOOKUP(A41,GD!A$2:G$55,5,0)</f>
        <v>124.4</v>
      </c>
      <c r="AR41">
        <f>VLOOKUP(A41,GE!A$2:G$55,5,0)</f>
        <v>26.01</v>
      </c>
      <c r="AS41">
        <f>VLOOKUP(A41,GILD!A$2:G$55,5,0)</f>
        <v>106.27</v>
      </c>
      <c r="AT41">
        <f>VLOOKUP(A41,GM!A$2:G$55,5,0)</f>
        <v>34.85</v>
      </c>
      <c r="AU41">
        <f>VLOOKUP(A41,GOOG!A$2:G$55,5,0)</f>
        <v>577.86</v>
      </c>
      <c r="AV41">
        <f>VLOOKUP(A41,GOOGL!A$2:G$55,5,0)</f>
        <v>588.12</v>
      </c>
      <c r="AW41">
        <f>VLOOKUP(A41,GS!A$2:G$55,5,0)</f>
        <v>177.9</v>
      </c>
      <c r="AX41">
        <f>VLOOKUP(A41,HAL!A$2:G$55,5,0)</f>
        <v>69.81</v>
      </c>
      <c r="AY41">
        <f>VLOOKUP(A41,HD!A$2:G$55,5,0)</f>
        <v>91.63</v>
      </c>
      <c r="AZ41">
        <f>VLOOKUP(A41,HON!A$2:G$55,5,0)</f>
        <v>95.51</v>
      </c>
      <c r="BA41">
        <f>VLOOKUP(A41,HPQ!A$2:G$55,5,0)</f>
        <v>37.83</v>
      </c>
      <c r="BB41">
        <f>VLOOKUP(A41,IBM!A$2:G$55,5,0)</f>
        <v>192.99</v>
      </c>
      <c r="BC41">
        <f>VLOOKUP(A41,INTC!A$2:G$55,5,0)</f>
        <v>34.799999999999997</v>
      </c>
      <c r="BD41">
        <f>VLOOKUP(A41,JNJ!A$2:G$55,5,0)</f>
        <v>103.44</v>
      </c>
      <c r="BE41">
        <f>VLOOKUP(A41,JPM!A$2:G$55,5,0)</f>
        <v>59.74</v>
      </c>
      <c r="BF41">
        <f>VLOOKUP(A41,KO!A$2:G$55,5,0)</f>
        <v>41.6</v>
      </c>
      <c r="BG41">
        <f>VLOOKUP(A41,LLY!A$2:G$55,5,0)</f>
        <v>62.81</v>
      </c>
      <c r="BH41">
        <f>VLOOKUP(A41,LMT!A$2:G$55,5,0)</f>
        <v>176.61</v>
      </c>
      <c r="BI41">
        <f>VLOOKUP(A41,LOW!A$2:G$55,5,0)</f>
        <v>52.58</v>
      </c>
      <c r="BJ41">
        <f>VLOOKUP(A41,MA!A$2:G$55,5,0)</f>
        <v>77</v>
      </c>
      <c r="BK41">
        <f>VLOOKUP(A41,MCD!A$2:G$55,5,0)</f>
        <v>94.11</v>
      </c>
      <c r="BL41">
        <f>VLOOKUP(A41,MDLZ!A$2:G$55,5,0)</f>
        <v>36.07</v>
      </c>
      <c r="BM41">
        <f>VLOOKUP(A41,MDT!A$2:G$55,5,0)</f>
        <v>63.52</v>
      </c>
      <c r="BN41">
        <f>VLOOKUP(A41,MET!A$2:G$55,5,0)</f>
        <v>54.54</v>
      </c>
      <c r="BO41">
        <f>VLOOKUP(A41,MMM!A$2:G$55,5,0)</f>
        <v>144.6</v>
      </c>
      <c r="BP41">
        <f>VLOOKUP(A41,MO!A$2:G$55,5,0)</f>
        <v>42.86</v>
      </c>
      <c r="BQ41">
        <f>VLOOKUP(A41,MON!A$2:G$55,5,0)</f>
        <v>117.12</v>
      </c>
      <c r="BR41">
        <f>VLOOKUP(A41,MRK!A$2:G$55,5,0)</f>
        <v>60.2</v>
      </c>
      <c r="BS41">
        <f>VLOOKUP(A41,MS!A$2:G$55,5,0)</f>
        <v>34.4</v>
      </c>
      <c r="BT41">
        <f>VLOOKUP(A41,MSFT!A$2:G$55,5,0)</f>
        <v>45.01</v>
      </c>
      <c r="BU41">
        <f>VLOOKUP(A41,NKE!A$2:G$55,5,0)</f>
        <v>79.48</v>
      </c>
      <c r="BV41">
        <f>VLOOKUP(A41,NOV!A$2:G$55,5,0)</f>
        <v>84.91</v>
      </c>
      <c r="BW41">
        <f>VLOOKUP(A41,NSC!A$2:G$55,5,0)</f>
        <v>105.53</v>
      </c>
      <c r="BX41">
        <f>VLOOKUP(A41,ORCL!A$2:G$55,5,0)</f>
        <v>41.84</v>
      </c>
      <c r="BY41">
        <f>VLOOKUP(A41,OXY!A$2:G$55,5,0)</f>
        <v>103.15</v>
      </c>
      <c r="BZ41">
        <f>VLOOKUP(A41,PEP!A$2:G$55,5,0)</f>
        <v>92.6</v>
      </c>
      <c r="CA41">
        <f>VLOOKUP(A41,PFE!A$2:G$55,5,0)</f>
        <v>29.21</v>
      </c>
      <c r="CB41">
        <f>VLOOKUP(A41,PG!A$2:G$55,5,0)</f>
        <v>83.38</v>
      </c>
      <c r="CC41">
        <f>VLOOKUP(A41,PM!A$2:G$55,5,0)</f>
        <v>85.26</v>
      </c>
      <c r="CD41">
        <f>VLOOKUP(A41,QCOM!A$2:G$55,5,0)</f>
        <v>77.010000000000005</v>
      </c>
      <c r="CE41">
        <f>VLOOKUP(A41,RTN!A$2:G$55,5,0)</f>
        <v>96.61</v>
      </c>
      <c r="CF41">
        <f>VLOOKUP(A41,SBUX!A$2:G$55,5,0)</f>
        <v>77.790000000000006</v>
      </c>
      <c r="CG41">
        <f>VLOOKUP(A41,SLB!A$2:G$55,5,0)</f>
        <v>111.02</v>
      </c>
      <c r="CH41">
        <f>VLOOKUP(A41,SO!A$2:G$55,5,0)</f>
        <v>43.54</v>
      </c>
      <c r="CI41">
        <f>VLOOKUP(A41,SPG!A$2:G$55,5,0)</f>
        <v>169.25</v>
      </c>
      <c r="CJ41">
        <f>VLOOKUP(A41,T!A$2:G$55,5,0)</f>
        <v>34.5</v>
      </c>
      <c r="CK41">
        <f>VLOOKUP(A41,TGT!A$2:G$55,5,0)</f>
        <v>60.7</v>
      </c>
      <c r="CL41">
        <f>VLOOKUP(A41,TWX!A$2:G$55,5,0)</f>
        <v>76.98</v>
      </c>
      <c r="CM41">
        <f>VLOOKUP(A41,TXN!A$2:G$55,5,0)</f>
        <v>47.49</v>
      </c>
      <c r="CN41">
        <f>VLOOKUP(A41,UNH!A$2:G$55,5,0)</f>
        <v>85.12</v>
      </c>
      <c r="CO41">
        <f>VLOOKUP(A41,UNP!A$2:G$55,5,0)</f>
        <v>105.56</v>
      </c>
      <c r="CP41">
        <f>VLOOKUP(A41,UPS!A$2:G$55,5,0)</f>
        <v>97.42</v>
      </c>
      <c r="CQ41">
        <f>VLOOKUP(A41,USB!A$2:G$55,5,0)</f>
        <v>42.41</v>
      </c>
      <c r="CR41">
        <f>VLOOKUP(A41,UTX!A$2:G$55,5,0)</f>
        <v>109.68</v>
      </c>
      <c r="CS41">
        <f>VLOOKUP(A41,V!A$2:G$55,5,0)</f>
        <v>216.73</v>
      </c>
      <c r="CT41">
        <f>VLOOKUP(A41,VZ!A$2:G$55,5,0)</f>
        <v>49.25</v>
      </c>
      <c r="CU41">
        <f>VLOOKUP(A41,WAG!A$2:G$55,5,0)</f>
        <v>60.93</v>
      </c>
      <c r="CV41">
        <f>VLOOKUP(A41,WFC!A$2:G$55,5,0)</f>
        <v>51.56</v>
      </c>
      <c r="CW41">
        <f>VLOOKUP(A41,WMT!A$2:G$55,5,0)</f>
        <v>75.52</v>
      </c>
    </row>
    <row r="42" spans="1:101" x14ac:dyDescent="0.25">
      <c r="A42" s="34">
        <v>41878</v>
      </c>
      <c r="B42" s="36">
        <v>102.13</v>
      </c>
      <c r="C42">
        <f>VLOOKUP(A42,ABBV!A$2:G$55,5,0)</f>
        <v>55.7</v>
      </c>
      <c r="D42">
        <f>VLOOKUP(A42,ABT!A$2:G$55,5,0)</f>
        <v>42.6</v>
      </c>
      <c r="E42">
        <f>VLOOKUP(A42,ACN!A$2:G$55,5,0)</f>
        <v>80.98</v>
      </c>
      <c r="F42">
        <f>VLOOKUP(A42,AIG!A$2:G$55,5,0)</f>
        <v>56.16</v>
      </c>
      <c r="G42">
        <f>VLOOKUP(A42,ALL!A$2:G$55,5,0)</f>
        <v>61.53</v>
      </c>
      <c r="H42">
        <f>VLOOKUP(A42,AMGN!A$2:G$55,5,0)</f>
        <v>137.83000000000001</v>
      </c>
      <c r="I42">
        <f>VLOOKUP(A42,AMZN!A$2:G$55,5,0)</f>
        <v>343.18</v>
      </c>
      <c r="J42">
        <f>VLOOKUP(A42,APA!A$2:G$55,5,0)</f>
        <v>101.53</v>
      </c>
      <c r="K42">
        <f>VLOOKUP(A42,APC!A$2:G$55,5,0)</f>
        <v>110.5</v>
      </c>
      <c r="L42">
        <f>VLOOKUP(A42,AXP!A$2:G$55,5,0)</f>
        <v>89.24</v>
      </c>
      <c r="M42">
        <f>VLOOKUP(A42,BA!A$2:G$55,5,0)</f>
        <v>128.19999999999999</v>
      </c>
      <c r="N42">
        <f>VLOOKUP(A42,BAC!A$2:G$55,5,0)</f>
        <v>16.2</v>
      </c>
      <c r="O42">
        <f>VLOOKUP(A42,BAX!A$2:G$55,5,0)</f>
        <v>75.34</v>
      </c>
      <c r="P42">
        <f>VLOOKUP(A42,BIIB!A$2:G$55,5,0)</f>
        <v>343.36</v>
      </c>
      <c r="Q42">
        <f>VLOOKUP(A42,BK!A$2:G$55,5,0)</f>
        <v>39.17</v>
      </c>
      <c r="R42">
        <f>VLOOKUP(A42,BMY!A$2:G$55,5,0)</f>
        <v>50.25</v>
      </c>
      <c r="T42">
        <f>VLOOKUP(A42,'C'!A$2:G$55,5,0)</f>
        <v>51.86</v>
      </c>
      <c r="U42">
        <f>VLOOKUP(A42,CAT!A$2:G$55,5,0)</f>
        <v>108.55</v>
      </c>
      <c r="V42">
        <f>VLOOKUP(A42,CL!A$2:G$55,5,0)</f>
        <v>64.83</v>
      </c>
      <c r="W42">
        <f>VLOOKUP(A42,CMCSA!A$2:G$55,5,0)</f>
        <v>54.56</v>
      </c>
      <c r="X42">
        <f>VLOOKUP(A42,COF!A$2:G$55,5,0)</f>
        <v>81.96</v>
      </c>
      <c r="Y42">
        <f>VLOOKUP(A42,COP!A$2:G$55,5,0)</f>
        <v>81.03</v>
      </c>
      <c r="Z42">
        <f>VLOOKUP(A42,COST!A$2:G$55,5,0)</f>
        <v>121.24</v>
      </c>
      <c r="AA42">
        <f>VLOOKUP(A42,CSCO!A$2:G$55,5,0)</f>
        <v>24.8</v>
      </c>
      <c r="AB42">
        <f>VLOOKUP(A42,CVS!A$2:G$55,5,0)</f>
        <v>79.430000000000007</v>
      </c>
      <c r="AC42">
        <f>VLOOKUP(A42,CVX!A$2:G$55,5,0)</f>
        <v>128.63999999999999</v>
      </c>
      <c r="AD42">
        <f>VLOOKUP(A42,DD!A$2:G$55,5,0)</f>
        <v>65.930000000000007</v>
      </c>
      <c r="AE42">
        <f>VLOOKUP(A42,DIS!A$2:G$55,5,0)</f>
        <v>90.37</v>
      </c>
      <c r="AF42">
        <f>VLOOKUP(A42,DOW!A$2:G$55,5,0)</f>
        <v>53.64</v>
      </c>
      <c r="AG42">
        <f>VLOOKUP(A42,DVN!A$2:G$55,5,0)</f>
        <v>74.28</v>
      </c>
      <c r="AH42">
        <f>VLOOKUP(A42,EBAY!A$2:G$55,5,0)</f>
        <v>55.92</v>
      </c>
      <c r="AI42">
        <f>VLOOKUP(A42,EMC!A$2:G$55,5,0)</f>
        <v>29.44</v>
      </c>
      <c r="AJ42">
        <f>VLOOKUP(A42,EMR!A$2:G$55,5,0)</f>
        <v>64.400000000000006</v>
      </c>
      <c r="AK42">
        <f>VLOOKUP(A42,EXC!A$2:G$55,5,0)</f>
        <v>32.770000000000003</v>
      </c>
      <c r="AL42">
        <f>VLOOKUP(A42,F!A$2:G$55,5,0)</f>
        <v>17.36</v>
      </c>
      <c r="AM42">
        <f>VLOOKUP(A42,FB!A$2:G$55,5,0)</f>
        <v>74.63</v>
      </c>
      <c r="AN42">
        <f>VLOOKUP(A42,FCX!A$2:G$55,5,0)</f>
        <v>36.44</v>
      </c>
      <c r="AO42">
        <f>VLOOKUP(A42,FDX!A$2:G$55,5,0)</f>
        <v>149.1</v>
      </c>
      <c r="AP42">
        <f>VLOOKUP(A42,FOXA!A$2:G$55,5,0)</f>
        <v>35.85</v>
      </c>
      <c r="AQ42">
        <f>VLOOKUP(A42,GD!A$2:G$55,5,0)</f>
        <v>123.99</v>
      </c>
      <c r="AR42">
        <f>VLOOKUP(A42,GE!A$2:G$55,5,0)</f>
        <v>26.13</v>
      </c>
      <c r="AS42">
        <f>VLOOKUP(A42,GILD!A$2:G$55,5,0)</f>
        <v>107.41</v>
      </c>
      <c r="AT42">
        <f>VLOOKUP(A42,GM!A$2:G$55,5,0)</f>
        <v>34.71</v>
      </c>
      <c r="AU42">
        <f>VLOOKUP(A42,GOOG!A$2:G$55,5,0)</f>
        <v>571</v>
      </c>
      <c r="AV42">
        <f>VLOOKUP(A42,GOOGL!A$2:G$55,5,0)</f>
        <v>583</v>
      </c>
      <c r="AW42">
        <f>VLOOKUP(A42,GS!A$2:G$55,5,0)</f>
        <v>177.81</v>
      </c>
      <c r="AX42">
        <f>VLOOKUP(A42,HAL!A$2:G$55,5,0)</f>
        <v>68.48</v>
      </c>
      <c r="AY42">
        <f>VLOOKUP(A42,HD!A$2:G$55,5,0)</f>
        <v>91.87</v>
      </c>
      <c r="AZ42">
        <f>VLOOKUP(A42,HON!A$2:G$55,5,0)</f>
        <v>95.57</v>
      </c>
      <c r="BA42">
        <f>VLOOKUP(A42,HPQ!A$2:G$55,5,0)</f>
        <v>38.159999999999997</v>
      </c>
      <c r="BB42">
        <f>VLOOKUP(A42,IBM!A$2:G$55,5,0)</f>
        <v>192.25</v>
      </c>
      <c r="BC42">
        <f>VLOOKUP(A42,INTC!A$2:G$55,5,0)</f>
        <v>34.79</v>
      </c>
      <c r="BD42">
        <f>VLOOKUP(A42,JNJ!A$2:G$55,5,0)</f>
        <v>103.22</v>
      </c>
      <c r="BE42">
        <f>VLOOKUP(A42,JPM!A$2:G$55,5,0)</f>
        <v>59.59</v>
      </c>
      <c r="BF42">
        <f>VLOOKUP(A42,KO!A$2:G$55,5,0)</f>
        <v>41.6</v>
      </c>
      <c r="BG42">
        <f>VLOOKUP(A42,LLY!A$2:G$55,5,0)</f>
        <v>63</v>
      </c>
      <c r="BH42">
        <f>VLOOKUP(A42,LMT!A$2:G$55,5,0)</f>
        <v>176.52</v>
      </c>
      <c r="BI42">
        <f>VLOOKUP(A42,LOW!A$2:G$55,5,0)</f>
        <v>52.52</v>
      </c>
      <c r="BJ42">
        <f>VLOOKUP(A42,MA!A$2:G$55,5,0)</f>
        <v>76.64</v>
      </c>
      <c r="BK42">
        <f>VLOOKUP(A42,MCD!A$2:G$55,5,0)</f>
        <v>94.65</v>
      </c>
      <c r="BL42">
        <f>VLOOKUP(A42,MDLZ!A$2:G$55,5,0)</f>
        <v>36.24</v>
      </c>
      <c r="BM42">
        <f>VLOOKUP(A42,MDT!A$2:G$55,5,0)</f>
        <v>63.36</v>
      </c>
      <c r="BN42">
        <f>VLOOKUP(A42,MET!A$2:G$55,5,0)</f>
        <v>54.73</v>
      </c>
      <c r="BO42">
        <f>VLOOKUP(A42,MMM!A$2:G$55,5,0)</f>
        <v>143.94</v>
      </c>
      <c r="BP42">
        <f>VLOOKUP(A42,MO!A$2:G$55,5,0)</f>
        <v>42.82</v>
      </c>
      <c r="BQ42">
        <f>VLOOKUP(A42,MON!A$2:G$55,5,0)</f>
        <v>115.97</v>
      </c>
      <c r="BR42">
        <f>VLOOKUP(A42,MRK!A$2:G$55,5,0)</f>
        <v>60.28</v>
      </c>
      <c r="BS42">
        <f>VLOOKUP(A42,MS!A$2:G$55,5,0)</f>
        <v>34.130000000000003</v>
      </c>
      <c r="BT42">
        <f>VLOOKUP(A42,MSFT!A$2:G$55,5,0)</f>
        <v>44.87</v>
      </c>
      <c r="BU42">
        <f>VLOOKUP(A42,NKE!A$2:G$55,5,0)</f>
        <v>79.72</v>
      </c>
      <c r="BV42">
        <f>VLOOKUP(A42,NOV!A$2:G$55,5,0)</f>
        <v>85.62</v>
      </c>
      <c r="BW42">
        <f>VLOOKUP(A42,NSC!A$2:G$55,5,0)</f>
        <v>106.82</v>
      </c>
      <c r="BX42">
        <f>VLOOKUP(A42,ORCL!A$2:G$55,5,0)</f>
        <v>41.64</v>
      </c>
      <c r="BY42">
        <f>VLOOKUP(A42,OXY!A$2:G$55,5,0)</f>
        <v>103.38</v>
      </c>
      <c r="BZ42">
        <f>VLOOKUP(A42,PEP!A$2:G$55,5,0)</f>
        <v>92.23</v>
      </c>
      <c r="CA42">
        <f>VLOOKUP(A42,PFE!A$2:G$55,5,0)</f>
        <v>29.49</v>
      </c>
      <c r="CB42">
        <f>VLOOKUP(A42,PG!A$2:G$55,5,0)</f>
        <v>83.31</v>
      </c>
      <c r="CC42">
        <f>VLOOKUP(A42,PM!A$2:G$55,5,0)</f>
        <v>85.25</v>
      </c>
      <c r="CD42">
        <f>VLOOKUP(A42,QCOM!A$2:G$55,5,0)</f>
        <v>76.97</v>
      </c>
      <c r="CE42">
        <f>VLOOKUP(A42,RTN!A$2:G$55,5,0)</f>
        <v>96.16</v>
      </c>
      <c r="CF42">
        <f>VLOOKUP(A42,SBUX!A$2:G$55,5,0)</f>
        <v>77.92</v>
      </c>
      <c r="CG42">
        <f>VLOOKUP(A42,SLB!A$2:G$55,5,0)</f>
        <v>111.04</v>
      </c>
      <c r="CH42">
        <f>VLOOKUP(A42,SO!A$2:G$55,5,0)</f>
        <v>43.83</v>
      </c>
      <c r="CI42">
        <f>VLOOKUP(A42,SPG!A$2:G$55,5,0)</f>
        <v>169.51</v>
      </c>
      <c r="CJ42">
        <f>VLOOKUP(A42,T!A$2:G$55,5,0)</f>
        <v>34.75</v>
      </c>
      <c r="CK42">
        <f>VLOOKUP(A42,TGT!A$2:G$55,5,0)</f>
        <v>60.79</v>
      </c>
      <c r="CL42">
        <f>VLOOKUP(A42,TWX!A$2:G$55,5,0)</f>
        <v>76.849999999999994</v>
      </c>
      <c r="CM42">
        <f>VLOOKUP(A42,TXN!A$2:G$55,5,0)</f>
        <v>47.78</v>
      </c>
      <c r="CN42">
        <f>VLOOKUP(A42,UNH!A$2:G$55,5,0)</f>
        <v>86.38</v>
      </c>
      <c r="CO42">
        <f>VLOOKUP(A42,UNP!A$2:G$55,5,0)</f>
        <v>105.3</v>
      </c>
      <c r="CP42">
        <f>VLOOKUP(A42,UPS!A$2:G$55,5,0)</f>
        <v>97.38</v>
      </c>
      <c r="CQ42">
        <f>VLOOKUP(A42,USB!A$2:G$55,5,0)</f>
        <v>42.2</v>
      </c>
      <c r="CR42">
        <f>VLOOKUP(A42,UTX!A$2:G$55,5,0)</f>
        <v>109.09</v>
      </c>
      <c r="CS42">
        <f>VLOOKUP(A42,V!A$2:G$55,5,0)</f>
        <v>217.13</v>
      </c>
      <c r="CT42">
        <f>VLOOKUP(A42,VZ!A$2:G$55,5,0)</f>
        <v>49.43</v>
      </c>
      <c r="CU42">
        <f>VLOOKUP(A42,WAG!A$2:G$55,5,0)</f>
        <v>60.53</v>
      </c>
      <c r="CV42">
        <f>VLOOKUP(A42,WFC!A$2:G$55,5,0)</f>
        <v>51.34</v>
      </c>
      <c r="CW42">
        <f>VLOOKUP(A42,WMT!A$2:G$55,5,0)</f>
        <v>75.849999999999994</v>
      </c>
    </row>
    <row r="43" spans="1:101" x14ac:dyDescent="0.25">
      <c r="A43" s="34">
        <v>41879</v>
      </c>
      <c r="B43" s="36">
        <v>102.25</v>
      </c>
      <c r="C43">
        <f>VLOOKUP(A43,ABBV!A$2:G$55,5,0)</f>
        <v>55.6</v>
      </c>
      <c r="D43">
        <f>VLOOKUP(A43,ABT!A$2:G$55,5,0)</f>
        <v>42.35</v>
      </c>
      <c r="E43">
        <f>VLOOKUP(A43,ACN!A$2:G$55,5,0)</f>
        <v>81.02</v>
      </c>
      <c r="F43">
        <f>VLOOKUP(A43,AIG!A$2:G$55,5,0)</f>
        <v>55.73</v>
      </c>
      <c r="G43">
        <f>VLOOKUP(A43,ALL!A$2:G$55,5,0)</f>
        <v>61.15</v>
      </c>
      <c r="H43">
        <f>VLOOKUP(A43,AMGN!A$2:G$55,5,0)</f>
        <v>138.69</v>
      </c>
      <c r="I43">
        <f>VLOOKUP(A43,AMZN!A$2:G$55,5,0)</f>
        <v>340.02</v>
      </c>
      <c r="J43">
        <f>VLOOKUP(A43,APA!A$2:G$55,5,0)</f>
        <v>101.37</v>
      </c>
      <c r="K43">
        <f>VLOOKUP(A43,APC!A$2:G$55,5,0)</f>
        <v>111.08</v>
      </c>
      <c r="L43">
        <f>VLOOKUP(A43,AXP!A$2:G$55,5,0)</f>
        <v>89.02</v>
      </c>
      <c r="M43">
        <f>VLOOKUP(A43,BA!A$2:G$55,5,0)</f>
        <v>127.11</v>
      </c>
      <c r="N43">
        <f>VLOOKUP(A43,BAC!A$2:G$55,5,0)</f>
        <v>16.010000000000002</v>
      </c>
      <c r="O43">
        <f>VLOOKUP(A43,BAX!A$2:G$55,5,0)</f>
        <v>74.91</v>
      </c>
      <c r="P43">
        <f>VLOOKUP(A43,BIIB!A$2:G$55,5,0)</f>
        <v>341.24</v>
      </c>
      <c r="Q43">
        <f>VLOOKUP(A43,BK!A$2:G$55,5,0)</f>
        <v>39</v>
      </c>
      <c r="R43">
        <f>VLOOKUP(A43,BMY!A$2:G$55,5,0)</f>
        <v>50.54</v>
      </c>
      <c r="T43">
        <f>VLOOKUP(A43,'C'!A$2:G$55,5,0)</f>
        <v>51.39</v>
      </c>
      <c r="U43">
        <f>VLOOKUP(A43,CAT!A$2:G$55,5,0)</f>
        <v>108.65</v>
      </c>
      <c r="V43">
        <f>VLOOKUP(A43,CL!A$2:G$55,5,0)</f>
        <v>64.510000000000005</v>
      </c>
      <c r="W43">
        <f>VLOOKUP(A43,CMCSA!A$2:G$55,5,0)</f>
        <v>54.52</v>
      </c>
      <c r="X43">
        <f>VLOOKUP(A43,COF!A$2:G$55,5,0)</f>
        <v>81.59</v>
      </c>
      <c r="Y43">
        <f>VLOOKUP(A43,COP!A$2:G$55,5,0)</f>
        <v>80.66</v>
      </c>
      <c r="Z43">
        <f>VLOOKUP(A43,COST!A$2:G$55,5,0)</f>
        <v>120.97</v>
      </c>
      <c r="AA43">
        <f>VLOOKUP(A43,CSCO!A$2:G$55,5,0)</f>
        <v>24.85</v>
      </c>
      <c r="AB43">
        <f>VLOOKUP(A43,CVS!A$2:G$55,5,0)</f>
        <v>79.430000000000007</v>
      </c>
      <c r="AC43">
        <f>VLOOKUP(A43,CVX!A$2:G$55,5,0)</f>
        <v>128.75</v>
      </c>
      <c r="AD43">
        <f>VLOOKUP(A43,DD!A$2:G$55,5,0)</f>
        <v>66.150000000000006</v>
      </c>
      <c r="AE43">
        <f>VLOOKUP(A43,DIS!A$2:G$55,5,0)</f>
        <v>90.23</v>
      </c>
      <c r="AF43">
        <f>VLOOKUP(A43,DOW!A$2:G$55,5,0)</f>
        <v>53.64</v>
      </c>
      <c r="AG43">
        <f>VLOOKUP(A43,DVN!A$2:G$55,5,0)</f>
        <v>74.63</v>
      </c>
      <c r="AH43">
        <f>VLOOKUP(A43,EBAY!A$2:G$55,5,0)</f>
        <v>55.43</v>
      </c>
      <c r="AI43">
        <f>VLOOKUP(A43,EMC!A$2:G$55,5,0)</f>
        <v>29.41</v>
      </c>
      <c r="AJ43">
        <f>VLOOKUP(A43,EMR!A$2:G$55,5,0)</f>
        <v>64.260000000000005</v>
      </c>
      <c r="AK43">
        <f>VLOOKUP(A43,EXC!A$2:G$55,5,0)</f>
        <v>33</v>
      </c>
      <c r="AL43">
        <f>VLOOKUP(A43,F!A$2:G$55,5,0)</f>
        <v>17.420000000000002</v>
      </c>
      <c r="AM43">
        <f>VLOOKUP(A43,FB!A$2:G$55,5,0)</f>
        <v>73.86</v>
      </c>
      <c r="AN43">
        <f>VLOOKUP(A43,FCX!A$2:G$55,5,0)</f>
        <v>36.159999999999997</v>
      </c>
      <c r="AO43">
        <f>VLOOKUP(A43,FDX!A$2:G$55,5,0)</f>
        <v>147.87</v>
      </c>
      <c r="AP43">
        <f>VLOOKUP(A43,FOXA!A$2:G$55,5,0)</f>
        <v>35.6</v>
      </c>
      <c r="AQ43">
        <f>VLOOKUP(A43,GD!A$2:G$55,5,0)</f>
        <v>123.39</v>
      </c>
      <c r="AR43">
        <f>VLOOKUP(A43,GE!A$2:G$55,5,0)</f>
        <v>26.01</v>
      </c>
      <c r="AS43">
        <f>VLOOKUP(A43,GILD!A$2:G$55,5,0)</f>
        <v>107.51</v>
      </c>
      <c r="AT43">
        <f>VLOOKUP(A43,GM!A$2:G$55,5,0)</f>
        <v>34.68</v>
      </c>
      <c r="AU43">
        <f>VLOOKUP(A43,GOOG!A$2:G$55,5,0)</f>
        <v>569.20000000000005</v>
      </c>
      <c r="AV43">
        <f>VLOOKUP(A43,GOOGL!A$2:G$55,5,0)</f>
        <v>580.32000000000005</v>
      </c>
      <c r="AW43">
        <f>VLOOKUP(A43,GS!A$2:G$55,5,0)</f>
        <v>177.65</v>
      </c>
      <c r="AX43">
        <f>VLOOKUP(A43,HAL!A$2:G$55,5,0)</f>
        <v>67.38</v>
      </c>
      <c r="AY43">
        <f>VLOOKUP(A43,HD!A$2:G$55,5,0)</f>
        <v>92.51</v>
      </c>
      <c r="AZ43">
        <f>VLOOKUP(A43,HON!A$2:G$55,5,0)</f>
        <v>95.3</v>
      </c>
      <c r="BA43">
        <f>VLOOKUP(A43,HPQ!A$2:G$55,5,0)</f>
        <v>37.99</v>
      </c>
      <c r="BB43">
        <f>VLOOKUP(A43,IBM!A$2:G$55,5,0)</f>
        <v>192</v>
      </c>
      <c r="BC43">
        <f>VLOOKUP(A43,INTC!A$2:G$55,5,0)</f>
        <v>34.65</v>
      </c>
      <c r="BD43">
        <f>VLOOKUP(A43,JNJ!A$2:G$55,5,0)</f>
        <v>102.95</v>
      </c>
      <c r="BE43">
        <f>VLOOKUP(A43,JPM!A$2:G$55,5,0)</f>
        <v>59.16</v>
      </c>
      <c r="BF43">
        <f>VLOOKUP(A43,KO!A$2:G$55,5,0)</f>
        <v>41.63</v>
      </c>
      <c r="BG43">
        <f>VLOOKUP(A43,LLY!A$2:G$55,5,0)</f>
        <v>63.11</v>
      </c>
      <c r="BH43">
        <f>VLOOKUP(A43,LMT!A$2:G$55,5,0)</f>
        <v>174.1</v>
      </c>
      <c r="BI43">
        <f>VLOOKUP(A43,LOW!A$2:G$55,5,0)</f>
        <v>52.54</v>
      </c>
      <c r="BJ43">
        <f>VLOOKUP(A43,MA!A$2:G$55,5,0)</f>
        <v>76.16</v>
      </c>
      <c r="BK43">
        <f>VLOOKUP(A43,MCD!A$2:G$55,5,0)</f>
        <v>94.14</v>
      </c>
      <c r="BL43">
        <f>VLOOKUP(A43,MDLZ!A$2:G$55,5,0)</f>
        <v>36.29</v>
      </c>
      <c r="BM43">
        <f>VLOOKUP(A43,MDT!A$2:G$55,5,0)</f>
        <v>63.12</v>
      </c>
      <c r="BN43">
        <f>VLOOKUP(A43,MET!A$2:G$55,5,0)</f>
        <v>54.39</v>
      </c>
      <c r="BO43">
        <f>VLOOKUP(A43,MMM!A$2:G$55,5,0)</f>
        <v>143.97999999999999</v>
      </c>
      <c r="BP43">
        <f>VLOOKUP(A43,MO!A$2:G$55,5,0)</f>
        <v>42.91</v>
      </c>
      <c r="BQ43">
        <f>VLOOKUP(A43,MON!A$2:G$55,5,0)</f>
        <v>115.76</v>
      </c>
      <c r="BR43">
        <f>VLOOKUP(A43,MRK!A$2:G$55,5,0)</f>
        <v>60</v>
      </c>
      <c r="BS43">
        <f>VLOOKUP(A43,MS!A$2:G$55,5,0)</f>
        <v>34.06</v>
      </c>
      <c r="BT43">
        <f>VLOOKUP(A43,MSFT!A$2:G$55,5,0)</f>
        <v>44.88</v>
      </c>
      <c r="BU43">
        <f>VLOOKUP(A43,NKE!A$2:G$55,5,0)</f>
        <v>78.819999999999993</v>
      </c>
      <c r="BV43">
        <f>VLOOKUP(A43,NOV!A$2:G$55,5,0)</f>
        <v>85.42</v>
      </c>
      <c r="BW43">
        <f>VLOOKUP(A43,NSC!A$2:G$55,5,0)</f>
        <v>106.58</v>
      </c>
      <c r="BX43">
        <f>VLOOKUP(A43,ORCL!A$2:G$55,5,0)</f>
        <v>41.27</v>
      </c>
      <c r="BY43">
        <f>VLOOKUP(A43,OXY!A$2:G$55,5,0)</f>
        <v>104.01</v>
      </c>
      <c r="BZ43">
        <f>VLOOKUP(A43,PEP!A$2:G$55,5,0)</f>
        <v>92.58</v>
      </c>
      <c r="CA43">
        <f>VLOOKUP(A43,PFE!A$2:G$55,5,0)</f>
        <v>29.38</v>
      </c>
      <c r="CB43">
        <f>VLOOKUP(A43,PG!A$2:G$55,5,0)</f>
        <v>83.03</v>
      </c>
      <c r="CC43">
        <f>VLOOKUP(A43,PM!A$2:G$55,5,0)</f>
        <v>85.26</v>
      </c>
      <c r="CD43">
        <f>VLOOKUP(A43,QCOM!A$2:G$55,5,0)</f>
        <v>76.34</v>
      </c>
      <c r="CE43">
        <f>VLOOKUP(A43,RTN!A$2:G$55,5,0)</f>
        <v>96.04</v>
      </c>
      <c r="CF43">
        <f>VLOOKUP(A43,SBUX!A$2:G$55,5,0)</f>
        <v>77.81</v>
      </c>
      <c r="CG43">
        <f>VLOOKUP(A43,SLB!A$2:G$55,5,0)</f>
        <v>110.16</v>
      </c>
      <c r="CH43">
        <f>VLOOKUP(A43,SO!A$2:G$55,5,0)</f>
        <v>44.23</v>
      </c>
      <c r="CI43">
        <f>VLOOKUP(A43,SPG!A$2:G$55,5,0)</f>
        <v>168.98</v>
      </c>
      <c r="CJ43">
        <f>VLOOKUP(A43,T!A$2:G$55,5,0)</f>
        <v>34.74</v>
      </c>
      <c r="CK43">
        <f>VLOOKUP(A43,TGT!A$2:G$55,5,0)</f>
        <v>60.35</v>
      </c>
      <c r="CL43">
        <f>VLOOKUP(A43,TWX!A$2:G$55,5,0)</f>
        <v>76.95</v>
      </c>
      <c r="CM43">
        <f>VLOOKUP(A43,TXN!A$2:G$55,5,0)</f>
        <v>48.02</v>
      </c>
      <c r="CN43">
        <f>VLOOKUP(A43,UNH!A$2:G$55,5,0)</f>
        <v>86.34</v>
      </c>
      <c r="CO43">
        <f>VLOOKUP(A43,UNP!A$2:G$55,5,0)</f>
        <v>105.04</v>
      </c>
      <c r="CP43">
        <f>VLOOKUP(A43,UPS!A$2:G$55,5,0)</f>
        <v>97.44</v>
      </c>
      <c r="CQ43">
        <f>VLOOKUP(A43,USB!A$2:G$55,5,0)</f>
        <v>42.06</v>
      </c>
      <c r="CR43">
        <f>VLOOKUP(A43,UTX!A$2:G$55,5,0)</f>
        <v>109.11</v>
      </c>
      <c r="CS43">
        <f>VLOOKUP(A43,V!A$2:G$55,5,0)</f>
        <v>214.6</v>
      </c>
      <c r="CT43">
        <f>VLOOKUP(A43,VZ!A$2:G$55,5,0)</f>
        <v>49.41</v>
      </c>
      <c r="CU43">
        <f>VLOOKUP(A43,WAG!A$2:G$55,5,0)</f>
        <v>60.47</v>
      </c>
      <c r="CV43">
        <f>VLOOKUP(A43,WFC!A$2:G$55,5,0)</f>
        <v>51.15</v>
      </c>
      <c r="CW43">
        <f>VLOOKUP(A43,WMT!A$2:G$55,5,0)</f>
        <v>75.900000000000006</v>
      </c>
    </row>
    <row r="44" spans="1:101" x14ac:dyDescent="0.25">
      <c r="A44" s="34">
        <v>41880</v>
      </c>
      <c r="B44" s="36">
        <v>102.5</v>
      </c>
      <c r="C44">
        <f>VLOOKUP(A44,ABBV!A$2:G$55,5,0)</f>
        <v>55.28</v>
      </c>
      <c r="D44">
        <f>VLOOKUP(A44,ABT!A$2:G$55,5,0)</f>
        <v>42.24</v>
      </c>
      <c r="E44">
        <f>VLOOKUP(A44,ACN!A$2:G$55,5,0)</f>
        <v>81.06</v>
      </c>
      <c r="F44">
        <f>VLOOKUP(A44,AIG!A$2:G$55,5,0)</f>
        <v>56.06</v>
      </c>
      <c r="G44">
        <f>VLOOKUP(A44,ALL!A$2:G$55,5,0)</f>
        <v>61.49</v>
      </c>
      <c r="H44">
        <f>VLOOKUP(A44,AMGN!A$2:G$55,5,0)</f>
        <v>139.38</v>
      </c>
      <c r="I44">
        <f>VLOOKUP(A44,AMZN!A$2:G$55,5,0)</f>
        <v>339.04</v>
      </c>
      <c r="J44">
        <f>VLOOKUP(A44,APA!A$2:G$55,5,0)</f>
        <v>101.83</v>
      </c>
      <c r="K44">
        <f>VLOOKUP(A44,APC!A$2:G$55,5,0)</f>
        <v>112.69</v>
      </c>
      <c r="L44">
        <f>VLOOKUP(A44,AXP!A$2:G$55,5,0)</f>
        <v>89.55</v>
      </c>
      <c r="M44">
        <f>VLOOKUP(A44,BA!A$2:G$55,5,0)</f>
        <v>126.8</v>
      </c>
      <c r="N44">
        <f>VLOOKUP(A44,BAC!A$2:G$55,5,0)</f>
        <v>16.09</v>
      </c>
      <c r="O44">
        <f>VLOOKUP(A44,BAX!A$2:G$55,5,0)</f>
        <v>74.98</v>
      </c>
      <c r="P44">
        <f>VLOOKUP(A44,BIIB!A$2:G$55,5,0)</f>
        <v>343.04</v>
      </c>
      <c r="Q44">
        <f>VLOOKUP(A44,BK!A$2:G$55,5,0)</f>
        <v>39.18</v>
      </c>
      <c r="R44">
        <f>VLOOKUP(A44,BMY!A$2:G$55,5,0)</f>
        <v>50.65</v>
      </c>
      <c r="T44">
        <f>VLOOKUP(A44,'C'!A$2:G$55,5,0)</f>
        <v>51.65</v>
      </c>
      <c r="U44">
        <f>VLOOKUP(A44,CAT!A$2:G$55,5,0)</f>
        <v>109.07</v>
      </c>
      <c r="V44">
        <f>VLOOKUP(A44,CL!A$2:G$55,5,0)</f>
        <v>64.73</v>
      </c>
      <c r="W44">
        <f>VLOOKUP(A44,CMCSA!A$2:G$55,5,0)</f>
        <v>54.72</v>
      </c>
      <c r="X44">
        <f>VLOOKUP(A44,COF!A$2:G$55,5,0)</f>
        <v>82.06</v>
      </c>
      <c r="Y44">
        <f>VLOOKUP(A44,COP!A$2:G$55,5,0)</f>
        <v>81.22</v>
      </c>
      <c r="Z44">
        <f>VLOOKUP(A44,COST!A$2:G$55,5,0)</f>
        <v>121.08</v>
      </c>
      <c r="AA44">
        <f>VLOOKUP(A44,CSCO!A$2:G$55,5,0)</f>
        <v>24.99</v>
      </c>
      <c r="AB44">
        <f>VLOOKUP(A44,CVS!A$2:G$55,5,0)</f>
        <v>79.45</v>
      </c>
      <c r="AC44">
        <f>VLOOKUP(A44,CVX!A$2:G$55,5,0)</f>
        <v>129.44999999999999</v>
      </c>
      <c r="AD44">
        <f>VLOOKUP(A44,DD!A$2:G$55,5,0)</f>
        <v>66.11</v>
      </c>
      <c r="AE44">
        <f>VLOOKUP(A44,DIS!A$2:G$55,5,0)</f>
        <v>89.88</v>
      </c>
      <c r="AF44">
        <f>VLOOKUP(A44,DOW!A$2:G$55,5,0)</f>
        <v>53.55</v>
      </c>
      <c r="AG44">
        <f>VLOOKUP(A44,DVN!A$2:G$55,5,0)</f>
        <v>75.42</v>
      </c>
      <c r="AH44">
        <f>VLOOKUP(A44,EBAY!A$2:G$55,5,0)</f>
        <v>55.5</v>
      </c>
      <c r="AI44">
        <f>VLOOKUP(A44,EMC!A$2:G$55,5,0)</f>
        <v>29.53</v>
      </c>
      <c r="AJ44">
        <f>VLOOKUP(A44,EMR!A$2:G$55,5,0)</f>
        <v>64.02</v>
      </c>
      <c r="AK44">
        <f>VLOOKUP(A44,EXC!A$2:G$55,5,0)</f>
        <v>33.42</v>
      </c>
      <c r="AL44">
        <f>VLOOKUP(A44,F!A$2:G$55,5,0)</f>
        <v>17.41</v>
      </c>
      <c r="AM44">
        <f>VLOOKUP(A44,FB!A$2:G$55,5,0)</f>
        <v>74.819999999999993</v>
      </c>
      <c r="AN44">
        <f>VLOOKUP(A44,FCX!A$2:G$55,5,0)</f>
        <v>36.369999999999997</v>
      </c>
      <c r="AO44">
        <f>VLOOKUP(A44,FDX!A$2:G$55,5,0)</f>
        <v>147.88</v>
      </c>
      <c r="AP44">
        <f>VLOOKUP(A44,FOXA!A$2:G$55,5,0)</f>
        <v>35.42</v>
      </c>
      <c r="AQ44">
        <f>VLOOKUP(A44,GD!A$2:G$55,5,0)</f>
        <v>123.25</v>
      </c>
      <c r="AR44">
        <f>VLOOKUP(A44,GE!A$2:G$55,5,0)</f>
        <v>25.98</v>
      </c>
      <c r="AS44">
        <f>VLOOKUP(A44,GILD!A$2:G$55,5,0)</f>
        <v>107.56</v>
      </c>
      <c r="AT44">
        <f>VLOOKUP(A44,GM!A$2:G$55,5,0)</f>
        <v>34.799999999999997</v>
      </c>
      <c r="AU44">
        <f>VLOOKUP(A44,GOOG!A$2:G$55,5,0)</f>
        <v>571.6</v>
      </c>
      <c r="AV44">
        <f>VLOOKUP(A44,GOOGL!A$2:G$55,5,0)</f>
        <v>582.36</v>
      </c>
      <c r="AW44">
        <f>VLOOKUP(A44,GS!A$2:G$55,5,0)</f>
        <v>179.11</v>
      </c>
      <c r="AX44">
        <f>VLOOKUP(A44,HAL!A$2:G$55,5,0)</f>
        <v>67.61</v>
      </c>
      <c r="AY44">
        <f>VLOOKUP(A44,HD!A$2:G$55,5,0)</f>
        <v>93.5</v>
      </c>
      <c r="AZ44">
        <f>VLOOKUP(A44,HON!A$2:G$55,5,0)</f>
        <v>95.23</v>
      </c>
      <c r="BA44">
        <f>VLOOKUP(A44,HPQ!A$2:G$55,5,0)</f>
        <v>38</v>
      </c>
      <c r="BB44">
        <f>VLOOKUP(A44,IBM!A$2:G$55,5,0)</f>
        <v>192.3</v>
      </c>
      <c r="BC44">
        <f>VLOOKUP(A44,INTC!A$2:G$55,5,0)</f>
        <v>34.92</v>
      </c>
      <c r="BD44">
        <f>VLOOKUP(A44,JNJ!A$2:G$55,5,0)</f>
        <v>103.73</v>
      </c>
      <c r="BE44">
        <f>VLOOKUP(A44,JPM!A$2:G$55,5,0)</f>
        <v>59.45</v>
      </c>
      <c r="BF44">
        <f>VLOOKUP(A44,KO!A$2:G$55,5,0)</f>
        <v>41.72</v>
      </c>
      <c r="BG44">
        <f>VLOOKUP(A44,LLY!A$2:G$55,5,0)</f>
        <v>63.56</v>
      </c>
      <c r="BH44">
        <f>VLOOKUP(A44,LMT!A$2:G$55,5,0)</f>
        <v>174</v>
      </c>
      <c r="BI44">
        <f>VLOOKUP(A44,LOW!A$2:G$55,5,0)</f>
        <v>52.51</v>
      </c>
      <c r="BJ44">
        <f>VLOOKUP(A44,MA!A$2:G$55,5,0)</f>
        <v>75.81</v>
      </c>
      <c r="BK44">
        <f>VLOOKUP(A44,MCD!A$2:G$55,5,0)</f>
        <v>93.72</v>
      </c>
      <c r="BL44">
        <f>VLOOKUP(A44,MDLZ!A$2:G$55,5,0)</f>
        <v>36.19</v>
      </c>
      <c r="BM44">
        <f>VLOOKUP(A44,MDT!A$2:G$55,5,0)</f>
        <v>63.85</v>
      </c>
      <c r="BN44">
        <f>VLOOKUP(A44,MET!A$2:G$55,5,0)</f>
        <v>54.74</v>
      </c>
      <c r="BO44">
        <f>VLOOKUP(A44,MMM!A$2:G$55,5,0)</f>
        <v>144</v>
      </c>
      <c r="BP44">
        <f>VLOOKUP(A44,MO!A$2:G$55,5,0)</f>
        <v>43.08</v>
      </c>
      <c r="BQ44">
        <f>VLOOKUP(A44,MON!A$2:G$55,5,0)</f>
        <v>115.65</v>
      </c>
      <c r="BR44">
        <f>VLOOKUP(A44,MRK!A$2:G$55,5,0)</f>
        <v>60.11</v>
      </c>
      <c r="BS44">
        <f>VLOOKUP(A44,MS!A$2:G$55,5,0)</f>
        <v>34.31</v>
      </c>
      <c r="BT44">
        <f>VLOOKUP(A44,MSFT!A$2:G$55,5,0)</f>
        <v>45.43</v>
      </c>
      <c r="BU44">
        <f>VLOOKUP(A44,NKE!A$2:G$55,5,0)</f>
        <v>78.55</v>
      </c>
      <c r="BV44">
        <f>VLOOKUP(A44,NOV!A$2:G$55,5,0)</f>
        <v>86.43</v>
      </c>
      <c r="BW44">
        <f>VLOOKUP(A44,NSC!A$2:G$55,5,0)</f>
        <v>107</v>
      </c>
      <c r="BX44">
        <f>VLOOKUP(A44,ORCL!A$2:G$55,5,0)</f>
        <v>41.53</v>
      </c>
      <c r="BY44">
        <f>VLOOKUP(A44,OXY!A$2:G$55,5,0)</f>
        <v>103.73</v>
      </c>
      <c r="BZ44">
        <f>VLOOKUP(A44,PEP!A$2:G$55,5,0)</f>
        <v>92.49</v>
      </c>
      <c r="CA44">
        <f>VLOOKUP(A44,PFE!A$2:G$55,5,0)</f>
        <v>29.39</v>
      </c>
      <c r="CB44">
        <f>VLOOKUP(A44,PG!A$2:G$55,5,0)</f>
        <v>83.11</v>
      </c>
      <c r="CC44">
        <f>VLOOKUP(A44,PM!A$2:G$55,5,0)</f>
        <v>85.58</v>
      </c>
      <c r="CD44">
        <f>VLOOKUP(A44,QCOM!A$2:G$55,5,0)</f>
        <v>76.099999999999994</v>
      </c>
      <c r="CE44">
        <f>VLOOKUP(A44,RTN!A$2:G$55,5,0)</f>
        <v>96.34</v>
      </c>
      <c r="CF44">
        <f>VLOOKUP(A44,SBUX!A$2:G$55,5,0)</f>
        <v>77.81</v>
      </c>
      <c r="CG44">
        <f>VLOOKUP(A44,SLB!A$2:G$55,5,0)</f>
        <v>109.64</v>
      </c>
      <c r="CH44">
        <f>VLOOKUP(A44,SO!A$2:G$55,5,0)</f>
        <v>44.4</v>
      </c>
      <c r="CI44">
        <f>VLOOKUP(A44,SPG!A$2:G$55,5,0)</f>
        <v>170.03</v>
      </c>
      <c r="CJ44">
        <f>VLOOKUP(A44,T!A$2:G$55,5,0)</f>
        <v>34.96</v>
      </c>
      <c r="CK44">
        <f>VLOOKUP(A44,TGT!A$2:G$55,5,0)</f>
        <v>60.07</v>
      </c>
      <c r="CL44">
        <f>VLOOKUP(A44,TWX!A$2:G$55,5,0)</f>
        <v>77.03</v>
      </c>
      <c r="CM44">
        <f>VLOOKUP(A44,TXN!A$2:G$55,5,0)</f>
        <v>48.18</v>
      </c>
      <c r="CN44">
        <f>VLOOKUP(A44,UNH!A$2:G$55,5,0)</f>
        <v>86.68</v>
      </c>
      <c r="CO44">
        <f>VLOOKUP(A44,UNP!A$2:G$55,5,0)</f>
        <v>105.27</v>
      </c>
      <c r="CP44">
        <f>VLOOKUP(A44,UPS!A$2:G$55,5,0)</f>
        <v>97.33</v>
      </c>
      <c r="CQ44">
        <f>VLOOKUP(A44,USB!A$2:G$55,5,0)</f>
        <v>42.28</v>
      </c>
      <c r="CR44">
        <f>VLOOKUP(A44,UTX!A$2:G$55,5,0)</f>
        <v>107.98</v>
      </c>
      <c r="CS44">
        <f>VLOOKUP(A44,V!A$2:G$55,5,0)</f>
        <v>212.52</v>
      </c>
      <c r="CT44">
        <f>VLOOKUP(A44,VZ!A$2:G$55,5,0)</f>
        <v>49.82</v>
      </c>
      <c r="CU44">
        <f>VLOOKUP(A44,WAG!A$2:G$55,5,0)</f>
        <v>60.52</v>
      </c>
      <c r="CV44">
        <f>VLOOKUP(A44,WFC!A$2:G$55,5,0)</f>
        <v>51.44</v>
      </c>
      <c r="CW44">
        <f>VLOOKUP(A44,WMT!A$2:G$55,5,0)</f>
        <v>75.5</v>
      </c>
    </row>
    <row r="45" spans="1:101" x14ac:dyDescent="0.25">
      <c r="A45" s="34">
        <v>41884</v>
      </c>
      <c r="B45" s="36">
        <v>103.3</v>
      </c>
      <c r="C45">
        <f>VLOOKUP(A45,ABBV!A$2:G$55,5,0)</f>
        <v>55.07</v>
      </c>
      <c r="D45">
        <f>VLOOKUP(A45,ABT!A$2:G$55,5,0)</f>
        <v>42.23</v>
      </c>
      <c r="E45">
        <f>VLOOKUP(A45,ACN!A$2:G$55,5,0)</f>
        <v>81.12</v>
      </c>
      <c r="F45">
        <f>VLOOKUP(A45,AIG!A$2:G$55,5,0)</f>
        <v>55.8</v>
      </c>
      <c r="G45">
        <f>VLOOKUP(A45,ALL!A$2:G$55,5,0)</f>
        <v>61.83</v>
      </c>
      <c r="H45">
        <f>VLOOKUP(A45,AMGN!A$2:G$55,5,0)</f>
        <v>137.96</v>
      </c>
      <c r="I45">
        <f>VLOOKUP(A45,AMZN!A$2:G$55,5,0)</f>
        <v>342.38</v>
      </c>
      <c r="J45">
        <f>VLOOKUP(A45,APA!A$2:G$55,5,0)</f>
        <v>100.16</v>
      </c>
      <c r="K45">
        <f>VLOOKUP(A45,APC!A$2:G$55,5,0)</f>
        <v>111.57</v>
      </c>
      <c r="L45">
        <f>VLOOKUP(A45,AXP!A$2:G$55,5,0)</f>
        <v>89.72</v>
      </c>
      <c r="M45">
        <f>VLOOKUP(A45,BA!A$2:G$55,5,0)</f>
        <v>125.48</v>
      </c>
      <c r="N45">
        <f>VLOOKUP(A45,BAC!A$2:G$55,5,0)</f>
        <v>16.27</v>
      </c>
      <c r="O45">
        <f>VLOOKUP(A45,BAX!A$2:G$55,5,0)</f>
        <v>74.290000000000006</v>
      </c>
      <c r="P45">
        <f>VLOOKUP(A45,BIIB!A$2:G$55,5,0)</f>
        <v>342.68</v>
      </c>
      <c r="Q45">
        <f>VLOOKUP(A45,BK!A$2:G$55,5,0)</f>
        <v>39.65</v>
      </c>
      <c r="R45">
        <f>VLOOKUP(A45,BMY!A$2:G$55,5,0)</f>
        <v>50.58</v>
      </c>
      <c r="T45">
        <f>VLOOKUP(A45,'C'!A$2:G$55,5,0)</f>
        <v>51.96</v>
      </c>
      <c r="U45">
        <f>VLOOKUP(A45,CAT!A$2:G$55,5,0)</f>
        <v>108.92</v>
      </c>
      <c r="V45">
        <f>VLOOKUP(A45,CL!A$2:G$55,5,0)</f>
        <v>64.42</v>
      </c>
      <c r="W45">
        <f>VLOOKUP(A45,CMCSA!A$2:G$55,5,0)</f>
        <v>54.78</v>
      </c>
      <c r="X45">
        <f>VLOOKUP(A45,COF!A$2:G$55,5,0)</f>
        <v>82.58</v>
      </c>
      <c r="Y45">
        <f>VLOOKUP(A45,COP!A$2:G$55,5,0)</f>
        <v>80.22</v>
      </c>
      <c r="Z45">
        <f>VLOOKUP(A45,COST!A$2:G$55,5,0)</f>
        <v>121.56</v>
      </c>
      <c r="AA45">
        <f>VLOOKUP(A45,CSCO!A$2:G$55,5,0)</f>
        <v>24.88</v>
      </c>
      <c r="AB45">
        <f>VLOOKUP(A45,CVS!A$2:G$55,5,0)</f>
        <v>79.73</v>
      </c>
      <c r="AC45">
        <f>VLOOKUP(A45,CVX!A$2:G$55,5,0)</f>
        <v>127.54</v>
      </c>
      <c r="AD45">
        <f>VLOOKUP(A45,DD!A$2:G$55,5,0)</f>
        <v>65.83</v>
      </c>
      <c r="AE45">
        <f>VLOOKUP(A45,DIS!A$2:G$55,5,0)</f>
        <v>90.8</v>
      </c>
      <c r="AF45">
        <f>VLOOKUP(A45,DOW!A$2:G$55,5,0)</f>
        <v>53.55</v>
      </c>
      <c r="AG45">
        <f>VLOOKUP(A45,DVN!A$2:G$55,5,0)</f>
        <v>74.08</v>
      </c>
      <c r="AH45">
        <f>VLOOKUP(A45,EBAY!A$2:G$55,5,0)</f>
        <v>54.88</v>
      </c>
      <c r="AI45">
        <f>VLOOKUP(A45,EMC!A$2:G$55,5,0)</f>
        <v>29.43</v>
      </c>
      <c r="AJ45">
        <f>VLOOKUP(A45,EMR!A$2:G$55,5,0)</f>
        <v>64.31</v>
      </c>
      <c r="AK45">
        <f>VLOOKUP(A45,EXC!A$2:G$55,5,0)</f>
        <v>32.83</v>
      </c>
      <c r="AL45">
        <f>VLOOKUP(A45,F!A$2:G$55,5,0)</f>
        <v>17.600000000000001</v>
      </c>
      <c r="AM45">
        <f>VLOOKUP(A45,FB!A$2:G$55,5,0)</f>
        <v>76.680000000000007</v>
      </c>
      <c r="AN45">
        <f>VLOOKUP(A45,FCX!A$2:G$55,5,0)</f>
        <v>35.49</v>
      </c>
      <c r="AO45">
        <f>VLOOKUP(A45,FDX!A$2:G$55,5,0)</f>
        <v>150.4</v>
      </c>
      <c r="AP45">
        <f>VLOOKUP(A45,FOXA!A$2:G$55,5,0)</f>
        <v>35.93</v>
      </c>
      <c r="AQ45">
        <f>VLOOKUP(A45,GD!A$2:G$55,5,0)</f>
        <v>122.66</v>
      </c>
      <c r="AR45">
        <f>VLOOKUP(A45,GE!A$2:G$55,5,0)</f>
        <v>25.85</v>
      </c>
      <c r="AS45">
        <f>VLOOKUP(A45,GILD!A$2:G$55,5,0)</f>
        <v>109.36</v>
      </c>
      <c r="AT45">
        <f>VLOOKUP(A45,GM!A$2:G$55,5,0)</f>
        <v>34.799999999999997</v>
      </c>
      <c r="AU45">
        <f>VLOOKUP(A45,GOOG!A$2:G$55,5,0)</f>
        <v>577.33000000000004</v>
      </c>
      <c r="AV45">
        <f>VLOOKUP(A45,GOOGL!A$2:G$55,5,0)</f>
        <v>588.63</v>
      </c>
      <c r="AW45">
        <f>VLOOKUP(A45,GS!A$2:G$55,5,0)</f>
        <v>179.77</v>
      </c>
      <c r="AX45">
        <f>VLOOKUP(A45,HAL!A$2:G$55,5,0)</f>
        <v>67.489999999999995</v>
      </c>
      <c r="AY45">
        <f>VLOOKUP(A45,HD!A$2:G$55,5,0)</f>
        <v>91.15</v>
      </c>
      <c r="AZ45">
        <f>VLOOKUP(A45,HON!A$2:G$55,5,0)</f>
        <v>95.5</v>
      </c>
      <c r="BA45">
        <f>VLOOKUP(A45,HPQ!A$2:G$55,5,0)</f>
        <v>38.049999999999997</v>
      </c>
      <c r="BB45">
        <f>VLOOKUP(A45,IBM!A$2:G$55,5,0)</f>
        <v>191.56</v>
      </c>
      <c r="BC45">
        <f>VLOOKUP(A45,INTC!A$2:G$55,5,0)</f>
        <v>34.57</v>
      </c>
      <c r="BD45">
        <f>VLOOKUP(A45,JNJ!A$2:G$55,5,0)</f>
        <v>103.36</v>
      </c>
      <c r="BE45">
        <f>VLOOKUP(A45,JPM!A$2:G$55,5,0)</f>
        <v>59.67</v>
      </c>
      <c r="BF45">
        <f>VLOOKUP(A45,KO!A$2:G$55,5,0)</f>
        <v>41.64</v>
      </c>
      <c r="BG45">
        <f>VLOOKUP(A45,LLY!A$2:G$55,5,0)</f>
        <v>63.68</v>
      </c>
      <c r="BH45">
        <f>VLOOKUP(A45,LMT!A$2:G$55,5,0)</f>
        <v>173.8</v>
      </c>
      <c r="BI45">
        <f>VLOOKUP(A45,LOW!A$2:G$55,5,0)</f>
        <v>52.61</v>
      </c>
      <c r="BJ45">
        <f>VLOOKUP(A45,MA!A$2:G$55,5,0)</f>
        <v>75.58</v>
      </c>
      <c r="BK45">
        <f>VLOOKUP(A45,MCD!A$2:G$55,5,0)</f>
        <v>92.8</v>
      </c>
      <c r="BL45">
        <f>VLOOKUP(A45,MDLZ!A$2:G$55,5,0)</f>
        <v>35.74</v>
      </c>
      <c r="BM45">
        <f>VLOOKUP(A45,MDT!A$2:G$55,5,0)</f>
        <v>63.91</v>
      </c>
      <c r="BN45">
        <f>VLOOKUP(A45,MET!A$2:G$55,5,0)</f>
        <v>55.34</v>
      </c>
      <c r="BO45">
        <f>VLOOKUP(A45,MMM!A$2:G$55,5,0)</f>
        <v>144.22</v>
      </c>
      <c r="BP45">
        <f>VLOOKUP(A45,MO!A$2:G$55,5,0)</f>
        <v>43.19</v>
      </c>
      <c r="BQ45">
        <f>VLOOKUP(A45,MON!A$2:G$55,5,0)</f>
        <v>114.94</v>
      </c>
      <c r="BR45">
        <f>VLOOKUP(A45,MRK!A$2:G$55,5,0)</f>
        <v>59.79</v>
      </c>
      <c r="BS45">
        <f>VLOOKUP(A45,MS!A$2:G$55,5,0)</f>
        <v>34.549999999999997</v>
      </c>
      <c r="BT45">
        <f>VLOOKUP(A45,MSFT!A$2:G$55,5,0)</f>
        <v>45.09</v>
      </c>
      <c r="BU45">
        <f>VLOOKUP(A45,NKE!A$2:G$55,5,0)</f>
        <v>79.28</v>
      </c>
      <c r="BV45">
        <f>VLOOKUP(A45,NOV!A$2:G$55,5,0)</f>
        <v>84.63</v>
      </c>
      <c r="BW45">
        <f>VLOOKUP(A45,NSC!A$2:G$55,5,0)</f>
        <v>107.01</v>
      </c>
      <c r="BX45">
        <f>VLOOKUP(A45,ORCL!A$2:G$55,5,0)</f>
        <v>41.66</v>
      </c>
      <c r="BY45">
        <f>VLOOKUP(A45,OXY!A$2:G$55,5,0)</f>
        <v>102.36</v>
      </c>
      <c r="BZ45">
        <f>VLOOKUP(A45,PEP!A$2:G$55,5,0)</f>
        <v>92.48</v>
      </c>
      <c r="CA45">
        <f>VLOOKUP(A45,PFE!A$2:G$55,5,0)</f>
        <v>29.26</v>
      </c>
      <c r="CB45">
        <f>VLOOKUP(A45,PG!A$2:G$55,5,0)</f>
        <v>82.98</v>
      </c>
      <c r="CC45">
        <f>VLOOKUP(A45,PM!A$2:G$55,5,0)</f>
        <v>85.49</v>
      </c>
      <c r="CD45">
        <f>VLOOKUP(A45,QCOM!A$2:G$55,5,0)</f>
        <v>75.06</v>
      </c>
      <c r="CE45">
        <f>VLOOKUP(A45,RTN!A$2:G$55,5,0)</f>
        <v>96.48</v>
      </c>
      <c r="CF45">
        <f>VLOOKUP(A45,SBUX!A$2:G$55,5,0)</f>
        <v>77.48</v>
      </c>
      <c r="CG45">
        <f>VLOOKUP(A45,SLB!A$2:G$55,5,0)</f>
        <v>108.06</v>
      </c>
      <c r="CH45">
        <f>VLOOKUP(A45,SO!A$2:G$55,5,0)</f>
        <v>43.8</v>
      </c>
      <c r="CI45">
        <f>VLOOKUP(A45,SPG!A$2:G$55,5,0)</f>
        <v>170.12</v>
      </c>
      <c r="CJ45">
        <f>VLOOKUP(A45,T!A$2:G$55,5,0)</f>
        <v>34.840000000000003</v>
      </c>
      <c r="CK45">
        <f>VLOOKUP(A45,TGT!A$2:G$55,5,0)</f>
        <v>60.19</v>
      </c>
      <c r="CL45">
        <f>VLOOKUP(A45,TWX!A$2:G$55,5,0)</f>
        <v>77.319999999999993</v>
      </c>
      <c r="CM45">
        <f>VLOOKUP(A45,TXN!A$2:G$55,5,0)</f>
        <v>47.91</v>
      </c>
      <c r="CN45">
        <f>VLOOKUP(A45,UNH!A$2:G$55,5,0)</f>
        <v>86.39</v>
      </c>
      <c r="CO45">
        <f>VLOOKUP(A45,UNP!A$2:G$55,5,0)</f>
        <v>106.21</v>
      </c>
      <c r="CP45">
        <f>VLOOKUP(A45,UPS!A$2:G$55,5,0)</f>
        <v>97.95</v>
      </c>
      <c r="CQ45">
        <f>VLOOKUP(A45,USB!A$2:G$55,5,0)</f>
        <v>42.27</v>
      </c>
      <c r="CR45">
        <f>VLOOKUP(A45,UTX!A$2:G$55,5,0)</f>
        <v>109.04</v>
      </c>
      <c r="CS45">
        <f>VLOOKUP(A45,V!A$2:G$55,5,0)</f>
        <v>214.73</v>
      </c>
      <c r="CT45">
        <f>VLOOKUP(A45,VZ!A$2:G$55,5,0)</f>
        <v>49.77</v>
      </c>
      <c r="CU45">
        <f>VLOOKUP(A45,WAG!A$2:G$55,5,0)</f>
        <v>60.01</v>
      </c>
      <c r="CV45">
        <f>VLOOKUP(A45,WFC!A$2:G$55,5,0)</f>
        <v>51.57</v>
      </c>
      <c r="CW45">
        <f>VLOOKUP(A45,WMT!A$2:G$55,5,0)</f>
        <v>75.75</v>
      </c>
    </row>
    <row r="46" spans="1:101" x14ac:dyDescent="0.25">
      <c r="A46" s="34">
        <v>41885</v>
      </c>
      <c r="B46" s="36">
        <v>98.94</v>
      </c>
      <c r="C46">
        <f>VLOOKUP(A46,ABBV!A$2:G$55,5,0)</f>
        <v>55.51</v>
      </c>
      <c r="D46">
        <f>VLOOKUP(A46,ABT!A$2:G$55,5,0)</f>
        <v>42.76</v>
      </c>
      <c r="E46">
        <f>VLOOKUP(A46,ACN!A$2:G$55,5,0)</f>
        <v>81.86</v>
      </c>
      <c r="F46">
        <f>VLOOKUP(A46,AIG!A$2:G$55,5,0)</f>
        <v>55.58</v>
      </c>
      <c r="G46">
        <f>VLOOKUP(A46,ALL!A$2:G$55,5,0)</f>
        <v>61.64</v>
      </c>
      <c r="H46">
        <f>VLOOKUP(A46,AMGN!A$2:G$55,5,0)</f>
        <v>138.58000000000001</v>
      </c>
      <c r="I46">
        <f>VLOOKUP(A46,AMZN!A$2:G$55,5,0)</f>
        <v>339</v>
      </c>
      <c r="J46">
        <f>VLOOKUP(A46,APA!A$2:G$55,5,0)</f>
        <v>100.36</v>
      </c>
      <c r="K46">
        <f>VLOOKUP(A46,APC!A$2:G$55,5,0)</f>
        <v>111.48</v>
      </c>
      <c r="L46">
        <f>VLOOKUP(A46,AXP!A$2:G$55,5,0)</f>
        <v>90.14</v>
      </c>
      <c r="M46">
        <f>VLOOKUP(A46,BA!A$2:G$55,5,0)</f>
        <v>125.94</v>
      </c>
      <c r="N46">
        <f>VLOOKUP(A46,BAC!A$2:G$55,5,0)</f>
        <v>16.100000000000001</v>
      </c>
      <c r="O46">
        <f>VLOOKUP(A46,BAX!A$2:G$55,5,0)</f>
        <v>73.97</v>
      </c>
      <c r="P46">
        <f>VLOOKUP(A46,BIIB!A$2:G$55,5,0)</f>
        <v>344.12</v>
      </c>
      <c r="Q46">
        <f>VLOOKUP(A46,BK!A$2:G$55,5,0)</f>
        <v>39.520000000000003</v>
      </c>
      <c r="R46">
        <f>VLOOKUP(A46,BMY!A$2:G$55,5,0)</f>
        <v>50.53</v>
      </c>
      <c r="T46">
        <f>VLOOKUP(A46,'C'!A$2:G$55,5,0)</f>
        <v>52.23</v>
      </c>
      <c r="U46">
        <f>VLOOKUP(A46,CAT!A$2:G$55,5,0)</f>
        <v>108.46</v>
      </c>
      <c r="V46">
        <f>VLOOKUP(A46,CL!A$2:G$55,5,0)</f>
        <v>64.42</v>
      </c>
      <c r="W46">
        <f>VLOOKUP(A46,CMCSA!A$2:G$55,5,0)</f>
        <v>54.87</v>
      </c>
      <c r="X46">
        <f>VLOOKUP(A46,COF!A$2:G$55,5,0)</f>
        <v>82.53</v>
      </c>
      <c r="Y46">
        <f>VLOOKUP(A46,COP!A$2:G$55,5,0)</f>
        <v>80.900000000000006</v>
      </c>
      <c r="Z46">
        <f>VLOOKUP(A46,COST!A$2:G$55,5,0)</f>
        <v>121.35</v>
      </c>
      <c r="AA46">
        <f>VLOOKUP(A46,CSCO!A$2:G$55,5,0)</f>
        <v>25.04</v>
      </c>
      <c r="AB46">
        <f>VLOOKUP(A46,CVS!A$2:G$55,5,0)</f>
        <v>80.36</v>
      </c>
      <c r="AC46">
        <f>VLOOKUP(A46,CVX!A$2:G$55,5,0)</f>
        <v>127.86</v>
      </c>
      <c r="AD46">
        <f>VLOOKUP(A46,DD!A$2:G$55,5,0)</f>
        <v>65.819999999999993</v>
      </c>
      <c r="AE46">
        <f>VLOOKUP(A46,DIS!A$2:G$55,5,0)</f>
        <v>90.94</v>
      </c>
      <c r="AF46">
        <f>VLOOKUP(A46,DOW!A$2:G$55,5,0)</f>
        <v>53.9</v>
      </c>
      <c r="AG46">
        <f>VLOOKUP(A46,DVN!A$2:G$55,5,0)</f>
        <v>74.180000000000007</v>
      </c>
      <c r="AH46">
        <f>VLOOKUP(A46,EBAY!A$2:G$55,5,0)</f>
        <v>54.55</v>
      </c>
      <c r="AI46">
        <f>VLOOKUP(A46,EMC!A$2:G$55,5,0)</f>
        <v>29.54</v>
      </c>
      <c r="AJ46">
        <f>VLOOKUP(A46,EMR!A$2:G$55,5,0)</f>
        <v>64.290000000000006</v>
      </c>
      <c r="AK46">
        <f>VLOOKUP(A46,EXC!A$2:G$55,5,0)</f>
        <v>33.26</v>
      </c>
      <c r="AL46">
        <f>VLOOKUP(A46,F!A$2:G$55,5,0)</f>
        <v>17.47</v>
      </c>
      <c r="AM46">
        <f>VLOOKUP(A46,FB!A$2:G$55,5,0)</f>
        <v>75.83</v>
      </c>
      <c r="AN46">
        <f>VLOOKUP(A46,FCX!A$2:G$55,5,0)</f>
        <v>35.299999999999997</v>
      </c>
      <c r="AO46">
        <f>VLOOKUP(A46,FDX!A$2:G$55,5,0)</f>
        <v>151.71</v>
      </c>
      <c r="AP46">
        <f>VLOOKUP(A46,FOXA!A$2:G$55,5,0)</f>
        <v>36.299999999999997</v>
      </c>
      <c r="AQ46">
        <f>VLOOKUP(A46,GD!A$2:G$55,5,0)</f>
        <v>124.93</v>
      </c>
      <c r="AR46">
        <f>VLOOKUP(A46,GE!A$2:G$55,5,0)</f>
        <v>25.95</v>
      </c>
      <c r="AS46">
        <f>VLOOKUP(A46,GILD!A$2:G$55,5,0)</f>
        <v>109.43</v>
      </c>
      <c r="AT46">
        <f>VLOOKUP(A46,GM!A$2:G$55,5,0)</f>
        <v>34.47</v>
      </c>
      <c r="AU46">
        <f>VLOOKUP(A46,GOOG!A$2:G$55,5,0)</f>
        <v>577.94000000000005</v>
      </c>
      <c r="AV46">
        <f>VLOOKUP(A46,GOOGL!A$2:G$55,5,0)</f>
        <v>589.52</v>
      </c>
      <c r="AW46">
        <f>VLOOKUP(A46,GS!A$2:G$55,5,0)</f>
        <v>179.6</v>
      </c>
      <c r="AX46">
        <f>VLOOKUP(A46,HAL!A$2:G$55,5,0)</f>
        <v>67.58</v>
      </c>
      <c r="AY46">
        <f>VLOOKUP(A46,HD!A$2:G$55,5,0)</f>
        <v>89</v>
      </c>
      <c r="AZ46">
        <f>VLOOKUP(A46,HON!A$2:G$55,5,0)</f>
        <v>95.46</v>
      </c>
      <c r="BA46">
        <f>VLOOKUP(A46,HPQ!A$2:G$55,5,0)</f>
        <v>38.07</v>
      </c>
      <c r="BB46">
        <f>VLOOKUP(A46,IBM!A$2:G$55,5,0)</f>
        <v>191.95</v>
      </c>
      <c r="BC46">
        <f>VLOOKUP(A46,INTC!A$2:G$55,5,0)</f>
        <v>34.57</v>
      </c>
      <c r="BD46">
        <f>VLOOKUP(A46,JNJ!A$2:G$55,5,0)</f>
        <v>103.76</v>
      </c>
      <c r="BE46">
        <f>VLOOKUP(A46,JPM!A$2:G$55,5,0)</f>
        <v>59.7</v>
      </c>
      <c r="BF46">
        <f>VLOOKUP(A46,KO!A$2:G$55,5,0)</f>
        <v>41.78</v>
      </c>
      <c r="BG46">
        <f>VLOOKUP(A46,LLY!A$2:G$55,5,0)</f>
        <v>64.150000000000006</v>
      </c>
      <c r="BH46">
        <f>VLOOKUP(A46,LMT!A$2:G$55,5,0)</f>
        <v>173.5</v>
      </c>
      <c r="BI46">
        <f>VLOOKUP(A46,LOW!A$2:G$55,5,0)</f>
        <v>52.91</v>
      </c>
      <c r="BJ46">
        <f>VLOOKUP(A46,MA!A$2:G$55,5,0)</f>
        <v>75.94</v>
      </c>
      <c r="BK46">
        <f>VLOOKUP(A46,MCD!A$2:G$55,5,0)</f>
        <v>93.14</v>
      </c>
      <c r="BL46">
        <f>VLOOKUP(A46,MDLZ!A$2:G$55,5,0)</f>
        <v>35.82</v>
      </c>
      <c r="BM46">
        <f>VLOOKUP(A46,MDT!A$2:G$55,5,0)</f>
        <v>64.31</v>
      </c>
      <c r="BN46">
        <f>VLOOKUP(A46,MET!A$2:G$55,5,0)</f>
        <v>55.18</v>
      </c>
      <c r="BO46">
        <f>VLOOKUP(A46,MMM!A$2:G$55,5,0)</f>
        <v>143.82</v>
      </c>
      <c r="BP46">
        <f>VLOOKUP(A46,MO!A$2:G$55,5,0)</f>
        <v>43.22</v>
      </c>
      <c r="BQ46">
        <f>VLOOKUP(A46,MON!A$2:G$55,5,0)</f>
        <v>115.3</v>
      </c>
      <c r="BR46">
        <f>VLOOKUP(A46,MRK!A$2:G$55,5,0)</f>
        <v>60.48</v>
      </c>
      <c r="BS46">
        <f>VLOOKUP(A46,MS!A$2:G$55,5,0)</f>
        <v>34.56</v>
      </c>
      <c r="BT46">
        <f>VLOOKUP(A46,MSFT!A$2:G$55,5,0)</f>
        <v>44.96</v>
      </c>
      <c r="BU46">
        <f>VLOOKUP(A46,NKE!A$2:G$55,5,0)</f>
        <v>78.819999999999993</v>
      </c>
      <c r="BV46">
        <f>VLOOKUP(A46,NOV!A$2:G$55,5,0)</f>
        <v>85.13</v>
      </c>
      <c r="BW46">
        <f>VLOOKUP(A46,NSC!A$2:G$55,5,0)</f>
        <v>107.96</v>
      </c>
      <c r="BX46">
        <f>VLOOKUP(A46,ORCL!A$2:G$55,5,0)</f>
        <v>41.9</v>
      </c>
      <c r="BY46">
        <f>VLOOKUP(A46,OXY!A$2:G$55,5,0)</f>
        <v>102.45</v>
      </c>
      <c r="BZ46">
        <f>VLOOKUP(A46,PEP!A$2:G$55,5,0)</f>
        <v>92.75</v>
      </c>
      <c r="CA46">
        <f>VLOOKUP(A46,PFE!A$2:G$55,5,0)</f>
        <v>29.4</v>
      </c>
      <c r="CB46">
        <f>VLOOKUP(A46,PG!A$2:G$55,5,0)</f>
        <v>82.9</v>
      </c>
      <c r="CC46">
        <f>VLOOKUP(A46,PM!A$2:G$55,5,0)</f>
        <v>85.4</v>
      </c>
      <c r="CD46">
        <f>VLOOKUP(A46,QCOM!A$2:G$55,5,0)</f>
        <v>74.89</v>
      </c>
      <c r="CE46">
        <f>VLOOKUP(A46,RTN!A$2:G$55,5,0)</f>
        <v>96.64</v>
      </c>
      <c r="CF46">
        <f>VLOOKUP(A46,SBUX!A$2:G$55,5,0)</f>
        <v>76.790000000000006</v>
      </c>
      <c r="CG46">
        <f>VLOOKUP(A46,SLB!A$2:G$55,5,0)</f>
        <v>108.17</v>
      </c>
      <c r="CH46">
        <f>VLOOKUP(A46,SO!A$2:G$55,5,0)</f>
        <v>44.18</v>
      </c>
      <c r="CI46">
        <f>VLOOKUP(A46,SPG!A$2:G$55,5,0)</f>
        <v>170.79</v>
      </c>
      <c r="CJ46">
        <f>VLOOKUP(A46,T!A$2:G$55,5,0)</f>
        <v>34.97</v>
      </c>
      <c r="CK46">
        <f>VLOOKUP(A46,TGT!A$2:G$55,5,0)</f>
        <v>60.39</v>
      </c>
      <c r="CL46">
        <f>VLOOKUP(A46,TWX!A$2:G$55,5,0)</f>
        <v>77.33</v>
      </c>
      <c r="CM46">
        <f>VLOOKUP(A46,TXN!A$2:G$55,5,0)</f>
        <v>48.35</v>
      </c>
      <c r="CN46">
        <f>VLOOKUP(A46,UNH!A$2:G$55,5,0)</f>
        <v>86.79</v>
      </c>
      <c r="CO46">
        <f>VLOOKUP(A46,UNP!A$2:G$55,5,0)</f>
        <v>106.6</v>
      </c>
      <c r="CP46">
        <f>VLOOKUP(A46,UPS!A$2:G$55,5,0)</f>
        <v>97.97</v>
      </c>
      <c r="CQ46">
        <f>VLOOKUP(A46,USB!A$2:G$55,5,0)</f>
        <v>42.12</v>
      </c>
      <c r="CR46">
        <f>VLOOKUP(A46,UTX!A$2:G$55,5,0)</f>
        <v>109.2</v>
      </c>
      <c r="CS46">
        <f>VLOOKUP(A46,V!A$2:G$55,5,0)</f>
        <v>214.9</v>
      </c>
      <c r="CT46">
        <f>VLOOKUP(A46,VZ!A$2:G$55,5,0)</f>
        <v>49.88</v>
      </c>
      <c r="CU46">
        <f>VLOOKUP(A46,WAG!A$2:G$55,5,0)</f>
        <v>60.22</v>
      </c>
      <c r="CV46">
        <f>VLOOKUP(A46,WFC!A$2:G$55,5,0)</f>
        <v>51.55</v>
      </c>
      <c r="CW46">
        <f>VLOOKUP(A46,WMT!A$2:G$55,5,0)</f>
        <v>76.010000000000005</v>
      </c>
    </row>
    <row r="47" spans="1:101" x14ac:dyDescent="0.25">
      <c r="A47" s="34">
        <v>41886</v>
      </c>
      <c r="B47" s="36">
        <v>98.12</v>
      </c>
      <c r="C47">
        <f>VLOOKUP(A47,ABBV!A$2:G$55,5,0)</f>
        <v>55.54</v>
      </c>
      <c r="D47">
        <f>VLOOKUP(A47,ABT!A$2:G$55,5,0)</f>
        <v>42.9</v>
      </c>
      <c r="E47">
        <f>VLOOKUP(A47,ACN!A$2:G$55,5,0)</f>
        <v>81.760000000000005</v>
      </c>
      <c r="F47">
        <f>VLOOKUP(A47,AIG!A$2:G$55,5,0)</f>
        <v>55.23</v>
      </c>
      <c r="G47">
        <f>VLOOKUP(A47,ALL!A$2:G$55,5,0)</f>
        <v>61.37</v>
      </c>
      <c r="H47">
        <f>VLOOKUP(A47,AMGN!A$2:G$55,5,0)</f>
        <v>138.01</v>
      </c>
      <c r="I47">
        <f>VLOOKUP(A47,AMZN!A$2:G$55,5,0)</f>
        <v>345.95</v>
      </c>
      <c r="J47">
        <f>VLOOKUP(A47,APA!A$2:G$55,5,0)</f>
        <v>98.76</v>
      </c>
      <c r="K47">
        <f>VLOOKUP(A47,APC!A$2:G$55,5,0)</f>
        <v>108.51</v>
      </c>
      <c r="L47">
        <f>VLOOKUP(A47,AXP!A$2:G$55,5,0)</f>
        <v>89.65</v>
      </c>
      <c r="M47">
        <f>VLOOKUP(A47,BA!A$2:G$55,5,0)</f>
        <v>125.46</v>
      </c>
      <c r="N47">
        <f>VLOOKUP(A47,BAC!A$2:G$55,5,0)</f>
        <v>16.11</v>
      </c>
      <c r="O47">
        <f>VLOOKUP(A47,BAX!A$2:G$55,5,0)</f>
        <v>73.709999999999994</v>
      </c>
      <c r="P47">
        <f>VLOOKUP(A47,BIIB!A$2:G$55,5,0)</f>
        <v>334.83</v>
      </c>
      <c r="Q47">
        <f>VLOOKUP(A47,BK!A$2:G$55,5,0)</f>
        <v>39.47</v>
      </c>
      <c r="R47">
        <f>VLOOKUP(A47,BMY!A$2:G$55,5,0)</f>
        <v>50.55</v>
      </c>
      <c r="T47">
        <f>VLOOKUP(A47,'C'!A$2:G$55,5,0)</f>
        <v>52.47</v>
      </c>
      <c r="U47">
        <f>VLOOKUP(A47,CAT!A$2:G$55,5,0)</f>
        <v>108.82</v>
      </c>
      <c r="V47">
        <f>VLOOKUP(A47,CL!A$2:G$55,5,0)</f>
        <v>64.31</v>
      </c>
      <c r="W47">
        <f>VLOOKUP(A47,CMCSA!A$2:G$55,5,0)</f>
        <v>54.88</v>
      </c>
      <c r="X47">
        <f>VLOOKUP(A47,COF!A$2:G$55,5,0)</f>
        <v>82.5</v>
      </c>
      <c r="Y47">
        <f>VLOOKUP(A47,COP!A$2:G$55,5,0)</f>
        <v>79.849999999999994</v>
      </c>
      <c r="Z47">
        <f>VLOOKUP(A47,COST!A$2:G$55,5,0)</f>
        <v>125.15</v>
      </c>
      <c r="AA47">
        <f>VLOOKUP(A47,CSCO!A$2:G$55,5,0)</f>
        <v>24.91</v>
      </c>
      <c r="AB47">
        <f>VLOOKUP(A47,CVS!A$2:G$55,5,0)</f>
        <v>80.31</v>
      </c>
      <c r="AC47">
        <f>VLOOKUP(A47,CVX!A$2:G$55,5,0)</f>
        <v>126.8</v>
      </c>
      <c r="AD47">
        <f>VLOOKUP(A47,DD!A$2:G$55,5,0)</f>
        <v>65.92</v>
      </c>
      <c r="AE47">
        <f>VLOOKUP(A47,DIS!A$2:G$55,5,0)</f>
        <v>90.14</v>
      </c>
      <c r="AF47">
        <f>VLOOKUP(A47,DOW!A$2:G$55,5,0)</f>
        <v>54.29</v>
      </c>
      <c r="AG47">
        <f>VLOOKUP(A47,DVN!A$2:G$55,5,0)</f>
        <v>72.31</v>
      </c>
      <c r="AH47">
        <f>VLOOKUP(A47,EBAY!A$2:G$55,5,0)</f>
        <v>54.44</v>
      </c>
      <c r="AI47">
        <f>VLOOKUP(A47,EMC!A$2:G$55,5,0)</f>
        <v>29.05</v>
      </c>
      <c r="AJ47">
        <f>VLOOKUP(A47,EMR!A$2:G$55,5,0)</f>
        <v>64.64</v>
      </c>
      <c r="AK47">
        <f>VLOOKUP(A47,EXC!A$2:G$55,5,0)</f>
        <v>33.549999999999997</v>
      </c>
      <c r="AL47">
        <f>VLOOKUP(A47,F!A$2:G$55,5,0)</f>
        <v>17.27</v>
      </c>
      <c r="AM47">
        <f>VLOOKUP(A47,FB!A$2:G$55,5,0)</f>
        <v>75.95</v>
      </c>
      <c r="AN47">
        <f>VLOOKUP(A47,FCX!A$2:G$55,5,0)</f>
        <v>35.22</v>
      </c>
      <c r="AO47">
        <f>VLOOKUP(A47,FDX!A$2:G$55,5,0)</f>
        <v>152.04</v>
      </c>
      <c r="AP47">
        <f>VLOOKUP(A47,FOXA!A$2:G$55,5,0)</f>
        <v>36.130000000000003</v>
      </c>
      <c r="AQ47">
        <f>VLOOKUP(A47,GD!A$2:G$55,5,0)</f>
        <v>124.7</v>
      </c>
      <c r="AR47">
        <f>VLOOKUP(A47,GE!A$2:G$55,5,0)</f>
        <v>25.96</v>
      </c>
      <c r="AS47">
        <f>VLOOKUP(A47,GILD!A$2:G$55,5,0)</f>
        <v>106.86</v>
      </c>
      <c r="AT47">
        <f>VLOOKUP(A47,GM!A$2:G$55,5,0)</f>
        <v>34.630000000000003</v>
      </c>
      <c r="AU47">
        <f>VLOOKUP(A47,GOOG!A$2:G$55,5,0)</f>
        <v>581.98</v>
      </c>
      <c r="AV47">
        <f>VLOOKUP(A47,GOOGL!A$2:G$55,5,0)</f>
        <v>593.14</v>
      </c>
      <c r="AW47">
        <f>VLOOKUP(A47,GS!A$2:G$55,5,0)</f>
        <v>180.08</v>
      </c>
      <c r="AX47">
        <f>VLOOKUP(A47,HAL!A$2:G$55,5,0)</f>
        <v>66.55</v>
      </c>
      <c r="AY47">
        <f>VLOOKUP(A47,HD!A$2:G$55,5,0)</f>
        <v>89.93</v>
      </c>
      <c r="AZ47">
        <f>VLOOKUP(A47,HON!A$2:G$55,5,0)</f>
        <v>94.99</v>
      </c>
      <c r="BA47">
        <f>VLOOKUP(A47,HPQ!A$2:G$55,5,0)</f>
        <v>37.659999999999997</v>
      </c>
      <c r="BB47">
        <f>VLOOKUP(A47,IBM!A$2:G$55,5,0)</f>
        <v>190.68</v>
      </c>
      <c r="BC47">
        <f>VLOOKUP(A47,INTC!A$2:G$55,5,0)</f>
        <v>34.909999999999997</v>
      </c>
      <c r="BD47">
        <f>VLOOKUP(A47,JNJ!A$2:G$55,5,0)</f>
        <v>103.84</v>
      </c>
      <c r="BE47">
        <f>VLOOKUP(A47,JPM!A$2:G$55,5,0)</f>
        <v>59.71</v>
      </c>
      <c r="BF47">
        <f>VLOOKUP(A47,KO!A$2:G$55,5,0)</f>
        <v>41.87</v>
      </c>
      <c r="BG47">
        <f>VLOOKUP(A47,LLY!A$2:G$55,5,0)</f>
        <v>64.22</v>
      </c>
      <c r="BH47">
        <f>VLOOKUP(A47,LMT!A$2:G$55,5,0)</f>
        <v>173.04</v>
      </c>
      <c r="BI47">
        <f>VLOOKUP(A47,LOW!A$2:G$55,5,0)</f>
        <v>53.61</v>
      </c>
      <c r="BJ47">
        <f>VLOOKUP(A47,MA!A$2:G$55,5,0)</f>
        <v>76.38</v>
      </c>
      <c r="BK47">
        <f>VLOOKUP(A47,MCD!A$2:G$55,5,0)</f>
        <v>93.01</v>
      </c>
      <c r="BL47">
        <f>VLOOKUP(A47,MDLZ!A$2:G$55,5,0)</f>
        <v>35.5</v>
      </c>
      <c r="BM47">
        <f>VLOOKUP(A47,MDT!A$2:G$55,5,0)</f>
        <v>64.010000000000005</v>
      </c>
      <c r="BN47">
        <f>VLOOKUP(A47,MET!A$2:G$55,5,0)</f>
        <v>55.42</v>
      </c>
      <c r="BO47">
        <f>VLOOKUP(A47,MMM!A$2:G$55,5,0)</f>
        <v>143.61000000000001</v>
      </c>
      <c r="BP47">
        <f>VLOOKUP(A47,MO!A$2:G$55,5,0)</f>
        <v>43.14</v>
      </c>
      <c r="BQ47">
        <f>VLOOKUP(A47,MON!A$2:G$55,5,0)</f>
        <v>113.63</v>
      </c>
      <c r="BR47">
        <f>VLOOKUP(A47,MRK!A$2:G$55,5,0)</f>
        <v>60.08</v>
      </c>
      <c r="BS47">
        <f>VLOOKUP(A47,MS!A$2:G$55,5,0)</f>
        <v>34.700000000000003</v>
      </c>
      <c r="BT47">
        <f>VLOOKUP(A47,MSFT!A$2:G$55,5,0)</f>
        <v>45.26</v>
      </c>
      <c r="BU47">
        <f>VLOOKUP(A47,NKE!A$2:G$55,5,0)</f>
        <v>79.92</v>
      </c>
      <c r="BV47">
        <f>VLOOKUP(A47,NOV!A$2:G$55,5,0)</f>
        <v>83.63</v>
      </c>
      <c r="BW47">
        <f>VLOOKUP(A47,NSC!A$2:G$55,5,0)</f>
        <v>108.56</v>
      </c>
      <c r="BX47">
        <f>VLOOKUP(A47,ORCL!A$2:G$55,5,0)</f>
        <v>41.55</v>
      </c>
      <c r="BY47">
        <f>VLOOKUP(A47,OXY!A$2:G$55,5,0)</f>
        <v>102.37</v>
      </c>
      <c r="BZ47">
        <f>VLOOKUP(A47,PEP!A$2:G$55,5,0)</f>
        <v>91.85</v>
      </c>
      <c r="CA47">
        <f>VLOOKUP(A47,PFE!A$2:G$55,5,0)</f>
        <v>29.37</v>
      </c>
      <c r="CB47">
        <f>VLOOKUP(A47,PG!A$2:G$55,5,0)</f>
        <v>83.7</v>
      </c>
      <c r="CC47">
        <f>VLOOKUP(A47,PM!A$2:G$55,5,0)</f>
        <v>84.99</v>
      </c>
      <c r="CD47">
        <f>VLOOKUP(A47,QCOM!A$2:G$55,5,0)</f>
        <v>75.11</v>
      </c>
      <c r="CE47">
        <f>VLOOKUP(A47,RTN!A$2:G$55,5,0)</f>
        <v>97.11</v>
      </c>
      <c r="CF47">
        <f>VLOOKUP(A47,SBUX!A$2:G$55,5,0)</f>
        <v>77.16</v>
      </c>
      <c r="CG47">
        <f>VLOOKUP(A47,SLB!A$2:G$55,5,0)</f>
        <v>105.64</v>
      </c>
      <c r="CH47">
        <f>VLOOKUP(A47,SO!A$2:G$55,5,0)</f>
        <v>44.16</v>
      </c>
      <c r="CI47">
        <f>VLOOKUP(A47,SPG!A$2:G$55,5,0)</f>
        <v>170.3</v>
      </c>
      <c r="CJ47">
        <f>VLOOKUP(A47,T!A$2:G$55,5,0)</f>
        <v>34.94</v>
      </c>
      <c r="CK47">
        <f>VLOOKUP(A47,TGT!A$2:G$55,5,0)</f>
        <v>61.03</v>
      </c>
      <c r="CL47">
        <f>VLOOKUP(A47,TWX!A$2:G$55,5,0)</f>
        <v>77.23</v>
      </c>
      <c r="CM47">
        <f>VLOOKUP(A47,TXN!A$2:G$55,5,0)</f>
        <v>48.25</v>
      </c>
      <c r="CN47">
        <f>VLOOKUP(A47,UNH!A$2:G$55,5,0)</f>
        <v>87.06</v>
      </c>
      <c r="CO47">
        <f>VLOOKUP(A47,UNP!A$2:G$55,5,0)</f>
        <v>107.25</v>
      </c>
      <c r="CP47">
        <f>VLOOKUP(A47,UPS!A$2:G$55,5,0)</f>
        <v>98.47</v>
      </c>
      <c r="CQ47">
        <f>VLOOKUP(A47,USB!A$2:G$55,5,0)</f>
        <v>42.24</v>
      </c>
      <c r="CR47">
        <f>VLOOKUP(A47,UTX!A$2:G$55,5,0)</f>
        <v>109.22</v>
      </c>
      <c r="CS47">
        <f>VLOOKUP(A47,V!A$2:G$55,5,0)</f>
        <v>214.26</v>
      </c>
      <c r="CT47">
        <f>VLOOKUP(A47,VZ!A$2:G$55,5,0)</f>
        <v>49.72</v>
      </c>
      <c r="CU47">
        <f>VLOOKUP(A47,WAG!A$2:G$55,5,0)</f>
        <v>62.46</v>
      </c>
      <c r="CV47">
        <f>VLOOKUP(A47,WFC!A$2:G$55,5,0)</f>
        <v>51.57</v>
      </c>
      <c r="CW47">
        <f>VLOOKUP(A47,WMT!A$2:G$55,5,0)</f>
        <v>76.56</v>
      </c>
    </row>
    <row r="48" spans="1:101" x14ac:dyDescent="0.25">
      <c r="A48" s="34">
        <v>41887</v>
      </c>
      <c r="B48" s="36">
        <v>98.97</v>
      </c>
      <c r="C48">
        <f>VLOOKUP(A48,ABBV!A$2:G$55,5,0)</f>
        <v>55.94</v>
      </c>
      <c r="D48">
        <f>VLOOKUP(A48,ABT!A$2:G$55,5,0)</f>
        <v>42.95</v>
      </c>
      <c r="E48">
        <f>VLOOKUP(A48,ACN!A$2:G$55,5,0)</f>
        <v>81.83</v>
      </c>
      <c r="F48">
        <f>VLOOKUP(A48,AIG!A$2:G$55,5,0)</f>
        <v>55.04</v>
      </c>
      <c r="G48">
        <f>VLOOKUP(A48,ALL!A$2:G$55,5,0)</f>
        <v>61.35</v>
      </c>
      <c r="H48">
        <f>VLOOKUP(A48,AMGN!A$2:G$55,5,0)</f>
        <v>137.88</v>
      </c>
      <c r="I48">
        <f>VLOOKUP(A48,AMZN!A$2:G$55,5,0)</f>
        <v>346.38</v>
      </c>
      <c r="J48">
        <f>VLOOKUP(A48,APA!A$2:G$55,5,0)</f>
        <v>99.53</v>
      </c>
      <c r="K48">
        <f>VLOOKUP(A48,APC!A$2:G$55,5,0)</f>
        <v>109.87</v>
      </c>
      <c r="L48">
        <f>VLOOKUP(A48,AXP!A$2:G$55,5,0)</f>
        <v>89.61</v>
      </c>
      <c r="M48">
        <f>VLOOKUP(A48,BA!A$2:G$55,5,0)</f>
        <v>124.69</v>
      </c>
      <c r="N48">
        <f>VLOOKUP(A48,BAC!A$2:G$55,5,0)</f>
        <v>16.02</v>
      </c>
      <c r="O48">
        <f>VLOOKUP(A48,BAX!A$2:G$55,5,0)</f>
        <v>74.2</v>
      </c>
      <c r="P48">
        <f>VLOOKUP(A48,BIIB!A$2:G$55,5,0)</f>
        <v>330.48</v>
      </c>
      <c r="Q48">
        <f>VLOOKUP(A48,BK!A$2:G$55,5,0)</f>
        <v>39.47</v>
      </c>
      <c r="R48">
        <f>VLOOKUP(A48,BMY!A$2:G$55,5,0)</f>
        <v>51.12</v>
      </c>
      <c r="T48">
        <f>VLOOKUP(A48,'C'!A$2:G$55,5,0)</f>
        <v>52.3</v>
      </c>
      <c r="U48">
        <f>VLOOKUP(A48,CAT!A$2:G$55,5,0)</f>
        <v>108.54</v>
      </c>
      <c r="V48">
        <f>VLOOKUP(A48,CL!A$2:G$55,5,0)</f>
        <v>64.86</v>
      </c>
      <c r="W48">
        <f>VLOOKUP(A48,CMCSA!A$2:G$55,5,0)</f>
        <v>55.7</v>
      </c>
      <c r="X48">
        <f>VLOOKUP(A48,COF!A$2:G$55,5,0)</f>
        <v>82.69</v>
      </c>
      <c r="Y48">
        <f>VLOOKUP(A48,COP!A$2:G$55,5,0)</f>
        <v>80.349999999999994</v>
      </c>
      <c r="Z48">
        <f>VLOOKUP(A48,COST!A$2:G$55,5,0)</f>
        <v>127.01</v>
      </c>
      <c r="AA48">
        <f>VLOOKUP(A48,CSCO!A$2:G$55,5,0)</f>
        <v>25</v>
      </c>
      <c r="AB48">
        <f>VLOOKUP(A48,CVS!A$2:G$55,5,0)</f>
        <v>81.64</v>
      </c>
      <c r="AC48">
        <f>VLOOKUP(A48,CVX!A$2:G$55,5,0)</f>
        <v>127.4</v>
      </c>
      <c r="AD48">
        <f>VLOOKUP(A48,DD!A$2:G$55,5,0)</f>
        <v>66</v>
      </c>
      <c r="AE48">
        <f>VLOOKUP(A48,DIS!A$2:G$55,5,0)</f>
        <v>90.94</v>
      </c>
      <c r="AF48">
        <f>VLOOKUP(A48,DOW!A$2:G$55,5,0)</f>
        <v>54.8</v>
      </c>
      <c r="AG48">
        <f>VLOOKUP(A48,DVN!A$2:G$55,5,0)</f>
        <v>72.739999999999995</v>
      </c>
      <c r="AH48">
        <f>VLOOKUP(A48,EBAY!A$2:G$55,5,0)</f>
        <v>53.9</v>
      </c>
      <c r="AI48">
        <f>VLOOKUP(A48,EMC!A$2:G$55,5,0)</f>
        <v>29.03</v>
      </c>
      <c r="AJ48">
        <f>VLOOKUP(A48,EMR!A$2:G$55,5,0)</f>
        <v>65.08</v>
      </c>
      <c r="AK48">
        <f>VLOOKUP(A48,EXC!A$2:G$55,5,0)</f>
        <v>33.81</v>
      </c>
      <c r="AL48">
        <f>VLOOKUP(A48,F!A$2:G$55,5,0)</f>
        <v>17.14</v>
      </c>
      <c r="AM48">
        <f>VLOOKUP(A48,FB!A$2:G$55,5,0)</f>
        <v>77.260000000000005</v>
      </c>
      <c r="AN48">
        <f>VLOOKUP(A48,FCX!A$2:G$55,5,0)</f>
        <v>35.020000000000003</v>
      </c>
      <c r="AO48">
        <f>VLOOKUP(A48,FDX!A$2:G$55,5,0)</f>
        <v>153.30000000000001</v>
      </c>
      <c r="AP48">
        <f>VLOOKUP(A48,FOXA!A$2:G$55,5,0)</f>
        <v>36.15</v>
      </c>
      <c r="AQ48">
        <f>VLOOKUP(A48,GD!A$2:G$55,5,0)</f>
        <v>125.45</v>
      </c>
      <c r="AR48">
        <f>VLOOKUP(A48,GE!A$2:G$55,5,0)</f>
        <v>26.1</v>
      </c>
      <c r="AS48">
        <f>VLOOKUP(A48,GILD!A$2:G$55,5,0)</f>
        <v>105.36</v>
      </c>
      <c r="AT48">
        <f>VLOOKUP(A48,GM!A$2:G$55,5,0)</f>
        <v>34.58</v>
      </c>
      <c r="AU48">
        <f>VLOOKUP(A48,GOOG!A$2:G$55,5,0)</f>
        <v>586.08000000000004</v>
      </c>
      <c r="AV48">
        <f>VLOOKUP(A48,GOOGL!A$2:G$55,5,0)</f>
        <v>597.78</v>
      </c>
      <c r="AW48">
        <f>VLOOKUP(A48,GS!A$2:G$55,5,0)</f>
        <v>179.75</v>
      </c>
      <c r="AX48">
        <f>VLOOKUP(A48,HAL!A$2:G$55,5,0)</f>
        <v>67.45</v>
      </c>
      <c r="AY48">
        <f>VLOOKUP(A48,HD!A$2:G$55,5,0)</f>
        <v>91.61</v>
      </c>
      <c r="AZ48">
        <f>VLOOKUP(A48,HON!A$2:G$55,5,0)</f>
        <v>95.61</v>
      </c>
      <c r="BA48">
        <f>VLOOKUP(A48,HPQ!A$2:G$55,5,0)</f>
        <v>37.58</v>
      </c>
      <c r="BB48">
        <f>VLOOKUP(A48,IBM!A$2:G$55,5,0)</f>
        <v>191.2</v>
      </c>
      <c r="BC48">
        <f>VLOOKUP(A48,INTC!A$2:G$55,5,0)</f>
        <v>35</v>
      </c>
      <c r="BD48">
        <f>VLOOKUP(A48,JNJ!A$2:G$55,5,0)</f>
        <v>104.42</v>
      </c>
      <c r="BE48">
        <f>VLOOKUP(A48,JPM!A$2:G$55,5,0)</f>
        <v>59.91</v>
      </c>
      <c r="BF48">
        <f>VLOOKUP(A48,KO!A$2:G$55,5,0)</f>
        <v>41.84</v>
      </c>
      <c r="BG48">
        <f>VLOOKUP(A48,LLY!A$2:G$55,5,0)</f>
        <v>64.72</v>
      </c>
      <c r="BH48">
        <f>VLOOKUP(A48,LMT!A$2:G$55,5,0)</f>
        <v>174.58</v>
      </c>
      <c r="BI48">
        <f>VLOOKUP(A48,LOW!A$2:G$55,5,0)</f>
        <v>54.11</v>
      </c>
      <c r="BJ48">
        <f>VLOOKUP(A48,MA!A$2:G$55,5,0)</f>
        <v>76.86</v>
      </c>
      <c r="BK48">
        <f>VLOOKUP(A48,MCD!A$2:G$55,5,0)</f>
        <v>93.07</v>
      </c>
      <c r="BL48">
        <f>VLOOKUP(A48,MDLZ!A$2:G$55,5,0)</f>
        <v>35.69</v>
      </c>
      <c r="BM48">
        <f>VLOOKUP(A48,MDT!A$2:G$55,5,0)</f>
        <v>64.31</v>
      </c>
      <c r="BN48">
        <f>VLOOKUP(A48,MET!A$2:G$55,5,0)</f>
        <v>55.26</v>
      </c>
      <c r="BO48">
        <f>VLOOKUP(A48,MMM!A$2:G$55,5,0)</f>
        <v>144.19999999999999</v>
      </c>
      <c r="BP48">
        <f>VLOOKUP(A48,MO!A$2:G$55,5,0)</f>
        <v>43.39</v>
      </c>
      <c r="BQ48">
        <f>VLOOKUP(A48,MON!A$2:G$55,5,0)</f>
        <v>114.26</v>
      </c>
      <c r="BR48">
        <f>VLOOKUP(A48,MRK!A$2:G$55,5,0)</f>
        <v>61.18</v>
      </c>
      <c r="BS48">
        <f>VLOOKUP(A48,MS!A$2:G$55,5,0)</f>
        <v>34.630000000000003</v>
      </c>
      <c r="BT48">
        <f>VLOOKUP(A48,MSFT!A$2:G$55,5,0)</f>
        <v>45.91</v>
      </c>
      <c r="BU48">
        <f>VLOOKUP(A48,NKE!A$2:G$55,5,0)</f>
        <v>82.04</v>
      </c>
      <c r="BV48">
        <f>VLOOKUP(A48,NOV!A$2:G$55,5,0)</f>
        <v>83.55</v>
      </c>
      <c r="BW48">
        <f>VLOOKUP(A48,NSC!A$2:G$55,5,0)</f>
        <v>109.55</v>
      </c>
      <c r="BX48">
        <f>VLOOKUP(A48,ORCL!A$2:G$55,5,0)</f>
        <v>41.27</v>
      </c>
      <c r="BY48">
        <f>VLOOKUP(A48,OXY!A$2:G$55,5,0)</f>
        <v>101.31</v>
      </c>
      <c r="BZ48">
        <f>VLOOKUP(A48,PEP!A$2:G$55,5,0)</f>
        <v>91.75</v>
      </c>
      <c r="CA48">
        <f>VLOOKUP(A48,PFE!A$2:G$55,5,0)</f>
        <v>29.65</v>
      </c>
      <c r="CB48">
        <f>VLOOKUP(A48,PG!A$2:G$55,5,0)</f>
        <v>83.77</v>
      </c>
      <c r="CC48">
        <f>VLOOKUP(A48,PM!A$2:G$55,5,0)</f>
        <v>85.45</v>
      </c>
      <c r="CD48">
        <f>VLOOKUP(A48,QCOM!A$2:G$55,5,0)</f>
        <v>75.81</v>
      </c>
      <c r="CE48">
        <f>VLOOKUP(A48,RTN!A$2:G$55,5,0)</f>
        <v>97.76</v>
      </c>
      <c r="CF48">
        <f>VLOOKUP(A48,SBUX!A$2:G$55,5,0)</f>
        <v>77.95</v>
      </c>
      <c r="CG48">
        <f>VLOOKUP(A48,SLB!A$2:G$55,5,0)</f>
        <v>106.76</v>
      </c>
      <c r="CH48">
        <f>VLOOKUP(A48,SO!A$2:G$55,5,0)</f>
        <v>44.79</v>
      </c>
      <c r="CI48">
        <f>VLOOKUP(A48,SPG!A$2:G$55,5,0)</f>
        <v>173.18</v>
      </c>
      <c r="CJ48">
        <f>VLOOKUP(A48,T!A$2:G$55,5,0)</f>
        <v>35.15</v>
      </c>
      <c r="CK48">
        <f>VLOOKUP(A48,TGT!A$2:G$55,5,0)</f>
        <v>61.08</v>
      </c>
      <c r="CL48">
        <f>VLOOKUP(A48,TWX!A$2:G$55,5,0)</f>
        <v>76.959999999999994</v>
      </c>
      <c r="CM48">
        <f>VLOOKUP(A48,TXN!A$2:G$55,5,0)</f>
        <v>48.58</v>
      </c>
      <c r="CN48">
        <f>VLOOKUP(A48,UNH!A$2:G$55,5,0)</f>
        <v>87.75</v>
      </c>
      <c r="CO48">
        <f>VLOOKUP(A48,UNP!A$2:G$55,5,0)</f>
        <v>107.69</v>
      </c>
      <c r="CP48">
        <f>VLOOKUP(A48,UPS!A$2:G$55,5,0)</f>
        <v>98.86</v>
      </c>
      <c r="CQ48">
        <f>VLOOKUP(A48,USB!A$2:G$55,5,0)</f>
        <v>42.13</v>
      </c>
      <c r="CR48">
        <f>VLOOKUP(A48,UTX!A$2:G$55,5,0)</f>
        <v>108.7</v>
      </c>
      <c r="CS48">
        <f>VLOOKUP(A48,V!A$2:G$55,5,0)</f>
        <v>214.21</v>
      </c>
      <c r="CT48">
        <f>VLOOKUP(A48,VZ!A$2:G$55,5,0)</f>
        <v>49.94</v>
      </c>
      <c r="CU48">
        <f>VLOOKUP(A48,WAG!A$2:G$55,5,0)</f>
        <v>63.95</v>
      </c>
      <c r="CV48">
        <f>VLOOKUP(A48,WFC!A$2:G$55,5,0)</f>
        <v>51.65</v>
      </c>
      <c r="CW48">
        <f>VLOOKUP(A48,WMT!A$2:G$55,5,0)</f>
        <v>77.510000000000005</v>
      </c>
    </row>
    <row r="49" spans="1:101" x14ac:dyDescent="0.25">
      <c r="A49" s="34">
        <v>41890</v>
      </c>
      <c r="B49" s="36">
        <v>98.36</v>
      </c>
      <c r="C49">
        <f>VLOOKUP(A49,ABBV!A$2:G$55,5,0)</f>
        <v>55.57</v>
      </c>
      <c r="D49">
        <f>VLOOKUP(A49,ABT!A$2:G$55,5,0)</f>
        <v>42.81</v>
      </c>
      <c r="E49">
        <f>VLOOKUP(A49,ACN!A$2:G$55,5,0)</f>
        <v>81.73</v>
      </c>
      <c r="F49">
        <f>VLOOKUP(A49,AIG!A$2:G$55,5,0)</f>
        <v>55.32</v>
      </c>
      <c r="G49">
        <f>VLOOKUP(A49,ALL!A$2:G$55,5,0)</f>
        <v>61.39</v>
      </c>
      <c r="H49">
        <f>VLOOKUP(A49,AMGN!A$2:G$55,5,0)</f>
        <v>139.27000000000001</v>
      </c>
      <c r="I49">
        <f>VLOOKUP(A49,AMZN!A$2:G$55,5,0)</f>
        <v>342.34</v>
      </c>
      <c r="J49">
        <f>VLOOKUP(A49,APA!A$2:G$55,5,0)</f>
        <v>97.93</v>
      </c>
      <c r="K49">
        <f>VLOOKUP(A49,APC!A$2:G$55,5,0)</f>
        <v>107.02</v>
      </c>
      <c r="L49">
        <f>VLOOKUP(A49,AXP!A$2:G$55,5,0)</f>
        <v>88.93</v>
      </c>
      <c r="M49">
        <f>VLOOKUP(A49,BA!A$2:G$55,5,0)</f>
        <v>127.98</v>
      </c>
      <c r="N49">
        <f>VLOOKUP(A49,BAC!A$2:G$55,5,0)</f>
        <v>16.350000000000001</v>
      </c>
      <c r="O49">
        <f>VLOOKUP(A49,BAX!A$2:G$55,5,0)</f>
        <v>74.22</v>
      </c>
      <c r="P49">
        <f>VLOOKUP(A49,BIIB!A$2:G$55,5,0)</f>
        <v>331.31</v>
      </c>
      <c r="Q49">
        <f>VLOOKUP(A49,BK!A$2:G$55,5,0)</f>
        <v>39.44</v>
      </c>
      <c r="R49">
        <f>VLOOKUP(A49,BMY!A$2:G$55,5,0)</f>
        <v>51.19</v>
      </c>
      <c r="T49">
        <f>VLOOKUP(A49,'C'!A$2:G$55,5,0)</f>
        <v>52.05</v>
      </c>
      <c r="U49">
        <f>VLOOKUP(A49,CAT!A$2:G$55,5,0)</f>
        <v>107.91</v>
      </c>
      <c r="V49">
        <f>VLOOKUP(A49,CL!A$2:G$55,5,0)</f>
        <v>63.64</v>
      </c>
      <c r="W49">
        <f>VLOOKUP(A49,CMCSA!A$2:G$55,5,0)</f>
        <v>55.88</v>
      </c>
      <c r="X49">
        <f>VLOOKUP(A49,COF!A$2:G$55,5,0)</f>
        <v>82.08</v>
      </c>
      <c r="Y49">
        <f>VLOOKUP(A49,COP!A$2:G$55,5,0)</f>
        <v>79.03</v>
      </c>
      <c r="Z49">
        <f>VLOOKUP(A49,COST!A$2:G$55,5,0)</f>
        <v>126.6</v>
      </c>
      <c r="AA49">
        <f>VLOOKUP(A49,CSCO!A$2:G$55,5,0)</f>
        <v>24.95</v>
      </c>
      <c r="AB49">
        <f>VLOOKUP(A49,CVS!A$2:G$55,5,0)</f>
        <v>81.400000000000006</v>
      </c>
      <c r="AC49">
        <f>VLOOKUP(A49,CVX!A$2:G$55,5,0)</f>
        <v>126.21</v>
      </c>
      <c r="AD49">
        <f>VLOOKUP(A49,DD!A$2:G$55,5,0)</f>
        <v>65.36</v>
      </c>
      <c r="AE49">
        <f>VLOOKUP(A49,DIS!A$2:G$55,5,0)</f>
        <v>90.56</v>
      </c>
      <c r="AF49">
        <f>VLOOKUP(A49,DOW!A$2:G$55,5,0)</f>
        <v>54.31</v>
      </c>
      <c r="AG49">
        <f>VLOOKUP(A49,DVN!A$2:G$55,5,0)</f>
        <v>71.22</v>
      </c>
      <c r="AH49">
        <f>VLOOKUP(A49,EBAY!A$2:G$55,5,0)</f>
        <v>54.23</v>
      </c>
      <c r="AI49">
        <f>VLOOKUP(A49,EMC!A$2:G$55,5,0)</f>
        <v>29.28</v>
      </c>
      <c r="AJ49">
        <f>VLOOKUP(A49,EMR!A$2:G$55,5,0)</f>
        <v>64.98</v>
      </c>
      <c r="AK49">
        <f>VLOOKUP(A49,EXC!A$2:G$55,5,0)</f>
        <v>33.44</v>
      </c>
      <c r="AL49">
        <f>VLOOKUP(A49,F!A$2:G$55,5,0)</f>
        <v>16.8</v>
      </c>
      <c r="AM49">
        <f>VLOOKUP(A49,FB!A$2:G$55,5,0)</f>
        <v>77.89</v>
      </c>
      <c r="AN49">
        <f>VLOOKUP(A49,FCX!A$2:G$55,5,0)</f>
        <v>34.909999999999997</v>
      </c>
      <c r="AO49">
        <f>VLOOKUP(A49,FDX!A$2:G$55,5,0)</f>
        <v>152.4</v>
      </c>
      <c r="AP49">
        <f>VLOOKUP(A49,FOXA!A$2:G$55,5,0)</f>
        <v>35.880000000000003</v>
      </c>
      <c r="AQ49">
        <f>VLOOKUP(A49,GD!A$2:G$55,5,0)</f>
        <v>125.77</v>
      </c>
      <c r="AR49">
        <f>VLOOKUP(A49,GE!A$2:G$55,5,0)</f>
        <v>26.08</v>
      </c>
      <c r="AS49">
        <f>VLOOKUP(A49,GILD!A$2:G$55,5,0)</f>
        <v>106.53</v>
      </c>
      <c r="AT49">
        <f>VLOOKUP(A49,GM!A$2:G$55,5,0)</f>
        <v>33.24</v>
      </c>
      <c r="AU49">
        <f>VLOOKUP(A49,GOOG!A$2:G$55,5,0)</f>
        <v>589.72</v>
      </c>
      <c r="AV49">
        <f>VLOOKUP(A49,GOOGL!A$2:G$55,5,0)</f>
        <v>601.63</v>
      </c>
      <c r="AW49">
        <f>VLOOKUP(A49,GS!A$2:G$55,5,0)</f>
        <v>180.11</v>
      </c>
      <c r="AX49">
        <f>VLOOKUP(A49,HAL!A$2:G$55,5,0)</f>
        <v>66.31</v>
      </c>
      <c r="AY49">
        <f>VLOOKUP(A49,HD!A$2:G$55,5,0)</f>
        <v>90.82</v>
      </c>
      <c r="AZ49">
        <f>VLOOKUP(A49,HON!A$2:G$55,5,0)</f>
        <v>95.24</v>
      </c>
      <c r="BA49">
        <f>VLOOKUP(A49,HPQ!A$2:G$55,5,0)</f>
        <v>37.28</v>
      </c>
      <c r="BB49">
        <f>VLOOKUP(A49,IBM!A$2:G$55,5,0)</f>
        <v>190.14</v>
      </c>
      <c r="BC49">
        <f>VLOOKUP(A49,INTC!A$2:G$55,5,0)</f>
        <v>35.33</v>
      </c>
      <c r="BD49">
        <f>VLOOKUP(A49,JNJ!A$2:G$55,5,0)</f>
        <v>104.05</v>
      </c>
      <c r="BE49">
        <f>VLOOKUP(A49,JPM!A$2:G$55,5,0)</f>
        <v>59.89</v>
      </c>
      <c r="BF49">
        <f>VLOOKUP(A49,KO!A$2:G$55,5,0)</f>
        <v>41.78</v>
      </c>
      <c r="BG49">
        <f>VLOOKUP(A49,LLY!A$2:G$55,5,0)</f>
        <v>65</v>
      </c>
      <c r="BH49">
        <f>VLOOKUP(A49,LMT!A$2:G$55,5,0)</f>
        <v>174.77</v>
      </c>
      <c r="BI49">
        <f>VLOOKUP(A49,LOW!A$2:G$55,5,0)</f>
        <v>53.54</v>
      </c>
      <c r="BJ49">
        <f>VLOOKUP(A49,MA!A$2:G$55,5,0)</f>
        <v>76.23</v>
      </c>
      <c r="BK49">
        <f>VLOOKUP(A49,MCD!A$2:G$55,5,0)</f>
        <v>92.5</v>
      </c>
      <c r="BL49">
        <f>VLOOKUP(A49,MDLZ!A$2:G$55,5,0)</f>
        <v>35.32</v>
      </c>
      <c r="BM49">
        <f>VLOOKUP(A49,MDT!A$2:G$55,5,0)</f>
        <v>64.77</v>
      </c>
      <c r="BN49">
        <f>VLOOKUP(A49,MET!A$2:G$55,5,0)</f>
        <v>54.84</v>
      </c>
      <c r="BO49">
        <f>VLOOKUP(A49,MMM!A$2:G$55,5,0)</f>
        <v>144.88999999999999</v>
      </c>
      <c r="BP49">
        <f>VLOOKUP(A49,MO!A$2:G$55,5,0)</f>
        <v>43.49</v>
      </c>
      <c r="BQ49">
        <f>VLOOKUP(A49,MON!A$2:G$55,5,0)</f>
        <v>114.67</v>
      </c>
      <c r="BR49">
        <f>VLOOKUP(A49,MRK!A$2:G$55,5,0)</f>
        <v>61.05</v>
      </c>
      <c r="BS49">
        <f>VLOOKUP(A49,MS!A$2:G$55,5,0)</f>
        <v>34.86</v>
      </c>
      <c r="BT49">
        <f>VLOOKUP(A49,MSFT!A$2:G$55,5,0)</f>
        <v>46.47</v>
      </c>
      <c r="BU49">
        <f>VLOOKUP(A49,NKE!A$2:G$55,5,0)</f>
        <v>82.4</v>
      </c>
      <c r="BV49">
        <f>VLOOKUP(A49,NOV!A$2:G$55,5,0)</f>
        <v>82.63</v>
      </c>
      <c r="BW49">
        <f>VLOOKUP(A49,NSC!A$2:G$55,5,0)</f>
        <v>108.64</v>
      </c>
      <c r="BX49">
        <f>VLOOKUP(A49,ORCL!A$2:G$55,5,0)</f>
        <v>40.64</v>
      </c>
      <c r="BY49">
        <f>VLOOKUP(A49,OXY!A$2:G$55,5,0)</f>
        <v>98.55</v>
      </c>
      <c r="BZ49">
        <f>VLOOKUP(A49,PEP!A$2:G$55,5,0)</f>
        <v>91.86</v>
      </c>
      <c r="CA49">
        <f>VLOOKUP(A49,PFE!A$2:G$55,5,0)</f>
        <v>29.4</v>
      </c>
      <c r="CB49">
        <f>VLOOKUP(A49,PG!A$2:G$55,5,0)</f>
        <v>83.32</v>
      </c>
      <c r="CC49">
        <f>VLOOKUP(A49,PM!A$2:G$55,5,0)</f>
        <v>84</v>
      </c>
      <c r="CD49">
        <f>VLOOKUP(A49,QCOM!A$2:G$55,5,0)</f>
        <v>75.900000000000006</v>
      </c>
      <c r="CE49">
        <f>VLOOKUP(A49,RTN!A$2:G$55,5,0)</f>
        <v>98.5</v>
      </c>
      <c r="CF49">
        <f>VLOOKUP(A49,SBUX!A$2:G$55,5,0)</f>
        <v>77.67</v>
      </c>
      <c r="CG49">
        <f>VLOOKUP(A49,SLB!A$2:G$55,5,0)</f>
        <v>104.49</v>
      </c>
      <c r="CH49">
        <f>VLOOKUP(A49,SO!A$2:G$55,5,0)</f>
        <v>44.56</v>
      </c>
      <c r="CI49">
        <f>VLOOKUP(A49,SPG!A$2:G$55,5,0)</f>
        <v>172.39</v>
      </c>
      <c r="CJ49">
        <f>VLOOKUP(A49,T!A$2:G$55,5,0)</f>
        <v>35.01</v>
      </c>
      <c r="CK49">
        <f>VLOOKUP(A49,TGT!A$2:G$55,5,0)</f>
        <v>60.56</v>
      </c>
      <c r="CL49">
        <f>VLOOKUP(A49,TWX!A$2:G$55,5,0)</f>
        <v>77.2</v>
      </c>
      <c r="CM49">
        <f>VLOOKUP(A49,TXN!A$2:G$55,5,0)</f>
        <v>48.49</v>
      </c>
      <c r="CN49">
        <f>VLOOKUP(A49,UNH!A$2:G$55,5,0)</f>
        <v>87.91</v>
      </c>
      <c r="CO49">
        <f>VLOOKUP(A49,UNP!A$2:G$55,5,0)</f>
        <v>107.46</v>
      </c>
      <c r="CP49">
        <f>VLOOKUP(A49,UPS!A$2:G$55,5,0)</f>
        <v>98.42</v>
      </c>
      <c r="CQ49">
        <f>VLOOKUP(A49,USB!A$2:G$55,5,0)</f>
        <v>42.03</v>
      </c>
      <c r="CR49">
        <f>VLOOKUP(A49,UTX!A$2:G$55,5,0)</f>
        <v>108.6</v>
      </c>
      <c r="CS49">
        <f>VLOOKUP(A49,V!A$2:G$55,5,0)</f>
        <v>215.77</v>
      </c>
      <c r="CT49">
        <f>VLOOKUP(A49,VZ!A$2:G$55,5,0)</f>
        <v>49.53</v>
      </c>
      <c r="CU49">
        <f>VLOOKUP(A49,WAG!A$2:G$55,5,0)</f>
        <v>62.96</v>
      </c>
      <c r="CV49">
        <f>VLOOKUP(A49,WFC!A$2:G$55,5,0)</f>
        <v>51.47</v>
      </c>
      <c r="CW49">
        <f>VLOOKUP(A49,WMT!A$2:G$55,5,0)</f>
        <v>76.53</v>
      </c>
    </row>
    <row r="50" spans="1:101" x14ac:dyDescent="0.25">
      <c r="A50" s="34">
        <v>41891</v>
      </c>
      <c r="B50" s="36">
        <v>97.99</v>
      </c>
      <c r="C50">
        <f>VLOOKUP(A50,ABBV!A$2:G$55,5,0)</f>
        <v>56.95</v>
      </c>
      <c r="D50">
        <f>VLOOKUP(A50,ABT!A$2:G$55,5,0)</f>
        <v>42.83</v>
      </c>
      <c r="E50">
        <f>VLOOKUP(A50,ACN!A$2:G$55,5,0)</f>
        <v>80.95</v>
      </c>
      <c r="F50">
        <f>VLOOKUP(A50,AIG!A$2:G$55,5,0)</f>
        <v>55.08</v>
      </c>
      <c r="G50">
        <f>VLOOKUP(A50,ALL!A$2:G$55,5,0)</f>
        <v>60.84</v>
      </c>
      <c r="H50">
        <f>VLOOKUP(A50,AMGN!A$2:G$55,5,0)</f>
        <v>137.38999999999999</v>
      </c>
      <c r="I50">
        <f>VLOOKUP(A50,AMZN!A$2:G$55,5,0)</f>
        <v>329.75</v>
      </c>
      <c r="J50">
        <f>VLOOKUP(A50,APA!A$2:G$55,5,0)</f>
        <v>97.11</v>
      </c>
      <c r="K50">
        <f>VLOOKUP(A50,APC!A$2:G$55,5,0)</f>
        <v>106.35</v>
      </c>
      <c r="L50">
        <f>VLOOKUP(A50,AXP!A$2:G$55,5,0)</f>
        <v>87.9</v>
      </c>
      <c r="M50">
        <f>VLOOKUP(A50,BA!A$2:G$55,5,0)</f>
        <v>128.21</v>
      </c>
      <c r="N50">
        <f>VLOOKUP(A50,BAC!A$2:G$55,5,0)</f>
        <v>16.14</v>
      </c>
      <c r="O50">
        <f>VLOOKUP(A50,BAX!A$2:G$55,5,0)</f>
        <v>74.27</v>
      </c>
      <c r="P50">
        <f>VLOOKUP(A50,BIIB!A$2:G$55,5,0)</f>
        <v>326.83</v>
      </c>
      <c r="Q50">
        <f>VLOOKUP(A50,BK!A$2:G$55,5,0)</f>
        <v>38.79</v>
      </c>
      <c r="R50">
        <f>VLOOKUP(A50,BMY!A$2:G$55,5,0)</f>
        <v>50.48</v>
      </c>
      <c r="T50">
        <f>VLOOKUP(A50,'C'!A$2:G$55,5,0)</f>
        <v>51.26</v>
      </c>
      <c r="U50">
        <f>VLOOKUP(A50,CAT!A$2:G$55,5,0)</f>
        <v>107.4</v>
      </c>
      <c r="V50">
        <f>VLOOKUP(A50,CL!A$2:G$55,5,0)</f>
        <v>63.43</v>
      </c>
      <c r="W50">
        <f>VLOOKUP(A50,CMCSA!A$2:G$55,5,0)</f>
        <v>56.61</v>
      </c>
      <c r="X50">
        <f>VLOOKUP(A50,COF!A$2:G$55,5,0)</f>
        <v>81.52</v>
      </c>
      <c r="Y50">
        <f>VLOOKUP(A50,COP!A$2:G$55,5,0)</f>
        <v>78.959999999999994</v>
      </c>
      <c r="Z50">
        <f>VLOOKUP(A50,COST!A$2:G$55,5,0)</f>
        <v>126.11</v>
      </c>
      <c r="AA50">
        <f>VLOOKUP(A50,CSCO!A$2:G$55,5,0)</f>
        <v>24.86</v>
      </c>
      <c r="AB50">
        <f>VLOOKUP(A50,CVS!A$2:G$55,5,0)</f>
        <v>80.86</v>
      </c>
      <c r="AC50">
        <f>VLOOKUP(A50,CVX!A$2:G$55,5,0)</f>
        <v>125.18</v>
      </c>
      <c r="AD50">
        <f>VLOOKUP(A50,DD!A$2:G$55,5,0)</f>
        <v>65.27</v>
      </c>
      <c r="AE50">
        <f>VLOOKUP(A50,DIS!A$2:G$55,5,0)</f>
        <v>89.6</v>
      </c>
      <c r="AF50">
        <f>VLOOKUP(A50,DOW!A$2:G$55,5,0)</f>
        <v>53.46</v>
      </c>
      <c r="AG50">
        <f>VLOOKUP(A50,DVN!A$2:G$55,5,0)</f>
        <v>70.75</v>
      </c>
      <c r="AH50">
        <f>VLOOKUP(A50,EBAY!A$2:G$55,5,0)</f>
        <v>52.73</v>
      </c>
      <c r="AI50">
        <f>VLOOKUP(A50,EMC!A$2:G$55,5,0)</f>
        <v>29.22</v>
      </c>
      <c r="AJ50">
        <f>VLOOKUP(A50,EMR!A$2:G$55,5,0)</f>
        <v>65.11</v>
      </c>
      <c r="AK50">
        <f>VLOOKUP(A50,EXC!A$2:G$55,5,0)</f>
        <v>33.119999999999997</v>
      </c>
      <c r="AL50">
        <f>VLOOKUP(A50,F!A$2:G$55,5,0)</f>
        <v>16.63</v>
      </c>
      <c r="AM50">
        <f>VLOOKUP(A50,FB!A$2:G$55,5,0)</f>
        <v>76.67</v>
      </c>
      <c r="AN50">
        <f>VLOOKUP(A50,FCX!A$2:G$55,5,0)</f>
        <v>34.44</v>
      </c>
      <c r="AO50">
        <f>VLOOKUP(A50,FDX!A$2:G$55,5,0)</f>
        <v>151</v>
      </c>
      <c r="AP50">
        <f>VLOOKUP(A50,FOXA!A$2:G$55,5,0)</f>
        <v>35.67</v>
      </c>
      <c r="AQ50">
        <f>VLOOKUP(A50,GD!A$2:G$55,5,0)</f>
        <v>126.26</v>
      </c>
      <c r="AR50">
        <f>VLOOKUP(A50,GE!A$2:G$55,5,0)</f>
        <v>25.9</v>
      </c>
      <c r="AS50">
        <f>VLOOKUP(A50,GILD!A$2:G$55,5,0)</f>
        <v>105.89</v>
      </c>
      <c r="AT50">
        <f>VLOOKUP(A50,GM!A$2:G$55,5,0)</f>
        <v>33.07</v>
      </c>
      <c r="AU50">
        <f>VLOOKUP(A50,GOOG!A$2:G$55,5,0)</f>
        <v>581.01</v>
      </c>
      <c r="AV50">
        <f>VLOOKUP(A50,GOOGL!A$2:G$55,5,0)</f>
        <v>591.97</v>
      </c>
      <c r="AW50">
        <f>VLOOKUP(A50,GS!A$2:G$55,5,0)</f>
        <v>177.4</v>
      </c>
      <c r="AX50">
        <f>VLOOKUP(A50,HAL!A$2:G$55,5,0)</f>
        <v>65.83</v>
      </c>
      <c r="AY50">
        <f>VLOOKUP(A50,HD!A$2:G$55,5,0)</f>
        <v>88.93</v>
      </c>
      <c r="AZ50">
        <f>VLOOKUP(A50,HON!A$2:G$55,5,0)</f>
        <v>94.46</v>
      </c>
      <c r="BA50">
        <f>VLOOKUP(A50,HPQ!A$2:G$55,5,0)</f>
        <v>36.79</v>
      </c>
      <c r="BB50">
        <f>VLOOKUP(A50,IBM!A$2:G$55,5,0)</f>
        <v>189.99</v>
      </c>
      <c r="BC50">
        <f>VLOOKUP(A50,INTC!A$2:G$55,5,0)</f>
        <v>34.909999999999997</v>
      </c>
      <c r="BD50">
        <f>VLOOKUP(A50,JNJ!A$2:G$55,5,0)</f>
        <v>103.8</v>
      </c>
      <c r="BE50">
        <f>VLOOKUP(A50,JPM!A$2:G$55,5,0)</f>
        <v>59.06</v>
      </c>
      <c r="BF50">
        <f>VLOOKUP(A50,KO!A$2:G$55,5,0)</f>
        <v>41.94</v>
      </c>
      <c r="BG50">
        <f>VLOOKUP(A50,LLY!A$2:G$55,5,0)</f>
        <v>64.44</v>
      </c>
      <c r="BH50">
        <f>VLOOKUP(A50,LMT!A$2:G$55,5,0)</f>
        <v>174.94</v>
      </c>
      <c r="BI50">
        <f>VLOOKUP(A50,LOW!A$2:G$55,5,0)</f>
        <v>53.03</v>
      </c>
      <c r="BJ50">
        <f>VLOOKUP(A50,MA!A$2:G$55,5,0)</f>
        <v>76.069999999999993</v>
      </c>
      <c r="BK50">
        <f>VLOOKUP(A50,MCD!A$2:G$55,5,0)</f>
        <v>91.09</v>
      </c>
      <c r="BL50">
        <f>VLOOKUP(A50,MDLZ!A$2:G$55,5,0)</f>
        <v>35.53</v>
      </c>
      <c r="BM50">
        <f>VLOOKUP(A50,MDT!A$2:G$55,5,0)</f>
        <v>65.540000000000006</v>
      </c>
      <c r="BN50">
        <f>VLOOKUP(A50,MET!A$2:G$55,5,0)</f>
        <v>54.29</v>
      </c>
      <c r="BO50">
        <f>VLOOKUP(A50,MMM!A$2:G$55,5,0)</f>
        <v>144.46</v>
      </c>
      <c r="BP50">
        <f>VLOOKUP(A50,MO!A$2:G$55,5,0)</f>
        <v>43.65</v>
      </c>
      <c r="BQ50">
        <f>VLOOKUP(A50,MON!A$2:G$55,5,0)</f>
        <v>114.44</v>
      </c>
      <c r="BR50">
        <f>VLOOKUP(A50,MRK!A$2:G$55,5,0)</f>
        <v>60.56</v>
      </c>
      <c r="BS50">
        <f>VLOOKUP(A50,MS!A$2:G$55,5,0)</f>
        <v>33.909999999999997</v>
      </c>
      <c r="BT50">
        <f>VLOOKUP(A50,MSFT!A$2:G$55,5,0)</f>
        <v>46.76</v>
      </c>
      <c r="BU50">
        <f>VLOOKUP(A50,NKE!A$2:G$55,5,0)</f>
        <v>81.84</v>
      </c>
      <c r="BV50">
        <f>VLOOKUP(A50,NOV!A$2:G$55,5,0)</f>
        <v>81.75</v>
      </c>
      <c r="BW50">
        <f>VLOOKUP(A50,NSC!A$2:G$55,5,0)</f>
        <v>108.78</v>
      </c>
      <c r="BX50">
        <f>VLOOKUP(A50,ORCL!A$2:G$55,5,0)</f>
        <v>40.71</v>
      </c>
      <c r="BY50">
        <f>VLOOKUP(A50,OXY!A$2:G$55,5,0)</f>
        <v>98.35</v>
      </c>
      <c r="BZ50">
        <f>VLOOKUP(A50,PEP!A$2:G$55,5,0)</f>
        <v>91.42</v>
      </c>
      <c r="CA50">
        <f>VLOOKUP(A50,PFE!A$2:G$55,5,0)</f>
        <v>29.23</v>
      </c>
      <c r="CB50">
        <f>VLOOKUP(A50,PG!A$2:G$55,5,0)</f>
        <v>82.99</v>
      </c>
      <c r="CC50">
        <f>VLOOKUP(A50,PM!A$2:G$55,5,0)</f>
        <v>83.83</v>
      </c>
      <c r="CD50">
        <f>VLOOKUP(A50,QCOM!A$2:G$55,5,0)</f>
        <v>75.84</v>
      </c>
      <c r="CE50">
        <f>VLOOKUP(A50,RTN!A$2:G$55,5,0)</f>
        <v>99.34</v>
      </c>
      <c r="CF50">
        <f>VLOOKUP(A50,SBUX!A$2:G$55,5,0)</f>
        <v>77.12</v>
      </c>
      <c r="CG50">
        <f>VLOOKUP(A50,SLB!A$2:G$55,5,0)</f>
        <v>103.97</v>
      </c>
      <c r="CH50">
        <f>VLOOKUP(A50,SO!A$2:G$55,5,0)</f>
        <v>43.97</v>
      </c>
      <c r="CI50">
        <f>VLOOKUP(A50,SPG!A$2:G$55,5,0)</f>
        <v>172.44</v>
      </c>
      <c r="CJ50">
        <f>VLOOKUP(A50,T!A$2:G$55,5,0)</f>
        <v>34.659999999999997</v>
      </c>
      <c r="CK50">
        <f>VLOOKUP(A50,TGT!A$2:G$55,5,0)</f>
        <v>60.88</v>
      </c>
      <c r="CL50">
        <f>VLOOKUP(A50,TWX!A$2:G$55,5,0)</f>
        <v>76.39</v>
      </c>
      <c r="CM50">
        <f>VLOOKUP(A50,TXN!A$2:G$55,5,0)</f>
        <v>48.28</v>
      </c>
      <c r="CN50">
        <f>VLOOKUP(A50,UNH!A$2:G$55,5,0)</f>
        <v>88.56</v>
      </c>
      <c r="CO50">
        <f>VLOOKUP(A50,UNP!A$2:G$55,5,0)</f>
        <v>107.47</v>
      </c>
      <c r="CP50">
        <f>VLOOKUP(A50,UPS!A$2:G$55,5,0)</f>
        <v>97.71</v>
      </c>
      <c r="CQ50">
        <f>VLOOKUP(A50,USB!A$2:G$55,5,0)</f>
        <v>41.6</v>
      </c>
      <c r="CR50">
        <f>VLOOKUP(A50,UTX!A$2:G$55,5,0)</f>
        <v>108.67</v>
      </c>
      <c r="CS50">
        <f>VLOOKUP(A50,V!A$2:G$55,5,0)</f>
        <v>214.28</v>
      </c>
      <c r="CT50">
        <f>VLOOKUP(A50,VZ!A$2:G$55,5,0)</f>
        <v>48.9</v>
      </c>
      <c r="CU50">
        <f>VLOOKUP(A50,WAG!A$2:G$55,5,0)</f>
        <v>62.61</v>
      </c>
      <c r="CV50">
        <f>VLOOKUP(A50,WFC!A$2:G$55,5,0)</f>
        <v>51.07</v>
      </c>
      <c r="CW50">
        <f>VLOOKUP(A50,WMT!A$2:G$55,5,0)</f>
        <v>76.739999999999995</v>
      </c>
    </row>
    <row r="51" spans="1:101" x14ac:dyDescent="0.25">
      <c r="A51" s="34">
        <v>41892</v>
      </c>
      <c r="B51" s="36">
        <v>101</v>
      </c>
      <c r="C51">
        <f>VLOOKUP(A51,ABBV!A$2:G$55,5,0)</f>
        <v>57.19</v>
      </c>
      <c r="D51">
        <f>VLOOKUP(A51,ABT!A$2:G$55,5,0)</f>
        <v>42.9</v>
      </c>
      <c r="E51">
        <f>VLOOKUP(A51,ACN!A$2:G$55,5,0)</f>
        <v>81.209999999999994</v>
      </c>
      <c r="F51">
        <f>VLOOKUP(A51,AIG!A$2:G$55,5,0)</f>
        <v>55.35</v>
      </c>
      <c r="G51">
        <f>VLOOKUP(A51,ALL!A$2:G$55,5,0)</f>
        <v>60.89</v>
      </c>
      <c r="H51">
        <f>VLOOKUP(A51,AMGN!A$2:G$55,5,0)</f>
        <v>139.19</v>
      </c>
      <c r="I51">
        <f>VLOOKUP(A51,AMZN!A$2:G$55,5,0)</f>
        <v>331.33</v>
      </c>
      <c r="J51">
        <f>VLOOKUP(A51,APA!A$2:G$55,5,0)</f>
        <v>97.28</v>
      </c>
      <c r="K51">
        <f>VLOOKUP(A51,APC!A$2:G$55,5,0)</f>
        <v>106.7</v>
      </c>
      <c r="L51">
        <f>VLOOKUP(A51,AXP!A$2:G$55,5,0)</f>
        <v>88.41</v>
      </c>
      <c r="M51">
        <f>VLOOKUP(A51,BA!A$2:G$55,5,0)</f>
        <v>128.22</v>
      </c>
      <c r="N51">
        <f>VLOOKUP(A51,BAC!A$2:G$55,5,0)</f>
        <v>16.36</v>
      </c>
      <c r="O51">
        <f>VLOOKUP(A51,BAX!A$2:G$55,5,0)</f>
        <v>75.28</v>
      </c>
      <c r="P51">
        <f>VLOOKUP(A51,BIIB!A$2:G$55,5,0)</f>
        <v>332.08</v>
      </c>
      <c r="Q51">
        <f>VLOOKUP(A51,BK!A$2:G$55,5,0)</f>
        <v>39.130000000000003</v>
      </c>
      <c r="R51">
        <f>VLOOKUP(A51,BMY!A$2:G$55,5,0)</f>
        <v>51.08</v>
      </c>
      <c r="T51">
        <f>VLOOKUP(A51,'C'!A$2:G$55,5,0)</f>
        <v>51.83</v>
      </c>
      <c r="U51">
        <f>VLOOKUP(A51,CAT!A$2:G$55,5,0)</f>
        <v>105.93</v>
      </c>
      <c r="V51">
        <f>VLOOKUP(A51,CL!A$2:G$55,5,0)</f>
        <v>64</v>
      </c>
      <c r="W51">
        <f>VLOOKUP(A51,CMCSA!A$2:G$55,5,0)</f>
        <v>56.91</v>
      </c>
      <c r="X51">
        <f>VLOOKUP(A51,COF!A$2:G$55,5,0)</f>
        <v>81.23</v>
      </c>
      <c r="Y51">
        <f>VLOOKUP(A51,COP!A$2:G$55,5,0)</f>
        <v>78.989999999999995</v>
      </c>
      <c r="Z51">
        <f>VLOOKUP(A51,COST!A$2:G$55,5,0)</f>
        <v>126.17</v>
      </c>
      <c r="AA51">
        <f>VLOOKUP(A51,CSCO!A$2:G$55,5,0)</f>
        <v>24.93</v>
      </c>
      <c r="AB51">
        <f>VLOOKUP(A51,CVS!A$2:G$55,5,0)</f>
        <v>80.91</v>
      </c>
      <c r="AC51">
        <f>VLOOKUP(A51,CVX!A$2:G$55,5,0)</f>
        <v>124.28</v>
      </c>
      <c r="AD51">
        <f>VLOOKUP(A51,DD!A$2:G$55,5,0)</f>
        <v>65.209999999999994</v>
      </c>
      <c r="AE51">
        <f>VLOOKUP(A51,DIS!A$2:G$55,5,0)</f>
        <v>89.52</v>
      </c>
      <c r="AF51">
        <f>VLOOKUP(A51,DOW!A$2:G$55,5,0)</f>
        <v>53.36</v>
      </c>
      <c r="AG51">
        <f>VLOOKUP(A51,DVN!A$2:G$55,5,0)</f>
        <v>70.67</v>
      </c>
      <c r="AH51">
        <f>VLOOKUP(A51,EBAY!A$2:G$55,5,0)</f>
        <v>51.1</v>
      </c>
      <c r="AI51">
        <f>VLOOKUP(A51,EMC!A$2:G$55,5,0)</f>
        <v>29.5</v>
      </c>
      <c r="AJ51">
        <f>VLOOKUP(A51,EMR!A$2:G$55,5,0)</f>
        <v>65.010000000000005</v>
      </c>
      <c r="AK51">
        <f>VLOOKUP(A51,EXC!A$2:G$55,5,0)</f>
        <v>33.04</v>
      </c>
      <c r="AL51">
        <f>VLOOKUP(A51,F!A$2:G$55,5,0)</f>
        <v>16.63</v>
      </c>
      <c r="AM51">
        <f>VLOOKUP(A51,FB!A$2:G$55,5,0)</f>
        <v>77.430000000000007</v>
      </c>
      <c r="AN51">
        <f>VLOOKUP(A51,FCX!A$2:G$55,5,0)</f>
        <v>34.56</v>
      </c>
      <c r="AO51">
        <f>VLOOKUP(A51,FDX!A$2:G$55,5,0)</f>
        <v>150.76</v>
      </c>
      <c r="AP51">
        <f>VLOOKUP(A51,FOXA!A$2:G$55,5,0)</f>
        <v>35.56</v>
      </c>
      <c r="AQ51">
        <f>VLOOKUP(A51,GD!A$2:G$55,5,0)</f>
        <v>127.42</v>
      </c>
      <c r="AR51">
        <f>VLOOKUP(A51,GE!A$2:G$55,5,0)</f>
        <v>25.95</v>
      </c>
      <c r="AS51">
        <f>VLOOKUP(A51,GILD!A$2:G$55,5,0)</f>
        <v>108.22</v>
      </c>
      <c r="AT51">
        <f>VLOOKUP(A51,GM!A$2:G$55,5,0)</f>
        <v>33.29</v>
      </c>
      <c r="AU51">
        <f>VLOOKUP(A51,GOOG!A$2:G$55,5,0)</f>
        <v>583.1</v>
      </c>
      <c r="AV51">
        <f>VLOOKUP(A51,GOOGL!A$2:G$55,5,0)</f>
        <v>593.41999999999996</v>
      </c>
      <c r="AW51">
        <f>VLOOKUP(A51,GS!A$2:G$55,5,0)</f>
        <v>179.87</v>
      </c>
      <c r="AX51">
        <f>VLOOKUP(A51,HAL!A$2:G$55,5,0)</f>
        <v>66.709999999999994</v>
      </c>
      <c r="AY51">
        <f>VLOOKUP(A51,HD!A$2:G$55,5,0)</f>
        <v>89.25</v>
      </c>
      <c r="AZ51">
        <f>VLOOKUP(A51,HON!A$2:G$55,5,0)</f>
        <v>94.36</v>
      </c>
      <c r="BA51">
        <f>VLOOKUP(A51,HPQ!A$2:G$55,5,0)</f>
        <v>37.03</v>
      </c>
      <c r="BB51">
        <f>VLOOKUP(A51,IBM!A$2:G$55,5,0)</f>
        <v>191.54</v>
      </c>
      <c r="BC51">
        <f>VLOOKUP(A51,INTC!A$2:G$55,5,0)</f>
        <v>35.020000000000003</v>
      </c>
      <c r="BD51">
        <f>VLOOKUP(A51,JNJ!A$2:G$55,5,0)</f>
        <v>104.99</v>
      </c>
      <c r="BE51">
        <f>VLOOKUP(A51,JPM!A$2:G$55,5,0)</f>
        <v>59.22</v>
      </c>
      <c r="BF51">
        <f>VLOOKUP(A51,KO!A$2:G$55,5,0)</f>
        <v>42.17</v>
      </c>
      <c r="BG51">
        <f>VLOOKUP(A51,LLY!A$2:G$55,5,0)</f>
        <v>64.78</v>
      </c>
      <c r="BH51">
        <f>VLOOKUP(A51,LMT!A$2:G$55,5,0)</f>
        <v>174.59</v>
      </c>
      <c r="BI51">
        <f>VLOOKUP(A51,LOW!A$2:G$55,5,0)</f>
        <v>53.39</v>
      </c>
      <c r="BJ51">
        <f>VLOOKUP(A51,MA!A$2:G$55,5,0)</f>
        <v>76.650000000000006</v>
      </c>
      <c r="BK51">
        <f>VLOOKUP(A51,MCD!A$2:G$55,5,0)</f>
        <v>93</v>
      </c>
      <c r="BL51">
        <f>VLOOKUP(A51,MDLZ!A$2:G$55,5,0)</f>
        <v>35.6</v>
      </c>
      <c r="BM51">
        <f>VLOOKUP(A51,MDT!A$2:G$55,5,0)</f>
        <v>65.97</v>
      </c>
      <c r="BN51">
        <f>VLOOKUP(A51,MET!A$2:G$55,5,0)</f>
        <v>54.7</v>
      </c>
      <c r="BO51">
        <f>VLOOKUP(A51,MMM!A$2:G$55,5,0)</f>
        <v>144.63999999999999</v>
      </c>
      <c r="BP51">
        <f>VLOOKUP(A51,MO!A$2:G$55,5,0)</f>
        <v>43.86</v>
      </c>
      <c r="BQ51">
        <f>VLOOKUP(A51,MON!A$2:G$55,5,0)</f>
        <v>113.01</v>
      </c>
      <c r="BR51">
        <f>VLOOKUP(A51,MRK!A$2:G$55,5,0)</f>
        <v>60.76</v>
      </c>
      <c r="BS51">
        <f>VLOOKUP(A51,MS!A$2:G$55,5,0)</f>
        <v>34.33</v>
      </c>
      <c r="BT51">
        <f>VLOOKUP(A51,MSFT!A$2:G$55,5,0)</f>
        <v>46.84</v>
      </c>
      <c r="BU51">
        <f>VLOOKUP(A51,NKE!A$2:G$55,5,0)</f>
        <v>82.47</v>
      </c>
      <c r="BV51">
        <f>VLOOKUP(A51,NOV!A$2:G$55,5,0)</f>
        <v>81.489999999999995</v>
      </c>
      <c r="BW51">
        <f>VLOOKUP(A51,NSC!A$2:G$55,5,0)</f>
        <v>107.99</v>
      </c>
      <c r="BX51">
        <f>VLOOKUP(A51,ORCL!A$2:G$55,5,0)</f>
        <v>40.71</v>
      </c>
      <c r="BY51">
        <f>VLOOKUP(A51,OXY!A$2:G$55,5,0)</f>
        <v>98.54</v>
      </c>
      <c r="BZ51">
        <f>VLOOKUP(A51,PEP!A$2:G$55,5,0)</f>
        <v>91.79</v>
      </c>
      <c r="CA51">
        <f>VLOOKUP(A51,PFE!A$2:G$55,5,0)</f>
        <v>29.44</v>
      </c>
      <c r="CB51">
        <f>VLOOKUP(A51,PG!A$2:G$55,5,0)</f>
        <v>83.64</v>
      </c>
      <c r="CC51">
        <f>VLOOKUP(A51,PM!A$2:G$55,5,0)</f>
        <v>84.19</v>
      </c>
      <c r="CD51">
        <f>VLOOKUP(A51,QCOM!A$2:G$55,5,0)</f>
        <v>75.930000000000007</v>
      </c>
      <c r="CE51">
        <f>VLOOKUP(A51,RTN!A$2:G$55,5,0)</f>
        <v>100.9</v>
      </c>
      <c r="CF51">
        <f>VLOOKUP(A51,SBUX!A$2:G$55,5,0)</f>
        <v>77.209999999999994</v>
      </c>
      <c r="CG51">
        <f>VLOOKUP(A51,SLB!A$2:G$55,5,0)</f>
        <v>104.27</v>
      </c>
      <c r="CH51">
        <f>VLOOKUP(A51,SO!A$2:G$55,5,0)</f>
        <v>43.76</v>
      </c>
      <c r="CI51">
        <f>VLOOKUP(A51,SPG!A$2:G$55,5,0)</f>
        <v>170.43</v>
      </c>
      <c r="CJ51">
        <f>VLOOKUP(A51,T!A$2:G$55,5,0)</f>
        <v>34.700000000000003</v>
      </c>
      <c r="CK51">
        <f>VLOOKUP(A51,TGT!A$2:G$55,5,0)</f>
        <v>61.95</v>
      </c>
      <c r="CL51">
        <f>VLOOKUP(A51,TWX!A$2:G$55,5,0)</f>
        <v>75.930000000000007</v>
      </c>
      <c r="CM51">
        <f>VLOOKUP(A51,TXN!A$2:G$55,5,0)</f>
        <v>47.99</v>
      </c>
      <c r="CN51">
        <f>VLOOKUP(A51,UNH!A$2:G$55,5,0)</f>
        <v>87.25</v>
      </c>
      <c r="CO51">
        <f>VLOOKUP(A51,UNP!A$2:G$55,5,0)</f>
        <v>107.38</v>
      </c>
      <c r="CP51">
        <f>VLOOKUP(A51,UPS!A$2:G$55,5,0)</f>
        <v>97.62</v>
      </c>
      <c r="CQ51">
        <f>VLOOKUP(A51,USB!A$2:G$55,5,0)</f>
        <v>41.84</v>
      </c>
      <c r="CR51">
        <f>VLOOKUP(A51,UTX!A$2:G$55,5,0)</f>
        <v>108.5</v>
      </c>
      <c r="CS51">
        <f>VLOOKUP(A51,V!A$2:G$55,5,0)</f>
        <v>216.88</v>
      </c>
      <c r="CT51">
        <f>VLOOKUP(A51,VZ!A$2:G$55,5,0)</f>
        <v>48.75</v>
      </c>
      <c r="CU51">
        <f>VLOOKUP(A51,WAG!A$2:G$55,5,0)</f>
        <v>63.32</v>
      </c>
      <c r="CV51">
        <f>VLOOKUP(A51,WFC!A$2:G$55,5,0)</f>
        <v>51.52</v>
      </c>
      <c r="CW51">
        <f>VLOOKUP(A51,WMT!A$2:G$55,5,0)</f>
        <v>76.510000000000005</v>
      </c>
    </row>
    <row r="52" spans="1:101" x14ac:dyDescent="0.25">
      <c r="A52" s="34">
        <v>41893</v>
      </c>
      <c r="B52" s="36">
        <v>101.43</v>
      </c>
      <c r="C52">
        <f>VLOOKUP(A52,ABBV!A$2:G$55,5,0)</f>
        <v>57.85</v>
      </c>
      <c r="D52">
        <f>VLOOKUP(A52,ABT!A$2:G$55,5,0)</f>
        <v>42.56</v>
      </c>
      <c r="E52">
        <f>VLOOKUP(A52,ACN!A$2:G$55,5,0)</f>
        <v>81.510000000000005</v>
      </c>
      <c r="F52">
        <f>VLOOKUP(A52,AIG!A$2:G$55,5,0)</f>
        <v>55.43</v>
      </c>
      <c r="G52">
        <f>VLOOKUP(A52,ALL!A$2:G$55,5,0)</f>
        <v>61.21</v>
      </c>
      <c r="H52">
        <f>VLOOKUP(A52,AMGN!A$2:G$55,5,0)</f>
        <v>138.96</v>
      </c>
      <c r="I52">
        <f>VLOOKUP(A52,AMZN!A$2:G$55,5,0)</f>
        <v>330.52</v>
      </c>
      <c r="J52">
        <f>VLOOKUP(A52,APA!A$2:G$55,5,0)</f>
        <v>97.63</v>
      </c>
      <c r="K52">
        <f>VLOOKUP(A52,APC!A$2:G$55,5,0)</f>
        <v>107.39</v>
      </c>
      <c r="L52">
        <f>VLOOKUP(A52,AXP!A$2:G$55,5,0)</f>
        <v>88.42</v>
      </c>
      <c r="M52">
        <f>VLOOKUP(A52,BA!A$2:G$55,5,0)</f>
        <v>127.64</v>
      </c>
      <c r="N52">
        <f>VLOOKUP(A52,BAC!A$2:G$55,5,0)</f>
        <v>16.57</v>
      </c>
      <c r="O52">
        <f>VLOOKUP(A52,BAX!A$2:G$55,5,0)</f>
        <v>75.09</v>
      </c>
      <c r="P52">
        <f>VLOOKUP(A52,BIIB!A$2:G$55,5,0)</f>
        <v>327.11</v>
      </c>
      <c r="Q52">
        <f>VLOOKUP(A52,BK!A$2:G$55,5,0)</f>
        <v>39.369999999999997</v>
      </c>
      <c r="R52">
        <f>VLOOKUP(A52,BMY!A$2:G$55,5,0)</f>
        <v>50.68</v>
      </c>
      <c r="T52">
        <f>VLOOKUP(A52,'C'!A$2:G$55,5,0)</f>
        <v>52.23</v>
      </c>
      <c r="U52">
        <f>VLOOKUP(A52,CAT!A$2:G$55,5,0)</f>
        <v>105.59</v>
      </c>
      <c r="V52">
        <f>VLOOKUP(A52,CL!A$2:G$55,5,0)</f>
        <v>64.42</v>
      </c>
      <c r="W52">
        <f>VLOOKUP(A52,CMCSA!A$2:G$55,5,0)</f>
        <v>56.98</v>
      </c>
      <c r="X52">
        <f>VLOOKUP(A52,COF!A$2:G$55,5,0)</f>
        <v>81.23</v>
      </c>
      <c r="Y52">
        <f>VLOOKUP(A52,COP!A$2:G$55,5,0)</f>
        <v>79.38</v>
      </c>
      <c r="Z52">
        <f>VLOOKUP(A52,COST!A$2:G$55,5,0)</f>
        <v>125.94</v>
      </c>
      <c r="AA52">
        <f>VLOOKUP(A52,CSCO!A$2:G$55,5,0)</f>
        <v>25.18</v>
      </c>
      <c r="AB52">
        <f>VLOOKUP(A52,CVS!A$2:G$55,5,0)</f>
        <v>81.09</v>
      </c>
      <c r="AC52">
        <f>VLOOKUP(A52,CVX!A$2:G$55,5,0)</f>
        <v>123.83</v>
      </c>
      <c r="AD52">
        <f>VLOOKUP(A52,DD!A$2:G$55,5,0)</f>
        <v>65.13</v>
      </c>
      <c r="AE52">
        <f>VLOOKUP(A52,DIS!A$2:G$55,5,0)</f>
        <v>89.97</v>
      </c>
      <c r="AF52">
        <f>VLOOKUP(A52,DOW!A$2:G$55,5,0)</f>
        <v>52.88</v>
      </c>
      <c r="AG52">
        <f>VLOOKUP(A52,DVN!A$2:G$55,5,0)</f>
        <v>70.63</v>
      </c>
      <c r="AH52">
        <f>VLOOKUP(A52,EBAY!A$2:G$55,5,0)</f>
        <v>50.68</v>
      </c>
      <c r="AI52">
        <f>VLOOKUP(A52,EMC!A$2:G$55,5,0)</f>
        <v>29.69</v>
      </c>
      <c r="AJ52">
        <f>VLOOKUP(A52,EMR!A$2:G$55,5,0)</f>
        <v>64.66</v>
      </c>
      <c r="AK52">
        <f>VLOOKUP(A52,EXC!A$2:G$55,5,0)</f>
        <v>33.25</v>
      </c>
      <c r="AL52">
        <f>VLOOKUP(A52,F!A$2:G$55,5,0)</f>
        <v>16.66</v>
      </c>
      <c r="AM52">
        <f>VLOOKUP(A52,FB!A$2:G$55,5,0)</f>
        <v>77.92</v>
      </c>
      <c r="AN52">
        <f>VLOOKUP(A52,FCX!A$2:G$55,5,0)</f>
        <v>34.56</v>
      </c>
      <c r="AO52">
        <f>VLOOKUP(A52,FDX!A$2:G$55,5,0)</f>
        <v>152.53</v>
      </c>
      <c r="AP52">
        <f>VLOOKUP(A52,FOXA!A$2:G$55,5,0)</f>
        <v>35.299999999999997</v>
      </c>
      <c r="AQ52">
        <f>VLOOKUP(A52,GD!A$2:G$55,5,0)</f>
        <v>126.62</v>
      </c>
      <c r="AR52">
        <f>VLOOKUP(A52,GE!A$2:G$55,5,0)</f>
        <v>26.02</v>
      </c>
      <c r="AS52">
        <f>VLOOKUP(A52,GILD!A$2:G$55,5,0)</f>
        <v>106.39</v>
      </c>
      <c r="AT52">
        <f>VLOOKUP(A52,GM!A$2:G$55,5,0)</f>
        <v>33.61</v>
      </c>
      <c r="AU52">
        <f>VLOOKUP(A52,GOOG!A$2:G$55,5,0)</f>
        <v>581.35</v>
      </c>
      <c r="AV52">
        <f>VLOOKUP(A52,GOOGL!A$2:G$55,5,0)</f>
        <v>591.11</v>
      </c>
      <c r="AW52">
        <f>VLOOKUP(A52,GS!A$2:G$55,5,0)</f>
        <v>181</v>
      </c>
      <c r="AX52">
        <f>VLOOKUP(A52,HAL!A$2:G$55,5,0)</f>
        <v>67.069999999999993</v>
      </c>
      <c r="AY52">
        <f>VLOOKUP(A52,HD!A$2:G$55,5,0)</f>
        <v>89.22</v>
      </c>
      <c r="AZ52">
        <f>VLOOKUP(A52,HON!A$2:G$55,5,0)</f>
        <v>94.74</v>
      </c>
      <c r="BA52">
        <f>VLOOKUP(A52,HPQ!A$2:G$55,5,0)</f>
        <v>36.76</v>
      </c>
      <c r="BB52">
        <f>VLOOKUP(A52,IBM!A$2:G$55,5,0)</f>
        <v>191.72</v>
      </c>
      <c r="BC52">
        <f>VLOOKUP(A52,INTC!A$2:G$55,5,0)</f>
        <v>35.020000000000003</v>
      </c>
      <c r="BD52">
        <f>VLOOKUP(A52,JNJ!A$2:G$55,5,0)</f>
        <v>104.55</v>
      </c>
      <c r="BE52">
        <f>VLOOKUP(A52,JPM!A$2:G$55,5,0)</f>
        <v>59.76</v>
      </c>
      <c r="BF52">
        <f>VLOOKUP(A52,KO!A$2:G$55,5,0)</f>
        <v>41.95</v>
      </c>
      <c r="BG52">
        <f>VLOOKUP(A52,LLY!A$2:G$55,5,0)</f>
        <v>65.180000000000007</v>
      </c>
      <c r="BH52">
        <f>VLOOKUP(A52,LMT!A$2:G$55,5,0)</f>
        <v>174.2</v>
      </c>
      <c r="BI52">
        <f>VLOOKUP(A52,LOW!A$2:G$55,5,0)</f>
        <v>53.08</v>
      </c>
      <c r="BJ52">
        <f>VLOOKUP(A52,MA!A$2:G$55,5,0)</f>
        <v>75.62</v>
      </c>
      <c r="BK52">
        <f>VLOOKUP(A52,MCD!A$2:G$55,5,0)</f>
        <v>92.96</v>
      </c>
      <c r="BL52">
        <f>VLOOKUP(A52,MDLZ!A$2:G$55,5,0)</f>
        <v>35.75</v>
      </c>
      <c r="BM52">
        <f>VLOOKUP(A52,MDT!A$2:G$55,5,0)</f>
        <v>65.739999999999995</v>
      </c>
      <c r="BN52">
        <f>VLOOKUP(A52,MET!A$2:G$55,5,0)</f>
        <v>54.71</v>
      </c>
      <c r="BO52">
        <f>VLOOKUP(A52,MMM!A$2:G$55,5,0)</f>
        <v>144.35</v>
      </c>
      <c r="BP52">
        <f>VLOOKUP(A52,MO!A$2:G$55,5,0)</f>
        <v>43.19</v>
      </c>
      <c r="BQ52">
        <f>VLOOKUP(A52,MON!A$2:G$55,5,0)</f>
        <v>113.62</v>
      </c>
      <c r="BR52">
        <f>VLOOKUP(A52,MRK!A$2:G$55,5,0)</f>
        <v>60.1</v>
      </c>
      <c r="BS52">
        <f>VLOOKUP(A52,MS!A$2:G$55,5,0)</f>
        <v>34.729999999999997</v>
      </c>
      <c r="BT52">
        <f>VLOOKUP(A52,MSFT!A$2:G$55,5,0)</f>
        <v>47</v>
      </c>
      <c r="BU52">
        <f>VLOOKUP(A52,NKE!A$2:G$55,5,0)</f>
        <v>81.819999999999993</v>
      </c>
      <c r="BV52">
        <f>VLOOKUP(A52,NOV!A$2:G$55,5,0)</f>
        <v>82.49</v>
      </c>
      <c r="BW52">
        <f>VLOOKUP(A52,NSC!A$2:G$55,5,0)</f>
        <v>108.64</v>
      </c>
      <c r="BX52">
        <f>VLOOKUP(A52,ORCL!A$2:G$55,5,0)</f>
        <v>40.68</v>
      </c>
      <c r="BY52">
        <f>VLOOKUP(A52,OXY!A$2:G$55,5,0)</f>
        <v>98.35</v>
      </c>
      <c r="BZ52">
        <f>VLOOKUP(A52,PEP!A$2:G$55,5,0)</f>
        <v>91.65</v>
      </c>
      <c r="CA52">
        <f>VLOOKUP(A52,PFE!A$2:G$55,5,0)</f>
        <v>29.63</v>
      </c>
      <c r="CB52">
        <f>VLOOKUP(A52,PG!A$2:G$55,5,0)</f>
        <v>83.49</v>
      </c>
      <c r="CC52">
        <f>VLOOKUP(A52,PM!A$2:G$55,5,0)</f>
        <v>84.5</v>
      </c>
      <c r="CD52">
        <f>VLOOKUP(A52,QCOM!A$2:G$55,5,0)</f>
        <v>76.11</v>
      </c>
      <c r="CE52">
        <f>VLOOKUP(A52,RTN!A$2:G$55,5,0)</f>
        <v>100.93</v>
      </c>
      <c r="CF52">
        <f>VLOOKUP(A52,SBUX!A$2:G$55,5,0)</f>
        <v>76.12</v>
      </c>
      <c r="CG52">
        <f>VLOOKUP(A52,SLB!A$2:G$55,5,0)</f>
        <v>104.45</v>
      </c>
      <c r="CH52">
        <f>VLOOKUP(A52,SO!A$2:G$55,5,0)</f>
        <v>44.06</v>
      </c>
      <c r="CI52">
        <f>VLOOKUP(A52,SPG!A$2:G$55,5,0)</f>
        <v>169.92</v>
      </c>
      <c r="CJ52">
        <f>VLOOKUP(A52,T!A$2:G$55,5,0)</f>
        <v>34.85</v>
      </c>
      <c r="CK52">
        <f>VLOOKUP(A52,TGT!A$2:G$55,5,0)</f>
        <v>62.59</v>
      </c>
      <c r="CL52">
        <f>VLOOKUP(A52,TWX!A$2:G$55,5,0)</f>
        <v>76.760000000000005</v>
      </c>
      <c r="CM52">
        <f>VLOOKUP(A52,TXN!A$2:G$55,5,0)</f>
        <v>48.15</v>
      </c>
      <c r="CN52">
        <f>VLOOKUP(A52,UNH!A$2:G$55,5,0)</f>
        <v>87.08</v>
      </c>
      <c r="CO52">
        <f>VLOOKUP(A52,UNP!A$2:G$55,5,0)</f>
        <v>107.71</v>
      </c>
      <c r="CP52">
        <f>VLOOKUP(A52,UPS!A$2:G$55,5,0)</f>
        <v>97.94</v>
      </c>
      <c r="CQ52">
        <f>VLOOKUP(A52,USB!A$2:G$55,5,0)</f>
        <v>42.1</v>
      </c>
      <c r="CR52">
        <f>VLOOKUP(A52,UTX!A$2:G$55,5,0)</f>
        <v>108.51</v>
      </c>
      <c r="CS52">
        <f>VLOOKUP(A52,V!A$2:G$55,5,0)</f>
        <v>214.95</v>
      </c>
      <c r="CT52">
        <f>VLOOKUP(A52,VZ!A$2:G$55,5,0)</f>
        <v>49.01</v>
      </c>
      <c r="CU52">
        <f>VLOOKUP(A52,WAG!A$2:G$55,5,0)</f>
        <v>63.44</v>
      </c>
      <c r="CV52">
        <f>VLOOKUP(A52,WFC!A$2:G$55,5,0)</f>
        <v>51.59</v>
      </c>
      <c r="CW52">
        <f>VLOOKUP(A52,WMT!A$2:G$55,5,0)</f>
        <v>76.099999999999994</v>
      </c>
    </row>
    <row r="53" spans="1:101" x14ac:dyDescent="0.25">
      <c r="A53" s="34">
        <v>41894</v>
      </c>
      <c r="B53" s="36">
        <v>101.66</v>
      </c>
      <c r="C53">
        <f>VLOOKUP(A53,ABBV!A$2:G$55,5,0)</f>
        <v>57.88</v>
      </c>
      <c r="D53">
        <f>VLOOKUP(A53,ABT!A$2:G$55,5,0)</f>
        <v>42.55</v>
      </c>
      <c r="E53">
        <f>VLOOKUP(A53,ACN!A$2:G$55,5,0)</f>
        <v>80.97</v>
      </c>
      <c r="F53">
        <f>VLOOKUP(A53,AIG!A$2:G$55,5,0)</f>
        <v>55.19</v>
      </c>
      <c r="G53">
        <f>VLOOKUP(A53,ALL!A$2:G$55,5,0)</f>
        <v>61</v>
      </c>
      <c r="H53">
        <f>VLOOKUP(A53,AMGN!A$2:G$55,5,0)</f>
        <v>137.88999999999999</v>
      </c>
      <c r="I53">
        <f>VLOOKUP(A53,AMZN!A$2:G$55,5,0)</f>
        <v>331.19</v>
      </c>
      <c r="J53">
        <f>VLOOKUP(A53,APA!A$2:G$55,5,0)</f>
        <v>96.24</v>
      </c>
      <c r="K53">
        <f>VLOOKUP(A53,APC!A$2:G$55,5,0)</f>
        <v>105.46</v>
      </c>
      <c r="L53">
        <f>VLOOKUP(A53,AXP!A$2:G$55,5,0)</f>
        <v>87.64</v>
      </c>
      <c r="M53">
        <f>VLOOKUP(A53,BA!A$2:G$55,5,0)</f>
        <v>126.95</v>
      </c>
      <c r="N53">
        <f>VLOOKUP(A53,BAC!A$2:G$55,5,0)</f>
        <v>16.79</v>
      </c>
      <c r="O53">
        <f>VLOOKUP(A53,BAX!A$2:G$55,5,0)</f>
        <v>74.7</v>
      </c>
      <c r="P53">
        <f>VLOOKUP(A53,BIIB!A$2:G$55,5,0)</f>
        <v>323.39</v>
      </c>
      <c r="Q53">
        <f>VLOOKUP(A53,BK!A$2:G$55,5,0)</f>
        <v>39.9</v>
      </c>
      <c r="R53">
        <f>VLOOKUP(A53,BMY!A$2:G$55,5,0)</f>
        <v>50.26</v>
      </c>
      <c r="T53">
        <f>VLOOKUP(A53,'C'!A$2:G$55,5,0)</f>
        <v>52.38</v>
      </c>
      <c r="U53">
        <f>VLOOKUP(A53,CAT!A$2:G$55,5,0)</f>
        <v>105.02</v>
      </c>
      <c r="V53">
        <f>VLOOKUP(A53,CL!A$2:G$55,5,0)</f>
        <v>64.48</v>
      </c>
      <c r="W53">
        <f>VLOOKUP(A53,CMCSA!A$2:G$55,5,0)</f>
        <v>57.08</v>
      </c>
      <c r="X53">
        <f>VLOOKUP(A53,COF!A$2:G$55,5,0)</f>
        <v>80.94</v>
      </c>
      <c r="Y53">
        <f>VLOOKUP(A53,COP!A$2:G$55,5,0)</f>
        <v>78.45</v>
      </c>
      <c r="Z53">
        <f>VLOOKUP(A53,COST!A$2:G$55,5,0)</f>
        <v>125.37</v>
      </c>
      <c r="AA53">
        <f>VLOOKUP(A53,CSCO!A$2:G$55,5,0)</f>
        <v>25.16</v>
      </c>
      <c r="AB53">
        <f>VLOOKUP(A53,CVS!A$2:G$55,5,0)</f>
        <v>80.569999999999993</v>
      </c>
      <c r="AC53">
        <f>VLOOKUP(A53,CVX!A$2:G$55,5,0)</f>
        <v>122.66</v>
      </c>
      <c r="AD53">
        <f>VLOOKUP(A53,DD!A$2:G$55,5,0)</f>
        <v>64.78</v>
      </c>
      <c r="AE53">
        <f>VLOOKUP(A53,DIS!A$2:G$55,5,0)</f>
        <v>89.67</v>
      </c>
      <c r="AF53">
        <f>VLOOKUP(A53,DOW!A$2:G$55,5,0)</f>
        <v>52.67</v>
      </c>
      <c r="AG53">
        <f>VLOOKUP(A53,DVN!A$2:G$55,5,0)</f>
        <v>69.95</v>
      </c>
      <c r="AH53">
        <f>VLOOKUP(A53,EBAY!A$2:G$55,5,0)</f>
        <v>52.19</v>
      </c>
      <c r="AI53">
        <f>VLOOKUP(A53,EMC!A$2:G$55,5,0)</f>
        <v>29.65</v>
      </c>
      <c r="AJ53">
        <f>VLOOKUP(A53,EMR!A$2:G$55,5,0)</f>
        <v>64.489999999999995</v>
      </c>
      <c r="AK53">
        <f>VLOOKUP(A53,EXC!A$2:G$55,5,0)</f>
        <v>32.86</v>
      </c>
      <c r="AL53">
        <f>VLOOKUP(A53,F!A$2:G$55,5,0)</f>
        <v>16.59</v>
      </c>
      <c r="AM53">
        <f>VLOOKUP(A53,FB!A$2:G$55,5,0)</f>
        <v>77.48</v>
      </c>
      <c r="AN53">
        <f>VLOOKUP(A53,FCX!A$2:G$55,5,0)</f>
        <v>34.24</v>
      </c>
      <c r="AO53">
        <f>VLOOKUP(A53,FDX!A$2:G$55,5,0)</f>
        <v>153.77000000000001</v>
      </c>
      <c r="AP53">
        <f>VLOOKUP(A53,FOXA!A$2:G$55,5,0)</f>
        <v>35.049999999999997</v>
      </c>
      <c r="AQ53">
        <f>VLOOKUP(A53,GD!A$2:G$55,5,0)</f>
        <v>126.4</v>
      </c>
      <c r="AR53">
        <f>VLOOKUP(A53,GE!A$2:G$55,5,0)</f>
        <v>25.87</v>
      </c>
      <c r="AS53">
        <f>VLOOKUP(A53,GILD!A$2:G$55,5,0)</f>
        <v>103.66</v>
      </c>
      <c r="AT53">
        <f>VLOOKUP(A53,GM!A$2:G$55,5,0)</f>
        <v>33.270000000000003</v>
      </c>
      <c r="AU53">
        <f>VLOOKUP(A53,GOOG!A$2:G$55,5,0)</f>
        <v>575.62</v>
      </c>
      <c r="AV53">
        <f>VLOOKUP(A53,GOOGL!A$2:G$55,5,0)</f>
        <v>584.9</v>
      </c>
      <c r="AW53">
        <f>VLOOKUP(A53,GS!A$2:G$55,5,0)</f>
        <v>183.17</v>
      </c>
      <c r="AX53">
        <f>VLOOKUP(A53,HAL!A$2:G$55,5,0)</f>
        <v>65.86</v>
      </c>
      <c r="AY53">
        <f>VLOOKUP(A53,HD!A$2:G$55,5,0)</f>
        <v>88.84</v>
      </c>
      <c r="AZ53">
        <f>VLOOKUP(A53,HON!A$2:G$55,5,0)</f>
        <v>94.5</v>
      </c>
      <c r="BA53">
        <f>VLOOKUP(A53,HPQ!A$2:G$55,5,0)</f>
        <v>36.56</v>
      </c>
      <c r="BB53">
        <f>VLOOKUP(A53,IBM!A$2:G$55,5,0)</f>
        <v>191.28</v>
      </c>
      <c r="BC53">
        <f>VLOOKUP(A53,INTC!A$2:G$55,5,0)</f>
        <v>34.619999999999997</v>
      </c>
      <c r="BD53">
        <f>VLOOKUP(A53,JNJ!A$2:G$55,5,0)</f>
        <v>104.58</v>
      </c>
      <c r="BE53">
        <f>VLOOKUP(A53,JPM!A$2:G$55,5,0)</f>
        <v>60.03</v>
      </c>
      <c r="BF53">
        <f>VLOOKUP(A53,KO!A$2:G$55,5,0)</f>
        <v>41.46</v>
      </c>
      <c r="BG53">
        <f>VLOOKUP(A53,LLY!A$2:G$55,5,0)</f>
        <v>65.27</v>
      </c>
      <c r="BH53">
        <f>VLOOKUP(A53,LMT!A$2:G$55,5,0)</f>
        <v>174.43</v>
      </c>
      <c r="BI53">
        <f>VLOOKUP(A53,LOW!A$2:G$55,5,0)</f>
        <v>52.97</v>
      </c>
      <c r="BJ53">
        <f>VLOOKUP(A53,MA!A$2:G$55,5,0)</f>
        <v>75.47</v>
      </c>
      <c r="BK53">
        <f>VLOOKUP(A53,MCD!A$2:G$55,5,0)</f>
        <v>93.34</v>
      </c>
      <c r="BL53">
        <f>VLOOKUP(A53,MDLZ!A$2:G$55,5,0)</f>
        <v>35.32</v>
      </c>
      <c r="BM53">
        <f>VLOOKUP(A53,MDT!A$2:G$55,5,0)</f>
        <v>65.19</v>
      </c>
      <c r="BN53">
        <f>VLOOKUP(A53,MET!A$2:G$55,5,0)</f>
        <v>55.47</v>
      </c>
      <c r="BO53">
        <f>VLOOKUP(A53,MMM!A$2:G$55,5,0)</f>
        <v>143.94</v>
      </c>
      <c r="BP53">
        <f>VLOOKUP(A53,MO!A$2:G$55,5,0)</f>
        <v>43.16</v>
      </c>
      <c r="BQ53">
        <f>VLOOKUP(A53,MON!A$2:G$55,5,0)</f>
        <v>113.05</v>
      </c>
      <c r="BR53">
        <f>VLOOKUP(A53,MRK!A$2:G$55,5,0)</f>
        <v>59.55</v>
      </c>
      <c r="BS53">
        <f>VLOOKUP(A53,MS!A$2:G$55,5,0)</f>
        <v>35.01</v>
      </c>
      <c r="BT53">
        <f>VLOOKUP(A53,MSFT!A$2:G$55,5,0)</f>
        <v>46.7</v>
      </c>
      <c r="BU53">
        <f>VLOOKUP(A53,NKE!A$2:G$55,5,0)</f>
        <v>81.84</v>
      </c>
      <c r="BV53">
        <f>VLOOKUP(A53,NOV!A$2:G$55,5,0)</f>
        <v>80.64</v>
      </c>
      <c r="BW53">
        <f>VLOOKUP(A53,NSC!A$2:G$55,5,0)</f>
        <v>107.89</v>
      </c>
      <c r="BX53">
        <f>VLOOKUP(A53,ORCL!A$2:G$55,5,0)</f>
        <v>40.5</v>
      </c>
      <c r="BY53">
        <f>VLOOKUP(A53,OXY!A$2:G$55,5,0)</f>
        <v>97.4</v>
      </c>
      <c r="BZ53">
        <f>VLOOKUP(A53,PEP!A$2:G$55,5,0)</f>
        <v>90.87</v>
      </c>
      <c r="CA53">
        <f>VLOOKUP(A53,PFE!A$2:G$55,5,0)</f>
        <v>29.43</v>
      </c>
      <c r="CB53">
        <f>VLOOKUP(A53,PG!A$2:G$55,5,0)</f>
        <v>83.26</v>
      </c>
      <c r="CC53">
        <f>VLOOKUP(A53,PM!A$2:G$55,5,0)</f>
        <v>84.02</v>
      </c>
      <c r="CD53">
        <f>VLOOKUP(A53,QCOM!A$2:G$55,5,0)</f>
        <v>75.33</v>
      </c>
      <c r="CE53">
        <f>VLOOKUP(A53,RTN!A$2:G$55,5,0)</f>
        <v>100.77</v>
      </c>
      <c r="CF53">
        <f>VLOOKUP(A53,SBUX!A$2:G$55,5,0)</f>
        <v>75.47</v>
      </c>
      <c r="CG53">
        <f>VLOOKUP(A53,SLB!A$2:G$55,5,0)</f>
        <v>102.22</v>
      </c>
      <c r="CH53">
        <f>VLOOKUP(A53,SO!A$2:G$55,5,0)</f>
        <v>43.36</v>
      </c>
      <c r="CI53">
        <f>VLOOKUP(A53,SPG!A$2:G$55,5,0)</f>
        <v>165.5</v>
      </c>
      <c r="CJ53">
        <f>VLOOKUP(A53,T!A$2:G$55,5,0)</f>
        <v>34.5</v>
      </c>
      <c r="CK53">
        <f>VLOOKUP(A53,TGT!A$2:G$55,5,0)</f>
        <v>62.53</v>
      </c>
      <c r="CL53">
        <f>VLOOKUP(A53,TWX!A$2:G$55,5,0)</f>
        <v>76.81</v>
      </c>
      <c r="CM53">
        <f>VLOOKUP(A53,TXN!A$2:G$55,5,0)</f>
        <v>47.83</v>
      </c>
      <c r="CN53">
        <f>VLOOKUP(A53,UNH!A$2:G$55,5,0)</f>
        <v>86.18</v>
      </c>
      <c r="CO53">
        <f>VLOOKUP(A53,UNP!A$2:G$55,5,0)</f>
        <v>107.01</v>
      </c>
      <c r="CP53">
        <f>VLOOKUP(A53,UPS!A$2:G$55,5,0)</f>
        <v>98.05</v>
      </c>
      <c r="CQ53">
        <f>VLOOKUP(A53,USB!A$2:G$55,5,0)</f>
        <v>42.2</v>
      </c>
      <c r="CR53">
        <f>VLOOKUP(A53,UTX!A$2:G$55,5,0)</f>
        <v>108.35</v>
      </c>
      <c r="CS53">
        <f>VLOOKUP(A53,V!A$2:G$55,5,0)</f>
        <v>214.04</v>
      </c>
      <c r="CT53">
        <f>VLOOKUP(A53,VZ!A$2:G$55,5,0)</f>
        <v>48.4</v>
      </c>
      <c r="CU53">
        <f>VLOOKUP(A53,WAG!A$2:G$55,5,0)</f>
        <v>62.82</v>
      </c>
      <c r="CV53">
        <f>VLOOKUP(A53,WFC!A$2:G$55,5,0)</f>
        <v>51.7</v>
      </c>
      <c r="CW53">
        <f>VLOOKUP(A53,WMT!A$2:G$55,5,0)</f>
        <v>75.77</v>
      </c>
    </row>
    <row r="54" spans="1:101" x14ac:dyDescent="0.25">
      <c r="A54" s="34">
        <v>41897</v>
      </c>
      <c r="B54" s="36">
        <v>101.63</v>
      </c>
      <c r="C54">
        <f>VLOOKUP(A54,ABBV!A$2:G$55,5,0)</f>
        <v>57.93</v>
      </c>
      <c r="D54">
        <f>VLOOKUP(A54,ABT!A$2:G$55,5,0)</f>
        <v>42.72</v>
      </c>
      <c r="E54">
        <f>VLOOKUP(A54,ACN!A$2:G$55,5,0)</f>
        <v>80.599999999999994</v>
      </c>
      <c r="F54">
        <f>VLOOKUP(A54,AIG!A$2:G$55,5,0)</f>
        <v>55.4</v>
      </c>
      <c r="G54">
        <f>VLOOKUP(A54,ALL!A$2:G$55,5,0)</f>
        <v>61.62</v>
      </c>
      <c r="H54">
        <f>VLOOKUP(A54,AMGN!A$2:G$55,5,0)</f>
        <v>137.97</v>
      </c>
      <c r="I54">
        <f>VLOOKUP(A54,AMZN!A$2:G$55,5,0)</f>
        <v>323.89</v>
      </c>
      <c r="J54">
        <f>VLOOKUP(A54,APA!A$2:G$55,5,0)</f>
        <v>97.12</v>
      </c>
      <c r="K54">
        <f>VLOOKUP(A54,APC!A$2:G$55,5,0)</f>
        <v>106.24</v>
      </c>
      <c r="L54">
        <f>VLOOKUP(A54,AXP!A$2:G$55,5,0)</f>
        <v>87.38</v>
      </c>
      <c r="M54">
        <f>VLOOKUP(A54,BA!A$2:G$55,5,0)</f>
        <v>126.31</v>
      </c>
      <c r="N54">
        <f>VLOOKUP(A54,BAC!A$2:G$55,5,0)</f>
        <v>16.739999999999998</v>
      </c>
      <c r="O54">
        <f>VLOOKUP(A54,BAX!A$2:G$55,5,0)</f>
        <v>74.55</v>
      </c>
      <c r="P54">
        <f>VLOOKUP(A54,BIIB!A$2:G$55,5,0)</f>
        <v>320.12</v>
      </c>
      <c r="Q54">
        <f>VLOOKUP(A54,BK!A$2:G$55,5,0)</f>
        <v>39.92</v>
      </c>
      <c r="R54">
        <f>VLOOKUP(A54,BMY!A$2:G$55,5,0)</f>
        <v>49.95</v>
      </c>
      <c r="T54">
        <f>VLOOKUP(A54,'C'!A$2:G$55,5,0)</f>
        <v>52.31</v>
      </c>
      <c r="U54">
        <f>VLOOKUP(A54,CAT!A$2:G$55,5,0)</f>
        <v>104.86</v>
      </c>
      <c r="V54">
        <f>VLOOKUP(A54,CL!A$2:G$55,5,0)</f>
        <v>64.510000000000005</v>
      </c>
      <c r="W54">
        <f>VLOOKUP(A54,CMCSA!A$2:G$55,5,0)</f>
        <v>57.02</v>
      </c>
      <c r="X54">
        <f>VLOOKUP(A54,COF!A$2:G$55,5,0)</f>
        <v>81.5</v>
      </c>
      <c r="Y54">
        <f>VLOOKUP(A54,COP!A$2:G$55,5,0)</f>
        <v>79.400000000000006</v>
      </c>
      <c r="Z54">
        <f>VLOOKUP(A54,COST!A$2:G$55,5,0)</f>
        <v>125.71</v>
      </c>
      <c r="AA54">
        <f>VLOOKUP(A54,CSCO!A$2:G$55,5,0)</f>
        <v>25.06</v>
      </c>
      <c r="AB54">
        <f>VLOOKUP(A54,CVS!A$2:G$55,5,0)</f>
        <v>81.239999999999995</v>
      </c>
      <c r="AC54">
        <f>VLOOKUP(A54,CVX!A$2:G$55,5,0)</f>
        <v>124.24</v>
      </c>
      <c r="AD54">
        <f>VLOOKUP(A54,DD!A$2:G$55,5,0)</f>
        <v>65.3</v>
      </c>
      <c r="AE54">
        <f>VLOOKUP(A54,DIS!A$2:G$55,5,0)</f>
        <v>90.08</v>
      </c>
      <c r="AF54">
        <f>VLOOKUP(A54,DOW!A$2:G$55,5,0)</f>
        <v>53.04</v>
      </c>
      <c r="AG54">
        <f>VLOOKUP(A54,DVN!A$2:G$55,5,0)</f>
        <v>70.27</v>
      </c>
      <c r="AH54">
        <f>VLOOKUP(A54,EBAY!A$2:G$55,5,0)</f>
        <v>50.96</v>
      </c>
      <c r="AI54">
        <f>VLOOKUP(A54,EMC!A$2:G$55,5,0)</f>
        <v>29.46</v>
      </c>
      <c r="AJ54">
        <f>VLOOKUP(A54,EMR!A$2:G$55,5,0)</f>
        <v>64.3</v>
      </c>
      <c r="AK54">
        <f>VLOOKUP(A54,EXC!A$2:G$55,5,0)</f>
        <v>33.229999999999997</v>
      </c>
      <c r="AL54">
        <f>VLOOKUP(A54,F!A$2:G$55,5,0)</f>
        <v>16.47</v>
      </c>
      <c r="AM54">
        <f>VLOOKUP(A54,FB!A$2:G$55,5,0)</f>
        <v>74.58</v>
      </c>
      <c r="AN54">
        <f>VLOOKUP(A54,FCX!A$2:G$55,5,0)</f>
        <v>34.32</v>
      </c>
      <c r="AO54">
        <f>VLOOKUP(A54,FDX!A$2:G$55,5,0)</f>
        <v>154.04</v>
      </c>
      <c r="AP54">
        <f>VLOOKUP(A54,FOXA!A$2:G$55,5,0)</f>
        <v>34.909999999999997</v>
      </c>
      <c r="AQ54">
        <f>VLOOKUP(A54,GD!A$2:G$55,5,0)</f>
        <v>126.85</v>
      </c>
      <c r="AR54">
        <f>VLOOKUP(A54,GE!A$2:G$55,5,0)</f>
        <v>25.92</v>
      </c>
      <c r="AS54">
        <f>VLOOKUP(A54,GILD!A$2:G$55,5,0)</f>
        <v>100.99</v>
      </c>
      <c r="AT54">
        <f>VLOOKUP(A54,GM!A$2:G$55,5,0)</f>
        <v>33.630000000000003</v>
      </c>
      <c r="AU54">
        <f>VLOOKUP(A54,GOOG!A$2:G$55,5,0)</f>
        <v>573.1</v>
      </c>
      <c r="AV54">
        <f>VLOOKUP(A54,GOOGL!A$2:G$55,5,0)</f>
        <v>581.64</v>
      </c>
      <c r="AW54">
        <f>VLOOKUP(A54,GS!A$2:G$55,5,0)</f>
        <v>183.98</v>
      </c>
      <c r="AX54">
        <f>VLOOKUP(A54,HAL!A$2:G$55,5,0)</f>
        <v>66.28</v>
      </c>
      <c r="AY54">
        <f>VLOOKUP(A54,HD!A$2:G$55,5,0)</f>
        <v>89.38</v>
      </c>
      <c r="AZ54">
        <f>VLOOKUP(A54,HON!A$2:G$55,5,0)</f>
        <v>94.65</v>
      </c>
      <c r="BA54">
        <f>VLOOKUP(A54,HPQ!A$2:G$55,5,0)</f>
        <v>36.25</v>
      </c>
      <c r="BB54">
        <f>VLOOKUP(A54,IBM!A$2:G$55,5,0)</f>
        <v>191.81</v>
      </c>
      <c r="BC54">
        <f>VLOOKUP(A54,INTC!A$2:G$55,5,0)</f>
        <v>34.54</v>
      </c>
      <c r="BD54">
        <f>VLOOKUP(A54,JNJ!A$2:G$55,5,0)</f>
        <v>104.72</v>
      </c>
      <c r="BE54">
        <f>VLOOKUP(A54,JPM!A$2:G$55,5,0)</f>
        <v>59.94</v>
      </c>
      <c r="BF54">
        <f>VLOOKUP(A54,KO!A$2:G$55,5,0)</f>
        <v>41.5</v>
      </c>
      <c r="BG54">
        <f>VLOOKUP(A54,LLY!A$2:G$55,5,0)</f>
        <v>65.19</v>
      </c>
      <c r="BH54">
        <f>VLOOKUP(A54,LMT!A$2:G$55,5,0)</f>
        <v>175.6</v>
      </c>
      <c r="BI54">
        <f>VLOOKUP(A54,LOW!A$2:G$55,5,0)</f>
        <v>53.13</v>
      </c>
      <c r="BJ54">
        <f>VLOOKUP(A54,MA!A$2:G$55,5,0)</f>
        <v>75.239999999999995</v>
      </c>
      <c r="BK54">
        <f>VLOOKUP(A54,MCD!A$2:G$55,5,0)</f>
        <v>93.47</v>
      </c>
      <c r="BL54">
        <f>VLOOKUP(A54,MDLZ!A$2:G$55,5,0)</f>
        <v>35.43</v>
      </c>
      <c r="BM54">
        <f>VLOOKUP(A54,MDT!A$2:G$55,5,0)</f>
        <v>64.95</v>
      </c>
      <c r="BN54">
        <f>VLOOKUP(A54,MET!A$2:G$55,5,0)</f>
        <v>55.06</v>
      </c>
      <c r="BO54">
        <f>VLOOKUP(A54,MMM!A$2:G$55,5,0)</f>
        <v>144.47999999999999</v>
      </c>
      <c r="BP54">
        <f>VLOOKUP(A54,MO!A$2:G$55,5,0)</f>
        <v>44.27</v>
      </c>
      <c r="BQ54">
        <f>VLOOKUP(A54,MON!A$2:G$55,5,0)</f>
        <v>113.14</v>
      </c>
      <c r="BR54">
        <f>VLOOKUP(A54,MRK!A$2:G$55,5,0)</f>
        <v>59.52</v>
      </c>
      <c r="BS54">
        <f>VLOOKUP(A54,MS!A$2:G$55,5,0)</f>
        <v>35.21</v>
      </c>
      <c r="BT54">
        <f>VLOOKUP(A54,MSFT!A$2:G$55,5,0)</f>
        <v>46.24</v>
      </c>
      <c r="BU54">
        <f>VLOOKUP(A54,NKE!A$2:G$55,5,0)</f>
        <v>81.61</v>
      </c>
      <c r="BV54">
        <f>VLOOKUP(A54,NOV!A$2:G$55,5,0)</f>
        <v>81.3</v>
      </c>
      <c r="BW54">
        <f>VLOOKUP(A54,NSC!A$2:G$55,5,0)</f>
        <v>108.17</v>
      </c>
      <c r="BX54">
        <f>VLOOKUP(A54,ORCL!A$2:G$55,5,0)</f>
        <v>40.659999999999997</v>
      </c>
      <c r="BY54">
        <f>VLOOKUP(A54,OXY!A$2:G$55,5,0)</f>
        <v>98.29</v>
      </c>
      <c r="BZ54">
        <f>VLOOKUP(A54,PEP!A$2:G$55,5,0)</f>
        <v>91.2</v>
      </c>
      <c r="CA54">
        <f>VLOOKUP(A54,PFE!A$2:G$55,5,0)</f>
        <v>29.92</v>
      </c>
      <c r="CB54">
        <f>VLOOKUP(A54,PG!A$2:G$55,5,0)</f>
        <v>83.87</v>
      </c>
      <c r="CC54">
        <f>VLOOKUP(A54,PM!A$2:G$55,5,0)</f>
        <v>84.2</v>
      </c>
      <c r="CD54">
        <f>VLOOKUP(A54,QCOM!A$2:G$55,5,0)</f>
        <v>75.08</v>
      </c>
      <c r="CE54">
        <f>VLOOKUP(A54,RTN!A$2:G$55,5,0)</f>
        <v>101.51</v>
      </c>
      <c r="CF54">
        <f>VLOOKUP(A54,SBUX!A$2:G$55,5,0)</f>
        <v>74.92</v>
      </c>
      <c r="CG54">
        <f>VLOOKUP(A54,SLB!A$2:G$55,5,0)</f>
        <v>103.05</v>
      </c>
      <c r="CH54">
        <f>VLOOKUP(A54,SO!A$2:G$55,5,0)</f>
        <v>43.37</v>
      </c>
      <c r="CI54">
        <f>VLOOKUP(A54,SPG!A$2:G$55,5,0)</f>
        <v>165.54</v>
      </c>
      <c r="CJ54">
        <f>VLOOKUP(A54,T!A$2:G$55,5,0)</f>
        <v>34.69</v>
      </c>
      <c r="CK54">
        <f>VLOOKUP(A54,TGT!A$2:G$55,5,0)</f>
        <v>62.21</v>
      </c>
      <c r="CL54">
        <f>VLOOKUP(A54,TWX!A$2:G$55,5,0)</f>
        <v>76.2</v>
      </c>
      <c r="CM54">
        <f>VLOOKUP(A54,TXN!A$2:G$55,5,0)</f>
        <v>47.59</v>
      </c>
      <c r="CN54">
        <f>VLOOKUP(A54,UNH!A$2:G$55,5,0)</f>
        <v>86.03</v>
      </c>
      <c r="CO54">
        <f>VLOOKUP(A54,UNP!A$2:G$55,5,0)</f>
        <v>107.04</v>
      </c>
      <c r="CP54">
        <f>VLOOKUP(A54,UPS!A$2:G$55,5,0)</f>
        <v>97.62</v>
      </c>
      <c r="CQ54">
        <f>VLOOKUP(A54,USB!A$2:G$55,5,0)</f>
        <v>42.37</v>
      </c>
      <c r="CR54">
        <f>VLOOKUP(A54,UTX!A$2:G$55,5,0)</f>
        <v>108.32</v>
      </c>
      <c r="CS54">
        <f>VLOOKUP(A54,V!A$2:G$55,5,0)</f>
        <v>214.64</v>
      </c>
      <c r="CT54">
        <f>VLOOKUP(A54,VZ!A$2:G$55,5,0)</f>
        <v>48.56</v>
      </c>
      <c r="CU54">
        <f>VLOOKUP(A54,WAG!A$2:G$55,5,0)</f>
        <v>62.72</v>
      </c>
      <c r="CV54">
        <f>VLOOKUP(A54,WFC!A$2:G$55,5,0)</f>
        <v>51.94</v>
      </c>
      <c r="CW54">
        <f>VLOOKUP(A54,WMT!A$2:G$55,5,0)</f>
        <v>75.81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54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35</v>
      </c>
      <c r="C1" t="s">
        <v>222</v>
      </c>
      <c r="D1" t="s">
        <v>41</v>
      </c>
      <c r="E1" t="s">
        <v>42</v>
      </c>
      <c r="F1" t="s">
        <v>223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219</v>
      </c>
      <c r="Q1" t="s">
        <v>52</v>
      </c>
      <c r="R1" t="s">
        <v>53</v>
      </c>
      <c r="S1" t="s">
        <v>142</v>
      </c>
      <c r="T1" t="s">
        <v>34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224</v>
      </c>
      <c r="AN1" t="s">
        <v>72</v>
      </c>
      <c r="AO1" t="s">
        <v>73</v>
      </c>
      <c r="AP1" t="s">
        <v>225</v>
      </c>
      <c r="AQ1" t="s">
        <v>74</v>
      </c>
      <c r="AR1" t="s">
        <v>75</v>
      </c>
      <c r="AS1" t="s">
        <v>76</v>
      </c>
      <c r="AT1" t="s">
        <v>226</v>
      </c>
      <c r="AU1" t="s">
        <v>77</v>
      </c>
      <c r="AV1" t="s">
        <v>227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83</v>
      </c>
      <c r="BC1" t="s">
        <v>84</v>
      </c>
      <c r="BD1" t="s">
        <v>85</v>
      </c>
      <c r="BE1" t="s">
        <v>86</v>
      </c>
      <c r="BF1" t="s">
        <v>87</v>
      </c>
      <c r="BG1" t="s">
        <v>88</v>
      </c>
      <c r="BH1" t="s">
        <v>89</v>
      </c>
      <c r="BI1" t="s">
        <v>90</v>
      </c>
      <c r="BJ1" t="s">
        <v>91</v>
      </c>
      <c r="BK1" t="s">
        <v>92</v>
      </c>
      <c r="BL1" t="s">
        <v>93</v>
      </c>
      <c r="BM1" t="s">
        <v>94</v>
      </c>
      <c r="BN1" t="s">
        <v>95</v>
      </c>
      <c r="BO1" t="s">
        <v>96</v>
      </c>
      <c r="BP1" t="s">
        <v>97</v>
      </c>
      <c r="BQ1" t="s">
        <v>98</v>
      </c>
      <c r="BR1" t="s">
        <v>99</v>
      </c>
      <c r="BS1" t="s">
        <v>100</v>
      </c>
      <c r="BT1" t="s">
        <v>26</v>
      </c>
      <c r="BU1" t="s">
        <v>101</v>
      </c>
      <c r="BV1" t="s">
        <v>102</v>
      </c>
      <c r="BW1" t="s">
        <v>103</v>
      </c>
      <c r="BX1" t="s">
        <v>104</v>
      </c>
      <c r="BY1" t="s">
        <v>105</v>
      </c>
      <c r="BZ1" t="s">
        <v>106</v>
      </c>
      <c r="CA1" t="s">
        <v>107</v>
      </c>
      <c r="CB1" t="s">
        <v>108</v>
      </c>
      <c r="CC1" t="s">
        <v>109</v>
      </c>
      <c r="CD1" t="s">
        <v>110</v>
      </c>
      <c r="CE1" t="s">
        <v>111</v>
      </c>
      <c r="CF1" t="s">
        <v>112</v>
      </c>
      <c r="CG1" t="s">
        <v>113</v>
      </c>
      <c r="CH1" t="s">
        <v>114</v>
      </c>
      <c r="CI1" t="s">
        <v>115</v>
      </c>
      <c r="CJ1" t="s">
        <v>116</v>
      </c>
      <c r="CK1" t="s">
        <v>117</v>
      </c>
      <c r="CL1" t="s">
        <v>118</v>
      </c>
      <c r="CM1" t="s">
        <v>119</v>
      </c>
      <c r="CN1" t="s">
        <v>120</v>
      </c>
      <c r="CO1" t="s">
        <v>121</v>
      </c>
      <c r="CP1" t="s">
        <v>122</v>
      </c>
      <c r="CQ1" t="s">
        <v>123</v>
      </c>
      <c r="CR1" t="s">
        <v>124</v>
      </c>
      <c r="CS1" t="s">
        <v>125</v>
      </c>
      <c r="CT1" t="s">
        <v>126</v>
      </c>
      <c r="CU1" t="s">
        <v>127</v>
      </c>
      <c r="CV1" t="s">
        <v>128</v>
      </c>
      <c r="CW1" t="s">
        <v>22</v>
      </c>
    </row>
    <row r="2" spans="1:101" x14ac:dyDescent="0.25">
      <c r="A2" s="34">
        <v>41821</v>
      </c>
      <c r="B2" s="36">
        <v>38223000</v>
      </c>
      <c r="C2">
        <f>VLOOKUP(A2,ABBV!A$2:G$55,6,0)</f>
        <v>6869800</v>
      </c>
      <c r="D2">
        <f>VLOOKUP(A2,ABT!A$2:G$55,6,0)</f>
        <v>5472200</v>
      </c>
      <c r="E2">
        <f>VLOOKUP(A2,ACN!A$2:G$55,6,0)</f>
        <v>2141600</v>
      </c>
      <c r="F2">
        <f>VLOOKUP(A2,AIG!A$2:G$55,6,0)</f>
        <v>6850700</v>
      </c>
      <c r="G2">
        <f>VLOOKUP(A2,ALL!A$2:G$55,6,0)</f>
        <v>1789600</v>
      </c>
      <c r="H2">
        <f>VLOOKUP(A2,AMGN!A$2:G$55,6,0)</f>
        <v>2072500</v>
      </c>
      <c r="I2">
        <f>VLOOKUP(A2,AMZN!A$2:G$55,6,0)</f>
        <v>3173600</v>
      </c>
      <c r="J2">
        <f>VLOOKUP(A2,APA!A$2:G$55,6,0)</f>
        <v>1955000</v>
      </c>
      <c r="K2">
        <f>VLOOKUP(A2,APC!A$2:G$55,6,0)</f>
        <v>2199500</v>
      </c>
      <c r="L2">
        <f>VLOOKUP(A2,AXP!A$2:G$55,6,0)</f>
        <v>3026300</v>
      </c>
      <c r="M2">
        <f>VLOOKUP(A2,BA!A$2:G$55,6,0)</f>
        <v>3772500</v>
      </c>
      <c r="N2">
        <f>VLOOKUP(A2,BAC!A$2:G$55,6,0)</f>
        <v>74193500</v>
      </c>
      <c r="O2">
        <f>VLOOKUP(A2,BAX!A$2:G$55,6,0)</f>
        <v>2907700</v>
      </c>
      <c r="P2">
        <f>VLOOKUP(A2,BIIB!A$2:G$55,6,0)</f>
        <v>1179500</v>
      </c>
      <c r="Q2">
        <f>VLOOKUP(A2,BK!A$2:G$55,6,0)</f>
        <v>10110900</v>
      </c>
      <c r="R2">
        <f>VLOOKUP(A2,BMY!A$2:G$55,6,0)</f>
        <v>8835900</v>
      </c>
      <c r="T2">
        <f>VLOOKUP(A2,'C'!A$2:G$55,6,0)</f>
        <v>16699800</v>
      </c>
      <c r="U2">
        <f>VLOOKUP(A2,CAT!A$2:G$55,6,0)</f>
        <v>2346300</v>
      </c>
      <c r="V2">
        <f>VLOOKUP(A2,CL!A$2:G$55,6,0)</f>
        <v>2150000</v>
      </c>
      <c r="W2">
        <f>VLOOKUP(A2,CMCSA!A$2:G$55,6,0)</f>
        <v>11240700</v>
      </c>
      <c r="X2">
        <f>VLOOKUP(A2,COF!A$2:G$55,6,0)</f>
        <v>3252600</v>
      </c>
      <c r="Y2">
        <f>VLOOKUP(A2,COP!A$2:G$55,6,0)</f>
        <v>3537900</v>
      </c>
      <c r="Z2">
        <f>VLOOKUP(A2,COST!A$2:G$55,6,0)</f>
        <v>1501700</v>
      </c>
      <c r="AA2">
        <f>VLOOKUP(A2,CSCO!A$2:G$55,6,0)</f>
        <v>34613200</v>
      </c>
      <c r="AB2">
        <f>VLOOKUP(A2,CVS!A$2:G$55,6,0)</f>
        <v>3361300</v>
      </c>
      <c r="AC2">
        <f>VLOOKUP(A2,CVX!A$2:G$55,6,0)</f>
        <v>4000500</v>
      </c>
      <c r="AD2">
        <f>VLOOKUP(A2,DD!A$2:G$55,6,0)</f>
        <v>5075800</v>
      </c>
      <c r="AE2">
        <f>VLOOKUP(A2,DIS!A$2:G$55,6,0)</f>
        <v>5598100</v>
      </c>
      <c r="AF2">
        <f>VLOOKUP(A2,DOW!A$2:G$55,6,0)</f>
        <v>5349700</v>
      </c>
      <c r="AG2">
        <f>VLOOKUP(A2,DVN!A$2:G$55,6,0)</f>
        <v>2156600</v>
      </c>
      <c r="AH2">
        <f>VLOOKUP(A2,EBAY!A$2:G$55,6,0)</f>
        <v>8805200</v>
      </c>
      <c r="AI2">
        <f>VLOOKUP(A2,EMC!A$2:G$55,6,0)</f>
        <v>13215100</v>
      </c>
      <c r="AJ2">
        <f>VLOOKUP(A2,EMR!A$2:G$55,6,0)</f>
        <v>2910300</v>
      </c>
      <c r="AK2">
        <f>VLOOKUP(A2,EXC!A$2:G$55,6,0)</f>
        <v>7022700</v>
      </c>
      <c r="AL2">
        <f>VLOOKUP(A2,F!A$2:G$55,6,0)</f>
        <v>36171500</v>
      </c>
      <c r="AM2">
        <f>VLOOKUP(A2,FB!A$2:G$55,6,0)</f>
        <v>33166100</v>
      </c>
      <c r="AN2">
        <f>VLOOKUP(A2,FCX!A$2:G$55,6,0)</f>
        <v>11556400</v>
      </c>
      <c r="AO2">
        <f>VLOOKUP(A2,FDX!A$2:G$55,6,0)</f>
        <v>1445000</v>
      </c>
      <c r="AP2">
        <f>VLOOKUP(A2,FOXA!A$2:G$55,6,0)</f>
        <v>9850500</v>
      </c>
      <c r="AQ2">
        <f>VLOOKUP(A2,GD!A$2:G$55,6,0)</f>
        <v>2174100</v>
      </c>
      <c r="AR2">
        <f>VLOOKUP(A2,GE!A$2:G$55,6,0)</f>
        <v>28064500</v>
      </c>
      <c r="AS2">
        <f>VLOOKUP(A2,GILD!A$2:G$55,6,0)</f>
        <v>11583500</v>
      </c>
      <c r="AT2">
        <f>VLOOKUP(A2,GM!A$2:G$55,6,0)</f>
        <v>23414100</v>
      </c>
      <c r="AU2">
        <f>VLOOKUP(A2,GOOG!A$2:G$55,6,0)</f>
        <v>1444000</v>
      </c>
      <c r="AV2">
        <f>VLOOKUP(A2,GOOGL!A$2:G$55,6,0)</f>
        <v>1643200</v>
      </c>
      <c r="AW2">
        <f>VLOOKUP(A2,GS!A$2:G$55,6,0)</f>
        <v>2947800</v>
      </c>
      <c r="AX2">
        <f>VLOOKUP(A2,HAL!A$2:G$55,6,0)</f>
        <v>5572700</v>
      </c>
      <c r="AY2">
        <f>VLOOKUP(A2,HD!A$2:G$55,6,0)</f>
        <v>5234600</v>
      </c>
      <c r="AZ2">
        <f>VLOOKUP(A2,HON!A$2:G$55,6,0)</f>
        <v>4379500</v>
      </c>
      <c r="BA2">
        <f>VLOOKUP(A2,HPQ!A$2:G$55,6,0)</f>
        <v>8635000</v>
      </c>
      <c r="BB2">
        <f>VLOOKUP(A2,IBM!A$2:G$55,6,0)</f>
        <v>6643100</v>
      </c>
      <c r="BC2">
        <f>VLOOKUP(A2,INTC!A$2:G$55,6,0)</f>
        <v>28240000</v>
      </c>
      <c r="BD2">
        <f>VLOOKUP(A2,JNJ!A$2:G$55,6,0)</f>
        <v>5129200</v>
      </c>
      <c r="BE2">
        <f>VLOOKUP(A2,JPM!A$2:G$55,6,0)</f>
        <v>14472200</v>
      </c>
      <c r="BF2">
        <f>VLOOKUP(A2,KO!A$2:G$55,6,0)</f>
        <v>11497700</v>
      </c>
      <c r="BG2">
        <f>VLOOKUP(A2,LLY!A$2:G$55,6,0)</f>
        <v>4109000</v>
      </c>
      <c r="BH2">
        <f>VLOOKUP(A2,LMT!A$2:G$55,6,0)</f>
        <v>1358200</v>
      </c>
      <c r="BI2">
        <f>VLOOKUP(A2,LOW!A$2:G$55,6,0)</f>
        <v>5843800</v>
      </c>
      <c r="BJ2">
        <f>VLOOKUP(A2,MA!A$2:G$55,6,0)</f>
        <v>6330900</v>
      </c>
      <c r="BK2">
        <f>VLOOKUP(A2,MCD!A$2:G$55,6,0)</f>
        <v>3787700</v>
      </c>
      <c r="BL2">
        <f>VLOOKUP(A2,MDLZ!A$2:G$55,6,0)</f>
        <v>5801500</v>
      </c>
      <c r="BM2">
        <f>VLOOKUP(A2,MDT!A$2:G$55,6,0)</f>
        <v>7730100</v>
      </c>
      <c r="BN2">
        <f>VLOOKUP(A2,MET!A$2:G$55,6,0)</f>
        <v>4145300</v>
      </c>
      <c r="BO2">
        <f>VLOOKUP(A2,MMM!A$2:G$55,6,0)</f>
        <v>1767600</v>
      </c>
      <c r="BP2">
        <f>VLOOKUP(A2,MO!A$2:G$55,6,0)</f>
        <v>5197700</v>
      </c>
      <c r="BQ2">
        <f>VLOOKUP(A2,MON!A$2:G$55,6,0)</f>
        <v>3946500</v>
      </c>
      <c r="BR2">
        <f>VLOOKUP(A2,MRK!A$2:G$55,6,0)</f>
        <v>8838000</v>
      </c>
      <c r="BS2">
        <f>VLOOKUP(A2,MS!A$2:G$55,6,0)</f>
        <v>7787600</v>
      </c>
      <c r="BT2">
        <f>VLOOKUP(A2,MSFT!A$2:G$55,6,0)</f>
        <v>26917000</v>
      </c>
      <c r="BU2">
        <f>VLOOKUP(A2,NKE!A$2:G$55,6,0)</f>
        <v>3564600</v>
      </c>
      <c r="BV2">
        <f>VLOOKUP(A2,NOV!A$2:G$55,6,0)</f>
        <v>2738200</v>
      </c>
      <c r="BW2">
        <f>VLOOKUP(A2,NSC!A$2:G$55,6,0)</f>
        <v>1829600</v>
      </c>
      <c r="BX2">
        <f>VLOOKUP(A2,ORCL!A$2:G$55,6,0)</f>
        <v>13147000</v>
      </c>
      <c r="BY2">
        <f>VLOOKUP(A2,OXY!A$2:G$55,6,0)</f>
        <v>3314300</v>
      </c>
      <c r="BZ2">
        <f>VLOOKUP(A2,PEP!A$2:G$55,6,0)</f>
        <v>3541000</v>
      </c>
      <c r="CA2">
        <f>VLOOKUP(A2,PFE!A$2:G$55,6,0)</f>
        <v>25600200</v>
      </c>
      <c r="CB2">
        <f>VLOOKUP(A2,PG!A$2:G$55,6,0)</f>
        <v>8421200</v>
      </c>
      <c r="CC2">
        <f>VLOOKUP(A2,PM!A$2:G$55,6,0)</f>
        <v>6615400</v>
      </c>
      <c r="CD2">
        <f>VLOOKUP(A2,QCOM!A$2:G$55,6,0)</f>
        <v>5872300</v>
      </c>
      <c r="CE2">
        <f>VLOOKUP(A2,RTN!A$2:G$55,6,0)</f>
        <v>2129800</v>
      </c>
      <c r="CF2">
        <f>VLOOKUP(A2,SBUX!A$2:G$55,6,0)</f>
        <v>4030700</v>
      </c>
      <c r="CG2">
        <f>VLOOKUP(A2,SLB!A$2:G$55,6,0)</f>
        <v>6644900</v>
      </c>
      <c r="CH2">
        <f>VLOOKUP(A2,SO!A$2:G$55,6,0)</f>
        <v>3594500</v>
      </c>
      <c r="CI2">
        <f>VLOOKUP(A2,SPG!A$2:G$55,6,0)</f>
        <v>1093100</v>
      </c>
      <c r="CJ2">
        <f>VLOOKUP(A2,T!A$2:G$55,6,0)</f>
        <v>21774600</v>
      </c>
      <c r="CK2">
        <f>VLOOKUP(A2,TGT!A$2:G$55,6,0)</f>
        <v>3768500</v>
      </c>
      <c r="CL2">
        <f>VLOOKUP(A2,TWX!A$2:G$55,6,0)</f>
        <v>7349600</v>
      </c>
      <c r="CM2">
        <f>VLOOKUP(A2,TXN!A$2:G$55,6,0)</f>
        <v>4714500</v>
      </c>
      <c r="CN2">
        <f>VLOOKUP(A2,UNH!A$2:G$55,6,0)</f>
        <v>5482400</v>
      </c>
      <c r="CO2">
        <f>VLOOKUP(A2,UNP!A$2:G$55,6,0)</f>
        <v>3365400</v>
      </c>
      <c r="CP2">
        <f>VLOOKUP(A2,UPS!A$2:G$55,6,0)</f>
        <v>1496700</v>
      </c>
      <c r="CQ2">
        <f>VLOOKUP(A2,USB!A$2:G$55,6,0)</f>
        <v>5584600</v>
      </c>
      <c r="CR2">
        <f>VLOOKUP(A2,UTX!A$2:G$55,6,0)</f>
        <v>3245300</v>
      </c>
      <c r="CS2">
        <f>VLOOKUP(A2,V!A$2:G$55,6,0)</f>
        <v>2748400</v>
      </c>
      <c r="CT2">
        <f>VLOOKUP(A2,VZ!A$2:G$55,6,0)</f>
        <v>14298500</v>
      </c>
      <c r="CU2">
        <f>VLOOKUP(A2,WAG!A$2:G$55,6,0)</f>
        <v>4191900</v>
      </c>
      <c r="CV2">
        <f>VLOOKUP(A2,WFC!A$2:G$55,6,0)</f>
        <v>12482600</v>
      </c>
      <c r="CW2">
        <f>VLOOKUP(A2,WMT!A$2:G$55,6,0)</f>
        <v>6604500</v>
      </c>
    </row>
    <row r="3" spans="1:101" x14ac:dyDescent="0.25">
      <c r="A3" s="34">
        <v>41822</v>
      </c>
      <c r="B3" s="36">
        <v>28465000</v>
      </c>
      <c r="C3">
        <f>VLOOKUP(A3,ABBV!A$2:G$55,6,0)</f>
        <v>6198500</v>
      </c>
      <c r="D3">
        <f>VLOOKUP(A3,ABT!A$2:G$55,6,0)</f>
        <v>5766000</v>
      </c>
      <c r="E3">
        <f>VLOOKUP(A3,ACN!A$2:G$55,6,0)</f>
        <v>2400500</v>
      </c>
      <c r="F3">
        <f>VLOOKUP(A3,AIG!A$2:G$55,6,0)</f>
        <v>4718400</v>
      </c>
      <c r="G3">
        <f>VLOOKUP(A3,ALL!A$2:G$55,6,0)</f>
        <v>1590200</v>
      </c>
      <c r="H3">
        <f>VLOOKUP(A3,AMGN!A$2:G$55,6,0)</f>
        <v>1447000</v>
      </c>
      <c r="I3">
        <f>VLOOKUP(A3,AMZN!A$2:G$55,6,0)</f>
        <v>2681300</v>
      </c>
      <c r="J3">
        <f>VLOOKUP(A3,APA!A$2:G$55,6,0)</f>
        <v>2020000</v>
      </c>
      <c r="K3">
        <f>VLOOKUP(A3,APC!A$2:G$55,6,0)</f>
        <v>2073600</v>
      </c>
      <c r="L3">
        <f>VLOOKUP(A3,AXP!A$2:G$55,6,0)</f>
        <v>1595500</v>
      </c>
      <c r="M3">
        <f>VLOOKUP(A3,BA!A$2:G$55,6,0)</f>
        <v>2859000</v>
      </c>
      <c r="N3">
        <f>VLOOKUP(A3,BAC!A$2:G$55,6,0)</f>
        <v>87685800</v>
      </c>
      <c r="O3">
        <f>VLOOKUP(A3,BAX!A$2:G$55,6,0)</f>
        <v>3012600</v>
      </c>
      <c r="P3">
        <f>VLOOKUP(A3,BIIB!A$2:G$55,6,0)</f>
        <v>1183800</v>
      </c>
      <c r="Q3">
        <f>VLOOKUP(A3,BK!A$2:G$55,6,0)</f>
        <v>5241700</v>
      </c>
      <c r="R3">
        <f>VLOOKUP(A3,BMY!A$2:G$55,6,0)</f>
        <v>7519100</v>
      </c>
      <c r="T3">
        <f>VLOOKUP(A3,'C'!A$2:G$55,6,0)</f>
        <v>16774600</v>
      </c>
      <c r="U3">
        <f>VLOOKUP(A3,CAT!A$2:G$55,6,0)</f>
        <v>1849000</v>
      </c>
      <c r="V3">
        <f>VLOOKUP(A3,CL!A$2:G$55,6,0)</f>
        <v>1194200</v>
      </c>
      <c r="W3">
        <f>VLOOKUP(A3,CMCSA!A$2:G$55,6,0)</f>
        <v>9186900</v>
      </c>
      <c r="X3">
        <f>VLOOKUP(A3,COF!A$2:G$55,6,0)</f>
        <v>2830400</v>
      </c>
      <c r="Y3">
        <f>VLOOKUP(A3,COP!A$2:G$55,6,0)</f>
        <v>3513600</v>
      </c>
      <c r="Z3">
        <f>VLOOKUP(A3,COST!A$2:G$55,6,0)</f>
        <v>1122200</v>
      </c>
      <c r="AA3">
        <f>VLOOKUP(A3,CSCO!A$2:G$55,6,0)</f>
        <v>30197200</v>
      </c>
      <c r="AB3">
        <f>VLOOKUP(A3,CVS!A$2:G$55,6,0)</f>
        <v>2759100</v>
      </c>
      <c r="AC3">
        <f>VLOOKUP(A3,CVX!A$2:G$55,6,0)</f>
        <v>5136800</v>
      </c>
      <c r="AD3">
        <f>VLOOKUP(A3,DD!A$2:G$55,6,0)</f>
        <v>3907200</v>
      </c>
      <c r="AE3">
        <f>VLOOKUP(A3,DIS!A$2:G$55,6,0)</f>
        <v>4439600</v>
      </c>
      <c r="AF3">
        <f>VLOOKUP(A3,DOW!A$2:G$55,6,0)</f>
        <v>4355700</v>
      </c>
      <c r="AG3">
        <f>VLOOKUP(A3,DVN!A$2:G$55,6,0)</f>
        <v>3310900</v>
      </c>
      <c r="AH3">
        <f>VLOOKUP(A3,EBAY!A$2:G$55,6,0)</f>
        <v>9345300</v>
      </c>
      <c r="AI3">
        <f>VLOOKUP(A3,EMC!A$2:G$55,6,0)</f>
        <v>9809200</v>
      </c>
      <c r="AJ3">
        <f>VLOOKUP(A3,EMR!A$2:G$55,6,0)</f>
        <v>2230800</v>
      </c>
      <c r="AK3">
        <f>VLOOKUP(A3,EXC!A$2:G$55,6,0)</f>
        <v>11109800</v>
      </c>
      <c r="AL3">
        <f>VLOOKUP(A3,F!A$2:G$55,6,0)</f>
        <v>17001400</v>
      </c>
      <c r="AM3">
        <f>VLOOKUP(A3,FB!A$2:G$55,6,0)</f>
        <v>41805900</v>
      </c>
      <c r="AN3">
        <f>VLOOKUP(A3,FCX!A$2:G$55,6,0)</f>
        <v>14137300</v>
      </c>
      <c r="AO3">
        <f>VLOOKUP(A3,FDX!A$2:G$55,6,0)</f>
        <v>1236300</v>
      </c>
      <c r="AP3">
        <f>VLOOKUP(A3,FOXA!A$2:G$55,6,0)</f>
        <v>7890000</v>
      </c>
      <c r="AQ3">
        <f>VLOOKUP(A3,GD!A$2:G$55,6,0)</f>
        <v>1484300</v>
      </c>
      <c r="AR3">
        <f>VLOOKUP(A3,GE!A$2:G$55,6,0)</f>
        <v>21284100</v>
      </c>
      <c r="AS3">
        <f>VLOOKUP(A3,GILD!A$2:G$55,6,0)</f>
        <v>13949300</v>
      </c>
      <c r="AT3">
        <f>VLOOKUP(A3,GM!A$2:G$55,6,0)</f>
        <v>17672200</v>
      </c>
      <c r="AU3">
        <f>VLOOKUP(A3,GOOG!A$2:G$55,6,0)</f>
        <v>1053500</v>
      </c>
      <c r="AV3">
        <f>VLOOKUP(A3,GOOGL!A$2:G$55,6,0)</f>
        <v>1195800</v>
      </c>
      <c r="AW3">
        <f>VLOOKUP(A3,GS!A$2:G$55,6,0)</f>
        <v>1877600</v>
      </c>
      <c r="AX3">
        <f>VLOOKUP(A3,HAL!A$2:G$55,6,0)</f>
        <v>4907600</v>
      </c>
      <c r="AY3">
        <f>VLOOKUP(A3,HD!A$2:G$55,6,0)</f>
        <v>4185700</v>
      </c>
      <c r="AZ3">
        <f>VLOOKUP(A3,HON!A$2:G$55,6,0)</f>
        <v>2260800</v>
      </c>
      <c r="BA3">
        <f>VLOOKUP(A3,HPQ!A$2:G$55,6,0)</f>
        <v>8961200</v>
      </c>
      <c r="BB3">
        <f>VLOOKUP(A3,IBM!A$2:G$55,6,0)</f>
        <v>5093000</v>
      </c>
      <c r="BC3">
        <f>VLOOKUP(A3,INTC!A$2:G$55,6,0)</f>
        <v>16831200</v>
      </c>
      <c r="BD3">
        <f>VLOOKUP(A3,JNJ!A$2:G$55,6,0)</f>
        <v>3764900</v>
      </c>
      <c r="BE3">
        <f>VLOOKUP(A3,JPM!A$2:G$55,6,0)</f>
        <v>19189900</v>
      </c>
      <c r="BF3">
        <f>VLOOKUP(A3,KO!A$2:G$55,6,0)</f>
        <v>6707000</v>
      </c>
      <c r="BG3">
        <f>VLOOKUP(A3,LLY!A$2:G$55,6,0)</f>
        <v>3941000</v>
      </c>
      <c r="BH3">
        <f>VLOOKUP(A3,LMT!A$2:G$55,6,0)</f>
        <v>1309800</v>
      </c>
      <c r="BI3">
        <f>VLOOKUP(A3,LOW!A$2:G$55,6,0)</f>
        <v>3097900</v>
      </c>
      <c r="BJ3">
        <f>VLOOKUP(A3,MA!A$2:G$55,6,0)</f>
        <v>3973700</v>
      </c>
      <c r="BK3">
        <f>VLOOKUP(A3,MCD!A$2:G$55,6,0)</f>
        <v>3216700</v>
      </c>
      <c r="BL3">
        <f>VLOOKUP(A3,MDLZ!A$2:G$55,6,0)</f>
        <v>4771400</v>
      </c>
      <c r="BM3">
        <f>VLOOKUP(A3,MDT!A$2:G$55,6,0)</f>
        <v>7148200</v>
      </c>
      <c r="BN3">
        <f>VLOOKUP(A3,MET!A$2:G$55,6,0)</f>
        <v>3806200</v>
      </c>
      <c r="BO3">
        <f>VLOOKUP(A3,MMM!A$2:G$55,6,0)</f>
        <v>1621300</v>
      </c>
      <c r="BP3">
        <f>VLOOKUP(A3,MO!A$2:G$55,6,0)</f>
        <v>3579200</v>
      </c>
      <c r="BQ3">
        <f>VLOOKUP(A3,MON!A$2:G$55,6,0)</f>
        <v>8821500</v>
      </c>
      <c r="BR3">
        <f>VLOOKUP(A3,MRK!A$2:G$55,6,0)</f>
        <v>6941000</v>
      </c>
      <c r="BS3">
        <f>VLOOKUP(A3,MS!A$2:G$55,6,0)</f>
        <v>6190600</v>
      </c>
      <c r="BT3">
        <f>VLOOKUP(A3,MSFT!A$2:G$55,6,0)</f>
        <v>20208100</v>
      </c>
      <c r="BU3">
        <f>VLOOKUP(A3,NKE!A$2:G$55,6,0)</f>
        <v>2788600</v>
      </c>
      <c r="BV3">
        <f>VLOOKUP(A3,NOV!A$2:G$55,6,0)</f>
        <v>2360300</v>
      </c>
      <c r="BW3">
        <f>VLOOKUP(A3,NSC!A$2:G$55,6,0)</f>
        <v>1664300</v>
      </c>
      <c r="BX3">
        <f>VLOOKUP(A3,ORCL!A$2:G$55,6,0)</f>
        <v>13400200</v>
      </c>
      <c r="BY3">
        <f>VLOOKUP(A3,OXY!A$2:G$55,6,0)</f>
        <v>5346300</v>
      </c>
      <c r="BZ3">
        <f>VLOOKUP(A3,PEP!A$2:G$55,6,0)</f>
        <v>2829600</v>
      </c>
      <c r="CA3">
        <f>VLOOKUP(A3,PFE!A$2:G$55,6,0)</f>
        <v>18501700</v>
      </c>
      <c r="CB3">
        <f>VLOOKUP(A3,PG!A$2:G$55,6,0)</f>
        <v>6276600</v>
      </c>
      <c r="CC3">
        <f>VLOOKUP(A3,PM!A$2:G$55,6,0)</f>
        <v>4335400</v>
      </c>
      <c r="CD3">
        <f>VLOOKUP(A3,QCOM!A$2:G$55,6,0)</f>
        <v>5440100</v>
      </c>
      <c r="CE3">
        <f>VLOOKUP(A3,RTN!A$2:G$55,6,0)</f>
        <v>1136500</v>
      </c>
      <c r="CF3">
        <f>VLOOKUP(A3,SBUX!A$2:G$55,6,0)</f>
        <v>2392600</v>
      </c>
      <c r="CG3">
        <f>VLOOKUP(A3,SLB!A$2:G$55,6,0)</f>
        <v>4321100</v>
      </c>
      <c r="CH3">
        <f>VLOOKUP(A3,SO!A$2:G$55,6,0)</f>
        <v>6467300</v>
      </c>
      <c r="CI3">
        <f>VLOOKUP(A3,SPG!A$2:G$55,6,0)</f>
        <v>900200</v>
      </c>
      <c r="CJ3">
        <f>VLOOKUP(A3,T!A$2:G$55,6,0)</f>
        <v>14225800</v>
      </c>
      <c r="CK3">
        <f>VLOOKUP(A3,TGT!A$2:G$55,6,0)</f>
        <v>3061400</v>
      </c>
      <c r="CL3">
        <f>VLOOKUP(A3,TWX!A$2:G$55,6,0)</f>
        <v>4537300</v>
      </c>
      <c r="CM3">
        <f>VLOOKUP(A3,TXN!A$2:G$55,6,0)</f>
        <v>2825500</v>
      </c>
      <c r="CN3">
        <f>VLOOKUP(A3,UNH!A$2:G$55,6,0)</f>
        <v>3693500</v>
      </c>
      <c r="CO3">
        <f>VLOOKUP(A3,UNP!A$2:G$55,6,0)</f>
        <v>3471100</v>
      </c>
      <c r="CP3">
        <f>VLOOKUP(A3,UPS!A$2:G$55,6,0)</f>
        <v>2175100</v>
      </c>
      <c r="CQ3">
        <f>VLOOKUP(A3,USB!A$2:G$55,6,0)</f>
        <v>4485100</v>
      </c>
      <c r="CR3">
        <f>VLOOKUP(A3,UTX!A$2:G$55,6,0)</f>
        <v>3821500</v>
      </c>
      <c r="CS3">
        <f>VLOOKUP(A3,V!A$2:G$55,6,0)</f>
        <v>1442200</v>
      </c>
      <c r="CT3">
        <f>VLOOKUP(A3,VZ!A$2:G$55,6,0)</f>
        <v>11576100</v>
      </c>
      <c r="CU3">
        <f>VLOOKUP(A3,WAG!A$2:G$55,6,0)</f>
        <v>5240300</v>
      </c>
      <c r="CV3">
        <f>VLOOKUP(A3,WFC!A$2:G$55,6,0)</f>
        <v>14436000</v>
      </c>
      <c r="CW3">
        <f>VLOOKUP(A3,WMT!A$2:G$55,6,0)</f>
        <v>4366800</v>
      </c>
    </row>
    <row r="4" spans="1:101" x14ac:dyDescent="0.25">
      <c r="A4" s="34">
        <v>41823</v>
      </c>
      <c r="B4" s="36">
        <v>22891800</v>
      </c>
      <c r="C4">
        <f>VLOOKUP(A4,ABBV!A$2:G$55,6,0)</f>
        <v>3828900</v>
      </c>
      <c r="D4">
        <f>VLOOKUP(A4,ABT!A$2:G$55,6,0)</f>
        <v>3000000</v>
      </c>
      <c r="E4">
        <f>VLOOKUP(A4,ACN!A$2:G$55,6,0)</f>
        <v>1042900</v>
      </c>
      <c r="F4">
        <f>VLOOKUP(A4,AIG!A$2:G$55,6,0)</f>
        <v>3690000</v>
      </c>
      <c r="G4">
        <f>VLOOKUP(A4,ALL!A$2:G$55,6,0)</f>
        <v>1530200</v>
      </c>
      <c r="H4">
        <f>VLOOKUP(A4,AMGN!A$2:G$55,6,0)</f>
        <v>1963400</v>
      </c>
      <c r="I4">
        <f>VLOOKUP(A4,AMZN!A$2:G$55,6,0)</f>
        <v>1944300</v>
      </c>
      <c r="J4">
        <f>VLOOKUP(A4,APA!A$2:G$55,6,0)</f>
        <v>1086200</v>
      </c>
      <c r="K4">
        <f>VLOOKUP(A4,APC!A$2:G$55,6,0)</f>
        <v>1259200</v>
      </c>
      <c r="L4">
        <f>VLOOKUP(A4,AXP!A$2:G$55,6,0)</f>
        <v>1633800</v>
      </c>
      <c r="M4">
        <f>VLOOKUP(A4,BA!A$2:G$55,6,0)</f>
        <v>1997500</v>
      </c>
      <c r="N4">
        <f>VLOOKUP(A4,BAC!A$2:G$55,6,0)</f>
        <v>70582300</v>
      </c>
      <c r="O4">
        <f>VLOOKUP(A4,BAX!A$2:G$55,6,0)</f>
        <v>1389000</v>
      </c>
      <c r="P4">
        <f>VLOOKUP(A4,BIIB!A$2:G$55,6,0)</f>
        <v>700600</v>
      </c>
      <c r="Q4">
        <f>VLOOKUP(A4,BK!A$2:G$55,6,0)</f>
        <v>2739300</v>
      </c>
      <c r="R4">
        <f>VLOOKUP(A4,BMY!A$2:G$55,6,0)</f>
        <v>3204100</v>
      </c>
      <c r="T4">
        <f>VLOOKUP(A4,'C'!A$2:G$55,6,0)</f>
        <v>13643100</v>
      </c>
      <c r="U4">
        <f>VLOOKUP(A4,CAT!A$2:G$55,6,0)</f>
        <v>2876200</v>
      </c>
      <c r="V4">
        <f>VLOOKUP(A4,CL!A$2:G$55,6,0)</f>
        <v>1205500</v>
      </c>
      <c r="W4">
        <f>VLOOKUP(A4,CMCSA!A$2:G$55,6,0)</f>
        <v>7634900</v>
      </c>
      <c r="X4">
        <f>VLOOKUP(A4,COF!A$2:G$55,6,0)</f>
        <v>2811500</v>
      </c>
      <c r="Y4">
        <f>VLOOKUP(A4,COP!A$2:G$55,6,0)</f>
        <v>2669800</v>
      </c>
      <c r="Z4">
        <f>VLOOKUP(A4,COST!A$2:G$55,6,0)</f>
        <v>976000</v>
      </c>
      <c r="AA4">
        <f>VLOOKUP(A4,CSCO!A$2:G$55,6,0)</f>
        <v>19598800</v>
      </c>
      <c r="AB4">
        <f>VLOOKUP(A4,CVS!A$2:G$55,6,0)</f>
        <v>2040800</v>
      </c>
      <c r="AC4">
        <f>VLOOKUP(A4,CVX!A$2:G$55,6,0)</f>
        <v>3514000</v>
      </c>
      <c r="AD4">
        <f>VLOOKUP(A4,DD!A$2:G$55,6,0)</f>
        <v>2884400</v>
      </c>
      <c r="AE4">
        <f>VLOOKUP(A4,DIS!A$2:G$55,6,0)</f>
        <v>3210400</v>
      </c>
      <c r="AF4">
        <f>VLOOKUP(A4,DOW!A$2:G$55,6,0)</f>
        <v>3161500</v>
      </c>
      <c r="AG4">
        <f>VLOOKUP(A4,DVN!A$2:G$55,6,0)</f>
        <v>1413700</v>
      </c>
      <c r="AH4">
        <f>VLOOKUP(A4,EBAY!A$2:G$55,6,0)</f>
        <v>4612000</v>
      </c>
      <c r="AI4">
        <f>VLOOKUP(A4,EMC!A$2:G$55,6,0)</f>
        <v>6947900</v>
      </c>
      <c r="AJ4">
        <f>VLOOKUP(A4,EMR!A$2:G$55,6,0)</f>
        <v>1946600</v>
      </c>
      <c r="AK4">
        <f>VLOOKUP(A4,EXC!A$2:G$55,6,0)</f>
        <v>8016300</v>
      </c>
      <c r="AL4">
        <f>VLOOKUP(A4,F!A$2:G$55,6,0)</f>
        <v>13581200</v>
      </c>
      <c r="AM4">
        <f>VLOOKUP(A4,FB!A$2:G$55,6,0)</f>
        <v>25203200</v>
      </c>
      <c r="AN4">
        <f>VLOOKUP(A4,FCX!A$2:G$55,6,0)</f>
        <v>12172000</v>
      </c>
      <c r="AO4">
        <f>VLOOKUP(A4,FDX!A$2:G$55,6,0)</f>
        <v>660800</v>
      </c>
      <c r="AP4">
        <f>VLOOKUP(A4,FOXA!A$2:G$55,6,0)</f>
        <v>6806200</v>
      </c>
      <c r="AQ4">
        <f>VLOOKUP(A4,GD!A$2:G$55,6,0)</f>
        <v>888900</v>
      </c>
      <c r="AR4">
        <f>VLOOKUP(A4,GE!A$2:G$55,6,0)</f>
        <v>20513900</v>
      </c>
      <c r="AS4">
        <f>VLOOKUP(A4,GILD!A$2:G$55,6,0)</f>
        <v>9126100</v>
      </c>
      <c r="AT4">
        <f>VLOOKUP(A4,GM!A$2:G$55,6,0)</f>
        <v>6743700</v>
      </c>
      <c r="AU4">
        <f>VLOOKUP(A4,GOOG!A$2:G$55,6,0)</f>
        <v>712200</v>
      </c>
      <c r="AV4">
        <f>VLOOKUP(A4,GOOGL!A$2:G$55,6,0)</f>
        <v>898900</v>
      </c>
      <c r="AW4">
        <f>VLOOKUP(A4,GS!A$2:G$55,6,0)</f>
        <v>1801200</v>
      </c>
      <c r="AX4">
        <f>VLOOKUP(A4,HAL!A$2:G$55,6,0)</f>
        <v>2506600</v>
      </c>
      <c r="AY4">
        <f>VLOOKUP(A4,HD!A$2:G$55,6,0)</f>
        <v>2764000</v>
      </c>
      <c r="AZ4">
        <f>VLOOKUP(A4,HON!A$2:G$55,6,0)</f>
        <v>1521400</v>
      </c>
      <c r="BA4">
        <f>VLOOKUP(A4,HPQ!A$2:G$55,6,0)</f>
        <v>4860500</v>
      </c>
      <c r="BB4">
        <f>VLOOKUP(A4,IBM!A$2:G$55,6,0)</f>
        <v>2422400</v>
      </c>
      <c r="BC4">
        <f>VLOOKUP(A4,INTC!A$2:G$55,6,0)</f>
        <v>20437600</v>
      </c>
      <c r="BD4">
        <f>VLOOKUP(A4,JNJ!A$2:G$55,6,0)</f>
        <v>4199100</v>
      </c>
      <c r="BE4">
        <f>VLOOKUP(A4,JPM!A$2:G$55,6,0)</f>
        <v>12599800</v>
      </c>
      <c r="BF4">
        <f>VLOOKUP(A4,KO!A$2:G$55,6,0)</f>
        <v>7537700</v>
      </c>
      <c r="BG4">
        <f>VLOOKUP(A4,LLY!A$2:G$55,6,0)</f>
        <v>2709100</v>
      </c>
      <c r="BH4">
        <f>VLOOKUP(A4,LMT!A$2:G$55,6,0)</f>
        <v>687200</v>
      </c>
      <c r="BI4">
        <f>VLOOKUP(A4,LOW!A$2:G$55,6,0)</f>
        <v>2132400</v>
      </c>
      <c r="BJ4">
        <f>VLOOKUP(A4,MA!A$2:G$55,6,0)</f>
        <v>3213400</v>
      </c>
      <c r="BK4">
        <f>VLOOKUP(A4,MCD!A$2:G$55,6,0)</f>
        <v>2295800</v>
      </c>
      <c r="BL4">
        <f>VLOOKUP(A4,MDLZ!A$2:G$55,6,0)</f>
        <v>3084900</v>
      </c>
      <c r="BM4">
        <f>VLOOKUP(A4,MDT!A$2:G$55,6,0)</f>
        <v>4349900</v>
      </c>
      <c r="BN4">
        <f>VLOOKUP(A4,MET!A$2:G$55,6,0)</f>
        <v>4582900</v>
      </c>
      <c r="BO4">
        <f>VLOOKUP(A4,MMM!A$2:G$55,6,0)</f>
        <v>1142200</v>
      </c>
      <c r="BP4">
        <f>VLOOKUP(A4,MO!A$2:G$55,6,0)</f>
        <v>5819600</v>
      </c>
      <c r="BQ4">
        <f>VLOOKUP(A4,MON!A$2:G$55,6,0)</f>
        <v>1410800</v>
      </c>
      <c r="BR4">
        <f>VLOOKUP(A4,MRK!A$2:G$55,6,0)</f>
        <v>5220100</v>
      </c>
      <c r="BS4">
        <f>VLOOKUP(A4,MS!A$2:G$55,6,0)</f>
        <v>5994200</v>
      </c>
      <c r="BT4">
        <f>VLOOKUP(A4,MSFT!A$2:G$55,6,0)</f>
        <v>15969300</v>
      </c>
      <c r="BU4">
        <f>VLOOKUP(A4,NKE!A$2:G$55,6,0)</f>
        <v>2284300</v>
      </c>
      <c r="BV4">
        <f>VLOOKUP(A4,NOV!A$2:G$55,6,0)</f>
        <v>1430800</v>
      </c>
      <c r="BW4">
        <f>VLOOKUP(A4,NSC!A$2:G$55,6,0)</f>
        <v>782500</v>
      </c>
      <c r="BX4">
        <f>VLOOKUP(A4,ORCL!A$2:G$55,6,0)</f>
        <v>7863600</v>
      </c>
      <c r="BY4">
        <f>VLOOKUP(A4,OXY!A$2:G$55,6,0)</f>
        <v>2414700</v>
      </c>
      <c r="BZ4">
        <f>VLOOKUP(A4,PEP!A$2:G$55,6,0)</f>
        <v>2216800</v>
      </c>
      <c r="CA4">
        <f>VLOOKUP(A4,PFE!A$2:G$55,6,0)</f>
        <v>14852900</v>
      </c>
      <c r="CB4">
        <f>VLOOKUP(A4,PG!A$2:G$55,6,0)</f>
        <v>5501100</v>
      </c>
      <c r="CC4">
        <f>VLOOKUP(A4,PM!A$2:G$55,6,0)</f>
        <v>3562500</v>
      </c>
      <c r="CD4">
        <f>VLOOKUP(A4,QCOM!A$2:G$55,6,0)</f>
        <v>5735700</v>
      </c>
      <c r="CE4">
        <f>VLOOKUP(A4,RTN!A$2:G$55,6,0)</f>
        <v>808800</v>
      </c>
      <c r="CF4">
        <f>VLOOKUP(A4,SBUX!A$2:G$55,6,0)</f>
        <v>3331300</v>
      </c>
      <c r="CG4">
        <f>VLOOKUP(A4,SLB!A$2:G$55,6,0)</f>
        <v>3574000</v>
      </c>
      <c r="CH4">
        <f>VLOOKUP(A4,SO!A$2:G$55,6,0)</f>
        <v>4023100</v>
      </c>
      <c r="CI4">
        <f>VLOOKUP(A4,SPG!A$2:G$55,6,0)</f>
        <v>831400</v>
      </c>
      <c r="CJ4">
        <f>VLOOKUP(A4,T!A$2:G$55,6,0)</f>
        <v>11681200</v>
      </c>
      <c r="CK4">
        <f>VLOOKUP(A4,TGT!A$2:G$55,6,0)</f>
        <v>3014400</v>
      </c>
      <c r="CL4">
        <f>VLOOKUP(A4,TWX!A$2:G$55,6,0)</f>
        <v>2392600</v>
      </c>
      <c r="CM4">
        <f>VLOOKUP(A4,TXN!A$2:G$55,6,0)</f>
        <v>1689500</v>
      </c>
      <c r="CN4">
        <f>VLOOKUP(A4,UNH!A$2:G$55,6,0)</f>
        <v>2183400</v>
      </c>
      <c r="CO4">
        <f>VLOOKUP(A4,UNP!A$2:G$55,6,0)</f>
        <v>2461400</v>
      </c>
      <c r="CP4">
        <f>VLOOKUP(A4,UPS!A$2:G$55,6,0)</f>
        <v>1269200</v>
      </c>
      <c r="CQ4">
        <f>VLOOKUP(A4,USB!A$2:G$55,6,0)</f>
        <v>3519100</v>
      </c>
      <c r="CR4">
        <f>VLOOKUP(A4,UTX!A$2:G$55,6,0)</f>
        <v>1746000</v>
      </c>
      <c r="CS4">
        <f>VLOOKUP(A4,V!A$2:G$55,6,0)</f>
        <v>1392900</v>
      </c>
      <c r="CT4">
        <f>VLOOKUP(A4,VZ!A$2:G$55,6,0)</f>
        <v>8238600</v>
      </c>
      <c r="CU4">
        <f>VLOOKUP(A4,WAG!A$2:G$55,6,0)</f>
        <v>4730100</v>
      </c>
      <c r="CV4">
        <f>VLOOKUP(A4,WFC!A$2:G$55,6,0)</f>
        <v>8741500</v>
      </c>
      <c r="CW4">
        <f>VLOOKUP(A4,WMT!A$2:G$55,6,0)</f>
        <v>2874000</v>
      </c>
    </row>
    <row r="5" spans="1:101" x14ac:dyDescent="0.25">
      <c r="A5" s="34">
        <v>41827</v>
      </c>
      <c r="B5" s="36">
        <v>56468000</v>
      </c>
      <c r="C5">
        <f>VLOOKUP(A5,ABBV!A$2:G$55,6,0)</f>
        <v>4736300</v>
      </c>
      <c r="D5">
        <f>VLOOKUP(A5,ABT!A$2:G$55,6,0)</f>
        <v>4043400</v>
      </c>
      <c r="E5">
        <f>VLOOKUP(A5,ACN!A$2:G$55,6,0)</f>
        <v>2083500</v>
      </c>
      <c r="F5">
        <f>VLOOKUP(A5,AIG!A$2:G$55,6,0)</f>
        <v>4264400</v>
      </c>
      <c r="G5">
        <f>VLOOKUP(A5,ALL!A$2:G$55,6,0)</f>
        <v>2763600</v>
      </c>
      <c r="H5">
        <f>VLOOKUP(A5,AMGN!A$2:G$55,6,0)</f>
        <v>3075700</v>
      </c>
      <c r="I5">
        <f>VLOOKUP(A5,AMZN!A$2:G$55,6,0)</f>
        <v>2128900</v>
      </c>
      <c r="J5">
        <f>VLOOKUP(A5,APA!A$2:G$55,6,0)</f>
        <v>1945100</v>
      </c>
      <c r="K5">
        <f>VLOOKUP(A5,APC!A$2:G$55,6,0)</f>
        <v>1718900</v>
      </c>
      <c r="L5">
        <f>VLOOKUP(A5,AXP!A$2:G$55,6,0)</f>
        <v>1962800</v>
      </c>
      <c r="M5">
        <f>VLOOKUP(A5,BA!A$2:G$55,6,0)</f>
        <v>3157000</v>
      </c>
      <c r="N5">
        <f>VLOOKUP(A5,BAC!A$2:G$55,6,0)</f>
        <v>62437100</v>
      </c>
      <c r="O5">
        <f>VLOOKUP(A5,BAX!A$2:G$55,6,0)</f>
        <v>1608500</v>
      </c>
      <c r="P5">
        <f>VLOOKUP(A5,BIIB!A$2:G$55,6,0)</f>
        <v>802300</v>
      </c>
      <c r="Q5">
        <f>VLOOKUP(A5,BK!A$2:G$55,6,0)</f>
        <v>4301500</v>
      </c>
      <c r="R5">
        <f>VLOOKUP(A5,BMY!A$2:G$55,6,0)</f>
        <v>4919600</v>
      </c>
      <c r="T5">
        <f>VLOOKUP(A5,'C'!A$2:G$55,6,0)</f>
        <v>12052300</v>
      </c>
      <c r="U5">
        <f>VLOOKUP(A5,CAT!A$2:G$55,6,0)</f>
        <v>2697100</v>
      </c>
      <c r="V5">
        <f>VLOOKUP(A5,CL!A$2:G$55,6,0)</f>
        <v>1951800</v>
      </c>
      <c r="W5">
        <f>VLOOKUP(A5,CMCSA!A$2:G$55,6,0)</f>
        <v>11241400</v>
      </c>
      <c r="X5">
        <f>VLOOKUP(A5,COF!A$2:G$55,6,0)</f>
        <v>2501800</v>
      </c>
      <c r="Y5">
        <f>VLOOKUP(A5,COP!A$2:G$55,6,0)</f>
        <v>3925600</v>
      </c>
      <c r="Z5">
        <f>VLOOKUP(A5,COST!A$2:G$55,6,0)</f>
        <v>1576900</v>
      </c>
      <c r="AA5">
        <f>VLOOKUP(A5,CSCO!A$2:G$55,6,0)</f>
        <v>21293500</v>
      </c>
      <c r="AB5">
        <f>VLOOKUP(A5,CVS!A$2:G$55,6,0)</f>
        <v>2439600</v>
      </c>
      <c r="AC5">
        <f>VLOOKUP(A5,CVX!A$2:G$55,6,0)</f>
        <v>3660000</v>
      </c>
      <c r="AD5">
        <f>VLOOKUP(A5,DD!A$2:G$55,6,0)</f>
        <v>3562200</v>
      </c>
      <c r="AE5">
        <f>VLOOKUP(A5,DIS!A$2:G$55,6,0)</f>
        <v>4897800</v>
      </c>
      <c r="AF5">
        <f>VLOOKUP(A5,DOW!A$2:G$55,6,0)</f>
        <v>5189000</v>
      </c>
      <c r="AG5">
        <f>VLOOKUP(A5,DVN!A$2:G$55,6,0)</f>
        <v>3287900</v>
      </c>
      <c r="AH5">
        <f>VLOOKUP(A5,EBAY!A$2:G$55,6,0)</f>
        <v>7206400</v>
      </c>
      <c r="AI5">
        <f>VLOOKUP(A5,EMC!A$2:G$55,6,0)</f>
        <v>10794300</v>
      </c>
      <c r="AJ5">
        <f>VLOOKUP(A5,EMR!A$2:G$55,6,0)</f>
        <v>4105500</v>
      </c>
      <c r="AK5">
        <f>VLOOKUP(A5,EXC!A$2:G$55,6,0)</f>
        <v>10563100</v>
      </c>
      <c r="AL5">
        <f>VLOOKUP(A5,F!A$2:G$55,6,0)</f>
        <v>20271600</v>
      </c>
      <c r="AM5">
        <f>VLOOKUP(A5,FB!A$2:G$55,6,0)</f>
        <v>28707100</v>
      </c>
      <c r="AN5">
        <f>VLOOKUP(A5,FCX!A$2:G$55,6,0)</f>
        <v>12834200</v>
      </c>
      <c r="AO5">
        <f>VLOOKUP(A5,FDX!A$2:G$55,6,0)</f>
        <v>1147900</v>
      </c>
      <c r="AP5">
        <f>VLOOKUP(A5,FOXA!A$2:G$55,6,0)</f>
        <v>6243200</v>
      </c>
      <c r="AQ5">
        <f>VLOOKUP(A5,GD!A$2:G$55,6,0)</f>
        <v>1392000</v>
      </c>
      <c r="AR5">
        <f>VLOOKUP(A5,GE!A$2:G$55,6,0)</f>
        <v>25263000</v>
      </c>
      <c r="AS5">
        <f>VLOOKUP(A5,GILD!A$2:G$55,6,0)</f>
        <v>11474000</v>
      </c>
      <c r="AT5">
        <f>VLOOKUP(A5,GM!A$2:G$55,6,0)</f>
        <v>11129900</v>
      </c>
      <c r="AU5">
        <f>VLOOKUP(A5,GOOG!A$2:G$55,6,0)</f>
        <v>1061700</v>
      </c>
      <c r="AV5">
        <f>VLOOKUP(A5,GOOGL!A$2:G$55,6,0)</f>
        <v>1336700</v>
      </c>
      <c r="AW5">
        <f>VLOOKUP(A5,GS!A$2:G$55,6,0)</f>
        <v>1774000</v>
      </c>
      <c r="AX5">
        <f>VLOOKUP(A5,HAL!A$2:G$55,6,0)</f>
        <v>4446400</v>
      </c>
      <c r="AY5">
        <f>VLOOKUP(A5,HD!A$2:G$55,6,0)</f>
        <v>6071000</v>
      </c>
      <c r="AZ5">
        <f>VLOOKUP(A5,HON!A$2:G$55,6,0)</f>
        <v>2914100</v>
      </c>
      <c r="BA5">
        <f>VLOOKUP(A5,HPQ!A$2:G$55,6,0)</f>
        <v>6907100</v>
      </c>
      <c r="BB5">
        <f>VLOOKUP(A5,IBM!A$2:G$55,6,0)</f>
        <v>2958700</v>
      </c>
      <c r="BC5">
        <f>VLOOKUP(A5,INTC!A$2:G$55,6,0)</f>
        <v>22233400</v>
      </c>
      <c r="BD5">
        <f>VLOOKUP(A5,JNJ!A$2:G$55,6,0)</f>
        <v>7014900</v>
      </c>
      <c r="BE5">
        <f>VLOOKUP(A5,JPM!A$2:G$55,6,0)</f>
        <v>13916100</v>
      </c>
      <c r="BF5">
        <f>VLOOKUP(A5,KO!A$2:G$55,6,0)</f>
        <v>8991900</v>
      </c>
      <c r="BG5">
        <f>VLOOKUP(A5,LLY!A$2:G$55,6,0)</f>
        <v>2627300</v>
      </c>
      <c r="BH5">
        <f>VLOOKUP(A5,LMT!A$2:G$55,6,0)</f>
        <v>1164700</v>
      </c>
      <c r="BI5">
        <f>VLOOKUP(A5,LOW!A$2:G$55,6,0)</f>
        <v>4538000</v>
      </c>
      <c r="BJ5">
        <f>VLOOKUP(A5,MA!A$2:G$55,6,0)</f>
        <v>3591100</v>
      </c>
      <c r="BK5">
        <f>VLOOKUP(A5,MCD!A$2:G$55,6,0)</f>
        <v>3951700</v>
      </c>
      <c r="BL5">
        <f>VLOOKUP(A5,MDLZ!A$2:G$55,6,0)</f>
        <v>3930700</v>
      </c>
      <c r="BM5">
        <f>VLOOKUP(A5,MDT!A$2:G$55,6,0)</f>
        <v>7616000</v>
      </c>
      <c r="BN5">
        <f>VLOOKUP(A5,MET!A$2:G$55,6,0)</f>
        <v>3194200</v>
      </c>
      <c r="BO5">
        <f>VLOOKUP(A5,MMM!A$2:G$55,6,0)</f>
        <v>1257900</v>
      </c>
      <c r="BP5">
        <f>VLOOKUP(A5,MO!A$2:G$55,6,0)</f>
        <v>5212400</v>
      </c>
      <c r="BQ5">
        <f>VLOOKUP(A5,MON!A$2:G$55,6,0)</f>
        <v>3145600</v>
      </c>
      <c r="BR5">
        <f>VLOOKUP(A5,MRK!A$2:G$55,6,0)</f>
        <v>9276200</v>
      </c>
      <c r="BS5">
        <f>VLOOKUP(A5,MS!A$2:G$55,6,0)</f>
        <v>5635300</v>
      </c>
      <c r="BT5">
        <f>VLOOKUP(A5,MSFT!A$2:G$55,6,0)</f>
        <v>21952400</v>
      </c>
      <c r="BU5">
        <f>VLOOKUP(A5,NKE!A$2:G$55,6,0)</f>
        <v>2732400</v>
      </c>
      <c r="BV5">
        <f>VLOOKUP(A5,NOV!A$2:G$55,6,0)</f>
        <v>2342800</v>
      </c>
      <c r="BW5">
        <f>VLOOKUP(A5,NSC!A$2:G$55,6,0)</f>
        <v>1190400</v>
      </c>
      <c r="BX5">
        <f>VLOOKUP(A5,ORCL!A$2:G$55,6,0)</f>
        <v>11959400</v>
      </c>
      <c r="BY5">
        <f>VLOOKUP(A5,OXY!A$2:G$55,6,0)</f>
        <v>2880500</v>
      </c>
      <c r="BZ5">
        <f>VLOOKUP(A5,PEP!A$2:G$55,6,0)</f>
        <v>2534500</v>
      </c>
      <c r="CA5">
        <f>VLOOKUP(A5,PFE!A$2:G$55,6,0)</f>
        <v>17593400</v>
      </c>
      <c r="CB5">
        <f>VLOOKUP(A5,PG!A$2:G$55,6,0)</f>
        <v>6673600</v>
      </c>
      <c r="CC5">
        <f>VLOOKUP(A5,PM!A$2:G$55,6,0)</f>
        <v>4229900</v>
      </c>
      <c r="CD5">
        <f>VLOOKUP(A5,QCOM!A$2:G$55,6,0)</f>
        <v>5873900</v>
      </c>
      <c r="CE5">
        <f>VLOOKUP(A5,RTN!A$2:G$55,6,0)</f>
        <v>1235900</v>
      </c>
      <c r="CF5">
        <f>VLOOKUP(A5,SBUX!A$2:G$55,6,0)</f>
        <v>3721800</v>
      </c>
      <c r="CG5">
        <f>VLOOKUP(A5,SLB!A$2:G$55,6,0)</f>
        <v>4887400</v>
      </c>
      <c r="CH5">
        <f>VLOOKUP(A5,SO!A$2:G$55,6,0)</f>
        <v>4135500</v>
      </c>
      <c r="CI5">
        <f>VLOOKUP(A5,SPG!A$2:G$55,6,0)</f>
        <v>1324700</v>
      </c>
      <c r="CJ5">
        <f>VLOOKUP(A5,T!A$2:G$55,6,0)</f>
        <v>19577000</v>
      </c>
      <c r="CK5">
        <f>VLOOKUP(A5,TGT!A$2:G$55,6,0)</f>
        <v>4917300</v>
      </c>
      <c r="CL5">
        <f>VLOOKUP(A5,TWX!A$2:G$55,6,0)</f>
        <v>3193900</v>
      </c>
      <c r="CM5">
        <f>VLOOKUP(A5,TXN!A$2:G$55,6,0)</f>
        <v>2912700</v>
      </c>
      <c r="CN5">
        <f>VLOOKUP(A5,UNH!A$2:G$55,6,0)</f>
        <v>2558500</v>
      </c>
      <c r="CO5">
        <f>VLOOKUP(A5,UNP!A$2:G$55,6,0)</f>
        <v>2914100</v>
      </c>
      <c r="CP5">
        <f>VLOOKUP(A5,UPS!A$2:G$55,6,0)</f>
        <v>1700200</v>
      </c>
      <c r="CQ5">
        <f>VLOOKUP(A5,USB!A$2:G$55,6,0)</f>
        <v>4311700</v>
      </c>
      <c r="CR5">
        <f>VLOOKUP(A5,UTX!A$2:G$55,6,0)</f>
        <v>3779200</v>
      </c>
      <c r="CS5">
        <f>VLOOKUP(A5,V!A$2:G$55,6,0)</f>
        <v>1653100</v>
      </c>
      <c r="CT5">
        <f>VLOOKUP(A5,VZ!A$2:G$55,6,0)</f>
        <v>13930000</v>
      </c>
      <c r="CU5">
        <f>VLOOKUP(A5,WAG!A$2:G$55,6,0)</f>
        <v>3233200</v>
      </c>
      <c r="CV5">
        <f>VLOOKUP(A5,WFC!A$2:G$55,6,0)</f>
        <v>13551800</v>
      </c>
      <c r="CW5">
        <f>VLOOKUP(A5,WMT!A$2:G$55,6,0)</f>
        <v>5028000</v>
      </c>
    </row>
    <row r="6" spans="1:101" x14ac:dyDescent="0.25">
      <c r="A6" s="34">
        <v>41828</v>
      </c>
      <c r="B6" s="36">
        <v>65222000</v>
      </c>
      <c r="C6">
        <f>VLOOKUP(A6,ABBV!A$2:G$55,6,0)</f>
        <v>9297300</v>
      </c>
      <c r="D6">
        <f>VLOOKUP(A6,ABT!A$2:G$55,6,0)</f>
        <v>4789500</v>
      </c>
      <c r="E6">
        <f>VLOOKUP(A6,ACN!A$2:G$55,6,0)</f>
        <v>1815600</v>
      </c>
      <c r="F6">
        <f>VLOOKUP(A6,AIG!A$2:G$55,6,0)</f>
        <v>7342700</v>
      </c>
      <c r="G6">
        <f>VLOOKUP(A6,ALL!A$2:G$55,6,0)</f>
        <v>2882000</v>
      </c>
      <c r="H6">
        <f>VLOOKUP(A6,AMGN!A$2:G$55,6,0)</f>
        <v>2455400</v>
      </c>
      <c r="I6">
        <f>VLOOKUP(A6,AMZN!A$2:G$55,6,0)</f>
        <v>4271600</v>
      </c>
      <c r="J6">
        <f>VLOOKUP(A6,APA!A$2:G$55,6,0)</f>
        <v>2621500</v>
      </c>
      <c r="K6">
        <f>VLOOKUP(A6,APC!A$2:G$55,6,0)</f>
        <v>3410100</v>
      </c>
      <c r="L6">
        <f>VLOOKUP(A6,AXP!A$2:G$55,6,0)</f>
        <v>2828700</v>
      </c>
      <c r="M6">
        <f>VLOOKUP(A6,BA!A$2:G$55,6,0)</f>
        <v>5724300</v>
      </c>
      <c r="N6">
        <f>VLOOKUP(A6,BAC!A$2:G$55,6,0)</f>
        <v>73343400</v>
      </c>
      <c r="O6">
        <f>VLOOKUP(A6,BAX!A$2:G$55,6,0)</f>
        <v>2695300</v>
      </c>
      <c r="P6">
        <f>VLOOKUP(A6,BIIB!A$2:G$55,6,0)</f>
        <v>1235700</v>
      </c>
      <c r="Q6">
        <f>VLOOKUP(A6,BK!A$2:G$55,6,0)</f>
        <v>6016100</v>
      </c>
      <c r="R6">
        <f>VLOOKUP(A6,BMY!A$2:G$55,6,0)</f>
        <v>6872400</v>
      </c>
      <c r="T6">
        <f>VLOOKUP(A6,'C'!A$2:G$55,6,0)</f>
        <v>13808800</v>
      </c>
      <c r="U6">
        <f>VLOOKUP(A6,CAT!A$2:G$55,6,0)</f>
        <v>2450600</v>
      </c>
      <c r="V6">
        <f>VLOOKUP(A6,CL!A$2:G$55,6,0)</f>
        <v>3835000</v>
      </c>
      <c r="W6">
        <f>VLOOKUP(A6,CMCSA!A$2:G$55,6,0)</f>
        <v>14614200</v>
      </c>
      <c r="X6">
        <f>VLOOKUP(A6,COF!A$2:G$55,6,0)</f>
        <v>2640700</v>
      </c>
      <c r="Y6">
        <f>VLOOKUP(A6,COP!A$2:G$55,6,0)</f>
        <v>4988900</v>
      </c>
      <c r="Z6">
        <f>VLOOKUP(A6,COST!A$2:G$55,6,0)</f>
        <v>2584200</v>
      </c>
      <c r="AA6">
        <f>VLOOKUP(A6,CSCO!A$2:G$55,6,0)</f>
        <v>34622900</v>
      </c>
      <c r="AB6">
        <f>VLOOKUP(A6,CVS!A$2:G$55,6,0)</f>
        <v>3318100</v>
      </c>
      <c r="AC6">
        <f>VLOOKUP(A6,CVX!A$2:G$55,6,0)</f>
        <v>4687600</v>
      </c>
      <c r="AD6">
        <f>VLOOKUP(A6,DD!A$2:G$55,6,0)</f>
        <v>3337800</v>
      </c>
      <c r="AE6">
        <f>VLOOKUP(A6,DIS!A$2:G$55,6,0)</f>
        <v>4733600</v>
      </c>
      <c r="AF6">
        <f>VLOOKUP(A6,DOW!A$2:G$55,6,0)</f>
        <v>5910100</v>
      </c>
      <c r="AG6">
        <f>VLOOKUP(A6,DVN!A$2:G$55,6,0)</f>
        <v>3641000</v>
      </c>
      <c r="AH6">
        <f>VLOOKUP(A6,EBAY!A$2:G$55,6,0)</f>
        <v>13072000</v>
      </c>
      <c r="AI6">
        <f>VLOOKUP(A6,EMC!A$2:G$55,6,0)</f>
        <v>25608900</v>
      </c>
      <c r="AJ6">
        <f>VLOOKUP(A6,EMR!A$2:G$55,6,0)</f>
        <v>4211800</v>
      </c>
      <c r="AK6">
        <f>VLOOKUP(A6,EXC!A$2:G$55,6,0)</f>
        <v>7229000</v>
      </c>
      <c r="AL6">
        <f>VLOOKUP(A6,F!A$2:G$55,6,0)</f>
        <v>23323400</v>
      </c>
      <c r="AM6">
        <f>VLOOKUP(A6,FB!A$2:G$55,6,0)</f>
        <v>68855600</v>
      </c>
      <c r="AN6">
        <f>VLOOKUP(A6,FCX!A$2:G$55,6,0)</f>
        <v>12041400</v>
      </c>
      <c r="AO6">
        <f>VLOOKUP(A6,FDX!A$2:G$55,6,0)</f>
        <v>1207200</v>
      </c>
      <c r="AP6">
        <f>VLOOKUP(A6,FOXA!A$2:G$55,6,0)</f>
        <v>12079500</v>
      </c>
      <c r="AQ6">
        <f>VLOOKUP(A6,GD!A$2:G$55,6,0)</f>
        <v>1316300</v>
      </c>
      <c r="AR6">
        <f>VLOOKUP(A6,GE!A$2:G$55,6,0)</f>
        <v>29105600</v>
      </c>
      <c r="AS6">
        <f>VLOOKUP(A6,GILD!A$2:G$55,6,0)</f>
        <v>11727100</v>
      </c>
      <c r="AT6">
        <f>VLOOKUP(A6,GM!A$2:G$55,6,0)</f>
        <v>11783200</v>
      </c>
      <c r="AU6">
        <f>VLOOKUP(A6,GOOG!A$2:G$55,6,0)</f>
        <v>1904300</v>
      </c>
      <c r="AV6">
        <f>VLOOKUP(A6,GOOGL!A$2:G$55,6,0)</f>
        <v>2125200</v>
      </c>
      <c r="AW6">
        <f>VLOOKUP(A6,GS!A$2:G$55,6,0)</f>
        <v>2422200</v>
      </c>
      <c r="AX6">
        <f>VLOOKUP(A6,HAL!A$2:G$55,6,0)</f>
        <v>5554900</v>
      </c>
      <c r="AY6">
        <f>VLOOKUP(A6,HD!A$2:G$55,6,0)</f>
        <v>7322900</v>
      </c>
      <c r="AZ6">
        <f>VLOOKUP(A6,HON!A$2:G$55,6,0)</f>
        <v>2418900</v>
      </c>
      <c r="BA6">
        <f>VLOOKUP(A6,HPQ!A$2:G$55,6,0)</f>
        <v>7179700</v>
      </c>
      <c r="BB6">
        <f>VLOOKUP(A6,IBM!A$2:G$55,6,0)</f>
        <v>3135100</v>
      </c>
      <c r="BC6">
        <f>VLOOKUP(A6,INTC!A$2:G$55,6,0)</f>
        <v>37608700</v>
      </c>
      <c r="BD6">
        <f>VLOOKUP(A6,JNJ!A$2:G$55,6,0)</f>
        <v>6268400</v>
      </c>
      <c r="BE6">
        <f>VLOOKUP(A6,JPM!A$2:G$55,6,0)</f>
        <v>18343400</v>
      </c>
      <c r="BF6">
        <f>VLOOKUP(A6,KO!A$2:G$55,6,0)</f>
        <v>10090500</v>
      </c>
      <c r="BG6">
        <f>VLOOKUP(A6,LLY!A$2:G$55,6,0)</f>
        <v>3449400</v>
      </c>
      <c r="BH6">
        <f>VLOOKUP(A6,LMT!A$2:G$55,6,0)</f>
        <v>970900</v>
      </c>
      <c r="BI6">
        <f>VLOOKUP(A6,LOW!A$2:G$55,6,0)</f>
        <v>5011300</v>
      </c>
      <c r="BJ6">
        <f>VLOOKUP(A6,MA!A$2:G$55,6,0)</f>
        <v>3903600</v>
      </c>
      <c r="BK6">
        <f>VLOOKUP(A6,MCD!A$2:G$55,6,0)</f>
        <v>3115100</v>
      </c>
      <c r="BL6">
        <f>VLOOKUP(A6,MDLZ!A$2:G$55,6,0)</f>
        <v>7012400</v>
      </c>
      <c r="BM6">
        <f>VLOOKUP(A6,MDT!A$2:G$55,6,0)</f>
        <v>7627800</v>
      </c>
      <c r="BN6">
        <f>VLOOKUP(A6,MET!A$2:G$55,6,0)</f>
        <v>4592900</v>
      </c>
      <c r="BO6">
        <f>VLOOKUP(A6,MMM!A$2:G$55,6,0)</f>
        <v>1596700</v>
      </c>
      <c r="BP6">
        <f>VLOOKUP(A6,MO!A$2:G$55,6,0)</f>
        <v>5145000</v>
      </c>
      <c r="BQ6">
        <f>VLOOKUP(A6,MON!A$2:G$55,6,0)</f>
        <v>2579900</v>
      </c>
      <c r="BR6">
        <f>VLOOKUP(A6,MRK!A$2:G$55,6,0)</f>
        <v>8270100</v>
      </c>
      <c r="BS6">
        <f>VLOOKUP(A6,MS!A$2:G$55,6,0)</f>
        <v>9205600</v>
      </c>
      <c r="BT6">
        <f>VLOOKUP(A6,MSFT!A$2:G$55,6,0)</f>
        <v>31218200</v>
      </c>
      <c r="BU6">
        <f>VLOOKUP(A6,NKE!A$2:G$55,6,0)</f>
        <v>4022200</v>
      </c>
      <c r="BV6">
        <f>VLOOKUP(A6,NOV!A$2:G$55,6,0)</f>
        <v>2889000</v>
      </c>
      <c r="BW6">
        <f>VLOOKUP(A6,NSC!A$2:G$55,6,0)</f>
        <v>1393800</v>
      </c>
      <c r="BX6">
        <f>VLOOKUP(A6,ORCL!A$2:G$55,6,0)</f>
        <v>12350600</v>
      </c>
      <c r="BY6">
        <f>VLOOKUP(A6,OXY!A$2:G$55,6,0)</f>
        <v>2549000</v>
      </c>
      <c r="BZ6">
        <f>VLOOKUP(A6,PEP!A$2:G$55,6,0)</f>
        <v>3128700</v>
      </c>
      <c r="CA6">
        <f>VLOOKUP(A6,PFE!A$2:G$55,6,0)</f>
        <v>22440400</v>
      </c>
      <c r="CB6">
        <f>VLOOKUP(A6,PG!A$2:G$55,6,0)</f>
        <v>9150200</v>
      </c>
      <c r="CC6">
        <f>VLOOKUP(A6,PM!A$2:G$55,6,0)</f>
        <v>3726100</v>
      </c>
      <c r="CD6">
        <f>VLOOKUP(A6,QCOM!A$2:G$55,6,0)</f>
        <v>7787900</v>
      </c>
      <c r="CE6">
        <f>VLOOKUP(A6,RTN!A$2:G$55,6,0)</f>
        <v>1417300</v>
      </c>
      <c r="CF6">
        <f>VLOOKUP(A6,SBUX!A$2:G$55,6,0)</f>
        <v>3901000</v>
      </c>
      <c r="CG6">
        <f>VLOOKUP(A6,SLB!A$2:G$55,6,0)</f>
        <v>6460900</v>
      </c>
      <c r="CH6">
        <f>VLOOKUP(A6,SO!A$2:G$55,6,0)</f>
        <v>4718200</v>
      </c>
      <c r="CI6">
        <f>VLOOKUP(A6,SPG!A$2:G$55,6,0)</f>
        <v>1183300</v>
      </c>
      <c r="CJ6">
        <f>VLOOKUP(A6,T!A$2:G$55,6,0)</f>
        <v>20139500</v>
      </c>
      <c r="CK6">
        <f>VLOOKUP(A6,TGT!A$2:G$55,6,0)</f>
        <v>4582200</v>
      </c>
      <c r="CL6">
        <f>VLOOKUP(A6,TWX!A$2:G$55,6,0)</f>
        <v>3661300</v>
      </c>
      <c r="CM6">
        <f>VLOOKUP(A6,TXN!A$2:G$55,6,0)</f>
        <v>4789800</v>
      </c>
      <c r="CN6">
        <f>VLOOKUP(A6,UNH!A$2:G$55,6,0)</f>
        <v>2967300</v>
      </c>
      <c r="CO6">
        <f>VLOOKUP(A6,UNP!A$2:G$55,6,0)</f>
        <v>2022200</v>
      </c>
      <c r="CP6">
        <f>VLOOKUP(A6,UPS!A$2:G$55,6,0)</f>
        <v>2299300</v>
      </c>
      <c r="CQ6">
        <f>VLOOKUP(A6,USB!A$2:G$55,6,0)</f>
        <v>5982800</v>
      </c>
      <c r="CR6">
        <f>VLOOKUP(A6,UTX!A$2:G$55,6,0)</f>
        <v>2861900</v>
      </c>
      <c r="CS6">
        <f>VLOOKUP(A6,V!A$2:G$55,6,0)</f>
        <v>3037300</v>
      </c>
      <c r="CT6">
        <f>VLOOKUP(A6,VZ!A$2:G$55,6,0)</f>
        <v>12848400</v>
      </c>
      <c r="CU6">
        <f>VLOOKUP(A6,WAG!A$2:G$55,6,0)</f>
        <v>8850500</v>
      </c>
      <c r="CV6">
        <f>VLOOKUP(A6,WFC!A$2:G$55,6,0)</f>
        <v>17282100</v>
      </c>
      <c r="CW6">
        <f>VLOOKUP(A6,WMT!A$2:G$55,6,0)</f>
        <v>7960500</v>
      </c>
    </row>
    <row r="7" spans="1:101" x14ac:dyDescent="0.25">
      <c r="A7" s="34">
        <v>41829</v>
      </c>
      <c r="B7" s="36">
        <v>36436000</v>
      </c>
      <c r="C7">
        <f>VLOOKUP(A7,ABBV!A$2:G$55,6,0)</f>
        <v>11516300</v>
      </c>
      <c r="D7">
        <f>VLOOKUP(A7,ABT!A$2:G$55,6,0)</f>
        <v>3562400</v>
      </c>
      <c r="E7">
        <f>VLOOKUP(A7,ACN!A$2:G$55,6,0)</f>
        <v>2884000</v>
      </c>
      <c r="F7">
        <f>VLOOKUP(A7,AIG!A$2:G$55,6,0)</f>
        <v>4087100</v>
      </c>
      <c r="G7">
        <f>VLOOKUP(A7,ALL!A$2:G$55,6,0)</f>
        <v>2808700</v>
      </c>
      <c r="H7">
        <f>VLOOKUP(A7,AMGN!A$2:G$55,6,0)</f>
        <v>2647600</v>
      </c>
      <c r="I7">
        <f>VLOOKUP(A7,AMZN!A$2:G$55,6,0)</f>
        <v>3166100</v>
      </c>
      <c r="J7">
        <f>VLOOKUP(A7,APA!A$2:G$55,6,0)</f>
        <v>1952700</v>
      </c>
      <c r="K7">
        <f>VLOOKUP(A7,APC!A$2:G$55,6,0)</f>
        <v>2165200</v>
      </c>
      <c r="L7">
        <f>VLOOKUP(A7,AXP!A$2:G$55,6,0)</f>
        <v>2645500</v>
      </c>
      <c r="M7">
        <f>VLOOKUP(A7,BA!A$2:G$55,6,0)</f>
        <v>8023900</v>
      </c>
      <c r="N7">
        <f>VLOOKUP(A7,BAC!A$2:G$55,6,0)</f>
        <v>46415800</v>
      </c>
      <c r="O7">
        <f>VLOOKUP(A7,BAX!A$2:G$55,6,0)</f>
        <v>2519700</v>
      </c>
      <c r="P7">
        <f>VLOOKUP(A7,BIIB!A$2:G$55,6,0)</f>
        <v>1027100</v>
      </c>
      <c r="Q7">
        <f>VLOOKUP(A7,BK!A$2:G$55,6,0)</f>
        <v>4453900</v>
      </c>
      <c r="R7">
        <f>VLOOKUP(A7,BMY!A$2:G$55,6,0)</f>
        <v>5017900</v>
      </c>
      <c r="T7">
        <f>VLOOKUP(A7,'C'!A$2:G$55,6,0)</f>
        <v>14195300</v>
      </c>
      <c r="U7">
        <f>VLOOKUP(A7,CAT!A$2:G$55,6,0)</f>
        <v>2270600</v>
      </c>
      <c r="V7">
        <f>VLOOKUP(A7,CL!A$2:G$55,6,0)</f>
        <v>2497500</v>
      </c>
      <c r="W7">
        <f>VLOOKUP(A7,CMCSA!A$2:G$55,6,0)</f>
        <v>15854000</v>
      </c>
      <c r="X7">
        <f>VLOOKUP(A7,COF!A$2:G$55,6,0)</f>
        <v>2773000</v>
      </c>
      <c r="Y7">
        <f>VLOOKUP(A7,COP!A$2:G$55,6,0)</f>
        <v>5722700</v>
      </c>
      <c r="Z7">
        <f>VLOOKUP(A7,COST!A$2:G$55,6,0)</f>
        <v>2328100</v>
      </c>
      <c r="AA7">
        <f>VLOOKUP(A7,CSCO!A$2:G$55,6,0)</f>
        <v>35610300</v>
      </c>
      <c r="AB7">
        <f>VLOOKUP(A7,CVS!A$2:G$55,6,0)</f>
        <v>3127300</v>
      </c>
      <c r="AC7">
        <f>VLOOKUP(A7,CVX!A$2:G$55,6,0)</f>
        <v>5200800</v>
      </c>
      <c r="AD7">
        <f>VLOOKUP(A7,DD!A$2:G$55,6,0)</f>
        <v>3661000</v>
      </c>
      <c r="AE7">
        <f>VLOOKUP(A7,DIS!A$2:G$55,6,0)</f>
        <v>6311200</v>
      </c>
      <c r="AF7">
        <f>VLOOKUP(A7,DOW!A$2:G$55,6,0)</f>
        <v>5483400</v>
      </c>
      <c r="AG7">
        <f>VLOOKUP(A7,DVN!A$2:G$55,6,0)</f>
        <v>2213300</v>
      </c>
      <c r="AH7">
        <f>VLOOKUP(A7,EBAY!A$2:G$55,6,0)</f>
        <v>8425600</v>
      </c>
      <c r="AI7">
        <f>VLOOKUP(A7,EMC!A$2:G$55,6,0)</f>
        <v>13354700</v>
      </c>
      <c r="AJ7">
        <f>VLOOKUP(A7,EMR!A$2:G$55,6,0)</f>
        <v>2958900</v>
      </c>
      <c r="AK7">
        <f>VLOOKUP(A7,EXC!A$2:G$55,6,0)</f>
        <v>7582500</v>
      </c>
      <c r="AL7">
        <f>VLOOKUP(A7,F!A$2:G$55,6,0)</f>
        <v>27037000</v>
      </c>
      <c r="AM7">
        <f>VLOOKUP(A7,FB!A$2:G$55,6,0)</f>
        <v>51378000</v>
      </c>
      <c r="AN7">
        <f>VLOOKUP(A7,FCX!A$2:G$55,6,0)</f>
        <v>11054500</v>
      </c>
      <c r="AO7">
        <f>VLOOKUP(A7,FDX!A$2:G$55,6,0)</f>
        <v>822400</v>
      </c>
      <c r="AP7">
        <f>VLOOKUP(A7,FOXA!A$2:G$55,6,0)</f>
        <v>11174500</v>
      </c>
      <c r="AQ7">
        <f>VLOOKUP(A7,GD!A$2:G$55,6,0)</f>
        <v>1094800</v>
      </c>
      <c r="AR7">
        <f>VLOOKUP(A7,GE!A$2:G$55,6,0)</f>
        <v>37820500</v>
      </c>
      <c r="AS7">
        <f>VLOOKUP(A7,GILD!A$2:G$55,6,0)</f>
        <v>10384400</v>
      </c>
      <c r="AT7">
        <f>VLOOKUP(A7,GM!A$2:G$55,6,0)</f>
        <v>11676300</v>
      </c>
      <c r="AU7">
        <f>VLOOKUP(A7,GOOG!A$2:G$55,6,0)</f>
        <v>1113700</v>
      </c>
      <c r="AV7">
        <f>VLOOKUP(A7,GOOGL!A$2:G$55,6,0)</f>
        <v>1372800</v>
      </c>
      <c r="AW7">
        <f>VLOOKUP(A7,GS!A$2:G$55,6,0)</f>
        <v>1943800</v>
      </c>
      <c r="AX7">
        <f>VLOOKUP(A7,HAL!A$2:G$55,6,0)</f>
        <v>4460700</v>
      </c>
      <c r="AY7">
        <f>VLOOKUP(A7,HD!A$2:G$55,6,0)</f>
        <v>6980600</v>
      </c>
      <c r="AZ7">
        <f>VLOOKUP(A7,HON!A$2:G$55,6,0)</f>
        <v>1883400</v>
      </c>
      <c r="BA7">
        <f>VLOOKUP(A7,HPQ!A$2:G$55,6,0)</f>
        <v>5683500</v>
      </c>
      <c r="BB7">
        <f>VLOOKUP(A7,IBM!A$2:G$55,6,0)</f>
        <v>3309600</v>
      </c>
      <c r="BC7">
        <f>VLOOKUP(A7,INTC!A$2:G$55,6,0)</f>
        <v>28302400</v>
      </c>
      <c r="BD7">
        <f>VLOOKUP(A7,JNJ!A$2:G$55,6,0)</f>
        <v>5720900</v>
      </c>
      <c r="BE7">
        <f>VLOOKUP(A7,JPM!A$2:G$55,6,0)</f>
        <v>10914300</v>
      </c>
      <c r="BF7">
        <f>VLOOKUP(A7,KO!A$2:G$55,6,0)</f>
        <v>9891600</v>
      </c>
      <c r="BG7">
        <f>VLOOKUP(A7,LLY!A$2:G$55,6,0)</f>
        <v>2748600</v>
      </c>
      <c r="BH7">
        <f>VLOOKUP(A7,LMT!A$2:G$55,6,0)</f>
        <v>827400</v>
      </c>
      <c r="BI7">
        <f>VLOOKUP(A7,LOW!A$2:G$55,6,0)</f>
        <v>5830900</v>
      </c>
      <c r="BJ7">
        <f>VLOOKUP(A7,MA!A$2:G$55,6,0)</f>
        <v>3337000</v>
      </c>
      <c r="BK7">
        <f>VLOOKUP(A7,MCD!A$2:G$55,6,0)</f>
        <v>5604900</v>
      </c>
      <c r="BL7">
        <f>VLOOKUP(A7,MDLZ!A$2:G$55,6,0)</f>
        <v>7640700</v>
      </c>
      <c r="BM7">
        <f>VLOOKUP(A7,MDT!A$2:G$55,6,0)</f>
        <v>7576000</v>
      </c>
      <c r="BN7">
        <f>VLOOKUP(A7,MET!A$2:G$55,6,0)</f>
        <v>3960200</v>
      </c>
      <c r="BO7">
        <f>VLOOKUP(A7,MMM!A$2:G$55,6,0)</f>
        <v>1521800</v>
      </c>
      <c r="BP7">
        <f>VLOOKUP(A7,MO!A$2:G$55,6,0)</f>
        <v>5904300</v>
      </c>
      <c r="BQ7">
        <f>VLOOKUP(A7,MON!A$2:G$55,6,0)</f>
        <v>3158200</v>
      </c>
      <c r="BR7">
        <f>VLOOKUP(A7,MRK!A$2:G$55,6,0)</f>
        <v>6938700</v>
      </c>
      <c r="BS7">
        <f>VLOOKUP(A7,MS!A$2:G$55,6,0)</f>
        <v>6292100</v>
      </c>
      <c r="BT7">
        <f>VLOOKUP(A7,MSFT!A$2:G$55,6,0)</f>
        <v>18445900</v>
      </c>
      <c r="BU7">
        <f>VLOOKUP(A7,NKE!A$2:G$55,6,0)</f>
        <v>3514400</v>
      </c>
      <c r="BV7">
        <f>VLOOKUP(A7,NOV!A$2:G$55,6,0)</f>
        <v>3297800</v>
      </c>
      <c r="BW7">
        <f>VLOOKUP(A7,NSC!A$2:G$55,6,0)</f>
        <v>963000</v>
      </c>
      <c r="BX7">
        <f>VLOOKUP(A7,ORCL!A$2:G$55,6,0)</f>
        <v>14711600</v>
      </c>
      <c r="BY7">
        <f>VLOOKUP(A7,OXY!A$2:G$55,6,0)</f>
        <v>2257800</v>
      </c>
      <c r="BZ7">
        <f>VLOOKUP(A7,PEP!A$2:G$55,6,0)</f>
        <v>2603300</v>
      </c>
      <c r="CA7">
        <f>VLOOKUP(A7,PFE!A$2:G$55,6,0)</f>
        <v>20679300</v>
      </c>
      <c r="CB7">
        <f>VLOOKUP(A7,PG!A$2:G$55,6,0)</f>
        <v>12113100</v>
      </c>
      <c r="CC7">
        <f>VLOOKUP(A7,PM!A$2:G$55,6,0)</f>
        <v>3188000</v>
      </c>
      <c r="CD7">
        <f>VLOOKUP(A7,QCOM!A$2:G$55,6,0)</f>
        <v>5071200</v>
      </c>
      <c r="CE7">
        <f>VLOOKUP(A7,RTN!A$2:G$55,6,0)</f>
        <v>1547700</v>
      </c>
      <c r="CF7">
        <f>VLOOKUP(A7,SBUX!A$2:G$55,6,0)</f>
        <v>3891300</v>
      </c>
      <c r="CG7">
        <f>VLOOKUP(A7,SLB!A$2:G$55,6,0)</f>
        <v>6769500</v>
      </c>
      <c r="CH7">
        <f>VLOOKUP(A7,SO!A$2:G$55,6,0)</f>
        <v>3720300</v>
      </c>
      <c r="CI7">
        <f>VLOOKUP(A7,SPG!A$2:G$55,6,0)</f>
        <v>1360000</v>
      </c>
      <c r="CJ7">
        <f>VLOOKUP(A7,T!A$2:G$55,6,0)</f>
        <v>15910100</v>
      </c>
      <c r="CK7">
        <f>VLOOKUP(A7,TGT!A$2:G$55,6,0)</f>
        <v>4276700</v>
      </c>
      <c r="CL7">
        <f>VLOOKUP(A7,TWX!A$2:G$55,6,0)</f>
        <v>14333800</v>
      </c>
      <c r="CM7">
        <f>VLOOKUP(A7,TXN!A$2:G$55,6,0)</f>
        <v>4378200</v>
      </c>
      <c r="CN7">
        <f>VLOOKUP(A7,UNH!A$2:G$55,6,0)</f>
        <v>3079500</v>
      </c>
      <c r="CO7">
        <f>VLOOKUP(A7,UNP!A$2:G$55,6,0)</f>
        <v>1782900</v>
      </c>
      <c r="CP7">
        <f>VLOOKUP(A7,UPS!A$2:G$55,6,0)</f>
        <v>1188800</v>
      </c>
      <c r="CQ7">
        <f>VLOOKUP(A7,USB!A$2:G$55,6,0)</f>
        <v>5753900</v>
      </c>
      <c r="CR7">
        <f>VLOOKUP(A7,UTX!A$2:G$55,6,0)</f>
        <v>3358400</v>
      </c>
      <c r="CS7">
        <f>VLOOKUP(A7,V!A$2:G$55,6,0)</f>
        <v>1294300</v>
      </c>
      <c r="CT7">
        <f>VLOOKUP(A7,VZ!A$2:G$55,6,0)</f>
        <v>14431900</v>
      </c>
      <c r="CU7">
        <f>VLOOKUP(A7,WAG!A$2:G$55,6,0)</f>
        <v>5097800</v>
      </c>
      <c r="CV7">
        <f>VLOOKUP(A7,WFC!A$2:G$55,6,0)</f>
        <v>16116300</v>
      </c>
      <c r="CW7">
        <f>VLOOKUP(A7,WMT!A$2:G$55,6,0)</f>
        <v>6240100</v>
      </c>
    </row>
    <row r="8" spans="1:101" x14ac:dyDescent="0.25">
      <c r="A8" s="34">
        <v>41830</v>
      </c>
      <c r="B8" s="36">
        <v>39686000</v>
      </c>
      <c r="C8">
        <f>VLOOKUP(A8,ABBV!A$2:G$55,6,0)</f>
        <v>7553100</v>
      </c>
      <c r="D8">
        <f>VLOOKUP(A8,ABT!A$2:G$55,6,0)</f>
        <v>4839200</v>
      </c>
      <c r="E8">
        <f>VLOOKUP(A8,ACN!A$2:G$55,6,0)</f>
        <v>2965000</v>
      </c>
      <c r="F8">
        <f>VLOOKUP(A8,AIG!A$2:G$55,6,0)</f>
        <v>8825100</v>
      </c>
      <c r="G8">
        <f>VLOOKUP(A8,ALL!A$2:G$55,6,0)</f>
        <v>2701900</v>
      </c>
      <c r="H8">
        <f>VLOOKUP(A8,AMGN!A$2:G$55,6,0)</f>
        <v>2642500</v>
      </c>
      <c r="I8">
        <f>VLOOKUP(A8,AMZN!A$2:G$55,6,0)</f>
        <v>2665000</v>
      </c>
      <c r="J8">
        <f>VLOOKUP(A8,APA!A$2:G$55,6,0)</f>
        <v>2203000</v>
      </c>
      <c r="K8">
        <f>VLOOKUP(A8,APC!A$2:G$55,6,0)</f>
        <v>2649700</v>
      </c>
      <c r="L8">
        <f>VLOOKUP(A8,AXP!A$2:G$55,6,0)</f>
        <v>2230000</v>
      </c>
      <c r="M8">
        <f>VLOOKUP(A8,BA!A$2:G$55,6,0)</f>
        <v>3936900</v>
      </c>
      <c r="N8">
        <f>VLOOKUP(A8,BAC!A$2:G$55,6,0)</f>
        <v>61458500</v>
      </c>
      <c r="O8">
        <f>VLOOKUP(A8,BAX!A$2:G$55,6,0)</f>
        <v>3308200</v>
      </c>
      <c r="P8">
        <f>VLOOKUP(A8,BIIB!A$2:G$55,6,0)</f>
        <v>825300</v>
      </c>
      <c r="Q8">
        <f>VLOOKUP(A8,BK!A$2:G$55,6,0)</f>
        <v>5067800</v>
      </c>
      <c r="R8">
        <f>VLOOKUP(A8,BMY!A$2:G$55,6,0)</f>
        <v>7811800</v>
      </c>
      <c r="T8">
        <f>VLOOKUP(A8,'C'!A$2:G$55,6,0)</f>
        <v>18671600</v>
      </c>
      <c r="U8">
        <f>VLOOKUP(A8,CAT!A$2:G$55,6,0)</f>
        <v>2303600</v>
      </c>
      <c r="V8">
        <f>VLOOKUP(A8,CL!A$2:G$55,6,0)</f>
        <v>2933900</v>
      </c>
      <c r="W8">
        <f>VLOOKUP(A8,CMCSA!A$2:G$55,6,0)</f>
        <v>10154300</v>
      </c>
      <c r="X8">
        <f>VLOOKUP(A8,COF!A$2:G$55,6,0)</f>
        <v>2401700</v>
      </c>
      <c r="Y8">
        <f>VLOOKUP(A8,COP!A$2:G$55,6,0)</f>
        <v>8248600</v>
      </c>
      <c r="Z8">
        <f>VLOOKUP(A8,COST!A$2:G$55,6,0)</f>
        <v>2266400</v>
      </c>
      <c r="AA8">
        <f>VLOOKUP(A8,CSCO!A$2:G$55,6,0)</f>
        <v>27278600</v>
      </c>
      <c r="AB8">
        <f>VLOOKUP(A8,CVS!A$2:G$55,6,0)</f>
        <v>2911700</v>
      </c>
      <c r="AC8">
        <f>VLOOKUP(A8,CVX!A$2:G$55,6,0)</f>
        <v>4404800</v>
      </c>
      <c r="AD8">
        <f>VLOOKUP(A8,DD!A$2:G$55,6,0)</f>
        <v>3108100</v>
      </c>
      <c r="AE8">
        <f>VLOOKUP(A8,DIS!A$2:G$55,6,0)</f>
        <v>7249700</v>
      </c>
      <c r="AF8">
        <f>VLOOKUP(A8,DOW!A$2:G$55,6,0)</f>
        <v>5943800</v>
      </c>
      <c r="AG8">
        <f>VLOOKUP(A8,DVN!A$2:G$55,6,0)</f>
        <v>3014200</v>
      </c>
      <c r="AH8">
        <f>VLOOKUP(A8,EBAY!A$2:G$55,6,0)</f>
        <v>8327000</v>
      </c>
      <c r="AI8">
        <f>VLOOKUP(A8,EMC!A$2:G$55,6,0)</f>
        <v>10551400</v>
      </c>
      <c r="AJ8">
        <f>VLOOKUP(A8,EMR!A$2:G$55,6,0)</f>
        <v>2569900</v>
      </c>
      <c r="AK8">
        <f>VLOOKUP(A8,EXC!A$2:G$55,6,0)</f>
        <v>7476400</v>
      </c>
      <c r="AL8">
        <f>VLOOKUP(A8,F!A$2:G$55,6,0)</f>
        <v>20164400</v>
      </c>
      <c r="AM8">
        <f>VLOOKUP(A8,FB!A$2:G$55,6,0)</f>
        <v>44388200</v>
      </c>
      <c r="AN8">
        <f>VLOOKUP(A8,FCX!A$2:G$55,6,0)</f>
        <v>13141400</v>
      </c>
      <c r="AO8">
        <f>VLOOKUP(A8,FDX!A$2:G$55,6,0)</f>
        <v>984300</v>
      </c>
      <c r="AP8">
        <f>VLOOKUP(A8,FOXA!A$2:G$55,6,0)</f>
        <v>6190900</v>
      </c>
      <c r="AQ8">
        <f>VLOOKUP(A8,GD!A$2:G$55,6,0)</f>
        <v>1173200</v>
      </c>
      <c r="AR8">
        <f>VLOOKUP(A8,GE!A$2:G$55,6,0)</f>
        <v>33238500</v>
      </c>
      <c r="AS8">
        <f>VLOOKUP(A8,GILD!A$2:G$55,6,0)</f>
        <v>9521200</v>
      </c>
      <c r="AT8">
        <f>VLOOKUP(A8,GM!A$2:G$55,6,0)</f>
        <v>9898900</v>
      </c>
      <c r="AU8">
        <f>VLOOKUP(A8,GOOG!A$2:G$55,6,0)</f>
        <v>1353000</v>
      </c>
      <c r="AV8">
        <f>VLOOKUP(A8,GOOGL!A$2:G$55,6,0)</f>
        <v>1436200</v>
      </c>
      <c r="AW8">
        <f>VLOOKUP(A8,GS!A$2:G$55,6,0)</f>
        <v>2204100</v>
      </c>
      <c r="AX8">
        <f>VLOOKUP(A8,HAL!A$2:G$55,6,0)</f>
        <v>5630800</v>
      </c>
      <c r="AY8">
        <f>VLOOKUP(A8,HD!A$2:G$55,6,0)</f>
        <v>11530900</v>
      </c>
      <c r="AZ8">
        <f>VLOOKUP(A8,HON!A$2:G$55,6,0)</f>
        <v>2780800</v>
      </c>
      <c r="BA8">
        <f>VLOOKUP(A8,HPQ!A$2:G$55,6,0)</f>
        <v>8630400</v>
      </c>
      <c r="BB8">
        <f>VLOOKUP(A8,IBM!A$2:G$55,6,0)</f>
        <v>3177800</v>
      </c>
      <c r="BC8">
        <f>VLOOKUP(A8,INTC!A$2:G$55,6,0)</f>
        <v>32455100</v>
      </c>
      <c r="BD8">
        <f>VLOOKUP(A8,JNJ!A$2:G$55,6,0)</f>
        <v>4955100</v>
      </c>
      <c r="BE8">
        <f>VLOOKUP(A8,JPM!A$2:G$55,6,0)</f>
        <v>12436600</v>
      </c>
      <c r="BF8">
        <f>VLOOKUP(A8,KO!A$2:G$55,6,0)</f>
        <v>12564500</v>
      </c>
      <c r="BG8">
        <f>VLOOKUP(A8,LLY!A$2:G$55,6,0)</f>
        <v>2619200</v>
      </c>
      <c r="BH8">
        <f>VLOOKUP(A8,LMT!A$2:G$55,6,0)</f>
        <v>815700</v>
      </c>
      <c r="BI8">
        <f>VLOOKUP(A8,LOW!A$2:G$55,6,0)</f>
        <v>8008700</v>
      </c>
      <c r="BJ8">
        <f>VLOOKUP(A8,MA!A$2:G$55,6,0)</f>
        <v>3318000</v>
      </c>
      <c r="BK8">
        <f>VLOOKUP(A8,MCD!A$2:G$55,6,0)</f>
        <v>3274900</v>
      </c>
      <c r="BL8">
        <f>VLOOKUP(A8,MDLZ!A$2:G$55,6,0)</f>
        <v>4420800</v>
      </c>
      <c r="BM8">
        <f>VLOOKUP(A8,MDT!A$2:G$55,6,0)</f>
        <v>5161600</v>
      </c>
      <c r="BN8">
        <f>VLOOKUP(A8,MET!A$2:G$55,6,0)</f>
        <v>5032100</v>
      </c>
      <c r="BO8">
        <f>VLOOKUP(A8,MMM!A$2:G$55,6,0)</f>
        <v>2070100</v>
      </c>
      <c r="BP8">
        <f>VLOOKUP(A8,MO!A$2:G$55,6,0)</f>
        <v>7554700</v>
      </c>
      <c r="BQ8">
        <f>VLOOKUP(A8,MON!A$2:G$55,6,0)</f>
        <v>3931600</v>
      </c>
      <c r="BR8">
        <f>VLOOKUP(A8,MRK!A$2:G$55,6,0)</f>
        <v>5583700</v>
      </c>
      <c r="BS8">
        <f>VLOOKUP(A8,MS!A$2:G$55,6,0)</f>
        <v>7784900</v>
      </c>
      <c r="BT8">
        <f>VLOOKUP(A8,MSFT!A$2:G$55,6,0)</f>
        <v>21854700</v>
      </c>
      <c r="BU8">
        <f>VLOOKUP(A8,NKE!A$2:G$55,6,0)</f>
        <v>3178500</v>
      </c>
      <c r="BV8">
        <f>VLOOKUP(A8,NOV!A$2:G$55,6,0)</f>
        <v>3699100</v>
      </c>
      <c r="BW8">
        <f>VLOOKUP(A8,NSC!A$2:G$55,6,0)</f>
        <v>1365400</v>
      </c>
      <c r="BX8">
        <f>VLOOKUP(A8,ORCL!A$2:G$55,6,0)</f>
        <v>9566900</v>
      </c>
      <c r="BY8">
        <f>VLOOKUP(A8,OXY!A$2:G$55,6,0)</f>
        <v>4825000</v>
      </c>
      <c r="BZ8">
        <f>VLOOKUP(A8,PEP!A$2:G$55,6,0)</f>
        <v>3145600</v>
      </c>
      <c r="CA8">
        <f>VLOOKUP(A8,PFE!A$2:G$55,6,0)</f>
        <v>20114200</v>
      </c>
      <c r="CB8">
        <f>VLOOKUP(A8,PG!A$2:G$55,6,0)</f>
        <v>8786500</v>
      </c>
      <c r="CC8">
        <f>VLOOKUP(A8,PM!A$2:G$55,6,0)</f>
        <v>5465500</v>
      </c>
      <c r="CD8">
        <f>VLOOKUP(A8,QCOM!A$2:G$55,6,0)</f>
        <v>5090200</v>
      </c>
      <c r="CE8">
        <f>VLOOKUP(A8,RTN!A$2:G$55,6,0)</f>
        <v>1523400</v>
      </c>
      <c r="CF8">
        <f>VLOOKUP(A8,SBUX!A$2:G$55,6,0)</f>
        <v>2360000</v>
      </c>
      <c r="CG8">
        <f>VLOOKUP(A8,SLB!A$2:G$55,6,0)</f>
        <v>5112800</v>
      </c>
      <c r="CH8">
        <f>VLOOKUP(A8,SO!A$2:G$55,6,0)</f>
        <v>5181800</v>
      </c>
      <c r="CI8">
        <f>VLOOKUP(A8,SPG!A$2:G$55,6,0)</f>
        <v>1026800</v>
      </c>
      <c r="CJ8">
        <f>VLOOKUP(A8,T!A$2:G$55,6,0)</f>
        <v>14594000</v>
      </c>
      <c r="CK8">
        <f>VLOOKUP(A8,TGT!A$2:G$55,6,0)</f>
        <v>3799900</v>
      </c>
      <c r="CL8">
        <f>VLOOKUP(A8,TWX!A$2:G$55,6,0)</f>
        <v>4149400</v>
      </c>
      <c r="CM8">
        <f>VLOOKUP(A8,TXN!A$2:G$55,6,0)</f>
        <v>4907400</v>
      </c>
      <c r="CN8">
        <f>VLOOKUP(A8,UNH!A$2:G$55,6,0)</f>
        <v>3829400</v>
      </c>
      <c r="CO8">
        <f>VLOOKUP(A8,UNP!A$2:G$55,6,0)</f>
        <v>2436400</v>
      </c>
      <c r="CP8">
        <f>VLOOKUP(A8,UPS!A$2:G$55,6,0)</f>
        <v>1597300</v>
      </c>
      <c r="CQ8">
        <f>VLOOKUP(A8,USB!A$2:G$55,6,0)</f>
        <v>5242000</v>
      </c>
      <c r="CR8">
        <f>VLOOKUP(A8,UTX!A$2:G$55,6,0)</f>
        <v>3654800</v>
      </c>
      <c r="CS8">
        <f>VLOOKUP(A8,V!A$2:G$55,6,0)</f>
        <v>2134200</v>
      </c>
      <c r="CT8">
        <f>VLOOKUP(A8,VZ!A$2:G$55,6,0)</f>
        <v>18423500</v>
      </c>
      <c r="CU8">
        <f>VLOOKUP(A8,WAG!A$2:G$55,6,0)</f>
        <v>3910600</v>
      </c>
      <c r="CV8">
        <f>VLOOKUP(A8,WFC!A$2:G$55,6,0)</f>
        <v>20059900</v>
      </c>
      <c r="CW8">
        <f>VLOOKUP(A8,WMT!A$2:G$55,6,0)</f>
        <v>5372500</v>
      </c>
    </row>
    <row r="9" spans="1:101" x14ac:dyDescent="0.25">
      <c r="A9" s="34">
        <v>41831</v>
      </c>
      <c r="B9" s="36">
        <v>34018000</v>
      </c>
      <c r="C9">
        <f>VLOOKUP(A9,ABBV!A$2:G$55,6,0)</f>
        <v>13586800</v>
      </c>
      <c r="D9">
        <f>VLOOKUP(A9,ABT!A$2:G$55,6,0)</f>
        <v>5077900</v>
      </c>
      <c r="E9">
        <f>VLOOKUP(A9,ACN!A$2:G$55,6,0)</f>
        <v>2586700</v>
      </c>
      <c r="F9">
        <f>VLOOKUP(A9,AIG!A$2:G$55,6,0)</f>
        <v>4044100</v>
      </c>
      <c r="G9">
        <f>VLOOKUP(A9,ALL!A$2:G$55,6,0)</f>
        <v>1422800</v>
      </c>
      <c r="H9">
        <f>VLOOKUP(A9,AMGN!A$2:G$55,6,0)</f>
        <v>2733200</v>
      </c>
      <c r="I9">
        <f>VLOOKUP(A9,AMZN!A$2:G$55,6,0)</f>
        <v>8300800</v>
      </c>
      <c r="J9">
        <f>VLOOKUP(A9,APA!A$2:G$55,6,0)</f>
        <v>2191900</v>
      </c>
      <c r="K9">
        <f>VLOOKUP(A9,APC!A$2:G$55,6,0)</f>
        <v>2869500</v>
      </c>
      <c r="L9">
        <f>VLOOKUP(A9,AXP!A$2:G$55,6,0)</f>
        <v>2108500</v>
      </c>
      <c r="M9">
        <f>VLOOKUP(A9,BA!A$2:G$55,6,0)</f>
        <v>3193100</v>
      </c>
      <c r="N9">
        <f>VLOOKUP(A9,BAC!A$2:G$55,6,0)</f>
        <v>56849400</v>
      </c>
      <c r="O9">
        <f>VLOOKUP(A9,BAX!A$2:G$55,6,0)</f>
        <v>1914500</v>
      </c>
      <c r="P9">
        <f>VLOOKUP(A9,BIIB!A$2:G$55,6,0)</f>
        <v>946900</v>
      </c>
      <c r="Q9">
        <f>VLOOKUP(A9,BK!A$2:G$55,6,0)</f>
        <v>4403700</v>
      </c>
      <c r="R9">
        <f>VLOOKUP(A9,BMY!A$2:G$55,6,0)</f>
        <v>3759300</v>
      </c>
      <c r="T9">
        <f>VLOOKUP(A9,'C'!A$2:G$55,6,0)</f>
        <v>15205700</v>
      </c>
      <c r="U9">
        <f>VLOOKUP(A9,CAT!A$2:G$55,6,0)</f>
        <v>1992300</v>
      </c>
      <c r="V9">
        <f>VLOOKUP(A9,CL!A$2:G$55,6,0)</f>
        <v>1681500</v>
      </c>
      <c r="W9">
        <f>VLOOKUP(A9,CMCSA!A$2:G$55,6,0)</f>
        <v>7054500</v>
      </c>
      <c r="X9">
        <f>VLOOKUP(A9,COF!A$2:G$55,6,0)</f>
        <v>1934500</v>
      </c>
      <c r="Y9">
        <f>VLOOKUP(A9,COP!A$2:G$55,6,0)</f>
        <v>4875800</v>
      </c>
      <c r="Z9">
        <f>VLOOKUP(A9,COST!A$2:G$55,6,0)</f>
        <v>1684700</v>
      </c>
      <c r="AA9">
        <f>VLOOKUP(A9,CSCO!A$2:G$55,6,0)</f>
        <v>20945900</v>
      </c>
      <c r="AB9">
        <f>VLOOKUP(A9,CVS!A$2:G$55,6,0)</f>
        <v>2269000</v>
      </c>
      <c r="AC9">
        <f>VLOOKUP(A9,CVX!A$2:G$55,6,0)</f>
        <v>5242700</v>
      </c>
      <c r="AD9">
        <f>VLOOKUP(A9,DD!A$2:G$55,6,0)</f>
        <v>2866300</v>
      </c>
      <c r="AE9">
        <f>VLOOKUP(A9,DIS!A$2:G$55,6,0)</f>
        <v>5016000</v>
      </c>
      <c r="AF9">
        <f>VLOOKUP(A9,DOW!A$2:G$55,6,0)</f>
        <v>4126400</v>
      </c>
      <c r="AG9">
        <f>VLOOKUP(A9,DVN!A$2:G$55,6,0)</f>
        <v>2920200</v>
      </c>
      <c r="AH9">
        <f>VLOOKUP(A9,EBAY!A$2:G$55,6,0)</f>
        <v>13869800</v>
      </c>
      <c r="AI9">
        <f>VLOOKUP(A9,EMC!A$2:G$55,6,0)</f>
        <v>11385700</v>
      </c>
      <c r="AJ9">
        <f>VLOOKUP(A9,EMR!A$2:G$55,6,0)</f>
        <v>2964100</v>
      </c>
      <c r="AK9">
        <f>VLOOKUP(A9,EXC!A$2:G$55,6,0)</f>
        <v>9178300</v>
      </c>
      <c r="AL9">
        <f>VLOOKUP(A9,F!A$2:G$55,6,0)</f>
        <v>20150000</v>
      </c>
      <c r="AM9">
        <f>VLOOKUP(A9,FB!A$2:G$55,6,0)</f>
        <v>39167800</v>
      </c>
      <c r="AN9">
        <f>VLOOKUP(A9,FCX!A$2:G$55,6,0)</f>
        <v>9705600</v>
      </c>
      <c r="AO9">
        <f>VLOOKUP(A9,FDX!A$2:G$55,6,0)</f>
        <v>839100</v>
      </c>
      <c r="AP9">
        <f>VLOOKUP(A9,FOXA!A$2:G$55,6,0)</f>
        <v>10288200</v>
      </c>
      <c r="AQ9">
        <f>VLOOKUP(A9,GD!A$2:G$55,6,0)</f>
        <v>1513300</v>
      </c>
      <c r="AR9">
        <f>VLOOKUP(A9,GE!A$2:G$55,6,0)</f>
        <v>35440200</v>
      </c>
      <c r="AS9">
        <f>VLOOKUP(A9,GILD!A$2:G$55,6,0)</f>
        <v>11268700</v>
      </c>
      <c r="AT9">
        <f>VLOOKUP(A9,GM!A$2:G$55,6,0)</f>
        <v>6203400</v>
      </c>
      <c r="AU9">
        <f>VLOOKUP(A9,GOOG!A$2:G$55,6,0)</f>
        <v>1617300</v>
      </c>
      <c r="AV9">
        <f>VLOOKUP(A9,GOOGL!A$2:G$55,6,0)</f>
        <v>1511600</v>
      </c>
      <c r="AW9">
        <f>VLOOKUP(A9,GS!A$2:G$55,6,0)</f>
        <v>2293300</v>
      </c>
      <c r="AX9">
        <f>VLOOKUP(A9,HAL!A$2:G$55,6,0)</f>
        <v>4651900</v>
      </c>
      <c r="AY9">
        <f>VLOOKUP(A9,HD!A$2:G$55,6,0)</f>
        <v>4746400</v>
      </c>
      <c r="AZ9">
        <f>VLOOKUP(A9,HON!A$2:G$55,6,0)</f>
        <v>2536900</v>
      </c>
      <c r="BA9">
        <f>VLOOKUP(A9,HPQ!A$2:G$55,6,0)</f>
        <v>6458900</v>
      </c>
      <c r="BB9">
        <f>VLOOKUP(A9,IBM!A$2:G$55,6,0)</f>
        <v>2402500</v>
      </c>
      <c r="BC9">
        <f>VLOOKUP(A9,INTC!A$2:G$55,6,0)</f>
        <v>20045000</v>
      </c>
      <c r="BD9">
        <f>VLOOKUP(A9,JNJ!A$2:G$55,6,0)</f>
        <v>5461000</v>
      </c>
      <c r="BE9">
        <f>VLOOKUP(A9,JPM!A$2:G$55,6,0)</f>
        <v>10230000</v>
      </c>
      <c r="BF9">
        <f>VLOOKUP(A9,KO!A$2:G$55,6,0)</f>
        <v>9773000</v>
      </c>
      <c r="BG9">
        <f>VLOOKUP(A9,LLY!A$2:G$55,6,0)</f>
        <v>2400700</v>
      </c>
      <c r="BH9">
        <f>VLOOKUP(A9,LMT!A$2:G$55,6,0)</f>
        <v>1073600</v>
      </c>
      <c r="BI9">
        <f>VLOOKUP(A9,LOW!A$2:G$55,6,0)</f>
        <v>4430800</v>
      </c>
      <c r="BJ9">
        <f>VLOOKUP(A9,MA!A$2:G$55,6,0)</f>
        <v>2759000</v>
      </c>
      <c r="BK9">
        <f>VLOOKUP(A9,MCD!A$2:G$55,6,0)</f>
        <v>2812500</v>
      </c>
      <c r="BL9">
        <f>VLOOKUP(A9,MDLZ!A$2:G$55,6,0)</f>
        <v>13163000</v>
      </c>
      <c r="BM9">
        <f>VLOOKUP(A9,MDT!A$2:G$55,6,0)</f>
        <v>7533700</v>
      </c>
      <c r="BN9">
        <f>VLOOKUP(A9,MET!A$2:G$55,6,0)</f>
        <v>4249400</v>
      </c>
      <c r="BO9">
        <f>VLOOKUP(A9,MMM!A$2:G$55,6,0)</f>
        <v>1907900</v>
      </c>
      <c r="BP9">
        <f>VLOOKUP(A9,MO!A$2:G$55,6,0)</f>
        <v>9915900</v>
      </c>
      <c r="BQ9">
        <f>VLOOKUP(A9,MON!A$2:G$55,6,0)</f>
        <v>3390700</v>
      </c>
      <c r="BR9">
        <f>VLOOKUP(A9,MRK!A$2:G$55,6,0)</f>
        <v>6106800</v>
      </c>
      <c r="BS9">
        <f>VLOOKUP(A9,MS!A$2:G$55,6,0)</f>
        <v>10112200</v>
      </c>
      <c r="BT9">
        <f>VLOOKUP(A9,MSFT!A$2:G$55,6,0)</f>
        <v>24083000</v>
      </c>
      <c r="BU9">
        <f>VLOOKUP(A9,NKE!A$2:G$55,6,0)</f>
        <v>2879000</v>
      </c>
      <c r="BV9">
        <f>VLOOKUP(A9,NOV!A$2:G$55,6,0)</f>
        <v>2824400</v>
      </c>
      <c r="BW9">
        <f>VLOOKUP(A9,NSC!A$2:G$55,6,0)</f>
        <v>1356000</v>
      </c>
      <c r="BX9">
        <f>VLOOKUP(A9,ORCL!A$2:G$55,6,0)</f>
        <v>11942300</v>
      </c>
      <c r="BY9">
        <f>VLOOKUP(A9,OXY!A$2:G$55,6,0)</f>
        <v>3116100</v>
      </c>
      <c r="BZ9">
        <f>VLOOKUP(A9,PEP!A$2:G$55,6,0)</f>
        <v>3655300</v>
      </c>
      <c r="CA9">
        <f>VLOOKUP(A9,PFE!A$2:G$55,6,0)</f>
        <v>18359500</v>
      </c>
      <c r="CB9">
        <f>VLOOKUP(A9,PG!A$2:G$55,6,0)</f>
        <v>7519300</v>
      </c>
      <c r="CC9">
        <f>VLOOKUP(A9,PM!A$2:G$55,6,0)</f>
        <v>4861300</v>
      </c>
      <c r="CD9">
        <f>VLOOKUP(A9,QCOM!A$2:G$55,6,0)</f>
        <v>8623300</v>
      </c>
      <c r="CE9">
        <f>VLOOKUP(A9,RTN!A$2:G$55,6,0)</f>
        <v>1515500</v>
      </c>
      <c r="CF9">
        <f>VLOOKUP(A9,SBUX!A$2:G$55,6,0)</f>
        <v>2119700</v>
      </c>
      <c r="CG9">
        <f>VLOOKUP(A9,SLB!A$2:G$55,6,0)</f>
        <v>4831900</v>
      </c>
      <c r="CH9">
        <f>VLOOKUP(A9,SO!A$2:G$55,6,0)</f>
        <v>4019100</v>
      </c>
      <c r="CI9">
        <f>VLOOKUP(A9,SPG!A$2:G$55,6,0)</f>
        <v>837700</v>
      </c>
      <c r="CJ9">
        <f>VLOOKUP(A9,T!A$2:G$55,6,0)</f>
        <v>11559400</v>
      </c>
      <c r="CK9">
        <f>VLOOKUP(A9,TGT!A$2:G$55,6,0)</f>
        <v>3109100</v>
      </c>
      <c r="CL9">
        <f>VLOOKUP(A9,TWX!A$2:G$55,6,0)</f>
        <v>3560400</v>
      </c>
      <c r="CM9">
        <f>VLOOKUP(A9,TXN!A$2:G$55,6,0)</f>
        <v>4231400</v>
      </c>
      <c r="CN9">
        <f>VLOOKUP(A9,UNH!A$2:G$55,6,0)</f>
        <v>2758400</v>
      </c>
      <c r="CO9">
        <f>VLOOKUP(A9,UNP!A$2:G$55,6,0)</f>
        <v>2086600</v>
      </c>
      <c r="CP9">
        <f>VLOOKUP(A9,UPS!A$2:G$55,6,0)</f>
        <v>1559100</v>
      </c>
      <c r="CQ9">
        <f>VLOOKUP(A9,USB!A$2:G$55,6,0)</f>
        <v>5091000</v>
      </c>
      <c r="CR9">
        <f>VLOOKUP(A9,UTX!A$2:G$55,6,0)</f>
        <v>3697600</v>
      </c>
      <c r="CS9">
        <f>VLOOKUP(A9,V!A$2:G$55,6,0)</f>
        <v>1424200</v>
      </c>
      <c r="CT9">
        <f>VLOOKUP(A9,VZ!A$2:G$55,6,0)</f>
        <v>17741200</v>
      </c>
      <c r="CU9">
        <f>VLOOKUP(A9,WAG!A$2:G$55,6,0)</f>
        <v>2690000</v>
      </c>
      <c r="CV9">
        <f>VLOOKUP(A9,WFC!A$2:G$55,6,0)</f>
        <v>29998900</v>
      </c>
      <c r="CW9">
        <f>VLOOKUP(A9,WMT!A$2:G$55,6,0)</f>
        <v>4547500</v>
      </c>
    </row>
    <row r="10" spans="1:101" x14ac:dyDescent="0.25">
      <c r="A10" s="34">
        <v>41834</v>
      </c>
      <c r="B10" s="36">
        <v>42810000</v>
      </c>
      <c r="C10">
        <f>VLOOKUP(A10,ABBV!A$2:G$55,6,0)</f>
        <v>30823300</v>
      </c>
      <c r="D10">
        <f>VLOOKUP(A10,ABT!A$2:G$55,6,0)</f>
        <v>6699800</v>
      </c>
      <c r="E10">
        <f>VLOOKUP(A10,ACN!A$2:G$55,6,0)</f>
        <v>2595800</v>
      </c>
      <c r="F10">
        <f>VLOOKUP(A10,AIG!A$2:G$55,6,0)</f>
        <v>5501100</v>
      </c>
      <c r="G10">
        <f>VLOOKUP(A10,ALL!A$2:G$55,6,0)</f>
        <v>2224600</v>
      </c>
      <c r="H10">
        <f>VLOOKUP(A10,AMGN!A$2:G$55,6,0)</f>
        <v>2149600</v>
      </c>
      <c r="I10">
        <f>VLOOKUP(A10,AMZN!A$2:G$55,6,0)</f>
        <v>5609900</v>
      </c>
      <c r="J10">
        <f>VLOOKUP(A10,APA!A$2:G$55,6,0)</f>
        <v>1949200</v>
      </c>
      <c r="K10">
        <f>VLOOKUP(A10,APC!A$2:G$55,6,0)</f>
        <v>2828800</v>
      </c>
      <c r="L10">
        <f>VLOOKUP(A10,AXP!A$2:G$55,6,0)</f>
        <v>2388000</v>
      </c>
      <c r="M10">
        <f>VLOOKUP(A10,BA!A$2:G$55,6,0)</f>
        <v>5267500</v>
      </c>
      <c r="N10">
        <f>VLOOKUP(A10,BAC!A$2:G$55,6,0)</f>
        <v>59181700</v>
      </c>
      <c r="O10">
        <f>VLOOKUP(A10,BAX!A$2:G$55,6,0)</f>
        <v>2048000</v>
      </c>
      <c r="P10">
        <f>VLOOKUP(A10,BIIB!A$2:G$55,6,0)</f>
        <v>876500</v>
      </c>
      <c r="Q10">
        <f>VLOOKUP(A10,BK!A$2:G$55,6,0)</f>
        <v>5030000</v>
      </c>
      <c r="R10">
        <f>VLOOKUP(A10,BMY!A$2:G$55,6,0)</f>
        <v>6139200</v>
      </c>
      <c r="T10">
        <f>VLOOKUP(A10,'C'!A$2:G$55,6,0)</f>
        <v>36149700</v>
      </c>
      <c r="U10">
        <f>VLOOKUP(A10,CAT!A$2:G$55,6,0)</f>
        <v>2375100</v>
      </c>
      <c r="V10">
        <f>VLOOKUP(A10,CL!A$2:G$55,6,0)</f>
        <v>2198500</v>
      </c>
      <c r="W10">
        <f>VLOOKUP(A10,CMCSA!A$2:G$55,6,0)</f>
        <v>13698200</v>
      </c>
      <c r="X10">
        <f>VLOOKUP(A10,COF!A$2:G$55,6,0)</f>
        <v>2608500</v>
      </c>
      <c r="Y10">
        <f>VLOOKUP(A10,COP!A$2:G$55,6,0)</f>
        <v>4671900</v>
      </c>
      <c r="Z10">
        <f>VLOOKUP(A10,COST!A$2:G$55,6,0)</f>
        <v>1695500</v>
      </c>
      <c r="AA10">
        <f>VLOOKUP(A10,CSCO!A$2:G$55,6,0)</f>
        <v>19243600</v>
      </c>
      <c r="AB10">
        <f>VLOOKUP(A10,CVS!A$2:G$55,6,0)</f>
        <v>2272700</v>
      </c>
      <c r="AC10">
        <f>VLOOKUP(A10,CVX!A$2:G$55,6,0)</f>
        <v>4135800</v>
      </c>
      <c r="AD10">
        <f>VLOOKUP(A10,DD!A$2:G$55,6,0)</f>
        <v>2613300</v>
      </c>
      <c r="AE10">
        <f>VLOOKUP(A10,DIS!A$2:G$55,6,0)</f>
        <v>4012300</v>
      </c>
      <c r="AF10">
        <f>VLOOKUP(A10,DOW!A$2:G$55,6,0)</f>
        <v>5172900</v>
      </c>
      <c r="AG10">
        <f>VLOOKUP(A10,DVN!A$2:G$55,6,0)</f>
        <v>2107600</v>
      </c>
      <c r="AH10">
        <f>VLOOKUP(A10,EBAY!A$2:G$55,6,0)</f>
        <v>9360600</v>
      </c>
      <c r="AI10">
        <f>VLOOKUP(A10,EMC!A$2:G$55,6,0)</f>
        <v>12424300</v>
      </c>
      <c r="AJ10">
        <f>VLOOKUP(A10,EMR!A$2:G$55,6,0)</f>
        <v>2259500</v>
      </c>
      <c r="AK10">
        <f>VLOOKUP(A10,EXC!A$2:G$55,6,0)</f>
        <v>10240200</v>
      </c>
      <c r="AL10">
        <f>VLOOKUP(A10,F!A$2:G$55,6,0)</f>
        <v>20446700</v>
      </c>
      <c r="AM10">
        <f>VLOOKUP(A10,FB!A$2:G$55,6,0)</f>
        <v>38468000</v>
      </c>
      <c r="AN10">
        <f>VLOOKUP(A10,FCX!A$2:G$55,6,0)</f>
        <v>6388400</v>
      </c>
      <c r="AO10">
        <f>VLOOKUP(A10,FDX!A$2:G$55,6,0)</f>
        <v>1149100</v>
      </c>
      <c r="AP10">
        <f>VLOOKUP(A10,FOXA!A$2:G$55,6,0)</f>
        <v>5972800</v>
      </c>
      <c r="AQ10">
        <f>VLOOKUP(A10,GD!A$2:G$55,6,0)</f>
        <v>1556900</v>
      </c>
      <c r="AR10">
        <f>VLOOKUP(A10,GE!A$2:G$55,6,0)</f>
        <v>25273800</v>
      </c>
      <c r="AS10">
        <f>VLOOKUP(A10,GILD!A$2:G$55,6,0)</f>
        <v>10729000</v>
      </c>
      <c r="AT10">
        <f>VLOOKUP(A10,GM!A$2:G$55,6,0)</f>
        <v>9314600</v>
      </c>
      <c r="AU10">
        <f>VLOOKUP(A10,GOOG!A$2:G$55,6,0)</f>
        <v>1849000</v>
      </c>
      <c r="AV10">
        <f>VLOOKUP(A10,GOOGL!A$2:G$55,6,0)</f>
        <v>1951600</v>
      </c>
      <c r="AW10">
        <f>VLOOKUP(A10,GS!A$2:G$55,6,0)</f>
        <v>3007700</v>
      </c>
      <c r="AX10">
        <f>VLOOKUP(A10,HAL!A$2:G$55,6,0)</f>
        <v>5290100</v>
      </c>
      <c r="AY10">
        <f>VLOOKUP(A10,HD!A$2:G$55,6,0)</f>
        <v>7657200</v>
      </c>
      <c r="AZ10">
        <f>VLOOKUP(A10,HON!A$2:G$55,6,0)</f>
        <v>3118900</v>
      </c>
      <c r="BA10">
        <f>VLOOKUP(A10,HPQ!A$2:G$55,6,0)</f>
        <v>10877500</v>
      </c>
      <c r="BB10">
        <f>VLOOKUP(A10,IBM!A$2:G$55,6,0)</f>
        <v>4501100</v>
      </c>
      <c r="BC10">
        <f>VLOOKUP(A10,INTC!A$2:G$55,6,0)</f>
        <v>24244600</v>
      </c>
      <c r="BD10">
        <f>VLOOKUP(A10,JNJ!A$2:G$55,6,0)</f>
        <v>7784800</v>
      </c>
      <c r="BE10">
        <f>VLOOKUP(A10,JPM!A$2:G$55,6,0)</f>
        <v>14004400</v>
      </c>
      <c r="BF10">
        <f>VLOOKUP(A10,KO!A$2:G$55,6,0)</f>
        <v>11857700</v>
      </c>
      <c r="BG10">
        <f>VLOOKUP(A10,LLY!A$2:G$55,6,0)</f>
        <v>2436600</v>
      </c>
      <c r="BH10">
        <f>VLOOKUP(A10,LMT!A$2:G$55,6,0)</f>
        <v>1045100</v>
      </c>
      <c r="BI10">
        <f>VLOOKUP(A10,LOW!A$2:G$55,6,0)</f>
        <v>4358900</v>
      </c>
      <c r="BJ10">
        <f>VLOOKUP(A10,MA!A$2:G$55,6,0)</f>
        <v>5585800</v>
      </c>
      <c r="BK10">
        <f>VLOOKUP(A10,MCD!A$2:G$55,6,0)</f>
        <v>4159900</v>
      </c>
      <c r="BL10">
        <f>VLOOKUP(A10,MDLZ!A$2:G$55,6,0)</f>
        <v>7135700</v>
      </c>
      <c r="BM10">
        <f>VLOOKUP(A10,MDT!A$2:G$55,6,0)</f>
        <v>8873200</v>
      </c>
      <c r="BN10">
        <f>VLOOKUP(A10,MET!A$2:G$55,6,0)</f>
        <v>9225100</v>
      </c>
      <c r="BO10">
        <f>VLOOKUP(A10,MMM!A$2:G$55,6,0)</f>
        <v>2114600</v>
      </c>
      <c r="BP10">
        <f>VLOOKUP(A10,MO!A$2:G$55,6,0)</f>
        <v>8341300</v>
      </c>
      <c r="BQ10">
        <f>VLOOKUP(A10,MON!A$2:G$55,6,0)</f>
        <v>3887200</v>
      </c>
      <c r="BR10">
        <f>VLOOKUP(A10,MRK!A$2:G$55,6,0)</f>
        <v>8379100</v>
      </c>
      <c r="BS10">
        <f>VLOOKUP(A10,MS!A$2:G$55,6,0)</f>
        <v>11323100</v>
      </c>
      <c r="BT10">
        <f>VLOOKUP(A10,MSFT!A$2:G$55,6,0)</f>
        <v>21881100</v>
      </c>
      <c r="BU10">
        <f>VLOOKUP(A10,NKE!A$2:G$55,6,0)</f>
        <v>2751700</v>
      </c>
      <c r="BV10">
        <f>VLOOKUP(A10,NOV!A$2:G$55,6,0)</f>
        <v>1919200</v>
      </c>
      <c r="BW10">
        <f>VLOOKUP(A10,NSC!A$2:G$55,6,0)</f>
        <v>1032200</v>
      </c>
      <c r="BX10">
        <f>VLOOKUP(A10,ORCL!A$2:G$55,6,0)</f>
        <v>13586800</v>
      </c>
      <c r="BY10">
        <f>VLOOKUP(A10,OXY!A$2:G$55,6,0)</f>
        <v>2611800</v>
      </c>
      <c r="BZ10">
        <f>VLOOKUP(A10,PEP!A$2:G$55,6,0)</f>
        <v>4496100</v>
      </c>
      <c r="CA10">
        <f>VLOOKUP(A10,PFE!A$2:G$55,6,0)</f>
        <v>20483700</v>
      </c>
      <c r="CB10">
        <f>VLOOKUP(A10,PG!A$2:G$55,6,0)</f>
        <v>6802000</v>
      </c>
      <c r="CC10">
        <f>VLOOKUP(A10,PM!A$2:G$55,6,0)</f>
        <v>3470200</v>
      </c>
      <c r="CD10">
        <f>VLOOKUP(A10,QCOM!A$2:G$55,6,0)</f>
        <v>7609800</v>
      </c>
      <c r="CE10">
        <f>VLOOKUP(A10,RTN!A$2:G$55,6,0)</f>
        <v>1763400</v>
      </c>
      <c r="CF10">
        <f>VLOOKUP(A10,SBUX!A$2:G$55,6,0)</f>
        <v>2281000</v>
      </c>
      <c r="CG10">
        <f>VLOOKUP(A10,SLB!A$2:G$55,6,0)</f>
        <v>5160000</v>
      </c>
      <c r="CH10">
        <f>VLOOKUP(A10,SO!A$2:G$55,6,0)</f>
        <v>3831100</v>
      </c>
      <c r="CI10">
        <f>VLOOKUP(A10,SPG!A$2:G$55,6,0)</f>
        <v>982100</v>
      </c>
      <c r="CJ10">
        <f>VLOOKUP(A10,T!A$2:G$55,6,0)</f>
        <v>12564400</v>
      </c>
      <c r="CK10">
        <f>VLOOKUP(A10,TGT!A$2:G$55,6,0)</f>
        <v>3809200</v>
      </c>
      <c r="CL10">
        <f>VLOOKUP(A10,TWX!A$2:G$55,6,0)</f>
        <v>4561500</v>
      </c>
      <c r="CM10">
        <f>VLOOKUP(A10,TXN!A$2:G$55,6,0)</f>
        <v>5171500</v>
      </c>
      <c r="CN10">
        <f>VLOOKUP(A10,UNH!A$2:G$55,6,0)</f>
        <v>3794500</v>
      </c>
      <c r="CO10">
        <f>VLOOKUP(A10,UNP!A$2:G$55,6,0)</f>
        <v>2261500</v>
      </c>
      <c r="CP10">
        <f>VLOOKUP(A10,UPS!A$2:G$55,6,0)</f>
        <v>2054900</v>
      </c>
      <c r="CQ10">
        <f>VLOOKUP(A10,USB!A$2:G$55,6,0)</f>
        <v>4477900</v>
      </c>
      <c r="CR10">
        <f>VLOOKUP(A10,UTX!A$2:G$55,6,0)</f>
        <v>3017400</v>
      </c>
      <c r="CS10">
        <f>VLOOKUP(A10,V!A$2:G$55,6,0)</f>
        <v>3429100</v>
      </c>
      <c r="CT10">
        <f>VLOOKUP(A10,VZ!A$2:G$55,6,0)</f>
        <v>13023900</v>
      </c>
      <c r="CU10">
        <f>VLOOKUP(A10,WAG!A$2:G$55,6,0)</f>
        <v>4172800</v>
      </c>
      <c r="CV10">
        <f>VLOOKUP(A10,WFC!A$2:G$55,6,0)</f>
        <v>21252400</v>
      </c>
      <c r="CW10">
        <f>VLOOKUP(A10,WMT!A$2:G$55,6,0)</f>
        <v>4822900</v>
      </c>
    </row>
    <row r="11" spans="1:101" x14ac:dyDescent="0.25">
      <c r="A11" s="34">
        <v>41835</v>
      </c>
      <c r="B11" s="36">
        <v>45477900</v>
      </c>
      <c r="C11">
        <f>VLOOKUP(A11,ABBV!A$2:G$55,6,0)</f>
        <v>16796400</v>
      </c>
      <c r="D11">
        <f>VLOOKUP(A11,ABT!A$2:G$55,6,0)</f>
        <v>10954200</v>
      </c>
      <c r="E11">
        <f>VLOOKUP(A11,ACN!A$2:G$55,6,0)</f>
        <v>3195000</v>
      </c>
      <c r="F11">
        <f>VLOOKUP(A11,AIG!A$2:G$55,6,0)</f>
        <v>6686000</v>
      </c>
      <c r="G11">
        <f>VLOOKUP(A11,ALL!A$2:G$55,6,0)</f>
        <v>2049100</v>
      </c>
      <c r="H11">
        <f>VLOOKUP(A11,AMGN!A$2:G$55,6,0)</f>
        <v>3963000</v>
      </c>
      <c r="I11">
        <f>VLOOKUP(A11,AMZN!A$2:G$55,6,0)</f>
        <v>4170900</v>
      </c>
      <c r="J11">
        <f>VLOOKUP(A11,APA!A$2:G$55,6,0)</f>
        <v>2603200</v>
      </c>
      <c r="K11">
        <f>VLOOKUP(A11,APC!A$2:G$55,6,0)</f>
        <v>8849600</v>
      </c>
      <c r="L11">
        <f>VLOOKUP(A11,AXP!A$2:G$55,6,0)</f>
        <v>3499200</v>
      </c>
      <c r="M11">
        <f>VLOOKUP(A11,BA!A$2:G$55,6,0)</f>
        <v>4916100</v>
      </c>
      <c r="N11">
        <f>VLOOKUP(A11,BAC!A$2:G$55,6,0)</f>
        <v>99946700</v>
      </c>
      <c r="O11">
        <f>VLOOKUP(A11,BAX!A$2:G$55,6,0)</f>
        <v>2427900</v>
      </c>
      <c r="P11">
        <f>VLOOKUP(A11,BIIB!A$2:G$55,6,0)</f>
        <v>1391100</v>
      </c>
      <c r="Q11">
        <f>VLOOKUP(A11,BK!A$2:G$55,6,0)</f>
        <v>8515200</v>
      </c>
      <c r="R11">
        <f>VLOOKUP(A11,BMY!A$2:G$55,6,0)</f>
        <v>8278900</v>
      </c>
      <c r="T11">
        <f>VLOOKUP(A11,'C'!A$2:G$55,6,0)</f>
        <v>34419100</v>
      </c>
      <c r="U11">
        <f>VLOOKUP(A11,CAT!A$2:G$55,6,0)</f>
        <v>3212900</v>
      </c>
      <c r="V11">
        <f>VLOOKUP(A11,CL!A$2:G$55,6,0)</f>
        <v>2835200</v>
      </c>
      <c r="W11">
        <f>VLOOKUP(A11,CMCSA!A$2:G$55,6,0)</f>
        <v>9857700</v>
      </c>
      <c r="X11">
        <f>VLOOKUP(A11,COF!A$2:G$55,6,0)</f>
        <v>3029200</v>
      </c>
      <c r="Y11">
        <f>VLOOKUP(A11,COP!A$2:G$55,6,0)</f>
        <v>6041900</v>
      </c>
      <c r="Z11">
        <f>VLOOKUP(A11,COST!A$2:G$55,6,0)</f>
        <v>2634200</v>
      </c>
      <c r="AA11">
        <f>VLOOKUP(A11,CSCO!A$2:G$55,6,0)</f>
        <v>29468800</v>
      </c>
      <c r="AB11">
        <f>VLOOKUP(A11,CVS!A$2:G$55,6,0)</f>
        <v>3502300</v>
      </c>
      <c r="AC11">
        <f>VLOOKUP(A11,CVX!A$2:G$55,6,0)</f>
        <v>4845000</v>
      </c>
      <c r="AD11">
        <f>VLOOKUP(A11,DD!A$2:G$55,6,0)</f>
        <v>4852200</v>
      </c>
      <c r="AE11">
        <f>VLOOKUP(A11,DIS!A$2:G$55,6,0)</f>
        <v>7001300</v>
      </c>
      <c r="AF11">
        <f>VLOOKUP(A11,DOW!A$2:G$55,6,0)</f>
        <v>4636900</v>
      </c>
      <c r="AG11">
        <f>VLOOKUP(A11,DVN!A$2:G$55,6,0)</f>
        <v>3398100</v>
      </c>
      <c r="AH11">
        <f>VLOOKUP(A11,EBAY!A$2:G$55,6,0)</f>
        <v>9431100</v>
      </c>
      <c r="AI11">
        <f>VLOOKUP(A11,EMC!A$2:G$55,6,0)</f>
        <v>15992600</v>
      </c>
      <c r="AJ11">
        <f>VLOOKUP(A11,EMR!A$2:G$55,6,0)</f>
        <v>3003200</v>
      </c>
      <c r="AK11">
        <f>VLOOKUP(A11,EXC!A$2:G$55,6,0)</f>
        <v>9073200</v>
      </c>
      <c r="AL11">
        <f>VLOOKUP(A11,F!A$2:G$55,6,0)</f>
        <v>22626400</v>
      </c>
      <c r="AM11">
        <f>VLOOKUP(A11,FB!A$2:G$55,6,0)</f>
        <v>44213200</v>
      </c>
      <c r="AN11">
        <f>VLOOKUP(A11,FCX!A$2:G$55,6,0)</f>
        <v>11065000</v>
      </c>
      <c r="AO11">
        <f>VLOOKUP(A11,FDX!A$2:G$55,6,0)</f>
        <v>1193500</v>
      </c>
      <c r="AP11">
        <f>VLOOKUP(A11,FOXA!A$2:G$55,6,0)</f>
        <v>9962100</v>
      </c>
      <c r="AQ11">
        <f>VLOOKUP(A11,GD!A$2:G$55,6,0)</f>
        <v>1596700</v>
      </c>
      <c r="AR11">
        <f>VLOOKUP(A11,GE!A$2:G$55,6,0)</f>
        <v>41440200</v>
      </c>
      <c r="AS11">
        <f>VLOOKUP(A11,GILD!A$2:G$55,6,0)</f>
        <v>13756100</v>
      </c>
      <c r="AT11">
        <f>VLOOKUP(A11,GM!A$2:G$55,6,0)</f>
        <v>8615400</v>
      </c>
      <c r="AU11">
        <f>VLOOKUP(A11,GOOG!A$2:G$55,6,0)</f>
        <v>1618600</v>
      </c>
      <c r="AV11">
        <f>VLOOKUP(A11,GOOGL!A$2:G$55,6,0)</f>
        <v>1673800</v>
      </c>
      <c r="AW11">
        <f>VLOOKUP(A11,GS!A$2:G$55,6,0)</f>
        <v>4802300</v>
      </c>
      <c r="AX11">
        <f>VLOOKUP(A11,HAL!A$2:G$55,6,0)</f>
        <v>7133400</v>
      </c>
      <c r="AY11">
        <f>VLOOKUP(A11,HD!A$2:G$55,6,0)</f>
        <v>6051900</v>
      </c>
      <c r="AZ11">
        <f>VLOOKUP(A11,HON!A$2:G$55,6,0)</f>
        <v>4025900</v>
      </c>
      <c r="BA11">
        <f>VLOOKUP(A11,HPQ!A$2:G$55,6,0)</f>
        <v>7717900</v>
      </c>
      <c r="BB11">
        <f>VLOOKUP(A11,IBM!A$2:G$55,6,0)</f>
        <v>4864700</v>
      </c>
      <c r="BC11">
        <f>VLOOKUP(A11,INTC!A$2:G$55,6,0)</f>
        <v>61006100</v>
      </c>
      <c r="BD11">
        <f>VLOOKUP(A11,JNJ!A$2:G$55,6,0)</f>
        <v>14219700</v>
      </c>
      <c r="BE11">
        <f>VLOOKUP(A11,JPM!A$2:G$55,6,0)</f>
        <v>36178000</v>
      </c>
      <c r="BF11">
        <f>VLOOKUP(A11,KO!A$2:G$55,6,0)</f>
        <v>10541900</v>
      </c>
      <c r="BG11">
        <f>VLOOKUP(A11,LLY!A$2:G$55,6,0)</f>
        <v>3854400</v>
      </c>
      <c r="BH11">
        <f>VLOOKUP(A11,LMT!A$2:G$55,6,0)</f>
        <v>1312000</v>
      </c>
      <c r="BI11">
        <f>VLOOKUP(A11,LOW!A$2:G$55,6,0)</f>
        <v>5921700</v>
      </c>
      <c r="BJ11">
        <f>VLOOKUP(A11,MA!A$2:G$55,6,0)</f>
        <v>7508400</v>
      </c>
      <c r="BK11">
        <f>VLOOKUP(A11,MCD!A$2:G$55,6,0)</f>
        <v>3787000</v>
      </c>
      <c r="BL11">
        <f>VLOOKUP(A11,MDLZ!A$2:G$55,6,0)</f>
        <v>7359900</v>
      </c>
      <c r="BM11">
        <f>VLOOKUP(A11,MDT!A$2:G$55,6,0)</f>
        <v>9138900</v>
      </c>
      <c r="BN11">
        <f>VLOOKUP(A11,MET!A$2:G$55,6,0)</f>
        <v>4265800</v>
      </c>
      <c r="BO11">
        <f>VLOOKUP(A11,MMM!A$2:G$55,6,0)</f>
        <v>1955700</v>
      </c>
      <c r="BP11">
        <f>VLOOKUP(A11,MO!A$2:G$55,6,0)</f>
        <v>18024000</v>
      </c>
      <c r="BQ11">
        <f>VLOOKUP(A11,MON!A$2:G$55,6,0)</f>
        <v>5930700</v>
      </c>
      <c r="BR11">
        <f>VLOOKUP(A11,MRK!A$2:G$55,6,0)</f>
        <v>10158100</v>
      </c>
      <c r="BS11">
        <f>VLOOKUP(A11,MS!A$2:G$55,6,0)</f>
        <v>13796400</v>
      </c>
      <c r="BT11">
        <f>VLOOKUP(A11,MSFT!A$2:G$55,6,0)</f>
        <v>28748700</v>
      </c>
      <c r="BU11">
        <f>VLOOKUP(A11,NKE!A$2:G$55,6,0)</f>
        <v>3253000</v>
      </c>
      <c r="BV11">
        <f>VLOOKUP(A11,NOV!A$2:G$55,6,0)</f>
        <v>3391900</v>
      </c>
      <c r="BW11">
        <f>VLOOKUP(A11,NSC!A$2:G$55,6,0)</f>
        <v>2011100</v>
      </c>
      <c r="BX11">
        <f>VLOOKUP(A11,ORCL!A$2:G$55,6,0)</f>
        <v>11813800</v>
      </c>
      <c r="BY11">
        <f>VLOOKUP(A11,OXY!A$2:G$55,6,0)</f>
        <v>3802300</v>
      </c>
      <c r="BZ11">
        <f>VLOOKUP(A11,PEP!A$2:G$55,6,0)</f>
        <v>3959100</v>
      </c>
      <c r="CA11">
        <f>VLOOKUP(A11,PFE!A$2:G$55,6,0)</f>
        <v>30361000</v>
      </c>
      <c r="CB11">
        <f>VLOOKUP(A11,PG!A$2:G$55,6,0)</f>
        <v>9637600</v>
      </c>
      <c r="CC11">
        <f>VLOOKUP(A11,PM!A$2:G$55,6,0)</f>
        <v>5770400</v>
      </c>
      <c r="CD11">
        <f>VLOOKUP(A11,QCOM!A$2:G$55,6,0)</f>
        <v>5984000</v>
      </c>
      <c r="CE11">
        <f>VLOOKUP(A11,RTN!A$2:G$55,6,0)</f>
        <v>1583200</v>
      </c>
      <c r="CF11">
        <f>VLOOKUP(A11,SBUX!A$2:G$55,6,0)</f>
        <v>4152800</v>
      </c>
      <c r="CG11">
        <f>VLOOKUP(A11,SLB!A$2:G$55,6,0)</f>
        <v>6472400</v>
      </c>
      <c r="CH11">
        <f>VLOOKUP(A11,SO!A$2:G$55,6,0)</f>
        <v>3744700</v>
      </c>
      <c r="CI11">
        <f>VLOOKUP(A11,SPG!A$2:G$55,6,0)</f>
        <v>1160400</v>
      </c>
      <c r="CJ11">
        <f>VLOOKUP(A11,T!A$2:G$55,6,0)</f>
        <v>34987200</v>
      </c>
      <c r="CK11">
        <f>VLOOKUP(A11,TGT!A$2:G$55,6,0)</f>
        <v>5722100</v>
      </c>
      <c r="CL11">
        <f>VLOOKUP(A11,TWX!A$2:G$55,6,0)</f>
        <v>5725200</v>
      </c>
      <c r="CM11">
        <f>VLOOKUP(A11,TXN!A$2:G$55,6,0)</f>
        <v>5461600</v>
      </c>
      <c r="CN11">
        <f>VLOOKUP(A11,UNH!A$2:G$55,6,0)</f>
        <v>4356300</v>
      </c>
      <c r="CO11">
        <f>VLOOKUP(A11,UNP!A$2:G$55,6,0)</f>
        <v>2659500</v>
      </c>
      <c r="CP11">
        <f>VLOOKUP(A11,UPS!A$2:G$55,6,0)</f>
        <v>2201800</v>
      </c>
      <c r="CQ11">
        <f>VLOOKUP(A11,USB!A$2:G$55,6,0)</f>
        <v>9467100</v>
      </c>
      <c r="CR11">
        <f>VLOOKUP(A11,UTX!A$2:G$55,6,0)</f>
        <v>4488700</v>
      </c>
      <c r="CS11">
        <f>VLOOKUP(A11,V!A$2:G$55,6,0)</f>
        <v>2725200</v>
      </c>
      <c r="CT11">
        <f>VLOOKUP(A11,VZ!A$2:G$55,6,0)</f>
        <v>14235400</v>
      </c>
      <c r="CU11">
        <f>VLOOKUP(A11,WAG!A$2:G$55,6,0)</f>
        <v>5703700</v>
      </c>
      <c r="CV11">
        <f>VLOOKUP(A11,WFC!A$2:G$55,6,0)</f>
        <v>19293100</v>
      </c>
      <c r="CW11">
        <f>VLOOKUP(A11,WMT!A$2:G$55,6,0)</f>
        <v>4656900</v>
      </c>
    </row>
    <row r="12" spans="1:101" x14ac:dyDescent="0.25">
      <c r="A12" s="34">
        <v>41836</v>
      </c>
      <c r="B12" s="36">
        <v>53502000</v>
      </c>
      <c r="C12">
        <f>VLOOKUP(A12,ABBV!A$2:G$55,6,0)</f>
        <v>23291200</v>
      </c>
      <c r="D12">
        <f>VLOOKUP(A12,ABT!A$2:G$55,6,0)</f>
        <v>5564800</v>
      </c>
      <c r="E12">
        <f>VLOOKUP(A12,ACN!A$2:G$55,6,0)</f>
        <v>3423500</v>
      </c>
      <c r="F12">
        <f>VLOOKUP(A12,AIG!A$2:G$55,6,0)</f>
        <v>5175900</v>
      </c>
      <c r="G12">
        <f>VLOOKUP(A12,ALL!A$2:G$55,6,0)</f>
        <v>1901700</v>
      </c>
      <c r="H12">
        <f>VLOOKUP(A12,AMGN!A$2:G$55,6,0)</f>
        <v>4087100</v>
      </c>
      <c r="I12">
        <f>VLOOKUP(A12,AMZN!A$2:G$55,6,0)</f>
        <v>3503600</v>
      </c>
      <c r="J12">
        <f>VLOOKUP(A12,APA!A$2:G$55,6,0)</f>
        <v>2525900</v>
      </c>
      <c r="K12">
        <f>VLOOKUP(A12,APC!A$2:G$55,6,0)</f>
        <v>7098500</v>
      </c>
      <c r="L12">
        <f>VLOOKUP(A12,AXP!A$2:G$55,6,0)</f>
        <v>2738000</v>
      </c>
      <c r="M12">
        <f>VLOOKUP(A12,BA!A$2:G$55,6,0)</f>
        <v>5260800</v>
      </c>
      <c r="N12">
        <f>VLOOKUP(A12,BAC!A$2:G$55,6,0)</f>
        <v>123897400</v>
      </c>
      <c r="O12">
        <f>VLOOKUP(A12,BAX!A$2:G$55,6,0)</f>
        <v>2040900</v>
      </c>
      <c r="P12">
        <f>VLOOKUP(A12,BIIB!A$2:G$55,6,0)</f>
        <v>1803800</v>
      </c>
      <c r="Q12">
        <f>VLOOKUP(A12,BK!A$2:G$55,6,0)</f>
        <v>6012400</v>
      </c>
      <c r="R12">
        <f>VLOOKUP(A12,BMY!A$2:G$55,6,0)</f>
        <v>6084000</v>
      </c>
      <c r="T12">
        <f>VLOOKUP(A12,'C'!A$2:G$55,6,0)</f>
        <v>23590400</v>
      </c>
      <c r="U12">
        <f>VLOOKUP(A12,CAT!A$2:G$55,6,0)</f>
        <v>3974100</v>
      </c>
      <c r="V12">
        <f>VLOOKUP(A12,CL!A$2:G$55,6,0)</f>
        <v>2499400</v>
      </c>
      <c r="W12">
        <f>VLOOKUP(A12,CMCSA!A$2:G$55,6,0)</f>
        <v>18578900</v>
      </c>
      <c r="X12">
        <f>VLOOKUP(A12,COF!A$2:G$55,6,0)</f>
        <v>3356700</v>
      </c>
      <c r="Y12">
        <f>VLOOKUP(A12,COP!A$2:G$55,6,0)</f>
        <v>6313600</v>
      </c>
      <c r="Z12">
        <f>VLOOKUP(A12,COST!A$2:G$55,6,0)</f>
        <v>1531200</v>
      </c>
      <c r="AA12">
        <f>VLOOKUP(A12,CSCO!A$2:G$55,6,0)</f>
        <v>40458600</v>
      </c>
      <c r="AB12">
        <f>VLOOKUP(A12,CVS!A$2:G$55,6,0)</f>
        <v>2796300</v>
      </c>
      <c r="AC12">
        <f>VLOOKUP(A12,CVX!A$2:G$55,6,0)</f>
        <v>4491800</v>
      </c>
      <c r="AD12">
        <f>VLOOKUP(A12,DD!A$2:G$55,6,0)</f>
        <v>2972700</v>
      </c>
      <c r="AE12">
        <f>VLOOKUP(A12,DIS!A$2:G$55,6,0)</f>
        <v>10667200</v>
      </c>
      <c r="AF12">
        <f>VLOOKUP(A12,DOW!A$2:G$55,6,0)</f>
        <v>5332200</v>
      </c>
      <c r="AG12">
        <f>VLOOKUP(A12,DVN!A$2:G$55,6,0)</f>
        <v>2340100</v>
      </c>
      <c r="AH12">
        <f>VLOOKUP(A12,EBAY!A$2:G$55,6,0)</f>
        <v>13770700</v>
      </c>
      <c r="AI12">
        <f>VLOOKUP(A12,EMC!A$2:G$55,6,0)</f>
        <v>10739800</v>
      </c>
      <c r="AJ12">
        <f>VLOOKUP(A12,EMR!A$2:G$55,6,0)</f>
        <v>3475700</v>
      </c>
      <c r="AK12">
        <f>VLOOKUP(A12,EXC!A$2:G$55,6,0)</f>
        <v>8855000</v>
      </c>
      <c r="AL12">
        <f>VLOOKUP(A12,F!A$2:G$55,6,0)</f>
        <v>36063400</v>
      </c>
      <c r="AM12">
        <f>VLOOKUP(A12,FB!A$2:G$55,6,0)</f>
        <v>29541600</v>
      </c>
      <c r="AN12">
        <f>VLOOKUP(A12,FCX!A$2:G$55,6,0)</f>
        <v>8486700</v>
      </c>
      <c r="AO12">
        <f>VLOOKUP(A12,FDX!A$2:G$55,6,0)</f>
        <v>1424700</v>
      </c>
      <c r="AP12">
        <f>VLOOKUP(A12,FOXA!A$2:G$55,6,0)</f>
        <v>89282600</v>
      </c>
      <c r="AQ12">
        <f>VLOOKUP(A12,GD!A$2:G$55,6,0)</f>
        <v>798800</v>
      </c>
      <c r="AR12">
        <f>VLOOKUP(A12,GE!A$2:G$55,6,0)</f>
        <v>47071000</v>
      </c>
      <c r="AS12">
        <f>VLOOKUP(A12,GILD!A$2:G$55,6,0)</f>
        <v>14259700</v>
      </c>
      <c r="AT12">
        <f>VLOOKUP(A12,GM!A$2:G$55,6,0)</f>
        <v>10954200</v>
      </c>
      <c r="AU12">
        <f>VLOOKUP(A12,GOOG!A$2:G$55,6,0)</f>
        <v>1393300</v>
      </c>
      <c r="AV12">
        <f>VLOOKUP(A12,GOOGL!A$2:G$55,6,0)</f>
        <v>1440800</v>
      </c>
      <c r="AW12">
        <f>VLOOKUP(A12,GS!A$2:G$55,6,0)</f>
        <v>3305200</v>
      </c>
      <c r="AX12">
        <f>VLOOKUP(A12,HAL!A$2:G$55,6,0)</f>
        <v>7157000</v>
      </c>
      <c r="AY12">
        <f>VLOOKUP(A12,HD!A$2:G$55,6,0)</f>
        <v>9033700</v>
      </c>
      <c r="AZ12">
        <f>VLOOKUP(A12,HON!A$2:G$55,6,0)</f>
        <v>3166000</v>
      </c>
      <c r="BA12">
        <f>VLOOKUP(A12,HPQ!A$2:G$55,6,0)</f>
        <v>19258800</v>
      </c>
      <c r="BB12">
        <f>VLOOKUP(A12,IBM!A$2:G$55,6,0)</f>
        <v>7812600</v>
      </c>
      <c r="BC12">
        <f>VLOOKUP(A12,INTC!A$2:G$55,6,0)</f>
        <v>135893200</v>
      </c>
      <c r="BD12">
        <f>VLOOKUP(A12,JNJ!A$2:G$55,6,0)</f>
        <v>11946800</v>
      </c>
      <c r="BE12">
        <f>VLOOKUP(A12,JPM!A$2:G$55,6,0)</f>
        <v>20507500</v>
      </c>
      <c r="BF12">
        <f>VLOOKUP(A12,KO!A$2:G$55,6,0)</f>
        <v>10331400</v>
      </c>
      <c r="BG12">
        <f>VLOOKUP(A12,LLY!A$2:G$55,6,0)</f>
        <v>3885700</v>
      </c>
      <c r="BH12">
        <f>VLOOKUP(A12,LMT!A$2:G$55,6,0)</f>
        <v>947800</v>
      </c>
      <c r="BI12">
        <f>VLOOKUP(A12,LOW!A$2:G$55,6,0)</f>
        <v>5318100</v>
      </c>
      <c r="BJ12">
        <f>VLOOKUP(A12,MA!A$2:G$55,6,0)</f>
        <v>3623200</v>
      </c>
      <c r="BK12">
        <f>VLOOKUP(A12,MCD!A$2:G$55,6,0)</f>
        <v>7128700</v>
      </c>
      <c r="BL12">
        <f>VLOOKUP(A12,MDLZ!A$2:G$55,6,0)</f>
        <v>5971700</v>
      </c>
      <c r="BM12">
        <f>VLOOKUP(A12,MDT!A$2:G$55,6,0)</f>
        <v>15113600</v>
      </c>
      <c r="BN12">
        <f>VLOOKUP(A12,MET!A$2:G$55,6,0)</f>
        <v>3421000</v>
      </c>
      <c r="BO12">
        <f>VLOOKUP(A12,MMM!A$2:G$55,6,0)</f>
        <v>1969200</v>
      </c>
      <c r="BP12">
        <f>VLOOKUP(A12,MO!A$2:G$55,6,0)</f>
        <v>7945200</v>
      </c>
      <c r="BQ12">
        <f>VLOOKUP(A12,MON!A$2:G$55,6,0)</f>
        <v>4350700</v>
      </c>
      <c r="BR12">
        <f>VLOOKUP(A12,MRK!A$2:G$55,6,0)</f>
        <v>6805000</v>
      </c>
      <c r="BS12">
        <f>VLOOKUP(A12,MS!A$2:G$55,6,0)</f>
        <v>16389300</v>
      </c>
      <c r="BT12">
        <f>VLOOKUP(A12,MSFT!A$2:G$55,6,0)</f>
        <v>63318000</v>
      </c>
      <c r="BU12">
        <f>VLOOKUP(A12,NKE!A$2:G$55,6,0)</f>
        <v>3724800</v>
      </c>
      <c r="BV12">
        <f>VLOOKUP(A12,NOV!A$2:G$55,6,0)</f>
        <v>3563900</v>
      </c>
      <c r="BW12">
        <f>VLOOKUP(A12,NSC!A$2:G$55,6,0)</f>
        <v>1122900</v>
      </c>
      <c r="BX12">
        <f>VLOOKUP(A12,ORCL!A$2:G$55,6,0)</f>
        <v>14722600</v>
      </c>
      <c r="BY12">
        <f>VLOOKUP(A12,OXY!A$2:G$55,6,0)</f>
        <v>3101400</v>
      </c>
      <c r="BZ12">
        <f>VLOOKUP(A12,PEP!A$2:G$55,6,0)</f>
        <v>5121600</v>
      </c>
      <c r="CA12">
        <f>VLOOKUP(A12,PFE!A$2:G$55,6,0)</f>
        <v>35413300</v>
      </c>
      <c r="CB12">
        <f>VLOOKUP(A12,PG!A$2:G$55,6,0)</f>
        <v>8940500</v>
      </c>
      <c r="CC12">
        <f>VLOOKUP(A12,PM!A$2:G$55,6,0)</f>
        <v>6244300</v>
      </c>
      <c r="CD12">
        <f>VLOOKUP(A12,QCOM!A$2:G$55,6,0)</f>
        <v>6266900</v>
      </c>
      <c r="CE12">
        <f>VLOOKUP(A12,RTN!A$2:G$55,6,0)</f>
        <v>1202700</v>
      </c>
      <c r="CF12">
        <f>VLOOKUP(A12,SBUX!A$2:G$55,6,0)</f>
        <v>4367100</v>
      </c>
      <c r="CG12">
        <f>VLOOKUP(A12,SLB!A$2:G$55,6,0)</f>
        <v>5303200</v>
      </c>
      <c r="CH12">
        <f>VLOOKUP(A12,SO!A$2:G$55,6,0)</f>
        <v>3802100</v>
      </c>
      <c r="CI12">
        <f>VLOOKUP(A12,SPG!A$2:G$55,6,0)</f>
        <v>1264400</v>
      </c>
      <c r="CJ12">
        <f>VLOOKUP(A12,T!A$2:G$55,6,0)</f>
        <v>20223000</v>
      </c>
      <c r="CK12">
        <f>VLOOKUP(A12,TGT!A$2:G$55,6,0)</f>
        <v>6987700</v>
      </c>
      <c r="CL12">
        <f>VLOOKUP(A12,TWX!A$2:G$55,6,0)</f>
        <v>69744100</v>
      </c>
      <c r="CM12">
        <f>VLOOKUP(A12,TXN!A$2:G$55,6,0)</f>
        <v>4894500</v>
      </c>
      <c r="CN12">
        <f>VLOOKUP(A12,UNH!A$2:G$55,6,0)</f>
        <v>3955200</v>
      </c>
      <c r="CO12">
        <f>VLOOKUP(A12,UNP!A$2:G$55,6,0)</f>
        <v>2164800</v>
      </c>
      <c r="CP12">
        <f>VLOOKUP(A12,UPS!A$2:G$55,6,0)</f>
        <v>2309200</v>
      </c>
      <c r="CQ12">
        <f>VLOOKUP(A12,USB!A$2:G$55,6,0)</f>
        <v>9454300</v>
      </c>
      <c r="CR12">
        <f>VLOOKUP(A12,UTX!A$2:G$55,6,0)</f>
        <v>3503700</v>
      </c>
      <c r="CS12">
        <f>VLOOKUP(A12,V!A$2:G$55,6,0)</f>
        <v>2213300</v>
      </c>
      <c r="CT12">
        <f>VLOOKUP(A12,VZ!A$2:G$55,6,0)</f>
        <v>12798600</v>
      </c>
      <c r="CU12">
        <f>VLOOKUP(A12,WAG!A$2:G$55,6,0)</f>
        <v>11340300</v>
      </c>
      <c r="CV12">
        <f>VLOOKUP(A12,WFC!A$2:G$55,6,0)</f>
        <v>21620900</v>
      </c>
      <c r="CW12">
        <f>VLOOKUP(A12,WMT!A$2:G$55,6,0)</f>
        <v>3743500</v>
      </c>
    </row>
    <row r="13" spans="1:101" x14ac:dyDescent="0.25">
      <c r="A13" s="34">
        <v>41837</v>
      </c>
      <c r="B13" s="36">
        <v>57298000</v>
      </c>
      <c r="C13">
        <f>VLOOKUP(A13,ABBV!A$2:G$55,6,0)</f>
        <v>18699000</v>
      </c>
      <c r="D13">
        <f>VLOOKUP(A13,ABT!A$2:G$55,6,0)</f>
        <v>12228300</v>
      </c>
      <c r="E13">
        <f>VLOOKUP(A13,ACN!A$2:G$55,6,0)</f>
        <v>2107700</v>
      </c>
      <c r="F13">
        <f>VLOOKUP(A13,AIG!A$2:G$55,6,0)</f>
        <v>7546700</v>
      </c>
      <c r="G13">
        <f>VLOOKUP(A13,ALL!A$2:G$55,6,0)</f>
        <v>1970400</v>
      </c>
      <c r="H13">
        <f>VLOOKUP(A13,AMGN!A$2:G$55,6,0)</f>
        <v>2688000</v>
      </c>
      <c r="I13">
        <f>VLOOKUP(A13,AMZN!A$2:G$55,6,0)</f>
        <v>3636000</v>
      </c>
      <c r="J13">
        <f>VLOOKUP(A13,APA!A$2:G$55,6,0)</f>
        <v>2912600</v>
      </c>
      <c r="K13">
        <f>VLOOKUP(A13,APC!A$2:G$55,6,0)</f>
        <v>5618800</v>
      </c>
      <c r="L13">
        <f>VLOOKUP(A13,AXP!A$2:G$55,6,0)</f>
        <v>3110800</v>
      </c>
      <c r="M13">
        <f>VLOOKUP(A13,BA!A$2:G$55,6,0)</f>
        <v>5292900</v>
      </c>
      <c r="N13">
        <f>VLOOKUP(A13,BAC!A$2:G$55,6,0)</f>
        <v>114839900</v>
      </c>
      <c r="O13">
        <f>VLOOKUP(A13,BAX!A$2:G$55,6,0)</f>
        <v>2564400</v>
      </c>
      <c r="P13">
        <f>VLOOKUP(A13,BIIB!A$2:G$55,6,0)</f>
        <v>1651300</v>
      </c>
      <c r="Q13">
        <f>VLOOKUP(A13,BK!A$2:G$55,6,0)</f>
        <v>5608500</v>
      </c>
      <c r="R13">
        <f>VLOOKUP(A13,BMY!A$2:G$55,6,0)</f>
        <v>5834300</v>
      </c>
      <c r="T13">
        <f>VLOOKUP(A13,'C'!A$2:G$55,6,0)</f>
        <v>23847600</v>
      </c>
      <c r="U13">
        <f>VLOOKUP(A13,CAT!A$2:G$55,6,0)</f>
        <v>3164700</v>
      </c>
      <c r="V13">
        <f>VLOOKUP(A13,CL!A$2:G$55,6,0)</f>
        <v>2366300</v>
      </c>
      <c r="W13">
        <f>VLOOKUP(A13,CMCSA!A$2:G$55,6,0)</f>
        <v>15354500</v>
      </c>
      <c r="X13">
        <f>VLOOKUP(A13,COF!A$2:G$55,6,0)</f>
        <v>4083900</v>
      </c>
      <c r="Y13">
        <f>VLOOKUP(A13,COP!A$2:G$55,6,0)</f>
        <v>5087400</v>
      </c>
      <c r="Z13">
        <f>VLOOKUP(A13,COST!A$2:G$55,6,0)</f>
        <v>1433300</v>
      </c>
      <c r="AA13">
        <f>VLOOKUP(A13,CSCO!A$2:G$55,6,0)</f>
        <v>29568000</v>
      </c>
      <c r="AB13">
        <f>VLOOKUP(A13,CVS!A$2:G$55,6,0)</f>
        <v>2418500</v>
      </c>
      <c r="AC13">
        <f>VLOOKUP(A13,CVX!A$2:G$55,6,0)</f>
        <v>4953600</v>
      </c>
      <c r="AD13">
        <f>VLOOKUP(A13,DD!A$2:G$55,6,0)</f>
        <v>4408400</v>
      </c>
      <c r="AE13">
        <f>VLOOKUP(A13,DIS!A$2:G$55,6,0)</f>
        <v>6885900</v>
      </c>
      <c r="AF13">
        <f>VLOOKUP(A13,DOW!A$2:G$55,6,0)</f>
        <v>4480600</v>
      </c>
      <c r="AG13">
        <f>VLOOKUP(A13,DVN!A$2:G$55,6,0)</f>
        <v>3875900</v>
      </c>
      <c r="AH13">
        <f>VLOOKUP(A13,EBAY!A$2:G$55,6,0)</f>
        <v>21673300</v>
      </c>
      <c r="AI13">
        <f>VLOOKUP(A13,EMC!A$2:G$55,6,0)</f>
        <v>12372200</v>
      </c>
      <c r="AJ13">
        <f>VLOOKUP(A13,EMR!A$2:G$55,6,0)</f>
        <v>3334100</v>
      </c>
      <c r="AK13">
        <f>VLOOKUP(A13,EXC!A$2:G$55,6,0)</f>
        <v>10091300</v>
      </c>
      <c r="AL13">
        <f>VLOOKUP(A13,F!A$2:G$55,6,0)</f>
        <v>47287300</v>
      </c>
      <c r="AM13">
        <f>VLOOKUP(A13,FB!A$2:G$55,6,0)</f>
        <v>38024200</v>
      </c>
      <c r="AN13">
        <f>VLOOKUP(A13,FCX!A$2:G$55,6,0)</f>
        <v>13989000</v>
      </c>
      <c r="AO13">
        <f>VLOOKUP(A13,FDX!A$2:G$55,6,0)</f>
        <v>1811900</v>
      </c>
      <c r="AP13">
        <f>VLOOKUP(A13,FOXA!A$2:G$55,6,0)</f>
        <v>38800600</v>
      </c>
      <c r="AQ13">
        <f>VLOOKUP(A13,GD!A$2:G$55,6,0)</f>
        <v>795800</v>
      </c>
      <c r="AR13">
        <f>VLOOKUP(A13,GE!A$2:G$55,6,0)</f>
        <v>37548900</v>
      </c>
      <c r="AS13">
        <f>VLOOKUP(A13,GILD!A$2:G$55,6,0)</f>
        <v>14942500</v>
      </c>
      <c r="AT13">
        <f>VLOOKUP(A13,GM!A$2:G$55,6,0)</f>
        <v>11014700</v>
      </c>
      <c r="AU13">
        <f>VLOOKUP(A13,GOOG!A$2:G$55,6,0)</f>
        <v>3008300</v>
      </c>
      <c r="AV13">
        <f>VLOOKUP(A13,GOOGL!A$2:G$55,6,0)</f>
        <v>2935300</v>
      </c>
      <c r="AW13">
        <f>VLOOKUP(A13,GS!A$2:G$55,6,0)</f>
        <v>3815500</v>
      </c>
      <c r="AX13">
        <f>VLOOKUP(A13,HAL!A$2:G$55,6,0)</f>
        <v>5844300</v>
      </c>
      <c r="AY13">
        <f>VLOOKUP(A13,HD!A$2:G$55,6,0)</f>
        <v>7697300</v>
      </c>
      <c r="AZ13">
        <f>VLOOKUP(A13,HON!A$2:G$55,6,0)</f>
        <v>3776600</v>
      </c>
      <c r="BA13">
        <f>VLOOKUP(A13,HPQ!A$2:G$55,6,0)</f>
        <v>13630200</v>
      </c>
      <c r="BB13">
        <f>VLOOKUP(A13,IBM!A$2:G$55,6,0)</f>
        <v>8872300</v>
      </c>
      <c r="BC13">
        <f>VLOOKUP(A13,INTC!A$2:G$55,6,0)</f>
        <v>70591100</v>
      </c>
      <c r="BD13">
        <f>VLOOKUP(A13,JNJ!A$2:G$55,6,0)</f>
        <v>11218900</v>
      </c>
      <c r="BE13">
        <f>VLOOKUP(A13,JPM!A$2:G$55,6,0)</f>
        <v>17013500</v>
      </c>
      <c r="BF13">
        <f>VLOOKUP(A13,KO!A$2:G$55,6,0)</f>
        <v>9983500</v>
      </c>
      <c r="BG13">
        <f>VLOOKUP(A13,LLY!A$2:G$55,6,0)</f>
        <v>3424700</v>
      </c>
      <c r="BH13">
        <f>VLOOKUP(A13,LMT!A$2:G$55,6,0)</f>
        <v>1190600</v>
      </c>
      <c r="BI13">
        <f>VLOOKUP(A13,LOW!A$2:G$55,6,0)</f>
        <v>5010000</v>
      </c>
      <c r="BJ13">
        <f>VLOOKUP(A13,MA!A$2:G$55,6,0)</f>
        <v>5467000</v>
      </c>
      <c r="BK13">
        <f>VLOOKUP(A13,MCD!A$2:G$55,6,0)</f>
        <v>4099100</v>
      </c>
      <c r="BL13">
        <f>VLOOKUP(A13,MDLZ!A$2:G$55,6,0)</f>
        <v>6388100</v>
      </c>
      <c r="BM13">
        <f>VLOOKUP(A13,MDT!A$2:G$55,6,0)</f>
        <v>10053000</v>
      </c>
      <c r="BN13">
        <f>VLOOKUP(A13,MET!A$2:G$55,6,0)</f>
        <v>6459700</v>
      </c>
      <c r="BO13">
        <f>VLOOKUP(A13,MMM!A$2:G$55,6,0)</f>
        <v>2776500</v>
      </c>
      <c r="BP13">
        <f>VLOOKUP(A13,MO!A$2:G$55,6,0)</f>
        <v>6506800</v>
      </c>
      <c r="BQ13">
        <f>VLOOKUP(A13,MON!A$2:G$55,6,0)</f>
        <v>3561000</v>
      </c>
      <c r="BR13">
        <f>VLOOKUP(A13,MRK!A$2:G$55,6,0)</f>
        <v>6649700</v>
      </c>
      <c r="BS13">
        <f>VLOOKUP(A13,MS!A$2:G$55,6,0)</f>
        <v>18525600</v>
      </c>
      <c r="BT13">
        <f>VLOOKUP(A13,MSFT!A$2:G$55,6,0)</f>
        <v>82180300</v>
      </c>
      <c r="BU13">
        <f>VLOOKUP(A13,NKE!A$2:G$55,6,0)</f>
        <v>3730800</v>
      </c>
      <c r="BV13">
        <f>VLOOKUP(A13,NOV!A$2:G$55,6,0)</f>
        <v>2714400</v>
      </c>
      <c r="BW13">
        <f>VLOOKUP(A13,NSC!A$2:G$55,6,0)</f>
        <v>1479500</v>
      </c>
      <c r="BX13">
        <f>VLOOKUP(A13,ORCL!A$2:G$55,6,0)</f>
        <v>24447800</v>
      </c>
      <c r="BY13">
        <f>VLOOKUP(A13,OXY!A$2:G$55,6,0)</f>
        <v>2781900</v>
      </c>
      <c r="BZ13">
        <f>VLOOKUP(A13,PEP!A$2:G$55,6,0)</f>
        <v>2823800</v>
      </c>
      <c r="CA13">
        <f>VLOOKUP(A13,PFE!A$2:G$55,6,0)</f>
        <v>32682200</v>
      </c>
      <c r="CB13">
        <f>VLOOKUP(A13,PG!A$2:G$55,6,0)</f>
        <v>5844700</v>
      </c>
      <c r="CC13">
        <f>VLOOKUP(A13,PM!A$2:G$55,6,0)</f>
        <v>5932700</v>
      </c>
      <c r="CD13">
        <f>VLOOKUP(A13,QCOM!A$2:G$55,6,0)</f>
        <v>12569900</v>
      </c>
      <c r="CE13">
        <f>VLOOKUP(A13,RTN!A$2:G$55,6,0)</f>
        <v>1077100</v>
      </c>
      <c r="CF13">
        <f>VLOOKUP(A13,SBUX!A$2:G$55,6,0)</f>
        <v>4223200</v>
      </c>
      <c r="CG13">
        <f>VLOOKUP(A13,SLB!A$2:G$55,6,0)</f>
        <v>5348000</v>
      </c>
      <c r="CH13">
        <f>VLOOKUP(A13,SO!A$2:G$55,6,0)</f>
        <v>4331300</v>
      </c>
      <c r="CI13">
        <f>VLOOKUP(A13,SPG!A$2:G$55,6,0)</f>
        <v>683600</v>
      </c>
      <c r="CJ13">
        <f>VLOOKUP(A13,T!A$2:G$55,6,0)</f>
        <v>19128400</v>
      </c>
      <c r="CK13">
        <f>VLOOKUP(A13,TGT!A$2:G$55,6,0)</f>
        <v>4559400</v>
      </c>
      <c r="CL13">
        <f>VLOOKUP(A13,TWX!A$2:G$55,6,0)</f>
        <v>28063700</v>
      </c>
      <c r="CM13">
        <f>VLOOKUP(A13,TXN!A$2:G$55,6,0)</f>
        <v>5321300</v>
      </c>
      <c r="CN13">
        <f>VLOOKUP(A13,UNH!A$2:G$55,6,0)</f>
        <v>7117900</v>
      </c>
      <c r="CO13">
        <f>VLOOKUP(A13,UNP!A$2:G$55,6,0)</f>
        <v>2218200</v>
      </c>
      <c r="CP13">
        <f>VLOOKUP(A13,UPS!A$2:G$55,6,0)</f>
        <v>2842600</v>
      </c>
      <c r="CQ13">
        <f>VLOOKUP(A13,USB!A$2:G$55,6,0)</f>
        <v>11589200</v>
      </c>
      <c r="CR13">
        <f>VLOOKUP(A13,UTX!A$2:G$55,6,0)</f>
        <v>4875600</v>
      </c>
      <c r="CS13">
        <f>VLOOKUP(A13,V!A$2:G$55,6,0)</f>
        <v>2451500</v>
      </c>
      <c r="CT13">
        <f>VLOOKUP(A13,VZ!A$2:G$55,6,0)</f>
        <v>11485100</v>
      </c>
      <c r="CU13">
        <f>VLOOKUP(A13,WAG!A$2:G$55,6,0)</f>
        <v>5152900</v>
      </c>
      <c r="CV13">
        <f>VLOOKUP(A13,WFC!A$2:G$55,6,0)</f>
        <v>24398000</v>
      </c>
      <c r="CW13">
        <f>VLOOKUP(A13,WMT!A$2:G$55,6,0)</f>
        <v>4630300</v>
      </c>
    </row>
    <row r="14" spans="1:101" x14ac:dyDescent="0.25">
      <c r="A14" s="34">
        <v>41838</v>
      </c>
      <c r="B14" s="36">
        <v>49988000</v>
      </c>
      <c r="C14">
        <f>VLOOKUP(A14,ABBV!A$2:G$55,6,0)</f>
        <v>42456000</v>
      </c>
      <c r="D14">
        <f>VLOOKUP(A14,ABT!A$2:G$55,6,0)</f>
        <v>9538000</v>
      </c>
      <c r="E14">
        <f>VLOOKUP(A14,ACN!A$2:G$55,6,0)</f>
        <v>2818900</v>
      </c>
      <c r="F14">
        <f>VLOOKUP(A14,AIG!A$2:G$55,6,0)</f>
        <v>4928400</v>
      </c>
      <c r="G14">
        <f>VLOOKUP(A14,ALL!A$2:G$55,6,0)</f>
        <v>2016100</v>
      </c>
      <c r="H14">
        <f>VLOOKUP(A14,AMGN!A$2:G$55,6,0)</f>
        <v>3477600</v>
      </c>
      <c r="I14">
        <f>VLOOKUP(A14,AMZN!A$2:G$55,6,0)</f>
        <v>3407400</v>
      </c>
      <c r="J14">
        <f>VLOOKUP(A14,APA!A$2:G$55,6,0)</f>
        <v>2143500</v>
      </c>
      <c r="K14">
        <f>VLOOKUP(A14,APC!A$2:G$55,6,0)</f>
        <v>3099900</v>
      </c>
      <c r="L14">
        <f>VLOOKUP(A14,AXP!A$2:G$55,6,0)</f>
        <v>3363000</v>
      </c>
      <c r="M14">
        <f>VLOOKUP(A14,BA!A$2:G$55,6,0)</f>
        <v>3103300</v>
      </c>
      <c r="N14">
        <f>VLOOKUP(A14,BAC!A$2:G$55,6,0)</f>
        <v>74859200</v>
      </c>
      <c r="O14">
        <f>VLOOKUP(A14,BAX!A$2:G$55,6,0)</f>
        <v>2924000</v>
      </c>
      <c r="P14">
        <f>VLOOKUP(A14,BIIB!A$2:G$55,6,0)</f>
        <v>1550700</v>
      </c>
      <c r="Q14">
        <f>VLOOKUP(A14,BK!A$2:G$55,6,0)</f>
        <v>5828800</v>
      </c>
      <c r="R14">
        <f>VLOOKUP(A14,BMY!A$2:G$55,6,0)</f>
        <v>7450100</v>
      </c>
      <c r="T14">
        <f>VLOOKUP(A14,'C'!A$2:G$55,6,0)</f>
        <v>15453900</v>
      </c>
      <c r="U14">
        <f>VLOOKUP(A14,CAT!A$2:G$55,6,0)</f>
        <v>2424900</v>
      </c>
      <c r="V14">
        <f>VLOOKUP(A14,CL!A$2:G$55,6,0)</f>
        <v>2395800</v>
      </c>
      <c r="W14">
        <f>VLOOKUP(A14,CMCSA!A$2:G$55,6,0)</f>
        <v>11599000</v>
      </c>
      <c r="X14">
        <f>VLOOKUP(A14,COF!A$2:G$55,6,0)</f>
        <v>6368300</v>
      </c>
      <c r="Y14">
        <f>VLOOKUP(A14,COP!A$2:G$55,6,0)</f>
        <v>4689200</v>
      </c>
      <c r="Z14">
        <f>VLOOKUP(A14,COST!A$2:G$55,6,0)</f>
        <v>2148600</v>
      </c>
      <c r="AA14">
        <f>VLOOKUP(A14,CSCO!A$2:G$55,6,0)</f>
        <v>25465300</v>
      </c>
      <c r="AB14">
        <f>VLOOKUP(A14,CVS!A$2:G$55,6,0)</f>
        <v>3247700</v>
      </c>
      <c r="AC14">
        <f>VLOOKUP(A14,CVX!A$2:G$55,6,0)</f>
        <v>4339400</v>
      </c>
      <c r="AD14">
        <f>VLOOKUP(A14,DD!A$2:G$55,6,0)</f>
        <v>4019400</v>
      </c>
      <c r="AE14">
        <f>VLOOKUP(A14,DIS!A$2:G$55,6,0)</f>
        <v>4719100</v>
      </c>
      <c r="AF14">
        <f>VLOOKUP(A14,DOW!A$2:G$55,6,0)</f>
        <v>6451000</v>
      </c>
      <c r="AG14">
        <f>VLOOKUP(A14,DVN!A$2:G$55,6,0)</f>
        <v>2548500</v>
      </c>
      <c r="AH14">
        <f>VLOOKUP(A14,EBAY!A$2:G$55,6,0)</f>
        <v>12929200</v>
      </c>
      <c r="AI14">
        <f>VLOOKUP(A14,EMC!A$2:G$55,6,0)</f>
        <v>12925400</v>
      </c>
      <c r="AJ14">
        <f>VLOOKUP(A14,EMR!A$2:G$55,6,0)</f>
        <v>2535400</v>
      </c>
      <c r="AK14">
        <f>VLOOKUP(A14,EXC!A$2:G$55,6,0)</f>
        <v>10140000</v>
      </c>
      <c r="AL14">
        <f>VLOOKUP(A14,F!A$2:G$55,6,0)</f>
        <v>24838800</v>
      </c>
      <c r="AM14">
        <f>VLOOKUP(A14,FB!A$2:G$55,6,0)</f>
        <v>42262200</v>
      </c>
      <c r="AN14">
        <f>VLOOKUP(A14,FCX!A$2:G$55,6,0)</f>
        <v>8608500</v>
      </c>
      <c r="AO14">
        <f>VLOOKUP(A14,FDX!A$2:G$55,6,0)</f>
        <v>1032400</v>
      </c>
      <c r="AP14">
        <f>VLOOKUP(A14,FOXA!A$2:G$55,6,0)</f>
        <v>29432000</v>
      </c>
      <c r="AQ14">
        <f>VLOOKUP(A14,GD!A$2:G$55,6,0)</f>
        <v>1424900</v>
      </c>
      <c r="AR14">
        <f>VLOOKUP(A14,GE!A$2:G$55,6,0)</f>
        <v>55403000</v>
      </c>
      <c r="AS14">
        <f>VLOOKUP(A14,GILD!A$2:G$55,6,0)</f>
        <v>13236100</v>
      </c>
      <c r="AT14">
        <f>VLOOKUP(A14,GM!A$2:G$55,6,0)</f>
        <v>8741400</v>
      </c>
      <c r="AU14">
        <f>VLOOKUP(A14,GOOG!A$2:G$55,6,0)</f>
        <v>4003200</v>
      </c>
      <c r="AV14">
        <f>VLOOKUP(A14,GOOGL!A$2:G$55,6,0)</f>
        <v>4871600</v>
      </c>
      <c r="AW14">
        <f>VLOOKUP(A14,GS!A$2:G$55,6,0)</f>
        <v>2558600</v>
      </c>
      <c r="AX14">
        <f>VLOOKUP(A14,HAL!A$2:G$55,6,0)</f>
        <v>7106500</v>
      </c>
      <c r="AY14">
        <f>VLOOKUP(A14,HD!A$2:G$55,6,0)</f>
        <v>5323200</v>
      </c>
      <c r="AZ14">
        <f>VLOOKUP(A14,HON!A$2:G$55,6,0)</f>
        <v>4488000</v>
      </c>
      <c r="BA14">
        <f>VLOOKUP(A14,HPQ!A$2:G$55,6,0)</f>
        <v>10370800</v>
      </c>
      <c r="BB14">
        <f>VLOOKUP(A14,IBM!A$2:G$55,6,0)</f>
        <v>8166400</v>
      </c>
      <c r="BC14">
        <f>VLOOKUP(A14,INTC!A$2:G$55,6,0)</f>
        <v>46528800</v>
      </c>
      <c r="BD14">
        <f>VLOOKUP(A14,JNJ!A$2:G$55,6,0)</f>
        <v>8408400</v>
      </c>
      <c r="BE14">
        <f>VLOOKUP(A14,JPM!A$2:G$55,6,0)</f>
        <v>12803300</v>
      </c>
      <c r="BF14">
        <f>VLOOKUP(A14,KO!A$2:G$55,6,0)</f>
        <v>19272400</v>
      </c>
      <c r="BG14">
        <f>VLOOKUP(A14,LLY!A$2:G$55,6,0)</f>
        <v>3281400</v>
      </c>
      <c r="BH14">
        <f>VLOOKUP(A14,LMT!A$2:G$55,6,0)</f>
        <v>1074700</v>
      </c>
      <c r="BI14">
        <f>VLOOKUP(A14,LOW!A$2:G$55,6,0)</f>
        <v>5211200</v>
      </c>
      <c r="BJ14">
        <f>VLOOKUP(A14,MA!A$2:G$55,6,0)</f>
        <v>3485700</v>
      </c>
      <c r="BK14">
        <f>VLOOKUP(A14,MCD!A$2:G$55,6,0)</f>
        <v>4044900</v>
      </c>
      <c r="BL14">
        <f>VLOOKUP(A14,MDLZ!A$2:G$55,6,0)</f>
        <v>6069600</v>
      </c>
      <c r="BM14">
        <f>VLOOKUP(A14,MDT!A$2:G$55,6,0)</f>
        <v>7457300</v>
      </c>
      <c r="BN14">
        <f>VLOOKUP(A14,MET!A$2:G$55,6,0)</f>
        <v>4066000</v>
      </c>
      <c r="BO14">
        <f>VLOOKUP(A14,MMM!A$2:G$55,6,0)</f>
        <v>2133000</v>
      </c>
      <c r="BP14">
        <f>VLOOKUP(A14,MO!A$2:G$55,6,0)</f>
        <v>6800500</v>
      </c>
      <c r="BQ14">
        <f>VLOOKUP(A14,MON!A$2:G$55,6,0)</f>
        <v>3112500</v>
      </c>
      <c r="BR14">
        <f>VLOOKUP(A14,MRK!A$2:G$55,6,0)</f>
        <v>7432700</v>
      </c>
      <c r="BS14">
        <f>VLOOKUP(A14,MS!A$2:G$55,6,0)</f>
        <v>9239500</v>
      </c>
      <c r="BT14">
        <f>VLOOKUP(A14,MSFT!A$2:G$55,6,0)</f>
        <v>43407500</v>
      </c>
      <c r="BU14">
        <f>VLOOKUP(A14,NKE!A$2:G$55,6,0)</f>
        <v>3032600</v>
      </c>
      <c r="BV14">
        <f>VLOOKUP(A14,NOV!A$2:G$55,6,0)</f>
        <v>3178500</v>
      </c>
      <c r="BW14">
        <f>VLOOKUP(A14,NSC!A$2:G$55,6,0)</f>
        <v>1152900</v>
      </c>
      <c r="BX14">
        <f>VLOOKUP(A14,ORCL!A$2:G$55,6,0)</f>
        <v>19123500</v>
      </c>
      <c r="BY14">
        <f>VLOOKUP(A14,OXY!A$2:G$55,6,0)</f>
        <v>3388600</v>
      </c>
      <c r="BZ14">
        <f>VLOOKUP(A14,PEP!A$2:G$55,6,0)</f>
        <v>5273200</v>
      </c>
      <c r="CA14">
        <f>VLOOKUP(A14,PFE!A$2:G$55,6,0)</f>
        <v>24403200</v>
      </c>
      <c r="CB14">
        <f>VLOOKUP(A14,PG!A$2:G$55,6,0)</f>
        <v>6502400</v>
      </c>
      <c r="CC14">
        <f>VLOOKUP(A14,PM!A$2:G$55,6,0)</f>
        <v>4563900</v>
      </c>
      <c r="CD14">
        <f>VLOOKUP(A14,QCOM!A$2:G$55,6,0)</f>
        <v>8373000</v>
      </c>
      <c r="CE14">
        <f>VLOOKUP(A14,RTN!A$2:G$55,6,0)</f>
        <v>1168700</v>
      </c>
      <c r="CF14">
        <f>VLOOKUP(A14,SBUX!A$2:G$55,6,0)</f>
        <v>3372300</v>
      </c>
      <c r="CG14">
        <f>VLOOKUP(A14,SLB!A$2:G$55,6,0)</f>
        <v>9057900</v>
      </c>
      <c r="CH14">
        <f>VLOOKUP(A14,SO!A$2:G$55,6,0)</f>
        <v>3263600</v>
      </c>
      <c r="CI14">
        <f>VLOOKUP(A14,SPG!A$2:G$55,6,0)</f>
        <v>866700</v>
      </c>
      <c r="CJ14">
        <f>VLOOKUP(A14,T!A$2:G$55,6,0)</f>
        <v>16132500</v>
      </c>
      <c r="CK14">
        <f>VLOOKUP(A14,TGT!A$2:G$55,6,0)</f>
        <v>4735900</v>
      </c>
      <c r="CL14">
        <f>VLOOKUP(A14,TWX!A$2:G$55,6,0)</f>
        <v>17542400</v>
      </c>
      <c r="CM14">
        <f>VLOOKUP(A14,TXN!A$2:G$55,6,0)</f>
        <v>5178800</v>
      </c>
      <c r="CN14">
        <f>VLOOKUP(A14,UNH!A$2:G$55,6,0)</f>
        <v>3892100</v>
      </c>
      <c r="CO14">
        <f>VLOOKUP(A14,UNP!A$2:G$55,6,0)</f>
        <v>3189800</v>
      </c>
      <c r="CP14">
        <f>VLOOKUP(A14,UPS!A$2:G$55,6,0)</f>
        <v>1943700</v>
      </c>
      <c r="CQ14">
        <f>VLOOKUP(A14,USB!A$2:G$55,6,0)</f>
        <v>7856100</v>
      </c>
      <c r="CR14">
        <f>VLOOKUP(A14,UTX!A$2:G$55,6,0)</f>
        <v>4244900</v>
      </c>
      <c r="CS14">
        <f>VLOOKUP(A14,V!A$2:G$55,6,0)</f>
        <v>2767000</v>
      </c>
      <c r="CT14">
        <f>VLOOKUP(A14,VZ!A$2:G$55,6,0)</f>
        <v>10129500</v>
      </c>
      <c r="CU14">
        <f>VLOOKUP(A14,WAG!A$2:G$55,6,0)</f>
        <v>6967200</v>
      </c>
      <c r="CV14">
        <f>VLOOKUP(A14,WFC!A$2:G$55,6,0)</f>
        <v>15487400</v>
      </c>
      <c r="CW14">
        <f>VLOOKUP(A14,WMT!A$2:G$55,6,0)</f>
        <v>4913300</v>
      </c>
    </row>
    <row r="15" spans="1:101" x14ac:dyDescent="0.25">
      <c r="A15" s="34">
        <v>41841</v>
      </c>
      <c r="B15" s="36">
        <v>39079000</v>
      </c>
      <c r="C15">
        <f>VLOOKUP(A15,ABBV!A$2:G$55,6,0)</f>
        <v>22334900</v>
      </c>
      <c r="D15">
        <f>VLOOKUP(A15,ABT!A$2:G$55,6,0)</f>
        <v>8027300</v>
      </c>
      <c r="E15">
        <f>VLOOKUP(A15,ACN!A$2:G$55,6,0)</f>
        <v>1985800</v>
      </c>
      <c r="F15">
        <f>VLOOKUP(A15,AIG!A$2:G$55,6,0)</f>
        <v>6565000</v>
      </c>
      <c r="G15">
        <f>VLOOKUP(A15,ALL!A$2:G$55,6,0)</f>
        <v>1493900</v>
      </c>
      <c r="H15">
        <f>VLOOKUP(A15,AMGN!A$2:G$55,6,0)</f>
        <v>3076700</v>
      </c>
      <c r="I15">
        <f>VLOOKUP(A15,AMZN!A$2:G$55,6,0)</f>
        <v>2278400</v>
      </c>
      <c r="J15">
        <f>VLOOKUP(A15,APA!A$2:G$55,6,0)</f>
        <v>1441500</v>
      </c>
      <c r="K15">
        <f>VLOOKUP(A15,APC!A$2:G$55,6,0)</f>
        <v>4401100</v>
      </c>
      <c r="L15">
        <f>VLOOKUP(A15,AXP!A$2:G$55,6,0)</f>
        <v>2321800</v>
      </c>
      <c r="M15">
        <f>VLOOKUP(A15,BA!A$2:G$55,6,0)</f>
        <v>2738700</v>
      </c>
      <c r="N15">
        <f>VLOOKUP(A15,BAC!A$2:G$55,6,0)</f>
        <v>61802200</v>
      </c>
      <c r="O15">
        <f>VLOOKUP(A15,BAX!A$2:G$55,6,0)</f>
        <v>2116300</v>
      </c>
      <c r="P15">
        <f>VLOOKUP(A15,BIIB!A$2:G$55,6,0)</f>
        <v>1027800</v>
      </c>
      <c r="Q15">
        <f>VLOOKUP(A15,BK!A$2:G$55,6,0)</f>
        <v>5868900</v>
      </c>
      <c r="R15">
        <f>VLOOKUP(A15,BMY!A$2:G$55,6,0)</f>
        <v>7528300</v>
      </c>
      <c r="T15">
        <f>VLOOKUP(A15,'C'!A$2:G$55,6,0)</f>
        <v>10920200</v>
      </c>
      <c r="U15">
        <f>VLOOKUP(A15,CAT!A$2:G$55,6,0)</f>
        <v>2075900</v>
      </c>
      <c r="V15">
        <f>VLOOKUP(A15,CL!A$2:G$55,6,0)</f>
        <v>1516400</v>
      </c>
      <c r="W15">
        <f>VLOOKUP(A15,CMCSA!A$2:G$55,6,0)</f>
        <v>17685000</v>
      </c>
      <c r="X15">
        <f>VLOOKUP(A15,COF!A$2:G$55,6,0)</f>
        <v>3595400</v>
      </c>
      <c r="Y15">
        <f>VLOOKUP(A15,COP!A$2:G$55,6,0)</f>
        <v>4718900</v>
      </c>
      <c r="Z15">
        <f>VLOOKUP(A15,COST!A$2:G$55,6,0)</f>
        <v>1334400</v>
      </c>
      <c r="AA15">
        <f>VLOOKUP(A15,CSCO!A$2:G$55,6,0)</f>
        <v>20825400</v>
      </c>
      <c r="AB15">
        <f>VLOOKUP(A15,CVS!A$2:G$55,6,0)</f>
        <v>3152200</v>
      </c>
      <c r="AC15">
        <f>VLOOKUP(A15,CVX!A$2:G$55,6,0)</f>
        <v>3714000</v>
      </c>
      <c r="AD15">
        <f>VLOOKUP(A15,DD!A$2:G$55,6,0)</f>
        <v>3370900</v>
      </c>
      <c r="AE15">
        <f>VLOOKUP(A15,DIS!A$2:G$55,6,0)</f>
        <v>4799800</v>
      </c>
      <c r="AF15">
        <f>VLOOKUP(A15,DOW!A$2:G$55,6,0)</f>
        <v>5408300</v>
      </c>
      <c r="AG15">
        <f>VLOOKUP(A15,DVN!A$2:G$55,6,0)</f>
        <v>1915700</v>
      </c>
      <c r="AH15">
        <f>VLOOKUP(A15,EBAY!A$2:G$55,6,0)</f>
        <v>9906000</v>
      </c>
      <c r="AI15">
        <f>VLOOKUP(A15,EMC!A$2:G$55,6,0)</f>
        <v>51682300</v>
      </c>
      <c r="AJ15">
        <f>VLOOKUP(A15,EMR!A$2:G$55,6,0)</f>
        <v>1842000</v>
      </c>
      <c r="AK15">
        <f>VLOOKUP(A15,EXC!A$2:G$55,6,0)</f>
        <v>8362900</v>
      </c>
      <c r="AL15">
        <f>VLOOKUP(A15,F!A$2:G$55,6,0)</f>
        <v>19197700</v>
      </c>
      <c r="AM15">
        <f>VLOOKUP(A15,FB!A$2:G$55,6,0)</f>
        <v>49431600</v>
      </c>
      <c r="AN15">
        <f>VLOOKUP(A15,FCX!A$2:G$55,6,0)</f>
        <v>7125700</v>
      </c>
      <c r="AO15">
        <f>VLOOKUP(A15,FDX!A$2:G$55,6,0)</f>
        <v>1030500</v>
      </c>
      <c r="AP15">
        <f>VLOOKUP(A15,FOXA!A$2:G$55,6,0)</f>
        <v>16953400</v>
      </c>
      <c r="AQ15">
        <f>VLOOKUP(A15,GD!A$2:G$55,6,0)</f>
        <v>828500</v>
      </c>
      <c r="AR15">
        <f>VLOOKUP(A15,GE!A$2:G$55,6,0)</f>
        <v>59343000</v>
      </c>
      <c r="AS15">
        <f>VLOOKUP(A15,GILD!A$2:G$55,6,0)</f>
        <v>13809500</v>
      </c>
      <c r="AT15">
        <f>VLOOKUP(A15,GM!A$2:G$55,6,0)</f>
        <v>6625100</v>
      </c>
      <c r="AU15">
        <f>VLOOKUP(A15,GOOG!A$2:G$55,6,0)</f>
        <v>2056500</v>
      </c>
      <c r="AV15">
        <f>VLOOKUP(A15,GOOGL!A$2:G$55,6,0)</f>
        <v>2237900</v>
      </c>
      <c r="AW15">
        <f>VLOOKUP(A15,GS!A$2:G$55,6,0)</f>
        <v>2227400</v>
      </c>
      <c r="AX15">
        <f>VLOOKUP(A15,HAL!A$2:G$55,6,0)</f>
        <v>9449600</v>
      </c>
      <c r="AY15">
        <f>VLOOKUP(A15,HD!A$2:G$55,6,0)</f>
        <v>4112800</v>
      </c>
      <c r="AZ15">
        <f>VLOOKUP(A15,HON!A$2:G$55,6,0)</f>
        <v>3741400</v>
      </c>
      <c r="BA15">
        <f>VLOOKUP(A15,HPQ!A$2:G$55,6,0)</f>
        <v>7301200</v>
      </c>
      <c r="BB15">
        <f>VLOOKUP(A15,IBM!A$2:G$55,6,0)</f>
        <v>4154400</v>
      </c>
      <c r="BC15">
        <f>VLOOKUP(A15,INTC!A$2:G$55,6,0)</f>
        <v>32097200</v>
      </c>
      <c r="BD15">
        <f>VLOOKUP(A15,JNJ!A$2:G$55,6,0)</f>
        <v>6379900</v>
      </c>
      <c r="BE15">
        <f>VLOOKUP(A15,JPM!A$2:G$55,6,0)</f>
        <v>9141400</v>
      </c>
      <c r="BF15">
        <f>VLOOKUP(A15,KO!A$2:G$55,6,0)</f>
        <v>17607200</v>
      </c>
      <c r="BG15">
        <f>VLOOKUP(A15,LLY!A$2:G$55,6,0)</f>
        <v>3479400</v>
      </c>
      <c r="BH15">
        <f>VLOOKUP(A15,LMT!A$2:G$55,6,0)</f>
        <v>1201200</v>
      </c>
      <c r="BI15">
        <f>VLOOKUP(A15,LOW!A$2:G$55,6,0)</f>
        <v>3117900</v>
      </c>
      <c r="BJ15">
        <f>VLOOKUP(A15,MA!A$2:G$55,6,0)</f>
        <v>3101300</v>
      </c>
      <c r="BK15">
        <f>VLOOKUP(A15,MCD!A$2:G$55,6,0)</f>
        <v>6510600</v>
      </c>
      <c r="BL15">
        <f>VLOOKUP(A15,MDLZ!A$2:G$55,6,0)</f>
        <v>5076300</v>
      </c>
      <c r="BM15">
        <f>VLOOKUP(A15,MDT!A$2:G$55,6,0)</f>
        <v>5563500</v>
      </c>
      <c r="BN15">
        <f>VLOOKUP(A15,MET!A$2:G$55,6,0)</f>
        <v>3112700</v>
      </c>
      <c r="BO15">
        <f>VLOOKUP(A15,MMM!A$2:G$55,6,0)</f>
        <v>1520900</v>
      </c>
      <c r="BP15">
        <f>VLOOKUP(A15,MO!A$2:G$55,6,0)</f>
        <v>8636800</v>
      </c>
      <c r="BQ15">
        <f>VLOOKUP(A15,MON!A$2:G$55,6,0)</f>
        <v>2863800</v>
      </c>
      <c r="BR15">
        <f>VLOOKUP(A15,MRK!A$2:G$55,6,0)</f>
        <v>7095700</v>
      </c>
      <c r="BS15">
        <f>VLOOKUP(A15,MS!A$2:G$55,6,0)</f>
        <v>7125400</v>
      </c>
      <c r="BT15">
        <f>VLOOKUP(A15,MSFT!A$2:G$55,6,0)</f>
        <v>37604400</v>
      </c>
      <c r="BU15">
        <f>VLOOKUP(A15,NKE!A$2:G$55,6,0)</f>
        <v>2104700</v>
      </c>
      <c r="BV15">
        <f>VLOOKUP(A15,NOV!A$2:G$55,6,0)</f>
        <v>2507900</v>
      </c>
      <c r="BW15">
        <f>VLOOKUP(A15,NSC!A$2:G$55,6,0)</f>
        <v>1148500</v>
      </c>
      <c r="BX15">
        <f>VLOOKUP(A15,ORCL!A$2:G$55,6,0)</f>
        <v>15864700</v>
      </c>
      <c r="BY15">
        <f>VLOOKUP(A15,OXY!A$2:G$55,6,0)</f>
        <v>2606300</v>
      </c>
      <c r="BZ15">
        <f>VLOOKUP(A15,PEP!A$2:G$55,6,0)</f>
        <v>3024100</v>
      </c>
      <c r="CA15">
        <f>VLOOKUP(A15,PFE!A$2:G$55,6,0)</f>
        <v>22763400</v>
      </c>
      <c r="CB15">
        <f>VLOOKUP(A15,PG!A$2:G$55,6,0)</f>
        <v>4434300</v>
      </c>
      <c r="CC15">
        <f>VLOOKUP(A15,PM!A$2:G$55,6,0)</f>
        <v>3273300</v>
      </c>
      <c r="CD15">
        <f>VLOOKUP(A15,QCOM!A$2:G$55,6,0)</f>
        <v>7654300</v>
      </c>
      <c r="CE15">
        <f>VLOOKUP(A15,RTN!A$2:G$55,6,0)</f>
        <v>1023300</v>
      </c>
      <c r="CF15">
        <f>VLOOKUP(A15,SBUX!A$2:G$55,6,0)</f>
        <v>2510500</v>
      </c>
      <c r="CG15">
        <f>VLOOKUP(A15,SLB!A$2:G$55,6,0)</f>
        <v>4427800</v>
      </c>
      <c r="CH15">
        <f>VLOOKUP(A15,SO!A$2:G$55,6,0)</f>
        <v>2977000</v>
      </c>
      <c r="CI15">
        <f>VLOOKUP(A15,SPG!A$2:G$55,6,0)</f>
        <v>913900</v>
      </c>
      <c r="CJ15">
        <f>VLOOKUP(A15,T!A$2:G$55,6,0)</f>
        <v>20917400</v>
      </c>
      <c r="CK15">
        <f>VLOOKUP(A15,TGT!A$2:G$55,6,0)</f>
        <v>4122900</v>
      </c>
      <c r="CL15">
        <f>VLOOKUP(A15,TWX!A$2:G$55,6,0)</f>
        <v>9167500</v>
      </c>
      <c r="CM15">
        <f>VLOOKUP(A15,TXN!A$2:G$55,6,0)</f>
        <v>7681800</v>
      </c>
      <c r="CN15">
        <f>VLOOKUP(A15,UNH!A$2:G$55,6,0)</f>
        <v>4025100</v>
      </c>
      <c r="CO15">
        <f>VLOOKUP(A15,UNP!A$2:G$55,6,0)</f>
        <v>2746600</v>
      </c>
      <c r="CP15">
        <f>VLOOKUP(A15,UPS!A$2:G$55,6,0)</f>
        <v>1766800</v>
      </c>
      <c r="CQ15">
        <f>VLOOKUP(A15,USB!A$2:G$55,6,0)</f>
        <v>5008800</v>
      </c>
      <c r="CR15">
        <f>VLOOKUP(A15,UTX!A$2:G$55,6,0)</f>
        <v>5187800</v>
      </c>
      <c r="CS15">
        <f>VLOOKUP(A15,V!A$2:G$55,6,0)</f>
        <v>1542100</v>
      </c>
      <c r="CT15">
        <f>VLOOKUP(A15,VZ!A$2:G$55,6,0)</f>
        <v>11333900</v>
      </c>
      <c r="CU15">
        <f>VLOOKUP(A15,WAG!A$2:G$55,6,0)</f>
        <v>3613200</v>
      </c>
      <c r="CV15">
        <f>VLOOKUP(A15,WFC!A$2:G$55,6,0)</f>
        <v>15236900</v>
      </c>
      <c r="CW15">
        <f>VLOOKUP(A15,WMT!A$2:G$55,6,0)</f>
        <v>3457600</v>
      </c>
    </row>
    <row r="16" spans="1:101" x14ac:dyDescent="0.25">
      <c r="A16" s="34">
        <v>41842</v>
      </c>
      <c r="B16" s="36">
        <v>55197000</v>
      </c>
      <c r="C16">
        <f>VLOOKUP(A16,ABBV!A$2:G$55,6,0)</f>
        <v>14724300</v>
      </c>
      <c r="D16">
        <f>VLOOKUP(A16,ABT!A$2:G$55,6,0)</f>
        <v>8315800</v>
      </c>
      <c r="E16">
        <f>VLOOKUP(A16,ACN!A$2:G$55,6,0)</f>
        <v>2105700</v>
      </c>
      <c r="F16">
        <f>VLOOKUP(A16,AIG!A$2:G$55,6,0)</f>
        <v>8308600</v>
      </c>
      <c r="G16">
        <f>VLOOKUP(A16,ALL!A$2:G$55,6,0)</f>
        <v>1881900</v>
      </c>
      <c r="H16">
        <f>VLOOKUP(A16,AMGN!A$2:G$55,6,0)</f>
        <v>2806100</v>
      </c>
      <c r="I16">
        <f>VLOOKUP(A16,AMZN!A$2:G$55,6,0)</f>
        <v>2888900</v>
      </c>
      <c r="J16">
        <f>VLOOKUP(A16,APA!A$2:G$55,6,0)</f>
        <v>5865300</v>
      </c>
      <c r="K16">
        <f>VLOOKUP(A16,APC!A$2:G$55,6,0)</f>
        <v>4192300</v>
      </c>
      <c r="L16">
        <f>VLOOKUP(A16,AXP!A$2:G$55,6,0)</f>
        <v>2411600</v>
      </c>
      <c r="M16">
        <f>VLOOKUP(A16,BA!A$2:G$55,6,0)</f>
        <v>5102200</v>
      </c>
      <c r="N16">
        <f>VLOOKUP(A16,BAC!A$2:G$55,6,0)</f>
        <v>58331100</v>
      </c>
      <c r="O16">
        <f>VLOOKUP(A16,BAX!A$2:G$55,6,0)</f>
        <v>1912700</v>
      </c>
      <c r="P16">
        <f>VLOOKUP(A16,BIIB!A$2:G$55,6,0)</f>
        <v>1200100</v>
      </c>
      <c r="Q16">
        <f>VLOOKUP(A16,BK!A$2:G$55,6,0)</f>
        <v>7619200</v>
      </c>
      <c r="R16">
        <f>VLOOKUP(A16,BMY!A$2:G$55,6,0)</f>
        <v>5015900</v>
      </c>
      <c r="T16">
        <f>VLOOKUP(A16,'C'!A$2:G$55,6,0)</f>
        <v>13125500</v>
      </c>
      <c r="U16">
        <f>VLOOKUP(A16,CAT!A$2:G$55,6,0)</f>
        <v>2879400</v>
      </c>
      <c r="V16">
        <f>VLOOKUP(A16,CL!A$2:G$55,6,0)</f>
        <v>1965700</v>
      </c>
      <c r="W16">
        <f>VLOOKUP(A16,CMCSA!A$2:G$55,6,0)</f>
        <v>15889100</v>
      </c>
      <c r="X16">
        <f>VLOOKUP(A16,COF!A$2:G$55,6,0)</f>
        <v>3966300</v>
      </c>
      <c r="Y16">
        <f>VLOOKUP(A16,COP!A$2:G$55,6,0)</f>
        <v>4426100</v>
      </c>
      <c r="Z16">
        <f>VLOOKUP(A16,COST!A$2:G$55,6,0)</f>
        <v>1769000</v>
      </c>
      <c r="AA16">
        <f>VLOOKUP(A16,CSCO!A$2:G$55,6,0)</f>
        <v>28734800</v>
      </c>
      <c r="AB16">
        <f>VLOOKUP(A16,CVS!A$2:G$55,6,0)</f>
        <v>2697100</v>
      </c>
      <c r="AC16">
        <f>VLOOKUP(A16,CVX!A$2:G$55,6,0)</f>
        <v>4391700</v>
      </c>
      <c r="AD16">
        <f>VLOOKUP(A16,DD!A$2:G$55,6,0)</f>
        <v>6101600</v>
      </c>
      <c r="AE16">
        <f>VLOOKUP(A16,DIS!A$2:G$55,6,0)</f>
        <v>4984200</v>
      </c>
      <c r="AF16">
        <f>VLOOKUP(A16,DOW!A$2:G$55,6,0)</f>
        <v>6010500</v>
      </c>
      <c r="AG16">
        <f>VLOOKUP(A16,DVN!A$2:G$55,6,0)</f>
        <v>3234600</v>
      </c>
      <c r="AH16">
        <f>VLOOKUP(A16,EBAY!A$2:G$55,6,0)</f>
        <v>10423500</v>
      </c>
      <c r="AI16">
        <f>VLOOKUP(A16,EMC!A$2:G$55,6,0)</f>
        <v>28683400</v>
      </c>
      <c r="AJ16">
        <f>VLOOKUP(A16,EMR!A$2:G$55,6,0)</f>
        <v>1899000</v>
      </c>
      <c r="AK16">
        <f>VLOOKUP(A16,EXC!A$2:G$55,6,0)</f>
        <v>8779400</v>
      </c>
      <c r="AL16">
        <f>VLOOKUP(A16,F!A$2:G$55,6,0)</f>
        <v>24546100</v>
      </c>
      <c r="AM16">
        <f>VLOOKUP(A16,FB!A$2:G$55,6,0)</f>
        <v>40301800</v>
      </c>
      <c r="AN16">
        <f>VLOOKUP(A16,FCX!A$2:G$55,6,0)</f>
        <v>9729300</v>
      </c>
      <c r="AO16">
        <f>VLOOKUP(A16,FDX!A$2:G$55,6,0)</f>
        <v>1314300</v>
      </c>
      <c r="AP16">
        <f>VLOOKUP(A16,FOXA!A$2:G$55,6,0)</f>
        <v>15797900</v>
      </c>
      <c r="AQ16">
        <f>VLOOKUP(A16,GD!A$2:G$55,6,0)</f>
        <v>1382700</v>
      </c>
      <c r="AR16">
        <f>VLOOKUP(A16,GE!A$2:G$55,6,0)</f>
        <v>34534600</v>
      </c>
      <c r="AS16">
        <f>VLOOKUP(A16,GILD!A$2:G$55,6,0)</f>
        <v>12302900</v>
      </c>
      <c r="AT16">
        <f>VLOOKUP(A16,GM!A$2:G$55,6,0)</f>
        <v>9655800</v>
      </c>
      <c r="AU16">
        <f>VLOOKUP(A16,GOOG!A$2:G$55,6,0)</f>
        <v>1694500</v>
      </c>
      <c r="AV16">
        <f>VLOOKUP(A16,GOOGL!A$2:G$55,6,0)</f>
        <v>1881600</v>
      </c>
      <c r="AW16">
        <f>VLOOKUP(A16,GS!A$2:G$55,6,0)</f>
        <v>3849500</v>
      </c>
      <c r="AX16">
        <f>VLOOKUP(A16,HAL!A$2:G$55,6,0)</f>
        <v>11419100</v>
      </c>
      <c r="AY16">
        <f>VLOOKUP(A16,HD!A$2:G$55,6,0)</f>
        <v>6336100</v>
      </c>
      <c r="AZ16">
        <f>VLOOKUP(A16,HON!A$2:G$55,6,0)</f>
        <v>3836900</v>
      </c>
      <c r="BA16">
        <f>VLOOKUP(A16,HPQ!A$2:G$55,6,0)</f>
        <v>8166100</v>
      </c>
      <c r="BB16">
        <f>VLOOKUP(A16,IBM!A$2:G$55,6,0)</f>
        <v>4853000</v>
      </c>
      <c r="BC16">
        <f>VLOOKUP(A16,INTC!A$2:G$55,6,0)</f>
        <v>42915100</v>
      </c>
      <c r="BD16">
        <f>VLOOKUP(A16,JNJ!A$2:G$55,6,0)</f>
        <v>6554100</v>
      </c>
      <c r="BE16">
        <f>VLOOKUP(A16,JPM!A$2:G$55,6,0)</f>
        <v>10375200</v>
      </c>
      <c r="BF16">
        <f>VLOOKUP(A16,KO!A$2:G$55,6,0)</f>
        <v>24706000</v>
      </c>
      <c r="BG16">
        <f>VLOOKUP(A16,LLY!A$2:G$55,6,0)</f>
        <v>3101800</v>
      </c>
      <c r="BH16">
        <f>VLOOKUP(A16,LMT!A$2:G$55,6,0)</f>
        <v>2174500</v>
      </c>
      <c r="BI16">
        <f>VLOOKUP(A16,LOW!A$2:G$55,6,0)</f>
        <v>3222400</v>
      </c>
      <c r="BJ16">
        <f>VLOOKUP(A16,MA!A$2:G$55,6,0)</f>
        <v>3467200</v>
      </c>
      <c r="BK16">
        <f>VLOOKUP(A16,MCD!A$2:G$55,6,0)</f>
        <v>12398100</v>
      </c>
      <c r="BL16">
        <f>VLOOKUP(A16,MDLZ!A$2:G$55,6,0)</f>
        <v>5438800</v>
      </c>
      <c r="BM16">
        <f>VLOOKUP(A16,MDT!A$2:G$55,6,0)</f>
        <v>8613600</v>
      </c>
      <c r="BN16">
        <f>VLOOKUP(A16,MET!A$2:G$55,6,0)</f>
        <v>6461400</v>
      </c>
      <c r="BO16">
        <f>VLOOKUP(A16,MMM!A$2:G$55,6,0)</f>
        <v>1608200</v>
      </c>
      <c r="BP16">
        <f>VLOOKUP(A16,MO!A$2:G$55,6,0)</f>
        <v>8835500</v>
      </c>
      <c r="BQ16">
        <f>VLOOKUP(A16,MON!A$2:G$55,6,0)</f>
        <v>3554300</v>
      </c>
      <c r="BR16">
        <f>VLOOKUP(A16,MRK!A$2:G$55,6,0)</f>
        <v>6509200</v>
      </c>
      <c r="BS16">
        <f>VLOOKUP(A16,MS!A$2:G$55,6,0)</f>
        <v>8845100</v>
      </c>
      <c r="BT16">
        <f>VLOOKUP(A16,MSFT!A$2:G$55,6,0)</f>
        <v>43095800</v>
      </c>
      <c r="BU16">
        <f>VLOOKUP(A16,NKE!A$2:G$55,6,0)</f>
        <v>2518000</v>
      </c>
      <c r="BV16">
        <f>VLOOKUP(A16,NOV!A$2:G$55,6,0)</f>
        <v>2536000</v>
      </c>
      <c r="BW16">
        <f>VLOOKUP(A16,NSC!A$2:G$55,6,0)</f>
        <v>1696100</v>
      </c>
      <c r="BX16">
        <f>VLOOKUP(A16,ORCL!A$2:G$55,6,0)</f>
        <v>13728100</v>
      </c>
      <c r="BY16">
        <f>VLOOKUP(A16,OXY!A$2:G$55,6,0)</f>
        <v>2569600</v>
      </c>
      <c r="BZ16">
        <f>VLOOKUP(A16,PEP!A$2:G$55,6,0)</f>
        <v>5304400</v>
      </c>
      <c r="CA16">
        <f>VLOOKUP(A16,PFE!A$2:G$55,6,0)</f>
        <v>18742300</v>
      </c>
      <c r="CB16">
        <f>VLOOKUP(A16,PG!A$2:G$55,6,0)</f>
        <v>6073200</v>
      </c>
      <c r="CC16">
        <f>VLOOKUP(A16,PM!A$2:G$55,6,0)</f>
        <v>2741900</v>
      </c>
      <c r="CD16">
        <f>VLOOKUP(A16,QCOM!A$2:G$55,6,0)</f>
        <v>10753200</v>
      </c>
      <c r="CE16">
        <f>VLOOKUP(A16,RTN!A$2:G$55,6,0)</f>
        <v>2307800</v>
      </c>
      <c r="CF16">
        <f>VLOOKUP(A16,SBUX!A$2:G$55,6,0)</f>
        <v>3228500</v>
      </c>
      <c r="CG16">
        <f>VLOOKUP(A16,SLB!A$2:G$55,6,0)</f>
        <v>4174100</v>
      </c>
      <c r="CH16">
        <f>VLOOKUP(A16,SO!A$2:G$55,6,0)</f>
        <v>2808200</v>
      </c>
      <c r="CI16">
        <f>VLOOKUP(A16,SPG!A$2:G$55,6,0)</f>
        <v>1491100</v>
      </c>
      <c r="CJ16">
        <f>VLOOKUP(A16,T!A$2:G$55,6,0)</f>
        <v>18185700</v>
      </c>
      <c r="CK16">
        <f>VLOOKUP(A16,TGT!A$2:G$55,6,0)</f>
        <v>3548400</v>
      </c>
      <c r="CL16">
        <f>VLOOKUP(A16,TWX!A$2:G$55,6,0)</f>
        <v>8016600</v>
      </c>
      <c r="CM16">
        <f>VLOOKUP(A16,TXN!A$2:G$55,6,0)</f>
        <v>8210500</v>
      </c>
      <c r="CN16">
        <f>VLOOKUP(A16,UNH!A$2:G$55,6,0)</f>
        <v>4366900</v>
      </c>
      <c r="CO16">
        <f>VLOOKUP(A16,UNP!A$2:G$55,6,0)</f>
        <v>2861500</v>
      </c>
      <c r="CP16">
        <f>VLOOKUP(A16,UPS!A$2:G$55,6,0)</f>
        <v>1471600</v>
      </c>
      <c r="CQ16">
        <f>VLOOKUP(A16,USB!A$2:G$55,6,0)</f>
        <v>6149600</v>
      </c>
      <c r="CR16">
        <f>VLOOKUP(A16,UTX!A$2:G$55,6,0)</f>
        <v>10527200</v>
      </c>
      <c r="CS16">
        <f>VLOOKUP(A16,V!A$2:G$55,6,0)</f>
        <v>1924800</v>
      </c>
      <c r="CT16">
        <f>VLOOKUP(A16,VZ!A$2:G$55,6,0)</f>
        <v>15037300</v>
      </c>
      <c r="CU16">
        <f>VLOOKUP(A16,WAG!A$2:G$55,6,0)</f>
        <v>6258700</v>
      </c>
      <c r="CV16">
        <f>VLOOKUP(A16,WFC!A$2:G$55,6,0)</f>
        <v>11920800</v>
      </c>
      <c r="CW16">
        <f>VLOOKUP(A16,WMT!A$2:G$55,6,0)</f>
        <v>4383200</v>
      </c>
    </row>
    <row r="17" spans="1:101" x14ac:dyDescent="0.25">
      <c r="A17" s="34">
        <v>41843</v>
      </c>
      <c r="B17" s="36">
        <v>92918000</v>
      </c>
      <c r="C17">
        <f>VLOOKUP(A17,ABBV!A$2:G$55,6,0)</f>
        <v>15011300</v>
      </c>
      <c r="D17">
        <f>VLOOKUP(A17,ABT!A$2:G$55,6,0)</f>
        <v>4315900</v>
      </c>
      <c r="E17">
        <f>VLOOKUP(A17,ACN!A$2:G$55,6,0)</f>
        <v>2483700</v>
      </c>
      <c r="F17">
        <f>VLOOKUP(A17,AIG!A$2:G$55,6,0)</f>
        <v>3877500</v>
      </c>
      <c r="G17">
        <f>VLOOKUP(A17,ALL!A$2:G$55,6,0)</f>
        <v>1260500</v>
      </c>
      <c r="H17">
        <f>VLOOKUP(A17,AMGN!A$2:G$55,6,0)</f>
        <v>3527500</v>
      </c>
      <c r="I17">
        <f>VLOOKUP(A17,AMZN!A$2:G$55,6,0)</f>
        <v>2687300</v>
      </c>
      <c r="J17">
        <f>VLOOKUP(A17,APA!A$2:G$55,6,0)</f>
        <v>3969900</v>
      </c>
      <c r="K17">
        <f>VLOOKUP(A17,APC!A$2:G$55,6,0)</f>
        <v>5516100</v>
      </c>
      <c r="L17">
        <f>VLOOKUP(A17,AXP!A$2:G$55,6,0)</f>
        <v>1984800</v>
      </c>
      <c r="M17">
        <f>VLOOKUP(A17,BA!A$2:G$55,6,0)</f>
        <v>12326300</v>
      </c>
      <c r="N17">
        <f>VLOOKUP(A17,BAC!A$2:G$55,6,0)</f>
        <v>47253300</v>
      </c>
      <c r="O17">
        <f>VLOOKUP(A17,BAX!A$2:G$55,6,0)</f>
        <v>2168500</v>
      </c>
      <c r="P17">
        <f>VLOOKUP(A17,BIIB!A$2:G$55,6,0)</f>
        <v>4143000</v>
      </c>
      <c r="Q17">
        <f>VLOOKUP(A17,BK!A$2:G$55,6,0)</f>
        <v>7656400</v>
      </c>
      <c r="R17">
        <f>VLOOKUP(A17,BMY!A$2:G$55,6,0)</f>
        <v>6260800</v>
      </c>
      <c r="T17">
        <f>VLOOKUP(A17,'C'!A$2:G$55,6,0)</f>
        <v>20099200</v>
      </c>
      <c r="U17">
        <f>VLOOKUP(A17,CAT!A$2:G$55,6,0)</f>
        <v>4471400</v>
      </c>
      <c r="V17">
        <f>VLOOKUP(A17,CL!A$2:G$55,6,0)</f>
        <v>1919700</v>
      </c>
      <c r="W17">
        <f>VLOOKUP(A17,CMCSA!A$2:G$55,6,0)</f>
        <v>13355900</v>
      </c>
      <c r="X17">
        <f>VLOOKUP(A17,COF!A$2:G$55,6,0)</f>
        <v>2851400</v>
      </c>
      <c r="Y17">
        <f>VLOOKUP(A17,COP!A$2:G$55,6,0)</f>
        <v>4104700</v>
      </c>
      <c r="Z17">
        <f>VLOOKUP(A17,COST!A$2:G$55,6,0)</f>
        <v>1155200</v>
      </c>
      <c r="AA17">
        <f>VLOOKUP(A17,CSCO!A$2:G$55,6,0)</f>
        <v>28759200</v>
      </c>
      <c r="AB17">
        <f>VLOOKUP(A17,CVS!A$2:G$55,6,0)</f>
        <v>2314500</v>
      </c>
      <c r="AC17">
        <f>VLOOKUP(A17,CVX!A$2:G$55,6,0)</f>
        <v>4589500</v>
      </c>
      <c r="AD17">
        <f>VLOOKUP(A17,DD!A$2:G$55,6,0)</f>
        <v>6573700</v>
      </c>
      <c r="AE17">
        <f>VLOOKUP(A17,DIS!A$2:G$55,6,0)</f>
        <v>3650200</v>
      </c>
      <c r="AF17">
        <f>VLOOKUP(A17,DOW!A$2:G$55,6,0)</f>
        <v>14033400</v>
      </c>
      <c r="AG17">
        <f>VLOOKUP(A17,DVN!A$2:G$55,6,0)</f>
        <v>2044400</v>
      </c>
      <c r="AH17">
        <f>VLOOKUP(A17,EBAY!A$2:G$55,6,0)</f>
        <v>13881000</v>
      </c>
      <c r="AI17">
        <f>VLOOKUP(A17,EMC!A$2:G$55,6,0)</f>
        <v>49431500</v>
      </c>
      <c r="AJ17">
        <f>VLOOKUP(A17,EMR!A$2:G$55,6,0)</f>
        <v>1341000</v>
      </c>
      <c r="AK17">
        <f>VLOOKUP(A17,EXC!A$2:G$55,6,0)</f>
        <v>4568700</v>
      </c>
      <c r="AL17">
        <f>VLOOKUP(A17,F!A$2:G$55,6,0)</f>
        <v>30932500</v>
      </c>
      <c r="AM17">
        <f>VLOOKUP(A17,FB!A$2:G$55,6,0)</f>
        <v>77435900</v>
      </c>
      <c r="AN17">
        <f>VLOOKUP(A17,FCX!A$2:G$55,6,0)</f>
        <v>11610000</v>
      </c>
      <c r="AO17">
        <f>VLOOKUP(A17,FDX!A$2:G$55,6,0)</f>
        <v>966600</v>
      </c>
      <c r="AP17">
        <f>VLOOKUP(A17,FOXA!A$2:G$55,6,0)</f>
        <v>24368600</v>
      </c>
      <c r="AQ17">
        <f>VLOOKUP(A17,GD!A$2:G$55,6,0)</f>
        <v>2915400</v>
      </c>
      <c r="AR17">
        <f>VLOOKUP(A17,GE!A$2:G$55,6,0)</f>
        <v>32060800</v>
      </c>
      <c r="AS17">
        <f>VLOOKUP(A17,GILD!A$2:G$55,6,0)</f>
        <v>17612500</v>
      </c>
      <c r="AT17">
        <f>VLOOKUP(A17,GM!A$2:G$55,6,0)</f>
        <v>13865100</v>
      </c>
      <c r="AU17">
        <f>VLOOKUP(A17,GOOG!A$2:G$55,6,0)</f>
        <v>1229800</v>
      </c>
      <c r="AV17">
        <f>VLOOKUP(A17,GOOGL!A$2:G$55,6,0)</f>
        <v>1106000</v>
      </c>
      <c r="AW17">
        <f>VLOOKUP(A17,GS!A$2:G$55,6,0)</f>
        <v>3436100</v>
      </c>
      <c r="AX17">
        <f>VLOOKUP(A17,HAL!A$2:G$55,6,0)</f>
        <v>8126800</v>
      </c>
      <c r="AY17">
        <f>VLOOKUP(A17,HD!A$2:G$55,6,0)</f>
        <v>3669200</v>
      </c>
      <c r="AZ17">
        <f>VLOOKUP(A17,HON!A$2:G$55,6,0)</f>
        <v>3170000</v>
      </c>
      <c r="BA17">
        <f>VLOOKUP(A17,HPQ!A$2:G$55,6,0)</f>
        <v>6425900</v>
      </c>
      <c r="BB17">
        <f>VLOOKUP(A17,IBM!A$2:G$55,6,0)</f>
        <v>3584200</v>
      </c>
      <c r="BC17">
        <f>VLOOKUP(A17,INTC!A$2:G$55,6,0)</f>
        <v>26077000</v>
      </c>
      <c r="BD17">
        <f>VLOOKUP(A17,JNJ!A$2:G$55,6,0)</f>
        <v>4815300</v>
      </c>
      <c r="BE17">
        <f>VLOOKUP(A17,JPM!A$2:G$55,6,0)</f>
        <v>11086000</v>
      </c>
      <c r="BF17">
        <f>VLOOKUP(A17,KO!A$2:G$55,6,0)</f>
        <v>17531700</v>
      </c>
      <c r="BG17">
        <f>VLOOKUP(A17,LLY!A$2:G$55,6,0)</f>
        <v>5559900</v>
      </c>
      <c r="BH17">
        <f>VLOOKUP(A17,LMT!A$2:G$55,6,0)</f>
        <v>1808500</v>
      </c>
      <c r="BI17">
        <f>VLOOKUP(A17,LOW!A$2:G$55,6,0)</f>
        <v>3917900</v>
      </c>
      <c r="BJ17">
        <f>VLOOKUP(A17,MA!A$2:G$55,6,0)</f>
        <v>3525800</v>
      </c>
      <c r="BK17">
        <f>VLOOKUP(A17,MCD!A$2:G$55,6,0)</f>
        <v>9483200</v>
      </c>
      <c r="BL17">
        <f>VLOOKUP(A17,MDLZ!A$2:G$55,6,0)</f>
        <v>4353100</v>
      </c>
      <c r="BM17">
        <f>VLOOKUP(A17,MDT!A$2:G$55,6,0)</f>
        <v>8823000</v>
      </c>
      <c r="BN17">
        <f>VLOOKUP(A17,MET!A$2:G$55,6,0)</f>
        <v>3572900</v>
      </c>
      <c r="BO17">
        <f>VLOOKUP(A17,MMM!A$2:G$55,6,0)</f>
        <v>1849400</v>
      </c>
      <c r="BP17">
        <f>VLOOKUP(A17,MO!A$2:G$55,6,0)</f>
        <v>6523500</v>
      </c>
      <c r="BQ17">
        <f>VLOOKUP(A17,MON!A$2:G$55,6,0)</f>
        <v>7301200</v>
      </c>
      <c r="BR17">
        <f>VLOOKUP(A17,MRK!A$2:G$55,6,0)</f>
        <v>6292400</v>
      </c>
      <c r="BS17">
        <f>VLOOKUP(A17,MS!A$2:G$55,6,0)</f>
        <v>9363200</v>
      </c>
      <c r="BT17">
        <f>VLOOKUP(A17,MSFT!A$2:G$55,6,0)</f>
        <v>52362900</v>
      </c>
      <c r="BU17">
        <f>VLOOKUP(A17,NKE!A$2:G$55,6,0)</f>
        <v>2046100</v>
      </c>
      <c r="BV17">
        <f>VLOOKUP(A17,NOV!A$2:G$55,6,0)</f>
        <v>3123900</v>
      </c>
      <c r="BW17">
        <f>VLOOKUP(A17,NSC!A$2:G$55,6,0)</f>
        <v>1922400</v>
      </c>
      <c r="BX17">
        <f>VLOOKUP(A17,ORCL!A$2:G$55,6,0)</f>
        <v>9191700</v>
      </c>
      <c r="BY17">
        <f>VLOOKUP(A17,OXY!A$2:G$55,6,0)</f>
        <v>1693400</v>
      </c>
      <c r="BZ17">
        <f>VLOOKUP(A17,PEP!A$2:G$55,6,0)</f>
        <v>10953700</v>
      </c>
      <c r="CA17">
        <f>VLOOKUP(A17,PFE!A$2:G$55,6,0)</f>
        <v>21115400</v>
      </c>
      <c r="CB17">
        <f>VLOOKUP(A17,PG!A$2:G$55,6,0)</f>
        <v>5891200</v>
      </c>
      <c r="CC17">
        <f>VLOOKUP(A17,PM!A$2:G$55,6,0)</f>
        <v>2750300</v>
      </c>
      <c r="CD17">
        <f>VLOOKUP(A17,QCOM!A$2:G$55,6,0)</f>
        <v>10326300</v>
      </c>
      <c r="CE17">
        <f>VLOOKUP(A17,RTN!A$2:G$55,6,0)</f>
        <v>1674700</v>
      </c>
      <c r="CF17">
        <f>VLOOKUP(A17,SBUX!A$2:G$55,6,0)</f>
        <v>3219900</v>
      </c>
      <c r="CG17">
        <f>VLOOKUP(A17,SLB!A$2:G$55,6,0)</f>
        <v>4745400</v>
      </c>
      <c r="CH17">
        <f>VLOOKUP(A17,SO!A$2:G$55,6,0)</f>
        <v>3476000</v>
      </c>
      <c r="CI17">
        <f>VLOOKUP(A17,SPG!A$2:G$55,6,0)</f>
        <v>1873000</v>
      </c>
      <c r="CJ17">
        <f>VLOOKUP(A17,T!A$2:G$55,6,0)</f>
        <v>15146600</v>
      </c>
      <c r="CK17">
        <f>VLOOKUP(A17,TGT!A$2:G$55,6,0)</f>
        <v>6167200</v>
      </c>
      <c r="CL17">
        <f>VLOOKUP(A17,TWX!A$2:G$55,6,0)</f>
        <v>13570800</v>
      </c>
      <c r="CM17">
        <f>VLOOKUP(A17,TXN!A$2:G$55,6,0)</f>
        <v>12255400</v>
      </c>
      <c r="CN17">
        <f>VLOOKUP(A17,UNH!A$2:G$55,6,0)</f>
        <v>2596300</v>
      </c>
      <c r="CO17">
        <f>VLOOKUP(A17,UNP!A$2:G$55,6,0)</f>
        <v>3554000</v>
      </c>
      <c r="CP17">
        <f>VLOOKUP(A17,UPS!A$2:G$55,6,0)</f>
        <v>1138300</v>
      </c>
      <c r="CQ17">
        <f>VLOOKUP(A17,USB!A$2:G$55,6,0)</f>
        <v>4399500</v>
      </c>
      <c r="CR17">
        <f>VLOOKUP(A17,UTX!A$2:G$55,6,0)</f>
        <v>6990800</v>
      </c>
      <c r="CS17">
        <f>VLOOKUP(A17,V!A$2:G$55,6,0)</f>
        <v>2047300</v>
      </c>
      <c r="CT17">
        <f>VLOOKUP(A17,VZ!A$2:G$55,6,0)</f>
        <v>11912400</v>
      </c>
      <c r="CU17">
        <f>VLOOKUP(A17,WAG!A$2:G$55,6,0)</f>
        <v>7215000</v>
      </c>
      <c r="CV17">
        <f>VLOOKUP(A17,WFC!A$2:G$55,6,0)</f>
        <v>9109000</v>
      </c>
      <c r="CW17">
        <f>VLOOKUP(A17,WMT!A$2:G$55,6,0)</f>
        <v>3994300</v>
      </c>
    </row>
    <row r="18" spans="1:101" x14ac:dyDescent="0.25">
      <c r="A18" s="34">
        <v>41844</v>
      </c>
      <c r="B18" s="36">
        <v>45729000</v>
      </c>
      <c r="C18">
        <f>VLOOKUP(A18,ABBV!A$2:G$55,6,0)</f>
        <v>11409600</v>
      </c>
      <c r="D18">
        <f>VLOOKUP(A18,ABT!A$2:G$55,6,0)</f>
        <v>4890700</v>
      </c>
      <c r="E18">
        <f>VLOOKUP(A18,ACN!A$2:G$55,6,0)</f>
        <v>2065600</v>
      </c>
      <c r="F18">
        <f>VLOOKUP(A18,AIG!A$2:G$55,6,0)</f>
        <v>4241400</v>
      </c>
      <c r="G18">
        <f>VLOOKUP(A18,ALL!A$2:G$55,6,0)</f>
        <v>1138100</v>
      </c>
      <c r="H18">
        <f>VLOOKUP(A18,AMGN!A$2:G$55,6,0)</f>
        <v>3219700</v>
      </c>
      <c r="I18">
        <f>VLOOKUP(A18,AMZN!A$2:G$55,6,0)</f>
        <v>7000000</v>
      </c>
      <c r="J18">
        <f>VLOOKUP(A18,APA!A$2:G$55,6,0)</f>
        <v>3707600</v>
      </c>
      <c r="K18">
        <f>VLOOKUP(A18,APC!A$2:G$55,6,0)</f>
        <v>4549500</v>
      </c>
      <c r="L18">
        <f>VLOOKUP(A18,AXP!A$2:G$55,6,0)</f>
        <v>2898200</v>
      </c>
      <c r="M18">
        <f>VLOOKUP(A18,BA!A$2:G$55,6,0)</f>
        <v>10307200</v>
      </c>
      <c r="N18">
        <f>VLOOKUP(A18,BAC!A$2:G$55,6,0)</f>
        <v>46549800</v>
      </c>
      <c r="O18">
        <f>VLOOKUP(A18,BAX!A$2:G$55,6,0)</f>
        <v>2326800</v>
      </c>
      <c r="P18">
        <f>VLOOKUP(A18,BIIB!A$2:G$55,6,0)</f>
        <v>1599900</v>
      </c>
      <c r="Q18">
        <f>VLOOKUP(A18,BK!A$2:G$55,6,0)</f>
        <v>6394800</v>
      </c>
      <c r="R18">
        <f>VLOOKUP(A18,BMY!A$2:G$55,6,0)</f>
        <v>8522800</v>
      </c>
      <c r="T18">
        <f>VLOOKUP(A18,'C'!A$2:G$55,6,0)</f>
        <v>13282600</v>
      </c>
      <c r="U18">
        <f>VLOOKUP(A18,CAT!A$2:G$55,6,0)</f>
        <v>8690300</v>
      </c>
      <c r="V18">
        <f>VLOOKUP(A18,CL!A$2:G$55,6,0)</f>
        <v>1917300</v>
      </c>
      <c r="W18">
        <f>VLOOKUP(A18,CMCSA!A$2:G$55,6,0)</f>
        <v>13103800</v>
      </c>
      <c r="X18">
        <f>VLOOKUP(A18,COF!A$2:G$55,6,0)</f>
        <v>3620000</v>
      </c>
      <c r="Y18">
        <f>VLOOKUP(A18,COP!A$2:G$55,6,0)</f>
        <v>5033400</v>
      </c>
      <c r="Z18">
        <f>VLOOKUP(A18,COST!A$2:G$55,6,0)</f>
        <v>1347700</v>
      </c>
      <c r="AA18">
        <f>VLOOKUP(A18,CSCO!A$2:G$55,6,0)</f>
        <v>21876300</v>
      </c>
      <c r="AB18">
        <f>VLOOKUP(A18,CVS!A$2:G$55,6,0)</f>
        <v>3798100</v>
      </c>
      <c r="AC18">
        <f>VLOOKUP(A18,CVX!A$2:G$55,6,0)</f>
        <v>5337900</v>
      </c>
      <c r="AD18">
        <f>VLOOKUP(A18,DD!A$2:G$55,6,0)</f>
        <v>5658700</v>
      </c>
      <c r="AE18">
        <f>VLOOKUP(A18,DIS!A$2:G$55,6,0)</f>
        <v>4168200</v>
      </c>
      <c r="AF18">
        <f>VLOOKUP(A18,DOW!A$2:G$55,6,0)</f>
        <v>8479300</v>
      </c>
      <c r="AG18">
        <f>VLOOKUP(A18,DVN!A$2:G$55,6,0)</f>
        <v>2921700</v>
      </c>
      <c r="AH18">
        <f>VLOOKUP(A18,EBAY!A$2:G$55,6,0)</f>
        <v>16238700</v>
      </c>
      <c r="AI18">
        <f>VLOOKUP(A18,EMC!A$2:G$55,6,0)</f>
        <v>21329100</v>
      </c>
      <c r="AJ18">
        <f>VLOOKUP(A18,EMR!A$2:G$55,6,0)</f>
        <v>2396500</v>
      </c>
      <c r="AK18">
        <f>VLOOKUP(A18,EXC!A$2:G$55,6,0)</f>
        <v>6165100</v>
      </c>
      <c r="AL18">
        <f>VLOOKUP(A18,F!A$2:G$55,6,0)</f>
        <v>53838000</v>
      </c>
      <c r="AM18">
        <f>VLOOKUP(A18,FB!A$2:G$55,6,0)</f>
        <v>124006900</v>
      </c>
      <c r="AN18">
        <f>VLOOKUP(A18,FCX!A$2:G$55,6,0)</f>
        <v>15614600</v>
      </c>
      <c r="AO18">
        <f>VLOOKUP(A18,FDX!A$2:G$55,6,0)</f>
        <v>1009900</v>
      </c>
      <c r="AP18">
        <f>VLOOKUP(A18,FOXA!A$2:G$55,6,0)</f>
        <v>24516000</v>
      </c>
      <c r="AQ18">
        <f>VLOOKUP(A18,GD!A$2:G$55,6,0)</f>
        <v>2088000</v>
      </c>
      <c r="AR18">
        <f>VLOOKUP(A18,GE!A$2:G$55,6,0)</f>
        <v>22010800</v>
      </c>
      <c r="AS18">
        <f>VLOOKUP(A18,GILD!A$2:G$55,6,0)</f>
        <v>23528700</v>
      </c>
      <c r="AT18">
        <f>VLOOKUP(A18,GM!A$2:G$55,6,0)</f>
        <v>35694100</v>
      </c>
      <c r="AU18">
        <f>VLOOKUP(A18,GOOG!A$2:G$55,6,0)</f>
        <v>1032300</v>
      </c>
      <c r="AV18">
        <f>VLOOKUP(A18,GOOGL!A$2:G$55,6,0)</f>
        <v>1355000</v>
      </c>
      <c r="AW18">
        <f>VLOOKUP(A18,GS!A$2:G$55,6,0)</f>
        <v>2012800</v>
      </c>
      <c r="AX18">
        <f>VLOOKUP(A18,HAL!A$2:G$55,6,0)</f>
        <v>6243600</v>
      </c>
      <c r="AY18">
        <f>VLOOKUP(A18,HD!A$2:G$55,6,0)</f>
        <v>4359600</v>
      </c>
      <c r="AZ18">
        <f>VLOOKUP(A18,HON!A$2:G$55,6,0)</f>
        <v>2193600</v>
      </c>
      <c r="BA18">
        <f>VLOOKUP(A18,HPQ!A$2:G$55,6,0)</f>
        <v>7584800</v>
      </c>
      <c r="BB18">
        <f>VLOOKUP(A18,IBM!A$2:G$55,6,0)</f>
        <v>3612700</v>
      </c>
      <c r="BC18">
        <f>VLOOKUP(A18,INTC!A$2:G$55,6,0)</f>
        <v>33180400</v>
      </c>
      <c r="BD18">
        <f>VLOOKUP(A18,JNJ!A$2:G$55,6,0)</f>
        <v>5177200</v>
      </c>
      <c r="BE18">
        <f>VLOOKUP(A18,JPM!A$2:G$55,6,0)</f>
        <v>9844100</v>
      </c>
      <c r="BF18">
        <f>VLOOKUP(A18,KO!A$2:G$55,6,0)</f>
        <v>14856000</v>
      </c>
      <c r="BG18">
        <f>VLOOKUP(A18,LLY!A$2:G$55,6,0)</f>
        <v>5090200</v>
      </c>
      <c r="BH18">
        <f>VLOOKUP(A18,LMT!A$2:G$55,6,0)</f>
        <v>1617600</v>
      </c>
      <c r="BI18">
        <f>VLOOKUP(A18,LOW!A$2:G$55,6,0)</f>
        <v>3934600</v>
      </c>
      <c r="BJ18">
        <f>VLOOKUP(A18,MA!A$2:G$55,6,0)</f>
        <v>5149600</v>
      </c>
      <c r="BK18">
        <f>VLOOKUP(A18,MCD!A$2:G$55,6,0)</f>
        <v>7781700</v>
      </c>
      <c r="BL18">
        <f>VLOOKUP(A18,MDLZ!A$2:G$55,6,0)</f>
        <v>4430300</v>
      </c>
      <c r="BM18">
        <f>VLOOKUP(A18,MDT!A$2:G$55,6,0)</f>
        <v>9069200</v>
      </c>
      <c r="BN18">
        <f>VLOOKUP(A18,MET!A$2:G$55,6,0)</f>
        <v>5948000</v>
      </c>
      <c r="BO18">
        <f>VLOOKUP(A18,MMM!A$2:G$55,6,0)</f>
        <v>2580000</v>
      </c>
      <c r="BP18">
        <f>VLOOKUP(A18,MO!A$2:G$55,6,0)</f>
        <v>6824500</v>
      </c>
      <c r="BQ18">
        <f>VLOOKUP(A18,MON!A$2:G$55,6,0)</f>
        <v>5658700</v>
      </c>
      <c r="BR18">
        <f>VLOOKUP(A18,MRK!A$2:G$55,6,0)</f>
        <v>10064200</v>
      </c>
      <c r="BS18">
        <f>VLOOKUP(A18,MS!A$2:G$55,6,0)</f>
        <v>6575500</v>
      </c>
      <c r="BT18">
        <f>VLOOKUP(A18,MSFT!A$2:G$55,6,0)</f>
        <v>30725300</v>
      </c>
      <c r="BU18">
        <f>VLOOKUP(A18,NKE!A$2:G$55,6,0)</f>
        <v>4015100</v>
      </c>
      <c r="BV18">
        <f>VLOOKUP(A18,NOV!A$2:G$55,6,0)</f>
        <v>3306900</v>
      </c>
      <c r="BW18">
        <f>VLOOKUP(A18,NSC!A$2:G$55,6,0)</f>
        <v>1673300</v>
      </c>
      <c r="BX18">
        <f>VLOOKUP(A18,ORCL!A$2:G$55,6,0)</f>
        <v>10068300</v>
      </c>
      <c r="BY18">
        <f>VLOOKUP(A18,OXY!A$2:G$55,6,0)</f>
        <v>2352600</v>
      </c>
      <c r="BZ18">
        <f>VLOOKUP(A18,PEP!A$2:G$55,6,0)</f>
        <v>5614700</v>
      </c>
      <c r="CA18">
        <f>VLOOKUP(A18,PFE!A$2:G$55,6,0)</f>
        <v>14839000</v>
      </c>
      <c r="CB18">
        <f>VLOOKUP(A18,PG!A$2:G$55,6,0)</f>
        <v>6273100</v>
      </c>
      <c r="CC18">
        <f>VLOOKUP(A18,PM!A$2:G$55,6,0)</f>
        <v>3703000</v>
      </c>
      <c r="CD18">
        <f>VLOOKUP(A18,QCOM!A$2:G$55,6,0)</f>
        <v>37728500</v>
      </c>
      <c r="CE18">
        <f>VLOOKUP(A18,RTN!A$2:G$55,6,0)</f>
        <v>2278100</v>
      </c>
      <c r="CF18">
        <f>VLOOKUP(A18,SBUX!A$2:G$55,6,0)</f>
        <v>8064600</v>
      </c>
      <c r="CG18">
        <f>VLOOKUP(A18,SLB!A$2:G$55,6,0)</f>
        <v>4750600</v>
      </c>
      <c r="CH18">
        <f>VLOOKUP(A18,SO!A$2:G$55,6,0)</f>
        <v>3955400</v>
      </c>
      <c r="CI18">
        <f>VLOOKUP(A18,SPG!A$2:G$55,6,0)</f>
        <v>1479500</v>
      </c>
      <c r="CJ18">
        <f>VLOOKUP(A18,T!A$2:G$55,6,0)</f>
        <v>44661700</v>
      </c>
      <c r="CK18">
        <f>VLOOKUP(A18,TGT!A$2:G$55,6,0)</f>
        <v>3491900</v>
      </c>
      <c r="CL18">
        <f>VLOOKUP(A18,TWX!A$2:G$55,6,0)</f>
        <v>9203600</v>
      </c>
      <c r="CM18">
        <f>VLOOKUP(A18,TXN!A$2:G$55,6,0)</f>
        <v>9868300</v>
      </c>
      <c r="CN18">
        <f>VLOOKUP(A18,UNH!A$2:G$55,6,0)</f>
        <v>4022400</v>
      </c>
      <c r="CO18">
        <f>VLOOKUP(A18,UNP!A$2:G$55,6,0)</f>
        <v>3283600</v>
      </c>
      <c r="CP18">
        <f>VLOOKUP(A18,UPS!A$2:G$55,6,0)</f>
        <v>1274500</v>
      </c>
      <c r="CQ18">
        <f>VLOOKUP(A18,USB!A$2:G$55,6,0)</f>
        <v>4385800</v>
      </c>
      <c r="CR18">
        <f>VLOOKUP(A18,UTX!A$2:G$55,6,0)</f>
        <v>6811900</v>
      </c>
      <c r="CS18">
        <f>VLOOKUP(A18,V!A$2:G$55,6,0)</f>
        <v>2986900</v>
      </c>
      <c r="CT18">
        <f>VLOOKUP(A18,VZ!A$2:G$55,6,0)</f>
        <v>17340800</v>
      </c>
      <c r="CU18">
        <f>VLOOKUP(A18,WAG!A$2:G$55,6,0)</f>
        <v>6606500</v>
      </c>
      <c r="CV18">
        <f>VLOOKUP(A18,WFC!A$2:G$55,6,0)</f>
        <v>9939600</v>
      </c>
      <c r="CW18">
        <f>VLOOKUP(A18,WMT!A$2:G$55,6,0)</f>
        <v>7228300</v>
      </c>
    </row>
    <row r="19" spans="1:101" x14ac:dyDescent="0.25">
      <c r="A19" s="34">
        <v>41845</v>
      </c>
      <c r="B19" s="36">
        <v>43469000</v>
      </c>
      <c r="C19">
        <f>VLOOKUP(A19,ABBV!A$2:G$55,6,0)</f>
        <v>11680900</v>
      </c>
      <c r="D19">
        <f>VLOOKUP(A19,ABT!A$2:G$55,6,0)</f>
        <v>3979100</v>
      </c>
      <c r="E19">
        <f>VLOOKUP(A19,ACN!A$2:G$55,6,0)</f>
        <v>1487600</v>
      </c>
      <c r="F19">
        <f>VLOOKUP(A19,AIG!A$2:G$55,6,0)</f>
        <v>7389100</v>
      </c>
      <c r="G19">
        <f>VLOOKUP(A19,ALL!A$2:G$55,6,0)</f>
        <v>1193000</v>
      </c>
      <c r="H19">
        <f>VLOOKUP(A19,AMGN!A$2:G$55,6,0)</f>
        <v>3028900</v>
      </c>
      <c r="I19">
        <f>VLOOKUP(A19,AMZN!A$2:G$55,6,0)</f>
        <v>17846500</v>
      </c>
      <c r="J19">
        <f>VLOOKUP(A19,APA!A$2:G$55,6,0)</f>
        <v>1317300</v>
      </c>
      <c r="K19">
        <f>VLOOKUP(A19,APC!A$2:G$55,6,0)</f>
        <v>2239700</v>
      </c>
      <c r="L19">
        <f>VLOOKUP(A19,AXP!A$2:G$55,6,0)</f>
        <v>3903500</v>
      </c>
      <c r="M19">
        <f>VLOOKUP(A19,BA!A$2:G$55,6,0)</f>
        <v>6121400</v>
      </c>
      <c r="N19">
        <f>VLOOKUP(A19,BAC!A$2:G$55,6,0)</f>
        <v>35627200</v>
      </c>
      <c r="O19">
        <f>VLOOKUP(A19,BAX!A$2:G$55,6,0)</f>
        <v>1625900</v>
      </c>
      <c r="P19">
        <f>VLOOKUP(A19,BIIB!A$2:G$55,6,0)</f>
        <v>1068600</v>
      </c>
      <c r="Q19">
        <f>VLOOKUP(A19,BK!A$2:G$55,6,0)</f>
        <v>7078300</v>
      </c>
      <c r="R19">
        <f>VLOOKUP(A19,BMY!A$2:G$55,6,0)</f>
        <v>5872200</v>
      </c>
      <c r="T19">
        <f>VLOOKUP(A19,'C'!A$2:G$55,6,0)</f>
        <v>10082900</v>
      </c>
      <c r="U19">
        <f>VLOOKUP(A19,CAT!A$2:G$55,6,0)</f>
        <v>4126200</v>
      </c>
      <c r="V19">
        <f>VLOOKUP(A19,CL!A$2:G$55,6,0)</f>
        <v>1594300</v>
      </c>
      <c r="W19">
        <f>VLOOKUP(A19,CMCSA!A$2:G$55,6,0)</f>
        <v>9967700</v>
      </c>
      <c r="X19">
        <f>VLOOKUP(A19,COF!A$2:G$55,6,0)</f>
        <v>2929600</v>
      </c>
      <c r="Y19">
        <f>VLOOKUP(A19,COP!A$2:G$55,6,0)</f>
        <v>3047300</v>
      </c>
      <c r="Z19">
        <f>VLOOKUP(A19,COST!A$2:G$55,6,0)</f>
        <v>1543700</v>
      </c>
      <c r="AA19">
        <f>VLOOKUP(A19,CSCO!A$2:G$55,6,0)</f>
        <v>28640100</v>
      </c>
      <c r="AB19">
        <f>VLOOKUP(A19,CVS!A$2:G$55,6,0)</f>
        <v>3295000</v>
      </c>
      <c r="AC19">
        <f>VLOOKUP(A19,CVX!A$2:G$55,6,0)</f>
        <v>3702000</v>
      </c>
      <c r="AD19">
        <f>VLOOKUP(A19,DD!A$2:G$55,6,0)</f>
        <v>3758300</v>
      </c>
      <c r="AE19">
        <f>VLOOKUP(A19,DIS!A$2:G$55,6,0)</f>
        <v>4659800</v>
      </c>
      <c r="AF19">
        <f>VLOOKUP(A19,DOW!A$2:G$55,6,0)</f>
        <v>7353400</v>
      </c>
      <c r="AG19">
        <f>VLOOKUP(A19,DVN!A$2:G$55,6,0)</f>
        <v>1194500</v>
      </c>
      <c r="AH19">
        <f>VLOOKUP(A19,EBAY!A$2:G$55,6,0)</f>
        <v>11250800</v>
      </c>
      <c r="AI19">
        <f>VLOOKUP(A19,EMC!A$2:G$55,6,0)</f>
        <v>23562200</v>
      </c>
      <c r="AJ19">
        <f>VLOOKUP(A19,EMR!A$2:G$55,6,0)</f>
        <v>2965300</v>
      </c>
      <c r="AK19">
        <f>VLOOKUP(A19,EXC!A$2:G$55,6,0)</f>
        <v>3689000</v>
      </c>
      <c r="AL19">
        <f>VLOOKUP(A19,F!A$2:G$55,6,0)</f>
        <v>34499800</v>
      </c>
      <c r="AM19">
        <f>VLOOKUP(A19,FB!A$2:G$55,6,0)</f>
        <v>45823100</v>
      </c>
      <c r="AN19">
        <f>VLOOKUP(A19,FCX!A$2:G$55,6,0)</f>
        <v>11058700</v>
      </c>
      <c r="AO19">
        <f>VLOOKUP(A19,FDX!A$2:G$55,6,0)</f>
        <v>1269600</v>
      </c>
      <c r="AP19">
        <f>VLOOKUP(A19,FOXA!A$2:G$55,6,0)</f>
        <v>18561200</v>
      </c>
      <c r="AQ19">
        <f>VLOOKUP(A19,GD!A$2:G$55,6,0)</f>
        <v>1220600</v>
      </c>
      <c r="AR19">
        <f>VLOOKUP(A19,GE!A$2:G$55,6,0)</f>
        <v>24634100</v>
      </c>
      <c r="AS19">
        <f>VLOOKUP(A19,GILD!A$2:G$55,6,0)</f>
        <v>13059400</v>
      </c>
      <c r="AT19">
        <f>VLOOKUP(A19,GM!A$2:G$55,6,0)</f>
        <v>28537300</v>
      </c>
      <c r="AU19">
        <f>VLOOKUP(A19,GOOG!A$2:G$55,6,0)</f>
        <v>929900</v>
      </c>
      <c r="AV19">
        <f>VLOOKUP(A19,GOOGL!A$2:G$55,6,0)</f>
        <v>1360000</v>
      </c>
      <c r="AW19">
        <f>VLOOKUP(A19,GS!A$2:G$55,6,0)</f>
        <v>2114900</v>
      </c>
      <c r="AX19">
        <f>VLOOKUP(A19,HAL!A$2:G$55,6,0)</f>
        <v>4506200</v>
      </c>
      <c r="AY19">
        <f>VLOOKUP(A19,HD!A$2:G$55,6,0)</f>
        <v>4680100</v>
      </c>
      <c r="AZ19">
        <f>VLOOKUP(A19,HON!A$2:G$55,6,0)</f>
        <v>2245800</v>
      </c>
      <c r="BA19">
        <f>VLOOKUP(A19,HPQ!A$2:G$55,6,0)</f>
        <v>8215400</v>
      </c>
      <c r="BB19">
        <f>VLOOKUP(A19,IBM!A$2:G$55,6,0)</f>
        <v>3376400</v>
      </c>
      <c r="BC19">
        <f>VLOOKUP(A19,INTC!A$2:G$55,6,0)</f>
        <v>31614000</v>
      </c>
      <c r="BD19">
        <f>VLOOKUP(A19,JNJ!A$2:G$55,6,0)</f>
        <v>3951500</v>
      </c>
      <c r="BE19">
        <f>VLOOKUP(A19,JPM!A$2:G$55,6,0)</f>
        <v>10487000</v>
      </c>
      <c r="BF19">
        <f>VLOOKUP(A19,KO!A$2:G$55,6,0)</f>
        <v>10809900</v>
      </c>
      <c r="BG19">
        <f>VLOOKUP(A19,LLY!A$2:G$55,6,0)</f>
        <v>2987400</v>
      </c>
      <c r="BH19">
        <f>VLOOKUP(A19,LMT!A$2:G$55,6,0)</f>
        <v>2112300</v>
      </c>
      <c r="BI19">
        <f>VLOOKUP(A19,LOW!A$2:G$55,6,0)</f>
        <v>4531100</v>
      </c>
      <c r="BJ19">
        <f>VLOOKUP(A19,MA!A$2:G$55,6,0)</f>
        <v>5870200</v>
      </c>
      <c r="BK19">
        <f>VLOOKUP(A19,MCD!A$2:G$55,6,0)</f>
        <v>4992500</v>
      </c>
      <c r="BL19">
        <f>VLOOKUP(A19,MDLZ!A$2:G$55,6,0)</f>
        <v>4398400</v>
      </c>
      <c r="BM19">
        <f>VLOOKUP(A19,MDT!A$2:G$55,6,0)</f>
        <v>5208300</v>
      </c>
      <c r="BN19">
        <f>VLOOKUP(A19,MET!A$2:G$55,6,0)</f>
        <v>4913500</v>
      </c>
      <c r="BO19">
        <f>VLOOKUP(A19,MMM!A$2:G$55,6,0)</f>
        <v>1601800</v>
      </c>
      <c r="BP19">
        <f>VLOOKUP(A19,MO!A$2:G$55,6,0)</f>
        <v>4829600</v>
      </c>
      <c r="BQ19">
        <f>VLOOKUP(A19,MON!A$2:G$55,6,0)</f>
        <v>3905700</v>
      </c>
      <c r="BR19">
        <f>VLOOKUP(A19,MRK!A$2:G$55,6,0)</f>
        <v>5525100</v>
      </c>
      <c r="BS19">
        <f>VLOOKUP(A19,MS!A$2:G$55,6,0)</f>
        <v>6292600</v>
      </c>
      <c r="BT19">
        <f>VLOOKUP(A19,MSFT!A$2:G$55,6,0)</f>
        <v>26737700</v>
      </c>
      <c r="BU19">
        <f>VLOOKUP(A19,NKE!A$2:G$55,6,0)</f>
        <v>2270200</v>
      </c>
      <c r="BV19">
        <f>VLOOKUP(A19,NOV!A$2:G$55,6,0)</f>
        <v>2611400</v>
      </c>
      <c r="BW19">
        <f>VLOOKUP(A19,NSC!A$2:G$55,6,0)</f>
        <v>989100</v>
      </c>
      <c r="BX19">
        <f>VLOOKUP(A19,ORCL!A$2:G$55,6,0)</f>
        <v>7483800</v>
      </c>
      <c r="BY19">
        <f>VLOOKUP(A19,OXY!A$2:G$55,6,0)</f>
        <v>2590000</v>
      </c>
      <c r="BZ19">
        <f>VLOOKUP(A19,PEP!A$2:G$55,6,0)</f>
        <v>2925000</v>
      </c>
      <c r="CA19">
        <f>VLOOKUP(A19,PFE!A$2:G$55,6,0)</f>
        <v>14501500</v>
      </c>
      <c r="CB19">
        <f>VLOOKUP(A19,PG!A$2:G$55,6,0)</f>
        <v>6293400</v>
      </c>
      <c r="CC19">
        <f>VLOOKUP(A19,PM!A$2:G$55,6,0)</f>
        <v>2715100</v>
      </c>
      <c r="CD19">
        <f>VLOOKUP(A19,QCOM!A$2:G$55,6,0)</f>
        <v>13574800</v>
      </c>
      <c r="CE19">
        <f>VLOOKUP(A19,RTN!A$2:G$55,6,0)</f>
        <v>1978600</v>
      </c>
      <c r="CF19">
        <f>VLOOKUP(A19,SBUX!A$2:G$55,6,0)</f>
        <v>9487300</v>
      </c>
      <c r="CG19">
        <f>VLOOKUP(A19,SLB!A$2:G$55,6,0)</f>
        <v>5837300</v>
      </c>
      <c r="CH19">
        <f>VLOOKUP(A19,SO!A$2:G$55,6,0)</f>
        <v>7059000</v>
      </c>
      <c r="CI19">
        <f>VLOOKUP(A19,SPG!A$2:G$55,6,0)</f>
        <v>1140900</v>
      </c>
      <c r="CJ19">
        <f>VLOOKUP(A19,T!A$2:G$55,6,0)</f>
        <v>18663300</v>
      </c>
      <c r="CK19">
        <f>VLOOKUP(A19,TGT!A$2:G$55,6,0)</f>
        <v>2629200</v>
      </c>
      <c r="CL19">
        <f>VLOOKUP(A19,TWX!A$2:G$55,6,0)</f>
        <v>5751800</v>
      </c>
      <c r="CM19">
        <f>VLOOKUP(A19,TXN!A$2:G$55,6,0)</f>
        <v>9472100</v>
      </c>
      <c r="CN19">
        <f>VLOOKUP(A19,UNH!A$2:G$55,6,0)</f>
        <v>3362600</v>
      </c>
      <c r="CO19">
        <f>VLOOKUP(A19,UNP!A$2:G$55,6,0)</f>
        <v>2337400</v>
      </c>
      <c r="CP19">
        <f>VLOOKUP(A19,UPS!A$2:G$55,6,0)</f>
        <v>1192100</v>
      </c>
      <c r="CQ19">
        <f>VLOOKUP(A19,USB!A$2:G$55,6,0)</f>
        <v>5386000</v>
      </c>
      <c r="CR19">
        <f>VLOOKUP(A19,UTX!A$2:G$55,6,0)</f>
        <v>4348900</v>
      </c>
      <c r="CS19">
        <f>VLOOKUP(A19,V!A$2:G$55,6,0)</f>
        <v>6882600</v>
      </c>
      <c r="CT19">
        <f>VLOOKUP(A19,VZ!A$2:G$55,6,0)</f>
        <v>11063100</v>
      </c>
      <c r="CU19">
        <f>VLOOKUP(A19,WAG!A$2:G$55,6,0)</f>
        <v>3367700</v>
      </c>
      <c r="CV19">
        <f>VLOOKUP(A19,WFC!A$2:G$55,6,0)</f>
        <v>10040200</v>
      </c>
      <c r="CW19">
        <f>VLOOKUP(A19,WMT!A$2:G$55,6,0)</f>
        <v>3948400</v>
      </c>
    </row>
    <row r="20" spans="1:101" x14ac:dyDescent="0.25">
      <c r="A20" s="34">
        <v>41848</v>
      </c>
      <c r="B20" s="36">
        <v>55318000</v>
      </c>
      <c r="C20">
        <f>VLOOKUP(A20,ABBV!A$2:G$55,6,0)</f>
        <v>10466000</v>
      </c>
      <c r="D20">
        <f>VLOOKUP(A20,ABT!A$2:G$55,6,0)</f>
        <v>3449200</v>
      </c>
      <c r="E20">
        <f>VLOOKUP(A20,ACN!A$2:G$55,6,0)</f>
        <v>1799200</v>
      </c>
      <c r="F20">
        <f>VLOOKUP(A20,AIG!A$2:G$55,6,0)</f>
        <v>7135500</v>
      </c>
      <c r="G20">
        <f>VLOOKUP(A20,ALL!A$2:G$55,6,0)</f>
        <v>2130600</v>
      </c>
      <c r="H20">
        <f>VLOOKUP(A20,AMGN!A$2:G$55,6,0)</f>
        <v>2432000</v>
      </c>
      <c r="I20">
        <f>VLOOKUP(A20,AMZN!A$2:G$55,6,0)</f>
        <v>5932000</v>
      </c>
      <c r="J20">
        <f>VLOOKUP(A20,APA!A$2:G$55,6,0)</f>
        <v>1803300</v>
      </c>
      <c r="K20">
        <f>VLOOKUP(A20,APC!A$2:G$55,6,0)</f>
        <v>4839400</v>
      </c>
      <c r="L20">
        <f>VLOOKUP(A20,AXP!A$2:G$55,6,0)</f>
        <v>4274000</v>
      </c>
      <c r="M20">
        <f>VLOOKUP(A20,BA!A$2:G$55,6,0)</f>
        <v>4982400</v>
      </c>
      <c r="N20">
        <f>VLOOKUP(A20,BAC!A$2:G$55,6,0)</f>
        <v>39313000</v>
      </c>
      <c r="O20">
        <f>VLOOKUP(A20,BAX!A$2:G$55,6,0)</f>
        <v>1792100</v>
      </c>
      <c r="P20">
        <f>VLOOKUP(A20,BIIB!A$2:G$55,6,0)</f>
        <v>995600</v>
      </c>
      <c r="Q20">
        <f>VLOOKUP(A20,BK!A$2:G$55,6,0)</f>
        <v>5538400</v>
      </c>
      <c r="R20">
        <f>VLOOKUP(A20,BMY!A$2:G$55,6,0)</f>
        <v>6378300</v>
      </c>
      <c r="T20">
        <f>VLOOKUP(A20,'C'!A$2:G$55,6,0)</f>
        <v>12070400</v>
      </c>
      <c r="U20">
        <f>VLOOKUP(A20,CAT!A$2:G$55,6,0)</f>
        <v>4474300</v>
      </c>
      <c r="V20">
        <f>VLOOKUP(A20,CL!A$2:G$55,6,0)</f>
        <v>1711600</v>
      </c>
      <c r="W20">
        <f>VLOOKUP(A20,CMCSA!A$2:G$55,6,0)</f>
        <v>8785800</v>
      </c>
      <c r="X20">
        <f>VLOOKUP(A20,COF!A$2:G$55,6,0)</f>
        <v>2386600</v>
      </c>
      <c r="Y20">
        <f>VLOOKUP(A20,COP!A$2:G$55,6,0)</f>
        <v>4804400</v>
      </c>
      <c r="Z20">
        <f>VLOOKUP(A20,COST!A$2:G$55,6,0)</f>
        <v>1402600</v>
      </c>
      <c r="AA20">
        <f>VLOOKUP(A20,CSCO!A$2:G$55,6,0)</f>
        <v>27686400</v>
      </c>
      <c r="AB20">
        <f>VLOOKUP(A20,CVS!A$2:G$55,6,0)</f>
        <v>4278500</v>
      </c>
      <c r="AC20">
        <f>VLOOKUP(A20,CVX!A$2:G$55,6,0)</f>
        <v>4625000</v>
      </c>
      <c r="AD20">
        <f>VLOOKUP(A20,DD!A$2:G$55,6,0)</f>
        <v>4883900</v>
      </c>
      <c r="AE20">
        <f>VLOOKUP(A20,DIS!A$2:G$55,6,0)</f>
        <v>4546800</v>
      </c>
      <c r="AF20">
        <f>VLOOKUP(A20,DOW!A$2:G$55,6,0)</f>
        <v>8733000</v>
      </c>
      <c r="AG20">
        <f>VLOOKUP(A20,DVN!A$2:G$55,6,0)</f>
        <v>1588700</v>
      </c>
      <c r="AH20">
        <f>VLOOKUP(A20,EBAY!A$2:G$55,6,0)</f>
        <v>9402700</v>
      </c>
      <c r="AI20">
        <f>VLOOKUP(A20,EMC!A$2:G$55,6,0)</f>
        <v>29935300</v>
      </c>
      <c r="AJ20">
        <f>VLOOKUP(A20,EMR!A$2:G$55,6,0)</f>
        <v>3044900</v>
      </c>
      <c r="AK20">
        <f>VLOOKUP(A20,EXC!A$2:G$55,6,0)</f>
        <v>5683400</v>
      </c>
      <c r="AL20">
        <f>VLOOKUP(A20,F!A$2:G$55,6,0)</f>
        <v>29662100</v>
      </c>
      <c r="AM20">
        <f>VLOOKUP(A20,FB!A$2:G$55,6,0)</f>
        <v>41640000</v>
      </c>
      <c r="AN20">
        <f>VLOOKUP(A20,FCX!A$2:G$55,6,0)</f>
        <v>7513000</v>
      </c>
      <c r="AO20">
        <f>VLOOKUP(A20,FDX!A$2:G$55,6,0)</f>
        <v>1652200</v>
      </c>
      <c r="AP20">
        <f>VLOOKUP(A20,FOXA!A$2:G$55,6,0)</f>
        <v>17754200</v>
      </c>
      <c r="AQ20">
        <f>VLOOKUP(A20,GD!A$2:G$55,6,0)</f>
        <v>1239300</v>
      </c>
      <c r="AR20">
        <f>VLOOKUP(A20,GE!A$2:G$55,6,0)</f>
        <v>32980200</v>
      </c>
      <c r="AS20">
        <f>VLOOKUP(A20,GILD!A$2:G$55,6,0)</f>
        <v>14066500</v>
      </c>
      <c r="AT20">
        <f>VLOOKUP(A20,GM!A$2:G$55,6,0)</f>
        <v>15051300</v>
      </c>
      <c r="AU20">
        <f>VLOOKUP(A20,GOOG!A$2:G$55,6,0)</f>
        <v>984100</v>
      </c>
      <c r="AV20">
        <f>VLOOKUP(A20,GOOGL!A$2:G$55,6,0)</f>
        <v>1358100</v>
      </c>
      <c r="AW20">
        <f>VLOOKUP(A20,GS!A$2:G$55,6,0)</f>
        <v>2303400</v>
      </c>
      <c r="AX20">
        <f>VLOOKUP(A20,HAL!A$2:G$55,6,0)</f>
        <v>4237600</v>
      </c>
      <c r="AY20">
        <f>VLOOKUP(A20,HD!A$2:G$55,6,0)</f>
        <v>3441600</v>
      </c>
      <c r="AZ20">
        <f>VLOOKUP(A20,HON!A$2:G$55,6,0)</f>
        <v>3307600</v>
      </c>
      <c r="BA20">
        <f>VLOOKUP(A20,HPQ!A$2:G$55,6,0)</f>
        <v>6787200</v>
      </c>
      <c r="BB20">
        <f>VLOOKUP(A20,IBM!A$2:G$55,6,0)</f>
        <v>3242400</v>
      </c>
      <c r="BC20">
        <f>VLOOKUP(A20,INTC!A$2:G$55,6,0)</f>
        <v>30972200</v>
      </c>
      <c r="BD20">
        <f>VLOOKUP(A20,JNJ!A$2:G$55,6,0)</f>
        <v>4634800</v>
      </c>
      <c r="BE20">
        <f>VLOOKUP(A20,JPM!A$2:G$55,6,0)</f>
        <v>12382800</v>
      </c>
      <c r="BF20">
        <f>VLOOKUP(A20,KO!A$2:G$55,6,0)</f>
        <v>11709100</v>
      </c>
      <c r="BG20">
        <f>VLOOKUP(A20,LLY!A$2:G$55,6,0)</f>
        <v>3956600</v>
      </c>
      <c r="BH20">
        <f>VLOOKUP(A20,LMT!A$2:G$55,6,0)</f>
        <v>1989600</v>
      </c>
      <c r="BI20">
        <f>VLOOKUP(A20,LOW!A$2:G$55,6,0)</f>
        <v>3192900</v>
      </c>
      <c r="BJ20">
        <f>VLOOKUP(A20,MA!A$2:G$55,6,0)</f>
        <v>3209100</v>
      </c>
      <c r="BK20">
        <f>VLOOKUP(A20,MCD!A$2:G$55,6,0)</f>
        <v>4863100</v>
      </c>
      <c r="BL20">
        <f>VLOOKUP(A20,MDLZ!A$2:G$55,6,0)</f>
        <v>4912600</v>
      </c>
      <c r="BM20">
        <f>VLOOKUP(A20,MDT!A$2:G$55,6,0)</f>
        <v>5988700</v>
      </c>
      <c r="BN20">
        <f>VLOOKUP(A20,MET!A$2:G$55,6,0)</f>
        <v>5220200</v>
      </c>
      <c r="BO20">
        <f>VLOOKUP(A20,MMM!A$2:G$55,6,0)</f>
        <v>2002200</v>
      </c>
      <c r="BP20">
        <f>VLOOKUP(A20,MO!A$2:G$55,6,0)</f>
        <v>4501800</v>
      </c>
      <c r="BQ20">
        <f>VLOOKUP(A20,MON!A$2:G$55,6,0)</f>
        <v>4170800</v>
      </c>
      <c r="BR20">
        <f>VLOOKUP(A20,MRK!A$2:G$55,6,0)</f>
        <v>8600700</v>
      </c>
      <c r="BS20">
        <f>VLOOKUP(A20,MS!A$2:G$55,6,0)</f>
        <v>7114900</v>
      </c>
      <c r="BT20">
        <f>VLOOKUP(A20,MSFT!A$2:G$55,6,0)</f>
        <v>29684200</v>
      </c>
      <c r="BU20">
        <f>VLOOKUP(A20,NKE!A$2:G$55,6,0)</f>
        <v>2032600</v>
      </c>
      <c r="BV20">
        <f>VLOOKUP(A20,NOV!A$2:G$55,6,0)</f>
        <v>4034800</v>
      </c>
      <c r="BW20">
        <f>VLOOKUP(A20,NSC!A$2:G$55,6,0)</f>
        <v>1650800</v>
      </c>
      <c r="BX20">
        <f>VLOOKUP(A20,ORCL!A$2:G$55,6,0)</f>
        <v>9658200</v>
      </c>
      <c r="BY20">
        <f>VLOOKUP(A20,OXY!A$2:G$55,6,0)</f>
        <v>2341300</v>
      </c>
      <c r="BZ20">
        <f>VLOOKUP(A20,PEP!A$2:G$55,6,0)</f>
        <v>4653900</v>
      </c>
      <c r="CA20">
        <f>VLOOKUP(A20,PFE!A$2:G$55,6,0)</f>
        <v>27288700</v>
      </c>
      <c r="CB20">
        <f>VLOOKUP(A20,PG!A$2:G$55,6,0)</f>
        <v>6757300</v>
      </c>
      <c r="CC20">
        <f>VLOOKUP(A20,PM!A$2:G$55,6,0)</f>
        <v>3053900</v>
      </c>
      <c r="CD20">
        <f>VLOOKUP(A20,QCOM!A$2:G$55,6,0)</f>
        <v>10938900</v>
      </c>
      <c r="CE20">
        <f>VLOOKUP(A20,RTN!A$2:G$55,6,0)</f>
        <v>1806800</v>
      </c>
      <c r="CF20">
        <f>VLOOKUP(A20,SBUX!A$2:G$55,6,0)</f>
        <v>4006500</v>
      </c>
      <c r="CG20">
        <f>VLOOKUP(A20,SLB!A$2:G$55,6,0)</f>
        <v>4811000</v>
      </c>
      <c r="CH20">
        <f>VLOOKUP(A20,SO!A$2:G$55,6,0)</f>
        <v>5568900</v>
      </c>
      <c r="CI20">
        <f>VLOOKUP(A20,SPG!A$2:G$55,6,0)</f>
        <v>820500</v>
      </c>
      <c r="CJ20">
        <f>VLOOKUP(A20,T!A$2:G$55,6,0)</f>
        <v>20593000</v>
      </c>
      <c r="CK20">
        <f>VLOOKUP(A20,TGT!A$2:G$55,6,0)</f>
        <v>4011200</v>
      </c>
      <c r="CL20">
        <f>VLOOKUP(A20,TWX!A$2:G$55,6,0)</f>
        <v>4425100</v>
      </c>
      <c r="CM20">
        <f>VLOOKUP(A20,TXN!A$2:G$55,6,0)</f>
        <v>11324800</v>
      </c>
      <c r="CN20">
        <f>VLOOKUP(A20,UNH!A$2:G$55,6,0)</f>
        <v>2206900</v>
      </c>
      <c r="CO20">
        <f>VLOOKUP(A20,UNP!A$2:G$55,6,0)</f>
        <v>3160400</v>
      </c>
      <c r="CP20">
        <f>VLOOKUP(A20,UPS!A$2:G$55,6,0)</f>
        <v>2521000</v>
      </c>
      <c r="CQ20">
        <f>VLOOKUP(A20,USB!A$2:G$55,6,0)</f>
        <v>6284900</v>
      </c>
      <c r="CR20">
        <f>VLOOKUP(A20,UTX!A$2:G$55,6,0)</f>
        <v>5391400</v>
      </c>
      <c r="CS20">
        <f>VLOOKUP(A20,V!A$2:G$55,6,0)</f>
        <v>2600400</v>
      </c>
      <c r="CT20">
        <f>VLOOKUP(A20,VZ!A$2:G$55,6,0)</f>
        <v>9600900</v>
      </c>
      <c r="CU20">
        <f>VLOOKUP(A20,WAG!A$2:G$55,6,0)</f>
        <v>5145800</v>
      </c>
      <c r="CV20">
        <f>VLOOKUP(A20,WFC!A$2:G$55,6,0)</f>
        <v>13468000</v>
      </c>
      <c r="CW20">
        <f>VLOOKUP(A20,WMT!A$2:G$55,6,0)</f>
        <v>5509900</v>
      </c>
    </row>
    <row r="21" spans="1:101" x14ac:dyDescent="0.25">
      <c r="A21" s="34">
        <v>41849</v>
      </c>
      <c r="B21" s="36">
        <v>43143000</v>
      </c>
      <c r="C21">
        <f>VLOOKUP(A21,ABBV!A$2:G$55,6,0)</f>
        <v>16171500</v>
      </c>
      <c r="D21">
        <f>VLOOKUP(A21,ABT!A$2:G$55,6,0)</f>
        <v>4575300</v>
      </c>
      <c r="E21">
        <f>VLOOKUP(A21,ACN!A$2:G$55,6,0)</f>
        <v>2416900</v>
      </c>
      <c r="F21">
        <f>VLOOKUP(A21,AIG!A$2:G$55,6,0)</f>
        <v>6326600</v>
      </c>
      <c r="G21">
        <f>VLOOKUP(A21,ALL!A$2:G$55,6,0)</f>
        <v>3314600</v>
      </c>
      <c r="H21">
        <f>VLOOKUP(A21,AMGN!A$2:G$55,6,0)</f>
        <v>3988100</v>
      </c>
      <c r="I21">
        <f>VLOOKUP(A21,AMZN!A$2:G$55,6,0)</f>
        <v>2883800</v>
      </c>
      <c r="J21">
        <f>VLOOKUP(A21,APA!A$2:G$55,6,0)</f>
        <v>1934600</v>
      </c>
      <c r="K21">
        <f>VLOOKUP(A21,APC!A$2:G$55,6,0)</f>
        <v>6752000</v>
      </c>
      <c r="L21">
        <f>VLOOKUP(A21,AXP!A$2:G$55,6,0)</f>
        <v>4773300</v>
      </c>
      <c r="M21">
        <f>VLOOKUP(A21,BA!A$2:G$55,6,0)</f>
        <v>4101900</v>
      </c>
      <c r="N21">
        <f>VLOOKUP(A21,BAC!A$2:G$55,6,0)</f>
        <v>51480500</v>
      </c>
      <c r="O21">
        <f>VLOOKUP(A21,BAX!A$2:G$55,6,0)</f>
        <v>1854500</v>
      </c>
      <c r="P21">
        <f>VLOOKUP(A21,BIIB!A$2:G$55,6,0)</f>
        <v>1286000</v>
      </c>
      <c r="Q21">
        <f>VLOOKUP(A21,BK!A$2:G$55,6,0)</f>
        <v>12295900</v>
      </c>
      <c r="R21">
        <f>VLOOKUP(A21,BMY!A$2:G$55,6,0)</f>
        <v>12625500</v>
      </c>
      <c r="T21">
        <f>VLOOKUP(A21,'C'!A$2:G$55,6,0)</f>
        <v>13165800</v>
      </c>
      <c r="U21">
        <f>VLOOKUP(A21,CAT!A$2:G$55,6,0)</f>
        <v>7947100</v>
      </c>
      <c r="V21">
        <f>VLOOKUP(A21,CL!A$2:G$55,6,0)</f>
        <v>4919000</v>
      </c>
      <c r="W21">
        <f>VLOOKUP(A21,CMCSA!A$2:G$55,6,0)</f>
        <v>18245900</v>
      </c>
      <c r="X21">
        <f>VLOOKUP(A21,COF!A$2:G$55,6,0)</f>
        <v>2139100</v>
      </c>
      <c r="Y21">
        <f>VLOOKUP(A21,COP!A$2:G$55,6,0)</f>
        <v>4054300</v>
      </c>
      <c r="Z21">
        <f>VLOOKUP(A21,COST!A$2:G$55,6,0)</f>
        <v>2544900</v>
      </c>
      <c r="AA21">
        <f>VLOOKUP(A21,CSCO!A$2:G$55,6,0)</f>
        <v>22441500</v>
      </c>
      <c r="AB21">
        <f>VLOOKUP(A21,CVS!A$2:G$55,6,0)</f>
        <v>3372500</v>
      </c>
      <c r="AC21">
        <f>VLOOKUP(A21,CVX!A$2:G$55,6,0)</f>
        <v>4189100</v>
      </c>
      <c r="AD21">
        <f>VLOOKUP(A21,DD!A$2:G$55,6,0)</f>
        <v>6237800</v>
      </c>
      <c r="AE21">
        <f>VLOOKUP(A21,DIS!A$2:G$55,6,0)</f>
        <v>5478700</v>
      </c>
      <c r="AF21">
        <f>VLOOKUP(A21,DOW!A$2:G$55,6,0)</f>
        <v>5504800</v>
      </c>
      <c r="AG21">
        <f>VLOOKUP(A21,DVN!A$2:G$55,6,0)</f>
        <v>2180200</v>
      </c>
      <c r="AH21">
        <f>VLOOKUP(A21,EBAY!A$2:G$55,6,0)</f>
        <v>12015300</v>
      </c>
      <c r="AI21">
        <f>VLOOKUP(A21,EMC!A$2:G$55,6,0)</f>
        <v>17608500</v>
      </c>
      <c r="AJ21">
        <f>VLOOKUP(A21,EMR!A$2:G$55,6,0)</f>
        <v>2704000</v>
      </c>
      <c r="AK21">
        <f>VLOOKUP(A21,EXC!A$2:G$55,6,0)</f>
        <v>6292800</v>
      </c>
      <c r="AL21">
        <f>VLOOKUP(A21,F!A$2:G$55,6,0)</f>
        <v>32972800</v>
      </c>
      <c r="AM21">
        <f>VLOOKUP(A21,FB!A$2:G$55,6,0)</f>
        <v>41126900</v>
      </c>
      <c r="AN21">
        <f>VLOOKUP(A21,FCX!A$2:G$55,6,0)</f>
        <v>7688600</v>
      </c>
      <c r="AO21">
        <f>VLOOKUP(A21,FDX!A$2:G$55,6,0)</f>
        <v>1706200</v>
      </c>
      <c r="AP21">
        <f>VLOOKUP(A21,FOXA!A$2:G$55,6,0)</f>
        <v>15845800</v>
      </c>
      <c r="AQ21">
        <f>VLOOKUP(A21,GD!A$2:G$55,6,0)</f>
        <v>990000</v>
      </c>
      <c r="AR21">
        <f>VLOOKUP(A21,GE!A$2:G$55,6,0)</f>
        <v>22528900</v>
      </c>
      <c r="AS21">
        <f>VLOOKUP(A21,GILD!A$2:G$55,6,0)</f>
        <v>13989000</v>
      </c>
      <c r="AT21">
        <f>VLOOKUP(A21,GM!A$2:G$55,6,0)</f>
        <v>16560100</v>
      </c>
      <c r="AU21">
        <f>VLOOKUP(A21,GOOG!A$2:G$55,6,0)</f>
        <v>1346200</v>
      </c>
      <c r="AV21">
        <f>VLOOKUP(A21,GOOGL!A$2:G$55,6,0)</f>
        <v>1366600</v>
      </c>
      <c r="AW21">
        <f>VLOOKUP(A21,GS!A$2:G$55,6,0)</f>
        <v>3055600</v>
      </c>
      <c r="AX21">
        <f>VLOOKUP(A21,HAL!A$2:G$55,6,0)</f>
        <v>6508600</v>
      </c>
      <c r="AY21">
        <f>VLOOKUP(A21,HD!A$2:G$55,6,0)</f>
        <v>4536500</v>
      </c>
      <c r="AZ21">
        <f>VLOOKUP(A21,HON!A$2:G$55,6,0)</f>
        <v>3487000</v>
      </c>
      <c r="BA21">
        <f>VLOOKUP(A21,HPQ!A$2:G$55,6,0)</f>
        <v>12212800</v>
      </c>
      <c r="BB21">
        <f>VLOOKUP(A21,IBM!A$2:G$55,6,0)</f>
        <v>3264100</v>
      </c>
      <c r="BC21">
        <f>VLOOKUP(A21,INTC!A$2:G$55,6,0)</f>
        <v>26141700</v>
      </c>
      <c r="BD21">
        <f>VLOOKUP(A21,JNJ!A$2:G$55,6,0)</f>
        <v>6053900</v>
      </c>
      <c r="BE21">
        <f>VLOOKUP(A21,JPM!A$2:G$55,6,0)</f>
        <v>13482700</v>
      </c>
      <c r="BF21">
        <f>VLOOKUP(A21,KO!A$2:G$55,6,0)</f>
        <v>10863600</v>
      </c>
      <c r="BG21">
        <f>VLOOKUP(A21,LLY!A$2:G$55,6,0)</f>
        <v>5287400</v>
      </c>
      <c r="BH21">
        <f>VLOOKUP(A21,LMT!A$2:G$55,6,0)</f>
        <v>1063100</v>
      </c>
      <c r="BI21">
        <f>VLOOKUP(A21,LOW!A$2:G$55,6,0)</f>
        <v>4181400</v>
      </c>
      <c r="BJ21">
        <f>VLOOKUP(A21,MA!A$2:G$55,6,0)</f>
        <v>4017200</v>
      </c>
      <c r="BK21">
        <f>VLOOKUP(A21,MCD!A$2:G$55,6,0)</f>
        <v>6712700</v>
      </c>
      <c r="BL21">
        <f>VLOOKUP(A21,MDLZ!A$2:G$55,6,0)</f>
        <v>4310200</v>
      </c>
      <c r="BM21">
        <f>VLOOKUP(A21,MDT!A$2:G$55,6,0)</f>
        <v>6968000</v>
      </c>
      <c r="BN21">
        <f>VLOOKUP(A21,MET!A$2:G$55,6,0)</f>
        <v>5290100</v>
      </c>
      <c r="BO21">
        <f>VLOOKUP(A21,MMM!A$2:G$55,6,0)</f>
        <v>2286600</v>
      </c>
      <c r="BP21">
        <f>VLOOKUP(A21,MO!A$2:G$55,6,0)</f>
        <v>8603900</v>
      </c>
      <c r="BQ21">
        <f>VLOOKUP(A21,MON!A$2:G$55,6,0)</f>
        <v>3613600</v>
      </c>
      <c r="BR21">
        <f>VLOOKUP(A21,MRK!A$2:G$55,6,0)</f>
        <v>10328000</v>
      </c>
      <c r="BS21">
        <f>VLOOKUP(A21,MS!A$2:G$55,6,0)</f>
        <v>5716600</v>
      </c>
      <c r="BT21">
        <f>VLOOKUP(A21,MSFT!A$2:G$55,6,0)</f>
        <v>27763100</v>
      </c>
      <c r="BU21">
        <f>VLOOKUP(A21,NKE!A$2:G$55,6,0)</f>
        <v>2334800</v>
      </c>
      <c r="BV21">
        <f>VLOOKUP(A21,NOV!A$2:G$55,6,0)</f>
        <v>4670700</v>
      </c>
      <c r="BW21">
        <f>VLOOKUP(A21,NSC!A$2:G$55,6,0)</f>
        <v>1879800</v>
      </c>
      <c r="BX21">
        <f>VLOOKUP(A21,ORCL!A$2:G$55,6,0)</f>
        <v>9450400</v>
      </c>
      <c r="BY21">
        <f>VLOOKUP(A21,OXY!A$2:G$55,6,0)</f>
        <v>2256400</v>
      </c>
      <c r="BZ21">
        <f>VLOOKUP(A21,PEP!A$2:G$55,6,0)</f>
        <v>4268600</v>
      </c>
      <c r="CA21">
        <f>VLOOKUP(A21,PFE!A$2:G$55,6,0)</f>
        <v>37913600</v>
      </c>
      <c r="CB21">
        <f>VLOOKUP(A21,PG!A$2:G$55,6,0)</f>
        <v>6419600</v>
      </c>
      <c r="CC21">
        <f>VLOOKUP(A21,PM!A$2:G$55,6,0)</f>
        <v>2677200</v>
      </c>
      <c r="CD21">
        <f>VLOOKUP(A21,QCOM!A$2:G$55,6,0)</f>
        <v>11324900</v>
      </c>
      <c r="CE21">
        <f>VLOOKUP(A21,RTN!A$2:G$55,6,0)</f>
        <v>1607300</v>
      </c>
      <c r="CF21">
        <f>VLOOKUP(A21,SBUX!A$2:G$55,6,0)</f>
        <v>3968000</v>
      </c>
      <c r="CG21">
        <f>VLOOKUP(A21,SLB!A$2:G$55,6,0)</f>
        <v>3981800</v>
      </c>
      <c r="CH21">
        <f>VLOOKUP(A21,SO!A$2:G$55,6,0)</f>
        <v>5499600</v>
      </c>
      <c r="CI21">
        <f>VLOOKUP(A21,SPG!A$2:G$55,6,0)</f>
        <v>979900</v>
      </c>
      <c r="CJ21">
        <f>VLOOKUP(A21,T!A$2:G$55,6,0)</f>
        <v>92432900</v>
      </c>
      <c r="CK21">
        <f>VLOOKUP(A21,TGT!A$2:G$55,6,0)</f>
        <v>3807200</v>
      </c>
      <c r="CL21">
        <f>VLOOKUP(A21,TWX!A$2:G$55,6,0)</f>
        <v>6399700</v>
      </c>
      <c r="CM21">
        <f>VLOOKUP(A21,TXN!A$2:G$55,6,0)</f>
        <v>6139700</v>
      </c>
      <c r="CN21">
        <f>VLOOKUP(A21,UNH!A$2:G$55,6,0)</f>
        <v>4897800</v>
      </c>
      <c r="CO21">
        <f>VLOOKUP(A21,UNP!A$2:G$55,6,0)</f>
        <v>4010700</v>
      </c>
      <c r="CP21">
        <f>VLOOKUP(A21,UPS!A$2:G$55,6,0)</f>
        <v>8905800</v>
      </c>
      <c r="CQ21">
        <f>VLOOKUP(A21,USB!A$2:G$55,6,0)</f>
        <v>5649400</v>
      </c>
      <c r="CR21">
        <f>VLOOKUP(A21,UTX!A$2:G$55,6,0)</f>
        <v>5480700</v>
      </c>
      <c r="CS21">
        <f>VLOOKUP(A21,V!A$2:G$55,6,0)</f>
        <v>2644300</v>
      </c>
      <c r="CT21">
        <f>VLOOKUP(A21,VZ!A$2:G$55,6,0)</f>
        <v>32965500</v>
      </c>
      <c r="CU21">
        <f>VLOOKUP(A21,WAG!A$2:G$55,6,0)</f>
        <v>4900000</v>
      </c>
      <c r="CV21">
        <f>VLOOKUP(A21,WFC!A$2:G$55,6,0)</f>
        <v>14511800</v>
      </c>
      <c r="CW21">
        <f>VLOOKUP(A21,WMT!A$2:G$55,6,0)</f>
        <v>6293500</v>
      </c>
    </row>
    <row r="22" spans="1:101" x14ac:dyDescent="0.25">
      <c r="A22" s="34">
        <v>41850</v>
      </c>
      <c r="B22" s="36">
        <v>33010000</v>
      </c>
      <c r="C22">
        <f>VLOOKUP(A22,ABBV!A$2:G$55,6,0)</f>
        <v>12659500</v>
      </c>
      <c r="D22">
        <f>VLOOKUP(A22,ABT!A$2:G$55,6,0)</f>
        <v>3564000</v>
      </c>
      <c r="E22">
        <f>VLOOKUP(A22,ACN!A$2:G$55,6,0)</f>
        <v>1722500</v>
      </c>
      <c r="F22">
        <f>VLOOKUP(A22,AIG!A$2:G$55,6,0)</f>
        <v>6834900</v>
      </c>
      <c r="G22">
        <f>VLOOKUP(A22,ALL!A$2:G$55,6,0)</f>
        <v>3104200</v>
      </c>
      <c r="H22">
        <f>VLOOKUP(A22,AMGN!A$2:G$55,6,0)</f>
        <v>8465700</v>
      </c>
      <c r="I22">
        <f>VLOOKUP(A22,AMZN!A$2:G$55,6,0)</f>
        <v>3969000</v>
      </c>
      <c r="J22">
        <f>VLOOKUP(A22,APA!A$2:G$55,6,0)</f>
        <v>2321300</v>
      </c>
      <c r="K22">
        <f>VLOOKUP(A22,APC!A$2:G$55,6,0)</f>
        <v>6010100</v>
      </c>
      <c r="L22">
        <f>VLOOKUP(A22,AXP!A$2:G$55,6,0)</f>
        <v>5069300</v>
      </c>
      <c r="M22">
        <f>VLOOKUP(A22,BA!A$2:G$55,6,0)</f>
        <v>4042900</v>
      </c>
      <c r="N22">
        <f>VLOOKUP(A22,BAC!A$2:G$55,6,0)</f>
        <v>83243100</v>
      </c>
      <c r="O22">
        <f>VLOOKUP(A22,BAX!A$2:G$55,6,0)</f>
        <v>2921100</v>
      </c>
      <c r="P22">
        <f>VLOOKUP(A22,BIIB!A$2:G$55,6,0)</f>
        <v>1303300</v>
      </c>
      <c r="Q22">
        <f>VLOOKUP(A22,BK!A$2:G$55,6,0)</f>
        <v>5994600</v>
      </c>
      <c r="R22">
        <f>VLOOKUP(A22,BMY!A$2:G$55,6,0)</f>
        <v>9151700</v>
      </c>
      <c r="T22">
        <f>VLOOKUP(A22,'C'!A$2:G$55,6,0)</f>
        <v>15327600</v>
      </c>
      <c r="U22">
        <f>VLOOKUP(A22,CAT!A$2:G$55,6,0)</f>
        <v>5856900</v>
      </c>
      <c r="V22">
        <f>VLOOKUP(A22,CL!A$2:G$55,6,0)</f>
        <v>3740600</v>
      </c>
      <c r="W22">
        <f>VLOOKUP(A22,CMCSA!A$2:G$55,6,0)</f>
        <v>12961500</v>
      </c>
      <c r="X22">
        <f>VLOOKUP(A22,COF!A$2:G$55,6,0)</f>
        <v>2806300</v>
      </c>
      <c r="Y22">
        <f>VLOOKUP(A22,COP!A$2:G$55,6,0)</f>
        <v>5531800</v>
      </c>
      <c r="Z22">
        <f>VLOOKUP(A22,COST!A$2:G$55,6,0)</f>
        <v>2024900</v>
      </c>
      <c r="AA22">
        <f>VLOOKUP(A22,CSCO!A$2:G$55,6,0)</f>
        <v>26119900</v>
      </c>
      <c r="AB22">
        <f>VLOOKUP(A22,CVS!A$2:G$55,6,0)</f>
        <v>4014400</v>
      </c>
      <c r="AC22">
        <f>VLOOKUP(A22,CVX!A$2:G$55,6,0)</f>
        <v>4601800</v>
      </c>
      <c r="AD22">
        <f>VLOOKUP(A22,DD!A$2:G$55,6,0)</f>
        <v>3683900</v>
      </c>
      <c r="AE22">
        <f>VLOOKUP(A22,DIS!A$2:G$55,6,0)</f>
        <v>7294200</v>
      </c>
      <c r="AF22">
        <f>VLOOKUP(A22,DOW!A$2:G$55,6,0)</f>
        <v>7250800</v>
      </c>
      <c r="AG22">
        <f>VLOOKUP(A22,DVN!A$2:G$55,6,0)</f>
        <v>2356300</v>
      </c>
      <c r="AH22">
        <f>VLOOKUP(A22,EBAY!A$2:G$55,6,0)</f>
        <v>9101900</v>
      </c>
      <c r="AI22">
        <f>VLOOKUP(A22,EMC!A$2:G$55,6,0)</f>
        <v>22454300</v>
      </c>
      <c r="AJ22">
        <f>VLOOKUP(A22,EMR!A$2:G$55,6,0)</f>
        <v>4661800</v>
      </c>
      <c r="AK22">
        <f>VLOOKUP(A22,EXC!A$2:G$55,6,0)</f>
        <v>7976600</v>
      </c>
      <c r="AL22">
        <f>VLOOKUP(A22,F!A$2:G$55,6,0)</f>
        <v>30169700</v>
      </c>
      <c r="AM22">
        <f>VLOOKUP(A22,FB!A$2:G$55,6,0)</f>
        <v>36823000</v>
      </c>
      <c r="AN22">
        <f>VLOOKUP(A22,FCX!A$2:G$55,6,0)</f>
        <v>6046000</v>
      </c>
      <c r="AO22">
        <f>VLOOKUP(A22,FDX!A$2:G$55,6,0)</f>
        <v>1390600</v>
      </c>
      <c r="AP22">
        <f>VLOOKUP(A22,FOXA!A$2:G$55,6,0)</f>
        <v>27828400</v>
      </c>
      <c r="AQ22">
        <f>VLOOKUP(A22,GD!A$2:G$55,6,0)</f>
        <v>1184200</v>
      </c>
      <c r="AR22">
        <f>VLOOKUP(A22,GE!A$2:G$55,6,0)</f>
        <v>25838200</v>
      </c>
      <c r="AS22">
        <f>VLOOKUP(A22,GILD!A$2:G$55,6,0)</f>
        <v>10753800</v>
      </c>
      <c r="AT22">
        <f>VLOOKUP(A22,GM!A$2:G$55,6,0)</f>
        <v>18941700</v>
      </c>
      <c r="AU22">
        <f>VLOOKUP(A22,GOOG!A$2:G$55,6,0)</f>
        <v>1013700</v>
      </c>
      <c r="AV22">
        <f>VLOOKUP(A22,GOOGL!A$2:G$55,6,0)</f>
        <v>1215100</v>
      </c>
      <c r="AW22">
        <f>VLOOKUP(A22,GS!A$2:G$55,6,0)</f>
        <v>2345600</v>
      </c>
      <c r="AX22">
        <f>VLOOKUP(A22,HAL!A$2:G$55,6,0)</f>
        <v>6360700</v>
      </c>
      <c r="AY22">
        <f>VLOOKUP(A22,HD!A$2:G$55,6,0)</f>
        <v>5807300</v>
      </c>
      <c r="AZ22">
        <f>VLOOKUP(A22,HON!A$2:G$55,6,0)</f>
        <v>2636800</v>
      </c>
      <c r="BA22">
        <f>VLOOKUP(A22,HPQ!A$2:G$55,6,0)</f>
        <v>9724200</v>
      </c>
      <c r="BB22">
        <f>VLOOKUP(A22,IBM!A$2:G$55,6,0)</f>
        <v>3943800</v>
      </c>
      <c r="BC22">
        <f>VLOOKUP(A22,INTC!A$2:G$55,6,0)</f>
        <v>32782800</v>
      </c>
      <c r="BD22">
        <f>VLOOKUP(A22,JNJ!A$2:G$55,6,0)</f>
        <v>5994800</v>
      </c>
      <c r="BE22">
        <f>VLOOKUP(A22,JPM!A$2:G$55,6,0)</f>
        <v>11815700</v>
      </c>
      <c r="BF22">
        <f>VLOOKUP(A22,KO!A$2:G$55,6,0)</f>
        <v>20346200</v>
      </c>
      <c r="BG22">
        <f>VLOOKUP(A22,LLY!A$2:G$55,6,0)</f>
        <v>3974000</v>
      </c>
      <c r="BH22">
        <f>VLOOKUP(A22,LMT!A$2:G$55,6,0)</f>
        <v>1077200</v>
      </c>
      <c r="BI22">
        <f>VLOOKUP(A22,LOW!A$2:G$55,6,0)</f>
        <v>4380500</v>
      </c>
      <c r="BJ22">
        <f>VLOOKUP(A22,MA!A$2:G$55,6,0)</f>
        <v>5521200</v>
      </c>
      <c r="BK22">
        <f>VLOOKUP(A22,MCD!A$2:G$55,6,0)</f>
        <v>6049800</v>
      </c>
      <c r="BL22">
        <f>VLOOKUP(A22,MDLZ!A$2:G$55,6,0)</f>
        <v>9331900</v>
      </c>
      <c r="BM22">
        <f>VLOOKUP(A22,MDT!A$2:G$55,6,0)</f>
        <v>6593100</v>
      </c>
      <c r="BN22">
        <f>VLOOKUP(A22,MET!A$2:G$55,6,0)</f>
        <v>7299800</v>
      </c>
      <c r="BO22">
        <f>VLOOKUP(A22,MMM!A$2:G$55,6,0)</f>
        <v>2458400</v>
      </c>
      <c r="BP22">
        <f>VLOOKUP(A22,MO!A$2:G$55,6,0)</f>
        <v>7223700</v>
      </c>
      <c r="BQ22">
        <f>VLOOKUP(A22,MON!A$2:G$55,6,0)</f>
        <v>4331000</v>
      </c>
      <c r="BR22">
        <f>VLOOKUP(A22,MRK!A$2:G$55,6,0)</f>
        <v>8051800</v>
      </c>
      <c r="BS22">
        <f>VLOOKUP(A22,MS!A$2:G$55,6,0)</f>
        <v>9992400</v>
      </c>
      <c r="BT22">
        <f>VLOOKUP(A22,MSFT!A$2:G$55,6,0)</f>
        <v>31921400</v>
      </c>
      <c r="BU22">
        <f>VLOOKUP(A22,NKE!A$2:G$55,6,0)</f>
        <v>4524100</v>
      </c>
      <c r="BV22">
        <f>VLOOKUP(A22,NOV!A$2:G$55,6,0)</f>
        <v>5051000</v>
      </c>
      <c r="BW22">
        <f>VLOOKUP(A22,NSC!A$2:G$55,6,0)</f>
        <v>1663400</v>
      </c>
      <c r="BX22">
        <f>VLOOKUP(A22,ORCL!A$2:G$55,6,0)</f>
        <v>11406300</v>
      </c>
      <c r="BY22">
        <f>VLOOKUP(A22,OXY!A$2:G$55,6,0)</f>
        <v>4248500</v>
      </c>
      <c r="BZ22">
        <f>VLOOKUP(A22,PEP!A$2:G$55,6,0)</f>
        <v>4250200</v>
      </c>
      <c r="CA22">
        <f>VLOOKUP(A22,PFE!A$2:G$55,6,0)</f>
        <v>33990600</v>
      </c>
      <c r="CB22">
        <f>VLOOKUP(A22,PG!A$2:G$55,6,0)</f>
        <v>8296500</v>
      </c>
      <c r="CC22">
        <f>VLOOKUP(A22,PM!A$2:G$55,6,0)</f>
        <v>4670900</v>
      </c>
      <c r="CD22">
        <f>VLOOKUP(A22,QCOM!A$2:G$55,6,0)</f>
        <v>10726100</v>
      </c>
      <c r="CE22">
        <f>VLOOKUP(A22,RTN!A$2:G$55,6,0)</f>
        <v>1285600</v>
      </c>
      <c r="CF22">
        <f>VLOOKUP(A22,SBUX!A$2:G$55,6,0)</f>
        <v>4455500</v>
      </c>
      <c r="CG22">
        <f>VLOOKUP(A22,SLB!A$2:G$55,6,0)</f>
        <v>5750400</v>
      </c>
      <c r="CH22">
        <f>VLOOKUP(A22,SO!A$2:G$55,6,0)</f>
        <v>6945200</v>
      </c>
      <c r="CI22">
        <f>VLOOKUP(A22,SPG!A$2:G$55,6,0)</f>
        <v>1217400</v>
      </c>
      <c r="CJ22">
        <f>VLOOKUP(A22,T!A$2:G$55,6,0)</f>
        <v>20446300</v>
      </c>
      <c r="CK22">
        <f>VLOOKUP(A22,TGT!A$2:G$55,6,0)</f>
        <v>3677000</v>
      </c>
      <c r="CL22">
        <f>VLOOKUP(A22,TWX!A$2:G$55,6,0)</f>
        <v>8252300</v>
      </c>
      <c r="CM22">
        <f>VLOOKUP(A22,TXN!A$2:G$55,6,0)</f>
        <v>5408200</v>
      </c>
      <c r="CN22">
        <f>VLOOKUP(A22,UNH!A$2:G$55,6,0)</f>
        <v>7171800</v>
      </c>
      <c r="CO22">
        <f>VLOOKUP(A22,UNP!A$2:G$55,6,0)</f>
        <v>4676300</v>
      </c>
      <c r="CP22">
        <f>VLOOKUP(A22,UPS!A$2:G$55,6,0)</f>
        <v>3948900</v>
      </c>
      <c r="CQ22">
        <f>VLOOKUP(A22,USB!A$2:G$55,6,0)</f>
        <v>5542000</v>
      </c>
      <c r="CR22">
        <f>VLOOKUP(A22,UTX!A$2:G$55,6,0)</f>
        <v>5977500</v>
      </c>
      <c r="CS22">
        <f>VLOOKUP(A22,V!A$2:G$55,6,0)</f>
        <v>2605700</v>
      </c>
      <c r="CT22">
        <f>VLOOKUP(A22,VZ!A$2:G$55,6,0)</f>
        <v>12769100</v>
      </c>
      <c r="CU22">
        <f>VLOOKUP(A22,WAG!A$2:G$55,6,0)</f>
        <v>4831100</v>
      </c>
      <c r="CV22">
        <f>VLOOKUP(A22,WFC!A$2:G$55,6,0)</f>
        <v>11439600</v>
      </c>
      <c r="CW22">
        <f>VLOOKUP(A22,WMT!A$2:G$55,6,0)</f>
        <v>9977200</v>
      </c>
    </row>
    <row r="23" spans="1:101" x14ac:dyDescent="0.25">
      <c r="A23" s="34">
        <v>41851</v>
      </c>
      <c r="B23" s="36">
        <v>56843000</v>
      </c>
      <c r="C23">
        <f>VLOOKUP(A23,ABBV!A$2:G$55,6,0)</f>
        <v>15479900</v>
      </c>
      <c r="D23">
        <f>VLOOKUP(A23,ABT!A$2:G$55,6,0)</f>
        <v>4658700</v>
      </c>
      <c r="E23">
        <f>VLOOKUP(A23,ACN!A$2:G$55,6,0)</f>
        <v>2745800</v>
      </c>
      <c r="F23">
        <f>VLOOKUP(A23,AIG!A$2:G$55,6,0)</f>
        <v>8272100</v>
      </c>
      <c r="G23">
        <f>VLOOKUP(A23,ALL!A$2:G$55,6,0)</f>
        <v>6258600</v>
      </c>
      <c r="H23">
        <f>VLOOKUP(A23,AMGN!A$2:G$55,6,0)</f>
        <v>4839300</v>
      </c>
      <c r="I23">
        <f>VLOOKUP(A23,AMZN!A$2:G$55,6,0)</f>
        <v>5192000</v>
      </c>
      <c r="J23">
        <f>VLOOKUP(A23,APA!A$2:G$55,6,0)</f>
        <v>6190300</v>
      </c>
      <c r="K23">
        <f>VLOOKUP(A23,APC!A$2:G$55,6,0)</f>
        <v>6913900</v>
      </c>
      <c r="L23">
        <f>VLOOKUP(A23,AXP!A$2:G$55,6,0)</f>
        <v>7561100</v>
      </c>
      <c r="M23">
        <f>VLOOKUP(A23,BA!A$2:G$55,6,0)</f>
        <v>5588800</v>
      </c>
      <c r="N23">
        <f>VLOOKUP(A23,BAC!A$2:G$55,6,0)</f>
        <v>70677300</v>
      </c>
      <c r="O23">
        <f>VLOOKUP(A23,BAX!A$2:G$55,6,0)</f>
        <v>3411400</v>
      </c>
      <c r="P23">
        <f>VLOOKUP(A23,BIIB!A$2:G$55,6,0)</f>
        <v>1168500</v>
      </c>
      <c r="Q23">
        <f>VLOOKUP(A23,BK!A$2:G$55,6,0)</f>
        <v>8017400</v>
      </c>
      <c r="R23">
        <f>VLOOKUP(A23,BMY!A$2:G$55,6,0)</f>
        <v>8216200</v>
      </c>
      <c r="T23">
        <f>VLOOKUP(A23,'C'!A$2:G$55,6,0)</f>
        <v>23550900</v>
      </c>
      <c r="U23">
        <f>VLOOKUP(A23,CAT!A$2:G$55,6,0)</f>
        <v>6711400</v>
      </c>
      <c r="V23">
        <f>VLOOKUP(A23,CL!A$2:G$55,6,0)</f>
        <v>6849300</v>
      </c>
      <c r="W23">
        <f>VLOOKUP(A23,CMCSA!A$2:G$55,6,0)</f>
        <v>15263400</v>
      </c>
      <c r="X23">
        <f>VLOOKUP(A23,COF!A$2:G$55,6,0)</f>
        <v>3243200</v>
      </c>
      <c r="Y23">
        <f>VLOOKUP(A23,COP!A$2:G$55,6,0)</f>
        <v>7106000</v>
      </c>
      <c r="Z23">
        <f>VLOOKUP(A23,COST!A$2:G$55,6,0)</f>
        <v>2476800</v>
      </c>
      <c r="AA23">
        <f>VLOOKUP(A23,CSCO!A$2:G$55,6,0)</f>
        <v>28219900</v>
      </c>
      <c r="AB23">
        <f>VLOOKUP(A23,CVS!A$2:G$55,6,0)</f>
        <v>4385900</v>
      </c>
      <c r="AC23">
        <f>VLOOKUP(A23,CVX!A$2:G$55,6,0)</f>
        <v>7973700</v>
      </c>
      <c r="AD23">
        <f>VLOOKUP(A23,DD!A$2:G$55,6,0)</f>
        <v>4844400</v>
      </c>
      <c r="AE23">
        <f>VLOOKUP(A23,DIS!A$2:G$55,6,0)</f>
        <v>6342400</v>
      </c>
      <c r="AF23">
        <f>VLOOKUP(A23,DOW!A$2:G$55,6,0)</f>
        <v>8559600</v>
      </c>
      <c r="AG23">
        <f>VLOOKUP(A23,DVN!A$2:G$55,6,0)</f>
        <v>2800500</v>
      </c>
      <c r="AH23">
        <f>VLOOKUP(A23,EBAY!A$2:G$55,6,0)</f>
        <v>11514200</v>
      </c>
      <c r="AI23">
        <f>VLOOKUP(A23,EMC!A$2:G$55,6,0)</f>
        <v>18837700</v>
      </c>
      <c r="AJ23">
        <f>VLOOKUP(A23,EMR!A$2:G$55,6,0)</f>
        <v>5419800</v>
      </c>
      <c r="AK23">
        <f>VLOOKUP(A23,EXC!A$2:G$55,6,0)</f>
        <v>9236100</v>
      </c>
      <c r="AL23">
        <f>VLOOKUP(A23,F!A$2:G$55,6,0)</f>
        <v>34170600</v>
      </c>
      <c r="AM23">
        <f>VLOOKUP(A23,FB!A$2:G$55,6,0)</f>
        <v>43909200</v>
      </c>
      <c r="AN23">
        <f>VLOOKUP(A23,FCX!A$2:G$55,6,0)</f>
        <v>8271500</v>
      </c>
      <c r="AO23">
        <f>VLOOKUP(A23,FDX!A$2:G$55,6,0)</f>
        <v>1519800</v>
      </c>
      <c r="AP23">
        <f>VLOOKUP(A23,FOXA!A$2:G$55,6,0)</f>
        <v>21844600</v>
      </c>
      <c r="AQ23">
        <f>VLOOKUP(A23,GD!A$2:G$55,6,0)</f>
        <v>2168100</v>
      </c>
      <c r="AR23">
        <f>VLOOKUP(A23,GE!A$2:G$55,6,0)</f>
        <v>37995200</v>
      </c>
      <c r="AS23">
        <f>VLOOKUP(A23,GILD!A$2:G$55,6,0)</f>
        <v>13429400</v>
      </c>
      <c r="AT23">
        <f>VLOOKUP(A23,GM!A$2:G$55,6,0)</f>
        <v>13408400</v>
      </c>
      <c r="AU23">
        <f>VLOOKUP(A23,GOOG!A$2:G$55,6,0)</f>
        <v>2097000</v>
      </c>
      <c r="AV23">
        <f>VLOOKUP(A23,GOOGL!A$2:G$55,6,0)</f>
        <v>2309500</v>
      </c>
      <c r="AW23">
        <f>VLOOKUP(A23,GS!A$2:G$55,6,0)</f>
        <v>3797600</v>
      </c>
      <c r="AX23">
        <f>VLOOKUP(A23,HAL!A$2:G$55,6,0)</f>
        <v>9979400</v>
      </c>
      <c r="AY23">
        <f>VLOOKUP(A23,HD!A$2:G$55,6,0)</f>
        <v>5748900</v>
      </c>
      <c r="AZ23">
        <f>VLOOKUP(A23,HON!A$2:G$55,6,0)</f>
        <v>4108500</v>
      </c>
      <c r="BA23">
        <f>VLOOKUP(A23,HPQ!A$2:G$55,6,0)</f>
        <v>10709200</v>
      </c>
      <c r="BB23">
        <f>VLOOKUP(A23,IBM!A$2:G$55,6,0)</f>
        <v>4207500</v>
      </c>
      <c r="BC23">
        <f>VLOOKUP(A23,INTC!A$2:G$55,6,0)</f>
        <v>35431200</v>
      </c>
      <c r="BD23">
        <f>VLOOKUP(A23,JNJ!A$2:G$55,6,0)</f>
        <v>9141500</v>
      </c>
      <c r="BE23">
        <f>VLOOKUP(A23,JPM!A$2:G$55,6,0)</f>
        <v>15955900</v>
      </c>
      <c r="BF23">
        <f>VLOOKUP(A23,KO!A$2:G$55,6,0)</f>
        <v>15434700</v>
      </c>
      <c r="BG23">
        <f>VLOOKUP(A23,LLY!A$2:G$55,6,0)</f>
        <v>5485600</v>
      </c>
      <c r="BH23">
        <f>VLOOKUP(A23,LMT!A$2:G$55,6,0)</f>
        <v>1935900</v>
      </c>
      <c r="BI23">
        <f>VLOOKUP(A23,LOW!A$2:G$55,6,0)</f>
        <v>4740700</v>
      </c>
      <c r="BJ23">
        <f>VLOOKUP(A23,MA!A$2:G$55,6,0)</f>
        <v>7393700</v>
      </c>
      <c r="BK23">
        <f>VLOOKUP(A23,MCD!A$2:G$55,6,0)</f>
        <v>6826000</v>
      </c>
      <c r="BL23">
        <f>VLOOKUP(A23,MDLZ!A$2:G$55,6,0)</f>
        <v>8907300</v>
      </c>
      <c r="BM23">
        <f>VLOOKUP(A23,MDT!A$2:G$55,6,0)</f>
        <v>6767900</v>
      </c>
      <c r="BN23">
        <f>VLOOKUP(A23,MET!A$2:G$55,6,0)</f>
        <v>10021800</v>
      </c>
      <c r="BO23">
        <f>VLOOKUP(A23,MMM!A$2:G$55,6,0)</f>
        <v>3571100</v>
      </c>
      <c r="BP23">
        <f>VLOOKUP(A23,MO!A$2:G$55,6,0)</f>
        <v>7194000</v>
      </c>
      <c r="BQ23">
        <f>VLOOKUP(A23,MON!A$2:G$55,6,0)</f>
        <v>3704800</v>
      </c>
      <c r="BR23">
        <f>VLOOKUP(A23,MRK!A$2:G$55,6,0)</f>
        <v>10119000</v>
      </c>
      <c r="BS23">
        <f>VLOOKUP(A23,MS!A$2:G$55,6,0)</f>
        <v>9131500</v>
      </c>
      <c r="BT23">
        <f>VLOOKUP(A23,MSFT!A$2:G$55,6,0)</f>
        <v>31537500</v>
      </c>
      <c r="BU23">
        <f>VLOOKUP(A23,NKE!A$2:G$55,6,0)</f>
        <v>3898400</v>
      </c>
      <c r="BV23">
        <f>VLOOKUP(A23,NOV!A$2:G$55,6,0)</f>
        <v>4249200</v>
      </c>
      <c r="BW23">
        <f>VLOOKUP(A23,NSC!A$2:G$55,6,0)</f>
        <v>1341700</v>
      </c>
      <c r="BX23">
        <f>VLOOKUP(A23,ORCL!A$2:G$55,6,0)</f>
        <v>13689500</v>
      </c>
      <c r="BY23">
        <f>VLOOKUP(A23,OXY!A$2:G$55,6,0)</f>
        <v>5444300</v>
      </c>
      <c r="BZ23">
        <f>VLOOKUP(A23,PEP!A$2:G$55,6,0)</f>
        <v>4825900</v>
      </c>
      <c r="CA23">
        <f>VLOOKUP(A23,PFE!A$2:G$55,6,0)</f>
        <v>38348200</v>
      </c>
      <c r="CB23">
        <f>VLOOKUP(A23,PG!A$2:G$55,6,0)</f>
        <v>11235600</v>
      </c>
      <c r="CC23">
        <f>VLOOKUP(A23,PM!A$2:G$55,6,0)</f>
        <v>4633400</v>
      </c>
      <c r="CD23">
        <f>VLOOKUP(A23,QCOM!A$2:G$55,6,0)</f>
        <v>15257100</v>
      </c>
      <c r="CE23">
        <f>VLOOKUP(A23,RTN!A$2:G$55,6,0)</f>
        <v>1928000</v>
      </c>
      <c r="CF23">
        <f>VLOOKUP(A23,SBUX!A$2:G$55,6,0)</f>
        <v>4073000</v>
      </c>
      <c r="CG23">
        <f>VLOOKUP(A23,SLB!A$2:G$55,6,0)</f>
        <v>7561900</v>
      </c>
      <c r="CH23">
        <f>VLOOKUP(A23,SO!A$2:G$55,6,0)</f>
        <v>5675300</v>
      </c>
      <c r="CI23">
        <f>VLOOKUP(A23,SPG!A$2:G$55,6,0)</f>
        <v>1293300</v>
      </c>
      <c r="CJ23">
        <f>VLOOKUP(A23,T!A$2:G$55,6,0)</f>
        <v>34603600</v>
      </c>
      <c r="CK23">
        <f>VLOOKUP(A23,TGT!A$2:G$55,6,0)</f>
        <v>7067900</v>
      </c>
      <c r="CL23">
        <f>VLOOKUP(A23,TWX!A$2:G$55,6,0)</f>
        <v>5023200</v>
      </c>
      <c r="CM23">
        <f>VLOOKUP(A23,TXN!A$2:G$55,6,0)</f>
        <v>8564900</v>
      </c>
      <c r="CN23">
        <f>VLOOKUP(A23,UNH!A$2:G$55,6,0)</f>
        <v>5345400</v>
      </c>
      <c r="CO23">
        <f>VLOOKUP(A23,UNP!A$2:G$55,6,0)</f>
        <v>4492200</v>
      </c>
      <c r="CP23">
        <f>VLOOKUP(A23,UPS!A$2:G$55,6,0)</f>
        <v>3853400</v>
      </c>
      <c r="CQ23">
        <f>VLOOKUP(A23,USB!A$2:G$55,6,0)</f>
        <v>8403000</v>
      </c>
      <c r="CR23">
        <f>VLOOKUP(A23,UTX!A$2:G$55,6,0)</f>
        <v>6528500</v>
      </c>
      <c r="CS23">
        <f>VLOOKUP(A23,V!A$2:G$55,6,0)</f>
        <v>3468500</v>
      </c>
      <c r="CT23">
        <f>VLOOKUP(A23,VZ!A$2:G$55,6,0)</f>
        <v>21255000</v>
      </c>
      <c r="CU23">
        <f>VLOOKUP(A23,WAG!A$2:G$55,6,0)</f>
        <v>9358900</v>
      </c>
      <c r="CV23">
        <f>VLOOKUP(A23,WFC!A$2:G$55,6,0)</f>
        <v>19638900</v>
      </c>
      <c r="CW23">
        <f>VLOOKUP(A23,WMT!A$2:G$55,6,0)</f>
        <v>9631600</v>
      </c>
    </row>
    <row r="24" spans="1:101" x14ac:dyDescent="0.25">
      <c r="A24" s="34">
        <v>41852</v>
      </c>
      <c r="B24" s="36">
        <v>48511000</v>
      </c>
      <c r="C24">
        <f>VLOOKUP(A24,ABBV!A$2:G$55,6,0)</f>
        <v>11593200</v>
      </c>
      <c r="D24">
        <f>VLOOKUP(A24,ABT!A$2:G$55,6,0)</f>
        <v>3905900</v>
      </c>
      <c r="E24">
        <f>VLOOKUP(A24,ACN!A$2:G$55,6,0)</f>
        <v>2402700</v>
      </c>
      <c r="F24">
        <f>VLOOKUP(A24,AIG!A$2:G$55,6,0)</f>
        <v>9385500</v>
      </c>
      <c r="G24">
        <f>VLOOKUP(A24,ALL!A$2:G$55,6,0)</f>
        <v>3260300</v>
      </c>
      <c r="H24">
        <f>VLOOKUP(A24,AMGN!A$2:G$55,6,0)</f>
        <v>4542700</v>
      </c>
      <c r="I24">
        <f>VLOOKUP(A24,AMZN!A$2:G$55,6,0)</f>
        <v>7441500</v>
      </c>
      <c r="J24">
        <f>VLOOKUP(A24,APA!A$2:G$55,6,0)</f>
        <v>4280200</v>
      </c>
      <c r="K24">
        <f>VLOOKUP(A24,APC!A$2:G$55,6,0)</f>
        <v>5191000</v>
      </c>
      <c r="L24">
        <f>VLOOKUP(A24,AXP!A$2:G$55,6,0)</f>
        <v>12258300</v>
      </c>
      <c r="M24">
        <f>VLOOKUP(A24,BA!A$2:G$55,6,0)</f>
        <v>5852700</v>
      </c>
      <c r="N24">
        <f>VLOOKUP(A24,BAC!A$2:G$55,6,0)</f>
        <v>115978900</v>
      </c>
      <c r="O24">
        <f>VLOOKUP(A24,BAX!A$2:G$55,6,0)</f>
        <v>2300000</v>
      </c>
      <c r="P24">
        <f>VLOOKUP(A24,BIIB!A$2:G$55,6,0)</f>
        <v>1319300</v>
      </c>
      <c r="Q24">
        <f>VLOOKUP(A24,BK!A$2:G$55,6,0)</f>
        <v>7607700</v>
      </c>
      <c r="R24">
        <f>VLOOKUP(A24,BMY!A$2:G$55,6,0)</f>
        <v>7957300</v>
      </c>
      <c r="T24">
        <f>VLOOKUP(A24,'C'!A$2:G$55,6,0)</f>
        <v>21822700</v>
      </c>
      <c r="U24">
        <f>VLOOKUP(A24,CAT!A$2:G$55,6,0)</f>
        <v>6011900</v>
      </c>
      <c r="V24">
        <f>VLOOKUP(A24,CL!A$2:G$55,6,0)</f>
        <v>5261900</v>
      </c>
      <c r="W24">
        <f>VLOOKUP(A24,CMCSA!A$2:G$55,6,0)</f>
        <v>9951700</v>
      </c>
      <c r="X24">
        <f>VLOOKUP(A24,COF!A$2:G$55,6,0)</f>
        <v>4016700</v>
      </c>
      <c r="Y24">
        <f>VLOOKUP(A24,COP!A$2:G$55,6,0)</f>
        <v>9530200</v>
      </c>
      <c r="Z24">
        <f>VLOOKUP(A24,COST!A$2:G$55,6,0)</f>
        <v>2089500</v>
      </c>
      <c r="AA24">
        <f>VLOOKUP(A24,CSCO!A$2:G$55,6,0)</f>
        <v>28609200</v>
      </c>
      <c r="AB24">
        <f>VLOOKUP(A24,CVS!A$2:G$55,6,0)</f>
        <v>4483000</v>
      </c>
      <c r="AC24">
        <f>VLOOKUP(A24,CVX!A$2:G$55,6,0)</f>
        <v>7377800</v>
      </c>
      <c r="AD24">
        <f>VLOOKUP(A24,DD!A$2:G$55,6,0)</f>
        <v>3771300</v>
      </c>
      <c r="AE24">
        <f>VLOOKUP(A24,DIS!A$2:G$55,6,0)</f>
        <v>6759200</v>
      </c>
      <c r="AF24">
        <f>VLOOKUP(A24,DOW!A$2:G$55,6,0)</f>
        <v>7002000</v>
      </c>
      <c r="AG24">
        <f>VLOOKUP(A24,DVN!A$2:G$55,6,0)</f>
        <v>2913800</v>
      </c>
      <c r="AH24">
        <f>VLOOKUP(A24,EBAY!A$2:G$55,6,0)</f>
        <v>12844200</v>
      </c>
      <c r="AI24">
        <f>VLOOKUP(A24,EMC!A$2:G$55,6,0)</f>
        <v>20923200</v>
      </c>
      <c r="AJ24">
        <f>VLOOKUP(A24,EMR!A$2:G$55,6,0)</f>
        <v>4900800</v>
      </c>
      <c r="AK24">
        <f>VLOOKUP(A24,EXC!A$2:G$55,6,0)</f>
        <v>9734300</v>
      </c>
      <c r="AL24">
        <f>VLOOKUP(A24,F!A$2:G$55,6,0)</f>
        <v>33678000</v>
      </c>
      <c r="AM24">
        <f>VLOOKUP(A24,FB!A$2:G$55,6,0)</f>
        <v>43456400</v>
      </c>
      <c r="AN24">
        <f>VLOOKUP(A24,FCX!A$2:G$55,6,0)</f>
        <v>9964200</v>
      </c>
      <c r="AO24">
        <f>VLOOKUP(A24,FDX!A$2:G$55,6,0)</f>
        <v>1709100</v>
      </c>
      <c r="AP24">
        <f>VLOOKUP(A24,FOXA!A$2:G$55,6,0)</f>
        <v>16580700</v>
      </c>
      <c r="AQ24">
        <f>VLOOKUP(A24,GD!A$2:G$55,6,0)</f>
        <v>1540200</v>
      </c>
      <c r="AR24">
        <f>VLOOKUP(A24,GE!A$2:G$55,6,0)</f>
        <v>40198800</v>
      </c>
      <c r="AS24">
        <f>VLOOKUP(A24,GILD!A$2:G$55,6,0)</f>
        <v>11992900</v>
      </c>
      <c r="AT24">
        <f>VLOOKUP(A24,GM!A$2:G$55,6,0)</f>
        <v>15343800</v>
      </c>
      <c r="AU24">
        <f>VLOOKUP(A24,GOOG!A$2:G$55,6,0)</f>
        <v>1949900</v>
      </c>
      <c r="AV24">
        <f>VLOOKUP(A24,GOOGL!A$2:G$55,6,0)</f>
        <v>2213300</v>
      </c>
      <c r="AW24">
        <f>VLOOKUP(A24,GS!A$2:G$55,6,0)</f>
        <v>3140000</v>
      </c>
      <c r="AX24">
        <f>VLOOKUP(A24,HAL!A$2:G$55,6,0)</f>
        <v>9411900</v>
      </c>
      <c r="AY24">
        <f>VLOOKUP(A24,HD!A$2:G$55,6,0)</f>
        <v>8708000</v>
      </c>
      <c r="AZ24">
        <f>VLOOKUP(A24,HON!A$2:G$55,6,0)</f>
        <v>4633300</v>
      </c>
      <c r="BA24">
        <f>VLOOKUP(A24,HPQ!A$2:G$55,6,0)</f>
        <v>11871500</v>
      </c>
      <c r="BB24">
        <f>VLOOKUP(A24,IBM!A$2:G$55,6,0)</f>
        <v>5181100</v>
      </c>
      <c r="BC24">
        <f>VLOOKUP(A24,INTC!A$2:G$55,6,0)</f>
        <v>33472400</v>
      </c>
      <c r="BD24">
        <f>VLOOKUP(A24,JNJ!A$2:G$55,6,0)</f>
        <v>8610700</v>
      </c>
      <c r="BE24">
        <f>VLOOKUP(A24,JPM!A$2:G$55,6,0)</f>
        <v>23915400</v>
      </c>
      <c r="BF24">
        <f>VLOOKUP(A24,KO!A$2:G$55,6,0)</f>
        <v>13566700</v>
      </c>
      <c r="BG24">
        <f>VLOOKUP(A24,LLY!A$2:G$55,6,0)</f>
        <v>6884700</v>
      </c>
      <c r="BH24">
        <f>VLOOKUP(A24,LMT!A$2:G$55,6,0)</f>
        <v>1535900</v>
      </c>
      <c r="BI24">
        <f>VLOOKUP(A24,LOW!A$2:G$55,6,0)</f>
        <v>5231200</v>
      </c>
      <c r="BJ24">
        <f>VLOOKUP(A24,MA!A$2:G$55,6,0)</f>
        <v>6029500</v>
      </c>
      <c r="BK24">
        <f>VLOOKUP(A24,MCD!A$2:G$55,6,0)</f>
        <v>4576400</v>
      </c>
      <c r="BL24">
        <f>VLOOKUP(A24,MDLZ!A$2:G$55,6,0)</f>
        <v>6496200</v>
      </c>
      <c r="BM24">
        <f>VLOOKUP(A24,MDT!A$2:G$55,6,0)</f>
        <v>6122500</v>
      </c>
      <c r="BN24">
        <f>VLOOKUP(A24,MET!A$2:G$55,6,0)</f>
        <v>6769700</v>
      </c>
      <c r="BO24">
        <f>VLOOKUP(A24,MMM!A$2:G$55,6,0)</f>
        <v>2505800</v>
      </c>
      <c r="BP24">
        <f>VLOOKUP(A24,MO!A$2:G$55,6,0)</f>
        <v>6192600</v>
      </c>
      <c r="BQ24">
        <f>VLOOKUP(A24,MON!A$2:G$55,6,0)</f>
        <v>4206600</v>
      </c>
      <c r="BR24">
        <f>VLOOKUP(A24,MRK!A$2:G$55,6,0)</f>
        <v>10141000</v>
      </c>
      <c r="BS24">
        <f>VLOOKUP(A24,MS!A$2:G$55,6,0)</f>
        <v>11539300</v>
      </c>
      <c r="BT24">
        <f>VLOOKUP(A24,MSFT!A$2:G$55,6,0)</f>
        <v>31170300</v>
      </c>
      <c r="BU24">
        <f>VLOOKUP(A24,NKE!A$2:G$55,6,0)</f>
        <v>2912900</v>
      </c>
      <c r="BV24">
        <f>VLOOKUP(A24,NOV!A$2:G$55,6,0)</f>
        <v>3567000</v>
      </c>
      <c r="BW24">
        <f>VLOOKUP(A24,NSC!A$2:G$55,6,0)</f>
        <v>1581100</v>
      </c>
      <c r="BX24">
        <f>VLOOKUP(A24,ORCL!A$2:G$55,6,0)</f>
        <v>15074700</v>
      </c>
      <c r="BY24">
        <f>VLOOKUP(A24,OXY!A$2:G$55,6,0)</f>
        <v>5187600</v>
      </c>
      <c r="BZ24">
        <f>VLOOKUP(A24,PEP!A$2:G$55,6,0)</f>
        <v>3987700</v>
      </c>
      <c r="CA24">
        <f>VLOOKUP(A24,PFE!A$2:G$55,6,0)</f>
        <v>31341600</v>
      </c>
      <c r="CB24">
        <f>VLOOKUP(A24,PG!A$2:G$55,6,0)</f>
        <v>18110700</v>
      </c>
      <c r="CC24">
        <f>VLOOKUP(A24,PM!A$2:G$55,6,0)</f>
        <v>3956500</v>
      </c>
      <c r="CD24">
        <f>VLOOKUP(A24,QCOM!A$2:G$55,6,0)</f>
        <v>15202500</v>
      </c>
      <c r="CE24">
        <f>VLOOKUP(A24,RTN!A$2:G$55,6,0)</f>
        <v>1671600</v>
      </c>
      <c r="CF24">
        <f>VLOOKUP(A24,SBUX!A$2:G$55,6,0)</f>
        <v>3898900</v>
      </c>
      <c r="CG24">
        <f>VLOOKUP(A24,SLB!A$2:G$55,6,0)</f>
        <v>6045800</v>
      </c>
      <c r="CH24">
        <f>VLOOKUP(A24,SO!A$2:G$55,6,0)</f>
        <v>4193700</v>
      </c>
      <c r="CI24">
        <f>VLOOKUP(A24,SPG!A$2:G$55,6,0)</f>
        <v>1428500</v>
      </c>
      <c r="CJ24">
        <f>VLOOKUP(A24,T!A$2:G$55,6,0)</f>
        <v>23962400</v>
      </c>
      <c r="CK24">
        <f>VLOOKUP(A24,TGT!A$2:G$55,6,0)</f>
        <v>4011800</v>
      </c>
      <c r="CL24">
        <f>VLOOKUP(A24,TWX!A$2:G$55,6,0)</f>
        <v>5074900</v>
      </c>
      <c r="CM24">
        <f>VLOOKUP(A24,TXN!A$2:G$55,6,0)</f>
        <v>7316800</v>
      </c>
      <c r="CN24">
        <f>VLOOKUP(A24,UNH!A$2:G$55,6,0)</f>
        <v>4625100</v>
      </c>
      <c r="CO24">
        <f>VLOOKUP(A24,UNP!A$2:G$55,6,0)</f>
        <v>4207200</v>
      </c>
      <c r="CP24">
        <f>VLOOKUP(A24,UPS!A$2:G$55,6,0)</f>
        <v>3345700</v>
      </c>
      <c r="CQ24">
        <f>VLOOKUP(A24,USB!A$2:G$55,6,0)</f>
        <v>8252000</v>
      </c>
      <c r="CR24">
        <f>VLOOKUP(A24,UTX!A$2:G$55,6,0)</f>
        <v>4731300</v>
      </c>
      <c r="CS24">
        <f>VLOOKUP(A24,V!A$2:G$55,6,0)</f>
        <v>3525000</v>
      </c>
      <c r="CT24">
        <f>VLOOKUP(A24,VZ!A$2:G$55,6,0)</f>
        <v>18254100</v>
      </c>
      <c r="CU24">
        <f>VLOOKUP(A24,WAG!A$2:G$55,6,0)</f>
        <v>8120600</v>
      </c>
      <c r="CV24">
        <f>VLOOKUP(A24,WFC!A$2:G$55,6,0)</f>
        <v>18813700</v>
      </c>
      <c r="CW24">
        <f>VLOOKUP(A24,WMT!A$2:G$55,6,0)</f>
        <v>8223900</v>
      </c>
    </row>
    <row r="25" spans="1:101" x14ac:dyDescent="0.25">
      <c r="A25" s="34">
        <v>41855</v>
      </c>
      <c r="B25" s="36">
        <v>39958000</v>
      </c>
      <c r="C25">
        <f>VLOOKUP(A25,ABBV!A$2:G$55,6,0)</f>
        <v>10440600</v>
      </c>
      <c r="D25">
        <f>VLOOKUP(A25,ABT!A$2:G$55,6,0)</f>
        <v>3639100</v>
      </c>
      <c r="E25">
        <f>VLOOKUP(A25,ACN!A$2:G$55,6,0)</f>
        <v>2160900</v>
      </c>
      <c r="F25">
        <f>VLOOKUP(A25,AIG!A$2:G$55,6,0)</f>
        <v>8888200</v>
      </c>
      <c r="G25">
        <f>VLOOKUP(A25,ALL!A$2:G$55,6,0)</f>
        <v>5669000</v>
      </c>
      <c r="H25">
        <f>VLOOKUP(A25,AMGN!A$2:G$55,6,0)</f>
        <v>6403700</v>
      </c>
      <c r="I25">
        <f>VLOOKUP(A25,AMZN!A$2:G$55,6,0)</f>
        <v>4200900</v>
      </c>
      <c r="J25">
        <f>VLOOKUP(A25,APA!A$2:G$55,6,0)</f>
        <v>3933500</v>
      </c>
      <c r="K25">
        <f>VLOOKUP(A25,APC!A$2:G$55,6,0)</f>
        <v>6785700</v>
      </c>
      <c r="L25">
        <f>VLOOKUP(A25,AXP!A$2:G$55,6,0)</f>
        <v>5743800</v>
      </c>
      <c r="M25">
        <f>VLOOKUP(A25,BA!A$2:G$55,6,0)</f>
        <v>4671100</v>
      </c>
      <c r="N25">
        <f>VLOOKUP(A25,BAC!A$2:G$55,6,0)</f>
        <v>51954700</v>
      </c>
      <c r="O25">
        <f>VLOOKUP(A25,BAX!A$2:G$55,6,0)</f>
        <v>2827600</v>
      </c>
      <c r="P25">
        <f>VLOOKUP(A25,BIIB!A$2:G$55,6,0)</f>
        <v>989300</v>
      </c>
      <c r="Q25">
        <f>VLOOKUP(A25,BK!A$2:G$55,6,0)</f>
        <v>6041300</v>
      </c>
      <c r="R25">
        <f>VLOOKUP(A25,BMY!A$2:G$55,6,0)</f>
        <v>6006600</v>
      </c>
      <c r="T25">
        <f>VLOOKUP(A25,'C'!A$2:G$55,6,0)</f>
        <v>14277000</v>
      </c>
      <c r="U25">
        <f>VLOOKUP(A25,CAT!A$2:G$55,6,0)</f>
        <v>5164700</v>
      </c>
      <c r="V25">
        <f>VLOOKUP(A25,CL!A$2:G$55,6,0)</f>
        <v>4342400</v>
      </c>
      <c r="W25">
        <f>VLOOKUP(A25,CMCSA!A$2:G$55,6,0)</f>
        <v>10926600</v>
      </c>
      <c r="X25">
        <f>VLOOKUP(A25,COF!A$2:G$55,6,0)</f>
        <v>5056900</v>
      </c>
      <c r="Y25">
        <f>VLOOKUP(A25,COP!A$2:G$55,6,0)</f>
        <v>5609600</v>
      </c>
      <c r="Z25">
        <f>VLOOKUP(A25,COST!A$2:G$55,6,0)</f>
        <v>1683800</v>
      </c>
      <c r="AA25">
        <f>VLOOKUP(A25,CSCO!A$2:G$55,6,0)</f>
        <v>17252200</v>
      </c>
      <c r="AB25">
        <f>VLOOKUP(A25,CVS!A$2:G$55,6,0)</f>
        <v>4396200</v>
      </c>
      <c r="AC25">
        <f>VLOOKUP(A25,CVX!A$2:G$55,6,0)</f>
        <v>7360000</v>
      </c>
      <c r="AD25">
        <f>VLOOKUP(A25,DD!A$2:G$55,6,0)</f>
        <v>3299400</v>
      </c>
      <c r="AE25">
        <f>VLOOKUP(A25,DIS!A$2:G$55,6,0)</f>
        <v>8250200</v>
      </c>
      <c r="AF25">
        <f>VLOOKUP(A25,DOW!A$2:G$55,6,0)</f>
        <v>6038600</v>
      </c>
      <c r="AG25">
        <f>VLOOKUP(A25,DVN!A$2:G$55,6,0)</f>
        <v>3235900</v>
      </c>
      <c r="AH25">
        <f>VLOOKUP(A25,EBAY!A$2:G$55,6,0)</f>
        <v>11999300</v>
      </c>
      <c r="AI25">
        <f>VLOOKUP(A25,EMC!A$2:G$55,6,0)</f>
        <v>16580100</v>
      </c>
      <c r="AJ25">
        <f>VLOOKUP(A25,EMR!A$2:G$55,6,0)</f>
        <v>3924500</v>
      </c>
      <c r="AK25">
        <f>VLOOKUP(A25,EXC!A$2:G$55,6,0)</f>
        <v>10079600</v>
      </c>
      <c r="AL25">
        <f>VLOOKUP(A25,F!A$2:G$55,6,0)</f>
        <v>24871300</v>
      </c>
      <c r="AM25">
        <f>VLOOKUP(A25,FB!A$2:G$55,6,0)</f>
        <v>30656900</v>
      </c>
      <c r="AN25">
        <f>VLOOKUP(A25,FCX!A$2:G$55,6,0)</f>
        <v>6342900</v>
      </c>
      <c r="AO25">
        <f>VLOOKUP(A25,FDX!A$2:G$55,6,0)</f>
        <v>1444000</v>
      </c>
      <c r="AP25">
        <f>VLOOKUP(A25,FOXA!A$2:G$55,6,0)</f>
        <v>18642400</v>
      </c>
      <c r="AQ25">
        <f>VLOOKUP(A25,GD!A$2:G$55,6,0)</f>
        <v>1814900</v>
      </c>
      <c r="AR25">
        <f>VLOOKUP(A25,GE!A$2:G$55,6,0)</f>
        <v>28410300</v>
      </c>
      <c r="AS25">
        <f>VLOOKUP(A25,GILD!A$2:G$55,6,0)</f>
        <v>11030000</v>
      </c>
      <c r="AT25">
        <f>VLOOKUP(A25,GM!A$2:G$55,6,0)</f>
        <v>11486300</v>
      </c>
      <c r="AU25">
        <f>VLOOKUP(A25,GOOG!A$2:G$55,6,0)</f>
        <v>1423400</v>
      </c>
      <c r="AV25">
        <f>VLOOKUP(A25,GOOGL!A$2:G$55,6,0)</f>
        <v>1519400</v>
      </c>
      <c r="AW25">
        <f>VLOOKUP(A25,GS!A$2:G$55,6,0)</f>
        <v>2103900</v>
      </c>
      <c r="AX25">
        <f>VLOOKUP(A25,HAL!A$2:G$55,6,0)</f>
        <v>7051900</v>
      </c>
      <c r="AY25">
        <f>VLOOKUP(A25,HD!A$2:G$55,6,0)</f>
        <v>7025000</v>
      </c>
      <c r="AZ25">
        <f>VLOOKUP(A25,HON!A$2:G$55,6,0)</f>
        <v>3324700</v>
      </c>
      <c r="BA25">
        <f>VLOOKUP(A25,HPQ!A$2:G$55,6,0)</f>
        <v>6478400</v>
      </c>
      <c r="BB25">
        <f>VLOOKUP(A25,IBM!A$2:G$55,6,0)</f>
        <v>2125900</v>
      </c>
      <c r="BC25">
        <f>VLOOKUP(A25,INTC!A$2:G$55,6,0)</f>
        <v>27250100</v>
      </c>
      <c r="BD25">
        <f>VLOOKUP(A25,JNJ!A$2:G$55,6,0)</f>
        <v>6790800</v>
      </c>
      <c r="BE25">
        <f>VLOOKUP(A25,JPM!A$2:G$55,6,0)</f>
        <v>13543900</v>
      </c>
      <c r="BF25">
        <f>VLOOKUP(A25,KO!A$2:G$55,6,0)</f>
        <v>11012900</v>
      </c>
      <c r="BG25">
        <f>VLOOKUP(A25,LLY!A$2:G$55,6,0)</f>
        <v>4379100</v>
      </c>
      <c r="BH25">
        <f>VLOOKUP(A25,LMT!A$2:G$55,6,0)</f>
        <v>1196400</v>
      </c>
      <c r="BI25">
        <f>VLOOKUP(A25,LOW!A$2:G$55,6,0)</f>
        <v>3528100</v>
      </c>
      <c r="BJ25">
        <f>VLOOKUP(A25,MA!A$2:G$55,6,0)</f>
        <v>4924000</v>
      </c>
      <c r="BK25">
        <f>VLOOKUP(A25,MCD!A$2:G$55,6,0)</f>
        <v>7652700</v>
      </c>
      <c r="BL25">
        <f>VLOOKUP(A25,MDLZ!A$2:G$55,6,0)</f>
        <v>7111900</v>
      </c>
      <c r="BM25">
        <f>VLOOKUP(A25,MDT!A$2:G$55,6,0)</f>
        <v>5990800</v>
      </c>
      <c r="BN25">
        <f>VLOOKUP(A25,MET!A$2:G$55,6,0)</f>
        <v>6177800</v>
      </c>
      <c r="BO25">
        <f>VLOOKUP(A25,MMM!A$2:G$55,6,0)</f>
        <v>2494500</v>
      </c>
      <c r="BP25">
        <f>VLOOKUP(A25,MO!A$2:G$55,6,0)</f>
        <v>6302200</v>
      </c>
      <c r="BQ25">
        <f>VLOOKUP(A25,MON!A$2:G$55,6,0)</f>
        <v>4540000</v>
      </c>
      <c r="BR25">
        <f>VLOOKUP(A25,MRK!A$2:G$55,6,0)</f>
        <v>8649500</v>
      </c>
      <c r="BS25">
        <f>VLOOKUP(A25,MS!A$2:G$55,6,0)</f>
        <v>6846800</v>
      </c>
      <c r="BT25">
        <f>VLOOKUP(A25,MSFT!A$2:G$55,6,0)</f>
        <v>34277400</v>
      </c>
      <c r="BU25">
        <f>VLOOKUP(A25,NKE!A$2:G$55,6,0)</f>
        <v>2419700</v>
      </c>
      <c r="BV25">
        <f>VLOOKUP(A25,NOV!A$2:G$55,6,0)</f>
        <v>3384100</v>
      </c>
      <c r="BW25">
        <f>VLOOKUP(A25,NSC!A$2:G$55,6,0)</f>
        <v>2143200</v>
      </c>
      <c r="BX25">
        <f>VLOOKUP(A25,ORCL!A$2:G$55,6,0)</f>
        <v>12356200</v>
      </c>
      <c r="BY25">
        <f>VLOOKUP(A25,OXY!A$2:G$55,6,0)</f>
        <v>5124000</v>
      </c>
      <c r="BZ25">
        <f>VLOOKUP(A25,PEP!A$2:G$55,6,0)</f>
        <v>6488900</v>
      </c>
      <c r="CA25">
        <f>VLOOKUP(A25,PFE!A$2:G$55,6,0)</f>
        <v>23721900</v>
      </c>
      <c r="CB25">
        <f>VLOOKUP(A25,PG!A$2:G$55,6,0)</f>
        <v>12061800</v>
      </c>
      <c r="CC25">
        <f>VLOOKUP(A25,PM!A$2:G$55,6,0)</f>
        <v>3293400</v>
      </c>
      <c r="CD25">
        <f>VLOOKUP(A25,QCOM!A$2:G$55,6,0)</f>
        <v>13114200</v>
      </c>
      <c r="CE25">
        <f>VLOOKUP(A25,RTN!A$2:G$55,6,0)</f>
        <v>1916800</v>
      </c>
      <c r="CF25">
        <f>VLOOKUP(A25,SBUX!A$2:G$55,6,0)</f>
        <v>3141300</v>
      </c>
      <c r="CG25">
        <f>VLOOKUP(A25,SLB!A$2:G$55,6,0)</f>
        <v>5759800</v>
      </c>
      <c r="CH25">
        <f>VLOOKUP(A25,SO!A$2:G$55,6,0)</f>
        <v>6639300</v>
      </c>
      <c r="CI25">
        <f>VLOOKUP(A25,SPG!A$2:G$55,6,0)</f>
        <v>1228000</v>
      </c>
      <c r="CJ25">
        <f>VLOOKUP(A25,T!A$2:G$55,6,0)</f>
        <v>21300200</v>
      </c>
      <c r="CK25">
        <f>VLOOKUP(A25,TGT!A$2:G$55,6,0)</f>
        <v>4232000</v>
      </c>
      <c r="CL25">
        <f>VLOOKUP(A25,TWX!A$2:G$55,6,0)</f>
        <v>7922700</v>
      </c>
      <c r="CM25">
        <f>VLOOKUP(A25,TXN!A$2:G$55,6,0)</f>
        <v>5327100</v>
      </c>
      <c r="CN25">
        <f>VLOOKUP(A25,UNH!A$2:G$55,6,0)</f>
        <v>3197700</v>
      </c>
      <c r="CO25">
        <f>VLOOKUP(A25,UNP!A$2:G$55,6,0)</f>
        <v>4540500</v>
      </c>
      <c r="CP25">
        <f>VLOOKUP(A25,UPS!A$2:G$55,6,0)</f>
        <v>2882900</v>
      </c>
      <c r="CQ25">
        <f>VLOOKUP(A25,USB!A$2:G$55,6,0)</f>
        <v>5052700</v>
      </c>
      <c r="CR25">
        <f>VLOOKUP(A25,UTX!A$2:G$55,6,0)</f>
        <v>3982700</v>
      </c>
      <c r="CS25">
        <f>VLOOKUP(A25,V!A$2:G$55,6,0)</f>
        <v>2019900</v>
      </c>
      <c r="CT25">
        <f>VLOOKUP(A25,VZ!A$2:G$55,6,0)</f>
        <v>11693900</v>
      </c>
      <c r="CU25">
        <f>VLOOKUP(A25,WAG!A$2:G$55,6,0)</f>
        <v>8935900</v>
      </c>
      <c r="CV25">
        <f>VLOOKUP(A25,WFC!A$2:G$55,6,0)</f>
        <v>13380100</v>
      </c>
      <c r="CW25">
        <f>VLOOKUP(A25,WMT!A$2:G$55,6,0)</f>
        <v>5402100</v>
      </c>
    </row>
    <row r="26" spans="1:101" x14ac:dyDescent="0.25">
      <c r="A26" s="34">
        <v>41856</v>
      </c>
      <c r="B26" s="36">
        <v>55933000</v>
      </c>
      <c r="C26">
        <f>VLOOKUP(A26,ABBV!A$2:G$55,6,0)</f>
        <v>12765800</v>
      </c>
      <c r="D26">
        <f>VLOOKUP(A26,ABT!A$2:G$55,6,0)</f>
        <v>4190500</v>
      </c>
      <c r="E26">
        <f>VLOOKUP(A26,ACN!A$2:G$55,6,0)</f>
        <v>2150200</v>
      </c>
      <c r="F26">
        <f>VLOOKUP(A26,AIG!A$2:G$55,6,0)</f>
        <v>22628800</v>
      </c>
      <c r="G26">
        <f>VLOOKUP(A26,ALL!A$2:G$55,6,0)</f>
        <v>3138900</v>
      </c>
      <c r="H26">
        <f>VLOOKUP(A26,AMGN!A$2:G$55,6,0)</f>
        <v>3749100</v>
      </c>
      <c r="I26">
        <f>VLOOKUP(A26,AMZN!A$2:G$55,6,0)</f>
        <v>2852100</v>
      </c>
      <c r="J26">
        <f>VLOOKUP(A26,APA!A$2:G$55,6,0)</f>
        <v>4064700</v>
      </c>
      <c r="K26">
        <f>VLOOKUP(A26,APC!A$2:G$55,6,0)</f>
        <v>4177700</v>
      </c>
      <c r="L26">
        <f>VLOOKUP(A26,AXP!A$2:G$55,6,0)</f>
        <v>5004400</v>
      </c>
      <c r="M26">
        <f>VLOOKUP(A26,BA!A$2:G$55,6,0)</f>
        <v>6097900</v>
      </c>
      <c r="N26">
        <f>VLOOKUP(A26,BAC!A$2:G$55,6,0)</f>
        <v>65071500</v>
      </c>
      <c r="O26">
        <f>VLOOKUP(A26,BAX!A$2:G$55,6,0)</f>
        <v>1851400</v>
      </c>
      <c r="P26">
        <f>VLOOKUP(A26,BIIB!A$2:G$55,6,0)</f>
        <v>1125300</v>
      </c>
      <c r="Q26">
        <f>VLOOKUP(A26,BK!A$2:G$55,6,0)</f>
        <v>5995800</v>
      </c>
      <c r="R26">
        <f>VLOOKUP(A26,BMY!A$2:G$55,6,0)</f>
        <v>5605700</v>
      </c>
      <c r="T26">
        <f>VLOOKUP(A26,'C'!A$2:G$55,6,0)</f>
        <v>15912700</v>
      </c>
      <c r="U26">
        <f>VLOOKUP(A26,CAT!A$2:G$55,6,0)</f>
        <v>5685400</v>
      </c>
      <c r="V26">
        <f>VLOOKUP(A26,CL!A$2:G$55,6,0)</f>
        <v>4336500</v>
      </c>
      <c r="W26">
        <f>VLOOKUP(A26,CMCSA!A$2:G$55,6,0)</f>
        <v>13669500</v>
      </c>
      <c r="X26">
        <f>VLOOKUP(A26,COF!A$2:G$55,6,0)</f>
        <v>3695200</v>
      </c>
      <c r="Y26">
        <f>VLOOKUP(A26,COP!A$2:G$55,6,0)</f>
        <v>6406400</v>
      </c>
      <c r="Z26">
        <f>VLOOKUP(A26,COST!A$2:G$55,6,0)</f>
        <v>1798600</v>
      </c>
      <c r="AA26">
        <f>VLOOKUP(A26,CSCO!A$2:G$55,6,0)</f>
        <v>21176500</v>
      </c>
      <c r="AB26">
        <f>VLOOKUP(A26,CVS!A$2:G$55,6,0)</f>
        <v>6797600</v>
      </c>
      <c r="AC26">
        <f>VLOOKUP(A26,CVX!A$2:G$55,6,0)</f>
        <v>8066700</v>
      </c>
      <c r="AD26">
        <f>VLOOKUP(A26,DD!A$2:G$55,6,0)</f>
        <v>3279500</v>
      </c>
      <c r="AE26">
        <f>VLOOKUP(A26,DIS!A$2:G$55,6,0)</f>
        <v>9340400</v>
      </c>
      <c r="AF26">
        <f>VLOOKUP(A26,DOW!A$2:G$55,6,0)</f>
        <v>6316400</v>
      </c>
      <c r="AG26">
        <f>VLOOKUP(A26,DVN!A$2:G$55,6,0)</f>
        <v>3892000</v>
      </c>
      <c r="AH26">
        <f>VLOOKUP(A26,EBAY!A$2:G$55,6,0)</f>
        <v>10742400</v>
      </c>
      <c r="AI26">
        <f>VLOOKUP(A26,EMC!A$2:G$55,6,0)</f>
        <v>16026900</v>
      </c>
      <c r="AJ26">
        <f>VLOOKUP(A26,EMR!A$2:G$55,6,0)</f>
        <v>6971200</v>
      </c>
      <c r="AK26">
        <f>VLOOKUP(A26,EXC!A$2:G$55,6,0)</f>
        <v>6683900</v>
      </c>
      <c r="AL26">
        <f>VLOOKUP(A26,F!A$2:G$55,6,0)</f>
        <v>24843500</v>
      </c>
      <c r="AM26">
        <f>VLOOKUP(A26,FB!A$2:G$55,6,0)</f>
        <v>34820400</v>
      </c>
      <c r="AN26">
        <f>VLOOKUP(A26,FCX!A$2:G$55,6,0)</f>
        <v>5880600</v>
      </c>
      <c r="AO26">
        <f>VLOOKUP(A26,FDX!A$2:G$55,6,0)</f>
        <v>860700</v>
      </c>
      <c r="AP26">
        <f>VLOOKUP(A26,FOXA!A$2:G$55,6,0)</f>
        <v>26355800</v>
      </c>
      <c r="AQ26">
        <f>VLOOKUP(A26,GD!A$2:G$55,6,0)</f>
        <v>1914300</v>
      </c>
      <c r="AR26">
        <f>VLOOKUP(A26,GE!A$2:G$55,6,0)</f>
        <v>27694300</v>
      </c>
      <c r="AS26">
        <f>VLOOKUP(A26,GILD!A$2:G$55,6,0)</f>
        <v>10250800</v>
      </c>
      <c r="AT26">
        <f>VLOOKUP(A26,GM!A$2:G$55,6,0)</f>
        <v>11012500</v>
      </c>
      <c r="AU26">
        <f>VLOOKUP(A26,GOOG!A$2:G$55,6,0)</f>
        <v>1547000</v>
      </c>
      <c r="AV26">
        <f>VLOOKUP(A26,GOOGL!A$2:G$55,6,0)</f>
        <v>1643800</v>
      </c>
      <c r="AW26">
        <f>VLOOKUP(A26,GS!A$2:G$55,6,0)</f>
        <v>2746200</v>
      </c>
      <c r="AX26">
        <f>VLOOKUP(A26,HAL!A$2:G$55,6,0)</f>
        <v>9491900</v>
      </c>
      <c r="AY26">
        <f>VLOOKUP(A26,HD!A$2:G$55,6,0)</f>
        <v>5895500</v>
      </c>
      <c r="AZ26">
        <f>VLOOKUP(A26,HON!A$2:G$55,6,0)</f>
        <v>4288200</v>
      </c>
      <c r="BA26">
        <f>VLOOKUP(A26,HPQ!A$2:G$55,6,0)</f>
        <v>5641100</v>
      </c>
      <c r="BB26">
        <f>VLOOKUP(A26,IBM!A$2:G$55,6,0)</f>
        <v>3307900</v>
      </c>
      <c r="BC26">
        <f>VLOOKUP(A26,INTC!A$2:G$55,6,0)</f>
        <v>49845100</v>
      </c>
      <c r="BD26">
        <f>VLOOKUP(A26,JNJ!A$2:G$55,6,0)</f>
        <v>6230900</v>
      </c>
      <c r="BE26">
        <f>VLOOKUP(A26,JPM!A$2:G$55,6,0)</f>
        <v>16863300</v>
      </c>
      <c r="BF26">
        <f>VLOOKUP(A26,KO!A$2:G$55,6,0)</f>
        <v>11639200</v>
      </c>
      <c r="BG26">
        <f>VLOOKUP(A26,LLY!A$2:G$55,6,0)</f>
        <v>3389600</v>
      </c>
      <c r="BH26">
        <f>VLOOKUP(A26,LMT!A$2:G$55,6,0)</f>
        <v>1218900</v>
      </c>
      <c r="BI26">
        <f>VLOOKUP(A26,LOW!A$2:G$55,6,0)</f>
        <v>4879400</v>
      </c>
      <c r="BJ26">
        <f>VLOOKUP(A26,MA!A$2:G$55,6,0)</f>
        <v>4606500</v>
      </c>
      <c r="BK26">
        <f>VLOOKUP(A26,MCD!A$2:G$55,6,0)</f>
        <v>5494800</v>
      </c>
      <c r="BL26">
        <f>VLOOKUP(A26,MDLZ!A$2:G$55,6,0)</f>
        <v>15630600</v>
      </c>
      <c r="BM26">
        <f>VLOOKUP(A26,MDT!A$2:G$55,6,0)</f>
        <v>10402300</v>
      </c>
      <c r="BN26">
        <f>VLOOKUP(A26,MET!A$2:G$55,6,0)</f>
        <v>8240700</v>
      </c>
      <c r="BO26">
        <f>VLOOKUP(A26,MMM!A$2:G$55,6,0)</f>
        <v>2168500</v>
      </c>
      <c r="BP26">
        <f>VLOOKUP(A26,MO!A$2:G$55,6,0)</f>
        <v>4395800</v>
      </c>
      <c r="BQ26">
        <f>VLOOKUP(A26,MON!A$2:G$55,6,0)</f>
        <v>5163800</v>
      </c>
      <c r="BR26">
        <f>VLOOKUP(A26,MRK!A$2:G$55,6,0)</f>
        <v>9031200</v>
      </c>
      <c r="BS26">
        <f>VLOOKUP(A26,MS!A$2:G$55,6,0)</f>
        <v>9478400</v>
      </c>
      <c r="BT26">
        <f>VLOOKUP(A26,MSFT!A$2:G$55,6,0)</f>
        <v>26266400</v>
      </c>
      <c r="BU26">
        <f>VLOOKUP(A26,NKE!A$2:G$55,6,0)</f>
        <v>2433100</v>
      </c>
      <c r="BV26">
        <f>VLOOKUP(A26,NOV!A$2:G$55,6,0)</f>
        <v>3580300</v>
      </c>
      <c r="BW26">
        <f>VLOOKUP(A26,NSC!A$2:G$55,6,0)</f>
        <v>1741700</v>
      </c>
      <c r="BX26">
        <f>VLOOKUP(A26,ORCL!A$2:G$55,6,0)</f>
        <v>8806600</v>
      </c>
      <c r="BY26">
        <f>VLOOKUP(A26,OXY!A$2:G$55,6,0)</f>
        <v>4715100</v>
      </c>
      <c r="BZ26">
        <f>VLOOKUP(A26,PEP!A$2:G$55,6,0)</f>
        <v>7678800</v>
      </c>
      <c r="CA26">
        <f>VLOOKUP(A26,PFE!A$2:G$55,6,0)</f>
        <v>27686500</v>
      </c>
      <c r="CB26">
        <f>VLOOKUP(A26,PG!A$2:G$55,6,0)</f>
        <v>7995900</v>
      </c>
      <c r="CC26">
        <f>VLOOKUP(A26,PM!A$2:G$55,6,0)</f>
        <v>3710200</v>
      </c>
      <c r="CD26">
        <f>VLOOKUP(A26,QCOM!A$2:G$55,6,0)</f>
        <v>10306400</v>
      </c>
      <c r="CE26">
        <f>VLOOKUP(A26,RTN!A$2:G$55,6,0)</f>
        <v>1473900</v>
      </c>
      <c r="CF26">
        <f>VLOOKUP(A26,SBUX!A$2:G$55,6,0)</f>
        <v>3347300</v>
      </c>
      <c r="CG26">
        <f>VLOOKUP(A26,SLB!A$2:G$55,6,0)</f>
        <v>6946200</v>
      </c>
      <c r="CH26">
        <f>VLOOKUP(A26,SO!A$2:G$55,6,0)</f>
        <v>4339700</v>
      </c>
      <c r="CI26">
        <f>VLOOKUP(A26,SPG!A$2:G$55,6,0)</f>
        <v>1440500</v>
      </c>
      <c r="CJ26">
        <f>VLOOKUP(A26,T!A$2:G$55,6,0)</f>
        <v>19505100</v>
      </c>
      <c r="CK26">
        <f>VLOOKUP(A26,TGT!A$2:G$55,6,0)</f>
        <v>14982100</v>
      </c>
      <c r="CL26">
        <f>VLOOKUP(A26,TWX!A$2:G$55,6,0)</f>
        <v>12086700</v>
      </c>
      <c r="CM26">
        <f>VLOOKUP(A26,TXN!A$2:G$55,6,0)</f>
        <v>7867500</v>
      </c>
      <c r="CN26">
        <f>VLOOKUP(A26,UNH!A$2:G$55,6,0)</f>
        <v>4599500</v>
      </c>
      <c r="CO26">
        <f>VLOOKUP(A26,UNP!A$2:G$55,6,0)</f>
        <v>3166300</v>
      </c>
      <c r="CP26">
        <f>VLOOKUP(A26,UPS!A$2:G$55,6,0)</f>
        <v>2973200</v>
      </c>
      <c r="CQ26">
        <f>VLOOKUP(A26,USB!A$2:G$55,6,0)</f>
        <v>5240800</v>
      </c>
      <c r="CR26">
        <f>VLOOKUP(A26,UTX!A$2:G$55,6,0)</f>
        <v>5579300</v>
      </c>
      <c r="CS26">
        <f>VLOOKUP(A26,V!A$2:G$55,6,0)</f>
        <v>2787800</v>
      </c>
      <c r="CT26">
        <f>VLOOKUP(A26,VZ!A$2:G$55,6,0)</f>
        <v>11565100</v>
      </c>
      <c r="CU26">
        <f>VLOOKUP(A26,WAG!A$2:G$55,6,0)</f>
        <v>31355500</v>
      </c>
      <c r="CV26">
        <f>VLOOKUP(A26,WFC!A$2:G$55,6,0)</f>
        <v>12766000</v>
      </c>
      <c r="CW26">
        <f>VLOOKUP(A26,WMT!A$2:G$55,6,0)</f>
        <v>10579900</v>
      </c>
    </row>
    <row r="27" spans="1:101" x14ac:dyDescent="0.25">
      <c r="A27" s="34">
        <v>41857</v>
      </c>
      <c r="B27" s="36">
        <v>38558000</v>
      </c>
      <c r="C27">
        <f>VLOOKUP(A27,ABBV!A$2:G$55,6,0)</f>
        <v>18112900</v>
      </c>
      <c r="D27">
        <f>VLOOKUP(A27,ABT!A$2:G$55,6,0)</f>
        <v>3726900</v>
      </c>
      <c r="E27">
        <f>VLOOKUP(A27,ACN!A$2:G$55,6,0)</f>
        <v>3093600</v>
      </c>
      <c r="F27">
        <f>VLOOKUP(A27,AIG!A$2:G$55,6,0)</f>
        <v>9990400</v>
      </c>
      <c r="G27">
        <f>VLOOKUP(A27,ALL!A$2:G$55,6,0)</f>
        <v>2474000</v>
      </c>
      <c r="H27">
        <f>VLOOKUP(A27,AMGN!A$2:G$55,6,0)</f>
        <v>2579000</v>
      </c>
      <c r="I27">
        <f>VLOOKUP(A27,AMZN!A$2:G$55,6,0)</f>
        <v>2296900</v>
      </c>
      <c r="J27">
        <f>VLOOKUP(A27,APA!A$2:G$55,6,0)</f>
        <v>2386600</v>
      </c>
      <c r="K27">
        <f>VLOOKUP(A27,APC!A$2:G$55,6,0)</f>
        <v>4022600</v>
      </c>
      <c r="L27">
        <f>VLOOKUP(A27,AXP!A$2:G$55,6,0)</f>
        <v>4805600</v>
      </c>
      <c r="M27">
        <f>VLOOKUP(A27,BA!A$2:G$55,6,0)</f>
        <v>6239700</v>
      </c>
      <c r="N27">
        <f>VLOOKUP(A27,BAC!A$2:G$55,6,0)</f>
        <v>95977900</v>
      </c>
      <c r="O27">
        <f>VLOOKUP(A27,BAX!A$2:G$55,6,0)</f>
        <v>1892000</v>
      </c>
      <c r="P27">
        <f>VLOOKUP(A27,BIIB!A$2:G$55,6,0)</f>
        <v>940600</v>
      </c>
      <c r="Q27">
        <f>VLOOKUP(A27,BK!A$2:G$55,6,0)</f>
        <v>4988200</v>
      </c>
      <c r="R27">
        <f>VLOOKUP(A27,BMY!A$2:G$55,6,0)</f>
        <v>5035400</v>
      </c>
      <c r="T27">
        <f>VLOOKUP(A27,'C'!A$2:G$55,6,0)</f>
        <v>13038300</v>
      </c>
      <c r="U27">
        <f>VLOOKUP(A27,CAT!A$2:G$55,6,0)</f>
        <v>5526900</v>
      </c>
      <c r="V27">
        <f>VLOOKUP(A27,CL!A$2:G$55,6,0)</f>
        <v>5742500</v>
      </c>
      <c r="W27">
        <f>VLOOKUP(A27,CMCSA!A$2:G$55,6,0)</f>
        <v>10034500</v>
      </c>
      <c r="X27">
        <f>VLOOKUP(A27,COF!A$2:G$55,6,0)</f>
        <v>2820900</v>
      </c>
      <c r="Y27">
        <f>VLOOKUP(A27,COP!A$2:G$55,6,0)</f>
        <v>5412400</v>
      </c>
      <c r="Z27">
        <f>VLOOKUP(A27,COST!A$2:G$55,6,0)</f>
        <v>2859800</v>
      </c>
      <c r="AA27">
        <f>VLOOKUP(A27,CSCO!A$2:G$55,6,0)</f>
        <v>20990600</v>
      </c>
      <c r="AB27">
        <f>VLOOKUP(A27,CVS!A$2:G$55,6,0)</f>
        <v>11306300</v>
      </c>
      <c r="AC27">
        <f>VLOOKUP(A27,CVX!A$2:G$55,6,0)</f>
        <v>5134900</v>
      </c>
      <c r="AD27">
        <f>VLOOKUP(A27,DD!A$2:G$55,6,0)</f>
        <v>2899400</v>
      </c>
      <c r="AE27">
        <f>VLOOKUP(A27,DIS!A$2:G$55,6,0)</f>
        <v>9789500</v>
      </c>
      <c r="AF27">
        <f>VLOOKUP(A27,DOW!A$2:G$55,6,0)</f>
        <v>10625900</v>
      </c>
      <c r="AG27">
        <f>VLOOKUP(A27,DVN!A$2:G$55,6,0)</f>
        <v>4806300</v>
      </c>
      <c r="AH27">
        <f>VLOOKUP(A27,EBAY!A$2:G$55,6,0)</f>
        <v>10209800</v>
      </c>
      <c r="AI27">
        <f>VLOOKUP(A27,EMC!A$2:G$55,6,0)</f>
        <v>20134500</v>
      </c>
      <c r="AJ27">
        <f>VLOOKUP(A27,EMR!A$2:G$55,6,0)</f>
        <v>5195200</v>
      </c>
      <c r="AK27">
        <f>VLOOKUP(A27,EXC!A$2:G$55,6,0)</f>
        <v>11411100</v>
      </c>
      <c r="AL27">
        <f>VLOOKUP(A27,F!A$2:G$55,6,0)</f>
        <v>21872900</v>
      </c>
      <c r="AM27">
        <f>VLOOKUP(A27,FB!A$2:G$55,6,0)</f>
        <v>30940200</v>
      </c>
      <c r="AN27">
        <f>VLOOKUP(A27,FCX!A$2:G$55,6,0)</f>
        <v>9247500</v>
      </c>
      <c r="AO27">
        <f>VLOOKUP(A27,FDX!A$2:G$55,6,0)</f>
        <v>1098000</v>
      </c>
      <c r="AP27">
        <f>VLOOKUP(A27,FOXA!A$2:G$55,6,0)</f>
        <v>49969400</v>
      </c>
      <c r="AQ27">
        <f>VLOOKUP(A27,GD!A$2:G$55,6,0)</f>
        <v>1826600</v>
      </c>
      <c r="AR27">
        <f>VLOOKUP(A27,GE!A$2:G$55,6,0)</f>
        <v>47222600</v>
      </c>
      <c r="AS27">
        <f>VLOOKUP(A27,GILD!A$2:G$55,6,0)</f>
        <v>11016200</v>
      </c>
      <c r="AT27">
        <f>VLOOKUP(A27,GM!A$2:G$55,6,0)</f>
        <v>8715400</v>
      </c>
      <c r="AU27">
        <f>VLOOKUP(A27,GOOG!A$2:G$55,6,0)</f>
        <v>1330700</v>
      </c>
      <c r="AV27">
        <f>VLOOKUP(A27,GOOGL!A$2:G$55,6,0)</f>
        <v>1322800</v>
      </c>
      <c r="AW27">
        <f>VLOOKUP(A27,GS!A$2:G$55,6,0)</f>
        <v>1711700</v>
      </c>
      <c r="AX27">
        <f>VLOOKUP(A27,HAL!A$2:G$55,6,0)</f>
        <v>6468600</v>
      </c>
      <c r="AY27">
        <f>VLOOKUP(A27,HD!A$2:G$55,6,0)</f>
        <v>4228200</v>
      </c>
      <c r="AZ27">
        <f>VLOOKUP(A27,HON!A$2:G$55,6,0)</f>
        <v>3886700</v>
      </c>
      <c r="BA27">
        <f>VLOOKUP(A27,HPQ!A$2:G$55,6,0)</f>
        <v>6112100</v>
      </c>
      <c r="BB27">
        <f>VLOOKUP(A27,IBM!A$2:G$55,6,0)</f>
        <v>3847000</v>
      </c>
      <c r="BC27">
        <f>VLOOKUP(A27,INTC!A$2:G$55,6,0)</f>
        <v>27923900</v>
      </c>
      <c r="BD27">
        <f>VLOOKUP(A27,JNJ!A$2:G$55,6,0)</f>
        <v>7412100</v>
      </c>
      <c r="BE27">
        <f>VLOOKUP(A27,JPM!A$2:G$55,6,0)</f>
        <v>12190600</v>
      </c>
      <c r="BF27">
        <f>VLOOKUP(A27,KO!A$2:G$55,6,0)</f>
        <v>17567500</v>
      </c>
      <c r="BG27">
        <f>VLOOKUP(A27,LLY!A$2:G$55,6,0)</f>
        <v>2682800</v>
      </c>
      <c r="BH27">
        <f>VLOOKUP(A27,LMT!A$2:G$55,6,0)</f>
        <v>1883000</v>
      </c>
      <c r="BI27">
        <f>VLOOKUP(A27,LOW!A$2:G$55,6,0)</f>
        <v>3968500</v>
      </c>
      <c r="BJ27">
        <f>VLOOKUP(A27,MA!A$2:G$55,6,0)</f>
        <v>2782900</v>
      </c>
      <c r="BK27">
        <f>VLOOKUP(A27,MCD!A$2:G$55,6,0)</f>
        <v>3728000</v>
      </c>
      <c r="BL27">
        <f>VLOOKUP(A27,MDLZ!A$2:G$55,6,0)</f>
        <v>15206400</v>
      </c>
      <c r="BM27">
        <f>VLOOKUP(A27,MDT!A$2:G$55,6,0)</f>
        <v>19503800</v>
      </c>
      <c r="BN27">
        <f>VLOOKUP(A27,MET!A$2:G$55,6,0)</f>
        <v>6342600</v>
      </c>
      <c r="BO27">
        <f>VLOOKUP(A27,MMM!A$2:G$55,6,0)</f>
        <v>2679000</v>
      </c>
      <c r="BP27">
        <f>VLOOKUP(A27,MO!A$2:G$55,6,0)</f>
        <v>7964000</v>
      </c>
      <c r="BQ27">
        <f>VLOOKUP(A27,MON!A$2:G$55,6,0)</f>
        <v>4304000</v>
      </c>
      <c r="BR27">
        <f>VLOOKUP(A27,MRK!A$2:G$55,6,0)</f>
        <v>12275800</v>
      </c>
      <c r="BS27">
        <f>VLOOKUP(A27,MS!A$2:G$55,6,0)</f>
        <v>9049600</v>
      </c>
      <c r="BT27">
        <f>VLOOKUP(A27,MSFT!A$2:G$55,6,0)</f>
        <v>24634000</v>
      </c>
      <c r="BU27">
        <f>VLOOKUP(A27,NKE!A$2:G$55,6,0)</f>
        <v>2537200</v>
      </c>
      <c r="BV27">
        <f>VLOOKUP(A27,NOV!A$2:G$55,6,0)</f>
        <v>2724900</v>
      </c>
      <c r="BW27">
        <f>VLOOKUP(A27,NSC!A$2:G$55,6,0)</f>
        <v>1662800</v>
      </c>
      <c r="BX27">
        <f>VLOOKUP(A27,ORCL!A$2:G$55,6,0)</f>
        <v>8184800</v>
      </c>
      <c r="BY27">
        <f>VLOOKUP(A27,OXY!A$2:G$55,6,0)</f>
        <v>2907800</v>
      </c>
      <c r="BZ27">
        <f>VLOOKUP(A27,PEP!A$2:G$55,6,0)</f>
        <v>6589900</v>
      </c>
      <c r="CA27">
        <f>VLOOKUP(A27,PFE!A$2:G$55,6,0)</f>
        <v>23369400</v>
      </c>
      <c r="CB27">
        <f>VLOOKUP(A27,PG!A$2:G$55,6,0)</f>
        <v>12808700</v>
      </c>
      <c r="CC27">
        <f>VLOOKUP(A27,PM!A$2:G$55,6,0)</f>
        <v>5053700</v>
      </c>
      <c r="CD27">
        <f>VLOOKUP(A27,QCOM!A$2:G$55,6,0)</f>
        <v>7324400</v>
      </c>
      <c r="CE27">
        <f>VLOOKUP(A27,RTN!A$2:G$55,6,0)</f>
        <v>2271900</v>
      </c>
      <c r="CF27">
        <f>VLOOKUP(A27,SBUX!A$2:G$55,6,0)</f>
        <v>2967600</v>
      </c>
      <c r="CG27">
        <f>VLOOKUP(A27,SLB!A$2:G$55,6,0)</f>
        <v>5352900</v>
      </c>
      <c r="CH27">
        <f>VLOOKUP(A27,SO!A$2:G$55,6,0)</f>
        <v>10041500</v>
      </c>
      <c r="CI27">
        <f>VLOOKUP(A27,SPG!A$2:G$55,6,0)</f>
        <v>1569500</v>
      </c>
      <c r="CJ27">
        <f>VLOOKUP(A27,T!A$2:G$55,6,0)</f>
        <v>35923400</v>
      </c>
      <c r="CK27">
        <f>VLOOKUP(A27,TGT!A$2:G$55,6,0)</f>
        <v>7262700</v>
      </c>
      <c r="CL27">
        <f>VLOOKUP(A27,TWX!A$2:G$55,6,0)</f>
        <v>34562900</v>
      </c>
      <c r="CM27">
        <f>VLOOKUP(A27,TXN!A$2:G$55,6,0)</f>
        <v>4940900</v>
      </c>
      <c r="CN27">
        <f>VLOOKUP(A27,UNH!A$2:G$55,6,0)</f>
        <v>3311300</v>
      </c>
      <c r="CO27">
        <f>VLOOKUP(A27,UNP!A$2:G$55,6,0)</f>
        <v>3295000</v>
      </c>
      <c r="CP27">
        <f>VLOOKUP(A27,UPS!A$2:G$55,6,0)</f>
        <v>4037300</v>
      </c>
      <c r="CQ27">
        <f>VLOOKUP(A27,USB!A$2:G$55,6,0)</f>
        <v>6443100</v>
      </c>
      <c r="CR27">
        <f>VLOOKUP(A27,UTX!A$2:G$55,6,0)</f>
        <v>5408700</v>
      </c>
      <c r="CS27">
        <f>VLOOKUP(A27,V!A$2:G$55,6,0)</f>
        <v>1882100</v>
      </c>
      <c r="CT27">
        <f>VLOOKUP(A27,VZ!A$2:G$55,6,0)</f>
        <v>18995100</v>
      </c>
      <c r="CU27">
        <f>VLOOKUP(A27,WAG!A$2:G$55,6,0)</f>
        <v>84130100</v>
      </c>
      <c r="CV27">
        <f>VLOOKUP(A27,WFC!A$2:G$55,6,0)</f>
        <v>15271500</v>
      </c>
      <c r="CW27">
        <f>VLOOKUP(A27,WMT!A$2:G$55,6,0)</f>
        <v>7934800</v>
      </c>
    </row>
    <row r="28" spans="1:101" x14ac:dyDescent="0.25">
      <c r="A28" s="34">
        <v>41858</v>
      </c>
      <c r="B28" s="36">
        <v>46711000</v>
      </c>
      <c r="C28">
        <f>VLOOKUP(A28,ABBV!A$2:G$55,6,0)</f>
        <v>17171700</v>
      </c>
      <c r="D28">
        <f>VLOOKUP(A28,ABT!A$2:G$55,6,0)</f>
        <v>4013800</v>
      </c>
      <c r="E28">
        <f>VLOOKUP(A28,ACN!A$2:G$55,6,0)</f>
        <v>2138100</v>
      </c>
      <c r="F28">
        <f>VLOOKUP(A28,AIG!A$2:G$55,6,0)</f>
        <v>13327800</v>
      </c>
      <c r="G28">
        <f>VLOOKUP(A28,ALL!A$2:G$55,6,0)</f>
        <v>3130400</v>
      </c>
      <c r="H28">
        <f>VLOOKUP(A28,AMGN!A$2:G$55,6,0)</f>
        <v>3065200</v>
      </c>
      <c r="I28">
        <f>VLOOKUP(A28,AMZN!A$2:G$55,6,0)</f>
        <v>2935600</v>
      </c>
      <c r="J28">
        <f>VLOOKUP(A28,APA!A$2:G$55,6,0)</f>
        <v>2902600</v>
      </c>
      <c r="K28">
        <f>VLOOKUP(A28,APC!A$2:G$55,6,0)</f>
        <v>3319700</v>
      </c>
      <c r="L28">
        <f>VLOOKUP(A28,AXP!A$2:G$55,6,0)</f>
        <v>4539100</v>
      </c>
      <c r="M28">
        <f>VLOOKUP(A28,BA!A$2:G$55,6,0)</f>
        <v>4641800</v>
      </c>
      <c r="N28">
        <f>VLOOKUP(A28,BAC!A$2:G$55,6,0)</f>
        <v>80058300</v>
      </c>
      <c r="O28">
        <f>VLOOKUP(A28,BAX!A$2:G$55,6,0)</f>
        <v>1542900</v>
      </c>
      <c r="P28">
        <f>VLOOKUP(A28,BIIB!A$2:G$55,6,0)</f>
        <v>872700</v>
      </c>
      <c r="Q28">
        <f>VLOOKUP(A28,BK!A$2:G$55,6,0)</f>
        <v>9337200</v>
      </c>
      <c r="R28">
        <f>VLOOKUP(A28,BMY!A$2:G$55,6,0)</f>
        <v>6767300</v>
      </c>
      <c r="T28">
        <f>VLOOKUP(A28,'C'!A$2:G$55,6,0)</f>
        <v>12377000</v>
      </c>
      <c r="U28">
        <f>VLOOKUP(A28,CAT!A$2:G$55,6,0)</f>
        <v>5752800</v>
      </c>
      <c r="V28">
        <f>VLOOKUP(A28,CL!A$2:G$55,6,0)</f>
        <v>2797600</v>
      </c>
      <c r="W28">
        <f>VLOOKUP(A28,CMCSA!A$2:G$55,6,0)</f>
        <v>11739600</v>
      </c>
      <c r="X28">
        <f>VLOOKUP(A28,COF!A$2:G$55,6,0)</f>
        <v>2346400</v>
      </c>
      <c r="Y28">
        <f>VLOOKUP(A28,COP!A$2:G$55,6,0)</f>
        <v>4055500</v>
      </c>
      <c r="Z28">
        <f>VLOOKUP(A28,COST!A$2:G$55,6,0)</f>
        <v>2698200</v>
      </c>
      <c r="AA28">
        <f>VLOOKUP(A28,CSCO!A$2:G$55,6,0)</f>
        <v>24123500</v>
      </c>
      <c r="AB28">
        <f>VLOOKUP(A28,CVS!A$2:G$55,6,0)</f>
        <v>5665500</v>
      </c>
      <c r="AC28">
        <f>VLOOKUP(A28,CVX!A$2:G$55,6,0)</f>
        <v>4650700</v>
      </c>
      <c r="AD28">
        <f>VLOOKUP(A28,DD!A$2:G$55,6,0)</f>
        <v>3449300</v>
      </c>
      <c r="AE28">
        <f>VLOOKUP(A28,DIS!A$2:G$55,6,0)</f>
        <v>7905200</v>
      </c>
      <c r="AF28">
        <f>VLOOKUP(A28,DOW!A$2:G$55,6,0)</f>
        <v>5933400</v>
      </c>
      <c r="AG28">
        <f>VLOOKUP(A28,DVN!A$2:G$55,6,0)</f>
        <v>2505700</v>
      </c>
      <c r="AH28">
        <f>VLOOKUP(A28,EBAY!A$2:G$55,6,0)</f>
        <v>10049600</v>
      </c>
      <c r="AI28">
        <f>VLOOKUP(A28,EMC!A$2:G$55,6,0)</f>
        <v>13368400</v>
      </c>
      <c r="AJ28">
        <f>VLOOKUP(A28,EMR!A$2:G$55,6,0)</f>
        <v>2959300</v>
      </c>
      <c r="AK28">
        <f>VLOOKUP(A28,EXC!A$2:G$55,6,0)</f>
        <v>7241800</v>
      </c>
      <c r="AL28">
        <f>VLOOKUP(A28,F!A$2:G$55,6,0)</f>
        <v>19997700</v>
      </c>
      <c r="AM28">
        <f>VLOOKUP(A28,FB!A$2:G$55,6,0)</f>
        <v>38093400</v>
      </c>
      <c r="AN28">
        <f>VLOOKUP(A28,FCX!A$2:G$55,6,0)</f>
        <v>12659100</v>
      </c>
      <c r="AO28">
        <f>VLOOKUP(A28,FDX!A$2:G$55,6,0)</f>
        <v>1659200</v>
      </c>
      <c r="AP28">
        <f>VLOOKUP(A28,FOXA!A$2:G$55,6,0)</f>
        <v>42015200</v>
      </c>
      <c r="AQ28">
        <f>VLOOKUP(A28,GD!A$2:G$55,6,0)</f>
        <v>1566300</v>
      </c>
      <c r="AR28">
        <f>VLOOKUP(A28,GE!A$2:G$55,6,0)</f>
        <v>36167500</v>
      </c>
      <c r="AS28">
        <f>VLOOKUP(A28,GILD!A$2:G$55,6,0)</f>
        <v>8804600</v>
      </c>
      <c r="AT28">
        <f>VLOOKUP(A28,GM!A$2:G$55,6,0)</f>
        <v>13526700</v>
      </c>
      <c r="AU28">
        <f>VLOOKUP(A28,GOOG!A$2:G$55,6,0)</f>
        <v>1107900</v>
      </c>
      <c r="AV28">
        <f>VLOOKUP(A28,GOOGL!A$2:G$55,6,0)</f>
        <v>1163000</v>
      </c>
      <c r="AW28">
        <f>VLOOKUP(A28,GS!A$2:G$55,6,0)</f>
        <v>1920900</v>
      </c>
      <c r="AX28">
        <f>VLOOKUP(A28,HAL!A$2:G$55,6,0)</f>
        <v>6880600</v>
      </c>
      <c r="AY28">
        <f>VLOOKUP(A28,HD!A$2:G$55,6,0)</f>
        <v>4045900</v>
      </c>
      <c r="AZ28">
        <f>VLOOKUP(A28,HON!A$2:G$55,6,0)</f>
        <v>3588700</v>
      </c>
      <c r="BA28">
        <f>VLOOKUP(A28,HPQ!A$2:G$55,6,0)</f>
        <v>6438200</v>
      </c>
      <c r="BB28">
        <f>VLOOKUP(A28,IBM!A$2:G$55,6,0)</f>
        <v>2708600</v>
      </c>
      <c r="BC28">
        <f>VLOOKUP(A28,INTC!A$2:G$55,6,0)</f>
        <v>27820100</v>
      </c>
      <c r="BD28">
        <f>VLOOKUP(A28,JNJ!A$2:G$55,6,0)</f>
        <v>7417800</v>
      </c>
      <c r="BE28">
        <f>VLOOKUP(A28,JPM!A$2:G$55,6,0)</f>
        <v>11732500</v>
      </c>
      <c r="BF28">
        <f>VLOOKUP(A28,KO!A$2:G$55,6,0)</f>
        <v>14367400</v>
      </c>
      <c r="BG28">
        <f>VLOOKUP(A28,LLY!A$2:G$55,6,0)</f>
        <v>2352400</v>
      </c>
      <c r="BH28">
        <f>VLOOKUP(A28,LMT!A$2:G$55,6,0)</f>
        <v>1087100</v>
      </c>
      <c r="BI28">
        <f>VLOOKUP(A28,LOW!A$2:G$55,6,0)</f>
        <v>3175700</v>
      </c>
      <c r="BJ28">
        <f>VLOOKUP(A28,MA!A$2:G$55,6,0)</f>
        <v>4708000</v>
      </c>
      <c r="BK28">
        <f>VLOOKUP(A28,MCD!A$2:G$55,6,0)</f>
        <v>3261100</v>
      </c>
      <c r="BL28">
        <f>VLOOKUP(A28,MDLZ!A$2:G$55,6,0)</f>
        <v>9249800</v>
      </c>
      <c r="BM28">
        <f>VLOOKUP(A28,MDT!A$2:G$55,6,0)</f>
        <v>12885400</v>
      </c>
      <c r="BN28">
        <f>VLOOKUP(A28,MET!A$2:G$55,6,0)</f>
        <v>6278600</v>
      </c>
      <c r="BO28">
        <f>VLOOKUP(A28,MMM!A$2:G$55,6,0)</f>
        <v>1892500</v>
      </c>
      <c r="BP28">
        <f>VLOOKUP(A28,MO!A$2:G$55,6,0)</f>
        <v>7828400</v>
      </c>
      <c r="BQ28">
        <f>VLOOKUP(A28,MON!A$2:G$55,6,0)</f>
        <v>3455700</v>
      </c>
      <c r="BR28">
        <f>VLOOKUP(A28,MRK!A$2:G$55,6,0)</f>
        <v>7215500</v>
      </c>
      <c r="BS28">
        <f>VLOOKUP(A28,MS!A$2:G$55,6,0)</f>
        <v>6553100</v>
      </c>
      <c r="BT28">
        <f>VLOOKUP(A28,MSFT!A$2:G$55,6,0)</f>
        <v>30314900</v>
      </c>
      <c r="BU28">
        <f>VLOOKUP(A28,NKE!A$2:G$55,6,0)</f>
        <v>3368700</v>
      </c>
      <c r="BV28">
        <f>VLOOKUP(A28,NOV!A$2:G$55,6,0)</f>
        <v>2496000</v>
      </c>
      <c r="BW28">
        <f>VLOOKUP(A28,NSC!A$2:G$55,6,0)</f>
        <v>1764300</v>
      </c>
      <c r="BX28">
        <f>VLOOKUP(A28,ORCL!A$2:G$55,6,0)</f>
        <v>9180500</v>
      </c>
      <c r="BY28">
        <f>VLOOKUP(A28,OXY!A$2:G$55,6,0)</f>
        <v>3263000</v>
      </c>
      <c r="BZ28">
        <f>VLOOKUP(A28,PEP!A$2:G$55,6,0)</f>
        <v>4625600</v>
      </c>
      <c r="CA28">
        <f>VLOOKUP(A28,PFE!A$2:G$55,6,0)</f>
        <v>30501300</v>
      </c>
      <c r="CB28">
        <f>VLOOKUP(A28,PG!A$2:G$55,6,0)</f>
        <v>7904000</v>
      </c>
      <c r="CC28">
        <f>VLOOKUP(A28,PM!A$2:G$55,6,0)</f>
        <v>4445100</v>
      </c>
      <c r="CD28">
        <f>VLOOKUP(A28,QCOM!A$2:G$55,6,0)</f>
        <v>9402400</v>
      </c>
      <c r="CE28">
        <f>VLOOKUP(A28,RTN!A$2:G$55,6,0)</f>
        <v>1537700</v>
      </c>
      <c r="CF28">
        <f>VLOOKUP(A28,SBUX!A$2:G$55,6,0)</f>
        <v>2714000</v>
      </c>
      <c r="CG28">
        <f>VLOOKUP(A28,SLB!A$2:G$55,6,0)</f>
        <v>4653100</v>
      </c>
      <c r="CH28">
        <f>VLOOKUP(A28,SO!A$2:G$55,6,0)</f>
        <v>4409500</v>
      </c>
      <c r="CI28">
        <f>VLOOKUP(A28,SPG!A$2:G$55,6,0)</f>
        <v>1721300</v>
      </c>
      <c r="CJ28">
        <f>VLOOKUP(A28,T!A$2:G$55,6,0)</f>
        <v>20749200</v>
      </c>
      <c r="CK28">
        <f>VLOOKUP(A28,TGT!A$2:G$55,6,0)</f>
        <v>4917200</v>
      </c>
      <c r="CL28">
        <f>VLOOKUP(A28,TWX!A$2:G$55,6,0)</f>
        <v>19324000</v>
      </c>
      <c r="CM28">
        <f>VLOOKUP(A28,TXN!A$2:G$55,6,0)</f>
        <v>6689400</v>
      </c>
      <c r="CN28">
        <f>VLOOKUP(A28,UNH!A$2:G$55,6,0)</f>
        <v>5465400</v>
      </c>
      <c r="CO28">
        <f>VLOOKUP(A28,UNP!A$2:G$55,6,0)</f>
        <v>2340200</v>
      </c>
      <c r="CP28">
        <f>VLOOKUP(A28,UPS!A$2:G$55,6,0)</f>
        <v>3779000</v>
      </c>
      <c r="CQ28">
        <f>VLOOKUP(A28,USB!A$2:G$55,6,0)</f>
        <v>5578600</v>
      </c>
      <c r="CR28">
        <f>VLOOKUP(A28,UTX!A$2:G$55,6,0)</f>
        <v>4155700</v>
      </c>
      <c r="CS28">
        <f>VLOOKUP(A28,V!A$2:G$55,6,0)</f>
        <v>2392000</v>
      </c>
      <c r="CT28">
        <f>VLOOKUP(A28,VZ!A$2:G$55,6,0)</f>
        <v>12143700</v>
      </c>
      <c r="CU28">
        <f>VLOOKUP(A28,WAG!A$2:G$55,6,0)</f>
        <v>33620800</v>
      </c>
      <c r="CV28">
        <f>VLOOKUP(A28,WFC!A$2:G$55,6,0)</f>
        <v>14109100</v>
      </c>
      <c r="CW28">
        <f>VLOOKUP(A28,WMT!A$2:G$55,6,0)</f>
        <v>7049000</v>
      </c>
    </row>
    <row r="29" spans="1:101" x14ac:dyDescent="0.25">
      <c r="A29" s="34">
        <v>41859</v>
      </c>
      <c r="B29" s="36">
        <v>41865000</v>
      </c>
      <c r="C29">
        <f>VLOOKUP(A29,ABBV!A$2:G$55,6,0)</f>
        <v>13117700</v>
      </c>
      <c r="D29">
        <f>VLOOKUP(A29,ABT!A$2:G$55,6,0)</f>
        <v>4417600</v>
      </c>
      <c r="E29">
        <f>VLOOKUP(A29,ACN!A$2:G$55,6,0)</f>
        <v>2523000</v>
      </c>
      <c r="F29">
        <f>VLOOKUP(A29,AIG!A$2:G$55,6,0)</f>
        <v>8128800</v>
      </c>
      <c r="G29">
        <f>VLOOKUP(A29,ALL!A$2:G$55,6,0)</f>
        <v>2628400</v>
      </c>
      <c r="H29">
        <f>VLOOKUP(A29,AMGN!A$2:G$55,6,0)</f>
        <v>2206800</v>
      </c>
      <c r="I29">
        <f>VLOOKUP(A29,AMZN!A$2:G$55,6,0)</f>
        <v>2705900</v>
      </c>
      <c r="J29">
        <f>VLOOKUP(A29,APA!A$2:G$55,6,0)</f>
        <v>1895300</v>
      </c>
      <c r="K29">
        <f>VLOOKUP(A29,APC!A$2:G$55,6,0)</f>
        <v>3376900</v>
      </c>
      <c r="L29">
        <f>VLOOKUP(A29,AXP!A$2:G$55,6,0)</f>
        <v>4206700</v>
      </c>
      <c r="M29">
        <f>VLOOKUP(A29,BA!A$2:G$55,6,0)</f>
        <v>4348900</v>
      </c>
      <c r="N29">
        <f>VLOOKUP(A29,BAC!A$2:G$55,6,0)</f>
        <v>54495000</v>
      </c>
      <c r="O29">
        <f>VLOOKUP(A29,BAX!A$2:G$55,6,0)</f>
        <v>2173900</v>
      </c>
      <c r="P29">
        <f>VLOOKUP(A29,BIIB!A$2:G$55,6,0)</f>
        <v>1196900</v>
      </c>
      <c r="Q29">
        <f>VLOOKUP(A29,BK!A$2:G$55,6,0)</f>
        <v>8204300</v>
      </c>
      <c r="R29">
        <f>VLOOKUP(A29,BMY!A$2:G$55,6,0)</f>
        <v>4408700</v>
      </c>
      <c r="T29">
        <f>VLOOKUP(A29,'C'!A$2:G$55,6,0)</f>
        <v>12001500</v>
      </c>
      <c r="U29">
        <f>VLOOKUP(A29,CAT!A$2:G$55,6,0)</f>
        <v>4690200</v>
      </c>
      <c r="V29">
        <f>VLOOKUP(A29,CL!A$2:G$55,6,0)</f>
        <v>2175300</v>
      </c>
      <c r="W29">
        <f>VLOOKUP(A29,CMCSA!A$2:G$55,6,0)</f>
        <v>11842300</v>
      </c>
      <c r="X29">
        <f>VLOOKUP(A29,COF!A$2:G$55,6,0)</f>
        <v>2279600</v>
      </c>
      <c r="Y29">
        <f>VLOOKUP(A29,COP!A$2:G$55,6,0)</f>
        <v>4104900</v>
      </c>
      <c r="Z29">
        <f>VLOOKUP(A29,COST!A$2:G$55,6,0)</f>
        <v>2319900</v>
      </c>
      <c r="AA29">
        <f>VLOOKUP(A29,CSCO!A$2:G$55,6,0)</f>
        <v>21648600</v>
      </c>
      <c r="AB29">
        <f>VLOOKUP(A29,CVS!A$2:G$55,6,0)</f>
        <v>4574600</v>
      </c>
      <c r="AC29">
        <f>VLOOKUP(A29,CVX!A$2:G$55,6,0)</f>
        <v>4730700</v>
      </c>
      <c r="AD29">
        <f>VLOOKUP(A29,DD!A$2:G$55,6,0)</f>
        <v>2816300</v>
      </c>
      <c r="AE29">
        <f>VLOOKUP(A29,DIS!A$2:G$55,6,0)</f>
        <v>6371300</v>
      </c>
      <c r="AF29">
        <f>VLOOKUP(A29,DOW!A$2:G$55,6,0)</f>
        <v>7602700</v>
      </c>
      <c r="AG29">
        <f>VLOOKUP(A29,DVN!A$2:G$55,6,0)</f>
        <v>2153500</v>
      </c>
      <c r="AH29">
        <f>VLOOKUP(A29,EBAY!A$2:G$55,6,0)</f>
        <v>10326800</v>
      </c>
      <c r="AI29">
        <f>VLOOKUP(A29,EMC!A$2:G$55,6,0)</f>
        <v>10925800</v>
      </c>
      <c r="AJ29">
        <f>VLOOKUP(A29,EMR!A$2:G$55,6,0)</f>
        <v>2232500</v>
      </c>
      <c r="AK29">
        <f>VLOOKUP(A29,EXC!A$2:G$55,6,0)</f>
        <v>5967700</v>
      </c>
      <c r="AL29">
        <f>VLOOKUP(A29,F!A$2:G$55,6,0)</f>
        <v>29370400</v>
      </c>
      <c r="AM29">
        <f>VLOOKUP(A29,FB!A$2:G$55,6,0)</f>
        <v>27155700</v>
      </c>
      <c r="AN29">
        <f>VLOOKUP(A29,FCX!A$2:G$55,6,0)</f>
        <v>5731600</v>
      </c>
      <c r="AO29">
        <f>VLOOKUP(A29,FDX!A$2:G$55,6,0)</f>
        <v>825500</v>
      </c>
      <c r="AP29">
        <f>VLOOKUP(A29,FOXA!A$2:G$55,6,0)</f>
        <v>18765000</v>
      </c>
      <c r="AQ29">
        <f>VLOOKUP(A29,GD!A$2:G$55,6,0)</f>
        <v>1873500</v>
      </c>
      <c r="AR29">
        <f>VLOOKUP(A29,GE!A$2:G$55,6,0)</f>
        <v>22929500</v>
      </c>
      <c r="AS29">
        <f>VLOOKUP(A29,GILD!A$2:G$55,6,0)</f>
        <v>9820800</v>
      </c>
      <c r="AT29">
        <f>VLOOKUP(A29,GM!A$2:G$55,6,0)</f>
        <v>9935600</v>
      </c>
      <c r="AU29">
        <f>VLOOKUP(A29,GOOG!A$2:G$55,6,0)</f>
        <v>1490700</v>
      </c>
      <c r="AV29">
        <f>VLOOKUP(A29,GOOGL!A$2:G$55,6,0)</f>
        <v>1493300</v>
      </c>
      <c r="AW29">
        <f>VLOOKUP(A29,GS!A$2:G$55,6,0)</f>
        <v>2250900</v>
      </c>
      <c r="AX29">
        <f>VLOOKUP(A29,HAL!A$2:G$55,6,0)</f>
        <v>5645600</v>
      </c>
      <c r="AY29">
        <f>VLOOKUP(A29,HD!A$2:G$55,6,0)</f>
        <v>7226500</v>
      </c>
      <c r="AZ29">
        <f>VLOOKUP(A29,HON!A$2:G$55,6,0)</f>
        <v>2923800</v>
      </c>
      <c r="BA29">
        <f>VLOOKUP(A29,HPQ!A$2:G$55,6,0)</f>
        <v>5649000</v>
      </c>
      <c r="BB29">
        <f>VLOOKUP(A29,IBM!A$2:G$55,6,0)</f>
        <v>2781500</v>
      </c>
      <c r="BC29">
        <f>VLOOKUP(A29,INTC!A$2:G$55,6,0)</f>
        <v>35484000</v>
      </c>
      <c r="BD29">
        <f>VLOOKUP(A29,JNJ!A$2:G$55,6,0)</f>
        <v>5618400</v>
      </c>
      <c r="BE29">
        <f>VLOOKUP(A29,JPM!A$2:G$55,6,0)</f>
        <v>12181000</v>
      </c>
      <c r="BF29">
        <f>VLOOKUP(A29,KO!A$2:G$55,6,0)</f>
        <v>13667000</v>
      </c>
      <c r="BG29">
        <f>VLOOKUP(A29,LLY!A$2:G$55,6,0)</f>
        <v>2665400</v>
      </c>
      <c r="BH29">
        <f>VLOOKUP(A29,LMT!A$2:G$55,6,0)</f>
        <v>1196000</v>
      </c>
      <c r="BI29">
        <f>VLOOKUP(A29,LOW!A$2:G$55,6,0)</f>
        <v>7386400</v>
      </c>
      <c r="BJ29">
        <f>VLOOKUP(A29,MA!A$2:G$55,6,0)</f>
        <v>3614300</v>
      </c>
      <c r="BK29">
        <f>VLOOKUP(A29,MCD!A$2:G$55,6,0)</f>
        <v>6505900</v>
      </c>
      <c r="BL29">
        <f>VLOOKUP(A29,MDLZ!A$2:G$55,6,0)</f>
        <v>5140400</v>
      </c>
      <c r="BM29">
        <f>VLOOKUP(A29,MDT!A$2:G$55,6,0)</f>
        <v>10209500</v>
      </c>
      <c r="BN29">
        <f>VLOOKUP(A29,MET!A$2:G$55,6,0)</f>
        <v>5160500</v>
      </c>
      <c r="BO29">
        <f>VLOOKUP(A29,MMM!A$2:G$55,6,0)</f>
        <v>2702600</v>
      </c>
      <c r="BP29">
        <f>VLOOKUP(A29,MO!A$2:G$55,6,0)</f>
        <v>4407600</v>
      </c>
      <c r="BQ29">
        <f>VLOOKUP(A29,MON!A$2:G$55,6,0)</f>
        <v>2998900</v>
      </c>
      <c r="BR29">
        <f>VLOOKUP(A29,MRK!A$2:G$55,6,0)</f>
        <v>7081500</v>
      </c>
      <c r="BS29">
        <f>VLOOKUP(A29,MS!A$2:G$55,6,0)</f>
        <v>8512700</v>
      </c>
      <c r="BT29">
        <f>VLOOKUP(A29,MSFT!A$2:G$55,6,0)</f>
        <v>28942700</v>
      </c>
      <c r="BU29">
        <f>VLOOKUP(A29,NKE!A$2:G$55,6,0)</f>
        <v>3357400</v>
      </c>
      <c r="BV29">
        <f>VLOOKUP(A29,NOV!A$2:G$55,6,0)</f>
        <v>4121000</v>
      </c>
      <c r="BW29">
        <f>VLOOKUP(A29,NSC!A$2:G$55,6,0)</f>
        <v>1720800</v>
      </c>
      <c r="BX29">
        <f>VLOOKUP(A29,ORCL!A$2:G$55,6,0)</f>
        <v>8862000</v>
      </c>
      <c r="BY29">
        <f>VLOOKUP(A29,OXY!A$2:G$55,6,0)</f>
        <v>3005800</v>
      </c>
      <c r="BZ29">
        <f>VLOOKUP(A29,PEP!A$2:G$55,6,0)</f>
        <v>4739900</v>
      </c>
      <c r="CA29">
        <f>VLOOKUP(A29,PFE!A$2:G$55,6,0)</f>
        <v>30089700</v>
      </c>
      <c r="CB29">
        <f>VLOOKUP(A29,PG!A$2:G$55,6,0)</f>
        <v>6202900</v>
      </c>
      <c r="CC29">
        <f>VLOOKUP(A29,PM!A$2:G$55,6,0)</f>
        <v>3809400</v>
      </c>
      <c r="CD29">
        <f>VLOOKUP(A29,QCOM!A$2:G$55,6,0)</f>
        <v>9140700</v>
      </c>
      <c r="CE29">
        <f>VLOOKUP(A29,RTN!A$2:G$55,6,0)</f>
        <v>1450100</v>
      </c>
      <c r="CF29">
        <f>VLOOKUP(A29,SBUX!A$2:G$55,6,0)</f>
        <v>2978600</v>
      </c>
      <c r="CG29">
        <f>VLOOKUP(A29,SLB!A$2:G$55,6,0)</f>
        <v>4168900</v>
      </c>
      <c r="CH29">
        <f>VLOOKUP(A29,SO!A$2:G$55,6,0)</f>
        <v>4982400</v>
      </c>
      <c r="CI29">
        <f>VLOOKUP(A29,SPG!A$2:G$55,6,0)</f>
        <v>1628600</v>
      </c>
      <c r="CJ29">
        <f>VLOOKUP(A29,T!A$2:G$55,6,0)</f>
        <v>18755100</v>
      </c>
      <c r="CK29">
        <f>VLOOKUP(A29,TGT!A$2:G$55,6,0)</f>
        <v>4710700</v>
      </c>
      <c r="CL29">
        <f>VLOOKUP(A29,TWX!A$2:G$55,6,0)</f>
        <v>7885400</v>
      </c>
      <c r="CM29">
        <f>VLOOKUP(A29,TXN!A$2:G$55,6,0)</f>
        <v>4992300</v>
      </c>
      <c r="CN29">
        <f>VLOOKUP(A29,UNH!A$2:G$55,6,0)</f>
        <v>3713400</v>
      </c>
      <c r="CO29">
        <f>VLOOKUP(A29,UNP!A$2:G$55,6,0)</f>
        <v>2415400</v>
      </c>
      <c r="CP29">
        <f>VLOOKUP(A29,UPS!A$2:G$55,6,0)</f>
        <v>3450800</v>
      </c>
      <c r="CQ29">
        <f>VLOOKUP(A29,USB!A$2:G$55,6,0)</f>
        <v>6066900</v>
      </c>
      <c r="CR29">
        <f>VLOOKUP(A29,UTX!A$2:G$55,6,0)</f>
        <v>4479800</v>
      </c>
      <c r="CS29">
        <f>VLOOKUP(A29,V!A$2:G$55,6,0)</f>
        <v>2314200</v>
      </c>
      <c r="CT29">
        <f>VLOOKUP(A29,VZ!A$2:G$55,6,0)</f>
        <v>15395200</v>
      </c>
      <c r="CU29">
        <f>VLOOKUP(A29,WAG!A$2:G$55,6,0)</f>
        <v>26909900</v>
      </c>
      <c r="CV29">
        <f>VLOOKUP(A29,WFC!A$2:G$55,6,0)</f>
        <v>14563200</v>
      </c>
      <c r="CW29">
        <f>VLOOKUP(A29,WMT!A$2:G$55,6,0)</f>
        <v>4996300</v>
      </c>
    </row>
    <row r="30" spans="1:101" x14ac:dyDescent="0.25">
      <c r="A30" s="34">
        <v>41862</v>
      </c>
      <c r="B30" s="36">
        <v>36585000</v>
      </c>
      <c r="C30">
        <f>VLOOKUP(A30,ABBV!A$2:G$55,6,0)</f>
        <v>10063300</v>
      </c>
      <c r="D30">
        <f>VLOOKUP(A30,ABT!A$2:G$55,6,0)</f>
        <v>2630400</v>
      </c>
      <c r="E30">
        <f>VLOOKUP(A30,ACN!A$2:G$55,6,0)</f>
        <v>2931600</v>
      </c>
      <c r="F30">
        <f>VLOOKUP(A30,AIG!A$2:G$55,6,0)</f>
        <v>6152200</v>
      </c>
      <c r="G30">
        <f>VLOOKUP(A30,ALL!A$2:G$55,6,0)</f>
        <v>2272600</v>
      </c>
      <c r="H30">
        <f>VLOOKUP(A30,AMGN!A$2:G$55,6,0)</f>
        <v>2529200</v>
      </c>
      <c r="I30">
        <f>VLOOKUP(A30,AMZN!A$2:G$55,6,0)</f>
        <v>2468600</v>
      </c>
      <c r="J30">
        <f>VLOOKUP(A30,APA!A$2:G$55,6,0)</f>
        <v>1887500</v>
      </c>
      <c r="K30">
        <f>VLOOKUP(A30,APC!A$2:G$55,6,0)</f>
        <v>2982100</v>
      </c>
      <c r="L30">
        <f>VLOOKUP(A30,AXP!A$2:G$55,6,0)</f>
        <v>3354600</v>
      </c>
      <c r="M30">
        <f>VLOOKUP(A30,BA!A$2:G$55,6,0)</f>
        <v>2807900</v>
      </c>
      <c r="N30">
        <f>VLOOKUP(A30,BAC!A$2:G$55,6,0)</f>
        <v>41545100</v>
      </c>
      <c r="O30">
        <f>VLOOKUP(A30,BAX!A$2:G$55,6,0)</f>
        <v>1612500</v>
      </c>
      <c r="P30">
        <f>VLOOKUP(A30,BIIB!A$2:G$55,6,0)</f>
        <v>983000</v>
      </c>
      <c r="Q30">
        <f>VLOOKUP(A30,BK!A$2:G$55,6,0)</f>
        <v>10707100</v>
      </c>
      <c r="R30">
        <f>VLOOKUP(A30,BMY!A$2:G$55,6,0)</f>
        <v>3597200</v>
      </c>
      <c r="T30">
        <f>VLOOKUP(A30,'C'!A$2:G$55,6,0)</f>
        <v>9130300</v>
      </c>
      <c r="U30">
        <f>VLOOKUP(A30,CAT!A$2:G$55,6,0)</f>
        <v>5197900</v>
      </c>
      <c r="V30">
        <f>VLOOKUP(A30,CL!A$2:G$55,6,0)</f>
        <v>4085500</v>
      </c>
      <c r="W30">
        <f>VLOOKUP(A30,CMCSA!A$2:G$55,6,0)</f>
        <v>7808500</v>
      </c>
      <c r="X30">
        <f>VLOOKUP(A30,COF!A$2:G$55,6,0)</f>
        <v>1745100</v>
      </c>
      <c r="Y30">
        <f>VLOOKUP(A30,COP!A$2:G$55,6,0)</f>
        <v>3583300</v>
      </c>
      <c r="Z30">
        <f>VLOOKUP(A30,COST!A$2:G$55,6,0)</f>
        <v>1227600</v>
      </c>
      <c r="AA30">
        <f>VLOOKUP(A30,CSCO!A$2:G$55,6,0)</f>
        <v>25946200</v>
      </c>
      <c r="AB30">
        <f>VLOOKUP(A30,CVS!A$2:G$55,6,0)</f>
        <v>3248700</v>
      </c>
      <c r="AC30">
        <f>VLOOKUP(A30,CVX!A$2:G$55,6,0)</f>
        <v>3466500</v>
      </c>
      <c r="AD30">
        <f>VLOOKUP(A30,DD!A$2:G$55,6,0)</f>
        <v>3010900</v>
      </c>
      <c r="AE30">
        <f>VLOOKUP(A30,DIS!A$2:G$55,6,0)</f>
        <v>5047900</v>
      </c>
      <c r="AF30">
        <f>VLOOKUP(A30,DOW!A$2:G$55,6,0)</f>
        <v>5428800</v>
      </c>
      <c r="AG30">
        <f>VLOOKUP(A30,DVN!A$2:G$55,6,0)</f>
        <v>1624700</v>
      </c>
      <c r="AH30">
        <f>VLOOKUP(A30,EBAY!A$2:G$55,6,0)</f>
        <v>7929400</v>
      </c>
      <c r="AI30">
        <f>VLOOKUP(A30,EMC!A$2:G$55,6,0)</f>
        <v>15948800</v>
      </c>
      <c r="AJ30">
        <f>VLOOKUP(A30,EMR!A$2:G$55,6,0)</f>
        <v>2064500</v>
      </c>
      <c r="AK30">
        <f>VLOOKUP(A30,EXC!A$2:G$55,6,0)</f>
        <v>4956100</v>
      </c>
      <c r="AL30">
        <f>VLOOKUP(A30,F!A$2:G$55,6,0)</f>
        <v>17814900</v>
      </c>
      <c r="AM30">
        <f>VLOOKUP(A30,FB!A$2:G$55,6,0)</f>
        <v>24544100</v>
      </c>
      <c r="AN30">
        <f>VLOOKUP(A30,FCX!A$2:G$55,6,0)</f>
        <v>6927200</v>
      </c>
      <c r="AO30">
        <f>VLOOKUP(A30,FDX!A$2:G$55,6,0)</f>
        <v>790900</v>
      </c>
      <c r="AP30">
        <f>VLOOKUP(A30,FOXA!A$2:G$55,6,0)</f>
        <v>19259700</v>
      </c>
      <c r="AQ30">
        <f>VLOOKUP(A30,GD!A$2:G$55,6,0)</f>
        <v>1139000</v>
      </c>
      <c r="AR30">
        <f>VLOOKUP(A30,GE!A$2:G$55,6,0)</f>
        <v>27873100</v>
      </c>
      <c r="AS30">
        <f>VLOOKUP(A30,GILD!A$2:G$55,6,0)</f>
        <v>8575000</v>
      </c>
      <c r="AT30">
        <f>VLOOKUP(A30,GM!A$2:G$55,6,0)</f>
        <v>10873700</v>
      </c>
      <c r="AU30">
        <f>VLOOKUP(A30,GOOG!A$2:G$55,6,0)</f>
        <v>1211400</v>
      </c>
      <c r="AV30">
        <f>VLOOKUP(A30,GOOGL!A$2:G$55,6,0)</f>
        <v>1171300</v>
      </c>
      <c r="AW30">
        <f>VLOOKUP(A30,GS!A$2:G$55,6,0)</f>
        <v>2098000</v>
      </c>
      <c r="AX30">
        <f>VLOOKUP(A30,HAL!A$2:G$55,6,0)</f>
        <v>6182100</v>
      </c>
      <c r="AY30">
        <f>VLOOKUP(A30,HD!A$2:G$55,6,0)</f>
        <v>3952000</v>
      </c>
      <c r="AZ30">
        <f>VLOOKUP(A30,HON!A$2:G$55,6,0)</f>
        <v>2812000</v>
      </c>
      <c r="BA30">
        <f>VLOOKUP(A30,HPQ!A$2:G$55,6,0)</f>
        <v>5976000</v>
      </c>
      <c r="BB30">
        <f>VLOOKUP(A30,IBM!A$2:G$55,6,0)</f>
        <v>2527200</v>
      </c>
      <c r="BC30">
        <f>VLOOKUP(A30,INTC!A$2:G$55,6,0)</f>
        <v>27718600</v>
      </c>
      <c r="BD30">
        <f>VLOOKUP(A30,JNJ!A$2:G$55,6,0)</f>
        <v>5703000</v>
      </c>
      <c r="BE30">
        <f>VLOOKUP(A30,JPM!A$2:G$55,6,0)</f>
        <v>8721100</v>
      </c>
      <c r="BF30">
        <f>VLOOKUP(A30,KO!A$2:G$55,6,0)</f>
        <v>14102600</v>
      </c>
      <c r="BG30">
        <f>VLOOKUP(A30,LLY!A$2:G$55,6,0)</f>
        <v>2850400</v>
      </c>
      <c r="BH30">
        <f>VLOOKUP(A30,LMT!A$2:G$55,6,0)</f>
        <v>801800</v>
      </c>
      <c r="BI30">
        <f>VLOOKUP(A30,LOW!A$2:G$55,6,0)</f>
        <v>4070500</v>
      </c>
      <c r="BJ30">
        <f>VLOOKUP(A30,MA!A$2:G$55,6,0)</f>
        <v>3546600</v>
      </c>
      <c r="BK30">
        <f>VLOOKUP(A30,MCD!A$2:G$55,6,0)</f>
        <v>4288400</v>
      </c>
      <c r="BL30">
        <f>VLOOKUP(A30,MDLZ!A$2:G$55,6,0)</f>
        <v>6642200</v>
      </c>
      <c r="BM30">
        <f>VLOOKUP(A30,MDT!A$2:G$55,6,0)</f>
        <v>5580900</v>
      </c>
      <c r="BN30">
        <f>VLOOKUP(A30,MET!A$2:G$55,6,0)</f>
        <v>7767900</v>
      </c>
      <c r="BO30">
        <f>VLOOKUP(A30,MMM!A$2:G$55,6,0)</f>
        <v>1919100</v>
      </c>
      <c r="BP30">
        <f>VLOOKUP(A30,MO!A$2:G$55,6,0)</f>
        <v>6134700</v>
      </c>
      <c r="BQ30">
        <f>VLOOKUP(A30,MON!A$2:G$55,6,0)</f>
        <v>3208000</v>
      </c>
      <c r="BR30">
        <f>VLOOKUP(A30,MRK!A$2:G$55,6,0)</f>
        <v>5499100</v>
      </c>
      <c r="BS30">
        <f>VLOOKUP(A30,MS!A$2:G$55,6,0)</f>
        <v>6540300</v>
      </c>
      <c r="BT30">
        <f>VLOOKUP(A30,MSFT!A$2:G$55,6,0)</f>
        <v>20351600</v>
      </c>
      <c r="BU30">
        <f>VLOOKUP(A30,NKE!A$2:G$55,6,0)</f>
        <v>3914300</v>
      </c>
      <c r="BV30">
        <f>VLOOKUP(A30,NOV!A$2:G$55,6,0)</f>
        <v>2452000</v>
      </c>
      <c r="BW30">
        <f>VLOOKUP(A30,NSC!A$2:G$55,6,0)</f>
        <v>1467900</v>
      </c>
      <c r="BX30">
        <f>VLOOKUP(A30,ORCL!A$2:G$55,6,0)</f>
        <v>10292800</v>
      </c>
      <c r="BY30">
        <f>VLOOKUP(A30,OXY!A$2:G$55,6,0)</f>
        <v>2471600</v>
      </c>
      <c r="BZ30">
        <f>VLOOKUP(A30,PEP!A$2:G$55,6,0)</f>
        <v>5231100</v>
      </c>
      <c r="CA30">
        <f>VLOOKUP(A30,PFE!A$2:G$55,6,0)</f>
        <v>21382600</v>
      </c>
      <c r="CB30">
        <f>VLOOKUP(A30,PG!A$2:G$55,6,0)</f>
        <v>8188000</v>
      </c>
      <c r="CC30">
        <f>VLOOKUP(A30,PM!A$2:G$55,6,0)</f>
        <v>3414500</v>
      </c>
      <c r="CD30">
        <f>VLOOKUP(A30,QCOM!A$2:G$55,6,0)</f>
        <v>8818500</v>
      </c>
      <c r="CE30">
        <f>VLOOKUP(A30,RTN!A$2:G$55,6,0)</f>
        <v>1210900</v>
      </c>
      <c r="CF30">
        <f>VLOOKUP(A30,SBUX!A$2:G$55,6,0)</f>
        <v>2256700</v>
      </c>
      <c r="CG30">
        <f>VLOOKUP(A30,SLB!A$2:G$55,6,0)</f>
        <v>5354100</v>
      </c>
      <c r="CH30">
        <f>VLOOKUP(A30,SO!A$2:G$55,6,0)</f>
        <v>4739800</v>
      </c>
      <c r="CI30">
        <f>VLOOKUP(A30,SPG!A$2:G$55,6,0)</f>
        <v>1097900</v>
      </c>
      <c r="CJ30">
        <f>VLOOKUP(A30,T!A$2:G$55,6,0)</f>
        <v>14705400</v>
      </c>
      <c r="CK30">
        <f>VLOOKUP(A30,TGT!A$2:G$55,6,0)</f>
        <v>2788100</v>
      </c>
      <c r="CL30">
        <f>VLOOKUP(A30,TWX!A$2:G$55,6,0)</f>
        <v>7335000</v>
      </c>
      <c r="CM30">
        <f>VLOOKUP(A30,TXN!A$2:G$55,6,0)</f>
        <v>3393300</v>
      </c>
      <c r="CN30">
        <f>VLOOKUP(A30,UNH!A$2:G$55,6,0)</f>
        <v>3460000</v>
      </c>
      <c r="CO30">
        <f>VLOOKUP(A30,UNP!A$2:G$55,6,0)</f>
        <v>3019400</v>
      </c>
      <c r="CP30">
        <f>VLOOKUP(A30,UPS!A$2:G$55,6,0)</f>
        <v>2971100</v>
      </c>
      <c r="CQ30">
        <f>VLOOKUP(A30,USB!A$2:G$55,6,0)</f>
        <v>3805500</v>
      </c>
      <c r="CR30">
        <f>VLOOKUP(A30,UTX!A$2:G$55,6,0)</f>
        <v>3262600</v>
      </c>
      <c r="CS30">
        <f>VLOOKUP(A30,V!A$2:G$55,6,0)</f>
        <v>2254600</v>
      </c>
      <c r="CT30">
        <f>VLOOKUP(A30,VZ!A$2:G$55,6,0)</f>
        <v>11827600</v>
      </c>
      <c r="CU30">
        <f>VLOOKUP(A30,WAG!A$2:G$55,6,0)</f>
        <v>10249300</v>
      </c>
      <c r="CV30">
        <f>VLOOKUP(A30,WFC!A$2:G$55,6,0)</f>
        <v>14666400</v>
      </c>
      <c r="CW30">
        <f>VLOOKUP(A30,WMT!A$2:G$55,6,0)</f>
        <v>4721400</v>
      </c>
    </row>
    <row r="31" spans="1:101" x14ac:dyDescent="0.25">
      <c r="A31" s="34">
        <v>41863</v>
      </c>
      <c r="B31" s="36">
        <v>33795000</v>
      </c>
      <c r="C31">
        <f>VLOOKUP(A31,ABBV!A$2:G$55,6,0)</f>
        <v>8524600</v>
      </c>
      <c r="D31">
        <f>VLOOKUP(A31,ABT!A$2:G$55,6,0)</f>
        <v>3337500</v>
      </c>
      <c r="E31">
        <f>VLOOKUP(A31,ACN!A$2:G$55,6,0)</f>
        <v>2062500</v>
      </c>
      <c r="F31">
        <f>VLOOKUP(A31,AIG!A$2:G$55,6,0)</f>
        <v>8064200</v>
      </c>
      <c r="G31">
        <f>VLOOKUP(A31,ALL!A$2:G$55,6,0)</f>
        <v>3453200</v>
      </c>
      <c r="H31">
        <f>VLOOKUP(A31,AMGN!A$2:G$55,6,0)</f>
        <v>2324500</v>
      </c>
      <c r="I31">
        <f>VLOOKUP(A31,AMZN!A$2:G$55,6,0)</f>
        <v>1915800</v>
      </c>
      <c r="J31">
        <f>VLOOKUP(A31,APA!A$2:G$55,6,0)</f>
        <v>2691100</v>
      </c>
      <c r="K31">
        <f>VLOOKUP(A31,APC!A$2:G$55,6,0)</f>
        <v>4306200</v>
      </c>
      <c r="L31">
        <f>VLOOKUP(A31,AXP!A$2:G$55,6,0)</f>
        <v>3106600</v>
      </c>
      <c r="M31">
        <f>VLOOKUP(A31,BA!A$2:G$55,6,0)</f>
        <v>2303500</v>
      </c>
      <c r="N31">
        <f>VLOOKUP(A31,BAC!A$2:G$55,6,0)</f>
        <v>33674400</v>
      </c>
      <c r="O31">
        <f>VLOOKUP(A31,BAX!A$2:G$55,6,0)</f>
        <v>1463200</v>
      </c>
      <c r="P31">
        <f>VLOOKUP(A31,BIIB!A$2:G$55,6,0)</f>
        <v>1045600</v>
      </c>
      <c r="Q31">
        <f>VLOOKUP(A31,BK!A$2:G$55,6,0)</f>
        <v>7330200</v>
      </c>
      <c r="R31">
        <f>VLOOKUP(A31,BMY!A$2:G$55,6,0)</f>
        <v>4565900</v>
      </c>
      <c r="T31">
        <f>VLOOKUP(A31,'C'!A$2:G$55,6,0)</f>
        <v>9238600</v>
      </c>
      <c r="U31">
        <f>VLOOKUP(A31,CAT!A$2:G$55,6,0)</f>
        <v>4200900</v>
      </c>
      <c r="V31">
        <f>VLOOKUP(A31,CL!A$2:G$55,6,0)</f>
        <v>4138700</v>
      </c>
      <c r="W31">
        <f>VLOOKUP(A31,CMCSA!A$2:G$55,6,0)</f>
        <v>8307400</v>
      </c>
      <c r="X31">
        <f>VLOOKUP(A31,COF!A$2:G$55,6,0)</f>
        <v>2927200</v>
      </c>
      <c r="Y31">
        <f>VLOOKUP(A31,COP!A$2:G$55,6,0)</f>
        <v>4046400</v>
      </c>
      <c r="Z31">
        <f>VLOOKUP(A31,COST!A$2:G$55,6,0)</f>
        <v>1082100</v>
      </c>
      <c r="AA31">
        <f>VLOOKUP(A31,CSCO!A$2:G$55,6,0)</f>
        <v>21928200</v>
      </c>
      <c r="AB31">
        <f>VLOOKUP(A31,CVS!A$2:G$55,6,0)</f>
        <v>2425000</v>
      </c>
      <c r="AC31">
        <f>VLOOKUP(A31,CVX!A$2:G$55,6,0)</f>
        <v>4944100</v>
      </c>
      <c r="AD31">
        <f>VLOOKUP(A31,DD!A$2:G$55,6,0)</f>
        <v>3874100</v>
      </c>
      <c r="AE31">
        <f>VLOOKUP(A31,DIS!A$2:G$55,6,0)</f>
        <v>4510100</v>
      </c>
      <c r="AF31">
        <f>VLOOKUP(A31,DOW!A$2:G$55,6,0)</f>
        <v>4255200</v>
      </c>
      <c r="AG31">
        <f>VLOOKUP(A31,DVN!A$2:G$55,6,0)</f>
        <v>3239200</v>
      </c>
      <c r="AH31">
        <f>VLOOKUP(A31,EBAY!A$2:G$55,6,0)</f>
        <v>7719000</v>
      </c>
      <c r="AI31">
        <f>VLOOKUP(A31,EMC!A$2:G$55,6,0)</f>
        <v>9545500</v>
      </c>
      <c r="AJ31">
        <f>VLOOKUP(A31,EMR!A$2:G$55,6,0)</f>
        <v>2099500</v>
      </c>
      <c r="AK31">
        <f>VLOOKUP(A31,EXC!A$2:G$55,6,0)</f>
        <v>4970700</v>
      </c>
      <c r="AL31">
        <f>VLOOKUP(A31,F!A$2:G$55,6,0)</f>
        <v>25514800</v>
      </c>
      <c r="AM31">
        <f>VLOOKUP(A31,FB!A$2:G$55,6,0)</f>
        <v>27374400</v>
      </c>
      <c r="AN31">
        <f>VLOOKUP(A31,FCX!A$2:G$55,6,0)</f>
        <v>4620900</v>
      </c>
      <c r="AO31">
        <f>VLOOKUP(A31,FDX!A$2:G$55,6,0)</f>
        <v>495400</v>
      </c>
      <c r="AP31">
        <f>VLOOKUP(A31,FOXA!A$2:G$55,6,0)</f>
        <v>17794400</v>
      </c>
      <c r="AQ31">
        <f>VLOOKUP(A31,GD!A$2:G$55,6,0)</f>
        <v>936800</v>
      </c>
      <c r="AR31">
        <f>VLOOKUP(A31,GE!A$2:G$55,6,0)</f>
        <v>21780300</v>
      </c>
      <c r="AS31">
        <f>VLOOKUP(A31,GILD!A$2:G$55,6,0)</f>
        <v>10587800</v>
      </c>
      <c r="AT31">
        <f>VLOOKUP(A31,GM!A$2:G$55,6,0)</f>
        <v>10304000</v>
      </c>
      <c r="AU31">
        <f>VLOOKUP(A31,GOOG!A$2:G$55,6,0)</f>
        <v>1537800</v>
      </c>
      <c r="AV31">
        <f>VLOOKUP(A31,GOOGL!A$2:G$55,6,0)</f>
        <v>1394500</v>
      </c>
      <c r="AW31">
        <f>VLOOKUP(A31,GS!A$2:G$55,6,0)</f>
        <v>1362900</v>
      </c>
      <c r="AX31">
        <f>VLOOKUP(A31,HAL!A$2:G$55,6,0)</f>
        <v>5067300</v>
      </c>
      <c r="AY31">
        <f>VLOOKUP(A31,HD!A$2:G$55,6,0)</f>
        <v>3657100</v>
      </c>
      <c r="AZ31">
        <f>VLOOKUP(A31,HON!A$2:G$55,6,0)</f>
        <v>2197300</v>
      </c>
      <c r="BA31">
        <f>VLOOKUP(A31,HPQ!A$2:G$55,6,0)</f>
        <v>4844500</v>
      </c>
      <c r="BB31">
        <f>VLOOKUP(A31,IBM!A$2:G$55,6,0)</f>
        <v>1858600</v>
      </c>
      <c r="BC31">
        <f>VLOOKUP(A31,INTC!A$2:G$55,6,0)</f>
        <v>24805600</v>
      </c>
      <c r="BD31">
        <f>VLOOKUP(A31,JNJ!A$2:G$55,6,0)</f>
        <v>4577700</v>
      </c>
      <c r="BE31">
        <f>VLOOKUP(A31,JPM!A$2:G$55,6,0)</f>
        <v>11289600</v>
      </c>
      <c r="BF31">
        <f>VLOOKUP(A31,KO!A$2:G$55,6,0)</f>
        <v>13297500</v>
      </c>
      <c r="BG31">
        <f>VLOOKUP(A31,LLY!A$2:G$55,6,0)</f>
        <v>3481500</v>
      </c>
      <c r="BH31">
        <f>VLOOKUP(A31,LMT!A$2:G$55,6,0)</f>
        <v>779500</v>
      </c>
      <c r="BI31">
        <f>VLOOKUP(A31,LOW!A$2:G$55,6,0)</f>
        <v>3287300</v>
      </c>
      <c r="BJ31">
        <f>VLOOKUP(A31,MA!A$2:G$55,6,0)</f>
        <v>2752400</v>
      </c>
      <c r="BK31">
        <f>VLOOKUP(A31,MCD!A$2:G$55,6,0)</f>
        <v>3235900</v>
      </c>
      <c r="BL31">
        <f>VLOOKUP(A31,MDLZ!A$2:G$55,6,0)</f>
        <v>5447100</v>
      </c>
      <c r="BM31">
        <f>VLOOKUP(A31,MDT!A$2:G$55,6,0)</f>
        <v>4420500</v>
      </c>
      <c r="BN31">
        <f>VLOOKUP(A31,MET!A$2:G$55,6,0)</f>
        <v>4519500</v>
      </c>
      <c r="BO31">
        <f>VLOOKUP(A31,MMM!A$2:G$55,6,0)</f>
        <v>2176100</v>
      </c>
      <c r="BP31">
        <f>VLOOKUP(A31,MO!A$2:G$55,6,0)</f>
        <v>3843500</v>
      </c>
      <c r="BQ31">
        <f>VLOOKUP(A31,MON!A$2:G$55,6,0)</f>
        <v>2663100</v>
      </c>
      <c r="BR31">
        <f>VLOOKUP(A31,MRK!A$2:G$55,6,0)</f>
        <v>7090200</v>
      </c>
      <c r="BS31">
        <f>VLOOKUP(A31,MS!A$2:G$55,6,0)</f>
        <v>4522600</v>
      </c>
      <c r="BT31">
        <f>VLOOKUP(A31,MSFT!A$2:G$55,6,0)</f>
        <v>21431100</v>
      </c>
      <c r="BU31">
        <f>VLOOKUP(A31,NKE!A$2:G$55,6,0)</f>
        <v>4571000</v>
      </c>
      <c r="BV31">
        <f>VLOOKUP(A31,NOV!A$2:G$55,6,0)</f>
        <v>2081900</v>
      </c>
      <c r="BW31">
        <f>VLOOKUP(A31,NSC!A$2:G$55,6,0)</f>
        <v>1053500</v>
      </c>
      <c r="BX31">
        <f>VLOOKUP(A31,ORCL!A$2:G$55,6,0)</f>
        <v>6704300</v>
      </c>
      <c r="BY31">
        <f>VLOOKUP(A31,OXY!A$2:G$55,6,0)</f>
        <v>2980800</v>
      </c>
      <c r="BZ31">
        <f>VLOOKUP(A31,PEP!A$2:G$55,6,0)</f>
        <v>2776000</v>
      </c>
      <c r="CA31">
        <f>VLOOKUP(A31,PFE!A$2:G$55,6,0)</f>
        <v>20432900</v>
      </c>
      <c r="CB31">
        <f>VLOOKUP(A31,PG!A$2:G$55,6,0)</f>
        <v>6591200</v>
      </c>
      <c r="CC31">
        <f>VLOOKUP(A31,PM!A$2:G$55,6,0)</f>
        <v>2196300</v>
      </c>
      <c r="CD31">
        <f>VLOOKUP(A31,QCOM!A$2:G$55,6,0)</f>
        <v>7790000</v>
      </c>
      <c r="CE31">
        <f>VLOOKUP(A31,RTN!A$2:G$55,6,0)</f>
        <v>1092800</v>
      </c>
      <c r="CF31">
        <f>VLOOKUP(A31,SBUX!A$2:G$55,6,0)</f>
        <v>2361800</v>
      </c>
      <c r="CG31">
        <f>VLOOKUP(A31,SLB!A$2:G$55,6,0)</f>
        <v>4625000</v>
      </c>
      <c r="CH31">
        <f>VLOOKUP(A31,SO!A$2:G$55,6,0)</f>
        <v>3515000</v>
      </c>
      <c r="CI31">
        <f>VLOOKUP(A31,SPG!A$2:G$55,6,0)</f>
        <v>1250900</v>
      </c>
      <c r="CJ31">
        <f>VLOOKUP(A31,T!A$2:G$55,6,0)</f>
        <v>15322900</v>
      </c>
      <c r="CK31">
        <f>VLOOKUP(A31,TGT!A$2:G$55,6,0)</f>
        <v>2946000</v>
      </c>
      <c r="CL31">
        <f>VLOOKUP(A31,TWX!A$2:G$55,6,0)</f>
        <v>6401600</v>
      </c>
      <c r="CM31">
        <f>VLOOKUP(A31,TXN!A$2:G$55,6,0)</f>
        <v>3788200</v>
      </c>
      <c r="CN31">
        <f>VLOOKUP(A31,UNH!A$2:G$55,6,0)</f>
        <v>3206200</v>
      </c>
      <c r="CO31">
        <f>VLOOKUP(A31,UNP!A$2:G$55,6,0)</f>
        <v>2669400</v>
      </c>
      <c r="CP31">
        <f>VLOOKUP(A31,UPS!A$2:G$55,6,0)</f>
        <v>2356800</v>
      </c>
      <c r="CQ31">
        <f>VLOOKUP(A31,USB!A$2:G$55,6,0)</f>
        <v>6327300</v>
      </c>
      <c r="CR31">
        <f>VLOOKUP(A31,UTX!A$2:G$55,6,0)</f>
        <v>4352900</v>
      </c>
      <c r="CS31">
        <f>VLOOKUP(A31,V!A$2:G$55,6,0)</f>
        <v>1610500</v>
      </c>
      <c r="CT31">
        <f>VLOOKUP(A31,VZ!A$2:G$55,6,0)</f>
        <v>12325600</v>
      </c>
      <c r="CU31">
        <f>VLOOKUP(A31,WAG!A$2:G$55,6,0)</f>
        <v>12393200</v>
      </c>
      <c r="CV31">
        <f>VLOOKUP(A31,WFC!A$2:G$55,6,0)</f>
        <v>15219900</v>
      </c>
      <c r="CW31">
        <f>VLOOKUP(A31,WMT!A$2:G$55,6,0)</f>
        <v>3928200</v>
      </c>
    </row>
    <row r="32" spans="1:101" x14ac:dyDescent="0.25">
      <c r="A32" s="34">
        <v>41864</v>
      </c>
      <c r="B32" s="36">
        <v>31916000</v>
      </c>
      <c r="C32">
        <f>VLOOKUP(A32,ABBV!A$2:G$55,6,0)</f>
        <v>9004400</v>
      </c>
      <c r="D32">
        <f>VLOOKUP(A32,ABT!A$2:G$55,6,0)</f>
        <v>3441500</v>
      </c>
      <c r="E32">
        <f>VLOOKUP(A32,ACN!A$2:G$55,6,0)</f>
        <v>2103700</v>
      </c>
      <c r="F32">
        <f>VLOOKUP(A32,AIG!A$2:G$55,6,0)</f>
        <v>8864600</v>
      </c>
      <c r="G32">
        <f>VLOOKUP(A32,ALL!A$2:G$55,6,0)</f>
        <v>2574500</v>
      </c>
      <c r="H32">
        <f>VLOOKUP(A32,AMGN!A$2:G$55,6,0)</f>
        <v>2539700</v>
      </c>
      <c r="I32">
        <f>VLOOKUP(A32,AMZN!A$2:G$55,6,0)</f>
        <v>4939100</v>
      </c>
      <c r="J32">
        <f>VLOOKUP(A32,APA!A$2:G$55,6,0)</f>
        <v>2302300</v>
      </c>
      <c r="K32">
        <f>VLOOKUP(A32,APC!A$2:G$55,6,0)</f>
        <v>2008400</v>
      </c>
      <c r="L32">
        <f>VLOOKUP(A32,AXP!A$2:G$55,6,0)</f>
        <v>2590600</v>
      </c>
      <c r="M32">
        <f>VLOOKUP(A32,BA!A$2:G$55,6,0)</f>
        <v>2645800</v>
      </c>
      <c r="N32">
        <f>VLOOKUP(A32,BAC!A$2:G$55,6,0)</f>
        <v>34394600</v>
      </c>
      <c r="O32">
        <f>VLOOKUP(A32,BAX!A$2:G$55,6,0)</f>
        <v>1498100</v>
      </c>
      <c r="P32">
        <f>VLOOKUP(A32,BIIB!A$2:G$55,6,0)</f>
        <v>1449200</v>
      </c>
      <c r="Q32">
        <f>VLOOKUP(A32,BK!A$2:G$55,6,0)</f>
        <v>5363700</v>
      </c>
      <c r="R32">
        <f>VLOOKUP(A32,BMY!A$2:G$55,6,0)</f>
        <v>5994800</v>
      </c>
      <c r="T32">
        <f>VLOOKUP(A32,'C'!A$2:G$55,6,0)</f>
        <v>8602600</v>
      </c>
      <c r="U32">
        <f>VLOOKUP(A32,CAT!A$2:G$55,6,0)</f>
        <v>4664900</v>
      </c>
      <c r="V32">
        <f>VLOOKUP(A32,CL!A$2:G$55,6,0)</f>
        <v>3686800</v>
      </c>
      <c r="W32">
        <f>VLOOKUP(A32,CMCSA!A$2:G$55,6,0)</f>
        <v>9125900</v>
      </c>
      <c r="X32">
        <f>VLOOKUP(A32,COF!A$2:G$55,6,0)</f>
        <v>2594000</v>
      </c>
      <c r="Y32">
        <f>VLOOKUP(A32,COP!A$2:G$55,6,0)</f>
        <v>3837600</v>
      </c>
      <c r="Z32">
        <f>VLOOKUP(A32,COST!A$2:G$55,6,0)</f>
        <v>1449700</v>
      </c>
      <c r="AA32">
        <f>VLOOKUP(A32,CSCO!A$2:G$55,6,0)</f>
        <v>43545900</v>
      </c>
      <c r="AB32">
        <f>VLOOKUP(A32,CVS!A$2:G$55,6,0)</f>
        <v>3448300</v>
      </c>
      <c r="AC32">
        <f>VLOOKUP(A32,CVX!A$2:G$55,6,0)</f>
        <v>3518200</v>
      </c>
      <c r="AD32">
        <f>VLOOKUP(A32,DD!A$2:G$55,6,0)</f>
        <v>2276700</v>
      </c>
      <c r="AE32">
        <f>VLOOKUP(A32,DIS!A$2:G$55,6,0)</f>
        <v>4532300</v>
      </c>
      <c r="AF32">
        <f>VLOOKUP(A32,DOW!A$2:G$55,6,0)</f>
        <v>3929300</v>
      </c>
      <c r="AG32">
        <f>VLOOKUP(A32,DVN!A$2:G$55,6,0)</f>
        <v>2978900</v>
      </c>
      <c r="AH32">
        <f>VLOOKUP(A32,EBAY!A$2:G$55,6,0)</f>
        <v>12356300</v>
      </c>
      <c r="AI32">
        <f>VLOOKUP(A32,EMC!A$2:G$55,6,0)</f>
        <v>14576600</v>
      </c>
      <c r="AJ32">
        <f>VLOOKUP(A32,EMR!A$2:G$55,6,0)</f>
        <v>3137300</v>
      </c>
      <c r="AK32">
        <f>VLOOKUP(A32,EXC!A$2:G$55,6,0)</f>
        <v>3471900</v>
      </c>
      <c r="AL32">
        <f>VLOOKUP(A32,F!A$2:G$55,6,0)</f>
        <v>26177800</v>
      </c>
      <c r="AM32">
        <f>VLOOKUP(A32,FB!A$2:G$55,6,0)</f>
        <v>29198500</v>
      </c>
      <c r="AN32">
        <f>VLOOKUP(A32,FCX!A$2:G$55,6,0)</f>
        <v>7117500</v>
      </c>
      <c r="AO32">
        <f>VLOOKUP(A32,FDX!A$2:G$55,6,0)</f>
        <v>622500</v>
      </c>
      <c r="AP32">
        <f>VLOOKUP(A32,FOXA!A$2:G$55,6,0)</f>
        <v>15511200</v>
      </c>
      <c r="AQ32">
        <f>VLOOKUP(A32,GD!A$2:G$55,6,0)</f>
        <v>921100</v>
      </c>
      <c r="AR32">
        <f>VLOOKUP(A32,GE!A$2:G$55,6,0)</f>
        <v>19870100</v>
      </c>
      <c r="AS32">
        <f>VLOOKUP(A32,GILD!A$2:G$55,6,0)</f>
        <v>13027400</v>
      </c>
      <c r="AT32">
        <f>VLOOKUP(A32,GM!A$2:G$55,6,0)</f>
        <v>7156100</v>
      </c>
      <c r="AU32">
        <f>VLOOKUP(A32,GOOG!A$2:G$55,6,0)</f>
        <v>1435300</v>
      </c>
      <c r="AV32">
        <f>VLOOKUP(A32,GOOGL!A$2:G$55,6,0)</f>
        <v>1899400</v>
      </c>
      <c r="AW32">
        <f>VLOOKUP(A32,GS!A$2:G$55,6,0)</f>
        <v>1711100</v>
      </c>
      <c r="AX32">
        <f>VLOOKUP(A32,HAL!A$2:G$55,6,0)</f>
        <v>3895800</v>
      </c>
      <c r="AY32">
        <f>VLOOKUP(A32,HD!A$2:G$55,6,0)</f>
        <v>4498700</v>
      </c>
      <c r="AZ32">
        <f>VLOOKUP(A32,HON!A$2:G$55,6,0)</f>
        <v>2236500</v>
      </c>
      <c r="BA32">
        <f>VLOOKUP(A32,HPQ!A$2:G$55,6,0)</f>
        <v>6787200</v>
      </c>
      <c r="BB32">
        <f>VLOOKUP(A32,IBM!A$2:G$55,6,0)</f>
        <v>1797000</v>
      </c>
      <c r="BC32">
        <f>VLOOKUP(A32,INTC!A$2:G$55,6,0)</f>
        <v>36257500</v>
      </c>
      <c r="BD32">
        <f>VLOOKUP(A32,JNJ!A$2:G$55,6,0)</f>
        <v>4563700</v>
      </c>
      <c r="BE32">
        <f>VLOOKUP(A32,JPM!A$2:G$55,6,0)</f>
        <v>7012600</v>
      </c>
      <c r="BF32">
        <f>VLOOKUP(A32,KO!A$2:G$55,6,0)</f>
        <v>9646500</v>
      </c>
      <c r="BG32">
        <f>VLOOKUP(A32,LLY!A$2:G$55,6,0)</f>
        <v>4136900</v>
      </c>
      <c r="BH32">
        <f>VLOOKUP(A32,LMT!A$2:G$55,6,0)</f>
        <v>1081600</v>
      </c>
      <c r="BI32">
        <f>VLOOKUP(A32,LOW!A$2:G$55,6,0)</f>
        <v>4397800</v>
      </c>
      <c r="BJ32">
        <f>VLOOKUP(A32,MA!A$2:G$55,6,0)</f>
        <v>3389600</v>
      </c>
      <c r="BK32">
        <f>VLOOKUP(A32,MCD!A$2:G$55,6,0)</f>
        <v>3599900</v>
      </c>
      <c r="BL32">
        <f>VLOOKUP(A32,MDLZ!A$2:G$55,6,0)</f>
        <v>4901700</v>
      </c>
      <c r="BM32">
        <f>VLOOKUP(A32,MDT!A$2:G$55,6,0)</f>
        <v>6665700</v>
      </c>
      <c r="BN32">
        <f>VLOOKUP(A32,MET!A$2:G$55,6,0)</f>
        <v>4815600</v>
      </c>
      <c r="BO32">
        <f>VLOOKUP(A32,MMM!A$2:G$55,6,0)</f>
        <v>3104300</v>
      </c>
      <c r="BP32">
        <f>VLOOKUP(A32,MO!A$2:G$55,6,0)</f>
        <v>3724800</v>
      </c>
      <c r="BQ32">
        <f>VLOOKUP(A32,MON!A$2:G$55,6,0)</f>
        <v>2541200</v>
      </c>
      <c r="BR32">
        <f>VLOOKUP(A32,MRK!A$2:G$55,6,0)</f>
        <v>10670400</v>
      </c>
      <c r="BS32">
        <f>VLOOKUP(A32,MS!A$2:G$55,6,0)</f>
        <v>4802300</v>
      </c>
      <c r="BT32">
        <f>VLOOKUP(A32,MSFT!A$2:G$55,6,0)</f>
        <v>22889500</v>
      </c>
      <c r="BU32">
        <f>VLOOKUP(A32,NKE!A$2:G$55,6,0)</f>
        <v>3200200</v>
      </c>
      <c r="BV32">
        <f>VLOOKUP(A32,NOV!A$2:G$55,6,0)</f>
        <v>1637200</v>
      </c>
      <c r="BW32">
        <f>VLOOKUP(A32,NSC!A$2:G$55,6,0)</f>
        <v>903000</v>
      </c>
      <c r="BX32">
        <f>VLOOKUP(A32,ORCL!A$2:G$55,6,0)</f>
        <v>10629700</v>
      </c>
      <c r="BY32">
        <f>VLOOKUP(A32,OXY!A$2:G$55,6,0)</f>
        <v>2457900</v>
      </c>
      <c r="BZ32">
        <f>VLOOKUP(A32,PEP!A$2:G$55,6,0)</f>
        <v>3690300</v>
      </c>
      <c r="CA32">
        <f>VLOOKUP(A32,PFE!A$2:G$55,6,0)</f>
        <v>17429500</v>
      </c>
      <c r="CB32">
        <f>VLOOKUP(A32,PG!A$2:G$55,6,0)</f>
        <v>5472200</v>
      </c>
      <c r="CC32">
        <f>VLOOKUP(A32,PM!A$2:G$55,6,0)</f>
        <v>2360600</v>
      </c>
      <c r="CD32">
        <f>VLOOKUP(A32,QCOM!A$2:G$55,6,0)</f>
        <v>7053600</v>
      </c>
      <c r="CE32">
        <f>VLOOKUP(A32,RTN!A$2:G$55,6,0)</f>
        <v>1392300</v>
      </c>
      <c r="CF32">
        <f>VLOOKUP(A32,SBUX!A$2:G$55,6,0)</f>
        <v>3467600</v>
      </c>
      <c r="CG32">
        <f>VLOOKUP(A32,SLB!A$2:G$55,6,0)</f>
        <v>4294700</v>
      </c>
      <c r="CH32">
        <f>VLOOKUP(A32,SO!A$2:G$55,6,0)</f>
        <v>5265700</v>
      </c>
      <c r="CI32">
        <f>VLOOKUP(A32,SPG!A$2:G$55,6,0)</f>
        <v>1455900</v>
      </c>
      <c r="CJ32">
        <f>VLOOKUP(A32,T!A$2:G$55,6,0)</f>
        <v>15950600</v>
      </c>
      <c r="CK32">
        <f>VLOOKUP(A32,TGT!A$2:G$55,6,0)</f>
        <v>3661300</v>
      </c>
      <c r="CL32">
        <f>VLOOKUP(A32,TWX!A$2:G$55,6,0)</f>
        <v>4546400</v>
      </c>
      <c r="CM32">
        <f>VLOOKUP(A32,TXN!A$2:G$55,6,0)</f>
        <v>5457800</v>
      </c>
      <c r="CN32">
        <f>VLOOKUP(A32,UNH!A$2:G$55,6,0)</f>
        <v>3049900</v>
      </c>
      <c r="CO32">
        <f>VLOOKUP(A32,UNP!A$2:G$55,6,0)</f>
        <v>2139000</v>
      </c>
      <c r="CP32">
        <f>VLOOKUP(A32,UPS!A$2:G$55,6,0)</f>
        <v>2930400</v>
      </c>
      <c r="CQ32">
        <f>VLOOKUP(A32,USB!A$2:G$55,6,0)</f>
        <v>4577100</v>
      </c>
      <c r="CR32">
        <f>VLOOKUP(A32,UTX!A$2:G$55,6,0)</f>
        <v>3487700</v>
      </c>
      <c r="CS32">
        <f>VLOOKUP(A32,V!A$2:G$55,6,0)</f>
        <v>1614500</v>
      </c>
      <c r="CT32">
        <f>VLOOKUP(A32,VZ!A$2:G$55,6,0)</f>
        <v>10897800</v>
      </c>
      <c r="CU32">
        <f>VLOOKUP(A32,WAG!A$2:G$55,6,0)</f>
        <v>6934900</v>
      </c>
      <c r="CV32">
        <f>VLOOKUP(A32,WFC!A$2:G$55,6,0)</f>
        <v>12283100</v>
      </c>
      <c r="CW32">
        <f>VLOOKUP(A32,WMT!A$2:G$55,6,0)</f>
        <v>6619100</v>
      </c>
    </row>
    <row r="33" spans="1:101" x14ac:dyDescent="0.25">
      <c r="A33" s="34">
        <v>41865</v>
      </c>
      <c r="B33" s="36">
        <v>28116000</v>
      </c>
      <c r="C33">
        <f>VLOOKUP(A33,ABBV!A$2:G$55,6,0)</f>
        <v>7959800</v>
      </c>
      <c r="D33">
        <f>VLOOKUP(A33,ABT!A$2:G$55,6,0)</f>
        <v>4679900</v>
      </c>
      <c r="E33">
        <f>VLOOKUP(A33,ACN!A$2:G$55,6,0)</f>
        <v>1682400</v>
      </c>
      <c r="F33">
        <f>VLOOKUP(A33,AIG!A$2:G$55,6,0)</f>
        <v>6442800</v>
      </c>
      <c r="G33">
        <f>VLOOKUP(A33,ALL!A$2:G$55,6,0)</f>
        <v>2512900</v>
      </c>
      <c r="H33">
        <f>VLOOKUP(A33,AMGN!A$2:G$55,6,0)</f>
        <v>6408400</v>
      </c>
      <c r="I33">
        <f>VLOOKUP(A33,AMZN!A$2:G$55,6,0)</f>
        <v>3420400</v>
      </c>
      <c r="J33">
        <f>VLOOKUP(A33,APA!A$2:G$55,6,0)</f>
        <v>2861700</v>
      </c>
      <c r="K33">
        <f>VLOOKUP(A33,APC!A$2:G$55,6,0)</f>
        <v>3892600</v>
      </c>
      <c r="L33">
        <f>VLOOKUP(A33,AXP!A$2:G$55,6,0)</f>
        <v>3498800</v>
      </c>
      <c r="M33">
        <f>VLOOKUP(A33,BA!A$2:G$55,6,0)</f>
        <v>4825100</v>
      </c>
      <c r="N33">
        <f>VLOOKUP(A33,BAC!A$2:G$55,6,0)</f>
        <v>29934600</v>
      </c>
      <c r="O33">
        <f>VLOOKUP(A33,BAX!A$2:G$55,6,0)</f>
        <v>1599400</v>
      </c>
      <c r="P33">
        <f>VLOOKUP(A33,BIIB!A$2:G$55,6,0)</f>
        <v>1319200</v>
      </c>
      <c r="Q33">
        <f>VLOOKUP(A33,BK!A$2:G$55,6,0)</f>
        <v>6325400</v>
      </c>
      <c r="R33">
        <f>VLOOKUP(A33,BMY!A$2:G$55,6,0)</f>
        <v>5861700</v>
      </c>
      <c r="T33">
        <f>VLOOKUP(A33,'C'!A$2:G$55,6,0)</f>
        <v>9693100</v>
      </c>
      <c r="U33">
        <f>VLOOKUP(A33,CAT!A$2:G$55,6,0)</f>
        <v>4178800</v>
      </c>
      <c r="V33">
        <f>VLOOKUP(A33,CL!A$2:G$55,6,0)</f>
        <v>4143700</v>
      </c>
      <c r="W33">
        <f>VLOOKUP(A33,CMCSA!A$2:G$55,6,0)</f>
        <v>6538600</v>
      </c>
      <c r="X33">
        <f>VLOOKUP(A33,COF!A$2:G$55,6,0)</f>
        <v>1611100</v>
      </c>
      <c r="Y33">
        <f>VLOOKUP(A33,COP!A$2:G$55,6,0)</f>
        <v>4556400</v>
      </c>
      <c r="Z33">
        <f>VLOOKUP(A33,COST!A$2:G$55,6,0)</f>
        <v>1067900</v>
      </c>
      <c r="AA33">
        <f>VLOOKUP(A33,CSCO!A$2:G$55,6,0)</f>
        <v>63771400</v>
      </c>
      <c r="AB33">
        <f>VLOOKUP(A33,CVS!A$2:G$55,6,0)</f>
        <v>2696200</v>
      </c>
      <c r="AC33">
        <f>VLOOKUP(A33,CVX!A$2:G$55,6,0)</f>
        <v>4524000</v>
      </c>
      <c r="AD33">
        <f>VLOOKUP(A33,DD!A$2:G$55,6,0)</f>
        <v>1710300</v>
      </c>
      <c r="AE33">
        <f>VLOOKUP(A33,DIS!A$2:G$55,6,0)</f>
        <v>8218000</v>
      </c>
      <c r="AF33">
        <f>VLOOKUP(A33,DOW!A$2:G$55,6,0)</f>
        <v>5175600</v>
      </c>
      <c r="AG33">
        <f>VLOOKUP(A33,DVN!A$2:G$55,6,0)</f>
        <v>2744100</v>
      </c>
      <c r="AH33">
        <f>VLOOKUP(A33,EBAY!A$2:G$55,6,0)</f>
        <v>9929100</v>
      </c>
      <c r="AI33">
        <f>VLOOKUP(A33,EMC!A$2:G$55,6,0)</f>
        <v>10093700</v>
      </c>
      <c r="AJ33">
        <f>VLOOKUP(A33,EMR!A$2:G$55,6,0)</f>
        <v>2726800</v>
      </c>
      <c r="AK33">
        <f>VLOOKUP(A33,EXC!A$2:G$55,6,0)</f>
        <v>3249000</v>
      </c>
      <c r="AL33">
        <f>VLOOKUP(A33,F!A$2:G$55,6,0)</f>
        <v>19733500</v>
      </c>
      <c r="AM33">
        <f>VLOOKUP(A33,FB!A$2:G$55,6,0)</f>
        <v>22182800</v>
      </c>
      <c r="AN33">
        <f>VLOOKUP(A33,FCX!A$2:G$55,6,0)</f>
        <v>8076800</v>
      </c>
      <c r="AO33">
        <f>VLOOKUP(A33,FDX!A$2:G$55,6,0)</f>
        <v>529000</v>
      </c>
      <c r="AP33">
        <f>VLOOKUP(A33,FOXA!A$2:G$55,6,0)</f>
        <v>15799300</v>
      </c>
      <c r="AQ33">
        <f>VLOOKUP(A33,GD!A$2:G$55,6,0)</f>
        <v>966000</v>
      </c>
      <c r="AR33">
        <f>VLOOKUP(A33,GE!A$2:G$55,6,0)</f>
        <v>23322100</v>
      </c>
      <c r="AS33">
        <f>VLOOKUP(A33,GILD!A$2:G$55,6,0)</f>
        <v>12339700</v>
      </c>
      <c r="AT33">
        <f>VLOOKUP(A33,GM!A$2:G$55,6,0)</f>
        <v>9956800</v>
      </c>
      <c r="AU33">
        <f>VLOOKUP(A33,GOOG!A$2:G$55,6,0)</f>
        <v>982800</v>
      </c>
      <c r="AV33">
        <f>VLOOKUP(A33,GOOGL!A$2:G$55,6,0)</f>
        <v>1272900</v>
      </c>
      <c r="AW33">
        <f>VLOOKUP(A33,GS!A$2:G$55,6,0)</f>
        <v>1431400</v>
      </c>
      <c r="AX33">
        <f>VLOOKUP(A33,HAL!A$2:G$55,6,0)</f>
        <v>8358200</v>
      </c>
      <c r="AY33">
        <f>VLOOKUP(A33,HD!A$2:G$55,6,0)</f>
        <v>4923000</v>
      </c>
      <c r="AZ33">
        <f>VLOOKUP(A33,HON!A$2:G$55,6,0)</f>
        <v>1957400</v>
      </c>
      <c r="BA33">
        <f>VLOOKUP(A33,HPQ!A$2:G$55,6,0)</f>
        <v>9824200</v>
      </c>
      <c r="BB33">
        <f>VLOOKUP(A33,IBM!A$2:G$55,6,0)</f>
        <v>1929500</v>
      </c>
      <c r="BC33">
        <f>VLOOKUP(A33,INTC!A$2:G$55,6,0)</f>
        <v>25452700</v>
      </c>
      <c r="BD33">
        <f>VLOOKUP(A33,JNJ!A$2:G$55,6,0)</f>
        <v>5239400</v>
      </c>
      <c r="BE33">
        <f>VLOOKUP(A33,JPM!A$2:G$55,6,0)</f>
        <v>8275400</v>
      </c>
      <c r="BF33">
        <f>VLOOKUP(A33,KO!A$2:G$55,6,0)</f>
        <v>6902000</v>
      </c>
      <c r="BG33">
        <f>VLOOKUP(A33,LLY!A$2:G$55,6,0)</f>
        <v>1801600</v>
      </c>
      <c r="BH33">
        <f>VLOOKUP(A33,LMT!A$2:G$55,6,0)</f>
        <v>1030000</v>
      </c>
      <c r="BI33">
        <f>VLOOKUP(A33,LOW!A$2:G$55,6,0)</f>
        <v>3605200</v>
      </c>
      <c r="BJ33">
        <f>VLOOKUP(A33,MA!A$2:G$55,6,0)</f>
        <v>2411400</v>
      </c>
      <c r="BK33">
        <f>VLOOKUP(A33,MCD!A$2:G$55,6,0)</f>
        <v>5644500</v>
      </c>
      <c r="BL33">
        <f>VLOOKUP(A33,MDLZ!A$2:G$55,6,0)</f>
        <v>4682800</v>
      </c>
      <c r="BM33">
        <f>VLOOKUP(A33,MDT!A$2:G$55,6,0)</f>
        <v>5346900</v>
      </c>
      <c r="BN33">
        <f>VLOOKUP(A33,MET!A$2:G$55,6,0)</f>
        <v>3835400</v>
      </c>
      <c r="BO33">
        <f>VLOOKUP(A33,MMM!A$2:G$55,6,0)</f>
        <v>1586900</v>
      </c>
      <c r="BP33">
        <f>VLOOKUP(A33,MO!A$2:G$55,6,0)</f>
        <v>2976900</v>
      </c>
      <c r="BQ33">
        <f>VLOOKUP(A33,MON!A$2:G$55,6,0)</f>
        <v>3038000</v>
      </c>
      <c r="BR33">
        <f>VLOOKUP(A33,MRK!A$2:G$55,6,0)</f>
        <v>7932300</v>
      </c>
      <c r="BS33">
        <f>VLOOKUP(A33,MS!A$2:G$55,6,0)</f>
        <v>3974100</v>
      </c>
      <c r="BT33">
        <f>VLOOKUP(A33,MSFT!A$2:G$55,6,0)</f>
        <v>19313200</v>
      </c>
      <c r="BU33">
        <f>VLOOKUP(A33,NKE!A$2:G$55,6,0)</f>
        <v>1967500</v>
      </c>
      <c r="BV33">
        <f>VLOOKUP(A33,NOV!A$2:G$55,6,0)</f>
        <v>2745300</v>
      </c>
      <c r="BW33">
        <f>VLOOKUP(A33,NSC!A$2:G$55,6,0)</f>
        <v>914200</v>
      </c>
      <c r="BX33">
        <f>VLOOKUP(A33,ORCL!A$2:G$55,6,0)</f>
        <v>9707000</v>
      </c>
      <c r="BY33">
        <f>VLOOKUP(A33,OXY!A$2:G$55,6,0)</f>
        <v>3461800</v>
      </c>
      <c r="BZ33">
        <f>VLOOKUP(A33,PEP!A$2:G$55,6,0)</f>
        <v>3624900</v>
      </c>
      <c r="CA33">
        <f>VLOOKUP(A33,PFE!A$2:G$55,6,0)</f>
        <v>19993800</v>
      </c>
      <c r="CB33">
        <f>VLOOKUP(A33,PG!A$2:G$55,6,0)</f>
        <v>5930700</v>
      </c>
      <c r="CC33">
        <f>VLOOKUP(A33,PM!A$2:G$55,6,0)</f>
        <v>1795900</v>
      </c>
      <c r="CD33">
        <f>VLOOKUP(A33,QCOM!A$2:G$55,6,0)</f>
        <v>6482100</v>
      </c>
      <c r="CE33">
        <f>VLOOKUP(A33,RTN!A$2:G$55,6,0)</f>
        <v>1206700</v>
      </c>
      <c r="CF33">
        <f>VLOOKUP(A33,SBUX!A$2:G$55,6,0)</f>
        <v>5445000</v>
      </c>
      <c r="CG33">
        <f>VLOOKUP(A33,SLB!A$2:G$55,6,0)</f>
        <v>5857600</v>
      </c>
      <c r="CH33">
        <f>VLOOKUP(A33,SO!A$2:G$55,6,0)</f>
        <v>3162300</v>
      </c>
      <c r="CI33">
        <f>VLOOKUP(A33,SPG!A$2:G$55,6,0)</f>
        <v>1189200</v>
      </c>
      <c r="CJ33">
        <f>VLOOKUP(A33,T!A$2:G$55,6,0)</f>
        <v>14587700</v>
      </c>
      <c r="CK33">
        <f>VLOOKUP(A33,TGT!A$2:G$55,6,0)</f>
        <v>3144900</v>
      </c>
      <c r="CL33">
        <f>VLOOKUP(A33,TWX!A$2:G$55,6,0)</f>
        <v>7127900</v>
      </c>
      <c r="CM33">
        <f>VLOOKUP(A33,TXN!A$2:G$55,6,0)</f>
        <v>2550700</v>
      </c>
      <c r="CN33">
        <f>VLOOKUP(A33,UNH!A$2:G$55,6,0)</f>
        <v>2241100</v>
      </c>
      <c r="CO33">
        <f>VLOOKUP(A33,UNP!A$2:G$55,6,0)</f>
        <v>2664800</v>
      </c>
      <c r="CP33">
        <f>VLOOKUP(A33,UPS!A$2:G$55,6,0)</f>
        <v>2277700</v>
      </c>
      <c r="CQ33">
        <f>VLOOKUP(A33,USB!A$2:G$55,6,0)</f>
        <v>3528600</v>
      </c>
      <c r="CR33">
        <f>VLOOKUP(A33,UTX!A$2:G$55,6,0)</f>
        <v>2327200</v>
      </c>
      <c r="CS33">
        <f>VLOOKUP(A33,V!A$2:G$55,6,0)</f>
        <v>1784200</v>
      </c>
      <c r="CT33">
        <f>VLOOKUP(A33,VZ!A$2:G$55,6,0)</f>
        <v>11535400</v>
      </c>
      <c r="CU33">
        <f>VLOOKUP(A33,WAG!A$2:G$55,6,0)</f>
        <v>6360500</v>
      </c>
      <c r="CV33">
        <f>VLOOKUP(A33,WFC!A$2:G$55,6,0)</f>
        <v>11904300</v>
      </c>
      <c r="CW33">
        <f>VLOOKUP(A33,WMT!A$2:G$55,6,0)</f>
        <v>6136300</v>
      </c>
    </row>
    <row r="34" spans="1:101" x14ac:dyDescent="0.25">
      <c r="A34" s="34">
        <v>41866</v>
      </c>
      <c r="B34" s="36">
        <v>48951000</v>
      </c>
      <c r="C34">
        <f>VLOOKUP(A34,ABBV!A$2:G$55,6,0)</f>
        <v>10109300</v>
      </c>
      <c r="D34">
        <f>VLOOKUP(A34,ABT!A$2:G$55,6,0)</f>
        <v>5031600</v>
      </c>
      <c r="E34">
        <f>VLOOKUP(A34,ACN!A$2:G$55,6,0)</f>
        <v>2533800</v>
      </c>
      <c r="F34">
        <f>VLOOKUP(A34,AIG!A$2:G$55,6,0)</f>
        <v>5886300</v>
      </c>
      <c r="G34">
        <f>VLOOKUP(A34,ALL!A$2:G$55,6,0)</f>
        <v>2418600</v>
      </c>
      <c r="H34">
        <f>VLOOKUP(A34,AMGN!A$2:G$55,6,0)</f>
        <v>4347800</v>
      </c>
      <c r="I34">
        <f>VLOOKUP(A34,AMZN!A$2:G$55,6,0)</f>
        <v>3896700</v>
      </c>
      <c r="J34">
        <f>VLOOKUP(A34,APA!A$2:G$55,6,0)</f>
        <v>3567800</v>
      </c>
      <c r="K34">
        <f>VLOOKUP(A34,APC!A$2:G$55,6,0)</f>
        <v>4087400</v>
      </c>
      <c r="L34">
        <f>VLOOKUP(A34,AXP!A$2:G$55,6,0)</f>
        <v>3290800</v>
      </c>
      <c r="M34">
        <f>VLOOKUP(A34,BA!A$2:G$55,6,0)</f>
        <v>4570000</v>
      </c>
      <c r="N34">
        <f>VLOOKUP(A34,BAC!A$2:G$55,6,0)</f>
        <v>61535500</v>
      </c>
      <c r="O34">
        <f>VLOOKUP(A34,BAX!A$2:G$55,6,0)</f>
        <v>3680600</v>
      </c>
      <c r="P34">
        <f>VLOOKUP(A34,BIIB!A$2:G$55,6,0)</f>
        <v>1722400</v>
      </c>
      <c r="Q34">
        <f>VLOOKUP(A34,BK!A$2:G$55,6,0)</f>
        <v>6368200</v>
      </c>
      <c r="R34">
        <f>VLOOKUP(A34,BMY!A$2:G$55,6,0)</f>
        <v>5315100</v>
      </c>
      <c r="T34">
        <f>VLOOKUP(A34,'C'!A$2:G$55,6,0)</f>
        <v>16215300</v>
      </c>
      <c r="U34">
        <f>VLOOKUP(A34,CAT!A$2:G$55,6,0)</f>
        <v>4099200</v>
      </c>
      <c r="V34">
        <f>VLOOKUP(A34,CL!A$2:G$55,6,0)</f>
        <v>3972300</v>
      </c>
      <c r="W34">
        <f>VLOOKUP(A34,CMCSA!A$2:G$55,6,0)</f>
        <v>10707600</v>
      </c>
      <c r="X34">
        <f>VLOOKUP(A34,COF!A$2:G$55,6,0)</f>
        <v>2364900</v>
      </c>
      <c r="Y34">
        <f>VLOOKUP(A34,COP!A$2:G$55,6,0)</f>
        <v>5433200</v>
      </c>
      <c r="Z34">
        <f>VLOOKUP(A34,COST!A$2:G$55,6,0)</f>
        <v>2019900</v>
      </c>
      <c r="AA34">
        <f>VLOOKUP(A34,CSCO!A$2:G$55,6,0)</f>
        <v>33624000</v>
      </c>
      <c r="AB34">
        <f>VLOOKUP(A34,CVS!A$2:G$55,6,0)</f>
        <v>3308500</v>
      </c>
      <c r="AC34">
        <f>VLOOKUP(A34,CVX!A$2:G$55,6,0)</f>
        <v>5754300</v>
      </c>
      <c r="AD34">
        <f>VLOOKUP(A34,DD!A$2:G$55,6,0)</f>
        <v>4362200</v>
      </c>
      <c r="AE34">
        <f>VLOOKUP(A34,DIS!A$2:G$55,6,0)</f>
        <v>8211000</v>
      </c>
      <c r="AF34">
        <f>VLOOKUP(A34,DOW!A$2:G$55,6,0)</f>
        <v>7730000</v>
      </c>
      <c r="AG34">
        <f>VLOOKUP(A34,DVN!A$2:G$55,6,0)</f>
        <v>2793100</v>
      </c>
      <c r="AH34">
        <f>VLOOKUP(A34,EBAY!A$2:G$55,6,0)</f>
        <v>13576500</v>
      </c>
      <c r="AI34">
        <f>VLOOKUP(A34,EMC!A$2:G$55,6,0)</f>
        <v>15370800</v>
      </c>
      <c r="AJ34">
        <f>VLOOKUP(A34,EMR!A$2:G$55,6,0)</f>
        <v>3051100</v>
      </c>
      <c r="AK34">
        <f>VLOOKUP(A34,EXC!A$2:G$55,6,0)</f>
        <v>5611300</v>
      </c>
      <c r="AL34">
        <f>VLOOKUP(A34,F!A$2:G$55,6,0)</f>
        <v>20958100</v>
      </c>
      <c r="AM34">
        <f>VLOOKUP(A34,FB!A$2:G$55,6,0)</f>
        <v>38846600</v>
      </c>
      <c r="AN34">
        <f>VLOOKUP(A34,FCX!A$2:G$55,6,0)</f>
        <v>6950400</v>
      </c>
      <c r="AO34">
        <f>VLOOKUP(A34,FDX!A$2:G$55,6,0)</f>
        <v>1071500</v>
      </c>
      <c r="AP34">
        <f>VLOOKUP(A34,FOXA!A$2:G$55,6,0)</f>
        <v>17620200</v>
      </c>
      <c r="AQ34">
        <f>VLOOKUP(A34,GD!A$2:G$55,6,0)</f>
        <v>1879600</v>
      </c>
      <c r="AR34">
        <f>VLOOKUP(A34,GE!A$2:G$55,6,0)</f>
        <v>28167900</v>
      </c>
      <c r="AS34">
        <f>VLOOKUP(A34,GILD!A$2:G$55,6,0)</f>
        <v>19678600</v>
      </c>
      <c r="AT34">
        <f>VLOOKUP(A34,GM!A$2:G$55,6,0)</f>
        <v>14153500</v>
      </c>
      <c r="AU34">
        <f>VLOOKUP(A34,GOOG!A$2:G$55,6,0)</f>
        <v>1515000</v>
      </c>
      <c r="AV34">
        <f>VLOOKUP(A34,GOOGL!A$2:G$55,6,0)</f>
        <v>1723400</v>
      </c>
      <c r="AW34">
        <f>VLOOKUP(A34,GS!A$2:G$55,6,0)</f>
        <v>2446000</v>
      </c>
      <c r="AX34">
        <f>VLOOKUP(A34,HAL!A$2:G$55,6,0)</f>
        <v>6838800</v>
      </c>
      <c r="AY34">
        <f>VLOOKUP(A34,HD!A$2:G$55,6,0)</f>
        <v>5383500</v>
      </c>
      <c r="AZ34">
        <f>VLOOKUP(A34,HON!A$2:G$55,6,0)</f>
        <v>3457900</v>
      </c>
      <c r="BA34">
        <f>VLOOKUP(A34,HPQ!A$2:G$55,6,0)</f>
        <v>11510500</v>
      </c>
      <c r="BB34">
        <f>VLOOKUP(A34,IBM!A$2:G$55,6,0)</f>
        <v>2814800</v>
      </c>
      <c r="BC34">
        <f>VLOOKUP(A34,INTC!A$2:G$55,6,0)</f>
        <v>28577600</v>
      </c>
      <c r="BD34">
        <f>VLOOKUP(A34,JNJ!A$2:G$55,6,0)</f>
        <v>6986000</v>
      </c>
      <c r="BE34">
        <f>VLOOKUP(A34,JPM!A$2:G$55,6,0)</f>
        <v>12727400</v>
      </c>
      <c r="BF34">
        <f>VLOOKUP(A34,KO!A$2:G$55,6,0)</f>
        <v>23221600</v>
      </c>
      <c r="BG34">
        <f>VLOOKUP(A34,LLY!A$2:G$55,6,0)</f>
        <v>3075600</v>
      </c>
      <c r="BH34">
        <f>VLOOKUP(A34,LMT!A$2:G$55,6,0)</f>
        <v>1062400</v>
      </c>
      <c r="BI34">
        <f>VLOOKUP(A34,LOW!A$2:G$55,6,0)</f>
        <v>6642200</v>
      </c>
      <c r="BJ34">
        <f>VLOOKUP(A34,MA!A$2:G$55,6,0)</f>
        <v>4351900</v>
      </c>
      <c r="BK34">
        <f>VLOOKUP(A34,MCD!A$2:G$55,6,0)</f>
        <v>4281300</v>
      </c>
      <c r="BL34">
        <f>VLOOKUP(A34,MDLZ!A$2:G$55,6,0)</f>
        <v>7733900</v>
      </c>
      <c r="BM34">
        <f>VLOOKUP(A34,MDT!A$2:G$55,6,0)</f>
        <v>8477100</v>
      </c>
      <c r="BN34">
        <f>VLOOKUP(A34,MET!A$2:G$55,6,0)</f>
        <v>3899400</v>
      </c>
      <c r="BO34">
        <f>VLOOKUP(A34,MMM!A$2:G$55,6,0)</f>
        <v>1960900</v>
      </c>
      <c r="BP34">
        <f>VLOOKUP(A34,MO!A$2:G$55,6,0)</f>
        <v>4737300</v>
      </c>
      <c r="BQ34">
        <f>VLOOKUP(A34,MON!A$2:G$55,6,0)</f>
        <v>4948200</v>
      </c>
      <c r="BR34">
        <f>VLOOKUP(A34,MRK!A$2:G$55,6,0)</f>
        <v>9046800</v>
      </c>
      <c r="BS34">
        <f>VLOOKUP(A34,MS!A$2:G$55,6,0)</f>
        <v>9329600</v>
      </c>
      <c r="BT34">
        <f>VLOOKUP(A34,MSFT!A$2:G$55,6,0)</f>
        <v>41611300</v>
      </c>
      <c r="BU34">
        <f>VLOOKUP(A34,NKE!A$2:G$55,6,0)</f>
        <v>2245000</v>
      </c>
      <c r="BV34">
        <f>VLOOKUP(A34,NOV!A$2:G$55,6,0)</f>
        <v>2780500</v>
      </c>
      <c r="BW34">
        <f>VLOOKUP(A34,NSC!A$2:G$55,6,0)</f>
        <v>1178200</v>
      </c>
      <c r="BX34">
        <f>VLOOKUP(A34,ORCL!A$2:G$55,6,0)</f>
        <v>13418800</v>
      </c>
      <c r="BY34">
        <f>VLOOKUP(A34,OXY!A$2:G$55,6,0)</f>
        <v>4278100</v>
      </c>
      <c r="BZ34">
        <f>VLOOKUP(A34,PEP!A$2:G$55,6,0)</f>
        <v>3844600</v>
      </c>
      <c r="CA34">
        <f>VLOOKUP(A34,PFE!A$2:G$55,6,0)</f>
        <v>21722700</v>
      </c>
      <c r="CB34">
        <f>VLOOKUP(A34,PG!A$2:G$55,6,0)</f>
        <v>7418400</v>
      </c>
      <c r="CC34">
        <f>VLOOKUP(A34,PM!A$2:G$55,6,0)</f>
        <v>4226900</v>
      </c>
      <c r="CD34">
        <f>VLOOKUP(A34,QCOM!A$2:G$55,6,0)</f>
        <v>9794400</v>
      </c>
      <c r="CE34">
        <f>VLOOKUP(A34,RTN!A$2:G$55,6,0)</f>
        <v>1144000</v>
      </c>
      <c r="CF34">
        <f>VLOOKUP(A34,SBUX!A$2:G$55,6,0)</f>
        <v>4045000</v>
      </c>
      <c r="CG34">
        <f>VLOOKUP(A34,SLB!A$2:G$55,6,0)</f>
        <v>5322500</v>
      </c>
      <c r="CH34">
        <f>VLOOKUP(A34,SO!A$2:G$55,6,0)</f>
        <v>4392400</v>
      </c>
      <c r="CI34">
        <f>VLOOKUP(A34,SPG!A$2:G$55,6,0)</f>
        <v>2295400</v>
      </c>
      <c r="CJ34">
        <f>VLOOKUP(A34,T!A$2:G$55,6,0)</f>
        <v>26952100</v>
      </c>
      <c r="CK34">
        <f>VLOOKUP(A34,TGT!A$2:G$55,6,0)</f>
        <v>4186700</v>
      </c>
      <c r="CL34">
        <f>VLOOKUP(A34,TWX!A$2:G$55,6,0)</f>
        <v>7645100</v>
      </c>
      <c r="CM34">
        <f>VLOOKUP(A34,TXN!A$2:G$55,6,0)</f>
        <v>5854100</v>
      </c>
      <c r="CN34">
        <f>VLOOKUP(A34,UNH!A$2:G$55,6,0)</f>
        <v>2442700</v>
      </c>
      <c r="CO34">
        <f>VLOOKUP(A34,UNP!A$2:G$55,6,0)</f>
        <v>2920800</v>
      </c>
      <c r="CP34">
        <f>VLOOKUP(A34,UPS!A$2:G$55,6,0)</f>
        <v>4873500</v>
      </c>
      <c r="CQ34">
        <f>VLOOKUP(A34,USB!A$2:G$55,6,0)</f>
        <v>5761100</v>
      </c>
      <c r="CR34">
        <f>VLOOKUP(A34,UTX!A$2:G$55,6,0)</f>
        <v>3106700</v>
      </c>
      <c r="CS34">
        <f>VLOOKUP(A34,V!A$2:G$55,6,0)</f>
        <v>2249900</v>
      </c>
      <c r="CT34">
        <f>VLOOKUP(A34,VZ!A$2:G$55,6,0)</f>
        <v>16378200</v>
      </c>
      <c r="CU34">
        <f>VLOOKUP(A34,WAG!A$2:G$55,6,0)</f>
        <v>8870800</v>
      </c>
      <c r="CV34">
        <f>VLOOKUP(A34,WFC!A$2:G$55,6,0)</f>
        <v>13297200</v>
      </c>
      <c r="CW34">
        <f>VLOOKUP(A34,WMT!A$2:G$55,6,0)</f>
        <v>6942700</v>
      </c>
    </row>
    <row r="35" spans="1:101" x14ac:dyDescent="0.25">
      <c r="A35" s="34">
        <v>41869</v>
      </c>
      <c r="B35" s="36">
        <v>47572000</v>
      </c>
      <c r="C35">
        <f>VLOOKUP(A35,ABBV!A$2:G$55,6,0)</f>
        <v>7370500</v>
      </c>
      <c r="D35">
        <f>VLOOKUP(A35,ABT!A$2:G$55,6,0)</f>
        <v>3234800</v>
      </c>
      <c r="E35">
        <f>VLOOKUP(A35,ACN!A$2:G$55,6,0)</f>
        <v>1920700</v>
      </c>
      <c r="F35">
        <f>VLOOKUP(A35,AIG!A$2:G$55,6,0)</f>
        <v>5614300</v>
      </c>
      <c r="G35">
        <f>VLOOKUP(A35,ALL!A$2:G$55,6,0)</f>
        <v>2058300</v>
      </c>
      <c r="H35">
        <f>VLOOKUP(A35,AMGN!A$2:G$55,6,0)</f>
        <v>3156700</v>
      </c>
      <c r="I35">
        <f>VLOOKUP(A35,AMZN!A$2:G$55,6,0)</f>
        <v>2485400</v>
      </c>
      <c r="J35">
        <f>VLOOKUP(A35,APA!A$2:G$55,6,0)</f>
        <v>2694500</v>
      </c>
      <c r="K35">
        <f>VLOOKUP(A35,APC!A$2:G$55,6,0)</f>
        <v>5167000</v>
      </c>
      <c r="L35">
        <f>VLOOKUP(A35,AXP!A$2:G$55,6,0)</f>
        <v>2662100</v>
      </c>
      <c r="M35">
        <f>VLOOKUP(A35,BA!A$2:G$55,6,0)</f>
        <v>4196900</v>
      </c>
      <c r="N35">
        <f>VLOOKUP(A35,BAC!A$2:G$55,6,0)</f>
        <v>54968600</v>
      </c>
      <c r="O35">
        <f>VLOOKUP(A35,BAX!A$2:G$55,6,0)</f>
        <v>1062700</v>
      </c>
      <c r="P35">
        <f>VLOOKUP(A35,BIIB!A$2:G$55,6,0)</f>
        <v>1223600</v>
      </c>
      <c r="Q35">
        <f>VLOOKUP(A35,BK!A$2:G$55,6,0)</f>
        <v>4512300</v>
      </c>
      <c r="R35">
        <f>VLOOKUP(A35,BMY!A$2:G$55,6,0)</f>
        <v>4606000</v>
      </c>
      <c r="T35">
        <f>VLOOKUP(A35,'C'!A$2:G$55,6,0)</f>
        <v>13199700</v>
      </c>
      <c r="U35">
        <f>VLOOKUP(A35,CAT!A$2:G$55,6,0)</f>
        <v>3478600</v>
      </c>
      <c r="V35">
        <f>VLOOKUP(A35,CL!A$2:G$55,6,0)</f>
        <v>3797400</v>
      </c>
      <c r="W35">
        <f>VLOOKUP(A35,CMCSA!A$2:G$55,6,0)</f>
        <v>7593200</v>
      </c>
      <c r="X35">
        <f>VLOOKUP(A35,COF!A$2:G$55,6,0)</f>
        <v>3003500</v>
      </c>
      <c r="Y35">
        <f>VLOOKUP(A35,COP!A$2:G$55,6,0)</f>
        <v>8478100</v>
      </c>
      <c r="Z35">
        <f>VLOOKUP(A35,COST!A$2:G$55,6,0)</f>
        <v>1232900</v>
      </c>
      <c r="AA35">
        <f>VLOOKUP(A35,CSCO!A$2:G$55,6,0)</f>
        <v>27650200</v>
      </c>
      <c r="AB35">
        <f>VLOOKUP(A35,CVS!A$2:G$55,6,0)</f>
        <v>2205900</v>
      </c>
      <c r="AC35">
        <f>VLOOKUP(A35,CVX!A$2:G$55,6,0)</f>
        <v>4630000</v>
      </c>
      <c r="AD35">
        <f>VLOOKUP(A35,DD!A$2:G$55,6,0)</f>
        <v>2538300</v>
      </c>
      <c r="AE35">
        <f>VLOOKUP(A35,DIS!A$2:G$55,6,0)</f>
        <v>4973300</v>
      </c>
      <c r="AF35">
        <f>VLOOKUP(A35,DOW!A$2:G$55,6,0)</f>
        <v>5434100</v>
      </c>
      <c r="AG35">
        <f>VLOOKUP(A35,DVN!A$2:G$55,6,0)</f>
        <v>1883300</v>
      </c>
      <c r="AH35">
        <f>VLOOKUP(A35,EBAY!A$2:G$55,6,0)</f>
        <v>8867400</v>
      </c>
      <c r="AI35">
        <f>VLOOKUP(A35,EMC!A$2:G$55,6,0)</f>
        <v>12177800</v>
      </c>
      <c r="AJ35">
        <f>VLOOKUP(A35,EMR!A$2:G$55,6,0)</f>
        <v>2047200</v>
      </c>
      <c r="AK35">
        <f>VLOOKUP(A35,EXC!A$2:G$55,6,0)</f>
        <v>4037400</v>
      </c>
      <c r="AL35">
        <f>VLOOKUP(A35,F!A$2:G$55,6,0)</f>
        <v>17174900</v>
      </c>
      <c r="AM35">
        <f>VLOOKUP(A35,FB!A$2:G$55,6,0)</f>
        <v>23913200</v>
      </c>
      <c r="AN35">
        <f>VLOOKUP(A35,FCX!A$2:G$55,6,0)</f>
        <v>6347200</v>
      </c>
      <c r="AO35">
        <f>VLOOKUP(A35,FDX!A$2:G$55,6,0)</f>
        <v>1066900</v>
      </c>
      <c r="AP35">
        <f>VLOOKUP(A35,FOXA!A$2:G$55,6,0)</f>
        <v>10115800</v>
      </c>
      <c r="AQ35">
        <f>VLOOKUP(A35,GD!A$2:G$55,6,0)</f>
        <v>1079400</v>
      </c>
      <c r="AR35">
        <f>VLOOKUP(A35,GE!A$2:G$55,6,0)</f>
        <v>26809900</v>
      </c>
      <c r="AS35">
        <f>VLOOKUP(A35,GILD!A$2:G$55,6,0)</f>
        <v>14755700</v>
      </c>
      <c r="AT35">
        <f>VLOOKUP(A35,GM!A$2:G$55,6,0)</f>
        <v>10327200</v>
      </c>
      <c r="AU35">
        <f>VLOOKUP(A35,GOOG!A$2:G$55,6,0)</f>
        <v>1280600</v>
      </c>
      <c r="AV35">
        <f>VLOOKUP(A35,GOOGL!A$2:G$55,6,0)</f>
        <v>1466000</v>
      </c>
      <c r="AW35">
        <f>VLOOKUP(A35,GS!A$2:G$55,6,0)</f>
        <v>1877700</v>
      </c>
      <c r="AX35">
        <f>VLOOKUP(A35,HAL!A$2:G$55,6,0)</f>
        <v>5016500</v>
      </c>
      <c r="AY35">
        <f>VLOOKUP(A35,HD!A$2:G$55,6,0)</f>
        <v>9475300</v>
      </c>
      <c r="AZ35">
        <f>VLOOKUP(A35,HON!A$2:G$55,6,0)</f>
        <v>2831300</v>
      </c>
      <c r="BA35">
        <f>VLOOKUP(A35,HPQ!A$2:G$55,6,0)</f>
        <v>9582800</v>
      </c>
      <c r="BB35">
        <f>VLOOKUP(A35,IBM!A$2:G$55,6,0)</f>
        <v>2420300</v>
      </c>
      <c r="BC35">
        <f>VLOOKUP(A35,INTC!A$2:G$55,6,0)</f>
        <v>27232200</v>
      </c>
      <c r="BD35">
        <f>VLOOKUP(A35,JNJ!A$2:G$55,6,0)</f>
        <v>5979500</v>
      </c>
      <c r="BE35">
        <f>VLOOKUP(A35,JPM!A$2:G$55,6,0)</f>
        <v>8866600</v>
      </c>
      <c r="BF35">
        <f>VLOOKUP(A35,KO!A$2:G$55,6,0)</f>
        <v>14891500</v>
      </c>
      <c r="BG35">
        <f>VLOOKUP(A35,LLY!A$2:G$55,6,0)</f>
        <v>2198300</v>
      </c>
      <c r="BH35">
        <f>VLOOKUP(A35,LMT!A$2:G$55,6,0)</f>
        <v>766400</v>
      </c>
      <c r="BI35">
        <f>VLOOKUP(A35,LOW!A$2:G$55,6,0)</f>
        <v>4816800</v>
      </c>
      <c r="BJ35">
        <f>VLOOKUP(A35,MA!A$2:G$55,6,0)</f>
        <v>4030300</v>
      </c>
      <c r="BK35">
        <f>VLOOKUP(A35,MCD!A$2:G$55,6,0)</f>
        <v>4398800</v>
      </c>
      <c r="BL35">
        <f>VLOOKUP(A35,MDLZ!A$2:G$55,6,0)</f>
        <v>6205400</v>
      </c>
      <c r="BM35">
        <f>VLOOKUP(A35,MDT!A$2:G$55,6,0)</f>
        <v>6170700</v>
      </c>
      <c r="BN35">
        <f>VLOOKUP(A35,MET!A$2:G$55,6,0)</f>
        <v>4972400</v>
      </c>
      <c r="BO35">
        <f>VLOOKUP(A35,MMM!A$2:G$55,6,0)</f>
        <v>1852900</v>
      </c>
      <c r="BP35">
        <f>VLOOKUP(A35,MO!A$2:G$55,6,0)</f>
        <v>3987100</v>
      </c>
      <c r="BQ35">
        <f>VLOOKUP(A35,MON!A$2:G$55,6,0)</f>
        <v>4502300</v>
      </c>
      <c r="BR35">
        <f>VLOOKUP(A35,MRK!A$2:G$55,6,0)</f>
        <v>9443900</v>
      </c>
      <c r="BS35">
        <f>VLOOKUP(A35,MS!A$2:G$55,6,0)</f>
        <v>4801200</v>
      </c>
      <c r="BT35">
        <f>VLOOKUP(A35,MSFT!A$2:G$55,6,0)</f>
        <v>26891100</v>
      </c>
      <c r="BU35">
        <f>VLOOKUP(A35,NKE!A$2:G$55,6,0)</f>
        <v>2848700</v>
      </c>
      <c r="BV35">
        <f>VLOOKUP(A35,NOV!A$2:G$55,6,0)</f>
        <v>2124500</v>
      </c>
      <c r="BW35">
        <f>VLOOKUP(A35,NSC!A$2:G$55,6,0)</f>
        <v>1358100</v>
      </c>
      <c r="BX35">
        <f>VLOOKUP(A35,ORCL!A$2:G$55,6,0)</f>
        <v>7633600</v>
      </c>
      <c r="BY35">
        <f>VLOOKUP(A35,OXY!A$2:G$55,6,0)</f>
        <v>2969700</v>
      </c>
      <c r="BZ35">
        <f>VLOOKUP(A35,PEP!A$2:G$55,6,0)</f>
        <v>2974700</v>
      </c>
      <c r="CA35">
        <f>VLOOKUP(A35,PFE!A$2:G$55,6,0)</f>
        <v>22935000</v>
      </c>
      <c r="CB35">
        <f>VLOOKUP(A35,PG!A$2:G$55,6,0)</f>
        <v>8437700</v>
      </c>
      <c r="CC35">
        <f>VLOOKUP(A35,PM!A$2:G$55,6,0)</f>
        <v>3080800</v>
      </c>
      <c r="CD35">
        <f>VLOOKUP(A35,QCOM!A$2:G$55,6,0)</f>
        <v>5180200</v>
      </c>
      <c r="CE35">
        <f>VLOOKUP(A35,RTN!A$2:G$55,6,0)</f>
        <v>1070200</v>
      </c>
      <c r="CF35">
        <f>VLOOKUP(A35,SBUX!A$2:G$55,6,0)</f>
        <v>3415400</v>
      </c>
      <c r="CG35">
        <f>VLOOKUP(A35,SLB!A$2:G$55,6,0)</f>
        <v>7806500</v>
      </c>
      <c r="CH35">
        <f>VLOOKUP(A35,SO!A$2:G$55,6,0)</f>
        <v>2979800</v>
      </c>
      <c r="CI35">
        <f>VLOOKUP(A35,SPG!A$2:G$55,6,0)</f>
        <v>1020200</v>
      </c>
      <c r="CJ35">
        <f>VLOOKUP(A35,T!A$2:G$55,6,0)</f>
        <v>18465500</v>
      </c>
      <c r="CK35">
        <f>VLOOKUP(A35,TGT!A$2:G$55,6,0)</f>
        <v>4016700</v>
      </c>
      <c r="CL35">
        <f>VLOOKUP(A35,TWX!A$2:G$55,6,0)</f>
        <v>4290900</v>
      </c>
      <c r="CM35">
        <f>VLOOKUP(A35,TXN!A$2:G$55,6,0)</f>
        <v>3806300</v>
      </c>
      <c r="CN35">
        <f>VLOOKUP(A35,UNH!A$2:G$55,6,0)</f>
        <v>2795800</v>
      </c>
      <c r="CO35">
        <f>VLOOKUP(A35,UNP!A$2:G$55,6,0)</f>
        <v>3812900</v>
      </c>
      <c r="CP35">
        <f>VLOOKUP(A35,UPS!A$2:G$55,6,0)</f>
        <v>2913200</v>
      </c>
      <c r="CQ35">
        <f>VLOOKUP(A35,USB!A$2:G$55,6,0)</f>
        <v>3552300</v>
      </c>
      <c r="CR35">
        <f>VLOOKUP(A35,UTX!A$2:G$55,6,0)</f>
        <v>5036900</v>
      </c>
      <c r="CS35">
        <f>VLOOKUP(A35,V!A$2:G$55,6,0)</f>
        <v>2088100</v>
      </c>
      <c r="CT35">
        <f>VLOOKUP(A35,VZ!A$2:G$55,6,0)</f>
        <v>12666800</v>
      </c>
      <c r="CU35">
        <f>VLOOKUP(A35,WAG!A$2:G$55,6,0)</f>
        <v>7346500</v>
      </c>
      <c r="CV35">
        <f>VLOOKUP(A35,WFC!A$2:G$55,6,0)</f>
        <v>9913700</v>
      </c>
      <c r="CW35">
        <f>VLOOKUP(A35,WMT!A$2:G$55,6,0)</f>
        <v>4015700</v>
      </c>
    </row>
    <row r="36" spans="1:101" x14ac:dyDescent="0.25">
      <c r="A36" s="34">
        <v>41870</v>
      </c>
      <c r="B36" s="36">
        <v>69274700</v>
      </c>
      <c r="C36">
        <f>VLOOKUP(A36,ABBV!A$2:G$55,6,0)</f>
        <v>9159300</v>
      </c>
      <c r="D36">
        <f>VLOOKUP(A36,ABT!A$2:G$55,6,0)</f>
        <v>2963300</v>
      </c>
      <c r="E36">
        <f>VLOOKUP(A36,ACN!A$2:G$55,6,0)</f>
        <v>1663000</v>
      </c>
      <c r="F36">
        <f>VLOOKUP(A36,AIG!A$2:G$55,6,0)</f>
        <v>5825400</v>
      </c>
      <c r="G36">
        <f>VLOOKUP(A36,ALL!A$2:G$55,6,0)</f>
        <v>1624900</v>
      </c>
      <c r="H36">
        <f>VLOOKUP(A36,AMGN!A$2:G$55,6,0)</f>
        <v>1878900</v>
      </c>
      <c r="I36">
        <f>VLOOKUP(A36,AMZN!A$2:G$55,6,0)</f>
        <v>1713800</v>
      </c>
      <c r="J36">
        <f>VLOOKUP(A36,APA!A$2:G$55,6,0)</f>
        <v>2441600</v>
      </c>
      <c r="K36">
        <f>VLOOKUP(A36,APC!A$2:G$55,6,0)</f>
        <v>2916000</v>
      </c>
      <c r="L36">
        <f>VLOOKUP(A36,AXP!A$2:G$55,6,0)</f>
        <v>3523700</v>
      </c>
      <c r="M36">
        <f>VLOOKUP(A36,BA!A$2:G$55,6,0)</f>
        <v>2988300</v>
      </c>
      <c r="N36">
        <f>VLOOKUP(A36,BAC!A$2:G$55,6,0)</f>
        <v>44825500</v>
      </c>
      <c r="O36">
        <f>VLOOKUP(A36,BAX!A$2:G$55,6,0)</f>
        <v>1383800</v>
      </c>
      <c r="P36">
        <f>VLOOKUP(A36,BIIB!A$2:G$55,6,0)</f>
        <v>815700</v>
      </c>
      <c r="Q36">
        <f>VLOOKUP(A36,BK!A$2:G$55,6,0)</f>
        <v>2835100</v>
      </c>
      <c r="R36">
        <f>VLOOKUP(A36,BMY!A$2:G$55,6,0)</f>
        <v>4382900</v>
      </c>
      <c r="T36">
        <f>VLOOKUP(A36,'C'!A$2:G$55,6,0)</f>
        <v>13073300</v>
      </c>
      <c r="U36">
        <f>VLOOKUP(A36,CAT!A$2:G$55,6,0)</f>
        <v>3639200</v>
      </c>
      <c r="V36">
        <f>VLOOKUP(A36,CL!A$2:G$55,6,0)</f>
        <v>3273800</v>
      </c>
      <c r="W36">
        <f>VLOOKUP(A36,CMCSA!A$2:G$55,6,0)</f>
        <v>7347100</v>
      </c>
      <c r="X36">
        <f>VLOOKUP(A36,COF!A$2:G$55,6,0)</f>
        <v>1687500</v>
      </c>
      <c r="Y36">
        <f>VLOOKUP(A36,COP!A$2:G$55,6,0)</f>
        <v>5417300</v>
      </c>
      <c r="Z36">
        <f>VLOOKUP(A36,COST!A$2:G$55,6,0)</f>
        <v>1708900</v>
      </c>
      <c r="AA36">
        <f>VLOOKUP(A36,CSCO!A$2:G$55,6,0)</f>
        <v>20347000</v>
      </c>
      <c r="AB36">
        <f>VLOOKUP(A36,CVS!A$2:G$55,6,0)</f>
        <v>2251800</v>
      </c>
      <c r="AC36">
        <f>VLOOKUP(A36,CVX!A$2:G$55,6,0)</f>
        <v>3887800</v>
      </c>
      <c r="AD36">
        <f>VLOOKUP(A36,DD!A$2:G$55,6,0)</f>
        <v>2120700</v>
      </c>
      <c r="AE36">
        <f>VLOOKUP(A36,DIS!A$2:G$55,6,0)</f>
        <v>4142900</v>
      </c>
      <c r="AF36">
        <f>VLOOKUP(A36,DOW!A$2:G$55,6,0)</f>
        <v>3642700</v>
      </c>
      <c r="AG36">
        <f>VLOOKUP(A36,DVN!A$2:G$55,6,0)</f>
        <v>1733700</v>
      </c>
      <c r="AH36">
        <f>VLOOKUP(A36,EBAY!A$2:G$55,6,0)</f>
        <v>8113400</v>
      </c>
      <c r="AI36">
        <f>VLOOKUP(A36,EMC!A$2:G$55,6,0)</f>
        <v>8513200</v>
      </c>
      <c r="AJ36">
        <f>VLOOKUP(A36,EMR!A$2:G$55,6,0)</f>
        <v>2293800</v>
      </c>
      <c r="AK36">
        <f>VLOOKUP(A36,EXC!A$2:G$55,6,0)</f>
        <v>4918500</v>
      </c>
      <c r="AL36">
        <f>VLOOKUP(A36,F!A$2:G$55,6,0)</f>
        <v>15899400</v>
      </c>
      <c r="AM36">
        <f>VLOOKUP(A36,FB!A$2:G$55,6,0)</f>
        <v>26618600</v>
      </c>
      <c r="AN36">
        <f>VLOOKUP(A36,FCX!A$2:G$55,6,0)</f>
        <v>5773400</v>
      </c>
      <c r="AO36">
        <f>VLOOKUP(A36,FDX!A$2:G$55,6,0)</f>
        <v>1062800</v>
      </c>
      <c r="AP36">
        <f>VLOOKUP(A36,FOXA!A$2:G$55,6,0)</f>
        <v>9121300</v>
      </c>
      <c r="AQ36">
        <f>VLOOKUP(A36,GD!A$2:G$55,6,0)</f>
        <v>1054800</v>
      </c>
      <c r="AR36">
        <f>VLOOKUP(A36,GE!A$2:G$55,6,0)</f>
        <v>16137200</v>
      </c>
      <c r="AS36">
        <f>VLOOKUP(A36,GILD!A$2:G$55,6,0)</f>
        <v>16300900</v>
      </c>
      <c r="AT36">
        <f>VLOOKUP(A36,GM!A$2:G$55,6,0)</f>
        <v>10422900</v>
      </c>
      <c r="AU36">
        <f>VLOOKUP(A36,GOOG!A$2:G$55,6,0)</f>
        <v>976000</v>
      </c>
      <c r="AV36">
        <f>VLOOKUP(A36,GOOGL!A$2:G$55,6,0)</f>
        <v>1043200</v>
      </c>
      <c r="AW36">
        <f>VLOOKUP(A36,GS!A$2:G$55,6,0)</f>
        <v>1916100</v>
      </c>
      <c r="AX36">
        <f>VLOOKUP(A36,HAL!A$2:G$55,6,0)</f>
        <v>5812300</v>
      </c>
      <c r="AY36">
        <f>VLOOKUP(A36,HD!A$2:G$55,6,0)</f>
        <v>18244600</v>
      </c>
      <c r="AZ36">
        <f>VLOOKUP(A36,HON!A$2:G$55,6,0)</f>
        <v>2393800</v>
      </c>
      <c r="BA36">
        <f>VLOOKUP(A36,HPQ!A$2:G$55,6,0)</f>
        <v>8787200</v>
      </c>
      <c r="BB36">
        <f>VLOOKUP(A36,IBM!A$2:G$55,6,0)</f>
        <v>2040100</v>
      </c>
      <c r="BC36">
        <f>VLOOKUP(A36,INTC!A$2:G$55,6,0)</f>
        <v>29281900</v>
      </c>
      <c r="BD36">
        <f>VLOOKUP(A36,JNJ!A$2:G$55,6,0)</f>
        <v>5670000</v>
      </c>
      <c r="BE36">
        <f>VLOOKUP(A36,JPM!A$2:G$55,6,0)</f>
        <v>9029500</v>
      </c>
      <c r="BF36">
        <f>VLOOKUP(A36,KO!A$2:G$55,6,0)</f>
        <v>10260400</v>
      </c>
      <c r="BG36">
        <f>VLOOKUP(A36,LLY!A$2:G$55,6,0)</f>
        <v>3504600</v>
      </c>
      <c r="BH36">
        <f>VLOOKUP(A36,LMT!A$2:G$55,6,0)</f>
        <v>841100</v>
      </c>
      <c r="BI36">
        <f>VLOOKUP(A36,LOW!A$2:G$55,6,0)</f>
        <v>9309800</v>
      </c>
      <c r="BJ36">
        <f>VLOOKUP(A36,MA!A$2:G$55,6,0)</f>
        <v>3562200</v>
      </c>
      <c r="BK36">
        <f>VLOOKUP(A36,MCD!A$2:G$55,6,0)</f>
        <v>3331700</v>
      </c>
      <c r="BL36">
        <f>VLOOKUP(A36,MDLZ!A$2:G$55,6,0)</f>
        <v>5423100</v>
      </c>
      <c r="BM36">
        <f>VLOOKUP(A36,MDT!A$2:G$55,6,0)</f>
        <v>8802400</v>
      </c>
      <c r="BN36">
        <f>VLOOKUP(A36,MET!A$2:G$55,6,0)</f>
        <v>5438600</v>
      </c>
      <c r="BO36">
        <f>VLOOKUP(A36,MMM!A$2:G$55,6,0)</f>
        <v>1592500</v>
      </c>
      <c r="BP36">
        <f>VLOOKUP(A36,MO!A$2:G$55,6,0)</f>
        <v>4320700</v>
      </c>
      <c r="BQ36">
        <f>VLOOKUP(A36,MON!A$2:G$55,6,0)</f>
        <v>2370900</v>
      </c>
      <c r="BR36">
        <f>VLOOKUP(A36,MRK!A$2:G$55,6,0)</f>
        <v>7435000</v>
      </c>
      <c r="BS36">
        <f>VLOOKUP(A36,MS!A$2:G$55,6,0)</f>
        <v>4188000</v>
      </c>
      <c r="BT36">
        <f>VLOOKUP(A36,MSFT!A$2:G$55,6,0)</f>
        <v>28139500</v>
      </c>
      <c r="BU36">
        <f>VLOOKUP(A36,NKE!A$2:G$55,6,0)</f>
        <v>2212000</v>
      </c>
      <c r="BV36">
        <f>VLOOKUP(A36,NOV!A$2:G$55,6,0)</f>
        <v>3039000</v>
      </c>
      <c r="BW36">
        <f>VLOOKUP(A36,NSC!A$2:G$55,6,0)</f>
        <v>1103000</v>
      </c>
      <c r="BX36">
        <f>VLOOKUP(A36,ORCL!A$2:G$55,6,0)</f>
        <v>14368500</v>
      </c>
      <c r="BY36">
        <f>VLOOKUP(A36,OXY!A$2:G$55,6,0)</f>
        <v>3161900</v>
      </c>
      <c r="BZ36">
        <f>VLOOKUP(A36,PEP!A$2:G$55,6,0)</f>
        <v>3086300</v>
      </c>
      <c r="CA36">
        <f>VLOOKUP(A36,PFE!A$2:G$55,6,0)</f>
        <v>18823300</v>
      </c>
      <c r="CB36">
        <f>VLOOKUP(A36,PG!A$2:G$55,6,0)</f>
        <v>6867700</v>
      </c>
      <c r="CC36">
        <f>VLOOKUP(A36,PM!A$2:G$55,6,0)</f>
        <v>2272800</v>
      </c>
      <c r="CD36">
        <f>VLOOKUP(A36,QCOM!A$2:G$55,6,0)</f>
        <v>7903300</v>
      </c>
      <c r="CE36">
        <f>VLOOKUP(A36,RTN!A$2:G$55,6,0)</f>
        <v>1495900</v>
      </c>
      <c r="CF36">
        <f>VLOOKUP(A36,SBUX!A$2:G$55,6,0)</f>
        <v>2453500</v>
      </c>
      <c r="CG36">
        <f>VLOOKUP(A36,SLB!A$2:G$55,6,0)</f>
        <v>6228900</v>
      </c>
      <c r="CH36">
        <f>VLOOKUP(A36,SO!A$2:G$55,6,0)</f>
        <v>2720600</v>
      </c>
      <c r="CI36">
        <f>VLOOKUP(A36,SPG!A$2:G$55,6,0)</f>
        <v>998300</v>
      </c>
      <c r="CJ36">
        <f>VLOOKUP(A36,T!A$2:G$55,6,0)</f>
        <v>20467600</v>
      </c>
      <c r="CK36">
        <f>VLOOKUP(A36,TGT!A$2:G$55,6,0)</f>
        <v>4807300</v>
      </c>
      <c r="CL36">
        <f>VLOOKUP(A36,TWX!A$2:G$55,6,0)</f>
        <v>4101600</v>
      </c>
      <c r="CM36">
        <f>VLOOKUP(A36,TXN!A$2:G$55,6,0)</f>
        <v>3092200</v>
      </c>
      <c r="CN36">
        <f>VLOOKUP(A36,UNH!A$2:G$55,6,0)</f>
        <v>3549300</v>
      </c>
      <c r="CO36">
        <f>VLOOKUP(A36,UNP!A$2:G$55,6,0)</f>
        <v>2357800</v>
      </c>
      <c r="CP36">
        <f>VLOOKUP(A36,UPS!A$2:G$55,6,0)</f>
        <v>2640100</v>
      </c>
      <c r="CQ36">
        <f>VLOOKUP(A36,USB!A$2:G$55,6,0)</f>
        <v>4194100</v>
      </c>
      <c r="CR36">
        <f>VLOOKUP(A36,UTX!A$2:G$55,6,0)</f>
        <v>3961600</v>
      </c>
      <c r="CS36">
        <f>VLOOKUP(A36,V!A$2:G$55,6,0)</f>
        <v>2053100</v>
      </c>
      <c r="CT36">
        <f>VLOOKUP(A36,VZ!A$2:G$55,6,0)</f>
        <v>17336000</v>
      </c>
      <c r="CU36">
        <f>VLOOKUP(A36,WAG!A$2:G$55,6,0)</f>
        <v>6918100</v>
      </c>
      <c r="CV36">
        <f>VLOOKUP(A36,WFC!A$2:G$55,6,0)</f>
        <v>8689400</v>
      </c>
      <c r="CW36">
        <f>VLOOKUP(A36,WMT!A$2:G$55,6,0)</f>
        <v>5047900</v>
      </c>
    </row>
    <row r="37" spans="1:101" x14ac:dyDescent="0.25">
      <c r="A37" s="34">
        <v>41871</v>
      </c>
      <c r="B37" s="36">
        <v>52612800</v>
      </c>
      <c r="C37">
        <f>VLOOKUP(A37,ABBV!A$2:G$55,6,0)</f>
        <v>7612200</v>
      </c>
      <c r="D37">
        <f>VLOOKUP(A37,ABT!A$2:G$55,6,0)</f>
        <v>4953600</v>
      </c>
      <c r="E37">
        <f>VLOOKUP(A37,ACN!A$2:G$55,6,0)</f>
        <v>1214500</v>
      </c>
      <c r="F37">
        <f>VLOOKUP(A37,AIG!A$2:G$55,6,0)</f>
        <v>6276000</v>
      </c>
      <c r="G37">
        <f>VLOOKUP(A37,ALL!A$2:G$55,6,0)</f>
        <v>1449600</v>
      </c>
      <c r="H37">
        <f>VLOOKUP(A37,AMGN!A$2:G$55,6,0)</f>
        <v>1748900</v>
      </c>
      <c r="I37">
        <f>VLOOKUP(A37,AMZN!A$2:G$55,6,0)</f>
        <v>1810500</v>
      </c>
      <c r="J37">
        <f>VLOOKUP(A37,APA!A$2:G$55,6,0)</f>
        <v>2446900</v>
      </c>
      <c r="K37">
        <f>VLOOKUP(A37,APC!A$2:G$55,6,0)</f>
        <v>3428300</v>
      </c>
      <c r="L37">
        <f>VLOOKUP(A37,AXP!A$2:G$55,6,0)</f>
        <v>3142900</v>
      </c>
      <c r="M37">
        <f>VLOOKUP(A37,BA!A$2:G$55,6,0)</f>
        <v>4331300</v>
      </c>
      <c r="N37">
        <f>VLOOKUP(A37,BAC!A$2:G$55,6,0)</f>
        <v>57825000</v>
      </c>
      <c r="O37">
        <f>VLOOKUP(A37,BAX!A$2:G$55,6,0)</f>
        <v>1394500</v>
      </c>
      <c r="P37">
        <f>VLOOKUP(A37,BIIB!A$2:G$55,6,0)</f>
        <v>700100</v>
      </c>
      <c r="Q37">
        <f>VLOOKUP(A37,BK!A$2:G$55,6,0)</f>
        <v>2041700</v>
      </c>
      <c r="R37">
        <f>VLOOKUP(A37,BMY!A$2:G$55,6,0)</f>
        <v>3549200</v>
      </c>
      <c r="T37">
        <f>VLOOKUP(A37,'C'!A$2:G$55,6,0)</f>
        <v>9039500</v>
      </c>
      <c r="U37">
        <f>VLOOKUP(A37,CAT!A$2:G$55,6,0)</f>
        <v>5341600</v>
      </c>
      <c r="V37">
        <f>VLOOKUP(A37,CL!A$2:G$55,6,0)</f>
        <v>2815800</v>
      </c>
      <c r="W37">
        <f>VLOOKUP(A37,CMCSA!A$2:G$55,6,0)</f>
        <v>7338700</v>
      </c>
      <c r="X37">
        <f>VLOOKUP(A37,COF!A$2:G$55,6,0)</f>
        <v>2159600</v>
      </c>
      <c r="Y37">
        <f>VLOOKUP(A37,COP!A$2:G$55,6,0)</f>
        <v>4301800</v>
      </c>
      <c r="Z37">
        <f>VLOOKUP(A37,COST!A$2:G$55,6,0)</f>
        <v>1287200</v>
      </c>
      <c r="AA37">
        <f>VLOOKUP(A37,CSCO!A$2:G$55,6,0)</f>
        <v>20228900</v>
      </c>
      <c r="AB37">
        <f>VLOOKUP(A37,CVS!A$2:G$55,6,0)</f>
        <v>2584500</v>
      </c>
      <c r="AC37">
        <f>VLOOKUP(A37,CVX!A$2:G$55,6,0)</f>
        <v>3230300</v>
      </c>
      <c r="AD37">
        <f>VLOOKUP(A37,DD!A$2:G$55,6,0)</f>
        <v>4186900</v>
      </c>
      <c r="AE37">
        <f>VLOOKUP(A37,DIS!A$2:G$55,6,0)</f>
        <v>3870900</v>
      </c>
      <c r="AF37">
        <f>VLOOKUP(A37,DOW!A$2:G$55,6,0)</f>
        <v>3712300</v>
      </c>
      <c r="AG37">
        <f>VLOOKUP(A37,DVN!A$2:G$55,6,0)</f>
        <v>2637400</v>
      </c>
      <c r="AH37">
        <f>VLOOKUP(A37,EBAY!A$2:G$55,6,0)</f>
        <v>7494600</v>
      </c>
      <c r="AI37">
        <f>VLOOKUP(A37,EMC!A$2:G$55,6,0)</f>
        <v>11459600</v>
      </c>
      <c r="AJ37">
        <f>VLOOKUP(A37,EMR!A$2:G$55,6,0)</f>
        <v>2504500</v>
      </c>
      <c r="AK37">
        <f>VLOOKUP(A37,EXC!A$2:G$55,6,0)</f>
        <v>2562600</v>
      </c>
      <c r="AL37">
        <f>VLOOKUP(A37,F!A$2:G$55,6,0)</f>
        <v>14204600</v>
      </c>
      <c r="AM37">
        <f>VLOOKUP(A37,FB!A$2:G$55,6,0)</f>
        <v>22878000</v>
      </c>
      <c r="AN37">
        <f>VLOOKUP(A37,FCX!A$2:G$55,6,0)</f>
        <v>9667900</v>
      </c>
      <c r="AO37">
        <f>VLOOKUP(A37,FDX!A$2:G$55,6,0)</f>
        <v>1476600</v>
      </c>
      <c r="AP37">
        <f>VLOOKUP(A37,FOXA!A$2:G$55,6,0)</f>
        <v>9274200</v>
      </c>
      <c r="AQ37">
        <f>VLOOKUP(A37,GD!A$2:G$55,6,0)</f>
        <v>1220800</v>
      </c>
      <c r="AR37">
        <f>VLOOKUP(A37,GE!A$2:G$55,6,0)</f>
        <v>28855400</v>
      </c>
      <c r="AS37">
        <f>VLOOKUP(A37,GILD!A$2:G$55,6,0)</f>
        <v>12590600</v>
      </c>
      <c r="AT37">
        <f>VLOOKUP(A37,GM!A$2:G$55,6,0)</f>
        <v>9112500</v>
      </c>
      <c r="AU37">
        <f>VLOOKUP(A37,GOOG!A$2:G$55,6,0)</f>
        <v>1033900</v>
      </c>
      <c r="AV37">
        <f>VLOOKUP(A37,GOOGL!A$2:G$55,6,0)</f>
        <v>967300</v>
      </c>
      <c r="AW37">
        <f>VLOOKUP(A37,GS!A$2:G$55,6,0)</f>
        <v>1755100</v>
      </c>
      <c r="AX37">
        <f>VLOOKUP(A37,HAL!A$2:G$55,6,0)</f>
        <v>4444600</v>
      </c>
      <c r="AY37">
        <f>VLOOKUP(A37,HD!A$2:G$55,6,0)</f>
        <v>13394200</v>
      </c>
      <c r="AZ37">
        <f>VLOOKUP(A37,HON!A$2:G$55,6,0)</f>
        <v>2572200</v>
      </c>
      <c r="BA37">
        <f>VLOOKUP(A37,HPQ!A$2:G$55,6,0)</f>
        <v>18762100</v>
      </c>
      <c r="BB37">
        <f>VLOOKUP(A37,IBM!A$2:G$55,6,0)</f>
        <v>2177600</v>
      </c>
      <c r="BC37">
        <f>VLOOKUP(A37,INTC!A$2:G$55,6,0)</f>
        <v>27140300</v>
      </c>
      <c r="BD37">
        <f>VLOOKUP(A37,JNJ!A$2:G$55,6,0)</f>
        <v>5183000</v>
      </c>
      <c r="BE37">
        <f>VLOOKUP(A37,JPM!A$2:G$55,6,0)</f>
        <v>8103400</v>
      </c>
      <c r="BF37">
        <f>VLOOKUP(A37,KO!A$2:G$55,6,0)</f>
        <v>6782500</v>
      </c>
      <c r="BG37">
        <f>VLOOKUP(A37,LLY!A$2:G$55,6,0)</f>
        <v>2082200</v>
      </c>
      <c r="BH37">
        <f>VLOOKUP(A37,LMT!A$2:G$55,6,0)</f>
        <v>1351100</v>
      </c>
      <c r="BI37">
        <f>VLOOKUP(A37,LOW!A$2:G$55,6,0)</f>
        <v>18405900</v>
      </c>
      <c r="BJ37">
        <f>VLOOKUP(A37,MA!A$2:G$55,6,0)</f>
        <v>2608200</v>
      </c>
      <c r="BK37">
        <f>VLOOKUP(A37,MCD!A$2:G$55,6,0)</f>
        <v>4150400</v>
      </c>
      <c r="BL37">
        <f>VLOOKUP(A37,MDLZ!A$2:G$55,6,0)</f>
        <v>3863100</v>
      </c>
      <c r="BM37">
        <f>VLOOKUP(A37,MDT!A$2:G$55,6,0)</f>
        <v>5996400</v>
      </c>
      <c r="BN37">
        <f>VLOOKUP(A37,MET!A$2:G$55,6,0)</f>
        <v>3268900</v>
      </c>
      <c r="BO37">
        <f>VLOOKUP(A37,MMM!A$2:G$55,6,0)</f>
        <v>2298800</v>
      </c>
      <c r="BP37">
        <f>VLOOKUP(A37,MO!A$2:G$55,6,0)</f>
        <v>4538600</v>
      </c>
      <c r="BQ37">
        <f>VLOOKUP(A37,MON!A$2:G$55,6,0)</f>
        <v>3678800</v>
      </c>
      <c r="BR37">
        <f>VLOOKUP(A37,MRK!A$2:G$55,6,0)</f>
        <v>7038400</v>
      </c>
      <c r="BS37">
        <f>VLOOKUP(A37,MS!A$2:G$55,6,0)</f>
        <v>4210500</v>
      </c>
      <c r="BT37">
        <f>VLOOKUP(A37,MSFT!A$2:G$55,6,0)</f>
        <v>24770500</v>
      </c>
      <c r="BU37">
        <f>VLOOKUP(A37,NKE!A$2:G$55,6,0)</f>
        <v>1982900</v>
      </c>
      <c r="BV37">
        <f>VLOOKUP(A37,NOV!A$2:G$55,6,0)</f>
        <v>2279600</v>
      </c>
      <c r="BW37">
        <f>VLOOKUP(A37,NSC!A$2:G$55,6,0)</f>
        <v>2115600</v>
      </c>
      <c r="BX37">
        <f>VLOOKUP(A37,ORCL!A$2:G$55,6,0)</f>
        <v>9627100</v>
      </c>
      <c r="BY37">
        <f>VLOOKUP(A37,OXY!A$2:G$55,6,0)</f>
        <v>1919100</v>
      </c>
      <c r="BZ37">
        <f>VLOOKUP(A37,PEP!A$2:G$55,6,0)</f>
        <v>5709300</v>
      </c>
      <c r="CA37">
        <f>VLOOKUP(A37,PFE!A$2:G$55,6,0)</f>
        <v>14997800</v>
      </c>
      <c r="CB37">
        <f>VLOOKUP(A37,PG!A$2:G$55,6,0)</f>
        <v>4581800</v>
      </c>
      <c r="CC37">
        <f>VLOOKUP(A37,PM!A$2:G$55,6,0)</f>
        <v>2441400</v>
      </c>
      <c r="CD37">
        <f>VLOOKUP(A37,QCOM!A$2:G$55,6,0)</f>
        <v>12123300</v>
      </c>
      <c r="CE37">
        <f>VLOOKUP(A37,RTN!A$2:G$55,6,0)</f>
        <v>1829600</v>
      </c>
      <c r="CF37">
        <f>VLOOKUP(A37,SBUX!A$2:G$55,6,0)</f>
        <v>2334400</v>
      </c>
      <c r="CG37">
        <f>VLOOKUP(A37,SLB!A$2:G$55,6,0)</f>
        <v>4627300</v>
      </c>
      <c r="CH37">
        <f>VLOOKUP(A37,SO!A$2:G$55,6,0)</f>
        <v>2639700</v>
      </c>
      <c r="CI37">
        <f>VLOOKUP(A37,SPG!A$2:G$55,6,0)</f>
        <v>794000</v>
      </c>
      <c r="CJ37">
        <f>VLOOKUP(A37,T!A$2:G$55,6,0)</f>
        <v>12549500</v>
      </c>
      <c r="CK37">
        <f>VLOOKUP(A37,TGT!A$2:G$55,6,0)</f>
        <v>12823400</v>
      </c>
      <c r="CL37">
        <f>VLOOKUP(A37,TWX!A$2:G$55,6,0)</f>
        <v>4567900</v>
      </c>
      <c r="CM37">
        <f>VLOOKUP(A37,TXN!A$2:G$55,6,0)</f>
        <v>5266400</v>
      </c>
      <c r="CN37">
        <f>VLOOKUP(A37,UNH!A$2:G$55,6,0)</f>
        <v>2579600</v>
      </c>
      <c r="CO37">
        <f>VLOOKUP(A37,UNP!A$2:G$55,6,0)</f>
        <v>3478900</v>
      </c>
      <c r="CP37">
        <f>VLOOKUP(A37,UPS!A$2:G$55,6,0)</f>
        <v>2629700</v>
      </c>
      <c r="CQ37">
        <f>VLOOKUP(A37,USB!A$2:G$55,6,0)</f>
        <v>5102000</v>
      </c>
      <c r="CR37">
        <f>VLOOKUP(A37,UTX!A$2:G$55,6,0)</f>
        <v>4502200</v>
      </c>
      <c r="CS37">
        <f>VLOOKUP(A37,V!A$2:G$55,6,0)</f>
        <v>1824200</v>
      </c>
      <c r="CT37">
        <f>VLOOKUP(A37,VZ!A$2:G$55,6,0)</f>
        <v>10685300</v>
      </c>
      <c r="CU37">
        <f>VLOOKUP(A37,WAG!A$2:G$55,6,0)</f>
        <v>6664100</v>
      </c>
      <c r="CV37">
        <f>VLOOKUP(A37,WFC!A$2:G$55,6,0)</f>
        <v>8361700</v>
      </c>
      <c r="CW37">
        <f>VLOOKUP(A37,WMT!A$2:G$55,6,0)</f>
        <v>4898300</v>
      </c>
    </row>
    <row r="38" spans="1:101" x14ac:dyDescent="0.25">
      <c r="A38" s="34">
        <v>41872</v>
      </c>
      <c r="B38" s="36">
        <v>33421900</v>
      </c>
      <c r="C38">
        <f>VLOOKUP(A38,ABBV!A$2:G$55,6,0)</f>
        <v>8063200</v>
      </c>
      <c r="D38">
        <f>VLOOKUP(A38,ABT!A$2:G$55,6,0)</f>
        <v>3060800</v>
      </c>
      <c r="E38">
        <f>VLOOKUP(A38,ACN!A$2:G$55,6,0)</f>
        <v>1360100</v>
      </c>
      <c r="F38">
        <f>VLOOKUP(A38,AIG!A$2:G$55,6,0)</f>
        <v>8043700</v>
      </c>
      <c r="G38">
        <f>VLOOKUP(A38,ALL!A$2:G$55,6,0)</f>
        <v>2367600</v>
      </c>
      <c r="H38">
        <f>VLOOKUP(A38,AMGN!A$2:G$55,6,0)</f>
        <v>1774300</v>
      </c>
      <c r="I38">
        <f>VLOOKUP(A38,AMZN!A$2:G$55,6,0)</f>
        <v>1971100</v>
      </c>
      <c r="J38">
        <f>VLOOKUP(A38,APA!A$2:G$55,6,0)</f>
        <v>1883500</v>
      </c>
      <c r="K38">
        <f>VLOOKUP(A38,APC!A$2:G$55,6,0)</f>
        <v>2576100</v>
      </c>
      <c r="L38">
        <f>VLOOKUP(A38,AXP!A$2:G$55,6,0)</f>
        <v>3019300</v>
      </c>
      <c r="M38">
        <f>VLOOKUP(A38,BA!A$2:G$55,6,0)</f>
        <v>2522300</v>
      </c>
      <c r="N38">
        <f>VLOOKUP(A38,BAC!A$2:G$55,6,0)</f>
        <v>177294400</v>
      </c>
      <c r="O38">
        <f>VLOOKUP(A38,BAX!A$2:G$55,6,0)</f>
        <v>2101600</v>
      </c>
      <c r="P38">
        <f>VLOOKUP(A38,BIIB!A$2:G$55,6,0)</f>
        <v>663700</v>
      </c>
      <c r="Q38">
        <f>VLOOKUP(A38,BK!A$2:G$55,6,0)</f>
        <v>3444500</v>
      </c>
      <c r="R38">
        <f>VLOOKUP(A38,BMY!A$2:G$55,6,0)</f>
        <v>3701800</v>
      </c>
      <c r="T38">
        <f>VLOOKUP(A38,'C'!A$2:G$55,6,0)</f>
        <v>24162400</v>
      </c>
      <c r="U38">
        <f>VLOOKUP(A38,CAT!A$2:G$55,6,0)</f>
        <v>4118100</v>
      </c>
      <c r="V38">
        <f>VLOOKUP(A38,CL!A$2:G$55,6,0)</f>
        <v>2500000</v>
      </c>
      <c r="W38">
        <f>VLOOKUP(A38,CMCSA!A$2:G$55,6,0)</f>
        <v>7474600</v>
      </c>
      <c r="X38">
        <f>VLOOKUP(A38,COF!A$2:G$55,6,0)</f>
        <v>2863900</v>
      </c>
      <c r="Y38">
        <f>VLOOKUP(A38,COP!A$2:G$55,6,0)</f>
        <v>3122100</v>
      </c>
      <c r="Z38">
        <f>VLOOKUP(A38,COST!A$2:G$55,6,0)</f>
        <v>1544300</v>
      </c>
      <c r="AA38">
        <f>VLOOKUP(A38,CSCO!A$2:G$55,6,0)</f>
        <v>20880800</v>
      </c>
      <c r="AB38">
        <f>VLOOKUP(A38,CVS!A$2:G$55,6,0)</f>
        <v>2597400</v>
      </c>
      <c r="AC38">
        <f>VLOOKUP(A38,CVX!A$2:G$55,6,0)</f>
        <v>2668100</v>
      </c>
      <c r="AD38">
        <f>VLOOKUP(A38,DD!A$2:G$55,6,0)</f>
        <v>2224000</v>
      </c>
      <c r="AE38">
        <f>VLOOKUP(A38,DIS!A$2:G$55,6,0)</f>
        <v>4688600</v>
      </c>
      <c r="AF38">
        <f>VLOOKUP(A38,DOW!A$2:G$55,6,0)</f>
        <v>3637800</v>
      </c>
      <c r="AG38">
        <f>VLOOKUP(A38,DVN!A$2:G$55,6,0)</f>
        <v>1788400</v>
      </c>
      <c r="AH38">
        <f>VLOOKUP(A38,EBAY!A$2:G$55,6,0)</f>
        <v>50434100</v>
      </c>
      <c r="AI38">
        <f>VLOOKUP(A38,EMC!A$2:G$55,6,0)</f>
        <v>10668400</v>
      </c>
      <c r="AJ38">
        <f>VLOOKUP(A38,EMR!A$2:G$55,6,0)</f>
        <v>1774100</v>
      </c>
      <c r="AK38">
        <f>VLOOKUP(A38,EXC!A$2:G$55,6,0)</f>
        <v>5901000</v>
      </c>
      <c r="AL38">
        <f>VLOOKUP(A38,F!A$2:G$55,6,0)</f>
        <v>15018700</v>
      </c>
      <c r="AM38">
        <f>VLOOKUP(A38,FB!A$2:G$55,6,0)</f>
        <v>20075900</v>
      </c>
      <c r="AN38">
        <f>VLOOKUP(A38,FCX!A$2:G$55,6,0)</f>
        <v>5136100</v>
      </c>
      <c r="AO38">
        <f>VLOOKUP(A38,FDX!A$2:G$55,6,0)</f>
        <v>817400</v>
      </c>
      <c r="AP38">
        <f>VLOOKUP(A38,FOXA!A$2:G$55,6,0)</f>
        <v>7833100</v>
      </c>
      <c r="AQ38">
        <f>VLOOKUP(A38,GD!A$2:G$55,6,0)</f>
        <v>1254700</v>
      </c>
      <c r="AR38">
        <f>VLOOKUP(A38,GE!A$2:G$55,6,0)</f>
        <v>22185000</v>
      </c>
      <c r="AS38">
        <f>VLOOKUP(A38,GILD!A$2:G$55,6,0)</f>
        <v>9786700</v>
      </c>
      <c r="AT38">
        <f>VLOOKUP(A38,GM!A$2:G$55,6,0)</f>
        <v>6585300</v>
      </c>
      <c r="AU38">
        <f>VLOOKUP(A38,GOOG!A$2:G$55,6,0)</f>
        <v>912300</v>
      </c>
      <c r="AV38">
        <f>VLOOKUP(A38,GOOGL!A$2:G$55,6,0)</f>
        <v>1132000</v>
      </c>
      <c r="AW38">
        <f>VLOOKUP(A38,GS!A$2:G$55,6,0)</f>
        <v>2075200</v>
      </c>
      <c r="AX38">
        <f>VLOOKUP(A38,HAL!A$2:G$55,6,0)</f>
        <v>4708500</v>
      </c>
      <c r="AY38">
        <f>VLOOKUP(A38,HD!A$2:G$55,6,0)</f>
        <v>8315900</v>
      </c>
      <c r="AZ38">
        <f>VLOOKUP(A38,HON!A$2:G$55,6,0)</f>
        <v>1511900</v>
      </c>
      <c r="BA38">
        <f>VLOOKUP(A38,HPQ!A$2:G$55,6,0)</f>
        <v>39516000</v>
      </c>
      <c r="BB38">
        <f>VLOOKUP(A38,IBM!A$2:G$55,6,0)</f>
        <v>2496500</v>
      </c>
      <c r="BC38">
        <f>VLOOKUP(A38,INTC!A$2:G$55,6,0)</f>
        <v>37142800</v>
      </c>
      <c r="BD38">
        <f>VLOOKUP(A38,JNJ!A$2:G$55,6,0)</f>
        <v>8357600</v>
      </c>
      <c r="BE38">
        <f>VLOOKUP(A38,JPM!A$2:G$55,6,0)</f>
        <v>12722700</v>
      </c>
      <c r="BF38">
        <f>VLOOKUP(A38,KO!A$2:G$55,6,0)</f>
        <v>11951000</v>
      </c>
      <c r="BG38">
        <f>VLOOKUP(A38,LLY!A$2:G$55,6,0)</f>
        <v>2833400</v>
      </c>
      <c r="BH38">
        <f>VLOOKUP(A38,LMT!A$2:G$55,6,0)</f>
        <v>1088200</v>
      </c>
      <c r="BI38">
        <f>VLOOKUP(A38,LOW!A$2:G$55,6,0)</f>
        <v>7139100</v>
      </c>
      <c r="BJ38">
        <f>VLOOKUP(A38,MA!A$2:G$55,6,0)</f>
        <v>2690000</v>
      </c>
      <c r="BK38">
        <f>VLOOKUP(A38,MCD!A$2:G$55,6,0)</f>
        <v>5981600</v>
      </c>
      <c r="BL38">
        <f>VLOOKUP(A38,MDLZ!A$2:G$55,6,0)</f>
        <v>3025200</v>
      </c>
      <c r="BM38">
        <f>VLOOKUP(A38,MDT!A$2:G$55,6,0)</f>
        <v>3949400</v>
      </c>
      <c r="BN38">
        <f>VLOOKUP(A38,MET!A$2:G$55,6,0)</f>
        <v>5889000</v>
      </c>
      <c r="BO38">
        <f>VLOOKUP(A38,MMM!A$2:G$55,6,0)</f>
        <v>1475800</v>
      </c>
      <c r="BP38">
        <f>VLOOKUP(A38,MO!A$2:G$55,6,0)</f>
        <v>4830000</v>
      </c>
      <c r="BQ38">
        <f>VLOOKUP(A38,MON!A$2:G$55,6,0)</f>
        <v>6808900</v>
      </c>
      <c r="BR38">
        <f>VLOOKUP(A38,MRK!A$2:G$55,6,0)</f>
        <v>7646800</v>
      </c>
      <c r="BS38">
        <f>VLOOKUP(A38,MS!A$2:G$55,6,0)</f>
        <v>7277900</v>
      </c>
      <c r="BT38">
        <f>VLOOKUP(A38,MSFT!A$2:G$55,6,0)</f>
        <v>22272000</v>
      </c>
      <c r="BU38">
        <f>VLOOKUP(A38,NKE!A$2:G$55,6,0)</f>
        <v>2000900</v>
      </c>
      <c r="BV38">
        <f>VLOOKUP(A38,NOV!A$2:G$55,6,0)</f>
        <v>2543600</v>
      </c>
      <c r="BW38">
        <f>VLOOKUP(A38,NSC!A$2:G$55,6,0)</f>
        <v>2992200</v>
      </c>
      <c r="BX38">
        <f>VLOOKUP(A38,ORCL!A$2:G$55,6,0)</f>
        <v>9569200</v>
      </c>
      <c r="BY38">
        <f>VLOOKUP(A38,OXY!A$2:G$55,6,0)</f>
        <v>2665800</v>
      </c>
      <c r="BZ38">
        <f>VLOOKUP(A38,PEP!A$2:G$55,6,0)</f>
        <v>4060300</v>
      </c>
      <c r="CA38">
        <f>VLOOKUP(A38,PFE!A$2:G$55,6,0)</f>
        <v>24297500</v>
      </c>
      <c r="CB38">
        <f>VLOOKUP(A38,PG!A$2:G$55,6,0)</f>
        <v>7099800</v>
      </c>
      <c r="CC38">
        <f>VLOOKUP(A38,PM!A$2:G$55,6,0)</f>
        <v>2183800</v>
      </c>
      <c r="CD38">
        <f>VLOOKUP(A38,QCOM!A$2:G$55,6,0)</f>
        <v>8646500</v>
      </c>
      <c r="CE38">
        <f>VLOOKUP(A38,RTN!A$2:G$55,6,0)</f>
        <v>975800</v>
      </c>
      <c r="CF38">
        <f>VLOOKUP(A38,SBUX!A$2:G$55,6,0)</f>
        <v>2394700</v>
      </c>
      <c r="CG38">
        <f>VLOOKUP(A38,SLB!A$2:G$55,6,0)</f>
        <v>4642900</v>
      </c>
      <c r="CH38">
        <f>VLOOKUP(A38,SO!A$2:G$55,6,0)</f>
        <v>3109600</v>
      </c>
      <c r="CI38">
        <f>VLOOKUP(A38,SPG!A$2:G$55,6,0)</f>
        <v>865100</v>
      </c>
      <c r="CJ38">
        <f>VLOOKUP(A38,T!A$2:G$55,6,0)</f>
        <v>15931900</v>
      </c>
      <c r="CK38">
        <f>VLOOKUP(A38,TGT!A$2:G$55,6,0)</f>
        <v>6544300</v>
      </c>
      <c r="CL38">
        <f>VLOOKUP(A38,TWX!A$2:G$55,6,0)</f>
        <v>3667900</v>
      </c>
      <c r="CM38">
        <f>VLOOKUP(A38,TXN!A$2:G$55,6,0)</f>
        <v>3698600</v>
      </c>
      <c r="CN38">
        <f>VLOOKUP(A38,UNH!A$2:G$55,6,0)</f>
        <v>2648500</v>
      </c>
      <c r="CO38">
        <f>VLOOKUP(A38,UNP!A$2:G$55,6,0)</f>
        <v>2350800</v>
      </c>
      <c r="CP38">
        <f>VLOOKUP(A38,UPS!A$2:G$55,6,0)</f>
        <v>2411400</v>
      </c>
      <c r="CQ38">
        <f>VLOOKUP(A38,USB!A$2:G$55,6,0)</f>
        <v>4371600</v>
      </c>
      <c r="CR38">
        <f>VLOOKUP(A38,UTX!A$2:G$55,6,0)</f>
        <v>2847600</v>
      </c>
      <c r="CS38">
        <f>VLOOKUP(A38,V!A$2:G$55,6,0)</f>
        <v>1386000</v>
      </c>
      <c r="CT38">
        <f>VLOOKUP(A38,VZ!A$2:G$55,6,0)</f>
        <v>10188900</v>
      </c>
      <c r="CU38">
        <f>VLOOKUP(A38,WAG!A$2:G$55,6,0)</f>
        <v>7879100</v>
      </c>
      <c r="CV38">
        <f>VLOOKUP(A38,WFC!A$2:G$55,6,0)</f>
        <v>10032800</v>
      </c>
      <c r="CW38">
        <f>VLOOKUP(A38,WMT!A$2:G$55,6,0)</f>
        <v>5236800</v>
      </c>
    </row>
    <row r="39" spans="1:101" x14ac:dyDescent="0.25">
      <c r="A39" s="34">
        <v>41873</v>
      </c>
      <c r="B39" s="36">
        <v>44102400</v>
      </c>
      <c r="C39">
        <f>VLOOKUP(A39,ABBV!A$2:G$55,6,0)</f>
        <v>9314600</v>
      </c>
      <c r="D39">
        <f>VLOOKUP(A39,ABT!A$2:G$55,6,0)</f>
        <v>2462400</v>
      </c>
      <c r="E39">
        <f>VLOOKUP(A39,ACN!A$2:G$55,6,0)</f>
        <v>1810200</v>
      </c>
      <c r="F39">
        <f>VLOOKUP(A39,AIG!A$2:G$55,6,0)</f>
        <v>7236200</v>
      </c>
      <c r="G39">
        <f>VLOOKUP(A39,ALL!A$2:G$55,6,0)</f>
        <v>1978400</v>
      </c>
      <c r="H39">
        <f>VLOOKUP(A39,AMGN!A$2:G$55,6,0)</f>
        <v>2017800</v>
      </c>
      <c r="I39">
        <f>VLOOKUP(A39,AMZN!A$2:G$55,6,0)</f>
        <v>2211200</v>
      </c>
      <c r="J39">
        <f>VLOOKUP(A39,APA!A$2:G$55,6,0)</f>
        <v>1657000</v>
      </c>
      <c r="K39">
        <f>VLOOKUP(A39,APC!A$2:G$55,6,0)</f>
        <v>2263500</v>
      </c>
      <c r="L39">
        <f>VLOOKUP(A39,AXP!A$2:G$55,6,0)</f>
        <v>2796200</v>
      </c>
      <c r="M39">
        <f>VLOOKUP(A39,BA!A$2:G$55,6,0)</f>
        <v>2394700</v>
      </c>
      <c r="N39">
        <f>VLOOKUP(A39,BAC!A$2:G$55,6,0)</f>
        <v>107641800</v>
      </c>
      <c r="O39">
        <f>VLOOKUP(A39,BAX!A$2:G$55,6,0)</f>
        <v>2258700</v>
      </c>
      <c r="P39">
        <f>VLOOKUP(A39,BIIB!A$2:G$55,6,0)</f>
        <v>677300</v>
      </c>
      <c r="Q39">
        <f>VLOOKUP(A39,BK!A$2:G$55,6,0)</f>
        <v>2376200</v>
      </c>
      <c r="R39">
        <f>VLOOKUP(A39,BMY!A$2:G$55,6,0)</f>
        <v>4714100</v>
      </c>
      <c r="T39">
        <f>VLOOKUP(A39,'C'!A$2:G$55,6,0)</f>
        <v>20002900</v>
      </c>
      <c r="U39">
        <f>VLOOKUP(A39,CAT!A$2:G$55,6,0)</f>
        <v>4603700</v>
      </c>
      <c r="V39">
        <f>VLOOKUP(A39,CL!A$2:G$55,6,0)</f>
        <v>1642200</v>
      </c>
      <c r="W39">
        <f>VLOOKUP(A39,CMCSA!A$2:G$55,6,0)</f>
        <v>8144600</v>
      </c>
      <c r="X39">
        <f>VLOOKUP(A39,COF!A$2:G$55,6,0)</f>
        <v>1458800</v>
      </c>
      <c r="Y39">
        <f>VLOOKUP(A39,COP!A$2:G$55,6,0)</f>
        <v>3645600</v>
      </c>
      <c r="Z39">
        <f>VLOOKUP(A39,COST!A$2:G$55,6,0)</f>
        <v>1401400</v>
      </c>
      <c r="AA39">
        <f>VLOOKUP(A39,CSCO!A$2:G$55,6,0)</f>
        <v>22435300</v>
      </c>
      <c r="AB39">
        <f>VLOOKUP(A39,CVS!A$2:G$55,6,0)</f>
        <v>3502200</v>
      </c>
      <c r="AC39">
        <f>VLOOKUP(A39,CVX!A$2:G$55,6,0)</f>
        <v>3236900</v>
      </c>
      <c r="AD39">
        <f>VLOOKUP(A39,DD!A$2:G$55,6,0)</f>
        <v>2797300</v>
      </c>
      <c r="AE39">
        <f>VLOOKUP(A39,DIS!A$2:G$55,6,0)</f>
        <v>4756400</v>
      </c>
      <c r="AF39">
        <f>VLOOKUP(A39,DOW!A$2:G$55,6,0)</f>
        <v>3351900</v>
      </c>
      <c r="AG39">
        <f>VLOOKUP(A39,DVN!A$2:G$55,6,0)</f>
        <v>1487000</v>
      </c>
      <c r="AH39">
        <f>VLOOKUP(A39,EBAY!A$2:G$55,6,0)</f>
        <v>11738200</v>
      </c>
      <c r="AI39">
        <f>VLOOKUP(A39,EMC!A$2:G$55,6,0)</f>
        <v>9539400</v>
      </c>
      <c r="AJ39">
        <f>VLOOKUP(A39,EMR!A$2:G$55,6,0)</f>
        <v>2433400</v>
      </c>
      <c r="AK39">
        <f>VLOOKUP(A39,EXC!A$2:G$55,6,0)</f>
        <v>5511200</v>
      </c>
      <c r="AL39">
        <f>VLOOKUP(A39,F!A$2:G$55,6,0)</f>
        <v>20247000</v>
      </c>
      <c r="AM39">
        <f>VLOOKUP(A39,FB!A$2:G$55,6,0)</f>
        <v>20874600</v>
      </c>
      <c r="AN39">
        <f>VLOOKUP(A39,FCX!A$2:G$55,6,0)</f>
        <v>4091200</v>
      </c>
      <c r="AO39">
        <f>VLOOKUP(A39,FDX!A$2:G$55,6,0)</f>
        <v>1075900</v>
      </c>
      <c r="AP39">
        <f>VLOOKUP(A39,FOXA!A$2:G$55,6,0)</f>
        <v>6367800</v>
      </c>
      <c r="AQ39">
        <f>VLOOKUP(A39,GD!A$2:G$55,6,0)</f>
        <v>1121600</v>
      </c>
      <c r="AR39">
        <f>VLOOKUP(A39,GE!A$2:G$55,6,0)</f>
        <v>22784400</v>
      </c>
      <c r="AS39">
        <f>VLOOKUP(A39,GILD!A$2:G$55,6,0)</f>
        <v>13255900</v>
      </c>
      <c r="AT39">
        <f>VLOOKUP(A39,GM!A$2:G$55,6,0)</f>
        <v>8665700</v>
      </c>
      <c r="AU39">
        <f>VLOOKUP(A39,GOOG!A$2:G$55,6,0)</f>
        <v>786900</v>
      </c>
      <c r="AV39">
        <f>VLOOKUP(A39,GOOGL!A$2:G$55,6,0)</f>
        <v>877200</v>
      </c>
      <c r="AW39">
        <f>VLOOKUP(A39,GS!A$2:G$55,6,0)</f>
        <v>2682000</v>
      </c>
      <c r="AX39">
        <f>VLOOKUP(A39,HAL!A$2:G$55,6,0)</f>
        <v>5123700</v>
      </c>
      <c r="AY39">
        <f>VLOOKUP(A39,HD!A$2:G$55,6,0)</f>
        <v>6939200</v>
      </c>
      <c r="AZ39">
        <f>VLOOKUP(A39,HON!A$2:G$55,6,0)</f>
        <v>1449500</v>
      </c>
      <c r="BA39">
        <f>VLOOKUP(A39,HPQ!A$2:G$55,6,0)</f>
        <v>14398700</v>
      </c>
      <c r="BB39">
        <f>VLOOKUP(A39,IBM!A$2:G$55,6,0)</f>
        <v>1940300</v>
      </c>
      <c r="BC39">
        <f>VLOOKUP(A39,INTC!A$2:G$55,6,0)</f>
        <v>21196700</v>
      </c>
      <c r="BD39">
        <f>VLOOKUP(A39,JNJ!A$2:G$55,6,0)</f>
        <v>5076300</v>
      </c>
      <c r="BE39">
        <f>VLOOKUP(A39,JPM!A$2:G$55,6,0)</f>
        <v>10184500</v>
      </c>
      <c r="BF39">
        <f>VLOOKUP(A39,KO!A$2:G$55,6,0)</f>
        <v>11244600</v>
      </c>
      <c r="BG39">
        <f>VLOOKUP(A39,LLY!A$2:G$55,6,0)</f>
        <v>3147200</v>
      </c>
      <c r="BH39">
        <f>VLOOKUP(A39,LMT!A$2:G$55,6,0)</f>
        <v>801400</v>
      </c>
      <c r="BI39">
        <f>VLOOKUP(A39,LOW!A$2:G$55,6,0)</f>
        <v>5062200</v>
      </c>
      <c r="BJ39">
        <f>VLOOKUP(A39,MA!A$2:G$55,6,0)</f>
        <v>2490100</v>
      </c>
      <c r="BK39">
        <f>VLOOKUP(A39,MCD!A$2:G$55,6,0)</f>
        <v>3586900</v>
      </c>
      <c r="BL39">
        <f>VLOOKUP(A39,MDLZ!A$2:G$55,6,0)</f>
        <v>4137100</v>
      </c>
      <c r="BM39">
        <f>VLOOKUP(A39,MDT!A$2:G$55,6,0)</f>
        <v>5146200</v>
      </c>
      <c r="BN39">
        <f>VLOOKUP(A39,MET!A$2:G$55,6,0)</f>
        <v>4056800</v>
      </c>
      <c r="BO39">
        <f>VLOOKUP(A39,MMM!A$2:G$55,6,0)</f>
        <v>1547500</v>
      </c>
      <c r="BP39">
        <f>VLOOKUP(A39,MO!A$2:G$55,6,0)</f>
        <v>3796900</v>
      </c>
      <c r="BQ39">
        <f>VLOOKUP(A39,MON!A$2:G$55,6,0)</f>
        <v>3464900</v>
      </c>
      <c r="BR39">
        <f>VLOOKUP(A39,MRK!A$2:G$55,6,0)</f>
        <v>5187600</v>
      </c>
      <c r="BS39">
        <f>VLOOKUP(A39,MS!A$2:G$55,6,0)</f>
        <v>8979300</v>
      </c>
      <c r="BT39">
        <f>VLOOKUP(A39,MSFT!A$2:G$55,6,0)</f>
        <v>18294500</v>
      </c>
      <c r="BU39">
        <f>VLOOKUP(A39,NKE!A$2:G$55,6,0)</f>
        <v>2903700</v>
      </c>
      <c r="BV39">
        <f>VLOOKUP(A39,NOV!A$2:G$55,6,0)</f>
        <v>2246800</v>
      </c>
      <c r="BW39">
        <f>VLOOKUP(A39,NSC!A$2:G$55,6,0)</f>
        <v>1155400</v>
      </c>
      <c r="BX39">
        <f>VLOOKUP(A39,ORCL!A$2:G$55,6,0)</f>
        <v>9260700</v>
      </c>
      <c r="BY39">
        <f>VLOOKUP(A39,OXY!A$2:G$55,6,0)</f>
        <v>3061200</v>
      </c>
      <c r="BZ39">
        <f>VLOOKUP(A39,PEP!A$2:G$55,6,0)</f>
        <v>3865500</v>
      </c>
      <c r="CA39">
        <f>VLOOKUP(A39,PFE!A$2:G$55,6,0)</f>
        <v>16280400</v>
      </c>
      <c r="CB39">
        <f>VLOOKUP(A39,PG!A$2:G$55,6,0)</f>
        <v>6978500</v>
      </c>
      <c r="CC39">
        <f>VLOOKUP(A39,PM!A$2:G$55,6,0)</f>
        <v>3774400</v>
      </c>
      <c r="CD39">
        <f>VLOOKUP(A39,QCOM!A$2:G$55,6,0)</f>
        <v>5082400</v>
      </c>
      <c r="CE39">
        <f>VLOOKUP(A39,RTN!A$2:G$55,6,0)</f>
        <v>842400</v>
      </c>
      <c r="CF39">
        <f>VLOOKUP(A39,SBUX!A$2:G$55,6,0)</f>
        <v>2269400</v>
      </c>
      <c r="CG39">
        <f>VLOOKUP(A39,SLB!A$2:G$55,6,0)</f>
        <v>4162600</v>
      </c>
      <c r="CH39">
        <f>VLOOKUP(A39,SO!A$2:G$55,6,0)</f>
        <v>2823900</v>
      </c>
      <c r="CI39">
        <f>VLOOKUP(A39,SPG!A$2:G$55,6,0)</f>
        <v>1112400</v>
      </c>
      <c r="CJ39">
        <f>VLOOKUP(A39,T!A$2:G$55,6,0)</f>
        <v>14285400</v>
      </c>
      <c r="CK39">
        <f>VLOOKUP(A39,TGT!A$2:G$55,6,0)</f>
        <v>4566200</v>
      </c>
      <c r="CL39">
        <f>VLOOKUP(A39,TWX!A$2:G$55,6,0)</f>
        <v>3121400</v>
      </c>
      <c r="CM39">
        <f>VLOOKUP(A39,TXN!A$2:G$55,6,0)</f>
        <v>3196900</v>
      </c>
      <c r="CN39">
        <f>VLOOKUP(A39,UNH!A$2:G$55,6,0)</f>
        <v>2089300</v>
      </c>
      <c r="CO39">
        <f>VLOOKUP(A39,UNP!A$2:G$55,6,0)</f>
        <v>2306000</v>
      </c>
      <c r="CP39">
        <f>VLOOKUP(A39,UPS!A$2:G$55,6,0)</f>
        <v>2569600</v>
      </c>
      <c r="CQ39">
        <f>VLOOKUP(A39,USB!A$2:G$55,6,0)</f>
        <v>3946600</v>
      </c>
      <c r="CR39">
        <f>VLOOKUP(A39,UTX!A$2:G$55,6,0)</f>
        <v>2364900</v>
      </c>
      <c r="CS39">
        <f>VLOOKUP(A39,V!A$2:G$55,6,0)</f>
        <v>1786400</v>
      </c>
      <c r="CT39">
        <f>VLOOKUP(A39,VZ!A$2:G$55,6,0)</f>
        <v>9991400</v>
      </c>
      <c r="CU39">
        <f>VLOOKUP(A39,WAG!A$2:G$55,6,0)</f>
        <v>6176100</v>
      </c>
      <c r="CV39">
        <f>VLOOKUP(A39,WFC!A$2:G$55,6,0)</f>
        <v>9176700</v>
      </c>
      <c r="CW39">
        <f>VLOOKUP(A39,WMT!A$2:G$55,6,0)</f>
        <v>4112700</v>
      </c>
    </row>
    <row r="40" spans="1:101" x14ac:dyDescent="0.25">
      <c r="A40" s="34">
        <v>41876</v>
      </c>
      <c r="B40" s="36">
        <v>40144700</v>
      </c>
      <c r="C40">
        <f>VLOOKUP(A40,ABBV!A$2:G$55,6,0)</f>
        <v>7553500</v>
      </c>
      <c r="D40">
        <f>VLOOKUP(A40,ABT!A$2:G$55,6,0)</f>
        <v>2424000</v>
      </c>
      <c r="E40">
        <f>VLOOKUP(A40,ACN!A$2:G$55,6,0)</f>
        <v>1733300</v>
      </c>
      <c r="F40">
        <f>VLOOKUP(A40,AIG!A$2:G$55,6,0)</f>
        <v>8407700</v>
      </c>
      <c r="G40">
        <f>VLOOKUP(A40,ALL!A$2:G$55,6,0)</f>
        <v>1893800</v>
      </c>
      <c r="H40">
        <f>VLOOKUP(A40,AMGN!A$2:G$55,6,0)</f>
        <v>2997500</v>
      </c>
      <c r="I40">
        <f>VLOOKUP(A40,AMZN!A$2:G$55,6,0)</f>
        <v>1957700</v>
      </c>
      <c r="J40">
        <f>VLOOKUP(A40,APA!A$2:G$55,6,0)</f>
        <v>1745200</v>
      </c>
      <c r="K40">
        <f>VLOOKUP(A40,APC!A$2:G$55,6,0)</f>
        <v>3843900</v>
      </c>
      <c r="L40">
        <f>VLOOKUP(A40,AXP!A$2:G$55,6,0)</f>
        <v>3718600</v>
      </c>
      <c r="M40">
        <f>VLOOKUP(A40,BA!A$2:G$55,6,0)</f>
        <v>2307100</v>
      </c>
      <c r="N40">
        <f>VLOOKUP(A40,BAC!A$2:G$55,6,0)</f>
        <v>89396500</v>
      </c>
      <c r="O40">
        <f>VLOOKUP(A40,BAX!A$2:G$55,6,0)</f>
        <v>1141300</v>
      </c>
      <c r="P40">
        <f>VLOOKUP(A40,BIIB!A$2:G$55,6,0)</f>
        <v>719300</v>
      </c>
      <c r="Q40">
        <f>VLOOKUP(A40,BK!A$2:G$55,6,0)</f>
        <v>3765000</v>
      </c>
      <c r="R40">
        <f>VLOOKUP(A40,BMY!A$2:G$55,6,0)</f>
        <v>4158000</v>
      </c>
      <c r="T40">
        <f>VLOOKUP(A40,'C'!A$2:G$55,6,0)</f>
        <v>17502900</v>
      </c>
      <c r="U40">
        <f>VLOOKUP(A40,CAT!A$2:G$55,6,0)</f>
        <v>3014100</v>
      </c>
      <c r="V40">
        <f>VLOOKUP(A40,CL!A$2:G$55,6,0)</f>
        <v>1556800</v>
      </c>
      <c r="W40">
        <f>VLOOKUP(A40,CMCSA!A$2:G$55,6,0)</f>
        <v>9416200</v>
      </c>
      <c r="X40">
        <f>VLOOKUP(A40,COF!A$2:G$55,6,0)</f>
        <v>2188200</v>
      </c>
      <c r="Y40">
        <f>VLOOKUP(A40,COP!A$2:G$55,6,0)</f>
        <v>3531700</v>
      </c>
      <c r="Z40">
        <f>VLOOKUP(A40,COST!A$2:G$55,6,0)</f>
        <v>1097300</v>
      </c>
      <c r="AA40">
        <f>VLOOKUP(A40,CSCO!A$2:G$55,6,0)</f>
        <v>19355800</v>
      </c>
      <c r="AB40">
        <f>VLOOKUP(A40,CVS!A$2:G$55,6,0)</f>
        <v>2500700</v>
      </c>
      <c r="AC40">
        <f>VLOOKUP(A40,CVX!A$2:G$55,6,0)</f>
        <v>2629200</v>
      </c>
      <c r="AD40">
        <f>VLOOKUP(A40,DD!A$2:G$55,6,0)</f>
        <v>2204300</v>
      </c>
      <c r="AE40">
        <f>VLOOKUP(A40,DIS!A$2:G$55,6,0)</f>
        <v>3501400</v>
      </c>
      <c r="AF40">
        <f>VLOOKUP(A40,DOW!A$2:G$55,6,0)</f>
        <v>2900700</v>
      </c>
      <c r="AG40">
        <f>VLOOKUP(A40,DVN!A$2:G$55,6,0)</f>
        <v>1880800</v>
      </c>
      <c r="AH40">
        <f>VLOOKUP(A40,EBAY!A$2:G$55,6,0)</f>
        <v>6722100</v>
      </c>
      <c r="AI40">
        <f>VLOOKUP(A40,EMC!A$2:G$55,6,0)</f>
        <v>10812000</v>
      </c>
      <c r="AJ40">
        <f>VLOOKUP(A40,EMR!A$2:G$55,6,0)</f>
        <v>1483900</v>
      </c>
      <c r="AK40">
        <f>VLOOKUP(A40,EXC!A$2:G$55,6,0)</f>
        <v>4532200</v>
      </c>
      <c r="AL40">
        <f>VLOOKUP(A40,F!A$2:G$55,6,0)</f>
        <v>10726100</v>
      </c>
      <c r="AM40">
        <f>VLOOKUP(A40,FB!A$2:G$55,6,0)</f>
        <v>19691100</v>
      </c>
      <c r="AN40">
        <f>VLOOKUP(A40,FCX!A$2:G$55,6,0)</f>
        <v>4360700</v>
      </c>
      <c r="AO40">
        <f>VLOOKUP(A40,FDX!A$2:G$55,6,0)</f>
        <v>619500</v>
      </c>
      <c r="AP40">
        <f>VLOOKUP(A40,FOXA!A$2:G$55,6,0)</f>
        <v>6169600</v>
      </c>
      <c r="AQ40">
        <f>VLOOKUP(A40,GD!A$2:G$55,6,0)</f>
        <v>1167900</v>
      </c>
      <c r="AR40">
        <f>VLOOKUP(A40,GE!A$2:G$55,6,0)</f>
        <v>21856200</v>
      </c>
      <c r="AS40">
        <f>VLOOKUP(A40,GILD!A$2:G$55,6,0)</f>
        <v>19852700</v>
      </c>
      <c r="AT40">
        <f>VLOOKUP(A40,GM!A$2:G$55,6,0)</f>
        <v>9546400</v>
      </c>
      <c r="AU40">
        <f>VLOOKUP(A40,GOOG!A$2:G$55,6,0)</f>
        <v>1357700</v>
      </c>
      <c r="AV40">
        <f>VLOOKUP(A40,GOOGL!A$2:G$55,6,0)</f>
        <v>1295600</v>
      </c>
      <c r="AW40">
        <f>VLOOKUP(A40,GS!A$2:G$55,6,0)</f>
        <v>3063500</v>
      </c>
      <c r="AX40">
        <f>VLOOKUP(A40,HAL!A$2:G$55,6,0)</f>
        <v>5063400</v>
      </c>
      <c r="AY40">
        <f>VLOOKUP(A40,HD!A$2:G$55,6,0)</f>
        <v>7328700</v>
      </c>
      <c r="AZ40">
        <f>VLOOKUP(A40,HON!A$2:G$55,6,0)</f>
        <v>1185700</v>
      </c>
      <c r="BA40">
        <f>VLOOKUP(A40,HPQ!A$2:G$55,6,0)</f>
        <v>10954900</v>
      </c>
      <c r="BB40">
        <f>VLOOKUP(A40,IBM!A$2:G$55,6,0)</f>
        <v>1723600</v>
      </c>
      <c r="BC40">
        <f>VLOOKUP(A40,INTC!A$2:G$55,6,0)</f>
        <v>18588900</v>
      </c>
      <c r="BD40">
        <f>VLOOKUP(A40,JNJ!A$2:G$55,6,0)</f>
        <v>3678200</v>
      </c>
      <c r="BE40">
        <f>VLOOKUP(A40,JPM!A$2:G$55,6,0)</f>
        <v>13969300</v>
      </c>
      <c r="BF40">
        <f>VLOOKUP(A40,KO!A$2:G$55,6,0)</f>
        <v>10229300</v>
      </c>
      <c r="BG40">
        <f>VLOOKUP(A40,LLY!A$2:G$55,6,0)</f>
        <v>2031700</v>
      </c>
      <c r="BH40">
        <f>VLOOKUP(A40,LMT!A$2:G$55,6,0)</f>
        <v>866400</v>
      </c>
      <c r="BI40">
        <f>VLOOKUP(A40,LOW!A$2:G$55,6,0)</f>
        <v>3779300</v>
      </c>
      <c r="BJ40">
        <f>VLOOKUP(A40,MA!A$2:G$55,6,0)</f>
        <v>3386300</v>
      </c>
      <c r="BK40">
        <f>VLOOKUP(A40,MCD!A$2:G$55,6,0)</f>
        <v>4614300</v>
      </c>
      <c r="BL40">
        <f>VLOOKUP(A40,MDLZ!A$2:G$55,6,0)</f>
        <v>3616200</v>
      </c>
      <c r="BM40">
        <f>VLOOKUP(A40,MDT!A$2:G$55,6,0)</f>
        <v>4470900</v>
      </c>
      <c r="BN40">
        <f>VLOOKUP(A40,MET!A$2:G$55,6,0)</f>
        <v>3650100</v>
      </c>
      <c r="BO40">
        <f>VLOOKUP(A40,MMM!A$2:G$55,6,0)</f>
        <v>1012900</v>
      </c>
      <c r="BP40">
        <f>VLOOKUP(A40,MO!A$2:G$55,6,0)</f>
        <v>3278700</v>
      </c>
      <c r="BQ40">
        <f>VLOOKUP(A40,MON!A$2:G$55,6,0)</f>
        <v>2840000</v>
      </c>
      <c r="BR40">
        <f>VLOOKUP(A40,MRK!A$2:G$55,6,0)</f>
        <v>5170800</v>
      </c>
      <c r="BS40">
        <f>VLOOKUP(A40,MS!A$2:G$55,6,0)</f>
        <v>13899500</v>
      </c>
      <c r="BT40">
        <f>VLOOKUP(A40,MSFT!A$2:G$55,6,0)</f>
        <v>16898100</v>
      </c>
      <c r="BU40">
        <f>VLOOKUP(A40,NKE!A$2:G$55,6,0)</f>
        <v>2537200</v>
      </c>
      <c r="BV40">
        <f>VLOOKUP(A40,NOV!A$2:G$55,6,0)</f>
        <v>2097300</v>
      </c>
      <c r="BW40">
        <f>VLOOKUP(A40,NSC!A$2:G$55,6,0)</f>
        <v>590200</v>
      </c>
      <c r="BX40">
        <f>VLOOKUP(A40,ORCL!A$2:G$55,6,0)</f>
        <v>8856700</v>
      </c>
      <c r="BY40">
        <f>VLOOKUP(A40,OXY!A$2:G$55,6,0)</f>
        <v>3188400</v>
      </c>
      <c r="BZ40">
        <f>VLOOKUP(A40,PEP!A$2:G$55,6,0)</f>
        <v>5031800</v>
      </c>
      <c r="CA40">
        <f>VLOOKUP(A40,PFE!A$2:G$55,6,0)</f>
        <v>16867700</v>
      </c>
      <c r="CB40">
        <f>VLOOKUP(A40,PG!A$2:G$55,6,0)</f>
        <v>5586800</v>
      </c>
      <c r="CC40">
        <f>VLOOKUP(A40,PM!A$2:G$55,6,0)</f>
        <v>2858700</v>
      </c>
      <c r="CD40">
        <f>VLOOKUP(A40,QCOM!A$2:G$55,6,0)</f>
        <v>4752000</v>
      </c>
      <c r="CE40">
        <f>VLOOKUP(A40,RTN!A$2:G$55,6,0)</f>
        <v>624300</v>
      </c>
      <c r="CF40">
        <f>VLOOKUP(A40,SBUX!A$2:G$55,6,0)</f>
        <v>2837900</v>
      </c>
      <c r="CG40">
        <f>VLOOKUP(A40,SLB!A$2:G$55,6,0)</f>
        <v>4497400</v>
      </c>
      <c r="CH40">
        <f>VLOOKUP(A40,SO!A$2:G$55,6,0)</f>
        <v>2091500</v>
      </c>
      <c r="CI40">
        <f>VLOOKUP(A40,SPG!A$2:G$55,6,0)</f>
        <v>943900</v>
      </c>
      <c r="CJ40">
        <f>VLOOKUP(A40,T!A$2:G$55,6,0)</f>
        <v>17305800</v>
      </c>
      <c r="CK40">
        <f>VLOOKUP(A40,TGT!A$2:G$55,6,0)</f>
        <v>4368200</v>
      </c>
      <c r="CL40">
        <f>VLOOKUP(A40,TWX!A$2:G$55,6,0)</f>
        <v>3334400</v>
      </c>
      <c r="CM40">
        <f>VLOOKUP(A40,TXN!A$2:G$55,6,0)</f>
        <v>4836400</v>
      </c>
      <c r="CN40">
        <f>VLOOKUP(A40,UNH!A$2:G$55,6,0)</f>
        <v>1988100</v>
      </c>
      <c r="CO40">
        <f>VLOOKUP(A40,UNP!A$2:G$55,6,0)</f>
        <v>2345000</v>
      </c>
      <c r="CP40">
        <f>VLOOKUP(A40,UPS!A$2:G$55,6,0)</f>
        <v>1785500</v>
      </c>
      <c r="CQ40">
        <f>VLOOKUP(A40,USB!A$2:G$55,6,0)</f>
        <v>4583800</v>
      </c>
      <c r="CR40">
        <f>VLOOKUP(A40,UTX!A$2:G$55,6,0)</f>
        <v>1732800</v>
      </c>
      <c r="CS40">
        <f>VLOOKUP(A40,V!A$2:G$55,6,0)</f>
        <v>1240600</v>
      </c>
      <c r="CT40">
        <f>VLOOKUP(A40,VZ!A$2:G$55,6,0)</f>
        <v>9913500</v>
      </c>
      <c r="CU40">
        <f>VLOOKUP(A40,WAG!A$2:G$55,6,0)</f>
        <v>5238300</v>
      </c>
      <c r="CV40">
        <f>VLOOKUP(A40,WFC!A$2:G$55,6,0)</f>
        <v>8646000</v>
      </c>
      <c r="CW40">
        <f>VLOOKUP(A40,WMT!A$2:G$55,6,0)</f>
        <v>3383300</v>
      </c>
    </row>
    <row r="41" spans="1:101" x14ac:dyDescent="0.25">
      <c r="A41" s="34">
        <v>41877</v>
      </c>
      <c r="B41" s="36">
        <v>33119800</v>
      </c>
      <c r="C41">
        <f>VLOOKUP(A41,ABBV!A$2:G$55,6,0)</f>
        <v>9231700</v>
      </c>
      <c r="D41">
        <f>VLOOKUP(A41,ABT!A$2:G$55,6,0)</f>
        <v>3229100</v>
      </c>
      <c r="E41">
        <f>VLOOKUP(A41,ACN!A$2:G$55,6,0)</f>
        <v>2432900</v>
      </c>
      <c r="F41">
        <f>VLOOKUP(A41,AIG!A$2:G$55,6,0)</f>
        <v>4749200</v>
      </c>
      <c r="G41">
        <f>VLOOKUP(A41,ALL!A$2:G$55,6,0)</f>
        <v>1876400</v>
      </c>
      <c r="H41">
        <f>VLOOKUP(A41,AMGN!A$2:G$55,6,0)</f>
        <v>3874000</v>
      </c>
      <c r="I41">
        <f>VLOOKUP(A41,AMZN!A$2:G$55,6,0)</f>
        <v>3638200</v>
      </c>
      <c r="J41">
        <f>VLOOKUP(A41,APA!A$2:G$55,6,0)</f>
        <v>2037200</v>
      </c>
      <c r="K41">
        <f>VLOOKUP(A41,APC!A$2:G$55,6,0)</f>
        <v>2814000</v>
      </c>
      <c r="L41">
        <f>VLOOKUP(A41,AXP!A$2:G$55,6,0)</f>
        <v>2920600</v>
      </c>
      <c r="M41">
        <f>VLOOKUP(A41,BA!A$2:G$55,6,0)</f>
        <v>2329000</v>
      </c>
      <c r="N41">
        <f>VLOOKUP(A41,BAC!A$2:G$55,6,0)</f>
        <v>73323400</v>
      </c>
      <c r="O41">
        <f>VLOOKUP(A41,BAX!A$2:G$55,6,0)</f>
        <v>1119500</v>
      </c>
      <c r="P41">
        <f>VLOOKUP(A41,BIIB!A$2:G$55,6,0)</f>
        <v>836800</v>
      </c>
      <c r="Q41">
        <f>VLOOKUP(A41,BK!A$2:G$55,6,0)</f>
        <v>3312700</v>
      </c>
      <c r="R41">
        <f>VLOOKUP(A41,BMY!A$2:G$55,6,0)</f>
        <v>2959800</v>
      </c>
      <c r="T41">
        <f>VLOOKUP(A41,'C'!A$2:G$55,6,0)</f>
        <v>18384700</v>
      </c>
      <c r="U41">
        <f>VLOOKUP(A41,CAT!A$2:G$55,6,0)</f>
        <v>2366900</v>
      </c>
      <c r="V41">
        <f>VLOOKUP(A41,CL!A$2:G$55,6,0)</f>
        <v>2390400</v>
      </c>
      <c r="W41">
        <f>VLOOKUP(A41,CMCSA!A$2:G$55,6,0)</f>
        <v>9240100</v>
      </c>
      <c r="X41">
        <f>VLOOKUP(A41,COF!A$2:G$55,6,0)</f>
        <v>1458000</v>
      </c>
      <c r="Y41">
        <f>VLOOKUP(A41,COP!A$2:G$55,6,0)</f>
        <v>3335600</v>
      </c>
      <c r="Z41">
        <f>VLOOKUP(A41,COST!A$2:G$55,6,0)</f>
        <v>1385400</v>
      </c>
      <c r="AA41">
        <f>VLOOKUP(A41,CSCO!A$2:G$55,6,0)</f>
        <v>17007800</v>
      </c>
      <c r="AB41">
        <f>VLOOKUP(A41,CVS!A$2:G$55,6,0)</f>
        <v>2727200</v>
      </c>
      <c r="AC41">
        <f>VLOOKUP(A41,CVX!A$2:G$55,6,0)</f>
        <v>2822100</v>
      </c>
      <c r="AD41">
        <f>VLOOKUP(A41,DD!A$2:G$55,6,0)</f>
        <v>2053800</v>
      </c>
      <c r="AE41">
        <f>VLOOKUP(A41,DIS!A$2:G$55,6,0)</f>
        <v>4104300</v>
      </c>
      <c r="AF41">
        <f>VLOOKUP(A41,DOW!A$2:G$55,6,0)</f>
        <v>3683700</v>
      </c>
      <c r="AG41">
        <f>VLOOKUP(A41,DVN!A$2:G$55,6,0)</f>
        <v>1937300</v>
      </c>
      <c r="AH41">
        <f>VLOOKUP(A41,EBAY!A$2:G$55,6,0)</f>
        <v>8994500</v>
      </c>
      <c r="AI41">
        <f>VLOOKUP(A41,EMC!A$2:G$55,6,0)</f>
        <v>7541000</v>
      </c>
      <c r="AJ41">
        <f>VLOOKUP(A41,EMR!A$2:G$55,6,0)</f>
        <v>1855100</v>
      </c>
      <c r="AK41">
        <f>VLOOKUP(A41,EXC!A$2:G$55,6,0)</f>
        <v>4101800</v>
      </c>
      <c r="AL41">
        <f>VLOOKUP(A41,F!A$2:G$55,6,0)</f>
        <v>12018200</v>
      </c>
      <c r="AM41">
        <f>VLOOKUP(A41,FB!A$2:G$55,6,0)</f>
        <v>23886100</v>
      </c>
      <c r="AN41">
        <f>VLOOKUP(A41,FCX!A$2:G$55,6,0)</f>
        <v>6602000</v>
      </c>
      <c r="AO41">
        <f>VLOOKUP(A41,FDX!A$2:G$55,6,0)</f>
        <v>609100</v>
      </c>
      <c r="AP41">
        <f>VLOOKUP(A41,FOXA!A$2:G$55,6,0)</f>
        <v>6620100</v>
      </c>
      <c r="AQ41">
        <f>VLOOKUP(A41,GD!A$2:G$55,6,0)</f>
        <v>760300</v>
      </c>
      <c r="AR41">
        <f>VLOOKUP(A41,GE!A$2:G$55,6,0)</f>
        <v>26313600</v>
      </c>
      <c r="AS41">
        <f>VLOOKUP(A41,GILD!A$2:G$55,6,0)</f>
        <v>18779400</v>
      </c>
      <c r="AT41">
        <f>VLOOKUP(A41,GM!A$2:G$55,6,0)</f>
        <v>7535000</v>
      </c>
      <c r="AU41">
        <f>VLOOKUP(A41,GOOG!A$2:G$55,6,0)</f>
        <v>1635200</v>
      </c>
      <c r="AV41">
        <f>VLOOKUP(A41,GOOGL!A$2:G$55,6,0)</f>
        <v>1471700</v>
      </c>
      <c r="AW41">
        <f>VLOOKUP(A41,GS!A$2:G$55,6,0)</f>
        <v>3110600</v>
      </c>
      <c r="AX41">
        <f>VLOOKUP(A41,HAL!A$2:G$55,6,0)</f>
        <v>7822800</v>
      </c>
      <c r="AY41">
        <f>VLOOKUP(A41,HD!A$2:G$55,6,0)</f>
        <v>5396400</v>
      </c>
      <c r="AZ41">
        <f>VLOOKUP(A41,HON!A$2:G$55,6,0)</f>
        <v>1494500</v>
      </c>
      <c r="BA41">
        <f>VLOOKUP(A41,HPQ!A$2:G$55,6,0)</f>
        <v>13922300</v>
      </c>
      <c r="BB41">
        <f>VLOOKUP(A41,IBM!A$2:G$55,6,0)</f>
        <v>3160900</v>
      </c>
      <c r="BC41">
        <f>VLOOKUP(A41,INTC!A$2:G$55,6,0)</f>
        <v>19633400</v>
      </c>
      <c r="BD41">
        <f>VLOOKUP(A41,JNJ!A$2:G$55,6,0)</f>
        <v>3512400</v>
      </c>
      <c r="BE41">
        <f>VLOOKUP(A41,JPM!A$2:G$55,6,0)</f>
        <v>10231100</v>
      </c>
      <c r="BF41">
        <f>VLOOKUP(A41,KO!A$2:G$55,6,0)</f>
        <v>8416500</v>
      </c>
      <c r="BG41">
        <f>VLOOKUP(A41,LLY!A$2:G$55,6,0)</f>
        <v>1867400</v>
      </c>
      <c r="BH41">
        <f>VLOOKUP(A41,LMT!A$2:G$55,6,0)</f>
        <v>1036500</v>
      </c>
      <c r="BI41">
        <f>VLOOKUP(A41,LOW!A$2:G$55,6,0)</f>
        <v>4814000</v>
      </c>
      <c r="BJ41">
        <f>VLOOKUP(A41,MA!A$2:G$55,6,0)</f>
        <v>3815600</v>
      </c>
      <c r="BK41">
        <f>VLOOKUP(A41,MCD!A$2:G$55,6,0)</f>
        <v>6392400</v>
      </c>
      <c r="BL41">
        <f>VLOOKUP(A41,MDLZ!A$2:G$55,6,0)</f>
        <v>2845100</v>
      </c>
      <c r="BM41">
        <f>VLOOKUP(A41,MDT!A$2:G$55,6,0)</f>
        <v>5071400</v>
      </c>
      <c r="BN41">
        <f>VLOOKUP(A41,MET!A$2:G$55,6,0)</f>
        <v>3317100</v>
      </c>
      <c r="BO41">
        <f>VLOOKUP(A41,MMM!A$2:G$55,6,0)</f>
        <v>1808100</v>
      </c>
      <c r="BP41">
        <f>VLOOKUP(A41,MO!A$2:G$55,6,0)</f>
        <v>4468100</v>
      </c>
      <c r="BQ41">
        <f>VLOOKUP(A41,MON!A$2:G$55,6,0)</f>
        <v>2835700</v>
      </c>
      <c r="BR41">
        <f>VLOOKUP(A41,MRK!A$2:G$55,6,0)</f>
        <v>9220600</v>
      </c>
      <c r="BS41">
        <f>VLOOKUP(A41,MS!A$2:G$55,6,0)</f>
        <v>8441400</v>
      </c>
      <c r="BT41">
        <f>VLOOKUP(A41,MSFT!A$2:G$55,6,0)</f>
        <v>14873100</v>
      </c>
      <c r="BU41">
        <f>VLOOKUP(A41,NKE!A$2:G$55,6,0)</f>
        <v>2608200</v>
      </c>
      <c r="BV41">
        <f>VLOOKUP(A41,NOV!A$2:G$55,6,0)</f>
        <v>2193000</v>
      </c>
      <c r="BW41">
        <f>VLOOKUP(A41,NSC!A$2:G$55,6,0)</f>
        <v>916600</v>
      </c>
      <c r="BX41">
        <f>VLOOKUP(A41,ORCL!A$2:G$55,6,0)</f>
        <v>7292600</v>
      </c>
      <c r="BY41">
        <f>VLOOKUP(A41,OXY!A$2:G$55,6,0)</f>
        <v>2287300</v>
      </c>
      <c r="BZ41">
        <f>VLOOKUP(A41,PEP!A$2:G$55,6,0)</f>
        <v>3143400</v>
      </c>
      <c r="CA41">
        <f>VLOOKUP(A41,PFE!A$2:G$55,6,0)</f>
        <v>17148500</v>
      </c>
      <c r="CB41">
        <f>VLOOKUP(A41,PG!A$2:G$55,6,0)</f>
        <v>5169100</v>
      </c>
      <c r="CC41">
        <f>VLOOKUP(A41,PM!A$2:G$55,6,0)</f>
        <v>2466200</v>
      </c>
      <c r="CD41">
        <f>VLOOKUP(A41,QCOM!A$2:G$55,6,0)</f>
        <v>6754000</v>
      </c>
      <c r="CE41">
        <f>VLOOKUP(A41,RTN!A$2:G$55,6,0)</f>
        <v>697100</v>
      </c>
      <c r="CF41">
        <f>VLOOKUP(A41,SBUX!A$2:G$55,6,0)</f>
        <v>2750800</v>
      </c>
      <c r="CG41">
        <f>VLOOKUP(A41,SLB!A$2:G$55,6,0)</f>
        <v>4827000</v>
      </c>
      <c r="CH41">
        <f>VLOOKUP(A41,SO!A$2:G$55,6,0)</f>
        <v>2242600</v>
      </c>
      <c r="CI41">
        <f>VLOOKUP(A41,SPG!A$2:G$55,6,0)</f>
        <v>818700</v>
      </c>
      <c r="CJ41">
        <f>VLOOKUP(A41,T!A$2:G$55,6,0)</f>
        <v>14765100</v>
      </c>
      <c r="CK41">
        <f>VLOOKUP(A41,TGT!A$2:G$55,6,0)</f>
        <v>3224800</v>
      </c>
      <c r="CL41">
        <f>VLOOKUP(A41,TWX!A$2:G$55,6,0)</f>
        <v>3051700</v>
      </c>
      <c r="CM41">
        <f>VLOOKUP(A41,TXN!A$2:G$55,6,0)</f>
        <v>4560400</v>
      </c>
      <c r="CN41">
        <f>VLOOKUP(A41,UNH!A$2:G$55,6,0)</f>
        <v>2267800</v>
      </c>
      <c r="CO41">
        <f>VLOOKUP(A41,UNP!A$2:G$55,6,0)</f>
        <v>3195400</v>
      </c>
      <c r="CP41">
        <f>VLOOKUP(A41,UPS!A$2:G$55,6,0)</f>
        <v>1957000</v>
      </c>
      <c r="CQ41">
        <f>VLOOKUP(A41,USB!A$2:G$55,6,0)</f>
        <v>3945700</v>
      </c>
      <c r="CR41">
        <f>VLOOKUP(A41,UTX!A$2:G$55,6,0)</f>
        <v>2022500</v>
      </c>
      <c r="CS41">
        <f>VLOOKUP(A41,V!A$2:G$55,6,0)</f>
        <v>1724500</v>
      </c>
      <c r="CT41">
        <f>VLOOKUP(A41,VZ!A$2:G$55,6,0)</f>
        <v>10363400</v>
      </c>
      <c r="CU41">
        <f>VLOOKUP(A41,WAG!A$2:G$55,6,0)</f>
        <v>4090000</v>
      </c>
      <c r="CV41">
        <f>VLOOKUP(A41,WFC!A$2:G$55,6,0)</f>
        <v>7025200</v>
      </c>
      <c r="CW41">
        <f>VLOOKUP(A41,WMT!A$2:G$55,6,0)</f>
        <v>4206400</v>
      </c>
    </row>
    <row r="42" spans="1:101" x14ac:dyDescent="0.25">
      <c r="A42" s="34">
        <v>41878</v>
      </c>
      <c r="B42" s="36">
        <v>46827400</v>
      </c>
      <c r="C42">
        <f>VLOOKUP(A42,ABBV!A$2:G$55,6,0)</f>
        <v>11022600</v>
      </c>
      <c r="D42">
        <f>VLOOKUP(A42,ABT!A$2:G$55,6,0)</f>
        <v>2805100</v>
      </c>
      <c r="E42">
        <f>VLOOKUP(A42,ACN!A$2:G$55,6,0)</f>
        <v>1728000</v>
      </c>
      <c r="F42">
        <f>VLOOKUP(A42,AIG!A$2:G$55,6,0)</f>
        <v>6376900</v>
      </c>
      <c r="G42">
        <f>VLOOKUP(A42,ALL!A$2:G$55,6,0)</f>
        <v>1666500</v>
      </c>
      <c r="H42">
        <f>VLOOKUP(A42,AMGN!A$2:G$55,6,0)</f>
        <v>2693200</v>
      </c>
      <c r="I42">
        <f>VLOOKUP(A42,AMZN!A$2:G$55,6,0)</f>
        <v>2961600</v>
      </c>
      <c r="J42">
        <f>VLOOKUP(A42,APA!A$2:G$55,6,0)</f>
        <v>1643100</v>
      </c>
      <c r="K42">
        <f>VLOOKUP(A42,APC!A$2:G$55,6,0)</f>
        <v>2563900</v>
      </c>
      <c r="L42">
        <f>VLOOKUP(A42,AXP!A$2:G$55,6,0)</f>
        <v>2632300</v>
      </c>
      <c r="M42">
        <f>VLOOKUP(A42,BA!A$2:G$55,6,0)</f>
        <v>3075200</v>
      </c>
      <c r="N42">
        <f>VLOOKUP(A42,BAC!A$2:G$55,6,0)</f>
        <v>63061800</v>
      </c>
      <c r="O42">
        <f>VLOOKUP(A42,BAX!A$2:G$55,6,0)</f>
        <v>1626900</v>
      </c>
      <c r="P42">
        <f>VLOOKUP(A42,BIIB!A$2:G$55,6,0)</f>
        <v>972100</v>
      </c>
      <c r="Q42">
        <f>VLOOKUP(A42,BK!A$2:G$55,6,0)</f>
        <v>3337900</v>
      </c>
      <c r="R42">
        <f>VLOOKUP(A42,BMY!A$2:G$55,6,0)</f>
        <v>4852400</v>
      </c>
      <c r="T42">
        <f>VLOOKUP(A42,'C'!A$2:G$55,6,0)</f>
        <v>13398400</v>
      </c>
      <c r="U42">
        <f>VLOOKUP(A42,CAT!A$2:G$55,6,0)</f>
        <v>3281900</v>
      </c>
      <c r="V42">
        <f>VLOOKUP(A42,CL!A$2:G$55,6,0)</f>
        <v>2084400</v>
      </c>
      <c r="W42">
        <f>VLOOKUP(A42,CMCSA!A$2:G$55,6,0)</f>
        <v>8134700</v>
      </c>
      <c r="X42">
        <f>VLOOKUP(A42,COF!A$2:G$55,6,0)</f>
        <v>1556800</v>
      </c>
      <c r="Y42">
        <f>VLOOKUP(A42,COP!A$2:G$55,6,0)</f>
        <v>3146400</v>
      </c>
      <c r="Z42">
        <f>VLOOKUP(A42,COST!A$2:G$55,6,0)</f>
        <v>1028200</v>
      </c>
      <c r="AA42">
        <f>VLOOKUP(A42,CSCO!A$2:G$55,6,0)</f>
        <v>15748800</v>
      </c>
      <c r="AB42">
        <f>VLOOKUP(A42,CVS!A$2:G$55,6,0)</f>
        <v>2093100</v>
      </c>
      <c r="AC42">
        <f>VLOOKUP(A42,CVX!A$2:G$55,6,0)</f>
        <v>2756000</v>
      </c>
      <c r="AD42">
        <f>VLOOKUP(A42,DD!A$2:G$55,6,0)</f>
        <v>2152500</v>
      </c>
      <c r="AE42">
        <f>VLOOKUP(A42,DIS!A$2:G$55,6,0)</f>
        <v>3728300</v>
      </c>
      <c r="AF42">
        <f>VLOOKUP(A42,DOW!A$2:G$55,6,0)</f>
        <v>6567200</v>
      </c>
      <c r="AG42">
        <f>VLOOKUP(A42,DVN!A$2:G$55,6,0)</f>
        <v>1676600</v>
      </c>
      <c r="AH42">
        <f>VLOOKUP(A42,EBAY!A$2:G$55,6,0)</f>
        <v>7576900</v>
      </c>
      <c r="AI42">
        <f>VLOOKUP(A42,EMC!A$2:G$55,6,0)</f>
        <v>6194100</v>
      </c>
      <c r="AJ42">
        <f>VLOOKUP(A42,EMR!A$2:G$55,6,0)</f>
        <v>1507500</v>
      </c>
      <c r="AK42">
        <f>VLOOKUP(A42,EXC!A$2:G$55,6,0)</f>
        <v>4544600</v>
      </c>
      <c r="AL42">
        <f>VLOOKUP(A42,F!A$2:G$55,6,0)</f>
        <v>18022900</v>
      </c>
      <c r="AM42">
        <f>VLOOKUP(A42,FB!A$2:G$55,6,0)</f>
        <v>36238700</v>
      </c>
      <c r="AN42">
        <f>VLOOKUP(A42,FCX!A$2:G$55,6,0)</f>
        <v>5740300</v>
      </c>
      <c r="AO42">
        <f>VLOOKUP(A42,FDX!A$2:G$55,6,0)</f>
        <v>696600</v>
      </c>
      <c r="AP42">
        <f>VLOOKUP(A42,FOXA!A$2:G$55,6,0)</f>
        <v>6079600</v>
      </c>
      <c r="AQ42">
        <f>VLOOKUP(A42,GD!A$2:G$55,6,0)</f>
        <v>878500</v>
      </c>
      <c r="AR42">
        <f>VLOOKUP(A42,GE!A$2:G$55,6,0)</f>
        <v>21176500</v>
      </c>
      <c r="AS42">
        <f>VLOOKUP(A42,GILD!A$2:G$55,6,0)</f>
        <v>16164800</v>
      </c>
      <c r="AT42">
        <f>VLOOKUP(A42,GM!A$2:G$55,6,0)</f>
        <v>7118000</v>
      </c>
      <c r="AU42">
        <f>VLOOKUP(A42,GOOG!A$2:G$55,6,0)</f>
        <v>1698700</v>
      </c>
      <c r="AV42">
        <f>VLOOKUP(A42,GOOGL!A$2:G$55,6,0)</f>
        <v>1364600</v>
      </c>
      <c r="AW42">
        <f>VLOOKUP(A42,GS!A$2:G$55,6,0)</f>
        <v>2073700</v>
      </c>
      <c r="AX42">
        <f>VLOOKUP(A42,HAL!A$2:G$55,6,0)</f>
        <v>15546000</v>
      </c>
      <c r="AY42">
        <f>VLOOKUP(A42,HD!A$2:G$55,6,0)</f>
        <v>4320200</v>
      </c>
      <c r="AZ42">
        <f>VLOOKUP(A42,HON!A$2:G$55,6,0)</f>
        <v>1303900</v>
      </c>
      <c r="BA42">
        <f>VLOOKUP(A42,HPQ!A$2:G$55,6,0)</f>
        <v>9715500</v>
      </c>
      <c r="BB42">
        <f>VLOOKUP(A42,IBM!A$2:G$55,6,0)</f>
        <v>2190200</v>
      </c>
      <c r="BC42">
        <f>VLOOKUP(A42,INTC!A$2:G$55,6,0)</f>
        <v>16785200</v>
      </c>
      <c r="BD42">
        <f>VLOOKUP(A42,JNJ!A$2:G$55,6,0)</f>
        <v>4786100</v>
      </c>
      <c r="BE42">
        <f>VLOOKUP(A42,JPM!A$2:G$55,6,0)</f>
        <v>11389100</v>
      </c>
      <c r="BF42">
        <f>VLOOKUP(A42,KO!A$2:G$55,6,0)</f>
        <v>7693100</v>
      </c>
      <c r="BG42">
        <f>VLOOKUP(A42,LLY!A$2:G$55,6,0)</f>
        <v>3057300</v>
      </c>
      <c r="BH42">
        <f>VLOOKUP(A42,LMT!A$2:G$55,6,0)</f>
        <v>1115200</v>
      </c>
      <c r="BI42">
        <f>VLOOKUP(A42,LOW!A$2:G$55,6,0)</f>
        <v>4927900</v>
      </c>
      <c r="BJ42">
        <f>VLOOKUP(A42,MA!A$2:G$55,6,0)</f>
        <v>1957500</v>
      </c>
      <c r="BK42">
        <f>VLOOKUP(A42,MCD!A$2:G$55,6,0)</f>
        <v>9027300</v>
      </c>
      <c r="BL42">
        <f>VLOOKUP(A42,MDLZ!A$2:G$55,6,0)</f>
        <v>3703000</v>
      </c>
      <c r="BM42">
        <f>VLOOKUP(A42,MDT!A$2:G$55,6,0)</f>
        <v>3051000</v>
      </c>
      <c r="BN42">
        <f>VLOOKUP(A42,MET!A$2:G$55,6,0)</f>
        <v>5340000</v>
      </c>
      <c r="BO42">
        <f>VLOOKUP(A42,MMM!A$2:G$55,6,0)</f>
        <v>1402200</v>
      </c>
      <c r="BP42">
        <f>VLOOKUP(A42,MO!A$2:G$55,6,0)</f>
        <v>3489300</v>
      </c>
      <c r="BQ42">
        <f>VLOOKUP(A42,MON!A$2:G$55,6,0)</f>
        <v>4576400</v>
      </c>
      <c r="BR42">
        <f>VLOOKUP(A42,MRK!A$2:G$55,6,0)</f>
        <v>6546700</v>
      </c>
      <c r="BS42">
        <f>VLOOKUP(A42,MS!A$2:G$55,6,0)</f>
        <v>5668100</v>
      </c>
      <c r="BT42">
        <f>VLOOKUP(A42,MSFT!A$2:G$55,6,0)</f>
        <v>20823000</v>
      </c>
      <c r="BU42">
        <f>VLOOKUP(A42,NKE!A$2:G$55,6,0)</f>
        <v>1839700</v>
      </c>
      <c r="BV42">
        <f>VLOOKUP(A42,NOV!A$2:G$55,6,0)</f>
        <v>1736700</v>
      </c>
      <c r="BW42">
        <f>VLOOKUP(A42,NSC!A$2:G$55,6,0)</f>
        <v>1238600</v>
      </c>
      <c r="BX42">
        <f>VLOOKUP(A42,ORCL!A$2:G$55,6,0)</f>
        <v>8440000</v>
      </c>
      <c r="BY42">
        <f>VLOOKUP(A42,OXY!A$2:G$55,6,0)</f>
        <v>2233600</v>
      </c>
      <c r="BZ42">
        <f>VLOOKUP(A42,PEP!A$2:G$55,6,0)</f>
        <v>2955100</v>
      </c>
      <c r="CA42">
        <f>VLOOKUP(A42,PFE!A$2:G$55,6,0)</f>
        <v>21941700</v>
      </c>
      <c r="CB42">
        <f>VLOOKUP(A42,PG!A$2:G$55,6,0)</f>
        <v>4248300</v>
      </c>
      <c r="CC42">
        <f>VLOOKUP(A42,PM!A$2:G$55,6,0)</f>
        <v>2094300</v>
      </c>
      <c r="CD42">
        <f>VLOOKUP(A42,QCOM!A$2:G$55,6,0)</f>
        <v>7846200</v>
      </c>
      <c r="CE42">
        <f>VLOOKUP(A42,RTN!A$2:G$55,6,0)</f>
        <v>1067700</v>
      </c>
      <c r="CF42">
        <f>VLOOKUP(A42,SBUX!A$2:G$55,6,0)</f>
        <v>2451800</v>
      </c>
      <c r="CG42">
        <f>VLOOKUP(A42,SLB!A$2:G$55,6,0)</f>
        <v>4339700</v>
      </c>
      <c r="CH42">
        <f>VLOOKUP(A42,SO!A$2:G$55,6,0)</f>
        <v>2384400</v>
      </c>
      <c r="CI42">
        <f>VLOOKUP(A42,SPG!A$2:G$55,6,0)</f>
        <v>639500</v>
      </c>
      <c r="CJ42">
        <f>VLOOKUP(A42,T!A$2:G$55,6,0)</f>
        <v>14853400</v>
      </c>
      <c r="CK42">
        <f>VLOOKUP(A42,TGT!A$2:G$55,6,0)</f>
        <v>2797700</v>
      </c>
      <c r="CL42">
        <f>VLOOKUP(A42,TWX!A$2:G$55,6,0)</f>
        <v>3537700</v>
      </c>
      <c r="CM42">
        <f>VLOOKUP(A42,TXN!A$2:G$55,6,0)</f>
        <v>4881200</v>
      </c>
      <c r="CN42">
        <f>VLOOKUP(A42,UNH!A$2:G$55,6,0)</f>
        <v>5800700</v>
      </c>
      <c r="CO42">
        <f>VLOOKUP(A42,UNP!A$2:G$55,6,0)</f>
        <v>1904700</v>
      </c>
      <c r="CP42">
        <f>VLOOKUP(A42,UPS!A$2:G$55,6,0)</f>
        <v>2690800</v>
      </c>
      <c r="CQ42">
        <f>VLOOKUP(A42,USB!A$2:G$55,6,0)</f>
        <v>2748000</v>
      </c>
      <c r="CR42">
        <f>VLOOKUP(A42,UTX!A$2:G$55,6,0)</f>
        <v>2548100</v>
      </c>
      <c r="CS42">
        <f>VLOOKUP(A42,V!A$2:G$55,6,0)</f>
        <v>1990200</v>
      </c>
      <c r="CT42">
        <f>VLOOKUP(A42,VZ!A$2:G$55,6,0)</f>
        <v>11489500</v>
      </c>
      <c r="CU42">
        <f>VLOOKUP(A42,WAG!A$2:G$55,6,0)</f>
        <v>3908000</v>
      </c>
      <c r="CV42">
        <f>VLOOKUP(A42,WFC!A$2:G$55,6,0)</f>
        <v>8291200</v>
      </c>
      <c r="CW42">
        <f>VLOOKUP(A42,WMT!A$2:G$55,6,0)</f>
        <v>3174600</v>
      </c>
    </row>
    <row r="43" spans="1:101" x14ac:dyDescent="0.25">
      <c r="A43" s="34">
        <v>41879</v>
      </c>
      <c r="B43" s="36">
        <v>68389800</v>
      </c>
      <c r="C43">
        <f>VLOOKUP(A43,ABBV!A$2:G$55,6,0)</f>
        <v>7277900</v>
      </c>
      <c r="D43">
        <f>VLOOKUP(A43,ABT!A$2:G$55,6,0)</f>
        <v>2525300</v>
      </c>
      <c r="E43">
        <f>VLOOKUP(A43,ACN!A$2:G$55,6,0)</f>
        <v>1846100</v>
      </c>
      <c r="F43">
        <f>VLOOKUP(A43,AIG!A$2:G$55,6,0)</f>
        <v>5346900</v>
      </c>
      <c r="G43">
        <f>VLOOKUP(A43,ALL!A$2:G$55,6,0)</f>
        <v>1847100</v>
      </c>
      <c r="H43">
        <f>VLOOKUP(A43,AMGN!A$2:G$55,6,0)</f>
        <v>3899700</v>
      </c>
      <c r="I43">
        <f>VLOOKUP(A43,AMZN!A$2:G$55,6,0)</f>
        <v>2252700</v>
      </c>
      <c r="J43">
        <f>VLOOKUP(A43,APA!A$2:G$55,6,0)</f>
        <v>2164000</v>
      </c>
      <c r="K43">
        <f>VLOOKUP(A43,APC!A$2:G$55,6,0)</f>
        <v>2226500</v>
      </c>
      <c r="L43">
        <f>VLOOKUP(A43,AXP!A$2:G$55,6,0)</f>
        <v>3324900</v>
      </c>
      <c r="M43">
        <f>VLOOKUP(A43,BA!A$2:G$55,6,0)</f>
        <v>3070300</v>
      </c>
      <c r="N43">
        <f>VLOOKUP(A43,BAC!A$2:G$55,6,0)</f>
        <v>62170400</v>
      </c>
      <c r="O43">
        <f>VLOOKUP(A43,BAX!A$2:G$55,6,0)</f>
        <v>1604900</v>
      </c>
      <c r="P43">
        <f>VLOOKUP(A43,BIIB!A$2:G$55,6,0)</f>
        <v>643800</v>
      </c>
      <c r="Q43">
        <f>VLOOKUP(A43,BK!A$2:G$55,6,0)</f>
        <v>2759400</v>
      </c>
      <c r="R43">
        <f>VLOOKUP(A43,BMY!A$2:G$55,6,0)</f>
        <v>3436300</v>
      </c>
      <c r="T43">
        <f>VLOOKUP(A43,'C'!A$2:G$55,6,0)</f>
        <v>10255900</v>
      </c>
      <c r="U43">
        <f>VLOOKUP(A43,CAT!A$2:G$55,6,0)</f>
        <v>3227800</v>
      </c>
      <c r="V43">
        <f>VLOOKUP(A43,CL!A$2:G$55,6,0)</f>
        <v>2204600</v>
      </c>
      <c r="W43">
        <f>VLOOKUP(A43,CMCSA!A$2:G$55,6,0)</f>
        <v>5571100</v>
      </c>
      <c r="X43">
        <f>VLOOKUP(A43,COF!A$2:G$55,6,0)</f>
        <v>1200600</v>
      </c>
      <c r="Y43">
        <f>VLOOKUP(A43,COP!A$2:G$55,6,0)</f>
        <v>2987000</v>
      </c>
      <c r="Z43">
        <f>VLOOKUP(A43,COST!A$2:G$55,6,0)</f>
        <v>799400</v>
      </c>
      <c r="AA43">
        <f>VLOOKUP(A43,CSCO!A$2:G$55,6,0)</f>
        <v>15496200</v>
      </c>
      <c r="AB43">
        <f>VLOOKUP(A43,CVS!A$2:G$55,6,0)</f>
        <v>1811400</v>
      </c>
      <c r="AC43">
        <f>VLOOKUP(A43,CVX!A$2:G$55,6,0)</f>
        <v>2409000</v>
      </c>
      <c r="AD43">
        <f>VLOOKUP(A43,DD!A$2:G$55,6,0)</f>
        <v>1609800</v>
      </c>
      <c r="AE43">
        <f>VLOOKUP(A43,DIS!A$2:G$55,6,0)</f>
        <v>2667200</v>
      </c>
      <c r="AF43">
        <f>VLOOKUP(A43,DOW!A$2:G$55,6,0)</f>
        <v>4923900</v>
      </c>
      <c r="AG43">
        <f>VLOOKUP(A43,DVN!A$2:G$55,6,0)</f>
        <v>1314000</v>
      </c>
      <c r="AH43">
        <f>VLOOKUP(A43,EBAY!A$2:G$55,6,0)</f>
        <v>9590200</v>
      </c>
      <c r="AI43">
        <f>VLOOKUP(A43,EMC!A$2:G$55,6,0)</f>
        <v>5060500</v>
      </c>
      <c r="AJ43">
        <f>VLOOKUP(A43,EMR!A$2:G$55,6,0)</f>
        <v>1192500</v>
      </c>
      <c r="AK43">
        <f>VLOOKUP(A43,EXC!A$2:G$55,6,0)</f>
        <v>4007100</v>
      </c>
      <c r="AL43">
        <f>VLOOKUP(A43,F!A$2:G$55,6,0)</f>
        <v>16812900</v>
      </c>
      <c r="AM43">
        <f>VLOOKUP(A43,FB!A$2:G$55,6,0)</f>
        <v>21922800</v>
      </c>
      <c r="AN43">
        <f>VLOOKUP(A43,FCX!A$2:G$55,6,0)</f>
        <v>7635900</v>
      </c>
      <c r="AO43">
        <f>VLOOKUP(A43,FDX!A$2:G$55,6,0)</f>
        <v>1364300</v>
      </c>
      <c r="AP43">
        <f>VLOOKUP(A43,FOXA!A$2:G$55,6,0)</f>
        <v>6975800</v>
      </c>
      <c r="AQ43">
        <f>VLOOKUP(A43,GD!A$2:G$55,6,0)</f>
        <v>1083900</v>
      </c>
      <c r="AR43">
        <f>VLOOKUP(A43,GE!A$2:G$55,6,0)</f>
        <v>13438900</v>
      </c>
      <c r="AS43">
        <f>VLOOKUP(A43,GILD!A$2:G$55,6,0)</f>
        <v>10301600</v>
      </c>
      <c r="AT43">
        <f>VLOOKUP(A43,GM!A$2:G$55,6,0)</f>
        <v>5971400</v>
      </c>
      <c r="AU43">
        <f>VLOOKUP(A43,GOOG!A$2:G$55,6,0)</f>
        <v>1289400</v>
      </c>
      <c r="AV43">
        <f>VLOOKUP(A43,GOOGL!A$2:G$55,6,0)</f>
        <v>1405800</v>
      </c>
      <c r="AW43">
        <f>VLOOKUP(A43,GS!A$2:G$55,6,0)</f>
        <v>1961800</v>
      </c>
      <c r="AX43">
        <f>VLOOKUP(A43,HAL!A$2:G$55,6,0)</f>
        <v>7429300</v>
      </c>
      <c r="AY43">
        <f>VLOOKUP(A43,HD!A$2:G$55,6,0)</f>
        <v>7575700</v>
      </c>
      <c r="AZ43">
        <f>VLOOKUP(A43,HON!A$2:G$55,6,0)</f>
        <v>945800</v>
      </c>
      <c r="BA43">
        <f>VLOOKUP(A43,HPQ!A$2:G$55,6,0)</f>
        <v>6971600</v>
      </c>
      <c r="BB43">
        <f>VLOOKUP(A43,IBM!A$2:G$55,6,0)</f>
        <v>1503600</v>
      </c>
      <c r="BC43">
        <f>VLOOKUP(A43,INTC!A$2:G$55,6,0)</f>
        <v>18908900</v>
      </c>
      <c r="BD43">
        <f>VLOOKUP(A43,JNJ!A$2:G$55,6,0)</f>
        <v>3482200</v>
      </c>
      <c r="BE43">
        <f>VLOOKUP(A43,JPM!A$2:G$55,6,0)</f>
        <v>9085400</v>
      </c>
      <c r="BF43">
        <f>VLOOKUP(A43,KO!A$2:G$55,6,0)</f>
        <v>9746400</v>
      </c>
      <c r="BG43">
        <f>VLOOKUP(A43,LLY!A$2:G$55,6,0)</f>
        <v>2162000</v>
      </c>
      <c r="BH43">
        <f>VLOOKUP(A43,LMT!A$2:G$55,6,0)</f>
        <v>1455800</v>
      </c>
      <c r="BI43">
        <f>VLOOKUP(A43,LOW!A$2:G$55,6,0)</f>
        <v>4357500</v>
      </c>
      <c r="BJ43">
        <f>VLOOKUP(A43,MA!A$2:G$55,6,0)</f>
        <v>2991600</v>
      </c>
      <c r="BK43">
        <f>VLOOKUP(A43,MCD!A$2:G$55,6,0)</f>
        <v>5492400</v>
      </c>
      <c r="BL43">
        <f>VLOOKUP(A43,MDLZ!A$2:G$55,6,0)</f>
        <v>3642000</v>
      </c>
      <c r="BM43">
        <f>VLOOKUP(A43,MDT!A$2:G$55,6,0)</f>
        <v>3883100</v>
      </c>
      <c r="BN43">
        <f>VLOOKUP(A43,MET!A$2:G$55,6,0)</f>
        <v>4260500</v>
      </c>
      <c r="BO43">
        <f>VLOOKUP(A43,MMM!A$2:G$55,6,0)</f>
        <v>1314100</v>
      </c>
      <c r="BP43">
        <f>VLOOKUP(A43,MO!A$2:G$55,6,0)</f>
        <v>3195500</v>
      </c>
      <c r="BQ43">
        <f>VLOOKUP(A43,MON!A$2:G$55,6,0)</f>
        <v>3624300</v>
      </c>
      <c r="BR43">
        <f>VLOOKUP(A43,MRK!A$2:G$55,6,0)</f>
        <v>5241000</v>
      </c>
      <c r="BS43">
        <f>VLOOKUP(A43,MS!A$2:G$55,6,0)</f>
        <v>4443800</v>
      </c>
      <c r="BT43">
        <f>VLOOKUP(A43,MSFT!A$2:G$55,6,0)</f>
        <v>17657600</v>
      </c>
      <c r="BU43">
        <f>VLOOKUP(A43,NKE!A$2:G$55,6,0)</f>
        <v>2584600</v>
      </c>
      <c r="BV43">
        <f>VLOOKUP(A43,NOV!A$2:G$55,6,0)</f>
        <v>1847800</v>
      </c>
      <c r="BW43">
        <f>VLOOKUP(A43,NSC!A$2:G$55,6,0)</f>
        <v>815900</v>
      </c>
      <c r="BX43">
        <f>VLOOKUP(A43,ORCL!A$2:G$55,6,0)</f>
        <v>8726900</v>
      </c>
      <c r="BY43">
        <f>VLOOKUP(A43,OXY!A$2:G$55,6,0)</f>
        <v>2809600</v>
      </c>
      <c r="BZ43">
        <f>VLOOKUP(A43,PEP!A$2:G$55,6,0)</f>
        <v>3234300</v>
      </c>
      <c r="CA43">
        <f>VLOOKUP(A43,PFE!A$2:G$55,6,0)</f>
        <v>20582200</v>
      </c>
      <c r="CB43">
        <f>VLOOKUP(A43,PG!A$2:G$55,6,0)</f>
        <v>4278700</v>
      </c>
      <c r="CC43">
        <f>VLOOKUP(A43,PM!A$2:G$55,6,0)</f>
        <v>1797300</v>
      </c>
      <c r="CD43">
        <f>VLOOKUP(A43,QCOM!A$2:G$55,6,0)</f>
        <v>5243100</v>
      </c>
      <c r="CE43">
        <f>VLOOKUP(A43,RTN!A$2:G$55,6,0)</f>
        <v>1400600</v>
      </c>
      <c r="CF43">
        <f>VLOOKUP(A43,SBUX!A$2:G$55,6,0)</f>
        <v>1978400</v>
      </c>
      <c r="CG43">
        <f>VLOOKUP(A43,SLB!A$2:G$55,6,0)</f>
        <v>3515800</v>
      </c>
      <c r="CH43">
        <f>VLOOKUP(A43,SO!A$2:G$55,6,0)</f>
        <v>2949900</v>
      </c>
      <c r="CI43">
        <f>VLOOKUP(A43,SPG!A$2:G$55,6,0)</f>
        <v>725700</v>
      </c>
      <c r="CJ43">
        <f>VLOOKUP(A43,T!A$2:G$55,6,0)</f>
        <v>10512800</v>
      </c>
      <c r="CK43">
        <f>VLOOKUP(A43,TGT!A$2:G$55,6,0)</f>
        <v>4206600</v>
      </c>
      <c r="CL43">
        <f>VLOOKUP(A43,TWX!A$2:G$55,6,0)</f>
        <v>3049700</v>
      </c>
      <c r="CM43">
        <f>VLOOKUP(A43,TXN!A$2:G$55,6,0)</f>
        <v>3427300</v>
      </c>
      <c r="CN43">
        <f>VLOOKUP(A43,UNH!A$2:G$55,6,0)</f>
        <v>2749700</v>
      </c>
      <c r="CO43">
        <f>VLOOKUP(A43,UNP!A$2:G$55,6,0)</f>
        <v>1786300</v>
      </c>
      <c r="CP43">
        <f>VLOOKUP(A43,UPS!A$2:G$55,6,0)</f>
        <v>1946200</v>
      </c>
      <c r="CQ43">
        <f>VLOOKUP(A43,USB!A$2:G$55,6,0)</f>
        <v>2407000</v>
      </c>
      <c r="CR43">
        <f>VLOOKUP(A43,UTX!A$2:G$55,6,0)</f>
        <v>2124200</v>
      </c>
      <c r="CS43">
        <f>VLOOKUP(A43,V!A$2:G$55,6,0)</f>
        <v>2747200</v>
      </c>
      <c r="CT43">
        <f>VLOOKUP(A43,VZ!A$2:G$55,6,0)</f>
        <v>8018800</v>
      </c>
      <c r="CU43">
        <f>VLOOKUP(A43,WAG!A$2:G$55,6,0)</f>
        <v>3548100</v>
      </c>
      <c r="CV43">
        <f>VLOOKUP(A43,WFC!A$2:G$55,6,0)</f>
        <v>7693500</v>
      </c>
      <c r="CW43">
        <f>VLOOKUP(A43,WMT!A$2:G$55,6,0)</f>
        <v>2923700</v>
      </c>
    </row>
    <row r="44" spans="1:101" x14ac:dyDescent="0.25">
      <c r="A44" s="34">
        <v>41880</v>
      </c>
      <c r="B44" s="36">
        <v>44567000</v>
      </c>
      <c r="C44">
        <f>VLOOKUP(A44,ABBV!A$2:G$55,6,0)</f>
        <v>7487200</v>
      </c>
      <c r="D44">
        <f>VLOOKUP(A44,ABT!A$2:G$55,6,0)</f>
        <v>4384400</v>
      </c>
      <c r="E44">
        <f>VLOOKUP(A44,ACN!A$2:G$55,6,0)</f>
        <v>1416600</v>
      </c>
      <c r="F44">
        <f>VLOOKUP(A44,AIG!A$2:G$55,6,0)</f>
        <v>4420100</v>
      </c>
      <c r="G44">
        <f>VLOOKUP(A44,ALL!A$2:G$55,6,0)</f>
        <v>1934700</v>
      </c>
      <c r="H44">
        <f>VLOOKUP(A44,AMGN!A$2:G$55,6,0)</f>
        <v>2362500</v>
      </c>
      <c r="I44">
        <f>VLOOKUP(A44,AMZN!A$2:G$55,6,0)</f>
        <v>1939500</v>
      </c>
      <c r="J44">
        <f>VLOOKUP(A44,APA!A$2:G$55,6,0)</f>
        <v>3026100</v>
      </c>
      <c r="K44">
        <f>VLOOKUP(A44,APC!A$2:G$55,6,0)</f>
        <v>2556000</v>
      </c>
      <c r="L44">
        <f>VLOOKUP(A44,AXP!A$2:G$55,6,0)</f>
        <v>2672700</v>
      </c>
      <c r="M44">
        <f>VLOOKUP(A44,BA!A$2:G$55,6,0)</f>
        <v>3032700</v>
      </c>
      <c r="N44">
        <f>VLOOKUP(A44,BAC!A$2:G$55,6,0)</f>
        <v>50106600</v>
      </c>
      <c r="O44">
        <f>VLOOKUP(A44,BAX!A$2:G$55,6,0)</f>
        <v>1740000</v>
      </c>
      <c r="P44">
        <f>VLOOKUP(A44,BIIB!A$2:G$55,6,0)</f>
        <v>700100</v>
      </c>
      <c r="Q44">
        <f>VLOOKUP(A44,BK!A$2:G$55,6,0)</f>
        <v>3926600</v>
      </c>
      <c r="R44">
        <f>VLOOKUP(A44,BMY!A$2:G$55,6,0)</f>
        <v>4020600</v>
      </c>
      <c r="T44">
        <f>VLOOKUP(A44,'C'!A$2:G$55,6,0)</f>
        <v>8981300</v>
      </c>
      <c r="U44">
        <f>VLOOKUP(A44,CAT!A$2:G$55,6,0)</f>
        <v>4437200</v>
      </c>
      <c r="V44">
        <f>VLOOKUP(A44,CL!A$2:G$55,6,0)</f>
        <v>2102500</v>
      </c>
      <c r="W44">
        <f>VLOOKUP(A44,CMCSA!A$2:G$55,6,0)</f>
        <v>6758600</v>
      </c>
      <c r="X44">
        <f>VLOOKUP(A44,COF!A$2:G$55,6,0)</f>
        <v>1897900</v>
      </c>
      <c r="Y44">
        <f>VLOOKUP(A44,COP!A$2:G$55,6,0)</f>
        <v>3409200</v>
      </c>
      <c r="Z44">
        <f>VLOOKUP(A44,COST!A$2:G$55,6,0)</f>
        <v>1047300</v>
      </c>
      <c r="AA44">
        <f>VLOOKUP(A44,CSCO!A$2:G$55,6,0)</f>
        <v>17972300</v>
      </c>
      <c r="AB44">
        <f>VLOOKUP(A44,CVS!A$2:G$55,6,0)</f>
        <v>2416200</v>
      </c>
      <c r="AC44">
        <f>VLOOKUP(A44,CVX!A$2:G$55,6,0)</f>
        <v>3519000</v>
      </c>
      <c r="AD44">
        <f>VLOOKUP(A44,DD!A$2:G$55,6,0)</f>
        <v>3206500</v>
      </c>
      <c r="AE44">
        <f>VLOOKUP(A44,DIS!A$2:G$55,6,0)</f>
        <v>4168500</v>
      </c>
      <c r="AF44">
        <f>VLOOKUP(A44,DOW!A$2:G$55,6,0)</f>
        <v>4223700</v>
      </c>
      <c r="AG44">
        <f>VLOOKUP(A44,DVN!A$2:G$55,6,0)</f>
        <v>1624200</v>
      </c>
      <c r="AH44">
        <f>VLOOKUP(A44,EBAY!A$2:G$55,6,0)</f>
        <v>8658500</v>
      </c>
      <c r="AI44">
        <f>VLOOKUP(A44,EMC!A$2:G$55,6,0)</f>
        <v>6137300</v>
      </c>
      <c r="AJ44">
        <f>VLOOKUP(A44,EMR!A$2:G$55,6,0)</f>
        <v>2074400</v>
      </c>
      <c r="AK44">
        <f>VLOOKUP(A44,EXC!A$2:G$55,6,0)</f>
        <v>3622200</v>
      </c>
      <c r="AL44">
        <f>VLOOKUP(A44,F!A$2:G$55,6,0)</f>
        <v>15373400</v>
      </c>
      <c r="AM44">
        <f>VLOOKUP(A44,FB!A$2:G$55,6,0)</f>
        <v>26224300</v>
      </c>
      <c r="AN44">
        <f>VLOOKUP(A44,FCX!A$2:G$55,6,0)</f>
        <v>4562400</v>
      </c>
      <c r="AO44">
        <f>VLOOKUP(A44,FDX!A$2:G$55,6,0)</f>
        <v>1227400</v>
      </c>
      <c r="AP44">
        <f>VLOOKUP(A44,FOXA!A$2:G$55,6,0)</f>
        <v>9515800</v>
      </c>
      <c r="AQ44">
        <f>VLOOKUP(A44,GD!A$2:G$55,6,0)</f>
        <v>1140600</v>
      </c>
      <c r="AR44">
        <f>VLOOKUP(A44,GE!A$2:G$55,6,0)</f>
        <v>21914000</v>
      </c>
      <c r="AS44">
        <f>VLOOKUP(A44,GILD!A$2:G$55,6,0)</f>
        <v>11318200</v>
      </c>
      <c r="AT44">
        <f>VLOOKUP(A44,GM!A$2:G$55,6,0)</f>
        <v>5548700</v>
      </c>
      <c r="AU44">
        <f>VLOOKUP(A44,GOOG!A$2:G$55,6,0)</f>
        <v>1080800</v>
      </c>
      <c r="AV44">
        <f>VLOOKUP(A44,GOOGL!A$2:G$55,6,0)</f>
        <v>1206100</v>
      </c>
      <c r="AW44">
        <f>VLOOKUP(A44,GS!A$2:G$55,6,0)</f>
        <v>2560600</v>
      </c>
      <c r="AX44">
        <f>VLOOKUP(A44,HAL!A$2:G$55,6,0)</f>
        <v>5249900</v>
      </c>
      <c r="AY44">
        <f>VLOOKUP(A44,HD!A$2:G$55,6,0)</f>
        <v>7672200</v>
      </c>
      <c r="AZ44">
        <f>VLOOKUP(A44,HON!A$2:G$55,6,0)</f>
        <v>1170600</v>
      </c>
      <c r="BA44">
        <f>VLOOKUP(A44,HPQ!A$2:G$55,6,0)</f>
        <v>6211900</v>
      </c>
      <c r="BB44">
        <f>VLOOKUP(A44,IBM!A$2:G$55,6,0)</f>
        <v>2909400</v>
      </c>
      <c r="BC44">
        <f>VLOOKUP(A44,INTC!A$2:G$55,6,0)</f>
        <v>32302800</v>
      </c>
      <c r="BD44">
        <f>VLOOKUP(A44,JNJ!A$2:G$55,6,0)</f>
        <v>5287800</v>
      </c>
      <c r="BE44">
        <f>VLOOKUP(A44,JPM!A$2:G$55,6,0)</f>
        <v>8897900</v>
      </c>
      <c r="BF44">
        <f>VLOOKUP(A44,KO!A$2:G$55,6,0)</f>
        <v>7666700</v>
      </c>
      <c r="BG44">
        <f>VLOOKUP(A44,LLY!A$2:G$55,6,0)</f>
        <v>3373600</v>
      </c>
      <c r="BH44">
        <f>VLOOKUP(A44,LMT!A$2:G$55,6,0)</f>
        <v>1532000</v>
      </c>
      <c r="BI44">
        <f>VLOOKUP(A44,LOW!A$2:G$55,6,0)</f>
        <v>3510600</v>
      </c>
      <c r="BJ44">
        <f>VLOOKUP(A44,MA!A$2:G$55,6,0)</f>
        <v>3231600</v>
      </c>
      <c r="BK44">
        <f>VLOOKUP(A44,MCD!A$2:G$55,6,0)</f>
        <v>4635100</v>
      </c>
      <c r="BL44">
        <f>VLOOKUP(A44,MDLZ!A$2:G$55,6,0)</f>
        <v>5086900</v>
      </c>
      <c r="BM44">
        <f>VLOOKUP(A44,MDT!A$2:G$55,6,0)</f>
        <v>4724000</v>
      </c>
      <c r="BN44">
        <f>VLOOKUP(A44,MET!A$2:G$55,6,0)</f>
        <v>4068500</v>
      </c>
      <c r="BO44">
        <f>VLOOKUP(A44,MMM!A$2:G$55,6,0)</f>
        <v>1537800</v>
      </c>
      <c r="BP44">
        <f>VLOOKUP(A44,MO!A$2:G$55,6,0)</f>
        <v>3645300</v>
      </c>
      <c r="BQ44">
        <f>VLOOKUP(A44,MON!A$2:G$55,6,0)</f>
        <v>3068700</v>
      </c>
      <c r="BR44">
        <f>VLOOKUP(A44,MRK!A$2:G$55,6,0)</f>
        <v>5715800</v>
      </c>
      <c r="BS44">
        <f>VLOOKUP(A44,MS!A$2:G$55,6,0)</f>
        <v>4926800</v>
      </c>
      <c r="BT44">
        <f>VLOOKUP(A44,MSFT!A$2:G$55,6,0)</f>
        <v>21607600</v>
      </c>
      <c r="BU44">
        <f>VLOOKUP(A44,NKE!A$2:G$55,6,0)</f>
        <v>3211500</v>
      </c>
      <c r="BV44">
        <f>VLOOKUP(A44,NOV!A$2:G$55,6,0)</f>
        <v>2116900</v>
      </c>
      <c r="BW44">
        <f>VLOOKUP(A44,NSC!A$2:G$55,6,0)</f>
        <v>699300</v>
      </c>
      <c r="BX44">
        <f>VLOOKUP(A44,ORCL!A$2:G$55,6,0)</f>
        <v>8970900</v>
      </c>
      <c r="BY44">
        <f>VLOOKUP(A44,OXY!A$2:G$55,6,0)</f>
        <v>2485800</v>
      </c>
      <c r="BZ44">
        <f>VLOOKUP(A44,PEP!A$2:G$55,6,0)</f>
        <v>3657700</v>
      </c>
      <c r="CA44">
        <f>VLOOKUP(A44,PFE!A$2:G$55,6,0)</f>
        <v>16772000</v>
      </c>
      <c r="CB44">
        <f>VLOOKUP(A44,PG!A$2:G$55,6,0)</f>
        <v>4901300</v>
      </c>
      <c r="CC44">
        <f>VLOOKUP(A44,PM!A$2:G$55,6,0)</f>
        <v>2570600</v>
      </c>
      <c r="CD44">
        <f>VLOOKUP(A44,QCOM!A$2:G$55,6,0)</f>
        <v>6483700</v>
      </c>
      <c r="CE44">
        <f>VLOOKUP(A44,RTN!A$2:G$55,6,0)</f>
        <v>1643500</v>
      </c>
      <c r="CF44">
        <f>VLOOKUP(A44,SBUX!A$2:G$55,6,0)</f>
        <v>2328700</v>
      </c>
      <c r="CG44">
        <f>VLOOKUP(A44,SLB!A$2:G$55,6,0)</f>
        <v>4594700</v>
      </c>
      <c r="CH44">
        <f>VLOOKUP(A44,SO!A$2:G$55,6,0)</f>
        <v>2615100</v>
      </c>
      <c r="CI44">
        <f>VLOOKUP(A44,SPG!A$2:G$55,6,0)</f>
        <v>1641300</v>
      </c>
      <c r="CJ44">
        <f>VLOOKUP(A44,T!A$2:G$55,6,0)</f>
        <v>12709000</v>
      </c>
      <c r="CK44">
        <f>VLOOKUP(A44,TGT!A$2:G$55,6,0)</f>
        <v>4008100</v>
      </c>
      <c r="CL44">
        <f>VLOOKUP(A44,TWX!A$2:G$55,6,0)</f>
        <v>2807500</v>
      </c>
      <c r="CM44">
        <f>VLOOKUP(A44,TXN!A$2:G$55,6,0)</f>
        <v>3433000</v>
      </c>
      <c r="CN44">
        <f>VLOOKUP(A44,UNH!A$2:G$55,6,0)</f>
        <v>3297500</v>
      </c>
      <c r="CO44">
        <f>VLOOKUP(A44,UNP!A$2:G$55,6,0)</f>
        <v>1936500</v>
      </c>
      <c r="CP44">
        <f>VLOOKUP(A44,UPS!A$2:G$55,6,0)</f>
        <v>2339100</v>
      </c>
      <c r="CQ44">
        <f>VLOOKUP(A44,USB!A$2:G$55,6,0)</f>
        <v>3381700</v>
      </c>
      <c r="CR44">
        <f>VLOOKUP(A44,UTX!A$2:G$55,6,0)</f>
        <v>4717300</v>
      </c>
      <c r="CS44">
        <f>VLOOKUP(A44,V!A$2:G$55,6,0)</f>
        <v>3661500</v>
      </c>
      <c r="CT44">
        <f>VLOOKUP(A44,VZ!A$2:G$55,6,0)</f>
        <v>11259700</v>
      </c>
      <c r="CU44">
        <f>VLOOKUP(A44,WAG!A$2:G$55,6,0)</f>
        <v>3189200</v>
      </c>
      <c r="CV44">
        <f>VLOOKUP(A44,WFC!A$2:G$55,6,0)</f>
        <v>8860700</v>
      </c>
      <c r="CW44">
        <f>VLOOKUP(A44,WMT!A$2:G$55,6,0)</f>
        <v>5041700</v>
      </c>
    </row>
    <row r="45" spans="1:101" x14ac:dyDescent="0.25">
      <c r="A45" s="34">
        <v>41884</v>
      </c>
      <c r="B45" s="36">
        <v>53491400</v>
      </c>
      <c r="C45">
        <f>VLOOKUP(A45,ABBV!A$2:G$55,6,0)</f>
        <v>7354900</v>
      </c>
      <c r="D45">
        <f>VLOOKUP(A45,ABT!A$2:G$55,6,0)</f>
        <v>4300900</v>
      </c>
      <c r="E45">
        <f>VLOOKUP(A45,ACN!A$2:G$55,6,0)</f>
        <v>1754000</v>
      </c>
      <c r="F45">
        <f>VLOOKUP(A45,AIG!A$2:G$55,6,0)</f>
        <v>6048600</v>
      </c>
      <c r="G45">
        <f>VLOOKUP(A45,ALL!A$2:G$55,6,0)</f>
        <v>1827100</v>
      </c>
      <c r="H45">
        <f>VLOOKUP(A45,AMGN!A$2:G$55,6,0)</f>
        <v>3287800</v>
      </c>
      <c r="I45">
        <f>VLOOKUP(A45,AMZN!A$2:G$55,6,0)</f>
        <v>2326000</v>
      </c>
      <c r="J45">
        <f>VLOOKUP(A45,APA!A$2:G$55,6,0)</f>
        <v>2349900</v>
      </c>
      <c r="K45">
        <f>VLOOKUP(A45,APC!A$2:G$55,6,0)</f>
        <v>3909600</v>
      </c>
      <c r="L45">
        <f>VLOOKUP(A45,AXP!A$2:G$55,6,0)</f>
        <v>3592100</v>
      </c>
      <c r="M45">
        <f>VLOOKUP(A45,BA!A$2:G$55,6,0)</f>
        <v>4576000</v>
      </c>
      <c r="N45">
        <f>VLOOKUP(A45,BAC!A$2:G$55,6,0)</f>
        <v>59400400</v>
      </c>
      <c r="O45">
        <f>VLOOKUP(A45,BAX!A$2:G$55,6,0)</f>
        <v>1903400</v>
      </c>
      <c r="P45">
        <f>VLOOKUP(A45,BIIB!A$2:G$55,6,0)</f>
        <v>715600</v>
      </c>
      <c r="Q45">
        <f>VLOOKUP(A45,BK!A$2:G$55,6,0)</f>
        <v>3655200</v>
      </c>
      <c r="R45">
        <f>VLOOKUP(A45,BMY!A$2:G$55,6,0)</f>
        <v>4375400</v>
      </c>
      <c r="T45">
        <f>VLOOKUP(A45,'C'!A$2:G$55,6,0)</f>
        <v>11452100</v>
      </c>
      <c r="U45">
        <f>VLOOKUP(A45,CAT!A$2:G$55,6,0)</f>
        <v>4040200</v>
      </c>
      <c r="V45">
        <f>VLOOKUP(A45,CL!A$2:G$55,6,0)</f>
        <v>3045400</v>
      </c>
      <c r="W45">
        <f>VLOOKUP(A45,CMCSA!A$2:G$55,6,0)</f>
        <v>9535100</v>
      </c>
      <c r="X45">
        <f>VLOOKUP(A45,COF!A$2:G$55,6,0)</f>
        <v>2808900</v>
      </c>
      <c r="Y45">
        <f>VLOOKUP(A45,COP!A$2:G$55,6,0)</f>
        <v>5578000</v>
      </c>
      <c r="Z45">
        <f>VLOOKUP(A45,COST!A$2:G$55,6,0)</f>
        <v>1469900</v>
      </c>
      <c r="AA45">
        <f>VLOOKUP(A45,CSCO!A$2:G$55,6,0)</f>
        <v>19836000</v>
      </c>
      <c r="AB45">
        <f>VLOOKUP(A45,CVS!A$2:G$55,6,0)</f>
        <v>2565800</v>
      </c>
      <c r="AC45">
        <f>VLOOKUP(A45,CVX!A$2:G$55,6,0)</f>
        <v>4744500</v>
      </c>
      <c r="AD45">
        <f>VLOOKUP(A45,DD!A$2:G$55,6,0)</f>
        <v>3022700</v>
      </c>
      <c r="AE45">
        <f>VLOOKUP(A45,DIS!A$2:G$55,6,0)</f>
        <v>5567300</v>
      </c>
      <c r="AF45">
        <f>VLOOKUP(A45,DOW!A$2:G$55,6,0)</f>
        <v>4842200</v>
      </c>
      <c r="AG45">
        <f>VLOOKUP(A45,DVN!A$2:G$55,6,0)</f>
        <v>1947900</v>
      </c>
      <c r="AH45">
        <f>VLOOKUP(A45,EBAY!A$2:G$55,6,0)</f>
        <v>11157400</v>
      </c>
      <c r="AI45">
        <f>VLOOKUP(A45,EMC!A$2:G$55,6,0)</f>
        <v>10560100</v>
      </c>
      <c r="AJ45">
        <f>VLOOKUP(A45,EMR!A$2:G$55,6,0)</f>
        <v>3087500</v>
      </c>
      <c r="AK45">
        <f>VLOOKUP(A45,EXC!A$2:G$55,6,0)</f>
        <v>6541800</v>
      </c>
      <c r="AL45">
        <f>VLOOKUP(A45,F!A$2:G$55,6,0)</f>
        <v>18403300</v>
      </c>
      <c r="AM45">
        <f>VLOOKUP(A45,FB!A$2:G$55,6,0)</f>
        <v>34785800</v>
      </c>
      <c r="AN45">
        <f>VLOOKUP(A45,FCX!A$2:G$55,6,0)</f>
        <v>10882300</v>
      </c>
      <c r="AO45">
        <f>VLOOKUP(A45,FDX!A$2:G$55,6,0)</f>
        <v>1416900</v>
      </c>
      <c r="AP45">
        <f>VLOOKUP(A45,FOXA!A$2:G$55,6,0)</f>
        <v>8477200</v>
      </c>
      <c r="AQ45">
        <f>VLOOKUP(A45,GD!A$2:G$55,6,0)</f>
        <v>1711300</v>
      </c>
      <c r="AR45">
        <f>VLOOKUP(A45,GE!A$2:G$55,6,0)</f>
        <v>24378700</v>
      </c>
      <c r="AS45">
        <f>VLOOKUP(A45,GILD!A$2:G$55,6,0)</f>
        <v>15264200</v>
      </c>
      <c r="AT45">
        <f>VLOOKUP(A45,GM!A$2:G$55,6,0)</f>
        <v>7824100</v>
      </c>
      <c r="AU45">
        <f>VLOOKUP(A45,GOOG!A$2:G$55,6,0)</f>
        <v>1574100</v>
      </c>
      <c r="AV45">
        <f>VLOOKUP(A45,GOOGL!A$2:G$55,6,0)</f>
        <v>1583000</v>
      </c>
      <c r="AW45">
        <f>VLOOKUP(A45,GS!A$2:G$55,6,0)</f>
        <v>1986300</v>
      </c>
      <c r="AX45">
        <f>VLOOKUP(A45,HAL!A$2:G$55,6,0)</f>
        <v>10644500</v>
      </c>
      <c r="AY45">
        <f>VLOOKUP(A45,HD!A$2:G$55,6,0)</f>
        <v>20753200</v>
      </c>
      <c r="AZ45">
        <f>VLOOKUP(A45,HON!A$2:G$55,6,0)</f>
        <v>1672800</v>
      </c>
      <c r="BA45">
        <f>VLOOKUP(A45,HPQ!A$2:G$55,6,0)</f>
        <v>7224400</v>
      </c>
      <c r="BB45">
        <f>VLOOKUP(A45,IBM!A$2:G$55,6,0)</f>
        <v>2679700</v>
      </c>
      <c r="BC45">
        <f>VLOOKUP(A45,INTC!A$2:G$55,6,0)</f>
        <v>32094800</v>
      </c>
      <c r="BD45">
        <f>VLOOKUP(A45,JNJ!A$2:G$55,6,0)</f>
        <v>4644800</v>
      </c>
      <c r="BE45">
        <f>VLOOKUP(A45,JPM!A$2:G$55,6,0)</f>
        <v>8671100</v>
      </c>
      <c r="BF45">
        <f>VLOOKUP(A45,KO!A$2:G$55,6,0)</f>
        <v>9798100</v>
      </c>
      <c r="BG45">
        <f>VLOOKUP(A45,LLY!A$2:G$55,6,0)</f>
        <v>3470600</v>
      </c>
      <c r="BH45">
        <f>VLOOKUP(A45,LMT!A$2:G$55,6,0)</f>
        <v>1547700</v>
      </c>
      <c r="BI45">
        <f>VLOOKUP(A45,LOW!A$2:G$55,6,0)</f>
        <v>5144200</v>
      </c>
      <c r="BJ45">
        <f>VLOOKUP(A45,MA!A$2:G$55,6,0)</f>
        <v>3613200</v>
      </c>
      <c r="BK45">
        <f>VLOOKUP(A45,MCD!A$2:G$55,6,0)</f>
        <v>6727100</v>
      </c>
      <c r="BL45">
        <f>VLOOKUP(A45,MDLZ!A$2:G$55,6,0)</f>
        <v>7838100</v>
      </c>
      <c r="BM45">
        <f>VLOOKUP(A45,MDT!A$2:G$55,6,0)</f>
        <v>5037800</v>
      </c>
      <c r="BN45">
        <f>VLOOKUP(A45,MET!A$2:G$55,6,0)</f>
        <v>6352600</v>
      </c>
      <c r="BO45">
        <f>VLOOKUP(A45,MMM!A$2:G$55,6,0)</f>
        <v>1578800</v>
      </c>
      <c r="BP45">
        <f>VLOOKUP(A45,MO!A$2:G$55,6,0)</f>
        <v>4573300</v>
      </c>
      <c r="BQ45">
        <f>VLOOKUP(A45,MON!A$2:G$55,6,0)</f>
        <v>3291900</v>
      </c>
      <c r="BR45">
        <f>VLOOKUP(A45,MRK!A$2:G$55,6,0)</f>
        <v>6054500</v>
      </c>
      <c r="BS45">
        <f>VLOOKUP(A45,MS!A$2:G$55,6,0)</f>
        <v>5029100</v>
      </c>
      <c r="BT45">
        <f>VLOOKUP(A45,MSFT!A$2:G$55,6,0)</f>
        <v>22956800</v>
      </c>
      <c r="BU45">
        <f>VLOOKUP(A45,NKE!A$2:G$55,6,0)</f>
        <v>4082100</v>
      </c>
      <c r="BV45">
        <f>VLOOKUP(A45,NOV!A$2:G$55,6,0)</f>
        <v>3297100</v>
      </c>
      <c r="BW45">
        <f>VLOOKUP(A45,NSC!A$2:G$55,6,0)</f>
        <v>1317100</v>
      </c>
      <c r="BX45">
        <f>VLOOKUP(A45,ORCL!A$2:G$55,6,0)</f>
        <v>8538600</v>
      </c>
      <c r="BY45">
        <f>VLOOKUP(A45,OXY!A$2:G$55,6,0)</f>
        <v>2713600</v>
      </c>
      <c r="BZ45">
        <f>VLOOKUP(A45,PEP!A$2:G$55,6,0)</f>
        <v>5130300</v>
      </c>
      <c r="CA45">
        <f>VLOOKUP(A45,PFE!A$2:G$55,6,0)</f>
        <v>20696300</v>
      </c>
      <c r="CB45">
        <f>VLOOKUP(A45,PG!A$2:G$55,6,0)</f>
        <v>5528900</v>
      </c>
      <c r="CC45">
        <f>VLOOKUP(A45,PM!A$2:G$55,6,0)</f>
        <v>3344100</v>
      </c>
      <c r="CD45">
        <f>VLOOKUP(A45,QCOM!A$2:G$55,6,0)</f>
        <v>9821500</v>
      </c>
      <c r="CE45">
        <f>VLOOKUP(A45,RTN!A$2:G$55,6,0)</f>
        <v>2037700</v>
      </c>
      <c r="CF45">
        <f>VLOOKUP(A45,SBUX!A$2:G$55,6,0)</f>
        <v>3098100</v>
      </c>
      <c r="CG45">
        <f>VLOOKUP(A45,SLB!A$2:G$55,6,0)</f>
        <v>6242700</v>
      </c>
      <c r="CH45">
        <f>VLOOKUP(A45,SO!A$2:G$55,6,0)</f>
        <v>3755100</v>
      </c>
      <c r="CI45">
        <f>VLOOKUP(A45,SPG!A$2:G$55,6,0)</f>
        <v>940800</v>
      </c>
      <c r="CJ45">
        <f>VLOOKUP(A45,T!A$2:G$55,6,0)</f>
        <v>12674400</v>
      </c>
      <c r="CK45">
        <f>VLOOKUP(A45,TGT!A$2:G$55,6,0)</f>
        <v>2602700</v>
      </c>
      <c r="CL45">
        <f>VLOOKUP(A45,TWX!A$2:G$55,6,0)</f>
        <v>2925600</v>
      </c>
      <c r="CM45">
        <f>VLOOKUP(A45,TXN!A$2:G$55,6,0)</f>
        <v>3321300</v>
      </c>
      <c r="CN45">
        <f>VLOOKUP(A45,UNH!A$2:G$55,6,0)</f>
        <v>3726100</v>
      </c>
      <c r="CO45">
        <f>VLOOKUP(A45,UNP!A$2:G$55,6,0)</f>
        <v>3225100</v>
      </c>
      <c r="CP45">
        <f>VLOOKUP(A45,UPS!A$2:G$55,6,0)</f>
        <v>3278100</v>
      </c>
      <c r="CQ45">
        <f>VLOOKUP(A45,USB!A$2:G$55,6,0)</f>
        <v>3600600</v>
      </c>
      <c r="CR45">
        <f>VLOOKUP(A45,UTX!A$2:G$55,6,0)</f>
        <v>4142800</v>
      </c>
      <c r="CS45">
        <f>VLOOKUP(A45,V!A$2:G$55,6,0)</f>
        <v>2016600</v>
      </c>
      <c r="CT45">
        <f>VLOOKUP(A45,VZ!A$2:G$55,6,0)</f>
        <v>8724400</v>
      </c>
      <c r="CU45">
        <f>VLOOKUP(A45,WAG!A$2:G$55,6,0)</f>
        <v>5430800</v>
      </c>
      <c r="CV45">
        <f>VLOOKUP(A45,WFC!A$2:G$55,6,0)</f>
        <v>9958200</v>
      </c>
      <c r="CW45">
        <f>VLOOKUP(A45,WMT!A$2:G$55,6,0)</f>
        <v>4507800</v>
      </c>
    </row>
    <row r="46" spans="1:101" x14ac:dyDescent="0.25">
      <c r="A46" s="34">
        <v>41885</v>
      </c>
      <c r="B46" s="36">
        <v>125233100</v>
      </c>
      <c r="C46">
        <f>VLOOKUP(A46,ABBV!A$2:G$55,6,0)</f>
        <v>7562100</v>
      </c>
      <c r="D46">
        <f>VLOOKUP(A46,ABT!A$2:G$55,6,0)</f>
        <v>4143500</v>
      </c>
      <c r="E46">
        <f>VLOOKUP(A46,ACN!A$2:G$55,6,0)</f>
        <v>2041300</v>
      </c>
      <c r="F46">
        <f>VLOOKUP(A46,AIG!A$2:G$55,6,0)</f>
        <v>5529300</v>
      </c>
      <c r="G46">
        <f>VLOOKUP(A46,ALL!A$2:G$55,6,0)</f>
        <v>1479400</v>
      </c>
      <c r="H46">
        <f>VLOOKUP(A46,AMGN!A$2:G$55,6,0)</f>
        <v>2729300</v>
      </c>
      <c r="I46">
        <f>VLOOKUP(A46,AMZN!A$2:G$55,6,0)</f>
        <v>1993700</v>
      </c>
      <c r="J46">
        <f>VLOOKUP(A46,APA!A$2:G$55,6,0)</f>
        <v>2137500</v>
      </c>
      <c r="K46">
        <f>VLOOKUP(A46,APC!A$2:G$55,6,0)</f>
        <v>2290000</v>
      </c>
      <c r="L46">
        <f>VLOOKUP(A46,AXP!A$2:G$55,6,0)</f>
        <v>2930800</v>
      </c>
      <c r="M46">
        <f>VLOOKUP(A46,BA!A$2:G$55,6,0)</f>
        <v>3966500</v>
      </c>
      <c r="N46">
        <f>VLOOKUP(A46,BAC!A$2:G$55,6,0)</f>
        <v>67418900</v>
      </c>
      <c r="O46">
        <f>VLOOKUP(A46,BAX!A$2:G$55,6,0)</f>
        <v>2186700</v>
      </c>
      <c r="P46">
        <f>VLOOKUP(A46,BIIB!A$2:G$55,6,0)</f>
        <v>735700</v>
      </c>
      <c r="Q46">
        <f>VLOOKUP(A46,BK!A$2:G$55,6,0)</f>
        <v>3013400</v>
      </c>
      <c r="R46">
        <f>VLOOKUP(A46,BMY!A$2:G$55,6,0)</f>
        <v>4769800</v>
      </c>
      <c r="T46">
        <f>VLOOKUP(A46,'C'!A$2:G$55,6,0)</f>
        <v>15116800</v>
      </c>
      <c r="U46">
        <f>VLOOKUP(A46,CAT!A$2:G$55,6,0)</f>
        <v>4669000</v>
      </c>
      <c r="V46">
        <f>VLOOKUP(A46,CL!A$2:G$55,6,0)</f>
        <v>3304200</v>
      </c>
      <c r="W46">
        <f>VLOOKUP(A46,CMCSA!A$2:G$55,6,0)</f>
        <v>8950100</v>
      </c>
      <c r="X46">
        <f>VLOOKUP(A46,COF!A$2:G$55,6,0)</f>
        <v>2207400</v>
      </c>
      <c r="Y46">
        <f>VLOOKUP(A46,COP!A$2:G$55,6,0)</f>
        <v>5902700</v>
      </c>
      <c r="Z46">
        <f>VLOOKUP(A46,COST!A$2:G$55,6,0)</f>
        <v>1901000</v>
      </c>
      <c r="AA46">
        <f>VLOOKUP(A46,CSCO!A$2:G$55,6,0)</f>
        <v>22043200</v>
      </c>
      <c r="AB46">
        <f>VLOOKUP(A46,CVS!A$2:G$55,6,0)</f>
        <v>3512200</v>
      </c>
      <c r="AC46">
        <f>VLOOKUP(A46,CVX!A$2:G$55,6,0)</f>
        <v>3846300</v>
      </c>
      <c r="AD46">
        <f>VLOOKUP(A46,DD!A$2:G$55,6,0)</f>
        <v>3067000</v>
      </c>
      <c r="AE46">
        <f>VLOOKUP(A46,DIS!A$2:G$55,6,0)</f>
        <v>3667600</v>
      </c>
      <c r="AF46">
        <f>VLOOKUP(A46,DOW!A$2:G$55,6,0)</f>
        <v>7804000</v>
      </c>
      <c r="AG46">
        <f>VLOOKUP(A46,DVN!A$2:G$55,6,0)</f>
        <v>1582700</v>
      </c>
      <c r="AH46">
        <f>VLOOKUP(A46,EBAY!A$2:G$55,6,0)</f>
        <v>8095300</v>
      </c>
      <c r="AI46">
        <f>VLOOKUP(A46,EMC!A$2:G$55,6,0)</f>
        <v>10994000</v>
      </c>
      <c r="AJ46">
        <f>VLOOKUP(A46,EMR!A$2:G$55,6,0)</f>
        <v>2176700</v>
      </c>
      <c r="AK46">
        <f>VLOOKUP(A46,EXC!A$2:G$55,6,0)</f>
        <v>4442300</v>
      </c>
      <c r="AL46">
        <f>VLOOKUP(A46,F!A$2:G$55,6,0)</f>
        <v>25606700</v>
      </c>
      <c r="AM46">
        <f>VLOOKUP(A46,FB!A$2:G$55,6,0)</f>
        <v>32330200</v>
      </c>
      <c r="AN46">
        <f>VLOOKUP(A46,FCX!A$2:G$55,6,0)</f>
        <v>6491200</v>
      </c>
      <c r="AO46">
        <f>VLOOKUP(A46,FDX!A$2:G$55,6,0)</f>
        <v>1479300</v>
      </c>
      <c r="AP46">
        <f>VLOOKUP(A46,FOXA!A$2:G$55,6,0)</f>
        <v>11825400</v>
      </c>
      <c r="AQ46">
        <f>VLOOKUP(A46,GD!A$2:G$55,6,0)</f>
        <v>2142800</v>
      </c>
      <c r="AR46">
        <f>VLOOKUP(A46,GE!A$2:G$55,6,0)</f>
        <v>19962200</v>
      </c>
      <c r="AS46">
        <f>VLOOKUP(A46,GILD!A$2:G$55,6,0)</f>
        <v>14388400</v>
      </c>
      <c r="AT46">
        <f>VLOOKUP(A46,GM!A$2:G$55,6,0)</f>
        <v>11626400</v>
      </c>
      <c r="AU46">
        <f>VLOOKUP(A46,GOOG!A$2:G$55,6,0)</f>
        <v>1211800</v>
      </c>
      <c r="AV46">
        <f>VLOOKUP(A46,GOOGL!A$2:G$55,6,0)</f>
        <v>1579000</v>
      </c>
      <c r="AW46">
        <f>VLOOKUP(A46,GS!A$2:G$55,6,0)</f>
        <v>2397700</v>
      </c>
      <c r="AX46">
        <f>VLOOKUP(A46,HAL!A$2:G$55,6,0)</f>
        <v>8111500</v>
      </c>
      <c r="AY46">
        <f>VLOOKUP(A46,HD!A$2:G$55,6,0)</f>
        <v>15410400</v>
      </c>
      <c r="AZ46">
        <f>VLOOKUP(A46,HON!A$2:G$55,6,0)</f>
        <v>1342000</v>
      </c>
      <c r="BA46">
        <f>VLOOKUP(A46,HPQ!A$2:G$55,6,0)</f>
        <v>6854500</v>
      </c>
      <c r="BB46">
        <f>VLOOKUP(A46,IBM!A$2:G$55,6,0)</f>
        <v>1822800</v>
      </c>
      <c r="BC46">
        <f>VLOOKUP(A46,INTC!A$2:G$55,6,0)</f>
        <v>26668800</v>
      </c>
      <c r="BD46">
        <f>VLOOKUP(A46,JNJ!A$2:G$55,6,0)</f>
        <v>4725800</v>
      </c>
      <c r="BE46">
        <f>VLOOKUP(A46,JPM!A$2:G$55,6,0)</f>
        <v>11791800</v>
      </c>
      <c r="BF46">
        <f>VLOOKUP(A46,KO!A$2:G$55,6,0)</f>
        <v>8635400</v>
      </c>
      <c r="BG46">
        <f>VLOOKUP(A46,LLY!A$2:G$55,6,0)</f>
        <v>4655400</v>
      </c>
      <c r="BH46">
        <f>VLOOKUP(A46,LMT!A$2:G$55,6,0)</f>
        <v>1454800</v>
      </c>
      <c r="BI46">
        <f>VLOOKUP(A46,LOW!A$2:G$55,6,0)</f>
        <v>5820100</v>
      </c>
      <c r="BJ46">
        <f>VLOOKUP(A46,MA!A$2:G$55,6,0)</f>
        <v>2870200</v>
      </c>
      <c r="BK46">
        <f>VLOOKUP(A46,MCD!A$2:G$55,6,0)</f>
        <v>4855300</v>
      </c>
      <c r="BL46">
        <f>VLOOKUP(A46,MDLZ!A$2:G$55,6,0)</f>
        <v>5485400</v>
      </c>
      <c r="BM46">
        <f>VLOOKUP(A46,MDT!A$2:G$55,6,0)</f>
        <v>5606200</v>
      </c>
      <c r="BN46">
        <f>VLOOKUP(A46,MET!A$2:G$55,6,0)</f>
        <v>4239400</v>
      </c>
      <c r="BO46">
        <f>VLOOKUP(A46,MMM!A$2:G$55,6,0)</f>
        <v>1533600</v>
      </c>
      <c r="BP46">
        <f>VLOOKUP(A46,MO!A$2:G$55,6,0)</f>
        <v>3497000</v>
      </c>
      <c r="BQ46">
        <f>VLOOKUP(A46,MON!A$2:G$55,6,0)</f>
        <v>2227500</v>
      </c>
      <c r="BR46">
        <f>VLOOKUP(A46,MRK!A$2:G$55,6,0)</f>
        <v>9096200</v>
      </c>
      <c r="BS46">
        <f>VLOOKUP(A46,MS!A$2:G$55,6,0)</f>
        <v>7101700</v>
      </c>
      <c r="BT46">
        <f>VLOOKUP(A46,MSFT!A$2:G$55,6,0)</f>
        <v>33684500</v>
      </c>
      <c r="BU46">
        <f>VLOOKUP(A46,NKE!A$2:G$55,6,0)</f>
        <v>2204800</v>
      </c>
      <c r="BV46">
        <f>VLOOKUP(A46,NOV!A$2:G$55,6,0)</f>
        <v>2095900</v>
      </c>
      <c r="BW46">
        <f>VLOOKUP(A46,NSC!A$2:G$55,6,0)</f>
        <v>1267700</v>
      </c>
      <c r="BX46">
        <f>VLOOKUP(A46,ORCL!A$2:G$55,6,0)</f>
        <v>10041600</v>
      </c>
      <c r="BY46">
        <f>VLOOKUP(A46,OXY!A$2:G$55,6,0)</f>
        <v>2978900</v>
      </c>
      <c r="BZ46">
        <f>VLOOKUP(A46,PEP!A$2:G$55,6,0)</f>
        <v>4929600</v>
      </c>
      <c r="CA46">
        <f>VLOOKUP(A46,PFE!A$2:G$55,6,0)</f>
        <v>21118100</v>
      </c>
      <c r="CB46">
        <f>VLOOKUP(A46,PG!A$2:G$55,6,0)</f>
        <v>5851800</v>
      </c>
      <c r="CC46">
        <f>VLOOKUP(A46,PM!A$2:G$55,6,0)</f>
        <v>2448900</v>
      </c>
      <c r="CD46">
        <f>VLOOKUP(A46,QCOM!A$2:G$55,6,0)</f>
        <v>9791200</v>
      </c>
      <c r="CE46">
        <f>VLOOKUP(A46,RTN!A$2:G$55,6,0)</f>
        <v>2269800</v>
      </c>
      <c r="CF46">
        <f>VLOOKUP(A46,SBUX!A$2:G$55,6,0)</f>
        <v>3388100</v>
      </c>
      <c r="CG46">
        <f>VLOOKUP(A46,SLB!A$2:G$55,6,0)</f>
        <v>4598900</v>
      </c>
      <c r="CH46">
        <f>VLOOKUP(A46,SO!A$2:G$55,6,0)</f>
        <v>2807400</v>
      </c>
      <c r="CI46">
        <f>VLOOKUP(A46,SPG!A$2:G$55,6,0)</f>
        <v>829900</v>
      </c>
      <c r="CJ46">
        <f>VLOOKUP(A46,T!A$2:G$55,6,0)</f>
        <v>13026600</v>
      </c>
      <c r="CK46">
        <f>VLOOKUP(A46,TGT!A$2:G$55,6,0)</f>
        <v>3553500</v>
      </c>
      <c r="CL46">
        <f>VLOOKUP(A46,TWX!A$2:G$55,6,0)</f>
        <v>3777100</v>
      </c>
      <c r="CM46">
        <f>VLOOKUP(A46,TXN!A$2:G$55,6,0)</f>
        <v>3884300</v>
      </c>
      <c r="CN46">
        <f>VLOOKUP(A46,UNH!A$2:G$55,6,0)</f>
        <v>2824400</v>
      </c>
      <c r="CO46">
        <f>VLOOKUP(A46,UNP!A$2:G$55,6,0)</f>
        <v>2842000</v>
      </c>
      <c r="CP46">
        <f>VLOOKUP(A46,UPS!A$2:G$55,6,0)</f>
        <v>1967100</v>
      </c>
      <c r="CQ46">
        <f>VLOOKUP(A46,USB!A$2:G$55,6,0)</f>
        <v>4391400</v>
      </c>
      <c r="CR46">
        <f>VLOOKUP(A46,UTX!A$2:G$55,6,0)</f>
        <v>2629700</v>
      </c>
      <c r="CS46">
        <f>VLOOKUP(A46,V!A$2:G$55,6,0)</f>
        <v>1947100</v>
      </c>
      <c r="CT46">
        <f>VLOOKUP(A46,VZ!A$2:G$55,6,0)</f>
        <v>9100900</v>
      </c>
      <c r="CU46">
        <f>VLOOKUP(A46,WAG!A$2:G$55,6,0)</f>
        <v>5032700</v>
      </c>
      <c r="CV46">
        <f>VLOOKUP(A46,WFC!A$2:G$55,6,0)</f>
        <v>7684900</v>
      </c>
      <c r="CW46">
        <f>VLOOKUP(A46,WMT!A$2:G$55,6,0)</f>
        <v>4647100</v>
      </c>
    </row>
    <row r="47" spans="1:101" x14ac:dyDescent="0.25">
      <c r="A47" s="34">
        <v>41886</v>
      </c>
      <c r="B47" s="36">
        <v>85594800</v>
      </c>
      <c r="C47">
        <f>VLOOKUP(A47,ABBV!A$2:G$55,6,0)</f>
        <v>10019400</v>
      </c>
      <c r="D47">
        <f>VLOOKUP(A47,ABT!A$2:G$55,6,0)</f>
        <v>4123200</v>
      </c>
      <c r="E47">
        <f>VLOOKUP(A47,ACN!A$2:G$55,6,0)</f>
        <v>2781100</v>
      </c>
      <c r="F47">
        <f>VLOOKUP(A47,AIG!A$2:G$55,6,0)</f>
        <v>6436800</v>
      </c>
      <c r="G47">
        <f>VLOOKUP(A47,ALL!A$2:G$55,6,0)</f>
        <v>1563800</v>
      </c>
      <c r="H47">
        <f>VLOOKUP(A47,AMGN!A$2:G$55,6,0)</f>
        <v>2975400</v>
      </c>
      <c r="I47">
        <f>VLOOKUP(A47,AMZN!A$2:G$55,6,0)</f>
        <v>3952200</v>
      </c>
      <c r="J47">
        <f>VLOOKUP(A47,APA!A$2:G$55,6,0)</f>
        <v>2218300</v>
      </c>
      <c r="K47">
        <f>VLOOKUP(A47,APC!A$2:G$55,6,0)</f>
        <v>7292100</v>
      </c>
      <c r="L47">
        <f>VLOOKUP(A47,AXP!A$2:G$55,6,0)</f>
        <v>2594100</v>
      </c>
      <c r="M47">
        <f>VLOOKUP(A47,BA!A$2:G$55,6,0)</f>
        <v>2975300</v>
      </c>
      <c r="N47">
        <f>VLOOKUP(A47,BAC!A$2:G$55,6,0)</f>
        <v>56378600</v>
      </c>
      <c r="O47">
        <f>VLOOKUP(A47,BAX!A$2:G$55,6,0)</f>
        <v>2385000</v>
      </c>
      <c r="P47">
        <f>VLOOKUP(A47,BIIB!A$2:G$55,6,0)</f>
        <v>827700</v>
      </c>
      <c r="Q47">
        <f>VLOOKUP(A47,BK!A$2:G$55,6,0)</f>
        <v>4526600</v>
      </c>
      <c r="R47">
        <f>VLOOKUP(A47,BMY!A$2:G$55,6,0)</f>
        <v>4909200</v>
      </c>
      <c r="T47">
        <f>VLOOKUP(A47,'C'!A$2:G$55,6,0)</f>
        <v>15694900</v>
      </c>
      <c r="U47">
        <f>VLOOKUP(A47,CAT!A$2:G$55,6,0)</f>
        <v>4604000</v>
      </c>
      <c r="V47">
        <f>VLOOKUP(A47,CL!A$2:G$55,6,0)</f>
        <v>3288600</v>
      </c>
      <c r="W47">
        <f>VLOOKUP(A47,CMCSA!A$2:G$55,6,0)</f>
        <v>13184400</v>
      </c>
      <c r="X47">
        <f>VLOOKUP(A47,COF!A$2:G$55,6,0)</f>
        <v>1892600</v>
      </c>
      <c r="Y47">
        <f>VLOOKUP(A47,COP!A$2:G$55,6,0)</f>
        <v>5772500</v>
      </c>
      <c r="Z47">
        <f>VLOOKUP(A47,COST!A$2:G$55,6,0)</f>
        <v>4440300</v>
      </c>
      <c r="AA47">
        <f>VLOOKUP(A47,CSCO!A$2:G$55,6,0)</f>
        <v>20268900</v>
      </c>
      <c r="AB47">
        <f>VLOOKUP(A47,CVS!A$2:G$55,6,0)</f>
        <v>4924000</v>
      </c>
      <c r="AC47">
        <f>VLOOKUP(A47,CVX!A$2:G$55,6,0)</f>
        <v>5191200</v>
      </c>
      <c r="AD47">
        <f>VLOOKUP(A47,DD!A$2:G$55,6,0)</f>
        <v>2737100</v>
      </c>
      <c r="AE47">
        <f>VLOOKUP(A47,DIS!A$2:G$55,6,0)</f>
        <v>5418500</v>
      </c>
      <c r="AF47">
        <f>VLOOKUP(A47,DOW!A$2:G$55,6,0)</f>
        <v>10109200</v>
      </c>
      <c r="AG47">
        <f>VLOOKUP(A47,DVN!A$2:G$55,6,0)</f>
        <v>3207500</v>
      </c>
      <c r="AH47">
        <f>VLOOKUP(A47,EBAY!A$2:G$55,6,0)</f>
        <v>13065900</v>
      </c>
      <c r="AI47">
        <f>VLOOKUP(A47,EMC!A$2:G$55,6,0)</f>
        <v>19848400</v>
      </c>
      <c r="AJ47">
        <f>VLOOKUP(A47,EMR!A$2:G$55,6,0)</f>
        <v>3406400</v>
      </c>
      <c r="AK47">
        <f>VLOOKUP(A47,EXC!A$2:G$55,6,0)</f>
        <v>8163200</v>
      </c>
      <c r="AL47">
        <f>VLOOKUP(A47,F!A$2:G$55,6,0)</f>
        <v>20599800</v>
      </c>
      <c r="AM47">
        <f>VLOOKUP(A47,FB!A$2:G$55,6,0)</f>
        <v>26625500</v>
      </c>
      <c r="AN47">
        <f>VLOOKUP(A47,FCX!A$2:G$55,6,0)</f>
        <v>6054700</v>
      </c>
      <c r="AO47">
        <f>VLOOKUP(A47,FDX!A$2:G$55,6,0)</f>
        <v>1748300</v>
      </c>
      <c r="AP47">
        <f>VLOOKUP(A47,FOXA!A$2:G$55,6,0)</f>
        <v>11031900</v>
      </c>
      <c r="AQ47">
        <f>VLOOKUP(A47,GD!A$2:G$55,6,0)</f>
        <v>1493000</v>
      </c>
      <c r="AR47">
        <f>VLOOKUP(A47,GE!A$2:G$55,6,0)</f>
        <v>26891800</v>
      </c>
      <c r="AS47">
        <f>VLOOKUP(A47,GILD!A$2:G$55,6,0)</f>
        <v>13757500</v>
      </c>
      <c r="AT47">
        <f>VLOOKUP(A47,GM!A$2:G$55,6,0)</f>
        <v>9566300</v>
      </c>
      <c r="AU47">
        <f>VLOOKUP(A47,GOOG!A$2:G$55,6,0)</f>
        <v>1454200</v>
      </c>
      <c r="AV47">
        <f>VLOOKUP(A47,GOOGL!A$2:G$55,6,0)</f>
        <v>1630800</v>
      </c>
      <c r="AW47">
        <f>VLOOKUP(A47,GS!A$2:G$55,6,0)</f>
        <v>1678500</v>
      </c>
      <c r="AX47">
        <f>VLOOKUP(A47,HAL!A$2:G$55,6,0)</f>
        <v>10185400</v>
      </c>
      <c r="AY47">
        <f>VLOOKUP(A47,HD!A$2:G$55,6,0)</f>
        <v>8452200</v>
      </c>
      <c r="AZ47">
        <f>VLOOKUP(A47,HON!A$2:G$55,6,0)</f>
        <v>2521500</v>
      </c>
      <c r="BA47">
        <f>VLOOKUP(A47,HPQ!A$2:G$55,6,0)</f>
        <v>8634600</v>
      </c>
      <c r="BB47">
        <f>VLOOKUP(A47,IBM!A$2:G$55,6,0)</f>
        <v>2865000</v>
      </c>
      <c r="BC47">
        <f>VLOOKUP(A47,INTC!A$2:G$55,6,0)</f>
        <v>27632400</v>
      </c>
      <c r="BD47">
        <f>VLOOKUP(A47,JNJ!A$2:G$55,6,0)</f>
        <v>6147700</v>
      </c>
      <c r="BE47">
        <f>VLOOKUP(A47,JPM!A$2:G$55,6,0)</f>
        <v>9786000</v>
      </c>
      <c r="BF47">
        <f>VLOOKUP(A47,KO!A$2:G$55,6,0)</f>
        <v>16785300</v>
      </c>
      <c r="BG47">
        <f>VLOOKUP(A47,LLY!A$2:G$55,6,0)</f>
        <v>5792000</v>
      </c>
      <c r="BH47">
        <f>VLOOKUP(A47,LMT!A$2:G$55,6,0)</f>
        <v>1109000</v>
      </c>
      <c r="BI47">
        <f>VLOOKUP(A47,LOW!A$2:G$55,6,0)</f>
        <v>6665100</v>
      </c>
      <c r="BJ47">
        <f>VLOOKUP(A47,MA!A$2:G$55,6,0)</f>
        <v>2680300</v>
      </c>
      <c r="BK47">
        <f>VLOOKUP(A47,MCD!A$2:G$55,6,0)</f>
        <v>4849800</v>
      </c>
      <c r="BL47">
        <f>VLOOKUP(A47,MDLZ!A$2:G$55,6,0)</f>
        <v>6551700</v>
      </c>
      <c r="BM47">
        <f>VLOOKUP(A47,MDT!A$2:G$55,6,0)</f>
        <v>9243800</v>
      </c>
      <c r="BN47">
        <f>VLOOKUP(A47,MET!A$2:G$55,6,0)</f>
        <v>6359200</v>
      </c>
      <c r="BO47">
        <f>VLOOKUP(A47,MMM!A$2:G$55,6,0)</f>
        <v>1549800</v>
      </c>
      <c r="BP47">
        <f>VLOOKUP(A47,MO!A$2:G$55,6,0)</f>
        <v>4583100</v>
      </c>
      <c r="BQ47">
        <f>VLOOKUP(A47,MON!A$2:G$55,6,0)</f>
        <v>4015600</v>
      </c>
      <c r="BR47">
        <f>VLOOKUP(A47,MRK!A$2:G$55,6,0)</f>
        <v>10809000</v>
      </c>
      <c r="BS47">
        <f>VLOOKUP(A47,MS!A$2:G$55,6,0)</f>
        <v>7150000</v>
      </c>
      <c r="BT47">
        <f>VLOOKUP(A47,MSFT!A$2:G$55,6,0)</f>
        <v>26475500</v>
      </c>
      <c r="BU47">
        <f>VLOOKUP(A47,NKE!A$2:G$55,6,0)</f>
        <v>3011400</v>
      </c>
      <c r="BV47">
        <f>VLOOKUP(A47,NOV!A$2:G$55,6,0)</f>
        <v>3715400</v>
      </c>
      <c r="BW47">
        <f>VLOOKUP(A47,NSC!A$2:G$55,6,0)</f>
        <v>1731700</v>
      </c>
      <c r="BX47">
        <f>VLOOKUP(A47,ORCL!A$2:G$55,6,0)</f>
        <v>12236800</v>
      </c>
      <c r="BY47">
        <f>VLOOKUP(A47,OXY!A$2:G$55,6,0)</f>
        <v>3786600</v>
      </c>
      <c r="BZ47">
        <f>VLOOKUP(A47,PEP!A$2:G$55,6,0)</f>
        <v>4466800</v>
      </c>
      <c r="CA47">
        <f>VLOOKUP(A47,PFE!A$2:G$55,6,0)</f>
        <v>22343200</v>
      </c>
      <c r="CB47">
        <f>VLOOKUP(A47,PG!A$2:G$55,6,0)</f>
        <v>7444200</v>
      </c>
      <c r="CC47">
        <f>VLOOKUP(A47,PM!A$2:G$55,6,0)</f>
        <v>3143300</v>
      </c>
      <c r="CD47">
        <f>VLOOKUP(A47,QCOM!A$2:G$55,6,0)</f>
        <v>8412100</v>
      </c>
      <c r="CE47">
        <f>VLOOKUP(A47,RTN!A$2:G$55,6,0)</f>
        <v>2055400</v>
      </c>
      <c r="CF47">
        <f>VLOOKUP(A47,SBUX!A$2:G$55,6,0)</f>
        <v>2870500</v>
      </c>
      <c r="CG47">
        <f>VLOOKUP(A47,SLB!A$2:G$55,6,0)</f>
        <v>7410500</v>
      </c>
      <c r="CH47">
        <f>VLOOKUP(A47,SO!A$2:G$55,6,0)</f>
        <v>3249800</v>
      </c>
      <c r="CI47">
        <f>VLOOKUP(A47,SPG!A$2:G$55,6,0)</f>
        <v>1066000</v>
      </c>
      <c r="CJ47">
        <f>VLOOKUP(A47,T!A$2:G$55,6,0)</f>
        <v>12469500</v>
      </c>
      <c r="CK47">
        <f>VLOOKUP(A47,TGT!A$2:G$55,6,0)</f>
        <v>4363300</v>
      </c>
      <c r="CL47">
        <f>VLOOKUP(A47,TWX!A$2:G$55,6,0)</f>
        <v>6681100</v>
      </c>
      <c r="CM47">
        <f>VLOOKUP(A47,TXN!A$2:G$55,6,0)</f>
        <v>3480200</v>
      </c>
      <c r="CN47">
        <f>VLOOKUP(A47,UNH!A$2:G$55,6,0)</f>
        <v>3650100</v>
      </c>
      <c r="CO47">
        <f>VLOOKUP(A47,UNP!A$2:G$55,6,0)</f>
        <v>4582100</v>
      </c>
      <c r="CP47">
        <f>VLOOKUP(A47,UPS!A$2:G$55,6,0)</f>
        <v>3352700</v>
      </c>
      <c r="CQ47">
        <f>VLOOKUP(A47,USB!A$2:G$55,6,0)</f>
        <v>4609900</v>
      </c>
      <c r="CR47">
        <f>VLOOKUP(A47,UTX!A$2:G$55,6,0)</f>
        <v>2856600</v>
      </c>
      <c r="CS47">
        <f>VLOOKUP(A47,V!A$2:G$55,6,0)</f>
        <v>2373100</v>
      </c>
      <c r="CT47">
        <f>VLOOKUP(A47,VZ!A$2:G$55,6,0)</f>
        <v>9472900</v>
      </c>
      <c r="CU47">
        <f>VLOOKUP(A47,WAG!A$2:G$55,6,0)</f>
        <v>16255500</v>
      </c>
      <c r="CV47">
        <f>VLOOKUP(A47,WFC!A$2:G$55,6,0)</f>
        <v>8199400</v>
      </c>
      <c r="CW47">
        <f>VLOOKUP(A47,WMT!A$2:G$55,6,0)</f>
        <v>5224000</v>
      </c>
    </row>
    <row r="48" spans="1:101" x14ac:dyDescent="0.25">
      <c r="A48" s="34">
        <v>41887</v>
      </c>
      <c r="B48" s="36">
        <v>58353200</v>
      </c>
      <c r="C48">
        <f>VLOOKUP(A48,ABBV!A$2:G$55,6,0)</f>
        <v>9914300</v>
      </c>
      <c r="D48">
        <f>VLOOKUP(A48,ABT!A$2:G$55,6,0)</f>
        <v>3484300</v>
      </c>
      <c r="E48">
        <f>VLOOKUP(A48,ACN!A$2:G$55,6,0)</f>
        <v>2276700</v>
      </c>
      <c r="F48">
        <f>VLOOKUP(A48,AIG!A$2:G$55,6,0)</f>
        <v>5861100</v>
      </c>
      <c r="G48">
        <f>VLOOKUP(A48,ALL!A$2:G$55,6,0)</f>
        <v>1871800</v>
      </c>
      <c r="H48">
        <f>VLOOKUP(A48,AMGN!A$2:G$55,6,0)</f>
        <v>3357100</v>
      </c>
      <c r="I48">
        <f>VLOOKUP(A48,AMZN!A$2:G$55,6,0)</f>
        <v>2107000</v>
      </c>
      <c r="J48">
        <f>VLOOKUP(A48,APA!A$2:G$55,6,0)</f>
        <v>2535200</v>
      </c>
      <c r="K48">
        <f>VLOOKUP(A48,APC!A$2:G$55,6,0)</f>
        <v>4839300</v>
      </c>
      <c r="L48">
        <f>VLOOKUP(A48,AXP!A$2:G$55,6,0)</f>
        <v>2571200</v>
      </c>
      <c r="M48">
        <f>VLOOKUP(A48,BA!A$2:G$55,6,0)</f>
        <v>4913800</v>
      </c>
      <c r="N48">
        <f>VLOOKUP(A48,BAC!A$2:G$55,6,0)</f>
        <v>80974900</v>
      </c>
      <c r="O48">
        <f>VLOOKUP(A48,BAX!A$2:G$55,6,0)</f>
        <v>1704300</v>
      </c>
      <c r="P48">
        <f>VLOOKUP(A48,BIIB!A$2:G$55,6,0)</f>
        <v>1910600</v>
      </c>
      <c r="Q48">
        <f>VLOOKUP(A48,BK!A$2:G$55,6,0)</f>
        <v>5198900</v>
      </c>
      <c r="R48">
        <f>VLOOKUP(A48,BMY!A$2:G$55,6,0)</f>
        <v>5720300</v>
      </c>
      <c r="T48">
        <f>VLOOKUP(A48,'C'!A$2:G$55,6,0)</f>
        <v>17484800</v>
      </c>
      <c r="U48">
        <f>VLOOKUP(A48,CAT!A$2:G$55,6,0)</f>
        <v>4305000</v>
      </c>
      <c r="V48">
        <f>VLOOKUP(A48,CL!A$2:G$55,6,0)</f>
        <v>3441700</v>
      </c>
      <c r="W48">
        <f>VLOOKUP(A48,CMCSA!A$2:G$55,6,0)</f>
        <v>14202700</v>
      </c>
      <c r="X48">
        <f>VLOOKUP(A48,COF!A$2:G$55,6,0)</f>
        <v>1620600</v>
      </c>
      <c r="Y48">
        <f>VLOOKUP(A48,COP!A$2:G$55,6,0)</f>
        <v>3596500</v>
      </c>
      <c r="Z48">
        <f>VLOOKUP(A48,COST!A$2:G$55,6,0)</f>
        <v>2910600</v>
      </c>
      <c r="AA48">
        <f>VLOOKUP(A48,CSCO!A$2:G$55,6,0)</f>
        <v>19854800</v>
      </c>
      <c r="AB48">
        <f>VLOOKUP(A48,CVS!A$2:G$55,6,0)</f>
        <v>3567400</v>
      </c>
      <c r="AC48">
        <f>VLOOKUP(A48,CVX!A$2:G$55,6,0)</f>
        <v>5035500</v>
      </c>
      <c r="AD48">
        <f>VLOOKUP(A48,DD!A$2:G$55,6,0)</f>
        <v>3195000</v>
      </c>
      <c r="AE48">
        <f>VLOOKUP(A48,DIS!A$2:G$55,6,0)</f>
        <v>4597100</v>
      </c>
      <c r="AF48">
        <f>VLOOKUP(A48,DOW!A$2:G$55,6,0)</f>
        <v>10364400</v>
      </c>
      <c r="AG48">
        <f>VLOOKUP(A48,DVN!A$2:G$55,6,0)</f>
        <v>2509500</v>
      </c>
      <c r="AH48">
        <f>VLOOKUP(A48,EBAY!A$2:G$55,6,0)</f>
        <v>16191100</v>
      </c>
      <c r="AI48">
        <f>VLOOKUP(A48,EMC!A$2:G$55,6,0)</f>
        <v>10675700</v>
      </c>
      <c r="AJ48">
        <f>VLOOKUP(A48,EMR!A$2:G$55,6,0)</f>
        <v>3698100</v>
      </c>
      <c r="AK48">
        <f>VLOOKUP(A48,EXC!A$2:G$55,6,0)</f>
        <v>6089500</v>
      </c>
      <c r="AL48">
        <f>VLOOKUP(A48,F!A$2:G$55,6,0)</f>
        <v>29703800</v>
      </c>
      <c r="AM48">
        <f>VLOOKUP(A48,FB!A$2:G$55,6,0)</f>
        <v>29407300</v>
      </c>
      <c r="AN48">
        <f>VLOOKUP(A48,FCX!A$2:G$55,6,0)</f>
        <v>12000400</v>
      </c>
      <c r="AO48">
        <f>VLOOKUP(A48,FDX!A$2:G$55,6,0)</f>
        <v>1208100</v>
      </c>
      <c r="AP48">
        <f>VLOOKUP(A48,FOXA!A$2:G$55,6,0)</f>
        <v>8935100</v>
      </c>
      <c r="AQ48">
        <f>VLOOKUP(A48,GD!A$2:G$55,6,0)</f>
        <v>1459800</v>
      </c>
      <c r="AR48">
        <f>VLOOKUP(A48,GE!A$2:G$55,6,0)</f>
        <v>21041600</v>
      </c>
      <c r="AS48">
        <f>VLOOKUP(A48,GILD!A$2:G$55,6,0)</f>
        <v>36051400</v>
      </c>
      <c r="AT48">
        <f>VLOOKUP(A48,GM!A$2:G$55,6,0)</f>
        <v>13671800</v>
      </c>
      <c r="AU48">
        <f>VLOOKUP(A48,GOOG!A$2:G$55,6,0)</f>
        <v>1627900</v>
      </c>
      <c r="AV48">
        <f>VLOOKUP(A48,GOOGL!A$2:G$55,6,0)</f>
        <v>1799100</v>
      </c>
      <c r="AW48">
        <f>VLOOKUP(A48,GS!A$2:G$55,6,0)</f>
        <v>2562800</v>
      </c>
      <c r="AX48">
        <f>VLOOKUP(A48,HAL!A$2:G$55,6,0)</f>
        <v>8977100</v>
      </c>
      <c r="AY48">
        <f>VLOOKUP(A48,HD!A$2:G$55,6,0)</f>
        <v>7746400</v>
      </c>
      <c r="AZ48">
        <f>VLOOKUP(A48,HON!A$2:G$55,6,0)</f>
        <v>1923400</v>
      </c>
      <c r="BA48">
        <f>VLOOKUP(A48,HPQ!A$2:G$55,6,0)</f>
        <v>11257300</v>
      </c>
      <c r="BB48">
        <f>VLOOKUP(A48,IBM!A$2:G$55,6,0)</f>
        <v>2260200</v>
      </c>
      <c r="BC48">
        <f>VLOOKUP(A48,INTC!A$2:G$55,6,0)</f>
        <v>20841900</v>
      </c>
      <c r="BD48">
        <f>VLOOKUP(A48,JNJ!A$2:G$55,6,0)</f>
        <v>5744400</v>
      </c>
      <c r="BE48">
        <f>VLOOKUP(A48,JPM!A$2:G$55,6,0)</f>
        <v>9589000</v>
      </c>
      <c r="BF48">
        <f>VLOOKUP(A48,KO!A$2:G$55,6,0)</f>
        <v>12768100</v>
      </c>
      <c r="BG48">
        <f>VLOOKUP(A48,LLY!A$2:G$55,6,0)</f>
        <v>5445900</v>
      </c>
      <c r="BH48">
        <f>VLOOKUP(A48,LMT!A$2:G$55,6,0)</f>
        <v>983600</v>
      </c>
      <c r="BI48">
        <f>VLOOKUP(A48,LOW!A$2:G$55,6,0)</f>
        <v>5073300</v>
      </c>
      <c r="BJ48">
        <f>VLOOKUP(A48,MA!A$2:G$55,6,0)</f>
        <v>3487400</v>
      </c>
      <c r="BK48">
        <f>VLOOKUP(A48,MCD!A$2:G$55,6,0)</f>
        <v>4004600</v>
      </c>
      <c r="BL48">
        <f>VLOOKUP(A48,MDLZ!A$2:G$55,6,0)</f>
        <v>7349800</v>
      </c>
      <c r="BM48">
        <f>VLOOKUP(A48,MDT!A$2:G$55,6,0)</f>
        <v>6000200</v>
      </c>
      <c r="BN48">
        <f>VLOOKUP(A48,MET!A$2:G$55,6,0)</f>
        <v>5211500</v>
      </c>
      <c r="BO48">
        <f>VLOOKUP(A48,MMM!A$2:G$55,6,0)</f>
        <v>1989100</v>
      </c>
      <c r="BP48">
        <f>VLOOKUP(A48,MO!A$2:G$55,6,0)</f>
        <v>4949600</v>
      </c>
      <c r="BQ48">
        <f>VLOOKUP(A48,MON!A$2:G$55,6,0)</f>
        <v>2794900</v>
      </c>
      <c r="BR48">
        <f>VLOOKUP(A48,MRK!A$2:G$55,6,0)</f>
        <v>10744200</v>
      </c>
      <c r="BS48">
        <f>VLOOKUP(A48,MS!A$2:G$55,6,0)</f>
        <v>9940500</v>
      </c>
      <c r="BT48">
        <f>VLOOKUP(A48,MSFT!A$2:G$55,6,0)</f>
        <v>36882700</v>
      </c>
      <c r="BU48">
        <f>VLOOKUP(A48,NKE!A$2:G$55,6,0)</f>
        <v>6190300</v>
      </c>
      <c r="BV48">
        <f>VLOOKUP(A48,NOV!A$2:G$55,6,0)</f>
        <v>2911900</v>
      </c>
      <c r="BW48">
        <f>VLOOKUP(A48,NSC!A$2:G$55,6,0)</f>
        <v>1808300</v>
      </c>
      <c r="BX48">
        <f>VLOOKUP(A48,ORCL!A$2:G$55,6,0)</f>
        <v>15155600</v>
      </c>
      <c r="BY48">
        <f>VLOOKUP(A48,OXY!A$2:G$55,6,0)</f>
        <v>4764000</v>
      </c>
      <c r="BZ48">
        <f>VLOOKUP(A48,PEP!A$2:G$55,6,0)</f>
        <v>3148000</v>
      </c>
      <c r="CA48">
        <f>VLOOKUP(A48,PFE!A$2:G$55,6,0)</f>
        <v>17543800</v>
      </c>
      <c r="CB48">
        <f>VLOOKUP(A48,PG!A$2:G$55,6,0)</f>
        <v>5888900</v>
      </c>
      <c r="CC48">
        <f>VLOOKUP(A48,PM!A$2:G$55,6,0)</f>
        <v>2782300</v>
      </c>
      <c r="CD48">
        <f>VLOOKUP(A48,QCOM!A$2:G$55,6,0)</f>
        <v>8471600</v>
      </c>
      <c r="CE48">
        <f>VLOOKUP(A48,RTN!A$2:G$55,6,0)</f>
        <v>2411300</v>
      </c>
      <c r="CF48">
        <f>VLOOKUP(A48,SBUX!A$2:G$55,6,0)</f>
        <v>4002500</v>
      </c>
      <c r="CG48">
        <f>VLOOKUP(A48,SLB!A$2:G$55,6,0)</f>
        <v>5971700</v>
      </c>
      <c r="CH48">
        <f>VLOOKUP(A48,SO!A$2:G$55,6,0)</f>
        <v>6021000</v>
      </c>
      <c r="CI48">
        <f>VLOOKUP(A48,SPG!A$2:G$55,6,0)</f>
        <v>1410000</v>
      </c>
      <c r="CJ48">
        <f>VLOOKUP(A48,T!A$2:G$55,6,0)</f>
        <v>17799000</v>
      </c>
      <c r="CK48">
        <f>VLOOKUP(A48,TGT!A$2:G$55,6,0)</f>
        <v>3401800</v>
      </c>
      <c r="CL48">
        <f>VLOOKUP(A48,TWX!A$2:G$55,6,0)</f>
        <v>6914900</v>
      </c>
      <c r="CM48">
        <f>VLOOKUP(A48,TXN!A$2:G$55,6,0)</f>
        <v>3648600</v>
      </c>
      <c r="CN48">
        <f>VLOOKUP(A48,UNH!A$2:G$55,6,0)</f>
        <v>3873500</v>
      </c>
      <c r="CO48">
        <f>VLOOKUP(A48,UNP!A$2:G$55,6,0)</f>
        <v>3660500</v>
      </c>
      <c r="CP48">
        <f>VLOOKUP(A48,UPS!A$2:G$55,6,0)</f>
        <v>2155100</v>
      </c>
      <c r="CQ48">
        <f>VLOOKUP(A48,USB!A$2:G$55,6,0)</f>
        <v>7807500</v>
      </c>
      <c r="CR48">
        <f>VLOOKUP(A48,UTX!A$2:G$55,6,0)</f>
        <v>2793100</v>
      </c>
      <c r="CS48">
        <f>VLOOKUP(A48,V!A$2:G$55,6,0)</f>
        <v>2050700</v>
      </c>
      <c r="CT48">
        <f>VLOOKUP(A48,VZ!A$2:G$55,6,0)</f>
        <v>11920900</v>
      </c>
      <c r="CU48">
        <f>VLOOKUP(A48,WAG!A$2:G$55,6,0)</f>
        <v>20600400</v>
      </c>
      <c r="CV48">
        <f>VLOOKUP(A48,WFC!A$2:G$55,6,0)</f>
        <v>12051300</v>
      </c>
      <c r="CW48">
        <f>VLOOKUP(A48,WMT!A$2:G$55,6,0)</f>
        <v>7841800</v>
      </c>
    </row>
    <row r="49" spans="1:101" x14ac:dyDescent="0.25">
      <c r="A49" s="34">
        <v>41890</v>
      </c>
      <c r="B49" s="36">
        <v>46277800</v>
      </c>
      <c r="C49">
        <f>VLOOKUP(A49,ABBV!A$2:G$55,6,0)</f>
        <v>6568800</v>
      </c>
      <c r="D49">
        <f>VLOOKUP(A49,ABT!A$2:G$55,6,0)</f>
        <v>2602900</v>
      </c>
      <c r="E49">
        <f>VLOOKUP(A49,ACN!A$2:G$55,6,0)</f>
        <v>1880100</v>
      </c>
      <c r="F49">
        <f>VLOOKUP(A49,AIG!A$2:G$55,6,0)</f>
        <v>7415400</v>
      </c>
      <c r="G49">
        <f>VLOOKUP(A49,ALL!A$2:G$55,6,0)</f>
        <v>1203700</v>
      </c>
      <c r="H49">
        <f>VLOOKUP(A49,AMGN!A$2:G$55,6,0)</f>
        <v>2512900</v>
      </c>
      <c r="I49">
        <f>VLOOKUP(A49,AMZN!A$2:G$55,6,0)</f>
        <v>2955300</v>
      </c>
      <c r="J49">
        <f>VLOOKUP(A49,APA!A$2:G$55,6,0)</f>
        <v>2198600</v>
      </c>
      <c r="K49">
        <f>VLOOKUP(A49,APC!A$2:G$55,6,0)</f>
        <v>4290700</v>
      </c>
      <c r="L49">
        <f>VLOOKUP(A49,AXP!A$2:G$55,6,0)</f>
        <v>3617600</v>
      </c>
      <c r="M49">
        <f>VLOOKUP(A49,BA!A$2:G$55,6,0)</f>
        <v>6061500</v>
      </c>
      <c r="N49">
        <f>VLOOKUP(A49,BAC!A$2:G$55,6,0)</f>
        <v>99411200</v>
      </c>
      <c r="O49">
        <f>VLOOKUP(A49,BAX!A$2:G$55,6,0)</f>
        <v>1626200</v>
      </c>
      <c r="P49">
        <f>VLOOKUP(A49,BIIB!A$2:G$55,6,0)</f>
        <v>927200</v>
      </c>
      <c r="Q49">
        <f>VLOOKUP(A49,BK!A$2:G$55,6,0)</f>
        <v>5503000</v>
      </c>
      <c r="R49">
        <f>VLOOKUP(A49,BMY!A$2:G$55,6,0)</f>
        <v>3449800</v>
      </c>
      <c r="T49">
        <f>VLOOKUP(A49,'C'!A$2:G$55,6,0)</f>
        <v>13557800</v>
      </c>
      <c r="U49">
        <f>VLOOKUP(A49,CAT!A$2:G$55,6,0)</f>
        <v>3496900</v>
      </c>
      <c r="V49">
        <f>VLOOKUP(A49,CL!A$2:G$55,6,0)</f>
        <v>3739100</v>
      </c>
      <c r="W49">
        <f>VLOOKUP(A49,CMCSA!A$2:G$55,6,0)</f>
        <v>11805400</v>
      </c>
      <c r="X49">
        <f>VLOOKUP(A49,COF!A$2:G$55,6,0)</f>
        <v>1906600</v>
      </c>
      <c r="Y49">
        <f>VLOOKUP(A49,COP!A$2:G$55,6,0)</f>
        <v>6122800</v>
      </c>
      <c r="Z49">
        <f>VLOOKUP(A49,COST!A$2:G$55,6,0)</f>
        <v>2057400</v>
      </c>
      <c r="AA49">
        <f>VLOOKUP(A49,CSCO!A$2:G$55,6,0)</f>
        <v>14188500</v>
      </c>
      <c r="AB49">
        <f>VLOOKUP(A49,CVS!A$2:G$55,6,0)</f>
        <v>3357600</v>
      </c>
      <c r="AC49">
        <f>VLOOKUP(A49,CVX!A$2:G$55,6,0)</f>
        <v>4200800</v>
      </c>
      <c r="AD49">
        <f>VLOOKUP(A49,DD!A$2:G$55,6,0)</f>
        <v>3323500</v>
      </c>
      <c r="AE49">
        <f>VLOOKUP(A49,DIS!A$2:G$55,6,0)</f>
        <v>4310500</v>
      </c>
      <c r="AF49">
        <f>VLOOKUP(A49,DOW!A$2:G$55,6,0)</f>
        <v>6391500</v>
      </c>
      <c r="AG49">
        <f>VLOOKUP(A49,DVN!A$2:G$55,6,0)</f>
        <v>3205100</v>
      </c>
      <c r="AH49">
        <f>VLOOKUP(A49,EBAY!A$2:G$55,6,0)</f>
        <v>9047200</v>
      </c>
      <c r="AI49">
        <f>VLOOKUP(A49,EMC!A$2:G$55,6,0)</f>
        <v>13291800</v>
      </c>
      <c r="AJ49">
        <f>VLOOKUP(A49,EMR!A$2:G$55,6,0)</f>
        <v>3218200</v>
      </c>
      <c r="AK49">
        <f>VLOOKUP(A49,EXC!A$2:G$55,6,0)</f>
        <v>3519900</v>
      </c>
      <c r="AL49">
        <f>VLOOKUP(A49,F!A$2:G$55,6,0)</f>
        <v>47350600</v>
      </c>
      <c r="AM49">
        <f>VLOOKUP(A49,FB!A$2:G$55,6,0)</f>
        <v>28149300</v>
      </c>
      <c r="AN49">
        <f>VLOOKUP(A49,FCX!A$2:G$55,6,0)</f>
        <v>7045300</v>
      </c>
      <c r="AO49">
        <f>VLOOKUP(A49,FDX!A$2:G$55,6,0)</f>
        <v>1349200</v>
      </c>
      <c r="AP49">
        <f>VLOOKUP(A49,FOXA!A$2:G$55,6,0)</f>
        <v>14029900</v>
      </c>
      <c r="AQ49">
        <f>VLOOKUP(A49,GD!A$2:G$55,6,0)</f>
        <v>1479400</v>
      </c>
      <c r="AR49">
        <f>VLOOKUP(A49,GE!A$2:G$55,6,0)</f>
        <v>20379700</v>
      </c>
      <c r="AS49">
        <f>VLOOKUP(A49,GILD!A$2:G$55,6,0)</f>
        <v>11917400</v>
      </c>
      <c r="AT49">
        <f>VLOOKUP(A49,GM!A$2:G$55,6,0)</f>
        <v>22120600</v>
      </c>
      <c r="AU49">
        <f>VLOOKUP(A49,GOOG!A$2:G$55,6,0)</f>
        <v>1427100</v>
      </c>
      <c r="AV49">
        <f>VLOOKUP(A49,GOOGL!A$2:G$55,6,0)</f>
        <v>1599200</v>
      </c>
      <c r="AW49">
        <f>VLOOKUP(A49,GS!A$2:G$55,6,0)</f>
        <v>1746400</v>
      </c>
      <c r="AX49">
        <f>VLOOKUP(A49,HAL!A$2:G$55,6,0)</f>
        <v>8816900</v>
      </c>
      <c r="AY49">
        <f>VLOOKUP(A49,HD!A$2:G$55,6,0)</f>
        <v>4885900</v>
      </c>
      <c r="AZ49">
        <f>VLOOKUP(A49,HON!A$2:G$55,6,0)</f>
        <v>2022000</v>
      </c>
      <c r="BA49">
        <f>VLOOKUP(A49,HPQ!A$2:G$55,6,0)</f>
        <v>7366700</v>
      </c>
      <c r="BB49">
        <f>VLOOKUP(A49,IBM!A$2:G$55,6,0)</f>
        <v>2524200</v>
      </c>
      <c r="BC49">
        <f>VLOOKUP(A49,INTC!A$2:G$55,6,0)</f>
        <v>24859600</v>
      </c>
      <c r="BD49">
        <f>VLOOKUP(A49,JNJ!A$2:G$55,6,0)</f>
        <v>4900300</v>
      </c>
      <c r="BE49">
        <f>VLOOKUP(A49,JPM!A$2:G$55,6,0)</f>
        <v>8090000</v>
      </c>
      <c r="BF49">
        <f>VLOOKUP(A49,KO!A$2:G$55,6,0)</f>
        <v>9097700</v>
      </c>
      <c r="BG49">
        <f>VLOOKUP(A49,LLY!A$2:G$55,6,0)</f>
        <v>4246700</v>
      </c>
      <c r="BH49">
        <f>VLOOKUP(A49,LMT!A$2:G$55,6,0)</f>
        <v>926500</v>
      </c>
      <c r="BI49">
        <f>VLOOKUP(A49,LOW!A$2:G$55,6,0)</f>
        <v>4019800</v>
      </c>
      <c r="BJ49">
        <f>VLOOKUP(A49,MA!A$2:G$55,6,0)</f>
        <v>2845600</v>
      </c>
      <c r="BK49">
        <f>VLOOKUP(A49,MCD!A$2:G$55,6,0)</f>
        <v>5251900</v>
      </c>
      <c r="BL49">
        <f>VLOOKUP(A49,MDLZ!A$2:G$55,6,0)</f>
        <v>5391500</v>
      </c>
      <c r="BM49">
        <f>VLOOKUP(A49,MDT!A$2:G$55,6,0)</f>
        <v>5627600</v>
      </c>
      <c r="BN49">
        <f>VLOOKUP(A49,MET!A$2:G$55,6,0)</f>
        <v>3889500</v>
      </c>
      <c r="BO49">
        <f>VLOOKUP(A49,MMM!A$2:G$55,6,0)</f>
        <v>2446100</v>
      </c>
      <c r="BP49">
        <f>VLOOKUP(A49,MO!A$2:G$55,6,0)</f>
        <v>6454800</v>
      </c>
      <c r="BQ49">
        <f>VLOOKUP(A49,MON!A$2:G$55,6,0)</f>
        <v>2602200</v>
      </c>
      <c r="BR49">
        <f>VLOOKUP(A49,MRK!A$2:G$55,6,0)</f>
        <v>8420400</v>
      </c>
      <c r="BS49">
        <f>VLOOKUP(A49,MS!A$2:G$55,6,0)</f>
        <v>8055200</v>
      </c>
      <c r="BT49">
        <f>VLOOKUP(A49,MSFT!A$2:G$55,6,0)</f>
        <v>45719000</v>
      </c>
      <c r="BU49">
        <f>VLOOKUP(A49,NKE!A$2:G$55,6,0)</f>
        <v>5864100</v>
      </c>
      <c r="BV49">
        <f>VLOOKUP(A49,NOV!A$2:G$55,6,0)</f>
        <v>2562800</v>
      </c>
      <c r="BW49">
        <f>VLOOKUP(A49,NSC!A$2:G$55,6,0)</f>
        <v>1365000</v>
      </c>
      <c r="BX49">
        <f>VLOOKUP(A49,ORCL!A$2:G$55,6,0)</f>
        <v>19641200</v>
      </c>
      <c r="BY49">
        <f>VLOOKUP(A49,OXY!A$2:G$55,6,0)</f>
        <v>4971000</v>
      </c>
      <c r="BZ49">
        <f>VLOOKUP(A49,PEP!A$2:G$55,6,0)</f>
        <v>3534300</v>
      </c>
      <c r="CA49">
        <f>VLOOKUP(A49,PFE!A$2:G$55,6,0)</f>
        <v>14522200</v>
      </c>
      <c r="CB49">
        <f>VLOOKUP(A49,PG!A$2:G$55,6,0)</f>
        <v>4899600</v>
      </c>
      <c r="CC49">
        <f>VLOOKUP(A49,PM!A$2:G$55,6,0)</f>
        <v>4851400</v>
      </c>
      <c r="CD49">
        <f>VLOOKUP(A49,QCOM!A$2:G$55,6,0)</f>
        <v>6281400</v>
      </c>
      <c r="CE49">
        <f>VLOOKUP(A49,RTN!A$2:G$55,6,0)</f>
        <v>1835100</v>
      </c>
      <c r="CF49">
        <f>VLOOKUP(A49,SBUX!A$2:G$55,6,0)</f>
        <v>2246400</v>
      </c>
      <c r="CG49">
        <f>VLOOKUP(A49,SLB!A$2:G$55,6,0)</f>
        <v>7000000</v>
      </c>
      <c r="CH49">
        <f>VLOOKUP(A49,SO!A$2:G$55,6,0)</f>
        <v>3189100</v>
      </c>
      <c r="CI49">
        <f>VLOOKUP(A49,SPG!A$2:G$55,6,0)</f>
        <v>877600</v>
      </c>
      <c r="CJ49">
        <f>VLOOKUP(A49,T!A$2:G$55,6,0)</f>
        <v>10786300</v>
      </c>
      <c r="CK49">
        <f>VLOOKUP(A49,TGT!A$2:G$55,6,0)</f>
        <v>3191300</v>
      </c>
      <c r="CL49">
        <f>VLOOKUP(A49,TWX!A$2:G$55,6,0)</f>
        <v>3999000</v>
      </c>
      <c r="CM49">
        <f>VLOOKUP(A49,TXN!A$2:G$55,6,0)</f>
        <v>3975400</v>
      </c>
      <c r="CN49">
        <f>VLOOKUP(A49,UNH!A$2:G$55,6,0)</f>
        <v>2298000</v>
      </c>
      <c r="CO49">
        <f>VLOOKUP(A49,UNP!A$2:G$55,6,0)</f>
        <v>2052200</v>
      </c>
      <c r="CP49">
        <f>VLOOKUP(A49,UPS!A$2:G$55,6,0)</f>
        <v>2159300</v>
      </c>
      <c r="CQ49">
        <f>VLOOKUP(A49,USB!A$2:G$55,6,0)</f>
        <v>5979700</v>
      </c>
      <c r="CR49">
        <f>VLOOKUP(A49,UTX!A$2:G$55,6,0)</f>
        <v>3785400</v>
      </c>
      <c r="CS49">
        <f>VLOOKUP(A49,V!A$2:G$55,6,0)</f>
        <v>2566600</v>
      </c>
      <c r="CT49">
        <f>VLOOKUP(A49,VZ!A$2:G$55,6,0)</f>
        <v>9005900</v>
      </c>
      <c r="CU49">
        <f>VLOOKUP(A49,WAG!A$2:G$55,6,0)</f>
        <v>8897600</v>
      </c>
      <c r="CV49">
        <f>VLOOKUP(A49,WFC!A$2:G$55,6,0)</f>
        <v>7746900</v>
      </c>
      <c r="CW49">
        <f>VLOOKUP(A49,WMT!A$2:G$55,6,0)</f>
        <v>5938900</v>
      </c>
    </row>
    <row r="50" spans="1:101" x14ac:dyDescent="0.25">
      <c r="A50" s="34">
        <v>41891</v>
      </c>
      <c r="B50" s="36">
        <v>189560600</v>
      </c>
      <c r="C50">
        <f>VLOOKUP(A50,ABBV!A$2:G$55,6,0)</f>
        <v>17558900</v>
      </c>
      <c r="D50">
        <f>VLOOKUP(A50,ABT!A$2:G$55,6,0)</f>
        <v>3586800</v>
      </c>
      <c r="E50">
        <f>VLOOKUP(A50,ACN!A$2:G$55,6,0)</f>
        <v>2173800</v>
      </c>
      <c r="F50">
        <f>VLOOKUP(A50,AIG!A$2:G$55,6,0)</f>
        <v>6367700</v>
      </c>
      <c r="G50">
        <f>VLOOKUP(A50,ALL!A$2:G$55,6,0)</f>
        <v>1757600</v>
      </c>
      <c r="H50">
        <f>VLOOKUP(A50,AMGN!A$2:G$55,6,0)</f>
        <v>3102900</v>
      </c>
      <c r="I50">
        <f>VLOOKUP(A50,AMZN!A$2:G$55,6,0)</f>
        <v>4634000</v>
      </c>
      <c r="J50">
        <f>VLOOKUP(A50,APA!A$2:G$55,6,0)</f>
        <v>2739200</v>
      </c>
      <c r="K50">
        <f>VLOOKUP(A50,APC!A$2:G$55,6,0)</f>
        <v>2822000</v>
      </c>
      <c r="L50">
        <f>VLOOKUP(A50,AXP!A$2:G$55,6,0)</f>
        <v>4014300</v>
      </c>
      <c r="M50">
        <f>VLOOKUP(A50,BA!A$2:G$55,6,0)</f>
        <v>4828600</v>
      </c>
      <c r="N50">
        <f>VLOOKUP(A50,BAC!A$2:G$55,6,0)</f>
        <v>82428900</v>
      </c>
      <c r="O50">
        <f>VLOOKUP(A50,BAX!A$2:G$55,6,0)</f>
        <v>1931300</v>
      </c>
      <c r="P50">
        <f>VLOOKUP(A50,BIIB!A$2:G$55,6,0)</f>
        <v>840800</v>
      </c>
      <c r="Q50">
        <f>VLOOKUP(A50,BK!A$2:G$55,6,0)</f>
        <v>5067800</v>
      </c>
      <c r="R50">
        <f>VLOOKUP(A50,BMY!A$2:G$55,6,0)</f>
        <v>4985400</v>
      </c>
      <c r="T50">
        <f>VLOOKUP(A50,'C'!A$2:G$55,6,0)</f>
        <v>14584100</v>
      </c>
      <c r="U50">
        <f>VLOOKUP(A50,CAT!A$2:G$55,6,0)</f>
        <v>3578500</v>
      </c>
      <c r="V50">
        <f>VLOOKUP(A50,CL!A$2:G$55,6,0)</f>
        <v>3520600</v>
      </c>
      <c r="W50">
        <f>VLOOKUP(A50,CMCSA!A$2:G$55,6,0)</f>
        <v>20056500</v>
      </c>
      <c r="X50">
        <f>VLOOKUP(A50,COF!A$2:G$55,6,0)</f>
        <v>1945700</v>
      </c>
      <c r="Y50">
        <f>VLOOKUP(A50,COP!A$2:G$55,6,0)</f>
        <v>6466800</v>
      </c>
      <c r="Z50">
        <f>VLOOKUP(A50,COST!A$2:G$55,6,0)</f>
        <v>1500500</v>
      </c>
      <c r="AA50">
        <f>VLOOKUP(A50,CSCO!A$2:G$55,6,0)</f>
        <v>19075800</v>
      </c>
      <c r="AB50">
        <f>VLOOKUP(A50,CVS!A$2:G$55,6,0)</f>
        <v>3849300</v>
      </c>
      <c r="AC50">
        <f>VLOOKUP(A50,CVX!A$2:G$55,6,0)</f>
        <v>6721600</v>
      </c>
      <c r="AD50">
        <f>VLOOKUP(A50,DD!A$2:G$55,6,0)</f>
        <v>2887700</v>
      </c>
      <c r="AE50">
        <f>VLOOKUP(A50,DIS!A$2:G$55,6,0)</f>
        <v>4771000</v>
      </c>
      <c r="AF50">
        <f>VLOOKUP(A50,DOW!A$2:G$55,6,0)</f>
        <v>6089800</v>
      </c>
      <c r="AG50">
        <f>VLOOKUP(A50,DVN!A$2:G$55,6,0)</f>
        <v>3135100</v>
      </c>
      <c r="AH50">
        <f>VLOOKUP(A50,EBAY!A$2:G$55,6,0)</f>
        <v>20184500</v>
      </c>
      <c r="AI50">
        <f>VLOOKUP(A50,EMC!A$2:G$55,6,0)</f>
        <v>11964400</v>
      </c>
      <c r="AJ50">
        <f>VLOOKUP(A50,EMR!A$2:G$55,6,0)</f>
        <v>3204600</v>
      </c>
      <c r="AK50">
        <f>VLOOKUP(A50,EXC!A$2:G$55,6,0)</f>
        <v>4397900</v>
      </c>
      <c r="AL50">
        <f>VLOOKUP(A50,F!A$2:G$55,6,0)</f>
        <v>26569700</v>
      </c>
      <c r="AM50">
        <f>VLOOKUP(A50,FB!A$2:G$55,6,0)</f>
        <v>28769300</v>
      </c>
      <c r="AN50">
        <f>VLOOKUP(A50,FCX!A$2:G$55,6,0)</f>
        <v>7736200</v>
      </c>
      <c r="AO50">
        <f>VLOOKUP(A50,FDX!A$2:G$55,6,0)</f>
        <v>1001600</v>
      </c>
      <c r="AP50">
        <f>VLOOKUP(A50,FOXA!A$2:G$55,6,0)</f>
        <v>8795500</v>
      </c>
      <c r="AQ50">
        <f>VLOOKUP(A50,GD!A$2:G$55,6,0)</f>
        <v>1607800</v>
      </c>
      <c r="AR50">
        <f>VLOOKUP(A50,GE!A$2:G$55,6,0)</f>
        <v>21666400</v>
      </c>
      <c r="AS50">
        <f>VLOOKUP(A50,GILD!A$2:G$55,6,0)</f>
        <v>14049100</v>
      </c>
      <c r="AT50">
        <f>VLOOKUP(A50,GM!A$2:G$55,6,0)</f>
        <v>11861000</v>
      </c>
      <c r="AU50">
        <f>VLOOKUP(A50,GOOG!A$2:G$55,6,0)</f>
        <v>1283700</v>
      </c>
      <c r="AV50">
        <f>VLOOKUP(A50,GOOGL!A$2:G$55,6,0)</f>
        <v>1571200</v>
      </c>
      <c r="AW50">
        <f>VLOOKUP(A50,GS!A$2:G$55,6,0)</f>
        <v>2598500</v>
      </c>
      <c r="AX50">
        <f>VLOOKUP(A50,HAL!A$2:G$55,6,0)</f>
        <v>5912500</v>
      </c>
      <c r="AY50">
        <f>VLOOKUP(A50,HD!A$2:G$55,6,0)</f>
        <v>8103000</v>
      </c>
      <c r="AZ50">
        <f>VLOOKUP(A50,HON!A$2:G$55,6,0)</f>
        <v>2240500</v>
      </c>
      <c r="BA50">
        <f>VLOOKUP(A50,HPQ!A$2:G$55,6,0)</f>
        <v>10295000</v>
      </c>
      <c r="BB50">
        <f>VLOOKUP(A50,IBM!A$2:G$55,6,0)</f>
        <v>2390400</v>
      </c>
      <c r="BC50">
        <f>VLOOKUP(A50,INTC!A$2:G$55,6,0)</f>
        <v>22333100</v>
      </c>
      <c r="BD50">
        <f>VLOOKUP(A50,JNJ!A$2:G$55,6,0)</f>
        <v>5999400</v>
      </c>
      <c r="BE50">
        <f>VLOOKUP(A50,JPM!A$2:G$55,6,0)</f>
        <v>14846100</v>
      </c>
      <c r="BF50">
        <f>VLOOKUP(A50,KO!A$2:G$55,6,0)</f>
        <v>11892500</v>
      </c>
      <c r="BG50">
        <f>VLOOKUP(A50,LLY!A$2:G$55,6,0)</f>
        <v>4732400</v>
      </c>
      <c r="BH50">
        <f>VLOOKUP(A50,LMT!A$2:G$55,6,0)</f>
        <v>1418300</v>
      </c>
      <c r="BI50">
        <f>VLOOKUP(A50,LOW!A$2:G$55,6,0)</f>
        <v>3342000</v>
      </c>
      <c r="BJ50">
        <f>VLOOKUP(A50,MA!A$2:G$55,6,0)</f>
        <v>4144700</v>
      </c>
      <c r="BK50">
        <f>VLOOKUP(A50,MCD!A$2:G$55,6,0)</f>
        <v>9795200</v>
      </c>
      <c r="BL50">
        <f>VLOOKUP(A50,MDLZ!A$2:G$55,6,0)</f>
        <v>6641900</v>
      </c>
      <c r="BM50">
        <f>VLOOKUP(A50,MDT!A$2:G$55,6,0)</f>
        <v>10812700</v>
      </c>
      <c r="BN50">
        <f>VLOOKUP(A50,MET!A$2:G$55,6,0)</f>
        <v>4757100</v>
      </c>
      <c r="BO50">
        <f>VLOOKUP(A50,MMM!A$2:G$55,6,0)</f>
        <v>1745400</v>
      </c>
      <c r="BP50">
        <f>VLOOKUP(A50,MO!A$2:G$55,6,0)</f>
        <v>8571300</v>
      </c>
      <c r="BQ50">
        <f>VLOOKUP(A50,MON!A$2:G$55,6,0)</f>
        <v>1898100</v>
      </c>
      <c r="BR50">
        <f>VLOOKUP(A50,MRK!A$2:G$55,6,0)</f>
        <v>7443700</v>
      </c>
      <c r="BS50">
        <f>VLOOKUP(A50,MS!A$2:G$55,6,0)</f>
        <v>11394500</v>
      </c>
      <c r="BT50">
        <f>VLOOKUP(A50,MSFT!A$2:G$55,6,0)</f>
        <v>40255500</v>
      </c>
      <c r="BU50">
        <f>VLOOKUP(A50,NKE!A$2:G$55,6,0)</f>
        <v>4059500</v>
      </c>
      <c r="BV50">
        <f>VLOOKUP(A50,NOV!A$2:G$55,6,0)</f>
        <v>3812200</v>
      </c>
      <c r="BW50">
        <f>VLOOKUP(A50,NSC!A$2:G$55,6,0)</f>
        <v>1240100</v>
      </c>
      <c r="BX50">
        <f>VLOOKUP(A50,ORCL!A$2:G$55,6,0)</f>
        <v>14019000</v>
      </c>
      <c r="BY50">
        <f>VLOOKUP(A50,OXY!A$2:G$55,6,0)</f>
        <v>4155600</v>
      </c>
      <c r="BZ50">
        <f>VLOOKUP(A50,PEP!A$2:G$55,6,0)</f>
        <v>3259200</v>
      </c>
      <c r="CA50">
        <f>VLOOKUP(A50,PFE!A$2:G$55,6,0)</f>
        <v>21622700</v>
      </c>
      <c r="CB50">
        <f>VLOOKUP(A50,PG!A$2:G$55,6,0)</f>
        <v>5202900</v>
      </c>
      <c r="CC50">
        <f>VLOOKUP(A50,PM!A$2:G$55,6,0)</f>
        <v>3892300</v>
      </c>
      <c r="CD50">
        <f>VLOOKUP(A50,QCOM!A$2:G$55,6,0)</f>
        <v>6266100</v>
      </c>
      <c r="CE50">
        <f>VLOOKUP(A50,RTN!A$2:G$55,6,0)</f>
        <v>1898400</v>
      </c>
      <c r="CF50">
        <f>VLOOKUP(A50,SBUX!A$2:G$55,6,0)</f>
        <v>2544800</v>
      </c>
      <c r="CG50">
        <f>VLOOKUP(A50,SLB!A$2:G$55,6,0)</f>
        <v>6221300</v>
      </c>
      <c r="CH50">
        <f>VLOOKUP(A50,SO!A$2:G$55,6,0)</f>
        <v>6825800</v>
      </c>
      <c r="CI50">
        <f>VLOOKUP(A50,SPG!A$2:G$55,6,0)</f>
        <v>1089500</v>
      </c>
      <c r="CJ50">
        <f>VLOOKUP(A50,T!A$2:G$55,6,0)</f>
        <v>18782300</v>
      </c>
      <c r="CK50">
        <f>VLOOKUP(A50,TGT!A$2:G$55,6,0)</f>
        <v>4237200</v>
      </c>
      <c r="CL50">
        <f>VLOOKUP(A50,TWX!A$2:G$55,6,0)</f>
        <v>3581800</v>
      </c>
      <c r="CM50">
        <f>VLOOKUP(A50,TXN!A$2:G$55,6,0)</f>
        <v>3153700</v>
      </c>
      <c r="CN50">
        <f>VLOOKUP(A50,UNH!A$2:G$55,6,0)</f>
        <v>4409400</v>
      </c>
      <c r="CO50">
        <f>VLOOKUP(A50,UNP!A$2:G$55,6,0)</f>
        <v>1901700</v>
      </c>
      <c r="CP50">
        <f>VLOOKUP(A50,UPS!A$2:G$55,6,0)</f>
        <v>2617400</v>
      </c>
      <c r="CQ50">
        <f>VLOOKUP(A50,USB!A$2:G$55,6,0)</f>
        <v>6252500</v>
      </c>
      <c r="CR50">
        <f>VLOOKUP(A50,UTX!A$2:G$55,6,0)</f>
        <v>2114600</v>
      </c>
      <c r="CS50">
        <f>VLOOKUP(A50,V!A$2:G$55,6,0)</f>
        <v>1832200</v>
      </c>
      <c r="CT50">
        <f>VLOOKUP(A50,VZ!A$2:G$55,6,0)</f>
        <v>14568800</v>
      </c>
      <c r="CU50">
        <f>VLOOKUP(A50,WAG!A$2:G$55,6,0)</f>
        <v>7663400</v>
      </c>
      <c r="CV50">
        <f>VLOOKUP(A50,WFC!A$2:G$55,6,0)</f>
        <v>10720200</v>
      </c>
      <c r="CW50">
        <f>VLOOKUP(A50,WMT!A$2:G$55,6,0)</f>
        <v>5616300</v>
      </c>
    </row>
    <row r="51" spans="1:101" x14ac:dyDescent="0.25">
      <c r="A51" s="34">
        <v>41892</v>
      </c>
      <c r="B51" s="36">
        <v>100741900</v>
      </c>
      <c r="C51">
        <f>VLOOKUP(A51,ABBV!A$2:G$55,6,0)</f>
        <v>8740300</v>
      </c>
      <c r="D51">
        <f>VLOOKUP(A51,ABT!A$2:G$55,6,0)</f>
        <v>3503000</v>
      </c>
      <c r="E51">
        <f>VLOOKUP(A51,ACN!A$2:G$55,6,0)</f>
        <v>1922600</v>
      </c>
      <c r="F51">
        <f>VLOOKUP(A51,AIG!A$2:G$55,6,0)</f>
        <v>6888200</v>
      </c>
      <c r="G51">
        <f>VLOOKUP(A51,ALL!A$2:G$55,6,0)</f>
        <v>1475800</v>
      </c>
      <c r="H51">
        <f>VLOOKUP(A51,AMGN!A$2:G$55,6,0)</f>
        <v>2330500</v>
      </c>
      <c r="I51">
        <f>VLOOKUP(A51,AMZN!A$2:G$55,6,0)</f>
        <v>3797400</v>
      </c>
      <c r="J51">
        <f>VLOOKUP(A51,APA!A$2:G$55,6,0)</f>
        <v>2609000</v>
      </c>
      <c r="K51">
        <f>VLOOKUP(A51,APC!A$2:G$55,6,0)</f>
        <v>3550100</v>
      </c>
      <c r="L51">
        <f>VLOOKUP(A51,AXP!A$2:G$55,6,0)</f>
        <v>3452700</v>
      </c>
      <c r="M51">
        <f>VLOOKUP(A51,BA!A$2:G$55,6,0)</f>
        <v>3068200</v>
      </c>
      <c r="N51">
        <f>VLOOKUP(A51,BAC!A$2:G$55,6,0)</f>
        <v>75656100</v>
      </c>
      <c r="O51">
        <f>VLOOKUP(A51,BAX!A$2:G$55,6,0)</f>
        <v>2881100</v>
      </c>
      <c r="P51">
        <f>VLOOKUP(A51,BIIB!A$2:G$55,6,0)</f>
        <v>811100</v>
      </c>
      <c r="Q51">
        <f>VLOOKUP(A51,BK!A$2:G$55,6,0)</f>
        <v>4213500</v>
      </c>
      <c r="R51">
        <f>VLOOKUP(A51,BMY!A$2:G$55,6,0)</f>
        <v>6224800</v>
      </c>
      <c r="T51">
        <f>VLOOKUP(A51,'C'!A$2:G$55,6,0)</f>
        <v>13013600</v>
      </c>
      <c r="U51">
        <f>VLOOKUP(A51,CAT!A$2:G$55,6,0)</f>
        <v>8154700</v>
      </c>
      <c r="V51">
        <f>VLOOKUP(A51,CL!A$2:G$55,6,0)</f>
        <v>2769700</v>
      </c>
      <c r="W51">
        <f>VLOOKUP(A51,CMCSA!A$2:G$55,6,0)</f>
        <v>13539000</v>
      </c>
      <c r="X51">
        <f>VLOOKUP(A51,COF!A$2:G$55,6,0)</f>
        <v>3078700</v>
      </c>
      <c r="Y51">
        <f>VLOOKUP(A51,COP!A$2:G$55,6,0)</f>
        <v>6569200</v>
      </c>
      <c r="Z51">
        <f>VLOOKUP(A51,COST!A$2:G$55,6,0)</f>
        <v>1014900</v>
      </c>
      <c r="AA51">
        <f>VLOOKUP(A51,CSCO!A$2:G$55,6,0)</f>
        <v>15738500</v>
      </c>
      <c r="AB51">
        <f>VLOOKUP(A51,CVS!A$2:G$55,6,0)</f>
        <v>2751100</v>
      </c>
      <c r="AC51">
        <f>VLOOKUP(A51,CVX!A$2:G$55,6,0)</f>
        <v>10941800</v>
      </c>
      <c r="AD51">
        <f>VLOOKUP(A51,DD!A$2:G$55,6,0)</f>
        <v>2780000</v>
      </c>
      <c r="AE51">
        <f>VLOOKUP(A51,DIS!A$2:G$55,6,0)</f>
        <v>5053300</v>
      </c>
      <c r="AF51">
        <f>VLOOKUP(A51,DOW!A$2:G$55,6,0)</f>
        <v>7230800</v>
      </c>
      <c r="AG51">
        <f>VLOOKUP(A51,DVN!A$2:G$55,6,0)</f>
        <v>3478600</v>
      </c>
      <c r="AH51">
        <f>VLOOKUP(A51,EBAY!A$2:G$55,6,0)</f>
        <v>31000400</v>
      </c>
      <c r="AI51">
        <f>VLOOKUP(A51,EMC!A$2:G$55,6,0)</f>
        <v>14852000</v>
      </c>
      <c r="AJ51">
        <f>VLOOKUP(A51,EMR!A$2:G$55,6,0)</f>
        <v>2626300</v>
      </c>
      <c r="AK51">
        <f>VLOOKUP(A51,EXC!A$2:G$55,6,0)</f>
        <v>5686800</v>
      </c>
      <c r="AL51">
        <f>VLOOKUP(A51,F!A$2:G$55,6,0)</f>
        <v>16632200</v>
      </c>
      <c r="AM51">
        <f>VLOOKUP(A51,FB!A$2:G$55,6,0)</f>
        <v>29864000</v>
      </c>
      <c r="AN51">
        <f>VLOOKUP(A51,FCX!A$2:G$55,6,0)</f>
        <v>7824900</v>
      </c>
      <c r="AO51">
        <f>VLOOKUP(A51,FDX!A$2:G$55,6,0)</f>
        <v>993200</v>
      </c>
      <c r="AP51">
        <f>VLOOKUP(A51,FOXA!A$2:G$55,6,0)</f>
        <v>7408600</v>
      </c>
      <c r="AQ51">
        <f>VLOOKUP(A51,GD!A$2:G$55,6,0)</f>
        <v>1203000</v>
      </c>
      <c r="AR51">
        <f>VLOOKUP(A51,GE!A$2:G$55,6,0)</f>
        <v>19110000</v>
      </c>
      <c r="AS51">
        <f>VLOOKUP(A51,GILD!A$2:G$55,6,0)</f>
        <v>11246400</v>
      </c>
      <c r="AT51">
        <f>VLOOKUP(A51,GM!A$2:G$55,6,0)</f>
        <v>10471000</v>
      </c>
      <c r="AU51">
        <f>VLOOKUP(A51,GOOG!A$2:G$55,6,0)</f>
        <v>974700</v>
      </c>
      <c r="AV51">
        <f>VLOOKUP(A51,GOOGL!A$2:G$55,6,0)</f>
        <v>1160100</v>
      </c>
      <c r="AW51">
        <f>VLOOKUP(A51,GS!A$2:G$55,6,0)</f>
        <v>2457800</v>
      </c>
      <c r="AX51">
        <f>VLOOKUP(A51,HAL!A$2:G$55,6,0)</f>
        <v>6107500</v>
      </c>
      <c r="AY51">
        <f>VLOOKUP(A51,HD!A$2:G$55,6,0)</f>
        <v>6245400</v>
      </c>
      <c r="AZ51">
        <f>VLOOKUP(A51,HON!A$2:G$55,6,0)</f>
        <v>2497100</v>
      </c>
      <c r="BA51">
        <f>VLOOKUP(A51,HPQ!A$2:G$55,6,0)</f>
        <v>7857700</v>
      </c>
      <c r="BB51">
        <f>VLOOKUP(A51,IBM!A$2:G$55,6,0)</f>
        <v>2764000</v>
      </c>
      <c r="BC51">
        <f>VLOOKUP(A51,INTC!A$2:G$55,6,0)</f>
        <v>19964200</v>
      </c>
      <c r="BD51">
        <f>VLOOKUP(A51,JNJ!A$2:G$55,6,0)</f>
        <v>7402200</v>
      </c>
      <c r="BE51">
        <f>VLOOKUP(A51,JPM!A$2:G$55,6,0)</f>
        <v>9153800</v>
      </c>
      <c r="BF51">
        <f>VLOOKUP(A51,KO!A$2:G$55,6,0)</f>
        <v>17558000</v>
      </c>
      <c r="BG51">
        <f>VLOOKUP(A51,LLY!A$2:G$55,6,0)</f>
        <v>3893000</v>
      </c>
      <c r="BH51">
        <f>VLOOKUP(A51,LMT!A$2:G$55,6,0)</f>
        <v>2210500</v>
      </c>
      <c r="BI51">
        <f>VLOOKUP(A51,LOW!A$2:G$55,6,0)</f>
        <v>3265100</v>
      </c>
      <c r="BJ51">
        <f>VLOOKUP(A51,MA!A$2:G$55,6,0)</f>
        <v>4188000</v>
      </c>
      <c r="BK51">
        <f>VLOOKUP(A51,MCD!A$2:G$55,6,0)</f>
        <v>12031400</v>
      </c>
      <c r="BL51">
        <f>VLOOKUP(A51,MDLZ!A$2:G$55,6,0)</f>
        <v>3785800</v>
      </c>
      <c r="BM51">
        <f>VLOOKUP(A51,MDT!A$2:G$55,6,0)</f>
        <v>7495700</v>
      </c>
      <c r="BN51">
        <f>VLOOKUP(A51,MET!A$2:G$55,6,0)</f>
        <v>3207000</v>
      </c>
      <c r="BO51">
        <f>VLOOKUP(A51,MMM!A$2:G$55,6,0)</f>
        <v>1558800</v>
      </c>
      <c r="BP51">
        <f>VLOOKUP(A51,MO!A$2:G$55,6,0)</f>
        <v>8282400</v>
      </c>
      <c r="BQ51">
        <f>VLOOKUP(A51,MON!A$2:G$55,6,0)</f>
        <v>8916200</v>
      </c>
      <c r="BR51">
        <f>VLOOKUP(A51,MRK!A$2:G$55,6,0)</f>
        <v>9212800</v>
      </c>
      <c r="BS51">
        <f>VLOOKUP(A51,MS!A$2:G$55,6,0)</f>
        <v>6384100</v>
      </c>
      <c r="BT51">
        <f>VLOOKUP(A51,MSFT!A$2:G$55,6,0)</f>
        <v>27302400</v>
      </c>
      <c r="BU51">
        <f>VLOOKUP(A51,NKE!A$2:G$55,6,0)</f>
        <v>3371200</v>
      </c>
      <c r="BV51">
        <f>VLOOKUP(A51,NOV!A$2:G$55,6,0)</f>
        <v>4836700</v>
      </c>
      <c r="BW51">
        <f>VLOOKUP(A51,NSC!A$2:G$55,6,0)</f>
        <v>1485400</v>
      </c>
      <c r="BX51">
        <f>VLOOKUP(A51,ORCL!A$2:G$55,6,0)</f>
        <v>9134500</v>
      </c>
      <c r="BY51">
        <f>VLOOKUP(A51,OXY!A$2:G$55,6,0)</f>
        <v>3545700</v>
      </c>
      <c r="BZ51">
        <f>VLOOKUP(A51,PEP!A$2:G$55,6,0)</f>
        <v>3720500</v>
      </c>
      <c r="CA51">
        <f>VLOOKUP(A51,PFE!A$2:G$55,6,0)</f>
        <v>19421300</v>
      </c>
      <c r="CB51">
        <f>VLOOKUP(A51,PG!A$2:G$55,6,0)</f>
        <v>6715300</v>
      </c>
      <c r="CC51">
        <f>VLOOKUP(A51,PM!A$2:G$55,6,0)</f>
        <v>3433300</v>
      </c>
      <c r="CD51">
        <f>VLOOKUP(A51,QCOM!A$2:G$55,6,0)</f>
        <v>6523400</v>
      </c>
      <c r="CE51">
        <f>VLOOKUP(A51,RTN!A$2:G$55,6,0)</f>
        <v>3001400</v>
      </c>
      <c r="CF51">
        <f>VLOOKUP(A51,SBUX!A$2:G$55,6,0)</f>
        <v>2959300</v>
      </c>
      <c r="CG51">
        <f>VLOOKUP(A51,SLB!A$2:G$55,6,0)</f>
        <v>5709500</v>
      </c>
      <c r="CH51">
        <f>VLOOKUP(A51,SO!A$2:G$55,6,0)</f>
        <v>2939700</v>
      </c>
      <c r="CI51">
        <f>VLOOKUP(A51,SPG!A$2:G$55,6,0)</f>
        <v>1368900</v>
      </c>
      <c r="CJ51">
        <f>VLOOKUP(A51,T!A$2:G$55,6,0)</f>
        <v>17719800</v>
      </c>
      <c r="CK51">
        <f>VLOOKUP(A51,TGT!A$2:G$55,6,0)</f>
        <v>8664500</v>
      </c>
      <c r="CL51">
        <f>VLOOKUP(A51,TWX!A$2:G$55,6,0)</f>
        <v>3522000</v>
      </c>
      <c r="CM51">
        <f>VLOOKUP(A51,TXN!A$2:G$55,6,0)</f>
        <v>5503700</v>
      </c>
      <c r="CN51">
        <f>VLOOKUP(A51,UNH!A$2:G$55,6,0)</f>
        <v>3355800</v>
      </c>
      <c r="CO51">
        <f>VLOOKUP(A51,UNP!A$2:G$55,6,0)</f>
        <v>1696200</v>
      </c>
      <c r="CP51">
        <f>VLOOKUP(A51,UPS!A$2:G$55,6,0)</f>
        <v>1772500</v>
      </c>
      <c r="CQ51">
        <f>VLOOKUP(A51,USB!A$2:G$55,6,0)</f>
        <v>5184800</v>
      </c>
      <c r="CR51">
        <f>VLOOKUP(A51,UTX!A$2:G$55,6,0)</f>
        <v>2364600</v>
      </c>
      <c r="CS51">
        <f>VLOOKUP(A51,V!A$2:G$55,6,0)</f>
        <v>3161700</v>
      </c>
      <c r="CT51">
        <f>VLOOKUP(A51,VZ!A$2:G$55,6,0)</f>
        <v>14347900</v>
      </c>
      <c r="CU51">
        <f>VLOOKUP(A51,WAG!A$2:G$55,6,0)</f>
        <v>5923300</v>
      </c>
      <c r="CV51">
        <f>VLOOKUP(A51,WFC!A$2:G$55,6,0)</f>
        <v>11337500</v>
      </c>
      <c r="CW51">
        <f>VLOOKUP(A51,WMT!A$2:G$55,6,0)</f>
        <v>6659900</v>
      </c>
    </row>
    <row r="52" spans="1:101" x14ac:dyDescent="0.25">
      <c r="A52" s="34">
        <v>41893</v>
      </c>
      <c r="B52" s="36">
        <v>62353100</v>
      </c>
      <c r="C52">
        <f>VLOOKUP(A52,ABBV!A$2:G$55,6,0)</f>
        <v>9943900</v>
      </c>
      <c r="D52">
        <f>VLOOKUP(A52,ABT!A$2:G$55,6,0)</f>
        <v>7754900</v>
      </c>
      <c r="E52">
        <f>VLOOKUP(A52,ACN!A$2:G$55,6,0)</f>
        <v>1856200</v>
      </c>
      <c r="F52">
        <f>VLOOKUP(A52,AIG!A$2:G$55,6,0)</f>
        <v>4337300</v>
      </c>
      <c r="G52">
        <f>VLOOKUP(A52,ALL!A$2:G$55,6,0)</f>
        <v>1764800</v>
      </c>
      <c r="H52">
        <f>VLOOKUP(A52,AMGN!A$2:G$55,6,0)</f>
        <v>3620000</v>
      </c>
      <c r="I52">
        <f>VLOOKUP(A52,AMZN!A$2:G$55,6,0)</f>
        <v>2720200</v>
      </c>
      <c r="J52">
        <f>VLOOKUP(A52,APA!A$2:G$55,6,0)</f>
        <v>2088500</v>
      </c>
      <c r="K52">
        <f>VLOOKUP(A52,APC!A$2:G$55,6,0)</f>
        <v>2297400</v>
      </c>
      <c r="L52">
        <f>VLOOKUP(A52,AXP!A$2:G$55,6,0)</f>
        <v>2757000</v>
      </c>
      <c r="M52">
        <f>VLOOKUP(A52,BA!A$2:G$55,6,0)</f>
        <v>1988200</v>
      </c>
      <c r="N52">
        <f>VLOOKUP(A52,BAC!A$2:G$55,6,0)</f>
        <v>106598100</v>
      </c>
      <c r="O52">
        <f>VLOOKUP(A52,BAX!A$2:G$55,6,0)</f>
        <v>1841500</v>
      </c>
      <c r="P52">
        <f>VLOOKUP(A52,BIIB!A$2:G$55,6,0)</f>
        <v>925300</v>
      </c>
      <c r="Q52">
        <f>VLOOKUP(A52,BK!A$2:G$55,6,0)</f>
        <v>10345000</v>
      </c>
      <c r="R52">
        <f>VLOOKUP(A52,BMY!A$2:G$55,6,0)</f>
        <v>4095100</v>
      </c>
      <c r="T52">
        <f>VLOOKUP(A52,'C'!A$2:G$55,6,0)</f>
        <v>14084300</v>
      </c>
      <c r="U52">
        <f>VLOOKUP(A52,CAT!A$2:G$55,6,0)</f>
        <v>5460100</v>
      </c>
      <c r="V52">
        <f>VLOOKUP(A52,CL!A$2:G$55,6,0)</f>
        <v>3271900</v>
      </c>
      <c r="W52">
        <f>VLOOKUP(A52,CMCSA!A$2:G$55,6,0)</f>
        <v>9697000</v>
      </c>
      <c r="X52">
        <f>VLOOKUP(A52,COF!A$2:G$55,6,0)</f>
        <v>2129800</v>
      </c>
      <c r="Y52">
        <f>VLOOKUP(A52,COP!A$2:G$55,6,0)</f>
        <v>4310300</v>
      </c>
      <c r="Z52">
        <f>VLOOKUP(A52,COST!A$2:G$55,6,0)</f>
        <v>1511200</v>
      </c>
      <c r="AA52">
        <f>VLOOKUP(A52,CSCO!A$2:G$55,6,0)</f>
        <v>22105400</v>
      </c>
      <c r="AB52">
        <f>VLOOKUP(A52,CVS!A$2:G$55,6,0)</f>
        <v>3926300</v>
      </c>
      <c r="AC52">
        <f>VLOOKUP(A52,CVX!A$2:G$55,6,0)</f>
        <v>6569600</v>
      </c>
      <c r="AD52">
        <f>VLOOKUP(A52,DD!A$2:G$55,6,0)</f>
        <v>2327500</v>
      </c>
      <c r="AE52">
        <f>VLOOKUP(A52,DIS!A$2:G$55,6,0)</f>
        <v>4065500</v>
      </c>
      <c r="AF52">
        <f>VLOOKUP(A52,DOW!A$2:G$55,6,0)</f>
        <v>9608900</v>
      </c>
      <c r="AG52">
        <f>VLOOKUP(A52,DVN!A$2:G$55,6,0)</f>
        <v>2234800</v>
      </c>
      <c r="AH52">
        <f>VLOOKUP(A52,EBAY!A$2:G$55,6,0)</f>
        <v>16968200</v>
      </c>
      <c r="AI52">
        <f>VLOOKUP(A52,EMC!A$2:G$55,6,0)</f>
        <v>18247300</v>
      </c>
      <c r="AJ52">
        <f>VLOOKUP(A52,EMR!A$2:G$55,6,0)</f>
        <v>2734800</v>
      </c>
      <c r="AK52">
        <f>VLOOKUP(A52,EXC!A$2:G$55,6,0)</f>
        <v>4266900</v>
      </c>
      <c r="AL52">
        <f>VLOOKUP(A52,F!A$2:G$55,6,0)</f>
        <v>14658900</v>
      </c>
      <c r="AM52">
        <f>VLOOKUP(A52,FB!A$2:G$55,6,0)</f>
        <v>32219000</v>
      </c>
      <c r="AN52">
        <f>VLOOKUP(A52,FCX!A$2:G$55,6,0)</f>
        <v>6740500</v>
      </c>
      <c r="AO52">
        <f>VLOOKUP(A52,FDX!A$2:G$55,6,0)</f>
        <v>1029100</v>
      </c>
      <c r="AP52">
        <f>VLOOKUP(A52,FOXA!A$2:G$55,6,0)</f>
        <v>13305000</v>
      </c>
      <c r="AQ52">
        <f>VLOOKUP(A52,GD!A$2:G$55,6,0)</f>
        <v>1241800</v>
      </c>
      <c r="AR52">
        <f>VLOOKUP(A52,GE!A$2:G$55,6,0)</f>
        <v>22581000</v>
      </c>
      <c r="AS52">
        <f>VLOOKUP(A52,GILD!A$2:G$55,6,0)</f>
        <v>10470000</v>
      </c>
      <c r="AT52">
        <f>VLOOKUP(A52,GM!A$2:G$55,6,0)</f>
        <v>10120400</v>
      </c>
      <c r="AU52">
        <f>VLOOKUP(A52,GOOG!A$2:G$55,6,0)</f>
        <v>1217700</v>
      </c>
      <c r="AV52">
        <f>VLOOKUP(A52,GOOGL!A$2:G$55,6,0)</f>
        <v>1501400</v>
      </c>
      <c r="AW52">
        <f>VLOOKUP(A52,GS!A$2:G$55,6,0)</f>
        <v>1905300</v>
      </c>
      <c r="AX52">
        <f>VLOOKUP(A52,HAL!A$2:G$55,6,0)</f>
        <v>6588500</v>
      </c>
      <c r="AY52">
        <f>VLOOKUP(A52,HD!A$2:G$55,6,0)</f>
        <v>4537800</v>
      </c>
      <c r="AZ52">
        <f>VLOOKUP(A52,HON!A$2:G$55,6,0)</f>
        <v>1529900</v>
      </c>
      <c r="BA52">
        <f>VLOOKUP(A52,HPQ!A$2:G$55,6,0)</f>
        <v>8032700</v>
      </c>
      <c r="BB52">
        <f>VLOOKUP(A52,IBM!A$2:G$55,6,0)</f>
        <v>2298500</v>
      </c>
      <c r="BC52">
        <f>VLOOKUP(A52,INTC!A$2:G$55,6,0)</f>
        <v>21949000</v>
      </c>
      <c r="BD52">
        <f>VLOOKUP(A52,JNJ!A$2:G$55,6,0)</f>
        <v>4834100</v>
      </c>
      <c r="BE52">
        <f>VLOOKUP(A52,JPM!A$2:G$55,6,0)</f>
        <v>11467000</v>
      </c>
      <c r="BF52">
        <f>VLOOKUP(A52,KO!A$2:G$55,6,0)</f>
        <v>19614000</v>
      </c>
      <c r="BG52">
        <f>VLOOKUP(A52,LLY!A$2:G$55,6,0)</f>
        <v>3577000</v>
      </c>
      <c r="BH52">
        <f>VLOOKUP(A52,LMT!A$2:G$55,6,0)</f>
        <v>1299200</v>
      </c>
      <c r="BI52">
        <f>VLOOKUP(A52,LOW!A$2:G$55,6,0)</f>
        <v>6348500</v>
      </c>
      <c r="BJ52">
        <f>VLOOKUP(A52,MA!A$2:G$55,6,0)</f>
        <v>4673100</v>
      </c>
      <c r="BK52">
        <f>VLOOKUP(A52,MCD!A$2:G$55,6,0)</f>
        <v>5960100</v>
      </c>
      <c r="BL52">
        <f>VLOOKUP(A52,MDLZ!A$2:G$55,6,0)</f>
        <v>4768900</v>
      </c>
      <c r="BM52">
        <f>VLOOKUP(A52,MDT!A$2:G$55,6,0)</f>
        <v>5843500</v>
      </c>
      <c r="BN52">
        <f>VLOOKUP(A52,MET!A$2:G$55,6,0)</f>
        <v>3585900</v>
      </c>
      <c r="BO52">
        <f>VLOOKUP(A52,MMM!A$2:G$55,6,0)</f>
        <v>1465400</v>
      </c>
      <c r="BP52">
        <f>VLOOKUP(A52,MO!A$2:G$55,6,0)</f>
        <v>6328700</v>
      </c>
      <c r="BQ52">
        <f>VLOOKUP(A52,MON!A$2:G$55,6,0)</f>
        <v>3354000</v>
      </c>
      <c r="BR52">
        <f>VLOOKUP(A52,MRK!A$2:G$55,6,0)</f>
        <v>7785200</v>
      </c>
      <c r="BS52">
        <f>VLOOKUP(A52,MS!A$2:G$55,6,0)</f>
        <v>6794200</v>
      </c>
      <c r="BT52">
        <f>VLOOKUP(A52,MSFT!A$2:G$55,6,0)</f>
        <v>29216400</v>
      </c>
      <c r="BU52">
        <f>VLOOKUP(A52,NKE!A$2:G$55,6,0)</f>
        <v>3730200</v>
      </c>
      <c r="BV52">
        <f>VLOOKUP(A52,NOV!A$2:G$55,6,0)</f>
        <v>3131200</v>
      </c>
      <c r="BW52">
        <f>VLOOKUP(A52,NSC!A$2:G$55,6,0)</f>
        <v>888600</v>
      </c>
      <c r="BX52">
        <f>VLOOKUP(A52,ORCL!A$2:G$55,6,0)</f>
        <v>12389100</v>
      </c>
      <c r="BY52">
        <f>VLOOKUP(A52,OXY!A$2:G$55,6,0)</f>
        <v>3145000</v>
      </c>
      <c r="BZ52">
        <f>VLOOKUP(A52,PEP!A$2:G$55,6,0)</f>
        <v>3670600</v>
      </c>
      <c r="CA52">
        <f>VLOOKUP(A52,PFE!A$2:G$55,6,0)</f>
        <v>18622900</v>
      </c>
      <c r="CB52">
        <f>VLOOKUP(A52,PG!A$2:G$55,6,0)</f>
        <v>6341600</v>
      </c>
      <c r="CC52">
        <f>VLOOKUP(A52,PM!A$2:G$55,6,0)</f>
        <v>4369800</v>
      </c>
      <c r="CD52">
        <f>VLOOKUP(A52,QCOM!A$2:G$55,6,0)</f>
        <v>6898700</v>
      </c>
      <c r="CE52">
        <f>VLOOKUP(A52,RTN!A$2:G$55,6,0)</f>
        <v>2458900</v>
      </c>
      <c r="CF52">
        <f>VLOOKUP(A52,SBUX!A$2:G$55,6,0)</f>
        <v>4676700</v>
      </c>
      <c r="CG52">
        <f>VLOOKUP(A52,SLB!A$2:G$55,6,0)</f>
        <v>5823100</v>
      </c>
      <c r="CH52">
        <f>VLOOKUP(A52,SO!A$2:G$55,6,0)</f>
        <v>2844600</v>
      </c>
      <c r="CI52">
        <f>VLOOKUP(A52,SPG!A$2:G$55,6,0)</f>
        <v>1193500</v>
      </c>
      <c r="CJ52">
        <f>VLOOKUP(A52,T!A$2:G$55,6,0)</f>
        <v>16024800</v>
      </c>
      <c r="CK52">
        <f>VLOOKUP(A52,TGT!A$2:G$55,6,0)</f>
        <v>5599800</v>
      </c>
      <c r="CL52">
        <f>VLOOKUP(A52,TWX!A$2:G$55,6,0)</f>
        <v>4417600</v>
      </c>
      <c r="CM52">
        <f>VLOOKUP(A52,TXN!A$2:G$55,6,0)</f>
        <v>3165900</v>
      </c>
      <c r="CN52">
        <f>VLOOKUP(A52,UNH!A$2:G$55,6,0)</f>
        <v>3034500</v>
      </c>
      <c r="CO52">
        <f>VLOOKUP(A52,UNP!A$2:G$55,6,0)</f>
        <v>1640800</v>
      </c>
      <c r="CP52">
        <f>VLOOKUP(A52,UPS!A$2:G$55,6,0)</f>
        <v>2088800</v>
      </c>
      <c r="CQ52">
        <f>VLOOKUP(A52,USB!A$2:G$55,6,0)</f>
        <v>4235600</v>
      </c>
      <c r="CR52">
        <f>VLOOKUP(A52,UTX!A$2:G$55,6,0)</f>
        <v>2270600</v>
      </c>
      <c r="CS52">
        <f>VLOOKUP(A52,V!A$2:G$55,6,0)</f>
        <v>2215300</v>
      </c>
      <c r="CT52">
        <f>VLOOKUP(A52,VZ!A$2:G$55,6,0)</f>
        <v>13193800</v>
      </c>
      <c r="CU52">
        <f>VLOOKUP(A52,WAG!A$2:G$55,6,0)</f>
        <v>3143100</v>
      </c>
      <c r="CV52">
        <f>VLOOKUP(A52,WFC!A$2:G$55,6,0)</f>
        <v>8981900</v>
      </c>
      <c r="CW52">
        <f>VLOOKUP(A52,WMT!A$2:G$55,6,0)</f>
        <v>4953300</v>
      </c>
    </row>
    <row r="53" spans="1:101" x14ac:dyDescent="0.25">
      <c r="A53" s="34">
        <v>41894</v>
      </c>
      <c r="B53" s="36">
        <v>62626100</v>
      </c>
      <c r="C53">
        <f>VLOOKUP(A53,ABBV!A$2:G$55,6,0)</f>
        <v>15556200</v>
      </c>
      <c r="D53">
        <f>VLOOKUP(A53,ABT!A$2:G$55,6,0)</f>
        <v>4259600</v>
      </c>
      <c r="E53">
        <f>VLOOKUP(A53,ACN!A$2:G$55,6,0)</f>
        <v>2801800</v>
      </c>
      <c r="F53">
        <f>VLOOKUP(A53,AIG!A$2:G$55,6,0)</f>
        <v>5654300</v>
      </c>
      <c r="G53">
        <f>VLOOKUP(A53,ALL!A$2:G$55,6,0)</f>
        <v>2215700</v>
      </c>
      <c r="H53">
        <f>VLOOKUP(A53,AMGN!A$2:G$55,6,0)</f>
        <v>2329700</v>
      </c>
      <c r="I53">
        <f>VLOOKUP(A53,AMZN!A$2:G$55,6,0)</f>
        <v>3429300</v>
      </c>
      <c r="J53">
        <f>VLOOKUP(A53,APA!A$2:G$55,6,0)</f>
        <v>1621600</v>
      </c>
      <c r="K53">
        <f>VLOOKUP(A53,APC!A$2:G$55,6,0)</f>
        <v>3061900</v>
      </c>
      <c r="L53">
        <f>VLOOKUP(A53,AXP!A$2:G$55,6,0)</f>
        <v>4724500</v>
      </c>
      <c r="M53">
        <f>VLOOKUP(A53,BA!A$2:G$55,6,0)</f>
        <v>3107300</v>
      </c>
      <c r="N53">
        <f>VLOOKUP(A53,BAC!A$2:G$55,6,0)</f>
        <v>117118300</v>
      </c>
      <c r="O53">
        <f>VLOOKUP(A53,BAX!A$2:G$55,6,0)</f>
        <v>2111700</v>
      </c>
      <c r="P53">
        <f>VLOOKUP(A53,BIIB!A$2:G$55,6,0)</f>
        <v>802500</v>
      </c>
      <c r="Q53">
        <f>VLOOKUP(A53,BK!A$2:G$55,6,0)</f>
        <v>7545600</v>
      </c>
      <c r="R53">
        <f>VLOOKUP(A53,BMY!A$2:G$55,6,0)</f>
        <v>4004300</v>
      </c>
      <c r="T53">
        <f>VLOOKUP(A53,'C'!A$2:G$55,6,0)</f>
        <v>18329200</v>
      </c>
      <c r="U53">
        <f>VLOOKUP(A53,CAT!A$2:G$55,6,0)</f>
        <v>6904200</v>
      </c>
      <c r="V53">
        <f>VLOOKUP(A53,CL!A$2:G$55,6,0)</f>
        <v>3230400</v>
      </c>
      <c r="W53">
        <f>VLOOKUP(A53,CMCSA!A$2:G$55,6,0)</f>
        <v>11287800</v>
      </c>
      <c r="X53">
        <f>VLOOKUP(A53,COF!A$2:G$55,6,0)</f>
        <v>2949600</v>
      </c>
      <c r="Y53">
        <f>VLOOKUP(A53,COP!A$2:G$55,6,0)</f>
        <v>3950800</v>
      </c>
      <c r="Z53">
        <f>VLOOKUP(A53,COST!A$2:G$55,6,0)</f>
        <v>1598300</v>
      </c>
      <c r="AA53">
        <f>VLOOKUP(A53,CSCO!A$2:G$55,6,0)</f>
        <v>33197300</v>
      </c>
      <c r="AB53">
        <f>VLOOKUP(A53,CVS!A$2:G$55,6,0)</f>
        <v>2867800</v>
      </c>
      <c r="AC53">
        <f>VLOOKUP(A53,CVX!A$2:G$55,6,0)</f>
        <v>4915600</v>
      </c>
      <c r="AD53">
        <f>VLOOKUP(A53,DD!A$2:G$55,6,0)</f>
        <v>3193400</v>
      </c>
      <c r="AE53">
        <f>VLOOKUP(A53,DIS!A$2:G$55,6,0)</f>
        <v>3870200</v>
      </c>
      <c r="AF53">
        <f>VLOOKUP(A53,DOW!A$2:G$55,6,0)</f>
        <v>7772100</v>
      </c>
      <c r="AG53">
        <f>VLOOKUP(A53,DVN!A$2:G$55,6,0)</f>
        <v>3610600</v>
      </c>
      <c r="AH53">
        <f>VLOOKUP(A53,EBAY!A$2:G$55,6,0)</f>
        <v>42357000</v>
      </c>
      <c r="AI53">
        <f>VLOOKUP(A53,EMC!A$2:G$55,6,0)</f>
        <v>16326600</v>
      </c>
      <c r="AJ53">
        <f>VLOOKUP(A53,EMR!A$2:G$55,6,0)</f>
        <v>3030400</v>
      </c>
      <c r="AK53">
        <f>VLOOKUP(A53,EXC!A$2:G$55,6,0)</f>
        <v>5154600</v>
      </c>
      <c r="AL53">
        <f>VLOOKUP(A53,F!A$2:G$55,6,0)</f>
        <v>16470100</v>
      </c>
      <c r="AM53">
        <f>VLOOKUP(A53,FB!A$2:G$55,6,0)</f>
        <v>26676800</v>
      </c>
      <c r="AN53">
        <f>VLOOKUP(A53,FCX!A$2:G$55,6,0)</f>
        <v>6336800</v>
      </c>
      <c r="AO53">
        <f>VLOOKUP(A53,FDX!A$2:G$55,6,0)</f>
        <v>1564600</v>
      </c>
      <c r="AP53">
        <f>VLOOKUP(A53,FOXA!A$2:G$55,6,0)</f>
        <v>12086700</v>
      </c>
      <c r="AQ53">
        <f>VLOOKUP(A53,GD!A$2:G$55,6,0)</f>
        <v>1027200</v>
      </c>
      <c r="AR53">
        <f>VLOOKUP(A53,GE!A$2:G$55,6,0)</f>
        <v>24639200</v>
      </c>
      <c r="AS53">
        <f>VLOOKUP(A53,GILD!A$2:G$55,6,0)</f>
        <v>15843400</v>
      </c>
      <c r="AT53">
        <f>VLOOKUP(A53,GM!A$2:G$55,6,0)</f>
        <v>11077900</v>
      </c>
      <c r="AU53">
        <f>VLOOKUP(A53,GOOG!A$2:G$55,6,0)</f>
        <v>1597300</v>
      </c>
      <c r="AV53">
        <f>VLOOKUP(A53,GOOGL!A$2:G$55,6,0)</f>
        <v>1851500</v>
      </c>
      <c r="AW53">
        <f>VLOOKUP(A53,GS!A$2:G$55,6,0)</f>
        <v>3358600</v>
      </c>
      <c r="AX53">
        <f>VLOOKUP(A53,HAL!A$2:G$55,6,0)</f>
        <v>6321200</v>
      </c>
      <c r="AY53">
        <f>VLOOKUP(A53,HD!A$2:G$55,6,0)</f>
        <v>4593700</v>
      </c>
      <c r="AZ53">
        <f>VLOOKUP(A53,HON!A$2:G$55,6,0)</f>
        <v>3024500</v>
      </c>
      <c r="BA53">
        <f>VLOOKUP(A53,HPQ!A$2:G$55,6,0)</f>
        <v>7634100</v>
      </c>
      <c r="BB53">
        <f>VLOOKUP(A53,IBM!A$2:G$55,6,0)</f>
        <v>2901000</v>
      </c>
      <c r="BC53">
        <f>VLOOKUP(A53,INTC!A$2:G$55,6,0)</f>
        <v>26732600</v>
      </c>
      <c r="BD53">
        <f>VLOOKUP(A53,JNJ!A$2:G$55,6,0)</f>
        <v>5929200</v>
      </c>
      <c r="BE53">
        <f>VLOOKUP(A53,JPM!A$2:G$55,6,0)</f>
        <v>14359100</v>
      </c>
      <c r="BF53">
        <f>VLOOKUP(A53,KO!A$2:G$55,6,0)</f>
        <v>12979900</v>
      </c>
      <c r="BG53">
        <f>VLOOKUP(A53,LLY!A$2:G$55,6,0)</f>
        <v>5376800</v>
      </c>
      <c r="BH53">
        <f>VLOOKUP(A53,LMT!A$2:G$55,6,0)</f>
        <v>759400</v>
      </c>
      <c r="BI53">
        <f>VLOOKUP(A53,LOW!A$2:G$55,6,0)</f>
        <v>5443500</v>
      </c>
      <c r="BJ53">
        <f>VLOOKUP(A53,MA!A$2:G$55,6,0)</f>
        <v>4239500</v>
      </c>
      <c r="BK53">
        <f>VLOOKUP(A53,MCD!A$2:G$55,6,0)</f>
        <v>8033100</v>
      </c>
      <c r="BL53">
        <f>VLOOKUP(A53,MDLZ!A$2:G$55,6,0)</f>
        <v>5546900</v>
      </c>
      <c r="BM53">
        <f>VLOOKUP(A53,MDT!A$2:G$55,6,0)</f>
        <v>5008300</v>
      </c>
      <c r="BN53">
        <f>VLOOKUP(A53,MET!A$2:G$55,6,0)</f>
        <v>6311400</v>
      </c>
      <c r="BO53">
        <f>VLOOKUP(A53,MMM!A$2:G$55,6,0)</f>
        <v>2135400</v>
      </c>
      <c r="BP53">
        <f>VLOOKUP(A53,MO!A$2:G$55,6,0)</f>
        <v>7327700</v>
      </c>
      <c r="BQ53">
        <f>VLOOKUP(A53,MON!A$2:G$55,6,0)</f>
        <v>2648200</v>
      </c>
      <c r="BR53">
        <f>VLOOKUP(A53,MRK!A$2:G$55,6,0)</f>
        <v>7021800</v>
      </c>
      <c r="BS53">
        <f>VLOOKUP(A53,MS!A$2:G$55,6,0)</f>
        <v>10199400</v>
      </c>
      <c r="BT53">
        <f>VLOOKUP(A53,MSFT!A$2:G$55,6,0)</f>
        <v>38244700</v>
      </c>
      <c r="BU53">
        <f>VLOOKUP(A53,NKE!A$2:G$55,6,0)</f>
        <v>2963100</v>
      </c>
      <c r="BV53">
        <f>VLOOKUP(A53,NOV!A$2:G$55,6,0)</f>
        <v>3220100</v>
      </c>
      <c r="BW53">
        <f>VLOOKUP(A53,NSC!A$2:G$55,6,0)</f>
        <v>867300</v>
      </c>
      <c r="BX53">
        <f>VLOOKUP(A53,ORCL!A$2:G$55,6,0)</f>
        <v>11912300</v>
      </c>
      <c r="BY53">
        <f>VLOOKUP(A53,OXY!A$2:G$55,6,0)</f>
        <v>2903700</v>
      </c>
      <c r="BZ53">
        <f>VLOOKUP(A53,PEP!A$2:G$55,6,0)</f>
        <v>3587700</v>
      </c>
      <c r="CA53">
        <f>VLOOKUP(A53,PFE!A$2:G$55,6,0)</f>
        <v>18204700</v>
      </c>
      <c r="CB53">
        <f>VLOOKUP(A53,PG!A$2:G$55,6,0)</f>
        <v>6358500</v>
      </c>
      <c r="CC53">
        <f>VLOOKUP(A53,PM!A$2:G$55,6,0)</f>
        <v>3585700</v>
      </c>
      <c r="CD53">
        <f>VLOOKUP(A53,QCOM!A$2:G$55,6,0)</f>
        <v>8309300</v>
      </c>
      <c r="CE53">
        <f>VLOOKUP(A53,RTN!A$2:G$55,6,0)</f>
        <v>1563200</v>
      </c>
      <c r="CF53">
        <f>VLOOKUP(A53,SBUX!A$2:G$55,6,0)</f>
        <v>7307400</v>
      </c>
      <c r="CG53">
        <f>VLOOKUP(A53,SLB!A$2:G$55,6,0)</f>
        <v>7383100</v>
      </c>
      <c r="CH53">
        <f>VLOOKUP(A53,SO!A$2:G$55,6,0)</f>
        <v>4234500</v>
      </c>
      <c r="CI53">
        <f>VLOOKUP(A53,SPG!A$2:G$55,6,0)</f>
        <v>2819600</v>
      </c>
      <c r="CJ53">
        <f>VLOOKUP(A53,T!A$2:G$55,6,0)</f>
        <v>20210100</v>
      </c>
      <c r="CK53">
        <f>VLOOKUP(A53,TGT!A$2:G$55,6,0)</f>
        <v>4427400</v>
      </c>
      <c r="CL53">
        <f>VLOOKUP(A53,TWX!A$2:G$55,6,0)</f>
        <v>3873500</v>
      </c>
      <c r="CM53">
        <f>VLOOKUP(A53,TXN!A$2:G$55,6,0)</f>
        <v>4838300</v>
      </c>
      <c r="CN53">
        <f>VLOOKUP(A53,UNH!A$2:G$55,6,0)</f>
        <v>2582400</v>
      </c>
      <c r="CO53">
        <f>VLOOKUP(A53,UNP!A$2:G$55,6,0)</f>
        <v>2091900</v>
      </c>
      <c r="CP53">
        <f>VLOOKUP(A53,UPS!A$2:G$55,6,0)</f>
        <v>2650900</v>
      </c>
      <c r="CQ53">
        <f>VLOOKUP(A53,USB!A$2:G$55,6,0)</f>
        <v>7803200</v>
      </c>
      <c r="CR53">
        <f>VLOOKUP(A53,UTX!A$2:G$55,6,0)</f>
        <v>2920400</v>
      </c>
      <c r="CS53">
        <f>VLOOKUP(A53,V!A$2:G$55,6,0)</f>
        <v>2177700</v>
      </c>
      <c r="CT53">
        <f>VLOOKUP(A53,VZ!A$2:G$55,6,0)</f>
        <v>15339200</v>
      </c>
      <c r="CU53">
        <f>VLOOKUP(A53,WAG!A$2:G$55,6,0)</f>
        <v>4728400</v>
      </c>
      <c r="CV53">
        <f>VLOOKUP(A53,WFC!A$2:G$55,6,0)</f>
        <v>12523700</v>
      </c>
      <c r="CW53">
        <f>VLOOKUP(A53,WMT!A$2:G$55,6,0)</f>
        <v>5652300</v>
      </c>
    </row>
    <row r="54" spans="1:101" x14ac:dyDescent="0.25">
      <c r="A54" s="34">
        <v>41897</v>
      </c>
      <c r="B54" s="36">
        <v>61216500</v>
      </c>
      <c r="C54">
        <f>VLOOKUP(A54,ABBV!A$2:G$55,6,0)</f>
        <v>8632700</v>
      </c>
      <c r="D54">
        <f>VLOOKUP(A54,ABT!A$2:G$55,6,0)</f>
        <v>3067500</v>
      </c>
      <c r="E54">
        <f>VLOOKUP(A54,ACN!A$2:G$55,6,0)</f>
        <v>1949200</v>
      </c>
      <c r="F54">
        <f>VLOOKUP(A54,AIG!A$2:G$55,6,0)</f>
        <v>5698300</v>
      </c>
      <c r="G54">
        <f>VLOOKUP(A54,ALL!A$2:G$55,6,0)</f>
        <v>2063000</v>
      </c>
      <c r="H54">
        <f>VLOOKUP(A54,AMGN!A$2:G$55,6,0)</f>
        <v>2174500</v>
      </c>
      <c r="I54">
        <f>VLOOKUP(A54,AMZN!A$2:G$55,6,0)</f>
        <v>4000400</v>
      </c>
      <c r="J54">
        <f>VLOOKUP(A54,APA!A$2:G$55,6,0)</f>
        <v>1858900</v>
      </c>
      <c r="K54">
        <f>VLOOKUP(A54,APC!A$2:G$55,6,0)</f>
        <v>2408400</v>
      </c>
      <c r="L54">
        <f>VLOOKUP(A54,AXP!A$2:G$55,6,0)</f>
        <v>3983800</v>
      </c>
      <c r="M54">
        <f>VLOOKUP(A54,BA!A$2:G$55,6,0)</f>
        <v>3261700</v>
      </c>
      <c r="N54">
        <f>VLOOKUP(A54,BAC!A$2:G$55,6,0)</f>
        <v>87306900</v>
      </c>
      <c r="O54">
        <f>VLOOKUP(A54,BAX!A$2:G$55,6,0)</f>
        <v>1614300</v>
      </c>
      <c r="P54">
        <f>VLOOKUP(A54,BIIB!A$2:G$55,6,0)</f>
        <v>1062800</v>
      </c>
      <c r="Q54">
        <f>VLOOKUP(A54,BK!A$2:G$55,6,0)</f>
        <v>5870500</v>
      </c>
      <c r="R54">
        <f>VLOOKUP(A54,BMY!A$2:G$55,6,0)</f>
        <v>3895500</v>
      </c>
      <c r="T54">
        <f>VLOOKUP(A54,'C'!A$2:G$55,6,0)</f>
        <v>12805700</v>
      </c>
      <c r="U54">
        <f>VLOOKUP(A54,CAT!A$2:G$55,6,0)</f>
        <v>7051900</v>
      </c>
      <c r="V54">
        <f>VLOOKUP(A54,CL!A$2:G$55,6,0)</f>
        <v>3135900</v>
      </c>
      <c r="W54">
        <f>VLOOKUP(A54,CMCSA!A$2:G$55,6,0)</f>
        <v>13048100</v>
      </c>
      <c r="X54">
        <f>VLOOKUP(A54,COF!A$2:G$55,6,0)</f>
        <v>3621100</v>
      </c>
      <c r="Y54">
        <f>VLOOKUP(A54,COP!A$2:G$55,6,0)</f>
        <v>3919800</v>
      </c>
      <c r="Z54">
        <f>VLOOKUP(A54,COST!A$2:G$55,6,0)</f>
        <v>1615300</v>
      </c>
      <c r="AA54">
        <f>VLOOKUP(A54,CSCO!A$2:G$55,6,0)</f>
        <v>33411400</v>
      </c>
      <c r="AB54">
        <f>VLOOKUP(A54,CVS!A$2:G$55,6,0)</f>
        <v>4369500</v>
      </c>
      <c r="AC54">
        <f>VLOOKUP(A54,CVX!A$2:G$55,6,0)</f>
        <v>5437600</v>
      </c>
      <c r="AD54">
        <f>VLOOKUP(A54,DD!A$2:G$55,6,0)</f>
        <v>2992000</v>
      </c>
      <c r="AE54">
        <f>VLOOKUP(A54,DIS!A$2:G$55,6,0)</f>
        <v>4881800</v>
      </c>
      <c r="AF54">
        <f>VLOOKUP(A54,DOW!A$2:G$55,6,0)</f>
        <v>6778300</v>
      </c>
      <c r="AG54">
        <f>VLOOKUP(A54,DVN!A$2:G$55,6,0)</f>
        <v>2136800</v>
      </c>
      <c r="AH54">
        <f>VLOOKUP(A54,EBAY!A$2:G$55,6,0)</f>
        <v>12751900</v>
      </c>
      <c r="AI54">
        <f>VLOOKUP(A54,EMC!A$2:G$55,6,0)</f>
        <v>16749800</v>
      </c>
      <c r="AJ54">
        <f>VLOOKUP(A54,EMR!A$2:G$55,6,0)</f>
        <v>2134100</v>
      </c>
      <c r="AK54">
        <f>VLOOKUP(A54,EXC!A$2:G$55,6,0)</f>
        <v>4612300</v>
      </c>
      <c r="AL54">
        <f>VLOOKUP(A54,F!A$2:G$55,6,0)</f>
        <v>23630500</v>
      </c>
      <c r="AM54">
        <f>VLOOKUP(A54,FB!A$2:G$55,6,0)</f>
        <v>49576900</v>
      </c>
      <c r="AN54">
        <f>VLOOKUP(A54,FCX!A$2:G$55,6,0)</f>
        <v>4811400</v>
      </c>
      <c r="AO54">
        <f>VLOOKUP(A54,FDX!A$2:G$55,6,0)</f>
        <v>1684600</v>
      </c>
      <c r="AP54">
        <f>VLOOKUP(A54,FOXA!A$2:G$55,6,0)</f>
        <v>9915300</v>
      </c>
      <c r="AQ54">
        <f>VLOOKUP(A54,GD!A$2:G$55,6,0)</f>
        <v>1099300</v>
      </c>
      <c r="AR54">
        <f>VLOOKUP(A54,GE!A$2:G$55,6,0)</f>
        <v>15347200</v>
      </c>
      <c r="AS54">
        <f>VLOOKUP(A54,GILD!A$2:G$55,6,0)</f>
        <v>18137800</v>
      </c>
      <c r="AT54">
        <f>VLOOKUP(A54,GM!A$2:G$55,6,0)</f>
        <v>12509900</v>
      </c>
      <c r="AU54">
        <f>VLOOKUP(A54,GOOG!A$2:G$55,6,0)</f>
        <v>1593200</v>
      </c>
      <c r="AV54">
        <f>VLOOKUP(A54,GOOGL!A$2:G$55,6,0)</f>
        <v>1545400</v>
      </c>
      <c r="AW54">
        <f>VLOOKUP(A54,GS!A$2:G$55,6,0)</f>
        <v>2308000</v>
      </c>
      <c r="AX54">
        <f>VLOOKUP(A54,HAL!A$2:G$55,6,0)</f>
        <v>5987700</v>
      </c>
      <c r="AY54">
        <f>VLOOKUP(A54,HD!A$2:G$55,6,0)</f>
        <v>3935000</v>
      </c>
      <c r="AZ54">
        <f>VLOOKUP(A54,HON!A$2:G$55,6,0)</f>
        <v>2711600</v>
      </c>
      <c r="BA54">
        <f>VLOOKUP(A54,HPQ!A$2:G$55,6,0)</f>
        <v>7274300</v>
      </c>
      <c r="BB54">
        <f>VLOOKUP(A54,IBM!A$2:G$55,6,0)</f>
        <v>2456400</v>
      </c>
      <c r="BC54">
        <f>VLOOKUP(A54,INTC!A$2:G$55,6,0)</f>
        <v>22438000</v>
      </c>
      <c r="BD54">
        <f>VLOOKUP(A54,JNJ!A$2:G$55,6,0)</f>
        <v>4525500</v>
      </c>
      <c r="BE54">
        <f>VLOOKUP(A54,JPM!A$2:G$55,6,0)</f>
        <v>10675500</v>
      </c>
      <c r="BF54">
        <f>VLOOKUP(A54,KO!A$2:G$55,6,0)</f>
        <v>12259600</v>
      </c>
      <c r="BG54">
        <f>VLOOKUP(A54,LLY!A$2:G$55,6,0)</f>
        <v>2720900</v>
      </c>
      <c r="BH54">
        <f>VLOOKUP(A54,LMT!A$2:G$55,6,0)</f>
        <v>678500</v>
      </c>
      <c r="BI54">
        <f>VLOOKUP(A54,LOW!A$2:G$55,6,0)</f>
        <v>4418200</v>
      </c>
      <c r="BJ54">
        <f>VLOOKUP(A54,MA!A$2:G$55,6,0)</f>
        <v>4046800</v>
      </c>
      <c r="BK54">
        <f>VLOOKUP(A54,MCD!A$2:G$55,6,0)</f>
        <v>6255000</v>
      </c>
      <c r="BL54">
        <f>VLOOKUP(A54,MDLZ!A$2:G$55,6,0)</f>
        <v>4355000</v>
      </c>
      <c r="BM54">
        <f>VLOOKUP(A54,MDT!A$2:G$55,6,0)</f>
        <v>3721700</v>
      </c>
      <c r="BN54">
        <f>VLOOKUP(A54,MET!A$2:G$55,6,0)</f>
        <v>3959500</v>
      </c>
      <c r="BO54">
        <f>VLOOKUP(A54,MMM!A$2:G$55,6,0)</f>
        <v>1868000</v>
      </c>
      <c r="BP54">
        <f>VLOOKUP(A54,MO!A$2:G$55,6,0)</f>
        <v>11428100</v>
      </c>
      <c r="BQ54">
        <f>VLOOKUP(A54,MON!A$2:G$55,6,0)</f>
        <v>2895300</v>
      </c>
      <c r="BR54">
        <f>VLOOKUP(A54,MRK!A$2:G$55,6,0)</f>
        <v>7738900</v>
      </c>
      <c r="BS54">
        <f>VLOOKUP(A54,MS!A$2:G$55,6,0)</f>
        <v>9563400</v>
      </c>
      <c r="BT54">
        <f>VLOOKUP(A54,MSFT!A$2:G$55,6,0)</f>
        <v>37630700</v>
      </c>
      <c r="BU54">
        <f>VLOOKUP(A54,NKE!A$2:G$55,6,0)</f>
        <v>3364500</v>
      </c>
      <c r="BV54">
        <f>VLOOKUP(A54,NOV!A$2:G$55,6,0)</f>
        <v>2816000</v>
      </c>
      <c r="BW54">
        <f>VLOOKUP(A54,NSC!A$2:G$55,6,0)</f>
        <v>889200</v>
      </c>
      <c r="BX54">
        <f>VLOOKUP(A54,ORCL!A$2:G$55,6,0)</f>
        <v>14018100</v>
      </c>
      <c r="BY54">
        <f>VLOOKUP(A54,OXY!A$2:G$55,6,0)</f>
        <v>4380000</v>
      </c>
      <c r="BZ54">
        <f>VLOOKUP(A54,PEP!A$2:G$55,6,0)</f>
        <v>3770700</v>
      </c>
      <c r="CA54">
        <f>VLOOKUP(A54,PFE!A$2:G$55,6,0)</f>
        <v>24257900</v>
      </c>
      <c r="CB54">
        <f>VLOOKUP(A54,PG!A$2:G$55,6,0)</f>
        <v>7004700</v>
      </c>
      <c r="CC54">
        <f>VLOOKUP(A54,PM!A$2:G$55,6,0)</f>
        <v>3947100</v>
      </c>
      <c r="CD54">
        <f>VLOOKUP(A54,QCOM!A$2:G$55,6,0)</f>
        <v>6637300</v>
      </c>
      <c r="CE54">
        <f>VLOOKUP(A54,RTN!A$2:G$55,6,0)</f>
        <v>1935800</v>
      </c>
      <c r="CF54">
        <f>VLOOKUP(A54,SBUX!A$2:G$55,6,0)</f>
        <v>5412800</v>
      </c>
      <c r="CG54">
        <f>VLOOKUP(A54,SLB!A$2:G$55,6,0)</f>
        <v>5737800</v>
      </c>
      <c r="CH54">
        <f>VLOOKUP(A54,SO!A$2:G$55,6,0)</f>
        <v>3919700</v>
      </c>
      <c r="CI54">
        <f>VLOOKUP(A54,SPG!A$2:G$55,6,0)</f>
        <v>1538200</v>
      </c>
      <c r="CJ54">
        <f>VLOOKUP(A54,T!A$2:G$55,6,0)</f>
        <v>14674800</v>
      </c>
      <c r="CK54">
        <f>VLOOKUP(A54,TGT!A$2:G$55,6,0)</f>
        <v>3694100</v>
      </c>
      <c r="CL54">
        <f>VLOOKUP(A54,TWX!A$2:G$55,6,0)</f>
        <v>3023200</v>
      </c>
      <c r="CM54">
        <f>VLOOKUP(A54,TXN!A$2:G$55,6,0)</f>
        <v>3238700</v>
      </c>
      <c r="CN54">
        <f>VLOOKUP(A54,UNH!A$2:G$55,6,0)</f>
        <v>2441800</v>
      </c>
      <c r="CO54">
        <f>VLOOKUP(A54,UNP!A$2:G$55,6,0)</f>
        <v>2925000</v>
      </c>
      <c r="CP54">
        <f>VLOOKUP(A54,UPS!A$2:G$55,6,0)</f>
        <v>2296200</v>
      </c>
      <c r="CQ54">
        <f>VLOOKUP(A54,USB!A$2:G$55,6,0)</f>
        <v>5015100</v>
      </c>
      <c r="CR54">
        <f>VLOOKUP(A54,UTX!A$2:G$55,6,0)</f>
        <v>2515000</v>
      </c>
      <c r="CS54">
        <f>VLOOKUP(A54,V!A$2:G$55,6,0)</f>
        <v>1759200</v>
      </c>
      <c r="CT54">
        <f>VLOOKUP(A54,VZ!A$2:G$55,6,0)</f>
        <v>12437900</v>
      </c>
      <c r="CU54">
        <f>VLOOKUP(A54,WAG!A$2:G$55,6,0)</f>
        <v>3711200</v>
      </c>
      <c r="CV54">
        <f>VLOOKUP(A54,WFC!A$2:G$55,6,0)</f>
        <v>10175500</v>
      </c>
      <c r="CW54">
        <f>VLOOKUP(A54,WMT!A$2:G$55,6,0)</f>
        <v>3717900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54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35</v>
      </c>
      <c r="C1" t="s">
        <v>222</v>
      </c>
      <c r="D1" t="s">
        <v>41</v>
      </c>
      <c r="E1" t="s">
        <v>42</v>
      </c>
      <c r="F1" t="s">
        <v>223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219</v>
      </c>
      <c r="Q1" t="s">
        <v>52</v>
      </c>
      <c r="R1" t="s">
        <v>53</v>
      </c>
      <c r="S1" t="s">
        <v>142</v>
      </c>
      <c r="T1" t="s">
        <v>34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224</v>
      </c>
      <c r="AN1" t="s">
        <v>72</v>
      </c>
      <c r="AO1" t="s">
        <v>73</v>
      </c>
      <c r="AP1" t="s">
        <v>225</v>
      </c>
      <c r="AQ1" t="s">
        <v>74</v>
      </c>
      <c r="AR1" t="s">
        <v>75</v>
      </c>
      <c r="AS1" t="s">
        <v>76</v>
      </c>
      <c r="AT1" t="s">
        <v>226</v>
      </c>
      <c r="AU1" t="s">
        <v>77</v>
      </c>
      <c r="AV1" t="s">
        <v>227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83</v>
      </c>
      <c r="BC1" t="s">
        <v>84</v>
      </c>
      <c r="BD1" t="s">
        <v>85</v>
      </c>
      <c r="BE1" t="s">
        <v>86</v>
      </c>
      <c r="BF1" t="s">
        <v>87</v>
      </c>
      <c r="BG1" t="s">
        <v>88</v>
      </c>
      <c r="BH1" t="s">
        <v>89</v>
      </c>
      <c r="BI1" t="s">
        <v>90</v>
      </c>
      <c r="BJ1" t="s">
        <v>91</v>
      </c>
      <c r="BK1" t="s">
        <v>92</v>
      </c>
      <c r="BL1" t="s">
        <v>93</v>
      </c>
      <c r="BM1" t="s">
        <v>94</v>
      </c>
      <c r="BN1" t="s">
        <v>95</v>
      </c>
      <c r="BO1" t="s">
        <v>96</v>
      </c>
      <c r="BP1" t="s">
        <v>97</v>
      </c>
      <c r="BQ1" t="s">
        <v>98</v>
      </c>
      <c r="BR1" t="s">
        <v>99</v>
      </c>
      <c r="BS1" t="s">
        <v>100</v>
      </c>
      <c r="BT1" t="s">
        <v>26</v>
      </c>
      <c r="BU1" t="s">
        <v>101</v>
      </c>
      <c r="BV1" t="s">
        <v>102</v>
      </c>
      <c r="BW1" t="s">
        <v>103</v>
      </c>
      <c r="BX1" t="s">
        <v>104</v>
      </c>
      <c r="BY1" t="s">
        <v>105</v>
      </c>
      <c r="BZ1" t="s">
        <v>106</v>
      </c>
      <c r="CA1" t="s">
        <v>107</v>
      </c>
      <c r="CB1" t="s">
        <v>108</v>
      </c>
      <c r="CC1" t="s">
        <v>109</v>
      </c>
      <c r="CD1" t="s">
        <v>110</v>
      </c>
      <c r="CE1" t="s">
        <v>111</v>
      </c>
      <c r="CF1" t="s">
        <v>112</v>
      </c>
      <c r="CG1" t="s">
        <v>113</v>
      </c>
      <c r="CH1" t="s">
        <v>114</v>
      </c>
      <c r="CI1" t="s">
        <v>115</v>
      </c>
      <c r="CJ1" t="s">
        <v>116</v>
      </c>
      <c r="CK1" t="s">
        <v>117</v>
      </c>
      <c r="CL1" t="s">
        <v>118</v>
      </c>
      <c r="CM1" t="s">
        <v>119</v>
      </c>
      <c r="CN1" t="s">
        <v>120</v>
      </c>
      <c r="CO1" t="s">
        <v>121</v>
      </c>
      <c r="CP1" t="s">
        <v>122</v>
      </c>
      <c r="CQ1" t="s">
        <v>123</v>
      </c>
      <c r="CR1" t="s">
        <v>124</v>
      </c>
      <c r="CS1" t="s">
        <v>125</v>
      </c>
      <c r="CT1" t="s">
        <v>126</v>
      </c>
      <c r="CU1" t="s">
        <v>127</v>
      </c>
      <c r="CV1" t="s">
        <v>128</v>
      </c>
      <c r="CW1" t="s">
        <v>22</v>
      </c>
    </row>
    <row r="2" spans="1:101" x14ac:dyDescent="0.25">
      <c r="A2" s="34">
        <v>41821</v>
      </c>
      <c r="B2" s="36">
        <v>93.06</v>
      </c>
      <c r="C2">
        <f>VLOOKUP(A2,ABBV!A$2:G$55,7,0)</f>
        <v>56.46</v>
      </c>
      <c r="D2">
        <f>VLOOKUP(A2,ABT!A$2:G$55,7,0)</f>
        <v>40.96</v>
      </c>
      <c r="E2">
        <f>VLOOKUP(A2,ACN!A$2:G$55,7,0)</f>
        <v>81.25</v>
      </c>
      <c r="F2">
        <f>VLOOKUP(A2,AIG!A$2:G$55,7,0)</f>
        <v>55.25</v>
      </c>
      <c r="G2">
        <f>VLOOKUP(A2,ALL!A$2:G$55,7,0)</f>
        <v>58.85</v>
      </c>
      <c r="H2">
        <f>VLOOKUP(A2,AMGN!A$2:G$55,7,0)</f>
        <v>119.73</v>
      </c>
      <c r="I2">
        <f>VLOOKUP(A2,AMZN!A$2:G$55,7,0)</f>
        <v>332.39</v>
      </c>
      <c r="J2">
        <f>VLOOKUP(A2,APA!A$2:G$55,7,0)</f>
        <v>100.26</v>
      </c>
      <c r="K2">
        <f>VLOOKUP(A2,APC!A$2:G$55,7,0)</f>
        <v>109.06</v>
      </c>
      <c r="L2">
        <f>VLOOKUP(A2,AXP!A$2:G$55,7,0)</f>
        <v>95.09</v>
      </c>
      <c r="M2">
        <f>VLOOKUP(A2,BA!A$2:G$55,7,0)</f>
        <v>127.38</v>
      </c>
      <c r="N2">
        <f>VLOOKUP(A2,BAC!A$2:G$55,7,0)</f>
        <v>15.55</v>
      </c>
      <c r="O2">
        <f>VLOOKUP(A2,BAX!A$2:G$55,7,0)</f>
        <v>73.239999999999995</v>
      </c>
      <c r="P2">
        <f>VLOOKUP(A2,BIIB!A$2:G$55,7,0)</f>
        <v>324.74</v>
      </c>
      <c r="Q2">
        <f>VLOOKUP(A2,BK!A$2:G$55,7,0)</f>
        <v>37.74</v>
      </c>
      <c r="R2">
        <f>VLOOKUP(A2,BMY!A$2:G$55,7,0)</f>
        <v>48.12</v>
      </c>
      <c r="T2">
        <f>VLOOKUP(A2,'C'!A$2:G$55,7,0)</f>
        <v>47.45</v>
      </c>
      <c r="U2">
        <f>VLOOKUP(A2,CAT!A$2:G$55,7,0)</f>
        <v>108.48</v>
      </c>
      <c r="V2">
        <f>VLOOKUP(A2,CL!A$2:G$55,7,0)</f>
        <v>68.13</v>
      </c>
      <c r="W2">
        <f>VLOOKUP(A2,CMCSA!A$2:G$55,7,0)</f>
        <v>53.89</v>
      </c>
      <c r="X2">
        <f>VLOOKUP(A2,COF!A$2:G$55,7,0)</f>
        <v>82.7</v>
      </c>
      <c r="Y2">
        <f>VLOOKUP(A2,COP!A$2:G$55,7,0)</f>
        <v>85.38</v>
      </c>
      <c r="Z2">
        <f>VLOOKUP(A2,COST!A$2:G$55,7,0)</f>
        <v>115.09</v>
      </c>
      <c r="AA2">
        <f>VLOOKUP(A2,CSCO!A$2:G$55,7,0)</f>
        <v>24.89</v>
      </c>
      <c r="AB2">
        <f>VLOOKUP(A2,CVS!A$2:G$55,7,0)</f>
        <v>75.77</v>
      </c>
      <c r="AC2">
        <f>VLOOKUP(A2,CVX!A$2:G$55,7,0)</f>
        <v>129.44</v>
      </c>
      <c r="AD2">
        <f>VLOOKUP(A2,DD!A$2:G$55,7,0)</f>
        <v>64.94</v>
      </c>
      <c r="AE2">
        <f>VLOOKUP(A2,DIS!A$2:G$55,7,0)</f>
        <v>86.47</v>
      </c>
      <c r="AF2">
        <f>VLOOKUP(A2,DOW!A$2:G$55,7,0)</f>
        <v>51.18</v>
      </c>
      <c r="AG2">
        <f>VLOOKUP(A2,DVN!A$2:G$55,7,0)</f>
        <v>78.81</v>
      </c>
      <c r="AH2">
        <f>VLOOKUP(A2,EBAY!A$2:G$55,7,0)</f>
        <v>50.5</v>
      </c>
      <c r="AI2">
        <f>VLOOKUP(A2,EMC!A$2:G$55,7,0)</f>
        <v>26.5</v>
      </c>
      <c r="AJ2">
        <f>VLOOKUP(A2,EMR!A$2:G$55,7,0)</f>
        <v>66.09</v>
      </c>
      <c r="AK2">
        <f>VLOOKUP(A2,EXC!A$2:G$55,7,0)</f>
        <v>35.35</v>
      </c>
      <c r="AL2">
        <f>VLOOKUP(A2,F!A$2:G$55,7,0)</f>
        <v>17.09</v>
      </c>
      <c r="AM2">
        <f>VLOOKUP(A2,FB!A$2:G$55,7,0)</f>
        <v>68.06</v>
      </c>
      <c r="AN2">
        <f>VLOOKUP(A2,FCX!A$2:G$55,7,0)</f>
        <v>36.549999999999997</v>
      </c>
      <c r="AO2">
        <f>VLOOKUP(A2,FDX!A$2:G$55,7,0)</f>
        <v>152.18</v>
      </c>
      <c r="AP2">
        <f>VLOOKUP(A2,FOXA!A$2:G$55,7,0)</f>
        <v>35.18</v>
      </c>
      <c r="AQ2">
        <f>VLOOKUP(A2,GD!A$2:G$55,7,0)</f>
        <v>116.45</v>
      </c>
      <c r="AR2">
        <f>VLOOKUP(A2,GE!A$2:G$55,7,0)</f>
        <v>26.18</v>
      </c>
      <c r="AS2">
        <f>VLOOKUP(A2,GILD!A$2:G$55,7,0)</f>
        <v>85.29</v>
      </c>
      <c r="AT2">
        <f>VLOOKUP(A2,GM!A$2:G$55,7,0)</f>
        <v>37.26</v>
      </c>
      <c r="AU2">
        <f>VLOOKUP(A2,GOOG!A$2:G$55,7,0)</f>
        <v>582.66999999999996</v>
      </c>
      <c r="AV2">
        <f>VLOOKUP(A2,GOOGL!A$2:G$55,7,0)</f>
        <v>591.49</v>
      </c>
      <c r="AW2">
        <f>VLOOKUP(A2,GS!A$2:G$55,7,0)</f>
        <v>166.29</v>
      </c>
      <c r="AX2">
        <f>VLOOKUP(A2,HAL!A$2:G$55,7,0)</f>
        <v>70.69</v>
      </c>
      <c r="AY2">
        <f>VLOOKUP(A2,HD!A$2:G$55,7,0)</f>
        <v>81.41</v>
      </c>
      <c r="AZ2">
        <f>VLOOKUP(A2,HON!A$2:G$55,7,0)</f>
        <v>94.14</v>
      </c>
      <c r="BA2">
        <f>VLOOKUP(A2,HPQ!A$2:G$55,7,0)</f>
        <v>34.03</v>
      </c>
      <c r="BB2">
        <f>VLOOKUP(A2,IBM!A$2:G$55,7,0)</f>
        <v>185.25</v>
      </c>
      <c r="BC2">
        <f>VLOOKUP(A2,INTC!A$2:G$55,7,0)</f>
        <v>30.78</v>
      </c>
      <c r="BD2">
        <f>VLOOKUP(A2,JNJ!A$2:G$55,7,0)</f>
        <v>105.16</v>
      </c>
      <c r="BE2">
        <f>VLOOKUP(A2,JPM!A$2:G$55,7,0)</f>
        <v>57.57</v>
      </c>
      <c r="BF2">
        <f>VLOOKUP(A2,KO!A$2:G$55,7,0)</f>
        <v>41.98</v>
      </c>
      <c r="BG2">
        <f>VLOOKUP(A2,LLY!A$2:G$55,7,0)</f>
        <v>62</v>
      </c>
      <c r="BH2">
        <f>VLOOKUP(A2,LMT!A$2:G$55,7,0)</f>
        <v>159.43</v>
      </c>
      <c r="BI2">
        <f>VLOOKUP(A2,LOW!A$2:G$55,7,0)</f>
        <v>47.9</v>
      </c>
      <c r="BJ2">
        <f>VLOOKUP(A2,MA!A$2:G$55,7,0)</f>
        <v>75.42</v>
      </c>
      <c r="BK2">
        <f>VLOOKUP(A2,MCD!A$2:G$55,7,0)</f>
        <v>100.14</v>
      </c>
      <c r="BL2">
        <f>VLOOKUP(A2,MDLZ!A$2:G$55,7,0)</f>
        <v>37.71</v>
      </c>
      <c r="BM2">
        <f>VLOOKUP(A2,MDT!A$2:G$55,7,0)</f>
        <v>63.91</v>
      </c>
      <c r="BN2">
        <f>VLOOKUP(A2,MET!A$2:G$55,7,0)</f>
        <v>55.8</v>
      </c>
      <c r="BO2">
        <f>VLOOKUP(A2,MMM!A$2:G$55,7,0)</f>
        <v>143.69999999999999</v>
      </c>
      <c r="BP2">
        <f>VLOOKUP(A2,MO!A$2:G$55,7,0)</f>
        <v>41.33</v>
      </c>
      <c r="BQ2">
        <f>VLOOKUP(A2,MON!A$2:G$55,7,0)</f>
        <v>124.3</v>
      </c>
      <c r="BR2">
        <f>VLOOKUP(A2,MRK!A$2:G$55,7,0)</f>
        <v>58.09</v>
      </c>
      <c r="BS2">
        <f>VLOOKUP(A2,MS!A$2:G$55,7,0)</f>
        <v>32.22</v>
      </c>
      <c r="BT2">
        <f>VLOOKUP(A2,MSFT!A$2:G$55,7,0)</f>
        <v>41.61</v>
      </c>
      <c r="BU2">
        <f>VLOOKUP(A2,NKE!A$2:G$55,7,0)</f>
        <v>77.77</v>
      </c>
      <c r="BV2">
        <f>VLOOKUP(A2,NOV!A$2:G$55,7,0)</f>
        <v>81.95</v>
      </c>
      <c r="BW2">
        <f>VLOOKUP(A2,NSC!A$2:G$55,7,0)</f>
        <v>101.99</v>
      </c>
      <c r="BX2">
        <f>VLOOKUP(A2,ORCL!A$2:G$55,7,0)</f>
        <v>40.65</v>
      </c>
      <c r="BY2">
        <f>VLOOKUP(A2,OXY!A$2:G$55,7,0)</f>
        <v>102.07</v>
      </c>
      <c r="BZ2">
        <f>VLOOKUP(A2,PEP!A$2:G$55,7,0)</f>
        <v>88.5</v>
      </c>
      <c r="CA2">
        <f>VLOOKUP(A2,PFE!A$2:G$55,7,0)</f>
        <v>29.82</v>
      </c>
      <c r="CB2">
        <f>VLOOKUP(A2,PG!A$2:G$55,7,0)</f>
        <v>78.650000000000006</v>
      </c>
      <c r="CC2">
        <f>VLOOKUP(A2,PM!A$2:G$55,7,0)</f>
        <v>83.23</v>
      </c>
      <c r="CD2">
        <f>VLOOKUP(A2,QCOM!A$2:G$55,7,0)</f>
        <v>79.290000000000006</v>
      </c>
      <c r="CE2">
        <f>VLOOKUP(A2,RTN!A$2:G$55,7,0)</f>
        <v>92.55</v>
      </c>
      <c r="CF2">
        <f>VLOOKUP(A2,SBUX!A$2:G$55,7,0)</f>
        <v>77.819999999999993</v>
      </c>
      <c r="CG2">
        <f>VLOOKUP(A2,SLB!A$2:G$55,7,0)</f>
        <v>117.42</v>
      </c>
      <c r="CH2">
        <f>VLOOKUP(A2,SO!A$2:G$55,7,0)</f>
        <v>44.55</v>
      </c>
      <c r="CI2">
        <f>VLOOKUP(A2,SPG!A$2:G$55,7,0)</f>
        <v>165.58</v>
      </c>
      <c r="CJ2">
        <f>VLOOKUP(A2,T!A$2:G$55,7,0)</f>
        <v>35.03</v>
      </c>
      <c r="CK2">
        <f>VLOOKUP(A2,TGT!A$2:G$55,7,0)</f>
        <v>57.85</v>
      </c>
      <c r="CL2">
        <f>VLOOKUP(A2,TWX!A$2:G$55,7,0)</f>
        <v>70.28</v>
      </c>
      <c r="CM2">
        <f>VLOOKUP(A2,TXN!A$2:G$55,7,0)</f>
        <v>48.18</v>
      </c>
      <c r="CN2">
        <f>VLOOKUP(A2,UNH!A$2:G$55,7,0)</f>
        <v>81.540000000000006</v>
      </c>
      <c r="CO2">
        <f>VLOOKUP(A2,UNP!A$2:G$55,7,0)</f>
        <v>99.63</v>
      </c>
      <c r="CP2">
        <f>VLOOKUP(A2,UPS!A$2:G$55,7,0)</f>
        <v>102.14</v>
      </c>
      <c r="CQ2">
        <f>VLOOKUP(A2,USB!A$2:G$55,7,0)</f>
        <v>43.09</v>
      </c>
      <c r="CR2">
        <f>VLOOKUP(A2,UTX!A$2:G$55,7,0)</f>
        <v>115.28</v>
      </c>
      <c r="CS2">
        <f>VLOOKUP(A2,V!A$2:G$55,7,0)</f>
        <v>213.84</v>
      </c>
      <c r="CT2">
        <f>VLOOKUP(A2,VZ!A$2:G$55,7,0)</f>
        <v>48.84</v>
      </c>
      <c r="CU2">
        <f>VLOOKUP(A2,WAG!A$2:G$55,7,0)</f>
        <v>73.38</v>
      </c>
      <c r="CV2">
        <f>VLOOKUP(A2,WFC!A$2:G$55,7,0)</f>
        <v>52.35</v>
      </c>
      <c r="CW2">
        <f>VLOOKUP(A2,WMT!A$2:G$55,7,0)</f>
        <v>74.790000000000006</v>
      </c>
    </row>
    <row r="3" spans="1:101" x14ac:dyDescent="0.25">
      <c r="A3" s="34">
        <v>41822</v>
      </c>
      <c r="B3" s="36">
        <v>93.02</v>
      </c>
      <c r="C3">
        <f>VLOOKUP(A3,ABBV!A$2:G$55,7,0)</f>
        <v>57.67</v>
      </c>
      <c r="D3">
        <f>VLOOKUP(A3,ABT!A$2:G$55,7,0)</f>
        <v>41.57</v>
      </c>
      <c r="E3">
        <f>VLOOKUP(A3,ACN!A$2:G$55,7,0)</f>
        <v>81.06</v>
      </c>
      <c r="F3">
        <f>VLOOKUP(A3,AIG!A$2:G$55,7,0)</f>
        <v>55.13</v>
      </c>
      <c r="G3">
        <f>VLOOKUP(A3,ALL!A$2:G$55,7,0)</f>
        <v>58.73</v>
      </c>
      <c r="H3">
        <f>VLOOKUP(A3,AMGN!A$2:G$55,7,0)</f>
        <v>120.45</v>
      </c>
      <c r="I3">
        <f>VLOOKUP(A3,AMZN!A$2:G$55,7,0)</f>
        <v>332.85</v>
      </c>
      <c r="J3">
        <f>VLOOKUP(A3,APA!A$2:G$55,7,0)</f>
        <v>99.6</v>
      </c>
      <c r="K3">
        <f>VLOOKUP(A3,APC!A$2:G$55,7,0)</f>
        <v>107.37</v>
      </c>
      <c r="L3">
        <f>VLOOKUP(A3,AXP!A$2:G$55,7,0)</f>
        <v>94.95</v>
      </c>
      <c r="M3">
        <f>VLOOKUP(A3,BA!A$2:G$55,7,0)</f>
        <v>126.85</v>
      </c>
      <c r="N3">
        <f>VLOOKUP(A3,BAC!A$2:G$55,7,0)</f>
        <v>15.8</v>
      </c>
      <c r="O3">
        <f>VLOOKUP(A3,BAX!A$2:G$55,7,0)</f>
        <v>74.47</v>
      </c>
      <c r="P3">
        <f>VLOOKUP(A3,BIIB!A$2:G$55,7,0)</f>
        <v>331</v>
      </c>
      <c r="Q3">
        <f>VLOOKUP(A3,BK!A$2:G$55,7,0)</f>
        <v>37.450000000000003</v>
      </c>
      <c r="R3">
        <f>VLOOKUP(A3,BMY!A$2:G$55,7,0)</f>
        <v>48.24</v>
      </c>
      <c r="T3">
        <f>VLOOKUP(A3,'C'!A$2:G$55,7,0)</f>
        <v>48</v>
      </c>
      <c r="U3">
        <f>VLOOKUP(A3,CAT!A$2:G$55,7,0)</f>
        <v>108.87</v>
      </c>
      <c r="V3">
        <f>VLOOKUP(A3,CL!A$2:G$55,7,0)</f>
        <v>68.12</v>
      </c>
      <c r="W3">
        <f>VLOOKUP(A3,CMCSA!A$2:G$55,7,0)</f>
        <v>54.33</v>
      </c>
      <c r="X3">
        <f>VLOOKUP(A3,COF!A$2:G$55,7,0)</f>
        <v>83.28</v>
      </c>
      <c r="Y3">
        <f>VLOOKUP(A3,COP!A$2:G$55,7,0)</f>
        <v>85.14</v>
      </c>
      <c r="Z3">
        <f>VLOOKUP(A3,COST!A$2:G$55,7,0)</f>
        <v>115.4</v>
      </c>
      <c r="AA3">
        <f>VLOOKUP(A3,CSCO!A$2:G$55,7,0)</f>
        <v>25.03</v>
      </c>
      <c r="AB3">
        <f>VLOOKUP(A3,CVS!A$2:G$55,7,0)</f>
        <v>75.98</v>
      </c>
      <c r="AC3">
        <f>VLOOKUP(A3,CVX!A$2:G$55,7,0)</f>
        <v>129.13</v>
      </c>
      <c r="AD3">
        <f>VLOOKUP(A3,DD!A$2:G$55,7,0)</f>
        <v>64.89</v>
      </c>
      <c r="AE3">
        <f>VLOOKUP(A3,DIS!A$2:G$55,7,0)</f>
        <v>86.44</v>
      </c>
      <c r="AF3">
        <f>VLOOKUP(A3,DOW!A$2:G$55,7,0)</f>
        <v>51.16</v>
      </c>
      <c r="AG3">
        <f>VLOOKUP(A3,DVN!A$2:G$55,7,0)</f>
        <v>78.31</v>
      </c>
      <c r="AH3">
        <f>VLOOKUP(A3,EBAY!A$2:G$55,7,0)</f>
        <v>50.55</v>
      </c>
      <c r="AI3">
        <f>VLOOKUP(A3,EMC!A$2:G$55,7,0)</f>
        <v>26.59</v>
      </c>
      <c r="AJ3">
        <f>VLOOKUP(A3,EMR!A$2:G$55,7,0)</f>
        <v>66.180000000000007</v>
      </c>
      <c r="AK3">
        <f>VLOOKUP(A3,EXC!A$2:G$55,7,0)</f>
        <v>34.25</v>
      </c>
      <c r="AL3">
        <f>VLOOKUP(A3,F!A$2:G$55,7,0)</f>
        <v>17.100000000000001</v>
      </c>
      <c r="AM3">
        <f>VLOOKUP(A3,FB!A$2:G$55,7,0)</f>
        <v>66.45</v>
      </c>
      <c r="AN3">
        <f>VLOOKUP(A3,FCX!A$2:G$55,7,0)</f>
        <v>37.53</v>
      </c>
      <c r="AO3">
        <f>VLOOKUP(A3,FDX!A$2:G$55,7,0)</f>
        <v>152.07</v>
      </c>
      <c r="AP3">
        <f>VLOOKUP(A3,FOXA!A$2:G$55,7,0)</f>
        <v>35.58</v>
      </c>
      <c r="AQ3">
        <f>VLOOKUP(A3,GD!A$2:G$55,7,0)</f>
        <v>115.5</v>
      </c>
      <c r="AR3">
        <f>VLOOKUP(A3,GE!A$2:G$55,7,0)</f>
        <v>26.39</v>
      </c>
      <c r="AS3">
        <f>VLOOKUP(A3,GILD!A$2:G$55,7,0)</f>
        <v>87.1</v>
      </c>
      <c r="AT3">
        <f>VLOOKUP(A3,GM!A$2:G$55,7,0)</f>
        <v>37.409999999999997</v>
      </c>
      <c r="AU3">
        <f>VLOOKUP(A3,GOOG!A$2:G$55,7,0)</f>
        <v>582.34</v>
      </c>
      <c r="AV3">
        <f>VLOOKUP(A3,GOOGL!A$2:G$55,7,0)</f>
        <v>590.78</v>
      </c>
      <c r="AW3">
        <f>VLOOKUP(A3,GS!A$2:G$55,7,0)</f>
        <v>166.37</v>
      </c>
      <c r="AX3">
        <f>VLOOKUP(A3,HAL!A$2:G$55,7,0)</f>
        <v>70.66</v>
      </c>
      <c r="AY3">
        <f>VLOOKUP(A3,HD!A$2:G$55,7,0)</f>
        <v>81.569999999999993</v>
      </c>
      <c r="AZ3">
        <f>VLOOKUP(A3,HON!A$2:G$55,7,0)</f>
        <v>93.83</v>
      </c>
      <c r="BA3">
        <f>VLOOKUP(A3,HPQ!A$2:G$55,7,0)</f>
        <v>33.74</v>
      </c>
      <c r="BB3">
        <f>VLOOKUP(A3,IBM!A$2:G$55,7,0)</f>
        <v>187.28</v>
      </c>
      <c r="BC3">
        <f>VLOOKUP(A3,INTC!A$2:G$55,7,0)</f>
        <v>30.78</v>
      </c>
      <c r="BD3">
        <f>VLOOKUP(A3,JNJ!A$2:G$55,7,0)</f>
        <v>105.15</v>
      </c>
      <c r="BE3">
        <f>VLOOKUP(A3,JPM!A$2:G$55,7,0)</f>
        <v>56.97</v>
      </c>
      <c r="BF3">
        <f>VLOOKUP(A3,KO!A$2:G$55,7,0)</f>
        <v>41.98</v>
      </c>
      <c r="BG3">
        <f>VLOOKUP(A3,LLY!A$2:G$55,7,0)</f>
        <v>62.2</v>
      </c>
      <c r="BH3">
        <f>VLOOKUP(A3,LMT!A$2:G$55,7,0)</f>
        <v>157.78</v>
      </c>
      <c r="BI3">
        <f>VLOOKUP(A3,LOW!A$2:G$55,7,0)</f>
        <v>47.89</v>
      </c>
      <c r="BJ3">
        <f>VLOOKUP(A3,MA!A$2:G$55,7,0)</f>
        <v>76.09</v>
      </c>
      <c r="BK3">
        <f>VLOOKUP(A3,MCD!A$2:G$55,7,0)</f>
        <v>99.67</v>
      </c>
      <c r="BL3">
        <f>VLOOKUP(A3,MDLZ!A$2:G$55,7,0)</f>
        <v>37.75</v>
      </c>
      <c r="BM3">
        <f>VLOOKUP(A3,MDT!A$2:G$55,7,0)</f>
        <v>63.91</v>
      </c>
      <c r="BN3">
        <f>VLOOKUP(A3,MET!A$2:G$55,7,0)</f>
        <v>55.72</v>
      </c>
      <c r="BO3">
        <f>VLOOKUP(A3,MMM!A$2:G$55,7,0)</f>
        <v>144.37</v>
      </c>
      <c r="BP3">
        <f>VLOOKUP(A3,MO!A$2:G$55,7,0)</f>
        <v>41.37</v>
      </c>
      <c r="BQ3">
        <f>VLOOKUP(A3,MON!A$2:G$55,7,0)</f>
        <v>126.53</v>
      </c>
      <c r="BR3">
        <f>VLOOKUP(A3,MRK!A$2:G$55,7,0)</f>
        <v>58.62</v>
      </c>
      <c r="BS3">
        <f>VLOOKUP(A3,MS!A$2:G$55,7,0)</f>
        <v>32.39</v>
      </c>
      <c r="BT3">
        <f>VLOOKUP(A3,MSFT!A$2:G$55,7,0)</f>
        <v>41.64</v>
      </c>
      <c r="BU3">
        <f>VLOOKUP(A3,NKE!A$2:G$55,7,0)</f>
        <v>77.56</v>
      </c>
      <c r="BV3">
        <f>VLOOKUP(A3,NOV!A$2:G$55,7,0)</f>
        <v>82.15</v>
      </c>
      <c r="BW3">
        <f>VLOOKUP(A3,NSC!A$2:G$55,7,0)</f>
        <v>102.99</v>
      </c>
      <c r="BX3">
        <f>VLOOKUP(A3,ORCL!A$2:G$55,7,0)</f>
        <v>40.83</v>
      </c>
      <c r="BY3">
        <f>VLOOKUP(A3,OXY!A$2:G$55,7,0)</f>
        <v>101.51</v>
      </c>
      <c r="BZ3">
        <f>VLOOKUP(A3,PEP!A$2:G$55,7,0)</f>
        <v>89.03</v>
      </c>
      <c r="CA3">
        <f>VLOOKUP(A3,PFE!A$2:G$55,7,0)</f>
        <v>30.1</v>
      </c>
      <c r="CB3">
        <f>VLOOKUP(A3,PG!A$2:G$55,7,0)</f>
        <v>78.930000000000007</v>
      </c>
      <c r="CC3">
        <f>VLOOKUP(A3,PM!A$2:G$55,7,0)</f>
        <v>83.87</v>
      </c>
      <c r="CD3">
        <f>VLOOKUP(A3,QCOM!A$2:G$55,7,0)</f>
        <v>79.73</v>
      </c>
      <c r="CE3">
        <f>VLOOKUP(A3,RTN!A$2:G$55,7,0)</f>
        <v>91.92</v>
      </c>
      <c r="CF3">
        <f>VLOOKUP(A3,SBUX!A$2:G$55,7,0)</f>
        <v>77.930000000000007</v>
      </c>
      <c r="CG3">
        <f>VLOOKUP(A3,SLB!A$2:G$55,7,0)</f>
        <v>117.3</v>
      </c>
      <c r="CH3">
        <f>VLOOKUP(A3,SO!A$2:G$55,7,0)</f>
        <v>43.74</v>
      </c>
      <c r="CI3">
        <f>VLOOKUP(A3,SPG!A$2:G$55,7,0)</f>
        <v>165.44</v>
      </c>
      <c r="CJ3">
        <f>VLOOKUP(A3,T!A$2:G$55,7,0)</f>
        <v>35.21</v>
      </c>
      <c r="CK3">
        <f>VLOOKUP(A3,TGT!A$2:G$55,7,0)</f>
        <v>58.24</v>
      </c>
      <c r="CL3">
        <f>VLOOKUP(A3,TWX!A$2:G$55,7,0)</f>
        <v>70.64</v>
      </c>
      <c r="CM3">
        <f>VLOOKUP(A3,TXN!A$2:G$55,7,0)</f>
        <v>48.2</v>
      </c>
      <c r="CN3">
        <f>VLOOKUP(A3,UNH!A$2:G$55,7,0)</f>
        <v>82.14</v>
      </c>
      <c r="CO3">
        <f>VLOOKUP(A3,UNP!A$2:G$55,7,0)</f>
        <v>99.6</v>
      </c>
      <c r="CP3">
        <f>VLOOKUP(A3,UPS!A$2:G$55,7,0)</f>
        <v>102.83</v>
      </c>
      <c r="CQ3">
        <f>VLOOKUP(A3,USB!A$2:G$55,7,0)</f>
        <v>43</v>
      </c>
      <c r="CR3">
        <f>VLOOKUP(A3,UTX!A$2:G$55,7,0)</f>
        <v>114.49</v>
      </c>
      <c r="CS3">
        <f>VLOOKUP(A3,V!A$2:G$55,7,0)</f>
        <v>214.43</v>
      </c>
      <c r="CT3">
        <f>VLOOKUP(A3,VZ!A$2:G$55,7,0)</f>
        <v>49.13</v>
      </c>
      <c r="CU3">
        <f>VLOOKUP(A3,WAG!A$2:G$55,7,0)</f>
        <v>72.64</v>
      </c>
      <c r="CV3">
        <f>VLOOKUP(A3,WFC!A$2:G$55,7,0)</f>
        <v>52.29</v>
      </c>
      <c r="CW3">
        <f>VLOOKUP(A3,WMT!A$2:G$55,7,0)</f>
        <v>75.13</v>
      </c>
    </row>
    <row r="4" spans="1:101" x14ac:dyDescent="0.25">
      <c r="A4" s="34">
        <v>41823</v>
      </c>
      <c r="B4" s="36">
        <v>93.56</v>
      </c>
      <c r="C4">
        <f>VLOOKUP(A4,ABBV!A$2:G$55,7,0)</f>
        <v>57.78</v>
      </c>
      <c r="D4">
        <f>VLOOKUP(A4,ABT!A$2:G$55,7,0)</f>
        <v>41.67</v>
      </c>
      <c r="E4">
        <f>VLOOKUP(A4,ACN!A$2:G$55,7,0)</f>
        <v>81.55</v>
      </c>
      <c r="F4">
        <f>VLOOKUP(A4,AIG!A$2:G$55,7,0)</f>
        <v>55.51</v>
      </c>
      <c r="G4">
        <f>VLOOKUP(A4,ALL!A$2:G$55,7,0)</f>
        <v>58.7</v>
      </c>
      <c r="H4">
        <f>VLOOKUP(A4,AMGN!A$2:G$55,7,0)</f>
        <v>122.26</v>
      </c>
      <c r="I4">
        <f>VLOOKUP(A4,AMZN!A$2:G$55,7,0)</f>
        <v>337.49</v>
      </c>
      <c r="J4">
        <f>VLOOKUP(A4,APA!A$2:G$55,7,0)</f>
        <v>99.78</v>
      </c>
      <c r="K4">
        <f>VLOOKUP(A4,APC!A$2:G$55,7,0)</f>
        <v>107.32</v>
      </c>
      <c r="L4">
        <f>VLOOKUP(A4,AXP!A$2:G$55,7,0)</f>
        <v>95.58</v>
      </c>
      <c r="M4">
        <f>VLOOKUP(A4,BA!A$2:G$55,7,0)</f>
        <v>127.74</v>
      </c>
      <c r="N4">
        <f>VLOOKUP(A4,BAC!A$2:G$55,7,0)</f>
        <v>15.98</v>
      </c>
      <c r="O4">
        <f>VLOOKUP(A4,BAX!A$2:G$55,7,0)</f>
        <v>74.36</v>
      </c>
      <c r="P4">
        <f>VLOOKUP(A4,BIIB!A$2:G$55,7,0)</f>
        <v>331.15</v>
      </c>
      <c r="Q4">
        <f>VLOOKUP(A4,BK!A$2:G$55,7,0)</f>
        <v>37.770000000000003</v>
      </c>
      <c r="R4">
        <f>VLOOKUP(A4,BMY!A$2:G$55,7,0)</f>
        <v>48.44</v>
      </c>
      <c r="T4">
        <f>VLOOKUP(A4,'C'!A$2:G$55,7,0)</f>
        <v>48.23</v>
      </c>
      <c r="U4">
        <f>VLOOKUP(A4,CAT!A$2:G$55,7,0)</f>
        <v>110.38</v>
      </c>
      <c r="V4">
        <f>VLOOKUP(A4,CL!A$2:G$55,7,0)</f>
        <v>68.459999999999994</v>
      </c>
      <c r="W4">
        <f>VLOOKUP(A4,CMCSA!A$2:G$55,7,0)</f>
        <v>54.67</v>
      </c>
      <c r="X4">
        <f>VLOOKUP(A4,COF!A$2:G$55,7,0)</f>
        <v>84.63</v>
      </c>
      <c r="Y4">
        <f>VLOOKUP(A4,COP!A$2:G$55,7,0)</f>
        <v>85.67</v>
      </c>
      <c r="Z4">
        <f>VLOOKUP(A4,COST!A$2:G$55,7,0)</f>
        <v>116</v>
      </c>
      <c r="AA4">
        <f>VLOOKUP(A4,CSCO!A$2:G$55,7,0)</f>
        <v>25.19</v>
      </c>
      <c r="AB4">
        <f>VLOOKUP(A4,CVS!A$2:G$55,7,0)</f>
        <v>76.56</v>
      </c>
      <c r="AC4">
        <f>VLOOKUP(A4,CVX!A$2:G$55,7,0)</f>
        <v>130.08000000000001</v>
      </c>
      <c r="AD4">
        <f>VLOOKUP(A4,DD!A$2:G$55,7,0)</f>
        <v>65.33</v>
      </c>
      <c r="AE4">
        <f>VLOOKUP(A4,DIS!A$2:G$55,7,0)</f>
        <v>86.84</v>
      </c>
      <c r="AF4">
        <f>VLOOKUP(A4,DOW!A$2:G$55,7,0)</f>
        <v>51.69</v>
      </c>
      <c r="AG4">
        <f>VLOOKUP(A4,DVN!A$2:G$55,7,0)</f>
        <v>78.94</v>
      </c>
      <c r="AH4">
        <f>VLOOKUP(A4,EBAY!A$2:G$55,7,0)</f>
        <v>50.94</v>
      </c>
      <c r="AI4">
        <f>VLOOKUP(A4,EMC!A$2:G$55,7,0)</f>
        <v>26.81</v>
      </c>
      <c r="AJ4">
        <f>VLOOKUP(A4,EMR!A$2:G$55,7,0)</f>
        <v>66.91</v>
      </c>
      <c r="AK4">
        <f>VLOOKUP(A4,EXC!A$2:G$55,7,0)</f>
        <v>33.64</v>
      </c>
      <c r="AL4">
        <f>VLOOKUP(A4,F!A$2:G$55,7,0)</f>
        <v>17.2</v>
      </c>
      <c r="AM4">
        <f>VLOOKUP(A4,FB!A$2:G$55,7,0)</f>
        <v>66.290000000000006</v>
      </c>
      <c r="AN4">
        <f>VLOOKUP(A4,FCX!A$2:G$55,7,0)</f>
        <v>38.200000000000003</v>
      </c>
      <c r="AO4">
        <f>VLOOKUP(A4,FDX!A$2:G$55,7,0)</f>
        <v>153.41</v>
      </c>
      <c r="AP4">
        <f>VLOOKUP(A4,FOXA!A$2:G$55,7,0)</f>
        <v>36.08</v>
      </c>
      <c r="AQ4">
        <f>VLOOKUP(A4,GD!A$2:G$55,7,0)</f>
        <v>116.02</v>
      </c>
      <c r="AR4">
        <f>VLOOKUP(A4,GE!A$2:G$55,7,0)</f>
        <v>26.64</v>
      </c>
      <c r="AS4">
        <f>VLOOKUP(A4,GILD!A$2:G$55,7,0)</f>
        <v>87.9</v>
      </c>
      <c r="AT4">
        <f>VLOOKUP(A4,GM!A$2:G$55,7,0)</f>
        <v>37.409999999999997</v>
      </c>
      <c r="AU4">
        <f>VLOOKUP(A4,GOOG!A$2:G$55,7,0)</f>
        <v>584.73</v>
      </c>
      <c r="AV4">
        <f>VLOOKUP(A4,GOOGL!A$2:G$55,7,0)</f>
        <v>593.08000000000004</v>
      </c>
      <c r="AW4">
        <f>VLOOKUP(A4,GS!A$2:G$55,7,0)</f>
        <v>168.94</v>
      </c>
      <c r="AX4">
        <f>VLOOKUP(A4,HAL!A$2:G$55,7,0)</f>
        <v>70.81</v>
      </c>
      <c r="AY4">
        <f>VLOOKUP(A4,HD!A$2:G$55,7,0)</f>
        <v>81.64</v>
      </c>
      <c r="AZ4">
        <f>VLOOKUP(A4,HON!A$2:G$55,7,0)</f>
        <v>94.43</v>
      </c>
      <c r="BA4">
        <f>VLOOKUP(A4,HPQ!A$2:G$55,7,0)</f>
        <v>33.86</v>
      </c>
      <c r="BB4">
        <f>VLOOKUP(A4,IBM!A$2:G$55,7,0)</f>
        <v>187.42</v>
      </c>
      <c r="BC4">
        <f>VLOOKUP(A4,INTC!A$2:G$55,7,0)</f>
        <v>30.93</v>
      </c>
      <c r="BD4">
        <f>VLOOKUP(A4,JNJ!A$2:G$55,7,0)</f>
        <v>104.71</v>
      </c>
      <c r="BE4">
        <f>VLOOKUP(A4,JPM!A$2:G$55,7,0)</f>
        <v>57.05</v>
      </c>
      <c r="BF4">
        <f>VLOOKUP(A4,KO!A$2:G$55,7,0)</f>
        <v>41.92</v>
      </c>
      <c r="BG4">
        <f>VLOOKUP(A4,LLY!A$2:G$55,7,0)</f>
        <v>62.56</v>
      </c>
      <c r="BH4">
        <f>VLOOKUP(A4,LMT!A$2:G$55,7,0)</f>
        <v>158.69999999999999</v>
      </c>
      <c r="BI4">
        <f>VLOOKUP(A4,LOW!A$2:G$55,7,0)</f>
        <v>48</v>
      </c>
      <c r="BJ4">
        <f>VLOOKUP(A4,MA!A$2:G$55,7,0)</f>
        <v>76.63</v>
      </c>
      <c r="BK4">
        <f>VLOOKUP(A4,MCD!A$2:G$55,7,0)</f>
        <v>100.12</v>
      </c>
      <c r="BL4">
        <f>VLOOKUP(A4,MDLZ!A$2:G$55,7,0)</f>
        <v>37.81</v>
      </c>
      <c r="BM4">
        <f>VLOOKUP(A4,MDT!A$2:G$55,7,0)</f>
        <v>64.55</v>
      </c>
      <c r="BN4">
        <f>VLOOKUP(A4,MET!A$2:G$55,7,0)</f>
        <v>56.83</v>
      </c>
      <c r="BO4">
        <f>VLOOKUP(A4,MMM!A$2:G$55,7,0)</f>
        <v>144.55000000000001</v>
      </c>
      <c r="BP4">
        <f>VLOOKUP(A4,MO!A$2:G$55,7,0)</f>
        <v>41.89</v>
      </c>
      <c r="BQ4">
        <f>VLOOKUP(A4,MON!A$2:G$55,7,0)</f>
        <v>126.52</v>
      </c>
      <c r="BR4">
        <f>VLOOKUP(A4,MRK!A$2:G$55,7,0)</f>
        <v>58.77</v>
      </c>
      <c r="BS4">
        <f>VLOOKUP(A4,MS!A$2:G$55,7,0)</f>
        <v>32.520000000000003</v>
      </c>
      <c r="BT4">
        <f>VLOOKUP(A4,MSFT!A$2:G$55,7,0)</f>
        <v>41.54</v>
      </c>
      <c r="BU4">
        <f>VLOOKUP(A4,NKE!A$2:G$55,7,0)</f>
        <v>78.209999999999994</v>
      </c>
      <c r="BV4">
        <f>VLOOKUP(A4,NOV!A$2:G$55,7,0)</f>
        <v>82.55</v>
      </c>
      <c r="BW4">
        <f>VLOOKUP(A4,NSC!A$2:G$55,7,0)</f>
        <v>103.27</v>
      </c>
      <c r="BX4">
        <f>VLOOKUP(A4,ORCL!A$2:G$55,7,0)</f>
        <v>41.22</v>
      </c>
      <c r="BY4">
        <f>VLOOKUP(A4,OXY!A$2:G$55,7,0)</f>
        <v>101.44</v>
      </c>
      <c r="BZ4">
        <f>VLOOKUP(A4,PEP!A$2:G$55,7,0)</f>
        <v>89.38</v>
      </c>
      <c r="CA4">
        <f>VLOOKUP(A4,PFE!A$2:G$55,7,0)</f>
        <v>30.26</v>
      </c>
      <c r="CB4">
        <f>VLOOKUP(A4,PG!A$2:G$55,7,0)</f>
        <v>79.349999999999994</v>
      </c>
      <c r="CC4">
        <f>VLOOKUP(A4,PM!A$2:G$55,7,0)</f>
        <v>84.69</v>
      </c>
      <c r="CD4">
        <f>VLOOKUP(A4,QCOM!A$2:G$55,7,0)</f>
        <v>80.540000000000006</v>
      </c>
      <c r="CE4">
        <f>VLOOKUP(A4,RTN!A$2:G$55,7,0)</f>
        <v>92.66</v>
      </c>
      <c r="CF4">
        <f>VLOOKUP(A4,SBUX!A$2:G$55,7,0)</f>
        <v>78.790000000000006</v>
      </c>
      <c r="CG4">
        <f>VLOOKUP(A4,SLB!A$2:G$55,7,0)</f>
        <v>117.07</v>
      </c>
      <c r="CH4">
        <f>VLOOKUP(A4,SO!A$2:G$55,7,0)</f>
        <v>43.49</v>
      </c>
      <c r="CI4">
        <f>VLOOKUP(A4,SPG!A$2:G$55,7,0)</f>
        <v>164.84</v>
      </c>
      <c r="CJ4">
        <f>VLOOKUP(A4,T!A$2:G$55,7,0)</f>
        <v>35.380000000000003</v>
      </c>
      <c r="CK4">
        <f>VLOOKUP(A4,TGT!A$2:G$55,7,0)</f>
        <v>58.98</v>
      </c>
      <c r="CL4">
        <f>VLOOKUP(A4,TWX!A$2:G$55,7,0)</f>
        <v>71.099999999999994</v>
      </c>
      <c r="CM4">
        <f>VLOOKUP(A4,TXN!A$2:G$55,7,0)</f>
        <v>48.64</v>
      </c>
      <c r="CN4">
        <f>VLOOKUP(A4,UNH!A$2:G$55,7,0)</f>
        <v>83</v>
      </c>
      <c r="CO4">
        <f>VLOOKUP(A4,UNP!A$2:G$55,7,0)</f>
        <v>100.5</v>
      </c>
      <c r="CP4">
        <f>VLOOKUP(A4,UPS!A$2:G$55,7,0)</f>
        <v>103.16</v>
      </c>
      <c r="CQ4">
        <f>VLOOKUP(A4,USB!A$2:G$55,7,0)</f>
        <v>43.33</v>
      </c>
      <c r="CR4">
        <f>VLOOKUP(A4,UTX!A$2:G$55,7,0)</f>
        <v>114.88</v>
      </c>
      <c r="CS4">
        <f>VLOOKUP(A4,V!A$2:G$55,7,0)</f>
        <v>216.1</v>
      </c>
      <c r="CT4">
        <f>VLOOKUP(A4,VZ!A$2:G$55,7,0)</f>
        <v>49.18</v>
      </c>
      <c r="CU4">
        <f>VLOOKUP(A4,WAG!A$2:G$55,7,0)</f>
        <v>73.58</v>
      </c>
      <c r="CV4">
        <f>VLOOKUP(A4,WFC!A$2:G$55,7,0)</f>
        <v>52.63</v>
      </c>
      <c r="CW4">
        <f>VLOOKUP(A4,WMT!A$2:G$55,7,0)</f>
        <v>75.25</v>
      </c>
    </row>
    <row r="5" spans="1:101" x14ac:dyDescent="0.25">
      <c r="A5" s="34">
        <v>41827</v>
      </c>
      <c r="B5" s="36">
        <v>95.5</v>
      </c>
      <c r="C5">
        <f>VLOOKUP(A5,ABBV!A$2:G$55,7,0)</f>
        <v>56.97</v>
      </c>
      <c r="D5">
        <f>VLOOKUP(A5,ABT!A$2:G$55,7,0)</f>
        <v>41.29</v>
      </c>
      <c r="E5">
        <f>VLOOKUP(A5,ACN!A$2:G$55,7,0)</f>
        <v>81.05</v>
      </c>
      <c r="F5">
        <f>VLOOKUP(A5,AIG!A$2:G$55,7,0)</f>
        <v>55.19</v>
      </c>
      <c r="G5">
        <f>VLOOKUP(A5,ALL!A$2:G$55,7,0)</f>
        <v>58.27</v>
      </c>
      <c r="H5">
        <f>VLOOKUP(A5,AMGN!A$2:G$55,7,0)</f>
        <v>119.58</v>
      </c>
      <c r="I5">
        <f>VLOOKUP(A5,AMZN!A$2:G$55,7,0)</f>
        <v>333.55</v>
      </c>
      <c r="J5">
        <f>VLOOKUP(A5,APA!A$2:G$55,7,0)</f>
        <v>98.8</v>
      </c>
      <c r="K5">
        <f>VLOOKUP(A5,APC!A$2:G$55,7,0)</f>
        <v>106.53</v>
      </c>
      <c r="L5">
        <f>VLOOKUP(A5,AXP!A$2:G$55,7,0)</f>
        <v>95.14</v>
      </c>
      <c r="M5">
        <f>VLOOKUP(A5,BA!A$2:G$55,7,0)</f>
        <v>128.31</v>
      </c>
      <c r="N5">
        <f>VLOOKUP(A5,BAC!A$2:G$55,7,0)</f>
        <v>15.89</v>
      </c>
      <c r="O5">
        <f>VLOOKUP(A5,BAX!A$2:G$55,7,0)</f>
        <v>74.36</v>
      </c>
      <c r="P5">
        <f>VLOOKUP(A5,BIIB!A$2:G$55,7,0)</f>
        <v>325.68</v>
      </c>
      <c r="Q5">
        <f>VLOOKUP(A5,BK!A$2:G$55,7,0)</f>
        <v>37.56</v>
      </c>
      <c r="R5">
        <f>VLOOKUP(A5,BMY!A$2:G$55,7,0)</f>
        <v>48.01</v>
      </c>
      <c r="T5">
        <f>VLOOKUP(A5,'C'!A$2:G$55,7,0)</f>
        <v>47.97</v>
      </c>
      <c r="U5">
        <f>VLOOKUP(A5,CAT!A$2:G$55,7,0)</f>
        <v>109.47</v>
      </c>
      <c r="V5">
        <f>VLOOKUP(A5,CL!A$2:G$55,7,0)</f>
        <v>68.5</v>
      </c>
      <c r="W5">
        <f>VLOOKUP(A5,CMCSA!A$2:G$55,7,0)</f>
        <v>53.96</v>
      </c>
      <c r="X5">
        <f>VLOOKUP(A5,COF!A$2:G$55,7,0)</f>
        <v>83.25</v>
      </c>
      <c r="Y5">
        <f>VLOOKUP(A5,COP!A$2:G$55,7,0)</f>
        <v>85.37</v>
      </c>
      <c r="Z5">
        <f>VLOOKUP(A5,COST!A$2:G$55,7,0)</f>
        <v>115.97</v>
      </c>
      <c r="AA5">
        <f>VLOOKUP(A5,CSCO!A$2:G$55,7,0)</f>
        <v>25.23</v>
      </c>
      <c r="AB5">
        <f>VLOOKUP(A5,CVS!A$2:G$55,7,0)</f>
        <v>76.400000000000006</v>
      </c>
      <c r="AC5">
        <f>VLOOKUP(A5,CVX!A$2:G$55,7,0)</f>
        <v>129.37</v>
      </c>
      <c r="AD5">
        <f>VLOOKUP(A5,DD!A$2:G$55,7,0)</f>
        <v>65.17</v>
      </c>
      <c r="AE5">
        <f>VLOOKUP(A5,DIS!A$2:G$55,7,0)</f>
        <v>86.59</v>
      </c>
      <c r="AF5">
        <f>VLOOKUP(A5,DOW!A$2:G$55,7,0)</f>
        <v>50.87</v>
      </c>
      <c r="AG5">
        <f>VLOOKUP(A5,DVN!A$2:G$55,7,0)</f>
        <v>78.010000000000005</v>
      </c>
      <c r="AH5">
        <f>VLOOKUP(A5,EBAY!A$2:G$55,7,0)</f>
        <v>50.74</v>
      </c>
      <c r="AI5">
        <f>VLOOKUP(A5,EMC!A$2:G$55,7,0)</f>
        <v>26.75</v>
      </c>
      <c r="AJ5">
        <f>VLOOKUP(A5,EMR!A$2:G$55,7,0)</f>
        <v>67.19</v>
      </c>
      <c r="AK5">
        <f>VLOOKUP(A5,EXC!A$2:G$55,7,0)</f>
        <v>34.03</v>
      </c>
      <c r="AL5">
        <f>VLOOKUP(A5,F!A$2:G$55,7,0)</f>
        <v>17.2</v>
      </c>
      <c r="AM5">
        <f>VLOOKUP(A5,FB!A$2:G$55,7,0)</f>
        <v>65.290000000000006</v>
      </c>
      <c r="AN5">
        <f>VLOOKUP(A5,FCX!A$2:G$55,7,0)</f>
        <v>38.36</v>
      </c>
      <c r="AO5">
        <f>VLOOKUP(A5,FDX!A$2:G$55,7,0)</f>
        <v>151.47999999999999</v>
      </c>
      <c r="AP5">
        <f>VLOOKUP(A5,FOXA!A$2:G$55,7,0)</f>
        <v>35.57</v>
      </c>
      <c r="AQ5">
        <f>VLOOKUP(A5,GD!A$2:G$55,7,0)</f>
        <v>115.75</v>
      </c>
      <c r="AR5">
        <f>VLOOKUP(A5,GE!A$2:G$55,7,0)</f>
        <v>26.53</v>
      </c>
      <c r="AS5">
        <f>VLOOKUP(A5,GILD!A$2:G$55,7,0)</f>
        <v>87.21</v>
      </c>
      <c r="AT5">
        <f>VLOOKUP(A5,GM!A$2:G$55,7,0)</f>
        <v>37.119999999999997</v>
      </c>
      <c r="AU5">
        <f>VLOOKUP(A5,GOOG!A$2:G$55,7,0)</f>
        <v>582.25</v>
      </c>
      <c r="AV5">
        <f>VLOOKUP(A5,GOOGL!A$2:G$55,7,0)</f>
        <v>590.76</v>
      </c>
      <c r="AW5">
        <f>VLOOKUP(A5,GS!A$2:G$55,7,0)</f>
        <v>167.26</v>
      </c>
      <c r="AX5">
        <f>VLOOKUP(A5,HAL!A$2:G$55,7,0)</f>
        <v>70</v>
      </c>
      <c r="AY5">
        <f>VLOOKUP(A5,HD!A$2:G$55,7,0)</f>
        <v>81.010000000000005</v>
      </c>
      <c r="AZ5">
        <f>VLOOKUP(A5,HON!A$2:G$55,7,0)</f>
        <v>93.93</v>
      </c>
      <c r="BA5">
        <f>VLOOKUP(A5,HPQ!A$2:G$55,7,0)</f>
        <v>33.729999999999997</v>
      </c>
      <c r="BB5">
        <f>VLOOKUP(A5,IBM!A$2:G$55,7,0)</f>
        <v>186.93</v>
      </c>
      <c r="BC5">
        <f>VLOOKUP(A5,INTC!A$2:G$55,7,0)</f>
        <v>30.82</v>
      </c>
      <c r="BD5">
        <f>VLOOKUP(A5,JNJ!A$2:G$55,7,0)</f>
        <v>105.75</v>
      </c>
      <c r="BE5">
        <f>VLOOKUP(A5,JPM!A$2:G$55,7,0)</f>
        <v>56.67</v>
      </c>
      <c r="BF5">
        <f>VLOOKUP(A5,KO!A$2:G$55,7,0)</f>
        <v>41.84</v>
      </c>
      <c r="BG5">
        <f>VLOOKUP(A5,LLY!A$2:G$55,7,0)</f>
        <v>62.11</v>
      </c>
      <c r="BH5">
        <f>VLOOKUP(A5,LMT!A$2:G$55,7,0)</f>
        <v>157.11000000000001</v>
      </c>
      <c r="BI5">
        <f>VLOOKUP(A5,LOW!A$2:G$55,7,0)</f>
        <v>47.98</v>
      </c>
      <c r="BJ5">
        <f>VLOOKUP(A5,MA!A$2:G$55,7,0)</f>
        <v>76.180000000000007</v>
      </c>
      <c r="BK5">
        <f>VLOOKUP(A5,MCD!A$2:G$55,7,0)</f>
        <v>99.31</v>
      </c>
      <c r="BL5">
        <f>VLOOKUP(A5,MDLZ!A$2:G$55,7,0)</f>
        <v>37.79</v>
      </c>
      <c r="BM5">
        <f>VLOOKUP(A5,MDT!A$2:G$55,7,0)</f>
        <v>63.61</v>
      </c>
      <c r="BN5">
        <f>VLOOKUP(A5,MET!A$2:G$55,7,0)</f>
        <v>56.24</v>
      </c>
      <c r="BO5">
        <f>VLOOKUP(A5,MMM!A$2:G$55,7,0)</f>
        <v>144.05000000000001</v>
      </c>
      <c r="BP5">
        <f>VLOOKUP(A5,MO!A$2:G$55,7,0)</f>
        <v>42.11</v>
      </c>
      <c r="BQ5">
        <f>VLOOKUP(A5,MON!A$2:G$55,7,0)</f>
        <v>125.25</v>
      </c>
      <c r="BR5">
        <f>VLOOKUP(A5,MRK!A$2:G$55,7,0)</f>
        <v>58.1</v>
      </c>
      <c r="BS5">
        <f>VLOOKUP(A5,MS!A$2:G$55,7,0)</f>
        <v>32.29</v>
      </c>
      <c r="BT5">
        <f>VLOOKUP(A5,MSFT!A$2:G$55,7,0)</f>
        <v>41.73</v>
      </c>
      <c r="BU5">
        <f>VLOOKUP(A5,NKE!A$2:G$55,7,0)</f>
        <v>78.41</v>
      </c>
      <c r="BV5">
        <f>VLOOKUP(A5,NOV!A$2:G$55,7,0)</f>
        <v>82.67</v>
      </c>
      <c r="BW5">
        <f>VLOOKUP(A5,NSC!A$2:G$55,7,0)</f>
        <v>102.66</v>
      </c>
      <c r="BX5">
        <f>VLOOKUP(A5,ORCL!A$2:G$55,7,0)</f>
        <v>40.89</v>
      </c>
      <c r="BY5">
        <f>VLOOKUP(A5,OXY!A$2:G$55,7,0)</f>
        <v>100.87</v>
      </c>
      <c r="BZ5">
        <f>VLOOKUP(A5,PEP!A$2:G$55,7,0)</f>
        <v>89.22</v>
      </c>
      <c r="CA5">
        <f>VLOOKUP(A5,PFE!A$2:G$55,7,0)</f>
        <v>30.22</v>
      </c>
      <c r="CB5">
        <f>VLOOKUP(A5,PG!A$2:G$55,7,0)</f>
        <v>79.55</v>
      </c>
      <c r="CC5">
        <f>VLOOKUP(A5,PM!A$2:G$55,7,0)</f>
        <v>85.08</v>
      </c>
      <c r="CD5">
        <f>VLOOKUP(A5,QCOM!A$2:G$55,7,0)</f>
        <v>80.38</v>
      </c>
      <c r="CE5">
        <f>VLOOKUP(A5,RTN!A$2:G$55,7,0)</f>
        <v>91.74</v>
      </c>
      <c r="CF5">
        <f>VLOOKUP(A5,SBUX!A$2:G$55,7,0)</f>
        <v>78.430000000000007</v>
      </c>
      <c r="CG5">
        <f>VLOOKUP(A5,SLB!A$2:G$55,7,0)</f>
        <v>117</v>
      </c>
      <c r="CH5">
        <f>VLOOKUP(A5,SO!A$2:G$55,7,0)</f>
        <v>43.69</v>
      </c>
      <c r="CI5">
        <f>VLOOKUP(A5,SPG!A$2:G$55,7,0)</f>
        <v>165.19</v>
      </c>
      <c r="CJ5">
        <f>VLOOKUP(A5,T!A$2:G$55,7,0)</f>
        <v>35.56</v>
      </c>
      <c r="CK5">
        <f>VLOOKUP(A5,TGT!A$2:G$55,7,0)</f>
        <v>59.45</v>
      </c>
      <c r="CL5">
        <f>VLOOKUP(A5,TWX!A$2:G$55,7,0)</f>
        <v>70.88</v>
      </c>
      <c r="CM5">
        <f>VLOOKUP(A5,TXN!A$2:G$55,7,0)</f>
        <v>48.61</v>
      </c>
      <c r="CN5">
        <f>VLOOKUP(A5,UNH!A$2:G$55,7,0)</f>
        <v>81.87</v>
      </c>
      <c r="CO5">
        <f>VLOOKUP(A5,UNP!A$2:G$55,7,0)</f>
        <v>99.79</v>
      </c>
      <c r="CP5">
        <f>VLOOKUP(A5,UPS!A$2:G$55,7,0)</f>
        <v>102.52</v>
      </c>
      <c r="CQ5">
        <f>VLOOKUP(A5,USB!A$2:G$55,7,0)</f>
        <v>43.23</v>
      </c>
      <c r="CR5">
        <f>VLOOKUP(A5,UTX!A$2:G$55,7,0)</f>
        <v>114.45</v>
      </c>
      <c r="CS5">
        <f>VLOOKUP(A5,V!A$2:G$55,7,0)</f>
        <v>216.33</v>
      </c>
      <c r="CT5">
        <f>VLOOKUP(A5,VZ!A$2:G$55,7,0)</f>
        <v>49.22</v>
      </c>
      <c r="CU5">
        <f>VLOOKUP(A5,WAG!A$2:G$55,7,0)</f>
        <v>73.180000000000007</v>
      </c>
      <c r="CV5">
        <f>VLOOKUP(A5,WFC!A$2:G$55,7,0)</f>
        <v>52.14</v>
      </c>
      <c r="CW5">
        <f>VLOOKUP(A5,WMT!A$2:G$55,7,0)</f>
        <v>75.569999999999993</v>
      </c>
    </row>
    <row r="6" spans="1:101" x14ac:dyDescent="0.25">
      <c r="A6" s="34">
        <v>41828</v>
      </c>
      <c r="B6" s="36">
        <v>94.88</v>
      </c>
      <c r="C6">
        <f>VLOOKUP(A6,ABBV!A$2:G$55,7,0)</f>
        <v>55.27</v>
      </c>
      <c r="D6">
        <f>VLOOKUP(A6,ABT!A$2:G$55,7,0)</f>
        <v>40.83</v>
      </c>
      <c r="E6">
        <f>VLOOKUP(A6,ACN!A$2:G$55,7,0)</f>
        <v>81.11</v>
      </c>
      <c r="F6">
        <f>VLOOKUP(A6,AIG!A$2:G$55,7,0)</f>
        <v>54.81</v>
      </c>
      <c r="G6">
        <f>VLOOKUP(A6,ALL!A$2:G$55,7,0)</f>
        <v>58.22</v>
      </c>
      <c r="H6">
        <f>VLOOKUP(A6,AMGN!A$2:G$55,7,0)</f>
        <v>119.39</v>
      </c>
      <c r="I6">
        <f>VLOOKUP(A6,AMZN!A$2:G$55,7,0)</f>
        <v>323.81</v>
      </c>
      <c r="J6">
        <f>VLOOKUP(A6,APA!A$2:G$55,7,0)</f>
        <v>98.21</v>
      </c>
      <c r="K6">
        <f>VLOOKUP(A6,APC!A$2:G$55,7,0)</f>
        <v>107.23</v>
      </c>
      <c r="L6">
        <f>VLOOKUP(A6,AXP!A$2:G$55,7,0)</f>
        <v>94.31</v>
      </c>
      <c r="M6">
        <f>VLOOKUP(A6,BA!A$2:G$55,7,0)</f>
        <v>126.03</v>
      </c>
      <c r="N6">
        <f>VLOOKUP(A6,BAC!A$2:G$55,7,0)</f>
        <v>15.53</v>
      </c>
      <c r="O6">
        <f>VLOOKUP(A6,BAX!A$2:G$55,7,0)</f>
        <v>74.849999999999994</v>
      </c>
      <c r="P6">
        <f>VLOOKUP(A6,BIIB!A$2:G$55,7,0)</f>
        <v>317.58999999999997</v>
      </c>
      <c r="Q6">
        <f>VLOOKUP(A6,BK!A$2:G$55,7,0)</f>
        <v>37.44</v>
      </c>
      <c r="R6">
        <f>VLOOKUP(A6,BMY!A$2:G$55,7,0)</f>
        <v>47.86</v>
      </c>
      <c r="T6">
        <f>VLOOKUP(A6,'C'!A$2:G$55,7,0)</f>
        <v>47.41</v>
      </c>
      <c r="U6">
        <f>VLOOKUP(A6,CAT!A$2:G$55,7,0)</f>
        <v>108.77</v>
      </c>
      <c r="V6">
        <f>VLOOKUP(A6,CL!A$2:G$55,7,0)</f>
        <v>69.14</v>
      </c>
      <c r="W6">
        <f>VLOOKUP(A6,CMCSA!A$2:G$55,7,0)</f>
        <v>53.09</v>
      </c>
      <c r="X6">
        <f>VLOOKUP(A6,COF!A$2:G$55,7,0)</f>
        <v>82.91</v>
      </c>
      <c r="Y6">
        <f>VLOOKUP(A6,COP!A$2:G$55,7,0)</f>
        <v>85.32</v>
      </c>
      <c r="Z6">
        <f>VLOOKUP(A6,COST!A$2:G$55,7,0)</f>
        <v>117.1</v>
      </c>
      <c r="AA6">
        <f>VLOOKUP(A6,CSCO!A$2:G$55,7,0)</f>
        <v>25.07</v>
      </c>
      <c r="AB6">
        <f>VLOOKUP(A6,CVS!A$2:G$55,7,0)</f>
        <v>76.260000000000005</v>
      </c>
      <c r="AC6">
        <f>VLOOKUP(A6,CVX!A$2:G$55,7,0)</f>
        <v>128.81</v>
      </c>
      <c r="AD6">
        <f>VLOOKUP(A6,DD!A$2:G$55,7,0)</f>
        <v>64.86</v>
      </c>
      <c r="AE6">
        <f>VLOOKUP(A6,DIS!A$2:G$55,7,0)</f>
        <v>85.86</v>
      </c>
      <c r="AF6">
        <f>VLOOKUP(A6,DOW!A$2:G$55,7,0)</f>
        <v>50.63</v>
      </c>
      <c r="AG6">
        <f>VLOOKUP(A6,DVN!A$2:G$55,7,0)</f>
        <v>77.87</v>
      </c>
      <c r="AH6">
        <f>VLOOKUP(A6,EBAY!A$2:G$55,7,0)</f>
        <v>50.18</v>
      </c>
      <c r="AI6">
        <f>VLOOKUP(A6,EMC!A$2:G$55,7,0)</f>
        <v>26.33</v>
      </c>
      <c r="AJ6">
        <f>VLOOKUP(A6,EMR!A$2:G$55,7,0)</f>
        <v>67.36</v>
      </c>
      <c r="AK6">
        <f>VLOOKUP(A6,EXC!A$2:G$55,7,0)</f>
        <v>33.99</v>
      </c>
      <c r="AL6">
        <f>VLOOKUP(A6,F!A$2:G$55,7,0)</f>
        <v>16.989999999999998</v>
      </c>
      <c r="AM6">
        <f>VLOOKUP(A6,FB!A$2:G$55,7,0)</f>
        <v>62.76</v>
      </c>
      <c r="AN6">
        <f>VLOOKUP(A6,FCX!A$2:G$55,7,0)</f>
        <v>38.43</v>
      </c>
      <c r="AO6">
        <f>VLOOKUP(A6,FDX!A$2:G$55,7,0)</f>
        <v>150.97</v>
      </c>
      <c r="AP6">
        <f>VLOOKUP(A6,FOXA!A$2:G$55,7,0)</f>
        <v>34.979999999999997</v>
      </c>
      <c r="AQ6">
        <f>VLOOKUP(A6,GD!A$2:G$55,7,0)</f>
        <v>114.8</v>
      </c>
      <c r="AR6">
        <f>VLOOKUP(A6,GE!A$2:G$55,7,0)</f>
        <v>26.15</v>
      </c>
      <c r="AS6">
        <f>VLOOKUP(A6,GILD!A$2:G$55,7,0)</f>
        <v>87.11</v>
      </c>
      <c r="AT6">
        <f>VLOOKUP(A6,GM!A$2:G$55,7,0)</f>
        <v>37.25</v>
      </c>
      <c r="AU6">
        <f>VLOOKUP(A6,GOOG!A$2:G$55,7,0)</f>
        <v>571.09</v>
      </c>
      <c r="AV6">
        <f>VLOOKUP(A6,GOOGL!A$2:G$55,7,0)</f>
        <v>578.4</v>
      </c>
      <c r="AW6">
        <f>VLOOKUP(A6,GS!A$2:G$55,7,0)</f>
        <v>164.4</v>
      </c>
      <c r="AX6">
        <f>VLOOKUP(A6,HAL!A$2:G$55,7,0)</f>
        <v>69.5</v>
      </c>
      <c r="AY6">
        <f>VLOOKUP(A6,HD!A$2:G$55,7,0)</f>
        <v>80.349999999999994</v>
      </c>
      <c r="AZ6">
        <f>VLOOKUP(A6,HON!A$2:G$55,7,0)</f>
        <v>93.76</v>
      </c>
      <c r="BA6">
        <f>VLOOKUP(A6,HPQ!A$2:G$55,7,0)</f>
        <v>33.36</v>
      </c>
      <c r="BB6">
        <f>VLOOKUP(A6,IBM!A$2:G$55,7,0)</f>
        <v>186.12</v>
      </c>
      <c r="BC6">
        <f>VLOOKUP(A6,INTC!A$2:G$55,7,0)</f>
        <v>30.59</v>
      </c>
      <c r="BD6">
        <f>VLOOKUP(A6,JNJ!A$2:G$55,7,0)</f>
        <v>105.01</v>
      </c>
      <c r="BE6">
        <f>VLOOKUP(A6,JPM!A$2:G$55,7,0)</f>
        <v>55.76</v>
      </c>
      <c r="BF6">
        <f>VLOOKUP(A6,KO!A$2:G$55,7,0)</f>
        <v>41.64</v>
      </c>
      <c r="BG6">
        <f>VLOOKUP(A6,LLY!A$2:G$55,7,0)</f>
        <v>61.96</v>
      </c>
      <c r="BH6">
        <f>VLOOKUP(A6,LMT!A$2:G$55,7,0)</f>
        <v>156.03</v>
      </c>
      <c r="BI6">
        <f>VLOOKUP(A6,LOW!A$2:G$55,7,0)</f>
        <v>47.59</v>
      </c>
      <c r="BJ6">
        <f>VLOOKUP(A6,MA!A$2:G$55,7,0)</f>
        <v>75.69</v>
      </c>
      <c r="BK6">
        <f>VLOOKUP(A6,MCD!A$2:G$55,7,0)</f>
        <v>99.23</v>
      </c>
      <c r="BL6">
        <f>VLOOKUP(A6,MDLZ!A$2:G$55,7,0)</f>
        <v>37.92</v>
      </c>
      <c r="BM6">
        <f>VLOOKUP(A6,MDT!A$2:G$55,7,0)</f>
        <v>63.62</v>
      </c>
      <c r="BN6">
        <f>VLOOKUP(A6,MET!A$2:G$55,7,0)</f>
        <v>55.61</v>
      </c>
      <c r="BO6">
        <f>VLOOKUP(A6,MMM!A$2:G$55,7,0)</f>
        <v>143.69999999999999</v>
      </c>
      <c r="BP6">
        <f>VLOOKUP(A6,MO!A$2:G$55,7,0)</f>
        <v>42.2</v>
      </c>
      <c r="BQ6">
        <f>VLOOKUP(A6,MON!A$2:G$55,7,0)</f>
        <v>124.56</v>
      </c>
      <c r="BR6">
        <f>VLOOKUP(A6,MRK!A$2:G$55,7,0)</f>
        <v>57.75</v>
      </c>
      <c r="BS6">
        <f>VLOOKUP(A6,MS!A$2:G$55,7,0)</f>
        <v>31.65</v>
      </c>
      <c r="BT6">
        <f>VLOOKUP(A6,MSFT!A$2:G$55,7,0)</f>
        <v>41.52</v>
      </c>
      <c r="BU6">
        <f>VLOOKUP(A6,NKE!A$2:G$55,7,0)</f>
        <v>77.44</v>
      </c>
      <c r="BV6">
        <f>VLOOKUP(A6,NOV!A$2:G$55,7,0)</f>
        <v>82.67</v>
      </c>
      <c r="BW6">
        <f>VLOOKUP(A6,NSC!A$2:G$55,7,0)</f>
        <v>102.12</v>
      </c>
      <c r="BX6">
        <f>VLOOKUP(A6,ORCL!A$2:G$55,7,0)</f>
        <v>40.56</v>
      </c>
      <c r="BY6">
        <f>VLOOKUP(A6,OXY!A$2:G$55,7,0)</f>
        <v>101.16</v>
      </c>
      <c r="BZ6">
        <f>VLOOKUP(A6,PEP!A$2:G$55,7,0)</f>
        <v>89.09</v>
      </c>
      <c r="CA6">
        <f>VLOOKUP(A6,PFE!A$2:G$55,7,0)</f>
        <v>29.89</v>
      </c>
      <c r="CB6">
        <f>VLOOKUP(A6,PG!A$2:G$55,7,0)</f>
        <v>79.92</v>
      </c>
      <c r="CC6">
        <f>VLOOKUP(A6,PM!A$2:G$55,7,0)</f>
        <v>85.29</v>
      </c>
      <c r="CD6">
        <f>VLOOKUP(A6,QCOM!A$2:G$55,7,0)</f>
        <v>80.209999999999994</v>
      </c>
      <c r="CE6">
        <f>VLOOKUP(A6,RTN!A$2:G$55,7,0)</f>
        <v>90.66</v>
      </c>
      <c r="CF6">
        <f>VLOOKUP(A6,SBUX!A$2:G$55,7,0)</f>
        <v>78.3</v>
      </c>
      <c r="CG6">
        <f>VLOOKUP(A6,SLB!A$2:G$55,7,0)</f>
        <v>116.33</v>
      </c>
      <c r="CH6">
        <f>VLOOKUP(A6,SO!A$2:G$55,7,0)</f>
        <v>44.01</v>
      </c>
      <c r="CI6">
        <f>VLOOKUP(A6,SPG!A$2:G$55,7,0)</f>
        <v>165.41</v>
      </c>
      <c r="CJ6">
        <f>VLOOKUP(A6,T!A$2:G$55,7,0)</f>
        <v>35.56</v>
      </c>
      <c r="CK6">
        <f>VLOOKUP(A6,TGT!A$2:G$55,7,0)</f>
        <v>59.27</v>
      </c>
      <c r="CL6">
        <f>VLOOKUP(A6,TWX!A$2:G$55,7,0)</f>
        <v>70.459999999999994</v>
      </c>
      <c r="CM6">
        <f>VLOOKUP(A6,TXN!A$2:G$55,7,0)</f>
        <v>48.54</v>
      </c>
      <c r="CN6">
        <f>VLOOKUP(A6,UNH!A$2:G$55,7,0)</f>
        <v>81.58</v>
      </c>
      <c r="CO6">
        <f>VLOOKUP(A6,UNP!A$2:G$55,7,0)</f>
        <v>99.62</v>
      </c>
      <c r="CP6">
        <f>VLOOKUP(A6,UPS!A$2:G$55,7,0)</f>
        <v>102.19</v>
      </c>
      <c r="CQ6">
        <f>VLOOKUP(A6,USB!A$2:G$55,7,0)</f>
        <v>42.94</v>
      </c>
      <c r="CR6">
        <f>VLOOKUP(A6,UTX!A$2:G$55,7,0)</f>
        <v>113.43</v>
      </c>
      <c r="CS6">
        <f>VLOOKUP(A6,V!A$2:G$55,7,0)</f>
        <v>214.85</v>
      </c>
      <c r="CT6">
        <f>VLOOKUP(A6,VZ!A$2:G$55,7,0)</f>
        <v>48.76</v>
      </c>
      <c r="CU6">
        <f>VLOOKUP(A6,WAG!A$2:G$55,7,0)</f>
        <v>70.73</v>
      </c>
      <c r="CV6">
        <f>VLOOKUP(A6,WFC!A$2:G$55,7,0)</f>
        <v>51.89</v>
      </c>
      <c r="CW6">
        <f>VLOOKUP(A6,WMT!A$2:G$55,7,0)</f>
        <v>76.150000000000006</v>
      </c>
    </row>
    <row r="7" spans="1:101" x14ac:dyDescent="0.25">
      <c r="A7" s="34">
        <v>41829</v>
      </c>
      <c r="B7" s="36">
        <v>94.92</v>
      </c>
      <c r="C7">
        <f>VLOOKUP(A7,ABBV!A$2:G$55,7,0)</f>
        <v>54.6</v>
      </c>
      <c r="D7">
        <f>VLOOKUP(A7,ABT!A$2:G$55,7,0)</f>
        <v>41.05</v>
      </c>
      <c r="E7">
        <f>VLOOKUP(A7,ACN!A$2:G$55,7,0)</f>
        <v>80.64</v>
      </c>
      <c r="F7">
        <f>VLOOKUP(A7,AIG!A$2:G$55,7,0)</f>
        <v>54.95</v>
      </c>
      <c r="G7">
        <f>VLOOKUP(A7,ALL!A$2:G$55,7,0)</f>
        <v>58.22</v>
      </c>
      <c r="H7">
        <f>VLOOKUP(A7,AMGN!A$2:G$55,7,0)</f>
        <v>119</v>
      </c>
      <c r="I7">
        <f>VLOOKUP(A7,AMZN!A$2:G$55,7,0)</f>
        <v>329.97</v>
      </c>
      <c r="J7">
        <f>VLOOKUP(A7,APA!A$2:G$55,7,0)</f>
        <v>99.4</v>
      </c>
      <c r="K7">
        <f>VLOOKUP(A7,APC!A$2:G$55,7,0)</f>
        <v>107.24</v>
      </c>
      <c r="L7">
        <f>VLOOKUP(A7,AXP!A$2:G$55,7,0)</f>
        <v>94.74</v>
      </c>
      <c r="M7">
        <f>VLOOKUP(A7,BA!A$2:G$55,7,0)</f>
        <v>126.03</v>
      </c>
      <c r="N7">
        <f>VLOOKUP(A7,BAC!A$2:G$55,7,0)</f>
        <v>15.55</v>
      </c>
      <c r="O7">
        <f>VLOOKUP(A7,BAX!A$2:G$55,7,0)</f>
        <v>75.290000000000006</v>
      </c>
      <c r="P7">
        <f>VLOOKUP(A7,BIIB!A$2:G$55,7,0)</f>
        <v>320.14</v>
      </c>
      <c r="Q7">
        <f>VLOOKUP(A7,BK!A$2:G$55,7,0)</f>
        <v>37.47</v>
      </c>
      <c r="R7">
        <f>VLOOKUP(A7,BMY!A$2:G$55,7,0)</f>
        <v>47.92</v>
      </c>
      <c r="T7">
        <f>VLOOKUP(A7,'C'!A$2:G$55,7,0)</f>
        <v>47.37</v>
      </c>
      <c r="U7">
        <f>VLOOKUP(A7,CAT!A$2:G$55,7,0)</f>
        <v>109.45</v>
      </c>
      <c r="V7">
        <f>VLOOKUP(A7,CL!A$2:G$55,7,0)</f>
        <v>69.290000000000006</v>
      </c>
      <c r="W7">
        <f>VLOOKUP(A7,CMCSA!A$2:G$55,7,0)</f>
        <v>54.5</v>
      </c>
      <c r="X7">
        <f>VLOOKUP(A7,COF!A$2:G$55,7,0)</f>
        <v>84.07</v>
      </c>
      <c r="Y7">
        <f>VLOOKUP(A7,COP!A$2:G$55,7,0)</f>
        <v>85.08</v>
      </c>
      <c r="Z7">
        <f>VLOOKUP(A7,COST!A$2:G$55,7,0)</f>
        <v>117.92</v>
      </c>
      <c r="AA7">
        <f>VLOOKUP(A7,CSCO!A$2:G$55,7,0)</f>
        <v>25.44</v>
      </c>
      <c r="AB7">
        <f>VLOOKUP(A7,CVS!A$2:G$55,7,0)</f>
        <v>76.569999999999993</v>
      </c>
      <c r="AC7">
        <f>VLOOKUP(A7,CVX!A$2:G$55,7,0)</f>
        <v>130.28</v>
      </c>
      <c r="AD7">
        <f>VLOOKUP(A7,DD!A$2:G$55,7,0)</f>
        <v>64.569999999999993</v>
      </c>
      <c r="AE7">
        <f>VLOOKUP(A7,DIS!A$2:G$55,7,0)</f>
        <v>87.22</v>
      </c>
      <c r="AF7">
        <f>VLOOKUP(A7,DOW!A$2:G$55,7,0)</f>
        <v>50.84</v>
      </c>
      <c r="AG7">
        <f>VLOOKUP(A7,DVN!A$2:G$55,7,0)</f>
        <v>79.13</v>
      </c>
      <c r="AH7">
        <f>VLOOKUP(A7,EBAY!A$2:G$55,7,0)</f>
        <v>50.93</v>
      </c>
      <c r="AI7">
        <f>VLOOKUP(A7,EMC!A$2:G$55,7,0)</f>
        <v>26.58</v>
      </c>
      <c r="AJ7">
        <f>VLOOKUP(A7,EMR!A$2:G$55,7,0)</f>
        <v>67.239999999999995</v>
      </c>
      <c r="AK7">
        <f>VLOOKUP(A7,EXC!A$2:G$55,7,0)</f>
        <v>33.93</v>
      </c>
      <c r="AL7">
        <f>VLOOKUP(A7,F!A$2:G$55,7,0)</f>
        <v>17.309999999999999</v>
      </c>
      <c r="AM7">
        <f>VLOOKUP(A7,FB!A$2:G$55,7,0)</f>
        <v>64.97</v>
      </c>
      <c r="AN7">
        <f>VLOOKUP(A7,FCX!A$2:G$55,7,0)</f>
        <v>38.729999999999997</v>
      </c>
      <c r="AO7">
        <f>VLOOKUP(A7,FDX!A$2:G$55,7,0)</f>
        <v>151.12</v>
      </c>
      <c r="AP7">
        <f>VLOOKUP(A7,FOXA!A$2:G$55,7,0)</f>
        <v>35.79</v>
      </c>
      <c r="AQ7">
        <f>VLOOKUP(A7,GD!A$2:G$55,7,0)</f>
        <v>115.62</v>
      </c>
      <c r="AR7">
        <f>VLOOKUP(A7,GE!A$2:G$55,7,0)</f>
        <v>26.1</v>
      </c>
      <c r="AS7">
        <f>VLOOKUP(A7,GILD!A$2:G$55,7,0)</f>
        <v>88.68</v>
      </c>
      <c r="AT7">
        <f>VLOOKUP(A7,GM!A$2:G$55,7,0)</f>
        <v>37.64</v>
      </c>
      <c r="AU7">
        <f>VLOOKUP(A7,GOOG!A$2:G$55,7,0)</f>
        <v>576.08000000000004</v>
      </c>
      <c r="AV7">
        <f>VLOOKUP(A7,GOOGL!A$2:G$55,7,0)</f>
        <v>583.36</v>
      </c>
      <c r="AW7">
        <f>VLOOKUP(A7,GS!A$2:G$55,7,0)</f>
        <v>164.16</v>
      </c>
      <c r="AX7">
        <f>VLOOKUP(A7,HAL!A$2:G$55,7,0)</f>
        <v>70.510000000000005</v>
      </c>
      <c r="AY7">
        <f>VLOOKUP(A7,HD!A$2:G$55,7,0)</f>
        <v>80.319999999999993</v>
      </c>
      <c r="AZ7">
        <f>VLOOKUP(A7,HON!A$2:G$55,7,0)</f>
        <v>94.09</v>
      </c>
      <c r="BA7">
        <f>VLOOKUP(A7,HPQ!A$2:G$55,7,0)</f>
        <v>33.51</v>
      </c>
      <c r="BB7">
        <f>VLOOKUP(A7,IBM!A$2:G$55,7,0)</f>
        <v>187.31</v>
      </c>
      <c r="BC7">
        <f>VLOOKUP(A7,INTC!A$2:G$55,7,0)</f>
        <v>30.69</v>
      </c>
      <c r="BD7">
        <f>VLOOKUP(A7,JNJ!A$2:G$55,7,0)</f>
        <v>105.33</v>
      </c>
      <c r="BE7">
        <f>VLOOKUP(A7,JPM!A$2:G$55,7,0)</f>
        <v>56.02</v>
      </c>
      <c r="BF7">
        <f>VLOOKUP(A7,KO!A$2:G$55,7,0)</f>
        <v>41.65</v>
      </c>
      <c r="BG7">
        <f>VLOOKUP(A7,LLY!A$2:G$55,7,0)</f>
        <v>62.12</v>
      </c>
      <c r="BH7">
        <f>VLOOKUP(A7,LMT!A$2:G$55,7,0)</f>
        <v>156.74</v>
      </c>
      <c r="BI7">
        <f>VLOOKUP(A7,LOW!A$2:G$55,7,0)</f>
        <v>47.63</v>
      </c>
      <c r="BJ7">
        <f>VLOOKUP(A7,MA!A$2:G$55,7,0)</f>
        <v>76.63</v>
      </c>
      <c r="BK7">
        <f>VLOOKUP(A7,MCD!A$2:G$55,7,0)</f>
        <v>100.21</v>
      </c>
      <c r="BL7">
        <f>VLOOKUP(A7,MDLZ!A$2:G$55,7,0)</f>
        <v>37.85</v>
      </c>
      <c r="BM7">
        <f>VLOOKUP(A7,MDT!A$2:G$55,7,0)</f>
        <v>63.6</v>
      </c>
      <c r="BN7">
        <f>VLOOKUP(A7,MET!A$2:G$55,7,0)</f>
        <v>55.97</v>
      </c>
      <c r="BO7">
        <f>VLOOKUP(A7,MMM!A$2:G$55,7,0)</f>
        <v>143.82</v>
      </c>
      <c r="BP7">
        <f>VLOOKUP(A7,MO!A$2:G$55,7,0)</f>
        <v>42.29</v>
      </c>
      <c r="BQ7">
        <f>VLOOKUP(A7,MON!A$2:G$55,7,0)</f>
        <v>123.47</v>
      </c>
      <c r="BR7">
        <f>VLOOKUP(A7,MRK!A$2:G$55,7,0)</f>
        <v>58.13</v>
      </c>
      <c r="BS7">
        <f>VLOOKUP(A7,MS!A$2:G$55,7,0)</f>
        <v>31.91</v>
      </c>
      <c r="BT7">
        <f>VLOOKUP(A7,MSFT!A$2:G$55,7,0)</f>
        <v>41.41</v>
      </c>
      <c r="BU7">
        <f>VLOOKUP(A7,NKE!A$2:G$55,7,0)</f>
        <v>78.45</v>
      </c>
      <c r="BV7">
        <f>VLOOKUP(A7,NOV!A$2:G$55,7,0)</f>
        <v>84.02</v>
      </c>
      <c r="BW7">
        <f>VLOOKUP(A7,NSC!A$2:G$55,7,0)</f>
        <v>102.83</v>
      </c>
      <c r="BX7">
        <f>VLOOKUP(A7,ORCL!A$2:G$55,7,0)</f>
        <v>40.26</v>
      </c>
      <c r="BY7">
        <f>VLOOKUP(A7,OXY!A$2:G$55,7,0)</f>
        <v>101.23</v>
      </c>
      <c r="BZ7">
        <f>VLOOKUP(A7,PEP!A$2:G$55,7,0)</f>
        <v>89.13</v>
      </c>
      <c r="CA7">
        <f>VLOOKUP(A7,PFE!A$2:G$55,7,0)</f>
        <v>29.79</v>
      </c>
      <c r="CB7">
        <f>VLOOKUP(A7,PG!A$2:G$55,7,0)</f>
        <v>81.02</v>
      </c>
      <c r="CC7">
        <f>VLOOKUP(A7,PM!A$2:G$55,7,0)</f>
        <v>85.03</v>
      </c>
      <c r="CD7">
        <f>VLOOKUP(A7,QCOM!A$2:G$55,7,0)</f>
        <v>80.33</v>
      </c>
      <c r="CE7">
        <f>VLOOKUP(A7,RTN!A$2:G$55,7,0)</f>
        <v>91.31</v>
      </c>
      <c r="CF7">
        <f>VLOOKUP(A7,SBUX!A$2:G$55,7,0)</f>
        <v>79.180000000000007</v>
      </c>
      <c r="CG7">
        <f>VLOOKUP(A7,SLB!A$2:G$55,7,0)</f>
        <v>116.54</v>
      </c>
      <c r="CH7">
        <f>VLOOKUP(A7,SO!A$2:G$55,7,0)</f>
        <v>43.93</v>
      </c>
      <c r="CI7">
        <f>VLOOKUP(A7,SPG!A$2:G$55,7,0)</f>
        <v>166.36</v>
      </c>
      <c r="CJ7">
        <f>VLOOKUP(A7,T!A$2:G$55,7,0)</f>
        <v>35.65</v>
      </c>
      <c r="CK7">
        <f>VLOOKUP(A7,TGT!A$2:G$55,7,0)</f>
        <v>59.51</v>
      </c>
      <c r="CL7">
        <f>VLOOKUP(A7,TWX!A$2:G$55,7,0)</f>
        <v>72.11</v>
      </c>
      <c r="CM7">
        <f>VLOOKUP(A7,TXN!A$2:G$55,7,0)</f>
        <v>48.97</v>
      </c>
      <c r="CN7">
        <f>VLOOKUP(A7,UNH!A$2:G$55,7,0)</f>
        <v>82.39</v>
      </c>
      <c r="CO7">
        <f>VLOOKUP(A7,UNP!A$2:G$55,7,0)</f>
        <v>100.13</v>
      </c>
      <c r="CP7">
        <f>VLOOKUP(A7,UPS!A$2:G$55,7,0)</f>
        <v>102.27</v>
      </c>
      <c r="CQ7">
        <f>VLOOKUP(A7,USB!A$2:G$55,7,0)</f>
        <v>43.13</v>
      </c>
      <c r="CR7">
        <f>VLOOKUP(A7,UTX!A$2:G$55,7,0)</f>
        <v>113.2</v>
      </c>
      <c r="CS7">
        <f>VLOOKUP(A7,V!A$2:G$55,7,0)</f>
        <v>215.75</v>
      </c>
      <c r="CT7">
        <f>VLOOKUP(A7,VZ!A$2:G$55,7,0)</f>
        <v>48.9</v>
      </c>
      <c r="CU7">
        <f>VLOOKUP(A7,WAG!A$2:G$55,7,0)</f>
        <v>71.56</v>
      </c>
      <c r="CV7">
        <f>VLOOKUP(A7,WFC!A$2:G$55,7,0)</f>
        <v>51.83</v>
      </c>
      <c r="CW7">
        <f>VLOOKUP(A7,WMT!A$2:G$55,7,0)</f>
        <v>76.7</v>
      </c>
    </row>
    <row r="8" spans="1:101" x14ac:dyDescent="0.25">
      <c r="A8" s="34">
        <v>41830</v>
      </c>
      <c r="B8" s="36">
        <v>94.57</v>
      </c>
      <c r="C8">
        <f>VLOOKUP(A8,ABBV!A$2:G$55,7,0)</f>
        <v>55.37</v>
      </c>
      <c r="D8">
        <f>VLOOKUP(A8,ABT!A$2:G$55,7,0)</f>
        <v>41.02</v>
      </c>
      <c r="E8">
        <f>VLOOKUP(A8,ACN!A$2:G$55,7,0)</f>
        <v>79.77</v>
      </c>
      <c r="F8">
        <f>VLOOKUP(A8,AIG!A$2:G$55,7,0)</f>
        <v>54.36</v>
      </c>
      <c r="G8">
        <f>VLOOKUP(A8,ALL!A$2:G$55,7,0)</f>
        <v>57.81</v>
      </c>
      <c r="H8">
        <f>VLOOKUP(A8,AMGN!A$2:G$55,7,0)</f>
        <v>118.38</v>
      </c>
      <c r="I8">
        <f>VLOOKUP(A8,AMZN!A$2:G$55,7,0)</f>
        <v>327.92</v>
      </c>
      <c r="J8">
        <f>VLOOKUP(A8,APA!A$2:G$55,7,0)</f>
        <v>98.97</v>
      </c>
      <c r="K8">
        <f>VLOOKUP(A8,APC!A$2:G$55,7,0)</f>
        <v>105.88</v>
      </c>
      <c r="L8">
        <f>VLOOKUP(A8,AXP!A$2:G$55,7,0)</f>
        <v>94.46</v>
      </c>
      <c r="M8">
        <f>VLOOKUP(A8,BA!A$2:G$55,7,0)</f>
        <v>126.03</v>
      </c>
      <c r="N8">
        <f>VLOOKUP(A8,BAC!A$2:G$55,7,0)</f>
        <v>15.39</v>
      </c>
      <c r="O8">
        <f>VLOOKUP(A8,BAX!A$2:G$55,7,0)</f>
        <v>76.209999999999994</v>
      </c>
      <c r="P8">
        <f>VLOOKUP(A8,BIIB!A$2:G$55,7,0)</f>
        <v>319.12</v>
      </c>
      <c r="Q8">
        <f>VLOOKUP(A8,BK!A$2:G$55,7,0)</f>
        <v>37.56</v>
      </c>
      <c r="R8">
        <f>VLOOKUP(A8,BMY!A$2:G$55,7,0)</f>
        <v>48.51</v>
      </c>
      <c r="T8">
        <f>VLOOKUP(A8,'C'!A$2:G$55,7,0)</f>
        <v>46.89</v>
      </c>
      <c r="U8">
        <f>VLOOKUP(A8,CAT!A$2:G$55,7,0)</f>
        <v>108.67</v>
      </c>
      <c r="V8">
        <f>VLOOKUP(A8,CL!A$2:G$55,7,0)</f>
        <v>69.06</v>
      </c>
      <c r="W8">
        <f>VLOOKUP(A8,CMCSA!A$2:G$55,7,0)</f>
        <v>54.13</v>
      </c>
      <c r="X8">
        <f>VLOOKUP(A8,COF!A$2:G$55,7,0)</f>
        <v>83.37</v>
      </c>
      <c r="Y8">
        <f>VLOOKUP(A8,COP!A$2:G$55,7,0)</f>
        <v>84.95</v>
      </c>
      <c r="Z8">
        <f>VLOOKUP(A8,COST!A$2:G$55,7,0)</f>
        <v>118.08</v>
      </c>
      <c r="AA8">
        <f>VLOOKUP(A8,CSCO!A$2:G$55,7,0)</f>
        <v>25.44</v>
      </c>
      <c r="AB8">
        <f>VLOOKUP(A8,CVS!A$2:G$55,7,0)</f>
        <v>76.34</v>
      </c>
      <c r="AC8">
        <f>VLOOKUP(A8,CVX!A$2:G$55,7,0)</f>
        <v>129.15</v>
      </c>
      <c r="AD8">
        <f>VLOOKUP(A8,DD!A$2:G$55,7,0)</f>
        <v>64.47</v>
      </c>
      <c r="AE8">
        <f>VLOOKUP(A8,DIS!A$2:G$55,7,0)</f>
        <v>86.86</v>
      </c>
      <c r="AF8">
        <f>VLOOKUP(A8,DOW!A$2:G$55,7,0)</f>
        <v>50.76</v>
      </c>
      <c r="AG8">
        <f>VLOOKUP(A8,DVN!A$2:G$55,7,0)</f>
        <v>77.84</v>
      </c>
      <c r="AH8">
        <f>VLOOKUP(A8,EBAY!A$2:G$55,7,0)</f>
        <v>50.34</v>
      </c>
      <c r="AI8">
        <f>VLOOKUP(A8,EMC!A$2:G$55,7,0)</f>
        <v>26.61</v>
      </c>
      <c r="AJ8">
        <f>VLOOKUP(A8,EMR!A$2:G$55,7,0)</f>
        <v>66.739999999999995</v>
      </c>
      <c r="AK8">
        <f>VLOOKUP(A8,EXC!A$2:G$55,7,0)</f>
        <v>34.03</v>
      </c>
      <c r="AL8">
        <f>VLOOKUP(A8,F!A$2:G$55,7,0)</f>
        <v>17.18</v>
      </c>
      <c r="AM8">
        <f>VLOOKUP(A8,FB!A$2:G$55,7,0)</f>
        <v>64.87</v>
      </c>
      <c r="AN8">
        <f>VLOOKUP(A8,FCX!A$2:G$55,7,0)</f>
        <v>38.549999999999997</v>
      </c>
      <c r="AO8">
        <f>VLOOKUP(A8,FDX!A$2:G$55,7,0)</f>
        <v>150.06</v>
      </c>
      <c r="AP8">
        <f>VLOOKUP(A8,FOXA!A$2:G$55,7,0)</f>
        <v>35.590000000000003</v>
      </c>
      <c r="AQ8">
        <f>VLOOKUP(A8,GD!A$2:G$55,7,0)</f>
        <v>115.53</v>
      </c>
      <c r="AR8">
        <f>VLOOKUP(A8,GE!A$2:G$55,7,0)</f>
        <v>25.98</v>
      </c>
      <c r="AS8">
        <f>VLOOKUP(A8,GILD!A$2:G$55,7,0)</f>
        <v>88.94</v>
      </c>
      <c r="AT8">
        <f>VLOOKUP(A8,GM!A$2:G$55,7,0)</f>
        <v>37.42</v>
      </c>
      <c r="AU8">
        <f>VLOOKUP(A8,GOOG!A$2:G$55,7,0)</f>
        <v>571.1</v>
      </c>
      <c r="AV8">
        <f>VLOOKUP(A8,GOOGL!A$2:G$55,7,0)</f>
        <v>580.04</v>
      </c>
      <c r="AW8">
        <f>VLOOKUP(A8,GS!A$2:G$55,7,0)</f>
        <v>162.91</v>
      </c>
      <c r="AX8">
        <f>VLOOKUP(A8,HAL!A$2:G$55,7,0)</f>
        <v>69.2</v>
      </c>
      <c r="AY8">
        <f>VLOOKUP(A8,HD!A$2:G$55,7,0)</f>
        <v>79</v>
      </c>
      <c r="AZ8">
        <f>VLOOKUP(A8,HON!A$2:G$55,7,0)</f>
        <v>93.83</v>
      </c>
      <c r="BA8">
        <f>VLOOKUP(A8,HPQ!A$2:G$55,7,0)</f>
        <v>33.71</v>
      </c>
      <c r="BB8">
        <f>VLOOKUP(A8,IBM!A$2:G$55,7,0)</f>
        <v>186.6</v>
      </c>
      <c r="BC8">
        <f>VLOOKUP(A8,INTC!A$2:G$55,7,0)</f>
        <v>31.05</v>
      </c>
      <c r="BD8">
        <f>VLOOKUP(A8,JNJ!A$2:G$55,7,0)</f>
        <v>105.09</v>
      </c>
      <c r="BE8">
        <f>VLOOKUP(A8,JPM!A$2:G$55,7,0)</f>
        <v>55.56</v>
      </c>
      <c r="BF8">
        <f>VLOOKUP(A8,KO!A$2:G$55,7,0)</f>
        <v>41.95</v>
      </c>
      <c r="BG8">
        <f>VLOOKUP(A8,LLY!A$2:G$55,7,0)</f>
        <v>62.03</v>
      </c>
      <c r="BH8">
        <f>VLOOKUP(A8,LMT!A$2:G$55,7,0)</f>
        <v>156.99</v>
      </c>
      <c r="BI8">
        <f>VLOOKUP(A8,LOW!A$2:G$55,7,0)</f>
        <v>46.97</v>
      </c>
      <c r="BJ8">
        <f>VLOOKUP(A8,MA!A$2:G$55,7,0)</f>
        <v>75.47</v>
      </c>
      <c r="BK8">
        <f>VLOOKUP(A8,MCD!A$2:G$55,7,0)</f>
        <v>99.72</v>
      </c>
      <c r="BL8">
        <f>VLOOKUP(A8,MDLZ!A$2:G$55,7,0)</f>
        <v>37.83</v>
      </c>
      <c r="BM8">
        <f>VLOOKUP(A8,MDT!A$2:G$55,7,0)</f>
        <v>63.47</v>
      </c>
      <c r="BN8">
        <f>VLOOKUP(A8,MET!A$2:G$55,7,0)</f>
        <v>55.07</v>
      </c>
      <c r="BO8">
        <f>VLOOKUP(A8,MMM!A$2:G$55,7,0)</f>
        <v>143.04</v>
      </c>
      <c r="BP8">
        <f>VLOOKUP(A8,MO!A$2:G$55,7,0)</f>
        <v>42.44</v>
      </c>
      <c r="BQ8">
        <f>VLOOKUP(A8,MON!A$2:G$55,7,0)</f>
        <v>122.56</v>
      </c>
      <c r="BR8">
        <f>VLOOKUP(A8,MRK!A$2:G$55,7,0)</f>
        <v>58.16</v>
      </c>
      <c r="BS8">
        <f>VLOOKUP(A8,MS!A$2:G$55,7,0)</f>
        <v>31.58</v>
      </c>
      <c r="BT8">
        <f>VLOOKUP(A8,MSFT!A$2:G$55,7,0)</f>
        <v>41.43</v>
      </c>
      <c r="BU8">
        <f>VLOOKUP(A8,NKE!A$2:G$55,7,0)</f>
        <v>77.27</v>
      </c>
      <c r="BV8">
        <f>VLOOKUP(A8,NOV!A$2:G$55,7,0)</f>
        <v>82.89</v>
      </c>
      <c r="BW8">
        <f>VLOOKUP(A8,NSC!A$2:G$55,7,0)</f>
        <v>101.85</v>
      </c>
      <c r="BX8">
        <f>VLOOKUP(A8,ORCL!A$2:G$55,7,0)</f>
        <v>40.32</v>
      </c>
      <c r="BY8">
        <f>VLOOKUP(A8,OXY!A$2:G$55,7,0)</f>
        <v>99.7</v>
      </c>
      <c r="BZ8">
        <f>VLOOKUP(A8,PEP!A$2:G$55,7,0)</f>
        <v>89.46</v>
      </c>
      <c r="CA8">
        <f>VLOOKUP(A8,PFE!A$2:G$55,7,0)</f>
        <v>29.74</v>
      </c>
      <c r="CB8">
        <f>VLOOKUP(A8,PG!A$2:G$55,7,0)</f>
        <v>80.959999999999994</v>
      </c>
      <c r="CC8">
        <f>VLOOKUP(A8,PM!A$2:G$55,7,0)</f>
        <v>83.91</v>
      </c>
      <c r="CD8">
        <f>VLOOKUP(A8,QCOM!A$2:G$55,7,0)</f>
        <v>79.989999999999995</v>
      </c>
      <c r="CE8">
        <f>VLOOKUP(A8,RTN!A$2:G$55,7,0)</f>
        <v>91.55</v>
      </c>
      <c r="CF8">
        <f>VLOOKUP(A8,SBUX!A$2:G$55,7,0)</f>
        <v>78.59</v>
      </c>
      <c r="CG8">
        <f>VLOOKUP(A8,SLB!A$2:G$55,7,0)</f>
        <v>114.98</v>
      </c>
      <c r="CH8">
        <f>VLOOKUP(A8,SO!A$2:G$55,7,0)</f>
        <v>44.11</v>
      </c>
      <c r="CI8">
        <f>VLOOKUP(A8,SPG!A$2:G$55,7,0)</f>
        <v>166.91</v>
      </c>
      <c r="CJ8">
        <f>VLOOKUP(A8,T!A$2:G$55,7,0)</f>
        <v>35.700000000000003</v>
      </c>
      <c r="CK8">
        <f>VLOOKUP(A8,TGT!A$2:G$55,7,0)</f>
        <v>59.39</v>
      </c>
      <c r="CL8">
        <f>VLOOKUP(A8,TWX!A$2:G$55,7,0)</f>
        <v>71.92</v>
      </c>
      <c r="CM8">
        <f>VLOOKUP(A8,TXN!A$2:G$55,7,0)</f>
        <v>48.69</v>
      </c>
      <c r="CN8">
        <f>VLOOKUP(A8,UNH!A$2:G$55,7,0)</f>
        <v>81.73</v>
      </c>
      <c r="CO8">
        <f>VLOOKUP(A8,UNP!A$2:G$55,7,0)</f>
        <v>99.14</v>
      </c>
      <c r="CP8">
        <f>VLOOKUP(A8,UPS!A$2:G$55,7,0)</f>
        <v>101.38</v>
      </c>
      <c r="CQ8">
        <f>VLOOKUP(A8,USB!A$2:G$55,7,0)</f>
        <v>42.85</v>
      </c>
      <c r="CR8">
        <f>VLOOKUP(A8,UTX!A$2:G$55,7,0)</f>
        <v>112.87</v>
      </c>
      <c r="CS8">
        <f>VLOOKUP(A8,V!A$2:G$55,7,0)</f>
        <v>215.13</v>
      </c>
      <c r="CT8">
        <f>VLOOKUP(A8,VZ!A$2:G$55,7,0)</f>
        <v>49.64</v>
      </c>
      <c r="CU8">
        <f>VLOOKUP(A8,WAG!A$2:G$55,7,0)</f>
        <v>71.14</v>
      </c>
      <c r="CV8">
        <f>VLOOKUP(A8,WFC!A$2:G$55,7,0)</f>
        <v>51.45</v>
      </c>
      <c r="CW8">
        <f>VLOOKUP(A8,WMT!A$2:G$55,7,0)</f>
        <v>76.56</v>
      </c>
    </row>
    <row r="9" spans="1:101" x14ac:dyDescent="0.25">
      <c r="A9" s="34">
        <v>41831</v>
      </c>
      <c r="B9" s="36">
        <v>94.75</v>
      </c>
      <c r="C9">
        <f>VLOOKUP(A9,ABBV!A$2:G$55,7,0)</f>
        <v>54.96</v>
      </c>
      <c r="D9">
        <f>VLOOKUP(A9,ABT!A$2:G$55,7,0)</f>
        <v>41.3</v>
      </c>
      <c r="E9">
        <f>VLOOKUP(A9,ACN!A$2:G$55,7,0)</f>
        <v>79.77</v>
      </c>
      <c r="F9">
        <f>VLOOKUP(A9,AIG!A$2:G$55,7,0)</f>
        <v>54.4</v>
      </c>
      <c r="G9">
        <f>VLOOKUP(A9,ALL!A$2:G$55,7,0)</f>
        <v>57.94</v>
      </c>
      <c r="H9">
        <f>VLOOKUP(A9,AMGN!A$2:G$55,7,0)</f>
        <v>119.2</v>
      </c>
      <c r="I9">
        <f>VLOOKUP(A9,AMZN!A$2:G$55,7,0)</f>
        <v>346.2</v>
      </c>
      <c r="J9">
        <f>VLOOKUP(A9,APA!A$2:G$55,7,0)</f>
        <v>97.15</v>
      </c>
      <c r="K9">
        <f>VLOOKUP(A9,APC!A$2:G$55,7,0)</f>
        <v>104.52</v>
      </c>
      <c r="L9">
        <f>VLOOKUP(A9,AXP!A$2:G$55,7,0)</f>
        <v>94.47</v>
      </c>
      <c r="M9">
        <f>VLOOKUP(A9,BA!A$2:G$55,7,0)</f>
        <v>127.32</v>
      </c>
      <c r="N9">
        <f>VLOOKUP(A9,BAC!A$2:G$55,7,0)</f>
        <v>15.33</v>
      </c>
      <c r="O9">
        <f>VLOOKUP(A9,BAX!A$2:G$55,7,0)</f>
        <v>76.05</v>
      </c>
      <c r="P9">
        <f>VLOOKUP(A9,BIIB!A$2:G$55,7,0)</f>
        <v>322.22000000000003</v>
      </c>
      <c r="Q9">
        <f>VLOOKUP(A9,BK!A$2:G$55,7,0)</f>
        <v>37.450000000000003</v>
      </c>
      <c r="R9">
        <f>VLOOKUP(A9,BMY!A$2:G$55,7,0)</f>
        <v>48.62</v>
      </c>
      <c r="T9">
        <f>VLOOKUP(A9,'C'!A$2:G$55,7,0)</f>
        <v>46.99</v>
      </c>
      <c r="U9">
        <f>VLOOKUP(A9,CAT!A$2:G$55,7,0)</f>
        <v>109.27</v>
      </c>
      <c r="V9">
        <f>VLOOKUP(A9,CL!A$2:G$55,7,0)</f>
        <v>69.16</v>
      </c>
      <c r="W9">
        <f>VLOOKUP(A9,CMCSA!A$2:G$55,7,0)</f>
        <v>54.32</v>
      </c>
      <c r="X9">
        <f>VLOOKUP(A9,COF!A$2:G$55,7,0)</f>
        <v>83.64</v>
      </c>
      <c r="Y9">
        <f>VLOOKUP(A9,COP!A$2:G$55,7,0)</f>
        <v>84.02</v>
      </c>
      <c r="Z9">
        <f>VLOOKUP(A9,COST!A$2:G$55,7,0)</f>
        <v>118.01</v>
      </c>
      <c r="AA9">
        <f>VLOOKUP(A9,CSCO!A$2:G$55,7,0)</f>
        <v>25.52</v>
      </c>
      <c r="AB9">
        <f>VLOOKUP(A9,CVS!A$2:G$55,7,0)</f>
        <v>76.63</v>
      </c>
      <c r="AC9">
        <f>VLOOKUP(A9,CVX!A$2:G$55,7,0)</f>
        <v>127.39</v>
      </c>
      <c r="AD9">
        <f>VLOOKUP(A9,DD!A$2:G$55,7,0)</f>
        <v>64.42</v>
      </c>
      <c r="AE9">
        <f>VLOOKUP(A9,DIS!A$2:G$55,7,0)</f>
        <v>86.89</v>
      </c>
      <c r="AF9">
        <f>VLOOKUP(A9,DOW!A$2:G$55,7,0)</f>
        <v>51.24</v>
      </c>
      <c r="AG9">
        <f>VLOOKUP(A9,DVN!A$2:G$55,7,0)</f>
        <v>76.87</v>
      </c>
      <c r="AH9">
        <f>VLOOKUP(A9,EBAY!A$2:G$55,7,0)</f>
        <v>51.5</v>
      </c>
      <c r="AI9">
        <f>VLOOKUP(A9,EMC!A$2:G$55,7,0)</f>
        <v>26.53</v>
      </c>
      <c r="AJ9">
        <f>VLOOKUP(A9,EMR!A$2:G$55,7,0)</f>
        <v>66.64</v>
      </c>
      <c r="AK9">
        <f>VLOOKUP(A9,EXC!A$2:G$55,7,0)</f>
        <v>33.450000000000003</v>
      </c>
      <c r="AL9">
        <f>VLOOKUP(A9,F!A$2:G$55,7,0)</f>
        <v>17.350000000000001</v>
      </c>
      <c r="AM9">
        <f>VLOOKUP(A9,FB!A$2:G$55,7,0)</f>
        <v>66.34</v>
      </c>
      <c r="AN9">
        <f>VLOOKUP(A9,FCX!A$2:G$55,7,0)</f>
        <v>38.71</v>
      </c>
      <c r="AO9">
        <f>VLOOKUP(A9,FDX!A$2:G$55,7,0)</f>
        <v>150.44</v>
      </c>
      <c r="AP9">
        <f>VLOOKUP(A9,FOXA!A$2:G$55,7,0)</f>
        <v>35.520000000000003</v>
      </c>
      <c r="AQ9">
        <f>VLOOKUP(A9,GD!A$2:G$55,7,0)</f>
        <v>116.85</v>
      </c>
      <c r="AR9">
        <f>VLOOKUP(A9,GE!A$2:G$55,7,0)</f>
        <v>26.33</v>
      </c>
      <c r="AS9">
        <f>VLOOKUP(A9,GILD!A$2:G$55,7,0)</f>
        <v>88.73</v>
      </c>
      <c r="AT9">
        <f>VLOOKUP(A9,GM!A$2:G$55,7,0)</f>
        <v>37.619999999999997</v>
      </c>
      <c r="AU9">
        <f>VLOOKUP(A9,GOOG!A$2:G$55,7,0)</f>
        <v>579.17999999999995</v>
      </c>
      <c r="AV9">
        <f>VLOOKUP(A9,GOOGL!A$2:G$55,7,0)</f>
        <v>586.65</v>
      </c>
      <c r="AW9">
        <f>VLOOKUP(A9,GS!A$2:G$55,7,0)</f>
        <v>164.29</v>
      </c>
      <c r="AX9">
        <f>VLOOKUP(A9,HAL!A$2:G$55,7,0)</f>
        <v>68.84</v>
      </c>
      <c r="AY9">
        <f>VLOOKUP(A9,HD!A$2:G$55,7,0)</f>
        <v>79.209999999999994</v>
      </c>
      <c r="AZ9">
        <f>VLOOKUP(A9,HON!A$2:G$55,7,0)</f>
        <v>94.45</v>
      </c>
      <c r="BA9">
        <f>VLOOKUP(A9,HPQ!A$2:G$55,7,0)</f>
        <v>33.83</v>
      </c>
      <c r="BB9">
        <f>VLOOKUP(A9,IBM!A$2:G$55,7,0)</f>
        <v>186.89</v>
      </c>
      <c r="BC9">
        <f>VLOOKUP(A9,INTC!A$2:G$55,7,0)</f>
        <v>31.04</v>
      </c>
      <c r="BD9">
        <f>VLOOKUP(A9,JNJ!A$2:G$55,7,0)</f>
        <v>104.39</v>
      </c>
      <c r="BE9">
        <f>VLOOKUP(A9,JPM!A$2:G$55,7,0)</f>
        <v>55.8</v>
      </c>
      <c r="BF9">
        <f>VLOOKUP(A9,KO!A$2:G$55,7,0)</f>
        <v>41.67</v>
      </c>
      <c r="BG9">
        <f>VLOOKUP(A9,LLY!A$2:G$55,7,0)</f>
        <v>62.34</v>
      </c>
      <c r="BH9">
        <f>VLOOKUP(A9,LMT!A$2:G$55,7,0)</f>
        <v>159.1</v>
      </c>
      <c r="BI9">
        <f>VLOOKUP(A9,LOW!A$2:G$55,7,0)</f>
        <v>47.21</v>
      </c>
      <c r="BJ9">
        <f>VLOOKUP(A9,MA!A$2:G$55,7,0)</f>
        <v>75.83</v>
      </c>
      <c r="BK9">
        <f>VLOOKUP(A9,MCD!A$2:G$55,7,0)</f>
        <v>99.51</v>
      </c>
      <c r="BL9">
        <f>VLOOKUP(A9,MDLZ!A$2:G$55,7,0)</f>
        <v>38.25</v>
      </c>
      <c r="BM9">
        <f>VLOOKUP(A9,MDT!A$2:G$55,7,0)</f>
        <v>63.79</v>
      </c>
      <c r="BN9">
        <f>VLOOKUP(A9,MET!A$2:G$55,7,0)</f>
        <v>55.36</v>
      </c>
      <c r="BO9">
        <f>VLOOKUP(A9,MMM!A$2:G$55,7,0)</f>
        <v>143.44999999999999</v>
      </c>
      <c r="BP9">
        <f>VLOOKUP(A9,MO!A$2:G$55,7,0)</f>
        <v>42.92</v>
      </c>
      <c r="BQ9">
        <f>VLOOKUP(A9,MON!A$2:G$55,7,0)</f>
        <v>120.9</v>
      </c>
      <c r="BR9">
        <f>VLOOKUP(A9,MRK!A$2:G$55,7,0)</f>
        <v>58.02</v>
      </c>
      <c r="BS9">
        <f>VLOOKUP(A9,MS!A$2:G$55,7,0)</f>
        <v>31.32</v>
      </c>
      <c r="BT9">
        <f>VLOOKUP(A9,MSFT!A$2:G$55,7,0)</f>
        <v>41.83</v>
      </c>
      <c r="BU9">
        <f>VLOOKUP(A9,NKE!A$2:G$55,7,0)</f>
        <v>77.06</v>
      </c>
      <c r="BV9">
        <f>VLOOKUP(A9,NOV!A$2:G$55,7,0)</f>
        <v>82.28</v>
      </c>
      <c r="BW9">
        <f>VLOOKUP(A9,NSC!A$2:G$55,7,0)</f>
        <v>103.38</v>
      </c>
      <c r="BX9">
        <f>VLOOKUP(A9,ORCL!A$2:G$55,7,0)</f>
        <v>40.130000000000003</v>
      </c>
      <c r="BY9">
        <f>VLOOKUP(A9,OXY!A$2:G$55,7,0)</f>
        <v>99.77</v>
      </c>
      <c r="BZ9">
        <f>VLOOKUP(A9,PEP!A$2:G$55,7,0)</f>
        <v>89.21</v>
      </c>
      <c r="CA9">
        <f>VLOOKUP(A9,PFE!A$2:G$55,7,0)</f>
        <v>29.81</v>
      </c>
      <c r="CB9">
        <f>VLOOKUP(A9,PG!A$2:G$55,7,0)</f>
        <v>80.52</v>
      </c>
      <c r="CC9">
        <f>VLOOKUP(A9,PM!A$2:G$55,7,0)</f>
        <v>84.42</v>
      </c>
      <c r="CD9">
        <f>VLOOKUP(A9,QCOM!A$2:G$55,7,0)</f>
        <v>79.16</v>
      </c>
      <c r="CE9">
        <f>VLOOKUP(A9,RTN!A$2:G$55,7,0)</f>
        <v>92.41</v>
      </c>
      <c r="CF9">
        <f>VLOOKUP(A9,SBUX!A$2:G$55,7,0)</f>
        <v>78.34</v>
      </c>
      <c r="CG9">
        <f>VLOOKUP(A9,SLB!A$2:G$55,7,0)</f>
        <v>114.28</v>
      </c>
      <c r="CH9">
        <f>VLOOKUP(A9,SO!A$2:G$55,7,0)</f>
        <v>44</v>
      </c>
      <c r="CI9">
        <f>VLOOKUP(A9,SPG!A$2:G$55,7,0)</f>
        <v>167.68</v>
      </c>
      <c r="CJ9">
        <f>VLOOKUP(A9,T!A$2:G$55,7,0)</f>
        <v>35.76</v>
      </c>
      <c r="CK9">
        <f>VLOOKUP(A9,TGT!A$2:G$55,7,0)</f>
        <v>59.46</v>
      </c>
      <c r="CL9">
        <f>VLOOKUP(A9,TWX!A$2:G$55,7,0)</f>
        <v>71.989999999999995</v>
      </c>
      <c r="CM9">
        <f>VLOOKUP(A9,TXN!A$2:G$55,7,0)</f>
        <v>48.98</v>
      </c>
      <c r="CN9">
        <f>VLOOKUP(A9,UNH!A$2:G$55,7,0)</f>
        <v>82.52</v>
      </c>
      <c r="CO9">
        <f>VLOOKUP(A9,UNP!A$2:G$55,7,0)</f>
        <v>99.8</v>
      </c>
      <c r="CP9">
        <f>VLOOKUP(A9,UPS!A$2:G$55,7,0)</f>
        <v>101.82</v>
      </c>
      <c r="CQ9">
        <f>VLOOKUP(A9,USB!A$2:G$55,7,0)</f>
        <v>42.93</v>
      </c>
      <c r="CR9">
        <f>VLOOKUP(A9,UTX!A$2:G$55,7,0)</f>
        <v>113.49</v>
      </c>
      <c r="CS9">
        <f>VLOOKUP(A9,V!A$2:G$55,7,0)</f>
        <v>216.59</v>
      </c>
      <c r="CT9">
        <f>VLOOKUP(A9,VZ!A$2:G$55,7,0)</f>
        <v>50.32</v>
      </c>
      <c r="CU9">
        <f>VLOOKUP(A9,WAG!A$2:G$55,7,0)</f>
        <v>71.27</v>
      </c>
      <c r="CV9">
        <f>VLOOKUP(A9,WFC!A$2:G$55,7,0)</f>
        <v>51.13</v>
      </c>
      <c r="CW9">
        <f>VLOOKUP(A9,WMT!A$2:G$55,7,0)</f>
        <v>76.319999999999993</v>
      </c>
    </row>
    <row r="10" spans="1:101" x14ac:dyDescent="0.25">
      <c r="A10" s="34">
        <v>41834</v>
      </c>
      <c r="B10" s="36">
        <v>95.97</v>
      </c>
      <c r="C10">
        <f>VLOOKUP(A10,ABBV!A$2:G$55,7,0)</f>
        <v>54.85</v>
      </c>
      <c r="D10">
        <f>VLOOKUP(A10,ABT!A$2:G$55,7,0)</f>
        <v>41.82</v>
      </c>
      <c r="E10">
        <f>VLOOKUP(A10,ACN!A$2:G$55,7,0)</f>
        <v>79.459999999999994</v>
      </c>
      <c r="F10">
        <f>VLOOKUP(A10,AIG!A$2:G$55,7,0)</f>
        <v>54.98</v>
      </c>
      <c r="G10">
        <f>VLOOKUP(A10,ALL!A$2:G$55,7,0)</f>
        <v>58.02</v>
      </c>
      <c r="H10">
        <f>VLOOKUP(A10,AMGN!A$2:G$55,7,0)</f>
        <v>118.41</v>
      </c>
      <c r="I10">
        <f>VLOOKUP(A10,AMZN!A$2:G$55,7,0)</f>
        <v>355.32</v>
      </c>
      <c r="J10">
        <f>VLOOKUP(A10,APA!A$2:G$55,7,0)</f>
        <v>98.3</v>
      </c>
      <c r="K10">
        <f>VLOOKUP(A10,APC!A$2:G$55,7,0)</f>
        <v>105.66</v>
      </c>
      <c r="L10">
        <f>VLOOKUP(A10,AXP!A$2:G$55,7,0)</f>
        <v>94.54</v>
      </c>
      <c r="M10">
        <f>VLOOKUP(A10,BA!A$2:G$55,7,0)</f>
        <v>128.74</v>
      </c>
      <c r="N10">
        <f>VLOOKUP(A10,BAC!A$2:G$55,7,0)</f>
        <v>15.52</v>
      </c>
      <c r="O10">
        <f>VLOOKUP(A10,BAX!A$2:G$55,7,0)</f>
        <v>76.25</v>
      </c>
      <c r="P10">
        <f>VLOOKUP(A10,BIIB!A$2:G$55,7,0)</f>
        <v>319.75</v>
      </c>
      <c r="Q10">
        <f>VLOOKUP(A10,BK!A$2:G$55,7,0)</f>
        <v>37.479999999999997</v>
      </c>
      <c r="R10">
        <f>VLOOKUP(A10,BMY!A$2:G$55,7,0)</f>
        <v>49.08</v>
      </c>
      <c r="T10">
        <f>VLOOKUP(A10,'C'!A$2:G$55,7,0)</f>
        <v>48.41</v>
      </c>
      <c r="U10">
        <f>VLOOKUP(A10,CAT!A$2:G$55,7,0)</f>
        <v>109.4</v>
      </c>
      <c r="V10">
        <f>VLOOKUP(A10,CL!A$2:G$55,7,0)</f>
        <v>69.430000000000007</v>
      </c>
      <c r="W10">
        <f>VLOOKUP(A10,CMCSA!A$2:G$55,7,0)</f>
        <v>54.82</v>
      </c>
      <c r="X10">
        <f>VLOOKUP(A10,COF!A$2:G$55,7,0)</f>
        <v>83.69</v>
      </c>
      <c r="Y10">
        <f>VLOOKUP(A10,COP!A$2:G$55,7,0)</f>
        <v>85.12</v>
      </c>
      <c r="Z10">
        <f>VLOOKUP(A10,COST!A$2:G$55,7,0)</f>
        <v>117.36</v>
      </c>
      <c r="AA10">
        <f>VLOOKUP(A10,CSCO!A$2:G$55,7,0)</f>
        <v>25.44</v>
      </c>
      <c r="AB10">
        <f>VLOOKUP(A10,CVS!A$2:G$55,7,0)</f>
        <v>77.010000000000005</v>
      </c>
      <c r="AC10">
        <f>VLOOKUP(A10,CVX!A$2:G$55,7,0)</f>
        <v>128.16999999999999</v>
      </c>
      <c r="AD10">
        <f>VLOOKUP(A10,DD!A$2:G$55,7,0)</f>
        <v>64.540000000000006</v>
      </c>
      <c r="AE10">
        <f>VLOOKUP(A10,DIS!A$2:G$55,7,0)</f>
        <v>86.76</v>
      </c>
      <c r="AF10">
        <f>VLOOKUP(A10,DOW!A$2:G$55,7,0)</f>
        <v>51.14</v>
      </c>
      <c r="AG10">
        <f>VLOOKUP(A10,DVN!A$2:G$55,7,0)</f>
        <v>77.55</v>
      </c>
      <c r="AH10">
        <f>VLOOKUP(A10,EBAY!A$2:G$55,7,0)</f>
        <v>51.16</v>
      </c>
      <c r="AI10">
        <f>VLOOKUP(A10,EMC!A$2:G$55,7,0)</f>
        <v>26.81</v>
      </c>
      <c r="AJ10">
        <f>VLOOKUP(A10,EMR!A$2:G$55,7,0)</f>
        <v>66.8</v>
      </c>
      <c r="AK10">
        <f>VLOOKUP(A10,EXC!A$2:G$55,7,0)</f>
        <v>32.57</v>
      </c>
      <c r="AL10">
        <f>VLOOKUP(A10,F!A$2:G$55,7,0)</f>
        <v>17.43</v>
      </c>
      <c r="AM10">
        <f>VLOOKUP(A10,FB!A$2:G$55,7,0)</f>
        <v>67.900000000000006</v>
      </c>
      <c r="AN10">
        <f>VLOOKUP(A10,FCX!A$2:G$55,7,0)</f>
        <v>38.700000000000003</v>
      </c>
      <c r="AO10">
        <f>VLOOKUP(A10,FDX!A$2:G$55,7,0)</f>
        <v>150.87</v>
      </c>
      <c r="AP10">
        <f>VLOOKUP(A10,FOXA!A$2:G$55,7,0)</f>
        <v>35.42</v>
      </c>
      <c r="AQ10">
        <f>VLOOKUP(A10,GD!A$2:G$55,7,0)</f>
        <v>116.68</v>
      </c>
      <c r="AR10">
        <f>VLOOKUP(A10,GE!A$2:G$55,7,0)</f>
        <v>26.44</v>
      </c>
      <c r="AS10">
        <f>VLOOKUP(A10,GILD!A$2:G$55,7,0)</f>
        <v>89.85</v>
      </c>
      <c r="AT10">
        <f>VLOOKUP(A10,GM!A$2:G$55,7,0)</f>
        <v>37.369999999999997</v>
      </c>
      <c r="AU10">
        <f>VLOOKUP(A10,GOOG!A$2:G$55,7,0)</f>
        <v>584.87</v>
      </c>
      <c r="AV10">
        <f>VLOOKUP(A10,GOOGL!A$2:G$55,7,0)</f>
        <v>594.26</v>
      </c>
      <c r="AW10">
        <f>VLOOKUP(A10,GS!A$2:G$55,7,0)</f>
        <v>166.48</v>
      </c>
      <c r="AX10">
        <f>VLOOKUP(A10,HAL!A$2:G$55,7,0)</f>
        <v>69.64</v>
      </c>
      <c r="AY10">
        <f>VLOOKUP(A10,HD!A$2:G$55,7,0)</f>
        <v>79.06</v>
      </c>
      <c r="AZ10">
        <f>VLOOKUP(A10,HON!A$2:G$55,7,0)</f>
        <v>95.29</v>
      </c>
      <c r="BA10">
        <f>VLOOKUP(A10,HPQ!A$2:G$55,7,0)</f>
        <v>34</v>
      </c>
      <c r="BB10">
        <f>VLOOKUP(A10,IBM!A$2:G$55,7,0)</f>
        <v>188.74</v>
      </c>
      <c r="BC10">
        <f>VLOOKUP(A10,INTC!A$2:G$55,7,0)</f>
        <v>31.28</v>
      </c>
      <c r="BD10">
        <f>VLOOKUP(A10,JNJ!A$2:G$55,7,0)</f>
        <v>104.67</v>
      </c>
      <c r="BE10">
        <f>VLOOKUP(A10,JPM!A$2:G$55,7,0)</f>
        <v>56.29</v>
      </c>
      <c r="BF10">
        <f>VLOOKUP(A10,KO!A$2:G$55,7,0)</f>
        <v>42.07</v>
      </c>
      <c r="BG10">
        <f>VLOOKUP(A10,LLY!A$2:G$55,7,0)</f>
        <v>62.51</v>
      </c>
      <c r="BH10">
        <f>VLOOKUP(A10,LMT!A$2:G$55,7,0)</f>
        <v>160.59</v>
      </c>
      <c r="BI10">
        <f>VLOOKUP(A10,LOW!A$2:G$55,7,0)</f>
        <v>46.99</v>
      </c>
      <c r="BJ10">
        <f>VLOOKUP(A10,MA!A$2:G$55,7,0)</f>
        <v>77.33</v>
      </c>
      <c r="BK10">
        <f>VLOOKUP(A10,MCD!A$2:G$55,7,0)</f>
        <v>99.61</v>
      </c>
      <c r="BL10">
        <f>VLOOKUP(A10,MDLZ!A$2:G$55,7,0)</f>
        <v>38.39</v>
      </c>
      <c r="BM10">
        <f>VLOOKUP(A10,MDT!A$2:G$55,7,0)</f>
        <v>64.040000000000006</v>
      </c>
      <c r="BN10">
        <f>VLOOKUP(A10,MET!A$2:G$55,7,0)</f>
        <v>55.76</v>
      </c>
      <c r="BO10">
        <f>VLOOKUP(A10,MMM!A$2:G$55,7,0)</f>
        <v>144.13999999999999</v>
      </c>
      <c r="BP10">
        <f>VLOOKUP(A10,MO!A$2:G$55,7,0)</f>
        <v>42.84</v>
      </c>
      <c r="BQ10">
        <f>VLOOKUP(A10,MON!A$2:G$55,7,0)</f>
        <v>120</v>
      </c>
      <c r="BR10">
        <f>VLOOKUP(A10,MRK!A$2:G$55,7,0)</f>
        <v>57.76</v>
      </c>
      <c r="BS10">
        <f>VLOOKUP(A10,MS!A$2:G$55,7,0)</f>
        <v>31.71</v>
      </c>
      <c r="BT10">
        <f>VLOOKUP(A10,MSFT!A$2:G$55,7,0)</f>
        <v>41.88</v>
      </c>
      <c r="BU10">
        <f>VLOOKUP(A10,NKE!A$2:G$55,7,0)</f>
        <v>77.72</v>
      </c>
      <c r="BV10">
        <f>VLOOKUP(A10,NOV!A$2:G$55,7,0)</f>
        <v>83.28</v>
      </c>
      <c r="BW10">
        <f>VLOOKUP(A10,NSC!A$2:G$55,7,0)</f>
        <v>103.85</v>
      </c>
      <c r="BX10">
        <f>VLOOKUP(A10,ORCL!A$2:G$55,7,0)</f>
        <v>40.49</v>
      </c>
      <c r="BY10">
        <f>VLOOKUP(A10,OXY!A$2:G$55,7,0)</f>
        <v>100.5</v>
      </c>
      <c r="BZ10">
        <f>VLOOKUP(A10,PEP!A$2:G$55,7,0)</f>
        <v>90.43</v>
      </c>
      <c r="CA10">
        <f>VLOOKUP(A10,PFE!A$2:G$55,7,0)</f>
        <v>29.98</v>
      </c>
      <c r="CB10">
        <f>VLOOKUP(A10,PG!A$2:G$55,7,0)</f>
        <v>80.680000000000007</v>
      </c>
      <c r="CC10">
        <f>VLOOKUP(A10,PM!A$2:G$55,7,0)</f>
        <v>84.95</v>
      </c>
      <c r="CD10">
        <f>VLOOKUP(A10,QCOM!A$2:G$55,7,0)</f>
        <v>79.08</v>
      </c>
      <c r="CE10">
        <f>VLOOKUP(A10,RTN!A$2:G$55,7,0)</f>
        <v>93.4</v>
      </c>
      <c r="CF10">
        <f>VLOOKUP(A10,SBUX!A$2:G$55,7,0)</f>
        <v>78.3</v>
      </c>
      <c r="CG10">
        <f>VLOOKUP(A10,SLB!A$2:G$55,7,0)</f>
        <v>115.52</v>
      </c>
      <c r="CH10">
        <f>VLOOKUP(A10,SO!A$2:G$55,7,0)</f>
        <v>43.66</v>
      </c>
      <c r="CI10">
        <f>VLOOKUP(A10,SPG!A$2:G$55,7,0)</f>
        <v>168.09</v>
      </c>
      <c r="CJ10">
        <f>VLOOKUP(A10,T!A$2:G$55,7,0)</f>
        <v>35.86</v>
      </c>
      <c r="CK10">
        <f>VLOOKUP(A10,TGT!A$2:G$55,7,0)</f>
        <v>59.64</v>
      </c>
      <c r="CL10">
        <f>VLOOKUP(A10,TWX!A$2:G$55,7,0)</f>
        <v>71.38</v>
      </c>
      <c r="CM10">
        <f>VLOOKUP(A10,TXN!A$2:G$55,7,0)</f>
        <v>48.61</v>
      </c>
      <c r="CN10">
        <f>VLOOKUP(A10,UNH!A$2:G$55,7,0)</f>
        <v>83.91</v>
      </c>
      <c r="CO10">
        <f>VLOOKUP(A10,UNP!A$2:G$55,7,0)</f>
        <v>100.61</v>
      </c>
      <c r="CP10">
        <f>VLOOKUP(A10,UPS!A$2:G$55,7,0)</f>
        <v>102.73</v>
      </c>
      <c r="CQ10">
        <f>VLOOKUP(A10,USB!A$2:G$55,7,0)</f>
        <v>42.8</v>
      </c>
      <c r="CR10">
        <f>VLOOKUP(A10,UTX!A$2:G$55,7,0)</f>
        <v>114.23</v>
      </c>
      <c r="CS10">
        <f>VLOOKUP(A10,V!A$2:G$55,7,0)</f>
        <v>220.61</v>
      </c>
      <c r="CT10">
        <f>VLOOKUP(A10,VZ!A$2:G$55,7,0)</f>
        <v>50.53</v>
      </c>
      <c r="CU10">
        <f>VLOOKUP(A10,WAG!A$2:G$55,7,0)</f>
        <v>71.099999999999994</v>
      </c>
      <c r="CV10">
        <f>VLOOKUP(A10,WFC!A$2:G$55,7,0)</f>
        <v>50.95</v>
      </c>
      <c r="CW10">
        <f>VLOOKUP(A10,WMT!A$2:G$55,7,0)</f>
        <v>76.05</v>
      </c>
    </row>
    <row r="11" spans="1:101" x14ac:dyDescent="0.25">
      <c r="A11" s="34">
        <v>41835</v>
      </c>
      <c r="B11" s="36">
        <v>94.85</v>
      </c>
      <c r="C11">
        <f>VLOOKUP(A11,ABBV!A$2:G$55,7,0)</f>
        <v>53.44</v>
      </c>
      <c r="D11">
        <f>VLOOKUP(A11,ABT!A$2:G$55,7,0)</f>
        <v>41.17</v>
      </c>
      <c r="E11">
        <f>VLOOKUP(A11,ACN!A$2:G$55,7,0)</f>
        <v>79.36</v>
      </c>
      <c r="F11">
        <f>VLOOKUP(A11,AIG!A$2:G$55,7,0)</f>
        <v>54.93</v>
      </c>
      <c r="G11">
        <f>VLOOKUP(A11,ALL!A$2:G$55,7,0)</f>
        <v>58.2</v>
      </c>
      <c r="H11">
        <f>VLOOKUP(A11,AMGN!A$2:G$55,7,0)</f>
        <v>116.3</v>
      </c>
      <c r="I11">
        <f>VLOOKUP(A11,AMZN!A$2:G$55,7,0)</f>
        <v>354.44</v>
      </c>
      <c r="J11">
        <f>VLOOKUP(A11,APA!A$2:G$55,7,0)</f>
        <v>97.69</v>
      </c>
      <c r="K11">
        <f>VLOOKUP(A11,APC!A$2:G$55,7,0)</f>
        <v>109.45</v>
      </c>
      <c r="L11">
        <f>VLOOKUP(A11,AXP!A$2:G$55,7,0)</f>
        <v>94.45</v>
      </c>
      <c r="M11">
        <f>VLOOKUP(A11,BA!A$2:G$55,7,0)</f>
        <v>128.32</v>
      </c>
      <c r="N11">
        <f>VLOOKUP(A11,BAC!A$2:G$55,7,0)</f>
        <v>15.76</v>
      </c>
      <c r="O11">
        <f>VLOOKUP(A11,BAX!A$2:G$55,7,0)</f>
        <v>76.22</v>
      </c>
      <c r="P11">
        <f>VLOOKUP(A11,BIIB!A$2:G$55,7,0)</f>
        <v>312</v>
      </c>
      <c r="Q11">
        <f>VLOOKUP(A11,BK!A$2:G$55,7,0)</f>
        <v>38.08</v>
      </c>
      <c r="R11">
        <f>VLOOKUP(A11,BMY!A$2:G$55,7,0)</f>
        <v>48.71</v>
      </c>
      <c r="T11">
        <f>VLOOKUP(A11,'C'!A$2:G$55,7,0)</f>
        <v>49.28</v>
      </c>
      <c r="U11">
        <f>VLOOKUP(A11,CAT!A$2:G$55,7,0)</f>
        <v>109.16</v>
      </c>
      <c r="V11">
        <f>VLOOKUP(A11,CL!A$2:G$55,7,0)</f>
        <v>69.3</v>
      </c>
      <c r="W11">
        <f>VLOOKUP(A11,CMCSA!A$2:G$55,7,0)</f>
        <v>54.66</v>
      </c>
      <c r="X11">
        <f>VLOOKUP(A11,COF!A$2:G$55,7,0)</f>
        <v>84.58</v>
      </c>
      <c r="Y11">
        <f>VLOOKUP(A11,COP!A$2:G$55,7,0)</f>
        <v>84</v>
      </c>
      <c r="Z11">
        <f>VLOOKUP(A11,COST!A$2:G$55,7,0)</f>
        <v>117.82</v>
      </c>
      <c r="AA11">
        <f>VLOOKUP(A11,CSCO!A$2:G$55,7,0)</f>
        <v>25.67</v>
      </c>
      <c r="AB11">
        <f>VLOOKUP(A11,CVS!A$2:G$55,7,0)</f>
        <v>77.13</v>
      </c>
      <c r="AC11">
        <f>VLOOKUP(A11,CVX!A$2:G$55,7,0)</f>
        <v>128.16999999999999</v>
      </c>
      <c r="AD11">
        <f>VLOOKUP(A11,DD!A$2:G$55,7,0)</f>
        <v>64.12</v>
      </c>
      <c r="AE11">
        <f>VLOOKUP(A11,DIS!A$2:G$55,7,0)</f>
        <v>86.15</v>
      </c>
      <c r="AF11">
        <f>VLOOKUP(A11,DOW!A$2:G$55,7,0)</f>
        <v>51.18</v>
      </c>
      <c r="AG11">
        <f>VLOOKUP(A11,DVN!A$2:G$55,7,0)</f>
        <v>76.239999999999995</v>
      </c>
      <c r="AH11">
        <f>VLOOKUP(A11,EBAY!A$2:G$55,7,0)</f>
        <v>50.82</v>
      </c>
      <c r="AI11">
        <f>VLOOKUP(A11,EMC!A$2:G$55,7,0)</f>
        <v>26.75</v>
      </c>
      <c r="AJ11">
        <f>VLOOKUP(A11,EMR!A$2:G$55,7,0)</f>
        <v>67.040000000000006</v>
      </c>
      <c r="AK11">
        <f>VLOOKUP(A11,EXC!A$2:G$55,7,0)</f>
        <v>32.53</v>
      </c>
      <c r="AL11">
        <f>VLOOKUP(A11,F!A$2:G$55,7,0)</f>
        <v>17.420000000000002</v>
      </c>
      <c r="AM11">
        <f>VLOOKUP(A11,FB!A$2:G$55,7,0)</f>
        <v>67.17</v>
      </c>
      <c r="AN11">
        <f>VLOOKUP(A11,FCX!A$2:G$55,7,0)</f>
        <v>38.29</v>
      </c>
      <c r="AO11">
        <f>VLOOKUP(A11,FDX!A$2:G$55,7,0)</f>
        <v>151.69999999999999</v>
      </c>
      <c r="AP11">
        <f>VLOOKUP(A11,FOXA!A$2:G$55,7,0)</f>
        <v>35.07</v>
      </c>
      <c r="AQ11">
        <f>VLOOKUP(A11,GD!A$2:G$55,7,0)</f>
        <v>117.51</v>
      </c>
      <c r="AR11">
        <f>VLOOKUP(A11,GE!A$2:G$55,7,0)</f>
        <v>26.39</v>
      </c>
      <c r="AS11">
        <f>VLOOKUP(A11,GILD!A$2:G$55,7,0)</f>
        <v>89</v>
      </c>
      <c r="AT11">
        <f>VLOOKUP(A11,GM!A$2:G$55,7,0)</f>
        <v>37.25</v>
      </c>
      <c r="AU11">
        <f>VLOOKUP(A11,GOOG!A$2:G$55,7,0)</f>
        <v>584.78</v>
      </c>
      <c r="AV11">
        <f>VLOOKUP(A11,GOOGL!A$2:G$55,7,0)</f>
        <v>593.05999999999995</v>
      </c>
      <c r="AW11">
        <f>VLOOKUP(A11,GS!A$2:G$55,7,0)</f>
        <v>168.65</v>
      </c>
      <c r="AX11">
        <f>VLOOKUP(A11,HAL!A$2:G$55,7,0)</f>
        <v>70.099999999999994</v>
      </c>
      <c r="AY11">
        <f>VLOOKUP(A11,HD!A$2:G$55,7,0)</f>
        <v>79.459999999999994</v>
      </c>
      <c r="AZ11">
        <f>VLOOKUP(A11,HON!A$2:G$55,7,0)</f>
        <v>95.51</v>
      </c>
      <c r="BA11">
        <f>VLOOKUP(A11,HPQ!A$2:G$55,7,0)</f>
        <v>34</v>
      </c>
      <c r="BB11">
        <f>VLOOKUP(A11,IBM!A$2:G$55,7,0)</f>
        <v>187.38</v>
      </c>
      <c r="BC11">
        <f>VLOOKUP(A11,INTC!A$2:G$55,7,0)</f>
        <v>31.5</v>
      </c>
      <c r="BD11">
        <f>VLOOKUP(A11,JNJ!A$2:G$55,7,0)</f>
        <v>102.59</v>
      </c>
      <c r="BE11">
        <f>VLOOKUP(A11,JPM!A$2:G$55,7,0)</f>
        <v>58.27</v>
      </c>
      <c r="BF11">
        <f>VLOOKUP(A11,KO!A$2:G$55,7,0)</f>
        <v>41.8</v>
      </c>
      <c r="BG11">
        <f>VLOOKUP(A11,LLY!A$2:G$55,7,0)</f>
        <v>62.36</v>
      </c>
      <c r="BH11">
        <f>VLOOKUP(A11,LMT!A$2:G$55,7,0)</f>
        <v>161.38999999999999</v>
      </c>
      <c r="BI11">
        <f>VLOOKUP(A11,LOW!A$2:G$55,7,0)</f>
        <v>47.28</v>
      </c>
      <c r="BJ11">
        <f>VLOOKUP(A11,MA!A$2:G$55,7,0)</f>
        <v>78.319999999999993</v>
      </c>
      <c r="BK11">
        <f>VLOOKUP(A11,MCD!A$2:G$55,7,0)</f>
        <v>99.44</v>
      </c>
      <c r="BL11">
        <f>VLOOKUP(A11,MDLZ!A$2:G$55,7,0)</f>
        <v>37.94</v>
      </c>
      <c r="BM11">
        <f>VLOOKUP(A11,MDT!A$2:G$55,7,0)</f>
        <v>63.56</v>
      </c>
      <c r="BN11">
        <f>VLOOKUP(A11,MET!A$2:G$55,7,0)</f>
        <v>55.76</v>
      </c>
      <c r="BO11">
        <f>VLOOKUP(A11,MMM!A$2:G$55,7,0)</f>
        <v>144.19999999999999</v>
      </c>
      <c r="BP11">
        <f>VLOOKUP(A11,MO!A$2:G$55,7,0)</f>
        <v>41.26</v>
      </c>
      <c r="BQ11">
        <f>VLOOKUP(A11,MON!A$2:G$55,7,0)</f>
        <v>119.98</v>
      </c>
      <c r="BR11">
        <f>VLOOKUP(A11,MRK!A$2:G$55,7,0)</f>
        <v>57.49</v>
      </c>
      <c r="BS11">
        <f>VLOOKUP(A11,MS!A$2:G$55,7,0)</f>
        <v>31.9</v>
      </c>
      <c r="BT11">
        <f>VLOOKUP(A11,MSFT!A$2:G$55,7,0)</f>
        <v>42.19</v>
      </c>
      <c r="BU11">
        <f>VLOOKUP(A11,NKE!A$2:G$55,7,0)</f>
        <v>77.8</v>
      </c>
      <c r="BV11">
        <f>VLOOKUP(A11,NOV!A$2:G$55,7,0)</f>
        <v>83.41</v>
      </c>
      <c r="BW11">
        <f>VLOOKUP(A11,NSC!A$2:G$55,7,0)</f>
        <v>103.78</v>
      </c>
      <c r="BX11">
        <f>VLOOKUP(A11,ORCL!A$2:G$55,7,0)</f>
        <v>40.54</v>
      </c>
      <c r="BY11">
        <f>VLOOKUP(A11,OXY!A$2:G$55,7,0)</f>
        <v>98.81</v>
      </c>
      <c r="BZ11">
        <f>VLOOKUP(A11,PEP!A$2:G$55,7,0)</f>
        <v>89.7</v>
      </c>
      <c r="CA11">
        <f>VLOOKUP(A11,PFE!A$2:G$55,7,0)</f>
        <v>30.14</v>
      </c>
      <c r="CB11">
        <f>VLOOKUP(A11,PG!A$2:G$55,7,0)</f>
        <v>80.62</v>
      </c>
      <c r="CC11">
        <f>VLOOKUP(A11,PM!A$2:G$55,7,0)</f>
        <v>83.61</v>
      </c>
      <c r="CD11">
        <f>VLOOKUP(A11,QCOM!A$2:G$55,7,0)</f>
        <v>79</v>
      </c>
      <c r="CE11">
        <f>VLOOKUP(A11,RTN!A$2:G$55,7,0)</f>
        <v>94</v>
      </c>
      <c r="CF11">
        <f>VLOOKUP(A11,SBUX!A$2:G$55,7,0)</f>
        <v>78.63</v>
      </c>
      <c r="CG11">
        <f>VLOOKUP(A11,SLB!A$2:G$55,7,0)</f>
        <v>114.04</v>
      </c>
      <c r="CH11">
        <f>VLOOKUP(A11,SO!A$2:G$55,7,0)</f>
        <v>43.94</v>
      </c>
      <c r="CI11">
        <f>VLOOKUP(A11,SPG!A$2:G$55,7,0)</f>
        <v>168.95</v>
      </c>
      <c r="CJ11">
        <f>VLOOKUP(A11,T!A$2:G$55,7,0)</f>
        <v>36.24</v>
      </c>
      <c r="CK11">
        <f>VLOOKUP(A11,TGT!A$2:G$55,7,0)</f>
        <v>60.17</v>
      </c>
      <c r="CL11">
        <f>VLOOKUP(A11,TWX!A$2:G$55,7,0)</f>
        <v>70.72</v>
      </c>
      <c r="CM11">
        <f>VLOOKUP(A11,TXN!A$2:G$55,7,0)</f>
        <v>48.35</v>
      </c>
      <c r="CN11">
        <f>VLOOKUP(A11,UNH!A$2:G$55,7,0)</f>
        <v>83.54</v>
      </c>
      <c r="CO11">
        <f>VLOOKUP(A11,UNP!A$2:G$55,7,0)</f>
        <v>100.89</v>
      </c>
      <c r="CP11">
        <f>VLOOKUP(A11,UPS!A$2:G$55,7,0)</f>
        <v>103.57</v>
      </c>
      <c r="CQ11">
        <f>VLOOKUP(A11,USB!A$2:G$55,7,0)</f>
        <v>43.05</v>
      </c>
      <c r="CR11">
        <f>VLOOKUP(A11,UTX!A$2:G$55,7,0)</f>
        <v>114.19</v>
      </c>
      <c r="CS11">
        <f>VLOOKUP(A11,V!A$2:G$55,7,0)</f>
        <v>221.36</v>
      </c>
      <c r="CT11">
        <f>VLOOKUP(A11,VZ!A$2:G$55,7,0)</f>
        <v>50.71</v>
      </c>
      <c r="CU11">
        <f>VLOOKUP(A11,WAG!A$2:G$55,7,0)</f>
        <v>71.2</v>
      </c>
      <c r="CV11">
        <f>VLOOKUP(A11,WFC!A$2:G$55,7,0)</f>
        <v>50.99</v>
      </c>
      <c r="CW11">
        <f>VLOOKUP(A11,WMT!A$2:G$55,7,0)</f>
        <v>76.34</v>
      </c>
    </row>
    <row r="12" spans="1:101" x14ac:dyDescent="0.25">
      <c r="A12" s="34">
        <v>41836</v>
      </c>
      <c r="B12" s="36">
        <v>94.31</v>
      </c>
      <c r="C12">
        <f>VLOOKUP(A12,ABBV!A$2:G$55,7,0)</f>
        <v>53.65</v>
      </c>
      <c r="D12">
        <f>VLOOKUP(A12,ABT!A$2:G$55,7,0)</f>
        <v>41.05</v>
      </c>
      <c r="E12">
        <f>VLOOKUP(A12,ACN!A$2:G$55,7,0)</f>
        <v>79.739999999999995</v>
      </c>
      <c r="F12">
        <f>VLOOKUP(A12,AIG!A$2:G$55,7,0)</f>
        <v>54.92</v>
      </c>
      <c r="G12">
        <f>VLOOKUP(A12,ALL!A$2:G$55,7,0)</f>
        <v>57.9</v>
      </c>
      <c r="H12">
        <f>VLOOKUP(A12,AMGN!A$2:G$55,7,0)</f>
        <v>117.15</v>
      </c>
      <c r="I12">
        <f>VLOOKUP(A12,AMZN!A$2:G$55,7,0)</f>
        <v>355.9</v>
      </c>
      <c r="J12">
        <f>VLOOKUP(A12,APA!A$2:G$55,7,0)</f>
        <v>99.62</v>
      </c>
      <c r="K12">
        <f>VLOOKUP(A12,APC!A$2:G$55,7,0)</f>
        <v>112.25</v>
      </c>
      <c r="L12">
        <f>VLOOKUP(A12,AXP!A$2:G$55,7,0)</f>
        <v>94.47</v>
      </c>
      <c r="M12">
        <f>VLOOKUP(A12,BA!A$2:G$55,7,0)</f>
        <v>126.65</v>
      </c>
      <c r="N12">
        <f>VLOOKUP(A12,BAC!A$2:G$55,7,0)</f>
        <v>15.46</v>
      </c>
      <c r="O12">
        <f>VLOOKUP(A12,BAX!A$2:G$55,7,0)</f>
        <v>76.06</v>
      </c>
      <c r="P12">
        <f>VLOOKUP(A12,BIIB!A$2:G$55,7,0)</f>
        <v>303.74</v>
      </c>
      <c r="Q12">
        <f>VLOOKUP(A12,BK!A$2:G$55,7,0)</f>
        <v>37.950000000000003</v>
      </c>
      <c r="R12">
        <f>VLOOKUP(A12,BMY!A$2:G$55,7,0)</f>
        <v>48.8</v>
      </c>
      <c r="T12">
        <f>VLOOKUP(A12,'C'!A$2:G$55,7,0)</f>
        <v>49.81</v>
      </c>
      <c r="U12">
        <f>VLOOKUP(A12,CAT!A$2:G$55,7,0)</f>
        <v>110.7</v>
      </c>
      <c r="V12">
        <f>VLOOKUP(A12,CL!A$2:G$55,7,0)</f>
        <v>69.45</v>
      </c>
      <c r="W12">
        <f>VLOOKUP(A12,CMCSA!A$2:G$55,7,0)</f>
        <v>54.82</v>
      </c>
      <c r="X12">
        <f>VLOOKUP(A12,COF!A$2:G$55,7,0)</f>
        <v>84.06</v>
      </c>
      <c r="Y12">
        <f>VLOOKUP(A12,COP!A$2:G$55,7,0)</f>
        <v>85.96</v>
      </c>
      <c r="Z12">
        <f>VLOOKUP(A12,COST!A$2:G$55,7,0)</f>
        <v>117.85</v>
      </c>
      <c r="AA12">
        <f>VLOOKUP(A12,CSCO!A$2:G$55,7,0)</f>
        <v>25.98</v>
      </c>
      <c r="AB12">
        <f>VLOOKUP(A12,CVS!A$2:G$55,7,0)</f>
        <v>76.760000000000005</v>
      </c>
      <c r="AC12">
        <f>VLOOKUP(A12,CVX!A$2:G$55,7,0)</f>
        <v>129.79</v>
      </c>
      <c r="AD12">
        <f>VLOOKUP(A12,DD!A$2:G$55,7,0)</f>
        <v>64.56</v>
      </c>
      <c r="AE12">
        <f>VLOOKUP(A12,DIS!A$2:G$55,7,0)</f>
        <v>85.35</v>
      </c>
      <c r="AF12">
        <f>VLOOKUP(A12,DOW!A$2:G$55,7,0)</f>
        <v>51.71</v>
      </c>
      <c r="AG12">
        <f>VLOOKUP(A12,DVN!A$2:G$55,7,0)</f>
        <v>77.63</v>
      </c>
      <c r="AH12">
        <f>VLOOKUP(A12,EBAY!A$2:G$55,7,0)</f>
        <v>50.7</v>
      </c>
      <c r="AI12">
        <f>VLOOKUP(A12,EMC!A$2:G$55,7,0)</f>
        <v>26.9</v>
      </c>
      <c r="AJ12">
        <f>VLOOKUP(A12,EMR!A$2:G$55,7,0)</f>
        <v>67.52</v>
      </c>
      <c r="AK12">
        <f>VLOOKUP(A12,EXC!A$2:G$55,7,0)</f>
        <v>32.619999999999997</v>
      </c>
      <c r="AL12">
        <f>VLOOKUP(A12,F!A$2:G$55,7,0)</f>
        <v>17.670000000000002</v>
      </c>
      <c r="AM12">
        <f>VLOOKUP(A12,FB!A$2:G$55,7,0)</f>
        <v>67.66</v>
      </c>
      <c r="AN12">
        <f>VLOOKUP(A12,FCX!A$2:G$55,7,0)</f>
        <v>38.83</v>
      </c>
      <c r="AO12">
        <f>VLOOKUP(A12,FDX!A$2:G$55,7,0)</f>
        <v>154.18</v>
      </c>
      <c r="AP12">
        <f>VLOOKUP(A12,FOXA!A$2:G$55,7,0)</f>
        <v>32.89</v>
      </c>
      <c r="AQ12">
        <f>VLOOKUP(A12,GD!A$2:G$55,7,0)</f>
        <v>117.51</v>
      </c>
      <c r="AR12">
        <f>VLOOKUP(A12,GE!A$2:G$55,7,0)</f>
        <v>26.79</v>
      </c>
      <c r="AS12">
        <f>VLOOKUP(A12,GILD!A$2:G$55,7,0)</f>
        <v>87</v>
      </c>
      <c r="AT12">
        <f>VLOOKUP(A12,GM!A$2:G$55,7,0)</f>
        <v>37.15</v>
      </c>
      <c r="AU12">
        <f>VLOOKUP(A12,GOOG!A$2:G$55,7,0)</f>
        <v>582.66</v>
      </c>
      <c r="AV12">
        <f>VLOOKUP(A12,GOOGL!A$2:G$55,7,0)</f>
        <v>590.62</v>
      </c>
      <c r="AW12">
        <f>VLOOKUP(A12,GS!A$2:G$55,7,0)</f>
        <v>169.94</v>
      </c>
      <c r="AX12">
        <f>VLOOKUP(A12,HAL!A$2:G$55,7,0)</f>
        <v>71.7</v>
      </c>
      <c r="AY12">
        <f>VLOOKUP(A12,HD!A$2:G$55,7,0)</f>
        <v>79.260000000000005</v>
      </c>
      <c r="AZ12">
        <f>VLOOKUP(A12,HON!A$2:G$55,7,0)</f>
        <v>95.93</v>
      </c>
      <c r="BA12">
        <f>VLOOKUP(A12,HPQ!A$2:G$55,7,0)</f>
        <v>34.67</v>
      </c>
      <c r="BB12">
        <f>VLOOKUP(A12,IBM!A$2:G$55,7,0)</f>
        <v>191.23</v>
      </c>
      <c r="BC12">
        <f>VLOOKUP(A12,INTC!A$2:G$55,7,0)</f>
        <v>34.42</v>
      </c>
      <c r="BD12">
        <f>VLOOKUP(A12,JNJ!A$2:G$55,7,0)</f>
        <v>101.53</v>
      </c>
      <c r="BE12">
        <f>VLOOKUP(A12,JPM!A$2:G$55,7,0)</f>
        <v>58.71</v>
      </c>
      <c r="BF12">
        <f>VLOOKUP(A12,KO!A$2:G$55,7,0)</f>
        <v>41.82</v>
      </c>
      <c r="BG12">
        <f>VLOOKUP(A12,LLY!A$2:G$55,7,0)</f>
        <v>62.31</v>
      </c>
      <c r="BH12">
        <f>VLOOKUP(A12,LMT!A$2:G$55,7,0)</f>
        <v>160.33000000000001</v>
      </c>
      <c r="BI12">
        <f>VLOOKUP(A12,LOW!A$2:G$55,7,0)</f>
        <v>47.43</v>
      </c>
      <c r="BJ12">
        <f>VLOOKUP(A12,MA!A$2:G$55,7,0)</f>
        <v>78.31</v>
      </c>
      <c r="BK12">
        <f>VLOOKUP(A12,MCD!A$2:G$55,7,0)</f>
        <v>98.42</v>
      </c>
      <c r="BL12">
        <f>VLOOKUP(A12,MDLZ!A$2:G$55,7,0)</f>
        <v>37.979999999999997</v>
      </c>
      <c r="BM12">
        <f>VLOOKUP(A12,MDT!A$2:G$55,7,0)</f>
        <v>62.93</v>
      </c>
      <c r="BN12">
        <f>VLOOKUP(A12,MET!A$2:G$55,7,0)</f>
        <v>55.58</v>
      </c>
      <c r="BO12">
        <f>VLOOKUP(A12,MMM!A$2:G$55,7,0)</f>
        <v>145.30000000000001</v>
      </c>
      <c r="BP12">
        <f>VLOOKUP(A12,MO!A$2:G$55,7,0)</f>
        <v>41.32</v>
      </c>
      <c r="BQ12">
        <f>VLOOKUP(A12,MON!A$2:G$55,7,0)</f>
        <v>120.18</v>
      </c>
      <c r="BR12">
        <f>VLOOKUP(A12,MRK!A$2:G$55,7,0)</f>
        <v>57.73</v>
      </c>
      <c r="BS12">
        <f>VLOOKUP(A12,MS!A$2:G$55,7,0)</f>
        <v>32.4</v>
      </c>
      <c r="BT12">
        <f>VLOOKUP(A12,MSFT!A$2:G$55,7,0)</f>
        <v>43.81</v>
      </c>
      <c r="BU12">
        <f>VLOOKUP(A12,NKE!A$2:G$55,7,0)</f>
        <v>76.69</v>
      </c>
      <c r="BV12">
        <f>VLOOKUP(A12,NOV!A$2:G$55,7,0)</f>
        <v>84.88</v>
      </c>
      <c r="BW12">
        <f>VLOOKUP(A12,NSC!A$2:G$55,7,0)</f>
        <v>104.72</v>
      </c>
      <c r="BX12">
        <f>VLOOKUP(A12,ORCL!A$2:G$55,7,0)</f>
        <v>40.26</v>
      </c>
      <c r="BY12">
        <f>VLOOKUP(A12,OXY!A$2:G$55,7,0)</f>
        <v>101.01</v>
      </c>
      <c r="BZ12">
        <f>VLOOKUP(A12,PEP!A$2:G$55,7,0)</f>
        <v>89.86</v>
      </c>
      <c r="CA12">
        <f>VLOOKUP(A12,PFE!A$2:G$55,7,0)</f>
        <v>30.69</v>
      </c>
      <c r="CB12">
        <f>VLOOKUP(A12,PG!A$2:G$55,7,0)</f>
        <v>80.94</v>
      </c>
      <c r="CC12">
        <f>VLOOKUP(A12,PM!A$2:G$55,7,0)</f>
        <v>83.72</v>
      </c>
      <c r="CD12">
        <f>VLOOKUP(A12,QCOM!A$2:G$55,7,0)</f>
        <v>79.180000000000007</v>
      </c>
      <c r="CE12">
        <f>VLOOKUP(A12,RTN!A$2:G$55,7,0)</f>
        <v>94.07</v>
      </c>
      <c r="CF12">
        <f>VLOOKUP(A12,SBUX!A$2:G$55,7,0)</f>
        <v>78.47</v>
      </c>
      <c r="CG12">
        <f>VLOOKUP(A12,SLB!A$2:G$55,7,0)</f>
        <v>115.46</v>
      </c>
      <c r="CH12">
        <f>VLOOKUP(A12,SO!A$2:G$55,7,0)</f>
        <v>44.24</v>
      </c>
      <c r="CI12">
        <f>VLOOKUP(A12,SPG!A$2:G$55,7,0)</f>
        <v>169.53</v>
      </c>
      <c r="CJ12">
        <f>VLOOKUP(A12,T!A$2:G$55,7,0)</f>
        <v>36.450000000000003</v>
      </c>
      <c r="CK12">
        <f>VLOOKUP(A12,TGT!A$2:G$55,7,0)</f>
        <v>59.6</v>
      </c>
      <c r="CL12">
        <f>VLOOKUP(A12,TWX!A$2:G$55,7,0)</f>
        <v>82.79</v>
      </c>
      <c r="CM12">
        <f>VLOOKUP(A12,TXN!A$2:G$55,7,0)</f>
        <v>48.74</v>
      </c>
      <c r="CN12">
        <f>VLOOKUP(A12,UNH!A$2:G$55,7,0)</f>
        <v>83.41</v>
      </c>
      <c r="CO12">
        <f>VLOOKUP(A12,UNP!A$2:G$55,7,0)</f>
        <v>101.3</v>
      </c>
      <c r="CP12">
        <f>VLOOKUP(A12,UPS!A$2:G$55,7,0)</f>
        <v>103.8</v>
      </c>
      <c r="CQ12">
        <f>VLOOKUP(A12,USB!A$2:G$55,7,0)</f>
        <v>42.28</v>
      </c>
      <c r="CR12">
        <f>VLOOKUP(A12,UTX!A$2:G$55,7,0)</f>
        <v>113.72</v>
      </c>
      <c r="CS12">
        <f>VLOOKUP(A12,V!A$2:G$55,7,0)</f>
        <v>222.25</v>
      </c>
      <c r="CT12">
        <f>VLOOKUP(A12,VZ!A$2:G$55,7,0)</f>
        <v>50.96</v>
      </c>
      <c r="CU12">
        <f>VLOOKUP(A12,WAG!A$2:G$55,7,0)</f>
        <v>71.03</v>
      </c>
      <c r="CV12">
        <f>VLOOKUP(A12,WFC!A$2:G$55,7,0)</f>
        <v>50.81</v>
      </c>
      <c r="CW12">
        <f>VLOOKUP(A12,WMT!A$2:G$55,7,0)</f>
        <v>76.36</v>
      </c>
    </row>
    <row r="13" spans="1:101" x14ac:dyDescent="0.25">
      <c r="A13" s="34">
        <v>41837</v>
      </c>
      <c r="B13" s="36">
        <v>92.63</v>
      </c>
      <c r="C13">
        <f>VLOOKUP(A13,ABBV!A$2:G$55,7,0)</f>
        <v>53.52</v>
      </c>
      <c r="D13">
        <f>VLOOKUP(A13,ABT!A$2:G$55,7,0)</f>
        <v>41.9</v>
      </c>
      <c r="E13">
        <f>VLOOKUP(A13,ACN!A$2:G$55,7,0)</f>
        <v>79.239999999999995</v>
      </c>
      <c r="F13">
        <f>VLOOKUP(A13,AIG!A$2:G$55,7,0)</f>
        <v>54.58</v>
      </c>
      <c r="G13">
        <f>VLOOKUP(A13,ALL!A$2:G$55,7,0)</f>
        <v>57.56</v>
      </c>
      <c r="H13">
        <f>VLOOKUP(A13,AMGN!A$2:G$55,7,0)</f>
        <v>114.84</v>
      </c>
      <c r="I13">
        <f>VLOOKUP(A13,AMZN!A$2:G$55,7,0)</f>
        <v>352.45</v>
      </c>
      <c r="J13">
        <f>VLOOKUP(A13,APA!A$2:G$55,7,0)</f>
        <v>98.66</v>
      </c>
      <c r="K13">
        <f>VLOOKUP(A13,APC!A$2:G$55,7,0)</f>
        <v>107.84</v>
      </c>
      <c r="L13">
        <f>VLOOKUP(A13,AXP!A$2:G$55,7,0)</f>
        <v>92.99</v>
      </c>
      <c r="M13">
        <f>VLOOKUP(A13,BA!A$2:G$55,7,0)</f>
        <v>125.12</v>
      </c>
      <c r="N13">
        <f>VLOOKUP(A13,BAC!A$2:G$55,7,0)</f>
        <v>15.15</v>
      </c>
      <c r="O13">
        <f>VLOOKUP(A13,BAX!A$2:G$55,7,0)</f>
        <v>75.72</v>
      </c>
      <c r="P13">
        <f>VLOOKUP(A13,BIIB!A$2:G$55,7,0)</f>
        <v>299.29000000000002</v>
      </c>
      <c r="Q13">
        <f>VLOOKUP(A13,BK!A$2:G$55,7,0)</f>
        <v>37.840000000000003</v>
      </c>
      <c r="R13">
        <f>VLOOKUP(A13,BMY!A$2:G$55,7,0)</f>
        <v>48.42</v>
      </c>
      <c r="T13">
        <f>VLOOKUP(A13,'C'!A$2:G$55,7,0)</f>
        <v>49.17</v>
      </c>
      <c r="U13">
        <f>VLOOKUP(A13,CAT!A$2:G$55,7,0)</f>
        <v>109.07</v>
      </c>
      <c r="V13">
        <f>VLOOKUP(A13,CL!A$2:G$55,7,0)</f>
        <v>68.599999999999994</v>
      </c>
      <c r="W13">
        <f>VLOOKUP(A13,CMCSA!A$2:G$55,7,0)</f>
        <v>53.98</v>
      </c>
      <c r="X13">
        <f>VLOOKUP(A13,COF!A$2:G$55,7,0)</f>
        <v>82.18</v>
      </c>
      <c r="Y13">
        <f>VLOOKUP(A13,COP!A$2:G$55,7,0)</f>
        <v>84.68</v>
      </c>
      <c r="Z13">
        <f>VLOOKUP(A13,COST!A$2:G$55,7,0)</f>
        <v>116.79</v>
      </c>
      <c r="AA13">
        <f>VLOOKUP(A13,CSCO!A$2:G$55,7,0)</f>
        <v>25.63</v>
      </c>
      <c r="AB13">
        <f>VLOOKUP(A13,CVS!A$2:G$55,7,0)</f>
        <v>76.11</v>
      </c>
      <c r="AC13">
        <f>VLOOKUP(A13,CVX!A$2:G$55,7,0)</f>
        <v>128.97999999999999</v>
      </c>
      <c r="AD13">
        <f>VLOOKUP(A13,DD!A$2:G$55,7,0)</f>
        <v>64.42</v>
      </c>
      <c r="AE13">
        <f>VLOOKUP(A13,DIS!A$2:G$55,7,0)</f>
        <v>85.03</v>
      </c>
      <c r="AF13">
        <f>VLOOKUP(A13,DOW!A$2:G$55,7,0)</f>
        <v>51.29</v>
      </c>
      <c r="AG13">
        <f>VLOOKUP(A13,DVN!A$2:G$55,7,0)</f>
        <v>75.48</v>
      </c>
      <c r="AH13">
        <f>VLOOKUP(A13,EBAY!A$2:G$55,7,0)</f>
        <v>51.03</v>
      </c>
      <c r="AI13">
        <f>VLOOKUP(A13,EMC!A$2:G$55,7,0)</f>
        <v>26.62</v>
      </c>
      <c r="AJ13">
        <f>VLOOKUP(A13,EMR!A$2:G$55,7,0)</f>
        <v>66.52</v>
      </c>
      <c r="AK13">
        <f>VLOOKUP(A13,EXC!A$2:G$55,7,0)</f>
        <v>31.64</v>
      </c>
      <c r="AL13">
        <f>VLOOKUP(A13,F!A$2:G$55,7,0)</f>
        <v>17.61</v>
      </c>
      <c r="AM13">
        <f>VLOOKUP(A13,FB!A$2:G$55,7,0)</f>
        <v>66.41</v>
      </c>
      <c r="AN13">
        <f>VLOOKUP(A13,FCX!A$2:G$55,7,0)</f>
        <v>38.5</v>
      </c>
      <c r="AO13">
        <f>VLOOKUP(A13,FDX!A$2:G$55,7,0)</f>
        <v>151.69999999999999</v>
      </c>
      <c r="AP13">
        <f>VLOOKUP(A13,FOXA!A$2:G$55,7,0)</f>
        <v>32.659999999999997</v>
      </c>
      <c r="AQ13">
        <f>VLOOKUP(A13,GD!A$2:G$55,7,0)</f>
        <v>116.1</v>
      </c>
      <c r="AR13">
        <f>VLOOKUP(A13,GE!A$2:G$55,7,0)</f>
        <v>26.39</v>
      </c>
      <c r="AS13">
        <f>VLOOKUP(A13,GILD!A$2:G$55,7,0)</f>
        <v>85.07</v>
      </c>
      <c r="AT13">
        <f>VLOOKUP(A13,GM!A$2:G$55,7,0)</f>
        <v>36.78</v>
      </c>
      <c r="AU13">
        <f>VLOOKUP(A13,GOOG!A$2:G$55,7,0)</f>
        <v>573.73</v>
      </c>
      <c r="AV13">
        <f>VLOOKUP(A13,GOOGL!A$2:G$55,7,0)</f>
        <v>580.82000000000005</v>
      </c>
      <c r="AW13">
        <f>VLOOKUP(A13,GS!A$2:G$55,7,0)</f>
        <v>169.61</v>
      </c>
      <c r="AX13">
        <f>VLOOKUP(A13,HAL!A$2:G$55,7,0)</f>
        <v>70.19</v>
      </c>
      <c r="AY13">
        <f>VLOOKUP(A13,HD!A$2:G$55,7,0)</f>
        <v>79.150000000000006</v>
      </c>
      <c r="AZ13">
        <f>VLOOKUP(A13,HON!A$2:G$55,7,0)</f>
        <v>94.72</v>
      </c>
      <c r="BA13">
        <f>VLOOKUP(A13,HPQ!A$2:G$55,7,0)</f>
        <v>34.28</v>
      </c>
      <c r="BB13">
        <f>VLOOKUP(A13,IBM!A$2:G$55,7,0)</f>
        <v>191.36</v>
      </c>
      <c r="BC13">
        <f>VLOOKUP(A13,INTC!A$2:G$55,7,0)</f>
        <v>33.479999999999997</v>
      </c>
      <c r="BD13">
        <f>VLOOKUP(A13,JNJ!A$2:G$55,7,0)</f>
        <v>99.7</v>
      </c>
      <c r="BE13">
        <f>VLOOKUP(A13,JPM!A$2:G$55,7,0)</f>
        <v>57.86</v>
      </c>
      <c r="BF13">
        <f>VLOOKUP(A13,KO!A$2:G$55,7,0)</f>
        <v>41.72</v>
      </c>
      <c r="BG13">
        <f>VLOOKUP(A13,LLY!A$2:G$55,7,0)</f>
        <v>61.76</v>
      </c>
      <c r="BH13">
        <f>VLOOKUP(A13,LMT!A$2:G$55,7,0)</f>
        <v>160.11000000000001</v>
      </c>
      <c r="BI13">
        <f>VLOOKUP(A13,LOW!A$2:G$55,7,0)</f>
        <v>47.07</v>
      </c>
      <c r="BJ13">
        <f>VLOOKUP(A13,MA!A$2:G$55,7,0)</f>
        <v>76.39</v>
      </c>
      <c r="BK13">
        <f>VLOOKUP(A13,MCD!A$2:G$55,7,0)</f>
        <v>97.53</v>
      </c>
      <c r="BL13">
        <f>VLOOKUP(A13,MDLZ!A$2:G$55,7,0)</f>
        <v>37.83</v>
      </c>
      <c r="BM13">
        <f>VLOOKUP(A13,MDT!A$2:G$55,7,0)</f>
        <v>61.52</v>
      </c>
      <c r="BN13">
        <f>VLOOKUP(A13,MET!A$2:G$55,7,0)</f>
        <v>54.65</v>
      </c>
      <c r="BO13">
        <f>VLOOKUP(A13,MMM!A$2:G$55,7,0)</f>
        <v>142.69</v>
      </c>
      <c r="BP13">
        <f>VLOOKUP(A13,MO!A$2:G$55,7,0)</f>
        <v>41.09</v>
      </c>
      <c r="BQ13">
        <f>VLOOKUP(A13,MON!A$2:G$55,7,0)</f>
        <v>119.59</v>
      </c>
      <c r="BR13">
        <f>VLOOKUP(A13,MRK!A$2:G$55,7,0)</f>
        <v>57.18</v>
      </c>
      <c r="BS13">
        <f>VLOOKUP(A13,MS!A$2:G$55,7,0)</f>
        <v>32.200000000000003</v>
      </c>
      <c r="BT13">
        <f>VLOOKUP(A13,MSFT!A$2:G$55,7,0)</f>
        <v>44.25</v>
      </c>
      <c r="BU13">
        <f>VLOOKUP(A13,NKE!A$2:G$55,7,0)</f>
        <v>76.3</v>
      </c>
      <c r="BV13">
        <f>VLOOKUP(A13,NOV!A$2:G$55,7,0)</f>
        <v>84.12</v>
      </c>
      <c r="BW13">
        <f>VLOOKUP(A13,NSC!A$2:G$55,7,0)</f>
        <v>103.8</v>
      </c>
      <c r="BX13">
        <f>VLOOKUP(A13,ORCL!A$2:G$55,7,0)</f>
        <v>39.909999999999997</v>
      </c>
      <c r="BY13">
        <f>VLOOKUP(A13,OXY!A$2:G$55,7,0)</f>
        <v>99.24</v>
      </c>
      <c r="BZ13">
        <f>VLOOKUP(A13,PEP!A$2:G$55,7,0)</f>
        <v>89.35</v>
      </c>
      <c r="CA13">
        <f>VLOOKUP(A13,PFE!A$2:G$55,7,0)</f>
        <v>30.28</v>
      </c>
      <c r="CB13">
        <f>VLOOKUP(A13,PG!A$2:G$55,7,0)</f>
        <v>80.400000000000006</v>
      </c>
      <c r="CC13">
        <f>VLOOKUP(A13,PM!A$2:G$55,7,0)</f>
        <v>83.57</v>
      </c>
      <c r="CD13">
        <f>VLOOKUP(A13,QCOM!A$2:G$55,7,0)</f>
        <v>77.680000000000007</v>
      </c>
      <c r="CE13">
        <f>VLOOKUP(A13,RTN!A$2:G$55,7,0)</f>
        <v>93.59</v>
      </c>
      <c r="CF13">
        <f>VLOOKUP(A13,SBUX!A$2:G$55,7,0)</f>
        <v>76.98</v>
      </c>
      <c r="CG13">
        <f>VLOOKUP(A13,SLB!A$2:G$55,7,0)</f>
        <v>114.22</v>
      </c>
      <c r="CH13">
        <f>VLOOKUP(A13,SO!A$2:G$55,7,0)</f>
        <v>44.02</v>
      </c>
      <c r="CI13">
        <f>VLOOKUP(A13,SPG!A$2:G$55,7,0)</f>
        <v>168.29</v>
      </c>
      <c r="CJ13">
        <f>VLOOKUP(A13,T!A$2:G$55,7,0)</f>
        <v>36.03</v>
      </c>
      <c r="CK13">
        <f>VLOOKUP(A13,TGT!A$2:G$55,7,0)</f>
        <v>59.19</v>
      </c>
      <c r="CL13">
        <f>VLOOKUP(A13,TWX!A$2:G$55,7,0)</f>
        <v>85.76</v>
      </c>
      <c r="CM13">
        <f>VLOOKUP(A13,TXN!A$2:G$55,7,0)</f>
        <v>47.84</v>
      </c>
      <c r="CN13">
        <f>VLOOKUP(A13,UNH!A$2:G$55,7,0)</f>
        <v>84.75</v>
      </c>
      <c r="CO13">
        <f>VLOOKUP(A13,UNP!A$2:G$55,7,0)</f>
        <v>99.97</v>
      </c>
      <c r="CP13">
        <f>VLOOKUP(A13,UPS!A$2:G$55,7,0)</f>
        <v>101.94</v>
      </c>
      <c r="CQ13">
        <f>VLOOKUP(A13,USB!A$2:G$55,7,0)</f>
        <v>41.37</v>
      </c>
      <c r="CR13">
        <f>VLOOKUP(A13,UTX!A$2:G$55,7,0)</f>
        <v>112.14</v>
      </c>
      <c r="CS13">
        <f>VLOOKUP(A13,V!A$2:G$55,7,0)</f>
        <v>217.47</v>
      </c>
      <c r="CT13">
        <f>VLOOKUP(A13,VZ!A$2:G$55,7,0)</f>
        <v>50.32</v>
      </c>
      <c r="CU13">
        <f>VLOOKUP(A13,WAG!A$2:G$55,7,0)</f>
        <v>69.8</v>
      </c>
      <c r="CV13">
        <f>VLOOKUP(A13,WFC!A$2:G$55,7,0)</f>
        <v>50.33</v>
      </c>
      <c r="CW13">
        <f>VLOOKUP(A13,WMT!A$2:G$55,7,0)</f>
        <v>76.11</v>
      </c>
    </row>
    <row r="14" spans="1:101" x14ac:dyDescent="0.25">
      <c r="A14" s="34">
        <v>41838</v>
      </c>
      <c r="B14" s="36">
        <v>93.96</v>
      </c>
      <c r="C14">
        <f>VLOOKUP(A14,ABBV!A$2:G$55,7,0)</f>
        <v>54.91</v>
      </c>
      <c r="D14">
        <f>VLOOKUP(A14,ABT!A$2:G$55,7,0)</f>
        <v>42.73</v>
      </c>
      <c r="E14">
        <f>VLOOKUP(A14,ACN!A$2:G$55,7,0)</f>
        <v>79.739999999999995</v>
      </c>
      <c r="F14">
        <f>VLOOKUP(A14,AIG!A$2:G$55,7,0)</f>
        <v>55.08</v>
      </c>
      <c r="G14">
        <f>VLOOKUP(A14,ALL!A$2:G$55,7,0)</f>
        <v>57.8</v>
      </c>
      <c r="H14">
        <f>VLOOKUP(A14,AMGN!A$2:G$55,7,0)</f>
        <v>117.73</v>
      </c>
      <c r="I14">
        <f>VLOOKUP(A14,AMZN!A$2:G$55,7,0)</f>
        <v>358.66</v>
      </c>
      <c r="J14">
        <f>VLOOKUP(A14,APA!A$2:G$55,7,0)</f>
        <v>98.58</v>
      </c>
      <c r="K14">
        <f>VLOOKUP(A14,APC!A$2:G$55,7,0)</f>
        <v>108.06</v>
      </c>
      <c r="L14">
        <f>VLOOKUP(A14,AXP!A$2:G$55,7,0)</f>
        <v>93.53</v>
      </c>
      <c r="M14">
        <f>VLOOKUP(A14,BA!A$2:G$55,7,0)</f>
        <v>126.87</v>
      </c>
      <c r="N14">
        <f>VLOOKUP(A14,BAC!A$2:G$55,7,0)</f>
        <v>15.44</v>
      </c>
      <c r="O14">
        <f>VLOOKUP(A14,BAX!A$2:G$55,7,0)</f>
        <v>75.98</v>
      </c>
      <c r="P14">
        <f>VLOOKUP(A14,BIIB!A$2:G$55,7,0)</f>
        <v>304.10000000000002</v>
      </c>
      <c r="Q14">
        <f>VLOOKUP(A14,BK!A$2:G$55,7,0)</f>
        <v>38.270000000000003</v>
      </c>
      <c r="R14">
        <f>VLOOKUP(A14,BMY!A$2:G$55,7,0)</f>
        <v>49.12</v>
      </c>
      <c r="T14">
        <f>VLOOKUP(A14,'C'!A$2:G$55,7,0)</f>
        <v>49.55</v>
      </c>
      <c r="U14">
        <f>VLOOKUP(A14,CAT!A$2:G$55,7,0)</f>
        <v>110.17</v>
      </c>
      <c r="V14">
        <f>VLOOKUP(A14,CL!A$2:G$55,7,0)</f>
        <v>68.900000000000006</v>
      </c>
      <c r="W14">
        <f>VLOOKUP(A14,CMCSA!A$2:G$55,7,0)</f>
        <v>54.31</v>
      </c>
      <c r="X14">
        <f>VLOOKUP(A14,COF!A$2:G$55,7,0)</f>
        <v>81.98</v>
      </c>
      <c r="Y14">
        <f>VLOOKUP(A14,COP!A$2:G$55,7,0)</f>
        <v>84.76</v>
      </c>
      <c r="Z14">
        <f>VLOOKUP(A14,COST!A$2:G$55,7,0)</f>
        <v>117.74</v>
      </c>
      <c r="AA14">
        <f>VLOOKUP(A14,CSCO!A$2:G$55,7,0)</f>
        <v>25.91</v>
      </c>
      <c r="AB14">
        <f>VLOOKUP(A14,CVS!A$2:G$55,7,0)</f>
        <v>77.47</v>
      </c>
      <c r="AC14">
        <f>VLOOKUP(A14,CVX!A$2:G$55,7,0)</f>
        <v>129.29</v>
      </c>
      <c r="AD14">
        <f>VLOOKUP(A14,DD!A$2:G$55,7,0)</f>
        <v>65.08</v>
      </c>
      <c r="AE14">
        <f>VLOOKUP(A14,DIS!A$2:G$55,7,0)</f>
        <v>85.81</v>
      </c>
      <c r="AF14">
        <f>VLOOKUP(A14,DOW!A$2:G$55,7,0)</f>
        <v>51.33</v>
      </c>
      <c r="AG14">
        <f>VLOOKUP(A14,DVN!A$2:G$55,7,0)</f>
        <v>76.75</v>
      </c>
      <c r="AH14">
        <f>VLOOKUP(A14,EBAY!A$2:G$55,7,0)</f>
        <v>51.48</v>
      </c>
      <c r="AI14">
        <f>VLOOKUP(A14,EMC!A$2:G$55,7,0)</f>
        <v>26.87</v>
      </c>
      <c r="AJ14">
        <f>VLOOKUP(A14,EMR!A$2:G$55,7,0)</f>
        <v>66.930000000000007</v>
      </c>
      <c r="AK14">
        <f>VLOOKUP(A14,EXC!A$2:G$55,7,0)</f>
        <v>31.78</v>
      </c>
      <c r="AL14">
        <f>VLOOKUP(A14,F!A$2:G$55,7,0)</f>
        <v>17.59</v>
      </c>
      <c r="AM14">
        <f>VLOOKUP(A14,FB!A$2:G$55,7,0)</f>
        <v>68.42</v>
      </c>
      <c r="AN14">
        <f>VLOOKUP(A14,FCX!A$2:G$55,7,0)</f>
        <v>38.35</v>
      </c>
      <c r="AO14">
        <f>VLOOKUP(A14,FDX!A$2:G$55,7,0)</f>
        <v>152.66999999999999</v>
      </c>
      <c r="AP14">
        <f>VLOOKUP(A14,FOXA!A$2:G$55,7,0)</f>
        <v>32.9</v>
      </c>
      <c r="AQ14">
        <f>VLOOKUP(A14,GD!A$2:G$55,7,0)</f>
        <v>117.64</v>
      </c>
      <c r="AR14">
        <f>VLOOKUP(A14,GE!A$2:G$55,7,0)</f>
        <v>26.24</v>
      </c>
      <c r="AS14">
        <f>VLOOKUP(A14,GILD!A$2:G$55,7,0)</f>
        <v>89.19</v>
      </c>
      <c r="AT14">
        <f>VLOOKUP(A14,GM!A$2:G$55,7,0)</f>
        <v>37.090000000000003</v>
      </c>
      <c r="AU14">
        <f>VLOOKUP(A14,GOOG!A$2:G$55,7,0)</f>
        <v>595.08000000000004</v>
      </c>
      <c r="AV14">
        <f>VLOOKUP(A14,GOOGL!A$2:G$55,7,0)</f>
        <v>605.11</v>
      </c>
      <c r="AW14">
        <f>VLOOKUP(A14,GS!A$2:G$55,7,0)</f>
        <v>170.94</v>
      </c>
      <c r="AX14">
        <f>VLOOKUP(A14,HAL!A$2:G$55,7,0)</f>
        <v>70.77</v>
      </c>
      <c r="AY14">
        <f>VLOOKUP(A14,HD!A$2:G$55,7,0)</f>
        <v>79.680000000000007</v>
      </c>
      <c r="AZ14">
        <f>VLOOKUP(A14,HON!A$2:G$55,7,0)</f>
        <v>96.36</v>
      </c>
      <c r="BA14">
        <f>VLOOKUP(A14,HPQ!A$2:G$55,7,0)</f>
        <v>34.659999999999997</v>
      </c>
      <c r="BB14">
        <f>VLOOKUP(A14,IBM!A$2:G$55,7,0)</f>
        <v>191.37</v>
      </c>
      <c r="BC14">
        <f>VLOOKUP(A14,INTC!A$2:G$55,7,0)</f>
        <v>33.479999999999997</v>
      </c>
      <c r="BD14">
        <f>VLOOKUP(A14,JNJ!A$2:G$55,7,0)</f>
        <v>101.12</v>
      </c>
      <c r="BE14">
        <f>VLOOKUP(A14,JPM!A$2:G$55,7,0)</f>
        <v>58.23</v>
      </c>
      <c r="BF14">
        <f>VLOOKUP(A14,KO!A$2:G$55,7,0)</f>
        <v>42.12</v>
      </c>
      <c r="BG14">
        <f>VLOOKUP(A14,LLY!A$2:G$55,7,0)</f>
        <v>62.96</v>
      </c>
      <c r="BH14">
        <f>VLOOKUP(A14,LMT!A$2:G$55,7,0)</f>
        <v>161.27000000000001</v>
      </c>
      <c r="BI14">
        <f>VLOOKUP(A14,LOW!A$2:G$55,7,0)</f>
        <v>47.58</v>
      </c>
      <c r="BJ14">
        <f>VLOOKUP(A14,MA!A$2:G$55,7,0)</f>
        <v>77.5</v>
      </c>
      <c r="BK14">
        <f>VLOOKUP(A14,MCD!A$2:G$55,7,0)</f>
        <v>98.14</v>
      </c>
      <c r="BL14">
        <f>VLOOKUP(A14,MDLZ!A$2:G$55,7,0)</f>
        <v>38.31</v>
      </c>
      <c r="BM14">
        <f>VLOOKUP(A14,MDT!A$2:G$55,7,0)</f>
        <v>62.36</v>
      </c>
      <c r="BN14">
        <f>VLOOKUP(A14,MET!A$2:G$55,7,0)</f>
        <v>55.45</v>
      </c>
      <c r="BO14">
        <f>VLOOKUP(A14,MMM!A$2:G$55,7,0)</f>
        <v>143.97</v>
      </c>
      <c r="BP14">
        <f>VLOOKUP(A14,MO!A$2:G$55,7,0)</f>
        <v>41.67</v>
      </c>
      <c r="BQ14">
        <f>VLOOKUP(A14,MON!A$2:G$55,7,0)</f>
        <v>119.98</v>
      </c>
      <c r="BR14">
        <f>VLOOKUP(A14,MRK!A$2:G$55,7,0)</f>
        <v>57.92</v>
      </c>
      <c r="BS14">
        <f>VLOOKUP(A14,MS!A$2:G$55,7,0)</f>
        <v>32.54</v>
      </c>
      <c r="BT14">
        <f>VLOOKUP(A14,MSFT!A$2:G$55,7,0)</f>
        <v>44.41</v>
      </c>
      <c r="BU14">
        <f>VLOOKUP(A14,NKE!A$2:G$55,7,0)</f>
        <v>77.290000000000006</v>
      </c>
      <c r="BV14">
        <f>VLOOKUP(A14,NOV!A$2:G$55,7,0)</f>
        <v>84.97</v>
      </c>
      <c r="BW14">
        <f>VLOOKUP(A14,NSC!A$2:G$55,7,0)</f>
        <v>105.6</v>
      </c>
      <c r="BX14">
        <f>VLOOKUP(A14,ORCL!A$2:G$55,7,0)</f>
        <v>40</v>
      </c>
      <c r="BY14">
        <f>VLOOKUP(A14,OXY!A$2:G$55,7,0)</f>
        <v>100.21</v>
      </c>
      <c r="BZ14">
        <f>VLOOKUP(A14,PEP!A$2:G$55,7,0)</f>
        <v>89.45</v>
      </c>
      <c r="CA14">
        <f>VLOOKUP(A14,PFE!A$2:G$55,7,0)</f>
        <v>30.46</v>
      </c>
      <c r="CB14">
        <f>VLOOKUP(A14,PG!A$2:G$55,7,0)</f>
        <v>80.55</v>
      </c>
      <c r="CC14">
        <f>VLOOKUP(A14,PM!A$2:G$55,7,0)</f>
        <v>85.02</v>
      </c>
      <c r="CD14">
        <f>VLOOKUP(A14,QCOM!A$2:G$55,7,0)</f>
        <v>78.95</v>
      </c>
      <c r="CE14">
        <f>VLOOKUP(A14,RTN!A$2:G$55,7,0)</f>
        <v>94.28</v>
      </c>
      <c r="CF14">
        <f>VLOOKUP(A14,SBUX!A$2:G$55,7,0)</f>
        <v>77.680000000000007</v>
      </c>
      <c r="CG14">
        <f>VLOOKUP(A14,SLB!A$2:G$55,7,0)</f>
        <v>111.95</v>
      </c>
      <c r="CH14">
        <f>VLOOKUP(A14,SO!A$2:G$55,7,0)</f>
        <v>44.36</v>
      </c>
      <c r="CI14">
        <f>VLOOKUP(A14,SPG!A$2:G$55,7,0)</f>
        <v>169.7</v>
      </c>
      <c r="CJ14">
        <f>VLOOKUP(A14,T!A$2:G$55,7,0)</f>
        <v>36.17</v>
      </c>
      <c r="CK14">
        <f>VLOOKUP(A14,TGT!A$2:G$55,7,0)</f>
        <v>59.47</v>
      </c>
      <c r="CL14">
        <f>VLOOKUP(A14,TWX!A$2:G$55,7,0)</f>
        <v>86.87</v>
      </c>
      <c r="CM14">
        <f>VLOOKUP(A14,TXN!A$2:G$55,7,0)</f>
        <v>48.51</v>
      </c>
      <c r="CN14">
        <f>VLOOKUP(A14,UNH!A$2:G$55,7,0)</f>
        <v>85.16</v>
      </c>
      <c r="CO14">
        <f>VLOOKUP(A14,UNP!A$2:G$55,7,0)</f>
        <v>100.86</v>
      </c>
      <c r="CP14">
        <f>VLOOKUP(A14,UPS!A$2:G$55,7,0)</f>
        <v>103.1</v>
      </c>
      <c r="CQ14">
        <f>VLOOKUP(A14,USB!A$2:G$55,7,0)</f>
        <v>41.92</v>
      </c>
      <c r="CR14">
        <f>VLOOKUP(A14,UTX!A$2:G$55,7,0)</f>
        <v>112.93</v>
      </c>
      <c r="CS14">
        <f>VLOOKUP(A14,V!A$2:G$55,7,0)</f>
        <v>219.78</v>
      </c>
      <c r="CT14">
        <f>VLOOKUP(A14,VZ!A$2:G$55,7,0)</f>
        <v>50.75</v>
      </c>
      <c r="CU14">
        <f>VLOOKUP(A14,WAG!A$2:G$55,7,0)</f>
        <v>71.58</v>
      </c>
      <c r="CV14">
        <f>VLOOKUP(A14,WFC!A$2:G$55,7,0)</f>
        <v>50.92</v>
      </c>
      <c r="CW14">
        <f>VLOOKUP(A14,WMT!A$2:G$55,7,0)</f>
        <v>76.59</v>
      </c>
    </row>
    <row r="15" spans="1:101" x14ac:dyDescent="0.25">
      <c r="A15" s="34">
        <v>41841</v>
      </c>
      <c r="B15" s="36">
        <v>93.48</v>
      </c>
      <c r="C15">
        <f>VLOOKUP(A15,ABBV!A$2:G$55,7,0)</f>
        <v>54</v>
      </c>
      <c r="D15">
        <f>VLOOKUP(A15,ABT!A$2:G$55,7,0)</f>
        <v>42.96</v>
      </c>
      <c r="E15">
        <f>VLOOKUP(A15,ACN!A$2:G$55,7,0)</f>
        <v>79.8</v>
      </c>
      <c r="F15">
        <f>VLOOKUP(A15,AIG!A$2:G$55,7,0)</f>
        <v>54.99</v>
      </c>
      <c r="G15">
        <f>VLOOKUP(A15,ALL!A$2:G$55,7,0)</f>
        <v>57.75</v>
      </c>
      <c r="H15">
        <f>VLOOKUP(A15,AMGN!A$2:G$55,7,0)</f>
        <v>118.46</v>
      </c>
      <c r="I15">
        <f>VLOOKUP(A15,AMZN!A$2:G$55,7,0)</f>
        <v>359.76</v>
      </c>
      <c r="J15">
        <f>VLOOKUP(A15,APA!A$2:G$55,7,0)</f>
        <v>98.56</v>
      </c>
      <c r="K15">
        <f>VLOOKUP(A15,APC!A$2:G$55,7,0)</f>
        <v>108.6</v>
      </c>
      <c r="L15">
        <f>VLOOKUP(A15,AXP!A$2:G$55,7,0)</f>
        <v>92.88</v>
      </c>
      <c r="M15">
        <f>VLOOKUP(A15,BA!A$2:G$55,7,0)</f>
        <v>127.53</v>
      </c>
      <c r="N15">
        <f>VLOOKUP(A15,BAC!A$2:G$55,7,0)</f>
        <v>15.47</v>
      </c>
      <c r="O15">
        <f>VLOOKUP(A15,BAX!A$2:G$55,7,0)</f>
        <v>75.58</v>
      </c>
      <c r="P15">
        <f>VLOOKUP(A15,BIIB!A$2:G$55,7,0)</f>
        <v>302.5</v>
      </c>
      <c r="Q15">
        <f>VLOOKUP(A15,BK!A$2:G$55,7,0)</f>
        <v>38.28</v>
      </c>
      <c r="R15">
        <f>VLOOKUP(A15,BMY!A$2:G$55,7,0)</f>
        <v>48.92</v>
      </c>
      <c r="T15">
        <f>VLOOKUP(A15,'C'!A$2:G$55,7,0)</f>
        <v>49.34</v>
      </c>
      <c r="U15">
        <f>VLOOKUP(A15,CAT!A$2:G$55,7,0)</f>
        <v>110.23</v>
      </c>
      <c r="V15">
        <f>VLOOKUP(A15,CL!A$2:G$55,7,0)</f>
        <v>68.760000000000005</v>
      </c>
      <c r="W15">
        <f>VLOOKUP(A15,CMCSA!A$2:G$55,7,0)</f>
        <v>53.6</v>
      </c>
      <c r="X15">
        <f>VLOOKUP(A15,COF!A$2:G$55,7,0)</f>
        <v>81.61</v>
      </c>
      <c r="Y15">
        <f>VLOOKUP(A15,COP!A$2:G$55,7,0)</f>
        <v>84.53</v>
      </c>
      <c r="Z15">
        <f>VLOOKUP(A15,COST!A$2:G$55,7,0)</f>
        <v>117.04</v>
      </c>
      <c r="AA15">
        <f>VLOOKUP(A15,CSCO!A$2:G$55,7,0)</f>
        <v>25.85</v>
      </c>
      <c r="AB15">
        <f>VLOOKUP(A15,CVS!A$2:G$55,7,0)</f>
        <v>77.040000000000006</v>
      </c>
      <c r="AC15">
        <f>VLOOKUP(A15,CVX!A$2:G$55,7,0)</f>
        <v>130.18</v>
      </c>
      <c r="AD15">
        <f>VLOOKUP(A15,DD!A$2:G$55,7,0)</f>
        <v>65.069999999999993</v>
      </c>
      <c r="AE15">
        <f>VLOOKUP(A15,DIS!A$2:G$55,7,0)</f>
        <v>85.74</v>
      </c>
      <c r="AF15">
        <f>VLOOKUP(A15,DOW!A$2:G$55,7,0)</f>
        <v>51.5</v>
      </c>
      <c r="AG15">
        <f>VLOOKUP(A15,DVN!A$2:G$55,7,0)</f>
        <v>76.86</v>
      </c>
      <c r="AH15">
        <f>VLOOKUP(A15,EBAY!A$2:G$55,7,0)</f>
        <v>51.7</v>
      </c>
      <c r="AI15">
        <f>VLOOKUP(A15,EMC!A$2:G$55,7,0)</f>
        <v>28.22</v>
      </c>
      <c r="AJ15">
        <f>VLOOKUP(A15,EMR!A$2:G$55,7,0)</f>
        <v>66.900000000000006</v>
      </c>
      <c r="AK15">
        <f>VLOOKUP(A15,EXC!A$2:G$55,7,0)</f>
        <v>31.92</v>
      </c>
      <c r="AL15">
        <f>VLOOKUP(A15,F!A$2:G$55,7,0)</f>
        <v>17.57</v>
      </c>
      <c r="AM15">
        <f>VLOOKUP(A15,FB!A$2:G$55,7,0)</f>
        <v>69.400000000000006</v>
      </c>
      <c r="AN15">
        <f>VLOOKUP(A15,FCX!A$2:G$55,7,0)</f>
        <v>38.67</v>
      </c>
      <c r="AO15">
        <f>VLOOKUP(A15,FDX!A$2:G$55,7,0)</f>
        <v>152.15</v>
      </c>
      <c r="AP15">
        <f>VLOOKUP(A15,FOXA!A$2:G$55,7,0)</f>
        <v>32.78</v>
      </c>
      <c r="AQ15">
        <f>VLOOKUP(A15,GD!A$2:G$55,7,0)</f>
        <v>118.35</v>
      </c>
      <c r="AR15">
        <f>VLOOKUP(A15,GE!A$2:G$55,7,0)</f>
        <v>25.76</v>
      </c>
      <c r="AS15">
        <f>VLOOKUP(A15,GILD!A$2:G$55,7,0)</f>
        <v>88.86</v>
      </c>
      <c r="AT15">
        <f>VLOOKUP(A15,GM!A$2:G$55,7,0)</f>
        <v>37.11</v>
      </c>
      <c r="AU15">
        <f>VLOOKUP(A15,GOOG!A$2:G$55,7,0)</f>
        <v>589.47</v>
      </c>
      <c r="AV15">
        <f>VLOOKUP(A15,GOOGL!A$2:G$55,7,0)</f>
        <v>598.44000000000005</v>
      </c>
      <c r="AW15">
        <f>VLOOKUP(A15,GS!A$2:G$55,7,0)</f>
        <v>171.19</v>
      </c>
      <c r="AX15">
        <f>VLOOKUP(A15,HAL!A$2:G$55,7,0)</f>
        <v>70.84</v>
      </c>
      <c r="AY15">
        <f>VLOOKUP(A15,HD!A$2:G$55,7,0)</f>
        <v>79.31</v>
      </c>
      <c r="AZ15">
        <f>VLOOKUP(A15,HON!A$2:G$55,7,0)</f>
        <v>96.88</v>
      </c>
      <c r="BA15">
        <f>VLOOKUP(A15,HPQ!A$2:G$55,7,0)</f>
        <v>34.369999999999997</v>
      </c>
      <c r="BB15">
        <f>VLOOKUP(A15,IBM!A$2:G$55,7,0)</f>
        <v>189.73</v>
      </c>
      <c r="BC15">
        <f>VLOOKUP(A15,INTC!A$2:G$55,7,0)</f>
        <v>33.83</v>
      </c>
      <c r="BD15">
        <f>VLOOKUP(A15,JNJ!A$2:G$55,7,0)</f>
        <v>100.59</v>
      </c>
      <c r="BE15">
        <f>VLOOKUP(A15,JPM!A$2:G$55,7,0)</f>
        <v>58.24</v>
      </c>
      <c r="BF15">
        <f>VLOOKUP(A15,KO!A$2:G$55,7,0)</f>
        <v>42.09</v>
      </c>
      <c r="BG15">
        <f>VLOOKUP(A15,LLY!A$2:G$55,7,0)</f>
        <v>63.13</v>
      </c>
      <c r="BH15">
        <f>VLOOKUP(A15,LMT!A$2:G$55,7,0)</f>
        <v>161.75</v>
      </c>
      <c r="BI15">
        <f>VLOOKUP(A15,LOW!A$2:G$55,7,0)</f>
        <v>47.58</v>
      </c>
      <c r="BJ15">
        <f>VLOOKUP(A15,MA!A$2:G$55,7,0)</f>
        <v>77.349999999999994</v>
      </c>
      <c r="BK15">
        <f>VLOOKUP(A15,MCD!A$2:G$55,7,0)</f>
        <v>96.72</v>
      </c>
      <c r="BL15">
        <f>VLOOKUP(A15,MDLZ!A$2:G$55,7,0)</f>
        <v>38.1</v>
      </c>
      <c r="BM15">
        <f>VLOOKUP(A15,MDT!A$2:G$55,7,0)</f>
        <v>62.41</v>
      </c>
      <c r="BN15">
        <f>VLOOKUP(A15,MET!A$2:G$55,7,0)</f>
        <v>55.13</v>
      </c>
      <c r="BO15">
        <f>VLOOKUP(A15,MMM!A$2:G$55,7,0)</f>
        <v>143.44</v>
      </c>
      <c r="BP15">
        <f>VLOOKUP(A15,MO!A$2:G$55,7,0)</f>
        <v>41.51</v>
      </c>
      <c r="BQ15">
        <f>VLOOKUP(A15,MON!A$2:G$55,7,0)</f>
        <v>118.96</v>
      </c>
      <c r="BR15">
        <f>VLOOKUP(A15,MRK!A$2:G$55,7,0)</f>
        <v>57.58</v>
      </c>
      <c r="BS15">
        <f>VLOOKUP(A15,MS!A$2:G$55,7,0)</f>
        <v>32.450000000000003</v>
      </c>
      <c r="BT15">
        <f>VLOOKUP(A15,MSFT!A$2:G$55,7,0)</f>
        <v>44.56</v>
      </c>
      <c r="BU15">
        <f>VLOOKUP(A15,NKE!A$2:G$55,7,0)</f>
        <v>76.59</v>
      </c>
      <c r="BV15">
        <f>VLOOKUP(A15,NOV!A$2:G$55,7,0)</f>
        <v>85.1</v>
      </c>
      <c r="BW15">
        <f>VLOOKUP(A15,NSC!A$2:G$55,7,0)</f>
        <v>105.63</v>
      </c>
      <c r="BX15">
        <f>VLOOKUP(A15,ORCL!A$2:G$55,7,0)</f>
        <v>40.01</v>
      </c>
      <c r="BY15">
        <f>VLOOKUP(A15,OXY!A$2:G$55,7,0)</f>
        <v>99.87</v>
      </c>
      <c r="BZ15">
        <f>VLOOKUP(A15,PEP!A$2:G$55,7,0)</f>
        <v>89.27</v>
      </c>
      <c r="CA15">
        <f>VLOOKUP(A15,PFE!A$2:G$55,7,0)</f>
        <v>30.08</v>
      </c>
      <c r="CB15">
        <f>VLOOKUP(A15,PG!A$2:G$55,7,0)</f>
        <v>80.28</v>
      </c>
      <c r="CC15">
        <f>VLOOKUP(A15,PM!A$2:G$55,7,0)</f>
        <v>84.58</v>
      </c>
      <c r="CD15">
        <f>VLOOKUP(A15,QCOM!A$2:G$55,7,0)</f>
        <v>79.23</v>
      </c>
      <c r="CE15">
        <f>VLOOKUP(A15,RTN!A$2:G$55,7,0)</f>
        <v>95.25</v>
      </c>
      <c r="CF15">
        <f>VLOOKUP(A15,SBUX!A$2:G$55,7,0)</f>
        <v>77.349999999999994</v>
      </c>
      <c r="CG15">
        <f>VLOOKUP(A15,SLB!A$2:G$55,7,0)</f>
        <v>112.63</v>
      </c>
      <c r="CH15">
        <f>VLOOKUP(A15,SO!A$2:G$55,7,0)</f>
        <v>44.38</v>
      </c>
      <c r="CI15">
        <f>VLOOKUP(A15,SPG!A$2:G$55,7,0)</f>
        <v>169.08</v>
      </c>
      <c r="CJ15">
        <f>VLOOKUP(A15,T!A$2:G$55,7,0)</f>
        <v>35.96</v>
      </c>
      <c r="CK15">
        <f>VLOOKUP(A15,TGT!A$2:G$55,7,0)</f>
        <v>58.77</v>
      </c>
      <c r="CL15">
        <f>VLOOKUP(A15,TWX!A$2:G$55,7,0)</f>
        <v>87</v>
      </c>
      <c r="CM15">
        <f>VLOOKUP(A15,TXN!A$2:G$55,7,0)</f>
        <v>48.86</v>
      </c>
      <c r="CN15">
        <f>VLOOKUP(A15,UNH!A$2:G$55,7,0)</f>
        <v>84.7</v>
      </c>
      <c r="CO15">
        <f>VLOOKUP(A15,UNP!A$2:G$55,7,0)</f>
        <v>101.16</v>
      </c>
      <c r="CP15">
        <f>VLOOKUP(A15,UPS!A$2:G$55,7,0)</f>
        <v>103.34</v>
      </c>
      <c r="CQ15">
        <f>VLOOKUP(A15,USB!A$2:G$55,7,0)</f>
        <v>41.87</v>
      </c>
      <c r="CR15">
        <f>VLOOKUP(A15,UTX!A$2:G$55,7,0)</f>
        <v>112.34</v>
      </c>
      <c r="CS15">
        <f>VLOOKUP(A15,V!A$2:G$55,7,0)</f>
        <v>218.8</v>
      </c>
      <c r="CT15">
        <f>VLOOKUP(A15,VZ!A$2:G$55,7,0)</f>
        <v>50.7</v>
      </c>
      <c r="CU15">
        <f>VLOOKUP(A15,WAG!A$2:G$55,7,0)</f>
        <v>71.28</v>
      </c>
      <c r="CV15">
        <f>VLOOKUP(A15,WFC!A$2:G$55,7,0)</f>
        <v>50.7</v>
      </c>
      <c r="CW15">
        <f>VLOOKUP(A15,WMT!A$2:G$55,7,0)</f>
        <v>76.27</v>
      </c>
    </row>
    <row r="16" spans="1:101" x14ac:dyDescent="0.25">
      <c r="A16" s="34">
        <v>41842</v>
      </c>
      <c r="B16" s="36">
        <v>94.25</v>
      </c>
      <c r="C16">
        <f>VLOOKUP(A16,ABBV!A$2:G$55,7,0)</f>
        <v>54.05</v>
      </c>
      <c r="D16">
        <f>VLOOKUP(A16,ABT!A$2:G$55,7,0)</f>
        <v>43.09</v>
      </c>
      <c r="E16">
        <f>VLOOKUP(A16,ACN!A$2:G$55,7,0)</f>
        <v>80.290000000000006</v>
      </c>
      <c r="F16">
        <f>VLOOKUP(A16,AIG!A$2:G$55,7,0)</f>
        <v>54.58</v>
      </c>
      <c r="G16">
        <f>VLOOKUP(A16,ALL!A$2:G$55,7,0)</f>
        <v>57.83</v>
      </c>
      <c r="H16">
        <f>VLOOKUP(A16,AMGN!A$2:G$55,7,0)</f>
        <v>120.53</v>
      </c>
      <c r="I16">
        <f>VLOOKUP(A16,AMZN!A$2:G$55,7,0)</f>
        <v>360.84</v>
      </c>
      <c r="J16">
        <f>VLOOKUP(A16,APA!A$2:G$55,7,0)</f>
        <v>103.12</v>
      </c>
      <c r="K16">
        <f>VLOOKUP(A16,APC!A$2:G$55,7,0)</f>
        <v>108.05</v>
      </c>
      <c r="L16">
        <f>VLOOKUP(A16,AXP!A$2:G$55,7,0)</f>
        <v>93.37</v>
      </c>
      <c r="M16">
        <f>VLOOKUP(A16,BA!A$2:G$55,7,0)</f>
        <v>128.96</v>
      </c>
      <c r="N16">
        <f>VLOOKUP(A16,BAC!A$2:G$55,7,0)</f>
        <v>15.47</v>
      </c>
      <c r="O16">
        <f>VLOOKUP(A16,BAX!A$2:G$55,7,0)</f>
        <v>76.33</v>
      </c>
      <c r="P16">
        <f>VLOOKUP(A16,BIIB!A$2:G$55,7,0)</f>
        <v>303.67</v>
      </c>
      <c r="Q16">
        <f>VLOOKUP(A16,BK!A$2:G$55,7,0)</f>
        <v>38.89</v>
      </c>
      <c r="R16">
        <f>VLOOKUP(A16,BMY!A$2:G$55,7,0)</f>
        <v>49.12</v>
      </c>
      <c r="T16">
        <f>VLOOKUP(A16,'C'!A$2:G$55,7,0)</f>
        <v>49.59</v>
      </c>
      <c r="U16">
        <f>VLOOKUP(A16,CAT!A$2:G$55,7,0)</f>
        <v>110.06</v>
      </c>
      <c r="V16">
        <f>VLOOKUP(A16,CL!A$2:G$55,7,0)</f>
        <v>68.59</v>
      </c>
      <c r="W16">
        <f>VLOOKUP(A16,CMCSA!A$2:G$55,7,0)</f>
        <v>54.4</v>
      </c>
      <c r="X16">
        <f>VLOOKUP(A16,COF!A$2:G$55,7,0)</f>
        <v>81.81</v>
      </c>
      <c r="Y16">
        <f>VLOOKUP(A16,COP!A$2:G$55,7,0)</f>
        <v>86.02</v>
      </c>
      <c r="Z16">
        <f>VLOOKUP(A16,COST!A$2:G$55,7,0)</f>
        <v>117.55</v>
      </c>
      <c r="AA16">
        <f>VLOOKUP(A16,CSCO!A$2:G$55,7,0)</f>
        <v>25.95</v>
      </c>
      <c r="AB16">
        <f>VLOOKUP(A16,CVS!A$2:G$55,7,0)</f>
        <v>77.87</v>
      </c>
      <c r="AC16">
        <f>VLOOKUP(A16,CVX!A$2:G$55,7,0)</f>
        <v>131.46</v>
      </c>
      <c r="AD16">
        <f>VLOOKUP(A16,DD!A$2:G$55,7,0)</f>
        <v>64.48</v>
      </c>
      <c r="AE16">
        <f>VLOOKUP(A16,DIS!A$2:G$55,7,0)</f>
        <v>86.21</v>
      </c>
      <c r="AF16">
        <f>VLOOKUP(A16,DOW!A$2:G$55,7,0)</f>
        <v>51.94</v>
      </c>
      <c r="AG16">
        <f>VLOOKUP(A16,DVN!A$2:G$55,7,0)</f>
        <v>77.88</v>
      </c>
      <c r="AH16">
        <f>VLOOKUP(A16,EBAY!A$2:G$55,7,0)</f>
        <v>52.05</v>
      </c>
      <c r="AI16">
        <f>VLOOKUP(A16,EMC!A$2:G$55,7,0)</f>
        <v>28.41</v>
      </c>
      <c r="AJ16">
        <f>VLOOKUP(A16,EMR!A$2:G$55,7,0)</f>
        <v>66.959999999999994</v>
      </c>
      <c r="AK16">
        <f>VLOOKUP(A16,EXC!A$2:G$55,7,0)</f>
        <v>31.47</v>
      </c>
      <c r="AL16">
        <f>VLOOKUP(A16,F!A$2:G$55,7,0)</f>
        <v>17.690000000000001</v>
      </c>
      <c r="AM16">
        <f>VLOOKUP(A16,FB!A$2:G$55,7,0)</f>
        <v>69.27</v>
      </c>
      <c r="AN16">
        <f>VLOOKUP(A16,FCX!A$2:G$55,7,0)</f>
        <v>38.72</v>
      </c>
      <c r="AO16">
        <f>VLOOKUP(A16,FDX!A$2:G$55,7,0)</f>
        <v>153.09</v>
      </c>
      <c r="AP16">
        <f>VLOOKUP(A16,FOXA!A$2:G$55,7,0)</f>
        <v>33.22</v>
      </c>
      <c r="AQ16">
        <f>VLOOKUP(A16,GD!A$2:G$55,7,0)</f>
        <v>118.55</v>
      </c>
      <c r="AR16">
        <f>VLOOKUP(A16,GE!A$2:G$55,7,0)</f>
        <v>25.8</v>
      </c>
      <c r="AS16">
        <f>VLOOKUP(A16,GILD!A$2:G$55,7,0)</f>
        <v>89.33</v>
      </c>
      <c r="AT16">
        <f>VLOOKUP(A16,GM!A$2:G$55,7,0)</f>
        <v>37.43</v>
      </c>
      <c r="AU16">
        <f>VLOOKUP(A16,GOOG!A$2:G$55,7,0)</f>
        <v>594.74</v>
      </c>
      <c r="AV16">
        <f>VLOOKUP(A16,GOOGL!A$2:G$55,7,0)</f>
        <v>603.57000000000005</v>
      </c>
      <c r="AW16">
        <f>VLOOKUP(A16,GS!A$2:G$55,7,0)</f>
        <v>174.48</v>
      </c>
      <c r="AX16">
        <f>VLOOKUP(A16,HAL!A$2:G$55,7,0)</f>
        <v>73.13</v>
      </c>
      <c r="AY16">
        <f>VLOOKUP(A16,HD!A$2:G$55,7,0)</f>
        <v>80.14</v>
      </c>
      <c r="AZ16">
        <f>VLOOKUP(A16,HON!A$2:G$55,7,0)</f>
        <v>96.73</v>
      </c>
      <c r="BA16">
        <f>VLOOKUP(A16,HPQ!A$2:G$55,7,0)</f>
        <v>35</v>
      </c>
      <c r="BB16">
        <f>VLOOKUP(A16,IBM!A$2:G$55,7,0)</f>
        <v>192.95</v>
      </c>
      <c r="BC16">
        <f>VLOOKUP(A16,INTC!A$2:G$55,7,0)</f>
        <v>34.56</v>
      </c>
      <c r="BD16">
        <f>VLOOKUP(A16,JNJ!A$2:G$55,7,0)</f>
        <v>101.78</v>
      </c>
      <c r="BE16">
        <f>VLOOKUP(A16,JPM!A$2:G$55,7,0)</f>
        <v>58.67</v>
      </c>
      <c r="BF16">
        <f>VLOOKUP(A16,KO!A$2:G$55,7,0)</f>
        <v>40.89</v>
      </c>
      <c r="BG16">
        <f>VLOOKUP(A16,LLY!A$2:G$55,7,0)</f>
        <v>63.21</v>
      </c>
      <c r="BH16">
        <f>VLOOKUP(A16,LMT!A$2:G$55,7,0)</f>
        <v>166.61</v>
      </c>
      <c r="BI16">
        <f>VLOOKUP(A16,LOW!A$2:G$55,7,0)</f>
        <v>47.79</v>
      </c>
      <c r="BJ16">
        <f>VLOOKUP(A16,MA!A$2:G$55,7,0)</f>
        <v>78.27</v>
      </c>
      <c r="BK16">
        <f>VLOOKUP(A16,MCD!A$2:G$55,7,0)</f>
        <v>95.45</v>
      </c>
      <c r="BL16">
        <f>VLOOKUP(A16,MDLZ!A$2:G$55,7,0)</f>
        <v>38.340000000000003</v>
      </c>
      <c r="BM16">
        <f>VLOOKUP(A16,MDT!A$2:G$55,7,0)</f>
        <v>62.71</v>
      </c>
      <c r="BN16">
        <f>VLOOKUP(A16,MET!A$2:G$55,7,0)</f>
        <v>55.12</v>
      </c>
      <c r="BO16">
        <f>VLOOKUP(A16,MMM!A$2:G$55,7,0)</f>
        <v>144.26</v>
      </c>
      <c r="BP16">
        <f>VLOOKUP(A16,MO!A$2:G$55,7,0)</f>
        <v>41.43</v>
      </c>
      <c r="BQ16">
        <f>VLOOKUP(A16,MON!A$2:G$55,7,0)</f>
        <v>118.77</v>
      </c>
      <c r="BR16">
        <f>VLOOKUP(A16,MRK!A$2:G$55,7,0)</f>
        <v>58.01</v>
      </c>
      <c r="BS16">
        <f>VLOOKUP(A16,MS!A$2:G$55,7,0)</f>
        <v>32.81</v>
      </c>
      <c r="BT16">
        <f>VLOOKUP(A16,MSFT!A$2:G$55,7,0)</f>
        <v>44.55</v>
      </c>
      <c r="BU16">
        <f>VLOOKUP(A16,NKE!A$2:G$55,7,0)</f>
        <v>76.81</v>
      </c>
      <c r="BV16">
        <f>VLOOKUP(A16,NOV!A$2:G$55,7,0)</f>
        <v>85.55</v>
      </c>
      <c r="BW16">
        <f>VLOOKUP(A16,NSC!A$2:G$55,7,0)</f>
        <v>107.02</v>
      </c>
      <c r="BX16">
        <f>VLOOKUP(A16,ORCL!A$2:G$55,7,0)</f>
        <v>40.43</v>
      </c>
      <c r="BY16">
        <f>VLOOKUP(A16,OXY!A$2:G$55,7,0)</f>
        <v>100.55</v>
      </c>
      <c r="BZ16">
        <f>VLOOKUP(A16,PEP!A$2:G$55,7,0)</f>
        <v>88.54</v>
      </c>
      <c r="CA16">
        <f>VLOOKUP(A16,PFE!A$2:G$55,7,0)</f>
        <v>30.22</v>
      </c>
      <c r="CB16">
        <f>VLOOKUP(A16,PG!A$2:G$55,7,0)</f>
        <v>80.099999999999994</v>
      </c>
      <c r="CC16">
        <f>VLOOKUP(A16,PM!A$2:G$55,7,0)</f>
        <v>84.39</v>
      </c>
      <c r="CD16">
        <f>VLOOKUP(A16,QCOM!A$2:G$55,7,0)</f>
        <v>81.08</v>
      </c>
      <c r="CE16">
        <f>VLOOKUP(A16,RTN!A$2:G$55,7,0)</f>
        <v>96.28</v>
      </c>
      <c r="CF16">
        <f>VLOOKUP(A16,SBUX!A$2:G$55,7,0)</f>
        <v>78.48</v>
      </c>
      <c r="CG16">
        <f>VLOOKUP(A16,SLB!A$2:G$55,7,0)</f>
        <v>113</v>
      </c>
      <c r="CH16">
        <f>VLOOKUP(A16,SO!A$2:G$55,7,0)</f>
        <v>44.38</v>
      </c>
      <c r="CI16">
        <f>VLOOKUP(A16,SPG!A$2:G$55,7,0)</f>
        <v>170</v>
      </c>
      <c r="CJ16">
        <f>VLOOKUP(A16,T!A$2:G$55,7,0)</f>
        <v>35.94</v>
      </c>
      <c r="CK16">
        <f>VLOOKUP(A16,TGT!A$2:G$55,7,0)</f>
        <v>58.85</v>
      </c>
      <c r="CL16">
        <f>VLOOKUP(A16,TWX!A$2:G$55,7,0)</f>
        <v>86.42</v>
      </c>
      <c r="CM16">
        <f>VLOOKUP(A16,TXN!A$2:G$55,7,0)</f>
        <v>48.81</v>
      </c>
      <c r="CN16">
        <f>VLOOKUP(A16,UNH!A$2:G$55,7,0)</f>
        <v>85.69</v>
      </c>
      <c r="CO16">
        <f>VLOOKUP(A16,UNP!A$2:G$55,7,0)</f>
        <v>102.37</v>
      </c>
      <c r="CP16">
        <f>VLOOKUP(A16,UPS!A$2:G$55,7,0)</f>
        <v>103.76</v>
      </c>
      <c r="CQ16">
        <f>VLOOKUP(A16,USB!A$2:G$55,7,0)</f>
        <v>42</v>
      </c>
      <c r="CR16">
        <f>VLOOKUP(A16,UTX!A$2:G$55,7,0)</f>
        <v>110.24</v>
      </c>
      <c r="CS16">
        <f>VLOOKUP(A16,V!A$2:G$55,7,0)</f>
        <v>220.84</v>
      </c>
      <c r="CT16">
        <f>VLOOKUP(A16,VZ!A$2:G$55,7,0)</f>
        <v>50.98</v>
      </c>
      <c r="CU16">
        <f>VLOOKUP(A16,WAG!A$2:G$55,7,0)</f>
        <v>72.459999999999994</v>
      </c>
      <c r="CV16">
        <f>VLOOKUP(A16,WFC!A$2:G$55,7,0)</f>
        <v>50.99</v>
      </c>
      <c r="CW16">
        <f>VLOOKUP(A16,WMT!A$2:G$55,7,0)</f>
        <v>76.14</v>
      </c>
    </row>
    <row r="17" spans="1:101" x14ac:dyDescent="0.25">
      <c r="A17" s="34">
        <v>41843</v>
      </c>
      <c r="B17" s="36">
        <v>96.71</v>
      </c>
      <c r="C17">
        <f>VLOOKUP(A17,ABBV!A$2:G$55,7,0)</f>
        <v>54.48</v>
      </c>
      <c r="D17">
        <f>VLOOKUP(A17,ABT!A$2:G$55,7,0)</f>
        <v>42.97</v>
      </c>
      <c r="E17">
        <f>VLOOKUP(A17,ACN!A$2:G$55,7,0)</f>
        <v>80.59</v>
      </c>
      <c r="F17">
        <f>VLOOKUP(A17,AIG!A$2:G$55,7,0)</f>
        <v>54.9</v>
      </c>
      <c r="G17">
        <f>VLOOKUP(A17,ALL!A$2:G$55,7,0)</f>
        <v>58.07</v>
      </c>
      <c r="H17">
        <f>VLOOKUP(A17,AMGN!A$2:G$55,7,0)</f>
        <v>121.43</v>
      </c>
      <c r="I17">
        <f>VLOOKUP(A17,AMZN!A$2:G$55,7,0)</f>
        <v>358.14</v>
      </c>
      <c r="J17">
        <f>VLOOKUP(A17,APA!A$2:G$55,7,0)</f>
        <v>103.48</v>
      </c>
      <c r="K17">
        <f>VLOOKUP(A17,APC!A$2:G$55,7,0)</f>
        <v>110.54</v>
      </c>
      <c r="L17">
        <f>VLOOKUP(A17,AXP!A$2:G$55,7,0)</f>
        <v>93.28</v>
      </c>
      <c r="M17">
        <f>VLOOKUP(A17,BA!A$2:G$55,7,0)</f>
        <v>125.95</v>
      </c>
      <c r="N17">
        <f>VLOOKUP(A17,BAC!A$2:G$55,7,0)</f>
        <v>15.47</v>
      </c>
      <c r="O17">
        <f>VLOOKUP(A17,BAX!A$2:G$55,7,0)</f>
        <v>76.3</v>
      </c>
      <c r="P17">
        <f>VLOOKUP(A17,BIIB!A$2:G$55,7,0)</f>
        <v>337.6</v>
      </c>
      <c r="Q17">
        <f>VLOOKUP(A17,BK!A$2:G$55,7,0)</f>
        <v>38.96</v>
      </c>
      <c r="R17">
        <f>VLOOKUP(A17,BMY!A$2:G$55,7,0)</f>
        <v>49.32</v>
      </c>
      <c r="T17">
        <f>VLOOKUP(A17,'C'!A$2:G$55,7,0)</f>
        <v>50.17</v>
      </c>
      <c r="U17">
        <f>VLOOKUP(A17,CAT!A$2:G$55,7,0)</f>
        <v>108.38</v>
      </c>
      <c r="V17">
        <f>VLOOKUP(A17,CL!A$2:G$55,7,0)</f>
        <v>68.17</v>
      </c>
      <c r="W17">
        <f>VLOOKUP(A17,CMCSA!A$2:G$55,7,0)</f>
        <v>54.48</v>
      </c>
      <c r="X17">
        <f>VLOOKUP(A17,COF!A$2:G$55,7,0)</f>
        <v>81.680000000000007</v>
      </c>
      <c r="Y17">
        <f>VLOOKUP(A17,COP!A$2:G$55,7,0)</f>
        <v>86.76</v>
      </c>
      <c r="Z17">
        <f>VLOOKUP(A17,COST!A$2:G$55,7,0)</f>
        <v>117.59</v>
      </c>
      <c r="AA17">
        <f>VLOOKUP(A17,CSCO!A$2:G$55,7,0)</f>
        <v>25.68</v>
      </c>
      <c r="AB17">
        <f>VLOOKUP(A17,CVS!A$2:G$55,7,0)</f>
        <v>78.13</v>
      </c>
      <c r="AC17">
        <f>VLOOKUP(A17,CVX!A$2:G$55,7,0)</f>
        <v>132.75</v>
      </c>
      <c r="AD17">
        <f>VLOOKUP(A17,DD!A$2:G$55,7,0)</f>
        <v>64.900000000000006</v>
      </c>
      <c r="AE17">
        <f>VLOOKUP(A17,DIS!A$2:G$55,7,0)</f>
        <v>86.04</v>
      </c>
      <c r="AF17">
        <f>VLOOKUP(A17,DOW!A$2:G$55,7,0)</f>
        <v>53.51</v>
      </c>
      <c r="AG17">
        <f>VLOOKUP(A17,DVN!A$2:G$55,7,0)</f>
        <v>78.23</v>
      </c>
      <c r="AH17">
        <f>VLOOKUP(A17,EBAY!A$2:G$55,7,0)</f>
        <v>52.66</v>
      </c>
      <c r="AI17">
        <f>VLOOKUP(A17,EMC!A$2:G$55,7,0)</f>
        <v>28.64</v>
      </c>
      <c r="AJ17">
        <f>VLOOKUP(A17,EMR!A$2:G$55,7,0)</f>
        <v>66.56</v>
      </c>
      <c r="AK17">
        <f>VLOOKUP(A17,EXC!A$2:G$55,7,0)</f>
        <v>31.45</v>
      </c>
      <c r="AL17">
        <f>VLOOKUP(A17,F!A$2:G$55,7,0)</f>
        <v>17.649999999999999</v>
      </c>
      <c r="AM17">
        <f>VLOOKUP(A17,FB!A$2:G$55,7,0)</f>
        <v>71.290000000000006</v>
      </c>
      <c r="AN17">
        <f>VLOOKUP(A17,FCX!A$2:G$55,7,0)</f>
        <v>38.549999999999997</v>
      </c>
      <c r="AO17">
        <f>VLOOKUP(A17,FDX!A$2:G$55,7,0)</f>
        <v>152.47999999999999</v>
      </c>
      <c r="AP17">
        <f>VLOOKUP(A17,FOXA!A$2:G$55,7,0)</f>
        <v>32.590000000000003</v>
      </c>
      <c r="AQ17">
        <f>VLOOKUP(A17,GD!A$2:G$55,7,0)</f>
        <v>120.73</v>
      </c>
      <c r="AR17">
        <f>VLOOKUP(A17,GE!A$2:G$55,7,0)</f>
        <v>25.69</v>
      </c>
      <c r="AS17">
        <f>VLOOKUP(A17,GILD!A$2:G$55,7,0)</f>
        <v>90.34</v>
      </c>
      <c r="AT17">
        <f>VLOOKUP(A17,GM!A$2:G$55,7,0)</f>
        <v>37.090000000000003</v>
      </c>
      <c r="AU17">
        <f>VLOOKUP(A17,GOOG!A$2:G$55,7,0)</f>
        <v>595.98</v>
      </c>
      <c r="AV17">
        <f>VLOOKUP(A17,GOOGL!A$2:G$55,7,0)</f>
        <v>605.19000000000005</v>
      </c>
      <c r="AW17">
        <f>VLOOKUP(A17,GS!A$2:G$55,7,0)</f>
        <v>176.27</v>
      </c>
      <c r="AX17">
        <f>VLOOKUP(A17,HAL!A$2:G$55,7,0)</f>
        <v>73.86</v>
      </c>
      <c r="AY17">
        <f>VLOOKUP(A17,HD!A$2:G$55,7,0)</f>
        <v>80.61</v>
      </c>
      <c r="AZ17">
        <f>VLOOKUP(A17,HON!A$2:G$55,7,0)</f>
        <v>96.14</v>
      </c>
      <c r="BA17">
        <f>VLOOKUP(A17,HPQ!A$2:G$55,7,0)</f>
        <v>34.83</v>
      </c>
      <c r="BB17">
        <f>VLOOKUP(A17,IBM!A$2:G$55,7,0)</f>
        <v>192.49</v>
      </c>
      <c r="BC17">
        <f>VLOOKUP(A17,INTC!A$2:G$55,7,0)</f>
        <v>34.270000000000003</v>
      </c>
      <c r="BD17">
        <f>VLOOKUP(A17,JNJ!A$2:G$55,7,0)</f>
        <v>101.5</v>
      </c>
      <c r="BE17">
        <f>VLOOKUP(A17,JPM!A$2:G$55,7,0)</f>
        <v>59</v>
      </c>
      <c r="BF17">
        <f>VLOOKUP(A17,KO!A$2:G$55,7,0)</f>
        <v>40.51</v>
      </c>
      <c r="BG17">
        <f>VLOOKUP(A17,LLY!A$2:G$55,7,0)</f>
        <v>63.74</v>
      </c>
      <c r="BH17">
        <f>VLOOKUP(A17,LMT!A$2:G$55,7,0)</f>
        <v>166.83</v>
      </c>
      <c r="BI17">
        <f>VLOOKUP(A17,LOW!A$2:G$55,7,0)</f>
        <v>47.91</v>
      </c>
      <c r="BJ17">
        <f>VLOOKUP(A17,MA!A$2:G$55,7,0)</f>
        <v>77.739999999999995</v>
      </c>
      <c r="BK17">
        <f>VLOOKUP(A17,MCD!A$2:G$55,7,0)</f>
        <v>94.53</v>
      </c>
      <c r="BL17">
        <f>VLOOKUP(A17,MDLZ!A$2:G$55,7,0)</f>
        <v>38.119999999999997</v>
      </c>
      <c r="BM17">
        <f>VLOOKUP(A17,MDT!A$2:G$55,7,0)</f>
        <v>63.37</v>
      </c>
      <c r="BN17">
        <f>VLOOKUP(A17,MET!A$2:G$55,7,0)</f>
        <v>54.91</v>
      </c>
      <c r="BO17">
        <f>VLOOKUP(A17,MMM!A$2:G$55,7,0)</f>
        <v>143.82</v>
      </c>
      <c r="BP17">
        <f>VLOOKUP(A17,MO!A$2:G$55,7,0)</f>
        <v>41.23</v>
      </c>
      <c r="BQ17">
        <f>VLOOKUP(A17,MON!A$2:G$55,7,0)</f>
        <v>116.27</v>
      </c>
      <c r="BR17">
        <f>VLOOKUP(A17,MRK!A$2:G$55,7,0)</f>
        <v>57.69</v>
      </c>
      <c r="BS17">
        <f>VLOOKUP(A17,MS!A$2:G$55,7,0)</f>
        <v>33.25</v>
      </c>
      <c r="BT17">
        <f>VLOOKUP(A17,MSFT!A$2:G$55,7,0)</f>
        <v>44.59</v>
      </c>
      <c r="BU17">
        <f>VLOOKUP(A17,NKE!A$2:G$55,7,0)</f>
        <v>77.14</v>
      </c>
      <c r="BV17">
        <f>VLOOKUP(A17,NOV!A$2:G$55,7,0)</f>
        <v>85.7</v>
      </c>
      <c r="BW17">
        <f>VLOOKUP(A17,NSC!A$2:G$55,7,0)</f>
        <v>106.25</v>
      </c>
      <c r="BX17">
        <f>VLOOKUP(A17,ORCL!A$2:G$55,7,0)</f>
        <v>40.31</v>
      </c>
      <c r="BY17">
        <f>VLOOKUP(A17,OXY!A$2:G$55,7,0)</f>
        <v>100.88</v>
      </c>
      <c r="BZ17">
        <f>VLOOKUP(A17,PEP!A$2:G$55,7,0)</f>
        <v>90.18</v>
      </c>
      <c r="CA17">
        <f>VLOOKUP(A17,PFE!A$2:G$55,7,0)</f>
        <v>30.12</v>
      </c>
      <c r="CB17">
        <f>VLOOKUP(A17,PG!A$2:G$55,7,0)</f>
        <v>79.989999999999995</v>
      </c>
      <c r="CC17">
        <f>VLOOKUP(A17,PM!A$2:G$55,7,0)</f>
        <v>84.09</v>
      </c>
      <c r="CD17">
        <f>VLOOKUP(A17,QCOM!A$2:G$55,7,0)</f>
        <v>81.150000000000006</v>
      </c>
      <c r="CE17">
        <f>VLOOKUP(A17,RTN!A$2:G$55,7,0)</f>
        <v>94.8</v>
      </c>
      <c r="CF17">
        <f>VLOOKUP(A17,SBUX!A$2:G$55,7,0)</f>
        <v>78.87</v>
      </c>
      <c r="CG17">
        <f>VLOOKUP(A17,SLB!A$2:G$55,7,0)</f>
        <v>111.7</v>
      </c>
      <c r="CH17">
        <f>VLOOKUP(A17,SO!A$2:G$55,7,0)</f>
        <v>44.28</v>
      </c>
      <c r="CI17">
        <f>VLOOKUP(A17,SPG!A$2:G$55,7,0)</f>
        <v>169.09</v>
      </c>
      <c r="CJ17">
        <f>VLOOKUP(A17,T!A$2:G$55,7,0)</f>
        <v>35.880000000000003</v>
      </c>
      <c r="CK17">
        <f>VLOOKUP(A17,TGT!A$2:G$55,7,0)</f>
        <v>60.19</v>
      </c>
      <c r="CL17">
        <f>VLOOKUP(A17,TWX!A$2:G$55,7,0)</f>
        <v>83.91</v>
      </c>
      <c r="CM17">
        <f>VLOOKUP(A17,TXN!A$2:G$55,7,0)</f>
        <v>47.89</v>
      </c>
      <c r="CN17">
        <f>VLOOKUP(A17,UNH!A$2:G$55,7,0)</f>
        <v>85.58</v>
      </c>
      <c r="CO17">
        <f>VLOOKUP(A17,UNP!A$2:G$55,7,0)</f>
        <v>102.02</v>
      </c>
      <c r="CP17">
        <f>VLOOKUP(A17,UPS!A$2:G$55,7,0)</f>
        <v>103.62</v>
      </c>
      <c r="CQ17">
        <f>VLOOKUP(A17,USB!A$2:G$55,7,0)</f>
        <v>42.21</v>
      </c>
      <c r="CR17">
        <f>VLOOKUP(A17,UTX!A$2:G$55,7,0)</f>
        <v>109.11</v>
      </c>
      <c r="CS17">
        <f>VLOOKUP(A17,V!A$2:G$55,7,0)</f>
        <v>220.78</v>
      </c>
      <c r="CT17">
        <f>VLOOKUP(A17,VZ!A$2:G$55,7,0)</f>
        <v>50.91</v>
      </c>
      <c r="CU17">
        <f>VLOOKUP(A17,WAG!A$2:G$55,7,0)</f>
        <v>72.5</v>
      </c>
      <c r="CV17">
        <f>VLOOKUP(A17,WFC!A$2:G$55,7,0)</f>
        <v>50.97</v>
      </c>
      <c r="CW17">
        <f>VLOOKUP(A17,WMT!A$2:G$55,7,0)</f>
        <v>76.489999999999995</v>
      </c>
    </row>
    <row r="18" spans="1:101" x14ac:dyDescent="0.25">
      <c r="A18" s="34">
        <v>41844</v>
      </c>
      <c r="B18" s="36">
        <v>96.55</v>
      </c>
      <c r="C18">
        <f>VLOOKUP(A18,ABBV!A$2:G$55,7,0)</f>
        <v>54.08</v>
      </c>
      <c r="D18">
        <f>VLOOKUP(A18,ABT!A$2:G$55,7,0)</f>
        <v>42.89</v>
      </c>
      <c r="E18">
        <f>VLOOKUP(A18,ACN!A$2:G$55,7,0)</f>
        <v>80.69</v>
      </c>
      <c r="F18">
        <f>VLOOKUP(A18,AIG!A$2:G$55,7,0)</f>
        <v>55.05</v>
      </c>
      <c r="G18">
        <f>VLOOKUP(A18,ALL!A$2:G$55,7,0)</f>
        <v>58.23</v>
      </c>
      <c r="H18">
        <f>VLOOKUP(A18,AMGN!A$2:G$55,7,0)</f>
        <v>121.67</v>
      </c>
      <c r="I18">
        <f>VLOOKUP(A18,AMZN!A$2:G$55,7,0)</f>
        <v>358.61</v>
      </c>
      <c r="J18">
        <f>VLOOKUP(A18,APA!A$2:G$55,7,0)</f>
        <v>102.6</v>
      </c>
      <c r="K18">
        <f>VLOOKUP(A18,APC!A$2:G$55,7,0)</f>
        <v>110.73</v>
      </c>
      <c r="L18">
        <f>VLOOKUP(A18,AXP!A$2:G$55,7,0)</f>
        <v>93.15</v>
      </c>
      <c r="M18">
        <f>VLOOKUP(A18,BA!A$2:G$55,7,0)</f>
        <v>123.65</v>
      </c>
      <c r="N18">
        <f>VLOOKUP(A18,BAC!A$2:G$55,7,0)</f>
        <v>15.57</v>
      </c>
      <c r="O18">
        <f>VLOOKUP(A18,BAX!A$2:G$55,7,0)</f>
        <v>76.459999999999994</v>
      </c>
      <c r="P18">
        <f>VLOOKUP(A18,BIIB!A$2:G$55,7,0)</f>
        <v>336.79</v>
      </c>
      <c r="Q18">
        <f>VLOOKUP(A18,BK!A$2:G$55,7,0)</f>
        <v>39.6</v>
      </c>
      <c r="R18">
        <f>VLOOKUP(A18,BMY!A$2:G$55,7,0)</f>
        <v>49.46</v>
      </c>
      <c r="T18">
        <f>VLOOKUP(A18,'C'!A$2:G$55,7,0)</f>
        <v>50.08</v>
      </c>
      <c r="U18">
        <f>VLOOKUP(A18,CAT!A$2:G$55,7,0)</f>
        <v>105.04</v>
      </c>
      <c r="V18">
        <f>VLOOKUP(A18,CL!A$2:G$55,7,0)</f>
        <v>68.11</v>
      </c>
      <c r="W18">
        <f>VLOOKUP(A18,CMCSA!A$2:G$55,7,0)</f>
        <v>54.9</v>
      </c>
      <c r="X18">
        <f>VLOOKUP(A18,COF!A$2:G$55,7,0)</f>
        <v>82.09</v>
      </c>
      <c r="Y18">
        <f>VLOOKUP(A18,COP!A$2:G$55,7,0)</f>
        <v>86.25</v>
      </c>
      <c r="Z18">
        <f>VLOOKUP(A18,COST!A$2:G$55,7,0)</f>
        <v>118.14</v>
      </c>
      <c r="AA18">
        <f>VLOOKUP(A18,CSCO!A$2:G$55,7,0)</f>
        <v>25.83</v>
      </c>
      <c r="AB18">
        <f>VLOOKUP(A18,CVS!A$2:G$55,7,0)</f>
        <v>78.89</v>
      </c>
      <c r="AC18">
        <f>VLOOKUP(A18,CVX!A$2:G$55,7,0)</f>
        <v>133.71</v>
      </c>
      <c r="AD18">
        <f>VLOOKUP(A18,DD!A$2:G$55,7,0)</f>
        <v>64.73</v>
      </c>
      <c r="AE18">
        <f>VLOOKUP(A18,DIS!A$2:G$55,7,0)</f>
        <v>86.8</v>
      </c>
      <c r="AF18">
        <f>VLOOKUP(A18,DOW!A$2:G$55,7,0)</f>
        <v>53.47</v>
      </c>
      <c r="AG18">
        <f>VLOOKUP(A18,DVN!A$2:G$55,7,0)</f>
        <v>78.760000000000005</v>
      </c>
      <c r="AH18">
        <f>VLOOKUP(A18,EBAY!A$2:G$55,7,0)</f>
        <v>53.23</v>
      </c>
      <c r="AI18">
        <f>VLOOKUP(A18,EMC!A$2:G$55,7,0)</f>
        <v>28.78</v>
      </c>
      <c r="AJ18">
        <f>VLOOKUP(A18,EMR!A$2:G$55,7,0)</f>
        <v>66.59</v>
      </c>
      <c r="AK18">
        <f>VLOOKUP(A18,EXC!A$2:G$55,7,0)</f>
        <v>31.5</v>
      </c>
      <c r="AL18">
        <f>VLOOKUP(A18,F!A$2:G$55,7,0)</f>
        <v>17.71</v>
      </c>
      <c r="AM18">
        <f>VLOOKUP(A18,FB!A$2:G$55,7,0)</f>
        <v>74.98</v>
      </c>
      <c r="AN18">
        <f>VLOOKUP(A18,FCX!A$2:G$55,7,0)</f>
        <v>37.53</v>
      </c>
      <c r="AO18">
        <f>VLOOKUP(A18,FDX!A$2:G$55,7,0)</f>
        <v>152.30000000000001</v>
      </c>
      <c r="AP18">
        <f>VLOOKUP(A18,FOXA!A$2:G$55,7,0)</f>
        <v>32.81</v>
      </c>
      <c r="AQ18">
        <f>VLOOKUP(A18,GD!A$2:G$55,7,0)</f>
        <v>121.48</v>
      </c>
      <c r="AR18">
        <f>VLOOKUP(A18,GE!A$2:G$55,7,0)</f>
        <v>25.72</v>
      </c>
      <c r="AS18">
        <f>VLOOKUP(A18,GILD!A$2:G$55,7,0)</f>
        <v>90.54</v>
      </c>
      <c r="AT18">
        <f>VLOOKUP(A18,GM!A$2:G$55,7,0)</f>
        <v>35.43</v>
      </c>
      <c r="AU18">
        <f>VLOOKUP(A18,GOOG!A$2:G$55,7,0)</f>
        <v>593.35</v>
      </c>
      <c r="AV18">
        <f>VLOOKUP(A18,GOOGL!A$2:G$55,7,0)</f>
        <v>603.01</v>
      </c>
      <c r="AW18">
        <f>VLOOKUP(A18,GS!A$2:G$55,7,0)</f>
        <v>175.72</v>
      </c>
      <c r="AX18">
        <f>VLOOKUP(A18,HAL!A$2:G$55,7,0)</f>
        <v>73.25</v>
      </c>
      <c r="AY18">
        <f>VLOOKUP(A18,HD!A$2:G$55,7,0)</f>
        <v>80.790000000000006</v>
      </c>
      <c r="AZ18">
        <f>VLOOKUP(A18,HON!A$2:G$55,7,0)</f>
        <v>95.56</v>
      </c>
      <c r="BA18">
        <f>VLOOKUP(A18,HPQ!A$2:G$55,7,0)</f>
        <v>34.89</v>
      </c>
      <c r="BB18">
        <f>VLOOKUP(A18,IBM!A$2:G$55,7,0)</f>
        <v>194.09</v>
      </c>
      <c r="BC18">
        <f>VLOOKUP(A18,INTC!A$2:G$55,7,0)</f>
        <v>34.020000000000003</v>
      </c>
      <c r="BD18">
        <f>VLOOKUP(A18,JNJ!A$2:G$55,7,0)</f>
        <v>101.51</v>
      </c>
      <c r="BE18">
        <f>VLOOKUP(A18,JPM!A$2:G$55,7,0)</f>
        <v>59.17</v>
      </c>
      <c r="BF18">
        <f>VLOOKUP(A18,KO!A$2:G$55,7,0)</f>
        <v>40.67</v>
      </c>
      <c r="BG18">
        <f>VLOOKUP(A18,LLY!A$2:G$55,7,0)</f>
        <v>63.86</v>
      </c>
      <c r="BH18">
        <f>VLOOKUP(A18,LMT!A$2:G$55,7,0)</f>
        <v>168.69</v>
      </c>
      <c r="BI18">
        <f>VLOOKUP(A18,LOW!A$2:G$55,7,0)</f>
        <v>48</v>
      </c>
      <c r="BJ18">
        <f>VLOOKUP(A18,MA!A$2:G$55,7,0)</f>
        <v>77.569999999999993</v>
      </c>
      <c r="BK18">
        <f>VLOOKUP(A18,MCD!A$2:G$55,7,0)</f>
        <v>94.53</v>
      </c>
      <c r="BL18">
        <f>VLOOKUP(A18,MDLZ!A$2:G$55,7,0)</f>
        <v>38.14</v>
      </c>
      <c r="BM18">
        <f>VLOOKUP(A18,MDT!A$2:G$55,7,0)</f>
        <v>63.28</v>
      </c>
      <c r="BN18">
        <f>VLOOKUP(A18,MET!A$2:G$55,7,0)</f>
        <v>54.78</v>
      </c>
      <c r="BO18">
        <f>VLOOKUP(A18,MMM!A$2:G$55,7,0)</f>
        <v>144.27000000000001</v>
      </c>
      <c r="BP18">
        <f>VLOOKUP(A18,MO!A$2:G$55,7,0)</f>
        <v>41.54</v>
      </c>
      <c r="BQ18">
        <f>VLOOKUP(A18,MON!A$2:G$55,7,0)</f>
        <v>116.19</v>
      </c>
      <c r="BR18">
        <f>VLOOKUP(A18,MRK!A$2:G$55,7,0)</f>
        <v>57.79</v>
      </c>
      <c r="BS18">
        <f>VLOOKUP(A18,MS!A$2:G$55,7,0)</f>
        <v>33.299999999999997</v>
      </c>
      <c r="BT18">
        <f>VLOOKUP(A18,MSFT!A$2:G$55,7,0)</f>
        <v>44.12</v>
      </c>
      <c r="BU18">
        <f>VLOOKUP(A18,NKE!A$2:G$55,7,0)</f>
        <v>78.36</v>
      </c>
      <c r="BV18">
        <f>VLOOKUP(A18,NOV!A$2:G$55,7,0)</f>
        <v>84.97</v>
      </c>
      <c r="BW18">
        <f>VLOOKUP(A18,NSC!A$2:G$55,7,0)</f>
        <v>107.19</v>
      </c>
      <c r="BX18">
        <f>VLOOKUP(A18,ORCL!A$2:G$55,7,0)</f>
        <v>40.47</v>
      </c>
      <c r="BY18">
        <f>VLOOKUP(A18,OXY!A$2:G$55,7,0)</f>
        <v>100.16</v>
      </c>
      <c r="BZ18">
        <f>VLOOKUP(A18,PEP!A$2:G$55,7,0)</f>
        <v>91.26</v>
      </c>
      <c r="CA18">
        <f>VLOOKUP(A18,PFE!A$2:G$55,7,0)</f>
        <v>30.07</v>
      </c>
      <c r="CB18">
        <f>VLOOKUP(A18,PG!A$2:G$55,7,0)</f>
        <v>80.260000000000005</v>
      </c>
      <c r="CC18">
        <f>VLOOKUP(A18,PM!A$2:G$55,7,0)</f>
        <v>84.55</v>
      </c>
      <c r="CD18">
        <f>VLOOKUP(A18,QCOM!A$2:G$55,7,0)</f>
        <v>75.75</v>
      </c>
      <c r="CE18">
        <f>VLOOKUP(A18,RTN!A$2:G$55,7,0)</f>
        <v>92.99</v>
      </c>
      <c r="CF18">
        <f>VLOOKUP(A18,SBUX!A$2:G$55,7,0)</f>
        <v>80.180000000000007</v>
      </c>
      <c r="CG18">
        <f>VLOOKUP(A18,SLB!A$2:G$55,7,0)</f>
        <v>112.69</v>
      </c>
      <c r="CH18">
        <f>VLOOKUP(A18,SO!A$2:G$55,7,0)</f>
        <v>44.25</v>
      </c>
      <c r="CI18">
        <f>VLOOKUP(A18,SPG!A$2:G$55,7,0)</f>
        <v>169.98</v>
      </c>
      <c r="CJ18">
        <f>VLOOKUP(A18,T!A$2:G$55,7,0)</f>
        <v>35.5</v>
      </c>
      <c r="CK18">
        <f>VLOOKUP(A18,TGT!A$2:G$55,7,0)</f>
        <v>60.45</v>
      </c>
      <c r="CL18">
        <f>VLOOKUP(A18,TWX!A$2:G$55,7,0)</f>
        <v>83.66</v>
      </c>
      <c r="CM18">
        <f>VLOOKUP(A18,TXN!A$2:G$55,7,0)</f>
        <v>47.56</v>
      </c>
      <c r="CN18">
        <f>VLOOKUP(A18,UNH!A$2:G$55,7,0)</f>
        <v>85.32</v>
      </c>
      <c r="CO18">
        <f>VLOOKUP(A18,UNP!A$2:G$55,7,0)</f>
        <v>101.29</v>
      </c>
      <c r="CP18">
        <f>VLOOKUP(A18,UPS!A$2:G$55,7,0)</f>
        <v>103.37</v>
      </c>
      <c r="CQ18">
        <f>VLOOKUP(A18,USB!A$2:G$55,7,0)</f>
        <v>42.48</v>
      </c>
      <c r="CR18">
        <f>VLOOKUP(A18,UTX!A$2:G$55,7,0)</f>
        <v>108.34</v>
      </c>
      <c r="CS18">
        <f>VLOOKUP(A18,V!A$2:G$55,7,0)</f>
        <v>222.32</v>
      </c>
      <c r="CT18">
        <f>VLOOKUP(A18,VZ!A$2:G$55,7,0)</f>
        <v>51.05</v>
      </c>
      <c r="CU18">
        <f>VLOOKUP(A18,WAG!A$2:G$55,7,0)</f>
        <v>72.680000000000007</v>
      </c>
      <c r="CV18">
        <f>VLOOKUP(A18,WFC!A$2:G$55,7,0)</f>
        <v>51.23</v>
      </c>
      <c r="CW18">
        <f>VLOOKUP(A18,WMT!A$2:G$55,7,0)</f>
        <v>75.849999999999994</v>
      </c>
    </row>
    <row r="19" spans="1:101" x14ac:dyDescent="0.25">
      <c r="A19" s="34">
        <v>41845</v>
      </c>
      <c r="B19" s="36">
        <v>97.19</v>
      </c>
      <c r="C19">
        <f>VLOOKUP(A19,ABBV!A$2:G$55,7,0)</f>
        <v>53.18</v>
      </c>
      <c r="D19">
        <f>VLOOKUP(A19,ABT!A$2:G$55,7,0)</f>
        <v>43.04</v>
      </c>
      <c r="E19">
        <f>VLOOKUP(A19,ACN!A$2:G$55,7,0)</f>
        <v>80.38</v>
      </c>
      <c r="F19">
        <f>VLOOKUP(A19,AIG!A$2:G$55,7,0)</f>
        <v>54.04</v>
      </c>
      <c r="G19">
        <f>VLOOKUP(A19,ALL!A$2:G$55,7,0)</f>
        <v>57.68</v>
      </c>
      <c r="H19">
        <f>VLOOKUP(A19,AMGN!A$2:G$55,7,0)</f>
        <v>122.25</v>
      </c>
      <c r="I19">
        <f>VLOOKUP(A19,AMZN!A$2:G$55,7,0)</f>
        <v>324.01</v>
      </c>
      <c r="J19">
        <f>VLOOKUP(A19,APA!A$2:G$55,7,0)</f>
        <v>101.85</v>
      </c>
      <c r="K19">
        <f>VLOOKUP(A19,APC!A$2:G$55,7,0)</f>
        <v>108.94</v>
      </c>
      <c r="L19">
        <f>VLOOKUP(A19,AXP!A$2:G$55,7,0)</f>
        <v>91.93</v>
      </c>
      <c r="M19">
        <f>VLOOKUP(A19,BA!A$2:G$55,7,0)</f>
        <v>122.46</v>
      </c>
      <c r="N19">
        <f>VLOOKUP(A19,BAC!A$2:G$55,7,0)</f>
        <v>15.54</v>
      </c>
      <c r="O19">
        <f>VLOOKUP(A19,BAX!A$2:G$55,7,0)</f>
        <v>76.11</v>
      </c>
      <c r="P19">
        <f>VLOOKUP(A19,BIIB!A$2:G$55,7,0)</f>
        <v>335.45</v>
      </c>
      <c r="Q19">
        <f>VLOOKUP(A19,BK!A$2:G$55,7,0)</f>
        <v>39.43</v>
      </c>
      <c r="R19">
        <f>VLOOKUP(A19,BMY!A$2:G$55,7,0)</f>
        <v>49.39</v>
      </c>
      <c r="T19">
        <f>VLOOKUP(A19,'C'!A$2:G$55,7,0)</f>
        <v>50.02</v>
      </c>
      <c r="U19">
        <f>VLOOKUP(A19,CAT!A$2:G$55,7,0)</f>
        <v>104.85</v>
      </c>
      <c r="V19">
        <f>VLOOKUP(A19,CL!A$2:G$55,7,0)</f>
        <v>67.59</v>
      </c>
      <c r="W19">
        <f>VLOOKUP(A19,CMCSA!A$2:G$55,7,0)</f>
        <v>54.16</v>
      </c>
      <c r="X19">
        <f>VLOOKUP(A19,COF!A$2:G$55,7,0)</f>
        <v>81.34</v>
      </c>
      <c r="Y19">
        <f>VLOOKUP(A19,COP!A$2:G$55,7,0)</f>
        <v>85.92</v>
      </c>
      <c r="Z19">
        <f>VLOOKUP(A19,COST!A$2:G$55,7,0)</f>
        <v>117.55</v>
      </c>
      <c r="AA19">
        <f>VLOOKUP(A19,CSCO!A$2:G$55,7,0)</f>
        <v>25.97</v>
      </c>
      <c r="AB19">
        <f>VLOOKUP(A19,CVS!A$2:G$55,7,0)</f>
        <v>79.12</v>
      </c>
      <c r="AC19">
        <f>VLOOKUP(A19,CVX!A$2:G$55,7,0)</f>
        <v>132.44</v>
      </c>
      <c r="AD19">
        <f>VLOOKUP(A19,DD!A$2:G$55,7,0)</f>
        <v>64.459999999999994</v>
      </c>
      <c r="AE19">
        <f>VLOOKUP(A19,DIS!A$2:G$55,7,0)</f>
        <v>86.23</v>
      </c>
      <c r="AF19">
        <f>VLOOKUP(A19,DOW!A$2:G$55,7,0)</f>
        <v>53.34</v>
      </c>
      <c r="AG19">
        <f>VLOOKUP(A19,DVN!A$2:G$55,7,0)</f>
        <v>78.069999999999993</v>
      </c>
      <c r="AH19">
        <f>VLOOKUP(A19,EBAY!A$2:G$55,7,0)</f>
        <v>52.75</v>
      </c>
      <c r="AI19">
        <f>VLOOKUP(A19,EMC!A$2:G$55,7,0)</f>
        <v>29.08</v>
      </c>
      <c r="AJ19">
        <f>VLOOKUP(A19,EMR!A$2:G$55,7,0)</f>
        <v>66.97</v>
      </c>
      <c r="AK19">
        <f>VLOOKUP(A19,EXC!A$2:G$55,7,0)</f>
        <v>31.14</v>
      </c>
      <c r="AL19">
        <f>VLOOKUP(A19,F!A$2:G$55,7,0)</f>
        <v>17.489999999999998</v>
      </c>
      <c r="AM19">
        <f>VLOOKUP(A19,FB!A$2:G$55,7,0)</f>
        <v>75.19</v>
      </c>
      <c r="AN19">
        <f>VLOOKUP(A19,FCX!A$2:G$55,7,0)</f>
        <v>37.99</v>
      </c>
      <c r="AO19">
        <f>VLOOKUP(A19,FDX!A$2:G$55,7,0)</f>
        <v>150.66</v>
      </c>
      <c r="AP19">
        <f>VLOOKUP(A19,FOXA!A$2:G$55,7,0)</f>
        <v>32.700000000000003</v>
      </c>
      <c r="AQ19">
        <f>VLOOKUP(A19,GD!A$2:G$55,7,0)</f>
        <v>121.14</v>
      </c>
      <c r="AR19">
        <f>VLOOKUP(A19,GE!A$2:G$55,7,0)</f>
        <v>25.57</v>
      </c>
      <c r="AS19">
        <f>VLOOKUP(A19,GILD!A$2:G$55,7,0)</f>
        <v>89.84</v>
      </c>
      <c r="AT19">
        <f>VLOOKUP(A19,GM!A$2:G$55,7,0)</f>
        <v>34.770000000000003</v>
      </c>
      <c r="AU19">
        <f>VLOOKUP(A19,GOOG!A$2:G$55,7,0)</f>
        <v>589.02</v>
      </c>
      <c r="AV19">
        <f>VLOOKUP(A19,GOOGL!A$2:G$55,7,0)</f>
        <v>598.08000000000004</v>
      </c>
      <c r="AW19">
        <f>VLOOKUP(A19,GS!A$2:G$55,7,0)</f>
        <v>174.86</v>
      </c>
      <c r="AX19">
        <f>VLOOKUP(A19,HAL!A$2:G$55,7,0)</f>
        <v>73.25</v>
      </c>
      <c r="AY19">
        <f>VLOOKUP(A19,HD!A$2:G$55,7,0)</f>
        <v>80.62</v>
      </c>
      <c r="AZ19">
        <f>VLOOKUP(A19,HON!A$2:G$55,7,0)</f>
        <v>95.31</v>
      </c>
      <c r="BA19">
        <f>VLOOKUP(A19,HPQ!A$2:G$55,7,0)</f>
        <v>35.28</v>
      </c>
      <c r="BB19">
        <f>VLOOKUP(A19,IBM!A$2:G$55,7,0)</f>
        <v>193.26</v>
      </c>
      <c r="BC19">
        <f>VLOOKUP(A19,INTC!A$2:G$55,7,0)</f>
        <v>34.020000000000003</v>
      </c>
      <c r="BD19">
        <f>VLOOKUP(A19,JNJ!A$2:G$55,7,0)</f>
        <v>101.42</v>
      </c>
      <c r="BE19">
        <f>VLOOKUP(A19,JPM!A$2:G$55,7,0)</f>
        <v>59.01</v>
      </c>
      <c r="BF19">
        <f>VLOOKUP(A19,KO!A$2:G$55,7,0)</f>
        <v>40.700000000000003</v>
      </c>
      <c r="BG19">
        <f>VLOOKUP(A19,LLY!A$2:G$55,7,0)</f>
        <v>63.27</v>
      </c>
      <c r="BH19">
        <f>VLOOKUP(A19,LMT!A$2:G$55,7,0)</f>
        <v>168.76</v>
      </c>
      <c r="BI19">
        <f>VLOOKUP(A19,LOW!A$2:G$55,7,0)</f>
        <v>47.7</v>
      </c>
      <c r="BJ19">
        <f>VLOOKUP(A19,MA!A$2:G$55,7,0)</f>
        <v>75.75</v>
      </c>
      <c r="BK19">
        <f>VLOOKUP(A19,MCD!A$2:G$55,7,0)</f>
        <v>94.9</v>
      </c>
      <c r="BL19">
        <f>VLOOKUP(A19,MDLZ!A$2:G$55,7,0)</f>
        <v>38.020000000000003</v>
      </c>
      <c r="BM19">
        <f>VLOOKUP(A19,MDT!A$2:G$55,7,0)</f>
        <v>62.9</v>
      </c>
      <c r="BN19">
        <f>VLOOKUP(A19,MET!A$2:G$55,7,0)</f>
        <v>54.38</v>
      </c>
      <c r="BO19">
        <f>VLOOKUP(A19,MMM!A$2:G$55,7,0)</f>
        <v>144.26</v>
      </c>
      <c r="BP19">
        <f>VLOOKUP(A19,MO!A$2:G$55,7,0)</f>
        <v>41.25</v>
      </c>
      <c r="BQ19">
        <f>VLOOKUP(A19,MON!A$2:G$55,7,0)</f>
        <v>115.79</v>
      </c>
      <c r="BR19">
        <f>VLOOKUP(A19,MRK!A$2:G$55,7,0)</f>
        <v>57.73</v>
      </c>
      <c r="BS19">
        <f>VLOOKUP(A19,MS!A$2:G$55,7,0)</f>
        <v>33.14</v>
      </c>
      <c r="BT19">
        <f>VLOOKUP(A19,MSFT!A$2:G$55,7,0)</f>
        <v>44.22</v>
      </c>
      <c r="BU19">
        <f>VLOOKUP(A19,NKE!A$2:G$55,7,0)</f>
        <v>77.489999999999995</v>
      </c>
      <c r="BV19">
        <f>VLOOKUP(A19,NOV!A$2:G$55,7,0)</f>
        <v>84.69</v>
      </c>
      <c r="BW19">
        <f>VLOOKUP(A19,NSC!A$2:G$55,7,0)</f>
        <v>106.91</v>
      </c>
      <c r="BX19">
        <f>VLOOKUP(A19,ORCL!A$2:G$55,7,0)</f>
        <v>40.33</v>
      </c>
      <c r="BY19">
        <f>VLOOKUP(A19,OXY!A$2:G$55,7,0)</f>
        <v>99.38</v>
      </c>
      <c r="BZ19">
        <f>VLOOKUP(A19,PEP!A$2:G$55,7,0)</f>
        <v>90.9</v>
      </c>
      <c r="CA19">
        <f>VLOOKUP(A19,PFE!A$2:G$55,7,0)</f>
        <v>29.93</v>
      </c>
      <c r="CB19">
        <f>VLOOKUP(A19,PG!A$2:G$55,7,0)</f>
        <v>79.56</v>
      </c>
      <c r="CC19">
        <f>VLOOKUP(A19,PM!A$2:G$55,7,0)</f>
        <v>83.86</v>
      </c>
      <c r="CD19">
        <f>VLOOKUP(A19,QCOM!A$2:G$55,7,0)</f>
        <v>75.680000000000007</v>
      </c>
      <c r="CE19">
        <f>VLOOKUP(A19,RTN!A$2:G$55,7,0)</f>
        <v>91.52</v>
      </c>
      <c r="CF19">
        <f>VLOOKUP(A19,SBUX!A$2:G$55,7,0)</f>
        <v>78.48</v>
      </c>
      <c r="CG19">
        <f>VLOOKUP(A19,SLB!A$2:G$55,7,0)</f>
        <v>111.37</v>
      </c>
      <c r="CH19">
        <f>VLOOKUP(A19,SO!A$2:G$55,7,0)</f>
        <v>44.21</v>
      </c>
      <c r="CI19">
        <f>VLOOKUP(A19,SPG!A$2:G$55,7,0)</f>
        <v>167.66</v>
      </c>
      <c r="CJ19">
        <f>VLOOKUP(A19,T!A$2:G$55,7,0)</f>
        <v>35.54</v>
      </c>
      <c r="CK19">
        <f>VLOOKUP(A19,TGT!A$2:G$55,7,0)</f>
        <v>59.85</v>
      </c>
      <c r="CL19">
        <f>VLOOKUP(A19,TWX!A$2:G$55,7,0)</f>
        <v>84.64</v>
      </c>
      <c r="CM19">
        <f>VLOOKUP(A19,TXN!A$2:G$55,7,0)</f>
        <v>46.52</v>
      </c>
      <c r="CN19">
        <f>VLOOKUP(A19,UNH!A$2:G$55,7,0)</f>
        <v>84.32</v>
      </c>
      <c r="CO19">
        <f>VLOOKUP(A19,UNP!A$2:G$55,7,0)</f>
        <v>101.18</v>
      </c>
      <c r="CP19">
        <f>VLOOKUP(A19,UPS!A$2:G$55,7,0)</f>
        <v>102.85</v>
      </c>
      <c r="CQ19">
        <f>VLOOKUP(A19,USB!A$2:G$55,7,0)</f>
        <v>42.5</v>
      </c>
      <c r="CR19">
        <f>VLOOKUP(A19,UTX!A$2:G$55,7,0)</f>
        <v>108.27</v>
      </c>
      <c r="CS19">
        <f>VLOOKUP(A19,V!A$2:G$55,7,0)</f>
        <v>214.36</v>
      </c>
      <c r="CT19">
        <f>VLOOKUP(A19,VZ!A$2:G$55,7,0)</f>
        <v>51.28</v>
      </c>
      <c r="CU19">
        <f>VLOOKUP(A19,WAG!A$2:G$55,7,0)</f>
        <v>72.89</v>
      </c>
      <c r="CV19">
        <f>VLOOKUP(A19,WFC!A$2:G$55,7,0)</f>
        <v>51.24</v>
      </c>
      <c r="CW19">
        <f>VLOOKUP(A19,WMT!A$2:G$55,7,0)</f>
        <v>75.47</v>
      </c>
    </row>
    <row r="20" spans="1:101" x14ac:dyDescent="0.25">
      <c r="A20" s="34">
        <v>41848</v>
      </c>
      <c r="B20" s="36">
        <v>98.53</v>
      </c>
      <c r="C20">
        <f>VLOOKUP(A20,ABBV!A$2:G$55,7,0)</f>
        <v>53.74</v>
      </c>
      <c r="D20">
        <f>VLOOKUP(A20,ABT!A$2:G$55,7,0)</f>
        <v>42.93</v>
      </c>
      <c r="E20">
        <f>VLOOKUP(A20,ACN!A$2:G$55,7,0)</f>
        <v>80.650000000000006</v>
      </c>
      <c r="F20">
        <f>VLOOKUP(A20,AIG!A$2:G$55,7,0)</f>
        <v>53.83</v>
      </c>
      <c r="G20">
        <f>VLOOKUP(A20,ALL!A$2:G$55,7,0)</f>
        <v>57.68</v>
      </c>
      <c r="H20">
        <f>VLOOKUP(A20,AMGN!A$2:G$55,7,0)</f>
        <v>122.06</v>
      </c>
      <c r="I20">
        <f>VLOOKUP(A20,AMZN!A$2:G$55,7,0)</f>
        <v>320.41000000000003</v>
      </c>
      <c r="J20">
        <f>VLOOKUP(A20,APA!A$2:G$55,7,0)</f>
        <v>101.27</v>
      </c>
      <c r="K20">
        <f>VLOOKUP(A20,APC!A$2:G$55,7,0)</f>
        <v>107.39</v>
      </c>
      <c r="L20">
        <f>VLOOKUP(A20,AXP!A$2:G$55,7,0)</f>
        <v>91.86</v>
      </c>
      <c r="M20">
        <f>VLOOKUP(A20,BA!A$2:G$55,7,0)</f>
        <v>122.32</v>
      </c>
      <c r="N20">
        <f>VLOOKUP(A20,BAC!A$2:G$55,7,0)</f>
        <v>15.45</v>
      </c>
      <c r="O20">
        <f>VLOOKUP(A20,BAX!A$2:G$55,7,0)</f>
        <v>75.930000000000007</v>
      </c>
      <c r="P20">
        <f>VLOOKUP(A20,BIIB!A$2:G$55,7,0)</f>
        <v>336.39</v>
      </c>
      <c r="Q20">
        <f>VLOOKUP(A20,BK!A$2:G$55,7,0)</f>
        <v>39.479999999999997</v>
      </c>
      <c r="R20">
        <f>VLOOKUP(A20,BMY!A$2:G$55,7,0)</f>
        <v>49.8</v>
      </c>
      <c r="T20">
        <f>VLOOKUP(A20,'C'!A$2:G$55,7,0)</f>
        <v>49.69</v>
      </c>
      <c r="U20">
        <f>VLOOKUP(A20,CAT!A$2:G$55,7,0)</f>
        <v>104.15</v>
      </c>
      <c r="V20">
        <f>VLOOKUP(A20,CL!A$2:G$55,7,0)</f>
        <v>67.33</v>
      </c>
      <c r="W20">
        <f>VLOOKUP(A20,CMCSA!A$2:G$55,7,0)</f>
        <v>54.5</v>
      </c>
      <c r="X20">
        <f>VLOOKUP(A20,COF!A$2:G$55,7,0)</f>
        <v>81.22</v>
      </c>
      <c r="Y20">
        <f>VLOOKUP(A20,COP!A$2:G$55,7,0)</f>
        <v>85.19</v>
      </c>
      <c r="Z20">
        <f>VLOOKUP(A20,COST!A$2:G$55,7,0)</f>
        <v>117.12</v>
      </c>
      <c r="AA20">
        <f>VLOOKUP(A20,CSCO!A$2:G$55,7,0)</f>
        <v>25.92</v>
      </c>
      <c r="AB20">
        <f>VLOOKUP(A20,CVS!A$2:G$55,7,0)</f>
        <v>78.38</v>
      </c>
      <c r="AC20">
        <f>VLOOKUP(A20,CVX!A$2:G$55,7,0)</f>
        <v>132.12</v>
      </c>
      <c r="AD20">
        <f>VLOOKUP(A20,DD!A$2:G$55,7,0)</f>
        <v>64.849999999999994</v>
      </c>
      <c r="AE20">
        <f>VLOOKUP(A20,DIS!A$2:G$55,7,0)</f>
        <v>87.15</v>
      </c>
      <c r="AF20">
        <f>VLOOKUP(A20,DOW!A$2:G$55,7,0)</f>
        <v>53.33</v>
      </c>
      <c r="AG20">
        <f>VLOOKUP(A20,DVN!A$2:G$55,7,0)</f>
        <v>77.56</v>
      </c>
      <c r="AH20">
        <f>VLOOKUP(A20,EBAY!A$2:G$55,7,0)</f>
        <v>52.93</v>
      </c>
      <c r="AI20">
        <f>VLOOKUP(A20,EMC!A$2:G$55,7,0)</f>
        <v>29.55</v>
      </c>
      <c r="AJ20">
        <f>VLOOKUP(A20,EMR!A$2:G$55,7,0)</f>
        <v>66.62</v>
      </c>
      <c r="AK20">
        <f>VLOOKUP(A20,EXC!A$2:G$55,7,0)</f>
        <v>31.64</v>
      </c>
      <c r="AL20">
        <f>VLOOKUP(A20,F!A$2:G$55,7,0)</f>
        <v>17.510000000000002</v>
      </c>
      <c r="AM20">
        <f>VLOOKUP(A20,FB!A$2:G$55,7,0)</f>
        <v>74.92</v>
      </c>
      <c r="AN20">
        <f>VLOOKUP(A20,FCX!A$2:G$55,7,0)</f>
        <v>38.06</v>
      </c>
      <c r="AO20">
        <f>VLOOKUP(A20,FDX!A$2:G$55,7,0)</f>
        <v>149.33000000000001</v>
      </c>
      <c r="AP20">
        <f>VLOOKUP(A20,FOXA!A$2:G$55,7,0)</f>
        <v>32.35</v>
      </c>
      <c r="AQ20">
        <f>VLOOKUP(A20,GD!A$2:G$55,7,0)</f>
        <v>120.48</v>
      </c>
      <c r="AR20">
        <f>VLOOKUP(A20,GE!A$2:G$55,7,0)</f>
        <v>25.38</v>
      </c>
      <c r="AS20">
        <f>VLOOKUP(A20,GILD!A$2:G$55,7,0)</f>
        <v>91.46</v>
      </c>
      <c r="AT20">
        <f>VLOOKUP(A20,GM!A$2:G$55,7,0)</f>
        <v>34.6</v>
      </c>
      <c r="AU20">
        <f>VLOOKUP(A20,GOOG!A$2:G$55,7,0)</f>
        <v>590.6</v>
      </c>
      <c r="AV20">
        <f>VLOOKUP(A20,GOOGL!A$2:G$55,7,0)</f>
        <v>599.02</v>
      </c>
      <c r="AW20">
        <f>VLOOKUP(A20,GS!A$2:G$55,7,0)</f>
        <v>175.41</v>
      </c>
      <c r="AX20">
        <f>VLOOKUP(A20,HAL!A$2:G$55,7,0)</f>
        <v>72.48</v>
      </c>
      <c r="AY20">
        <f>VLOOKUP(A20,HD!A$2:G$55,7,0)</f>
        <v>80.66</v>
      </c>
      <c r="AZ20">
        <f>VLOOKUP(A20,HON!A$2:G$55,7,0)</f>
        <v>94.72</v>
      </c>
      <c r="BA20">
        <f>VLOOKUP(A20,HPQ!A$2:G$55,7,0)</f>
        <v>35.450000000000003</v>
      </c>
      <c r="BB20">
        <f>VLOOKUP(A20,IBM!A$2:G$55,7,0)</f>
        <v>194.63</v>
      </c>
      <c r="BC20">
        <f>VLOOKUP(A20,INTC!A$2:G$55,7,0)</f>
        <v>34</v>
      </c>
      <c r="BD20">
        <f>VLOOKUP(A20,JNJ!A$2:G$55,7,0)</f>
        <v>101.42</v>
      </c>
      <c r="BE20">
        <f>VLOOKUP(A20,JPM!A$2:G$55,7,0)</f>
        <v>59.19</v>
      </c>
      <c r="BF20">
        <f>VLOOKUP(A20,KO!A$2:G$55,7,0)</f>
        <v>40.39</v>
      </c>
      <c r="BG20">
        <f>VLOOKUP(A20,LLY!A$2:G$55,7,0)</f>
        <v>62.88</v>
      </c>
      <c r="BH20">
        <f>VLOOKUP(A20,LMT!A$2:G$55,7,0)</f>
        <v>168.72</v>
      </c>
      <c r="BI20">
        <f>VLOOKUP(A20,LOW!A$2:G$55,7,0)</f>
        <v>47.69</v>
      </c>
      <c r="BJ20">
        <f>VLOOKUP(A20,MA!A$2:G$55,7,0)</f>
        <v>76.19</v>
      </c>
      <c r="BK20">
        <f>VLOOKUP(A20,MCD!A$2:G$55,7,0)</f>
        <v>94.96</v>
      </c>
      <c r="BL20">
        <f>VLOOKUP(A20,MDLZ!A$2:G$55,7,0)</f>
        <v>38.049999999999997</v>
      </c>
      <c r="BM20">
        <f>VLOOKUP(A20,MDT!A$2:G$55,7,0)</f>
        <v>62.76</v>
      </c>
      <c r="BN20">
        <f>VLOOKUP(A20,MET!A$2:G$55,7,0)</f>
        <v>54.44</v>
      </c>
      <c r="BO20">
        <f>VLOOKUP(A20,MMM!A$2:G$55,7,0)</f>
        <v>144.66999999999999</v>
      </c>
      <c r="BP20">
        <f>VLOOKUP(A20,MO!A$2:G$55,7,0)</f>
        <v>41.16</v>
      </c>
      <c r="BQ20">
        <f>VLOOKUP(A20,MON!A$2:G$55,7,0)</f>
        <v>114.97</v>
      </c>
      <c r="BR20">
        <f>VLOOKUP(A20,MRK!A$2:G$55,7,0)</f>
        <v>57.55</v>
      </c>
      <c r="BS20">
        <f>VLOOKUP(A20,MS!A$2:G$55,7,0)</f>
        <v>32.97</v>
      </c>
      <c r="BT20">
        <f>VLOOKUP(A20,MSFT!A$2:G$55,7,0)</f>
        <v>43.7</v>
      </c>
      <c r="BU20">
        <f>VLOOKUP(A20,NKE!A$2:G$55,7,0)</f>
        <v>78.16</v>
      </c>
      <c r="BV20">
        <f>VLOOKUP(A20,NOV!A$2:G$55,7,0)</f>
        <v>84.22</v>
      </c>
      <c r="BW20">
        <f>VLOOKUP(A20,NSC!A$2:G$55,7,0)</f>
        <v>104.75</v>
      </c>
      <c r="BX20">
        <f>VLOOKUP(A20,ORCL!A$2:G$55,7,0)</f>
        <v>40.549999999999997</v>
      </c>
      <c r="BY20">
        <f>VLOOKUP(A20,OXY!A$2:G$55,7,0)</f>
        <v>99.11</v>
      </c>
      <c r="BZ20">
        <f>VLOOKUP(A20,PEP!A$2:G$55,7,0)</f>
        <v>90.33</v>
      </c>
      <c r="CA20">
        <f>VLOOKUP(A20,PFE!A$2:G$55,7,0)</f>
        <v>29.84</v>
      </c>
      <c r="CB20">
        <f>VLOOKUP(A20,PG!A$2:G$55,7,0)</f>
        <v>79.260000000000005</v>
      </c>
      <c r="CC20">
        <f>VLOOKUP(A20,PM!A$2:G$55,7,0)</f>
        <v>83.5</v>
      </c>
      <c r="CD20">
        <f>VLOOKUP(A20,QCOM!A$2:G$55,7,0)</f>
        <v>75.41</v>
      </c>
      <c r="CE20">
        <f>VLOOKUP(A20,RTN!A$2:G$55,7,0)</f>
        <v>92.72</v>
      </c>
      <c r="CF20">
        <f>VLOOKUP(A20,SBUX!A$2:G$55,7,0)</f>
        <v>78.099999999999994</v>
      </c>
      <c r="CG20">
        <f>VLOOKUP(A20,SLB!A$2:G$55,7,0)</f>
        <v>111.48</v>
      </c>
      <c r="CH20">
        <f>VLOOKUP(A20,SO!A$2:G$55,7,0)</f>
        <v>44.82</v>
      </c>
      <c r="CI20">
        <f>VLOOKUP(A20,SPG!A$2:G$55,7,0)</f>
        <v>169.14</v>
      </c>
      <c r="CJ20">
        <f>VLOOKUP(A20,T!A$2:G$55,7,0)</f>
        <v>35.65</v>
      </c>
      <c r="CK20">
        <f>VLOOKUP(A20,TGT!A$2:G$55,7,0)</f>
        <v>59.76</v>
      </c>
      <c r="CL20">
        <f>VLOOKUP(A20,TWX!A$2:G$55,7,0)</f>
        <v>84.89</v>
      </c>
      <c r="CM20">
        <f>VLOOKUP(A20,TXN!A$2:G$55,7,0)</f>
        <v>47.05</v>
      </c>
      <c r="CN20">
        <f>VLOOKUP(A20,UNH!A$2:G$55,7,0)</f>
        <v>85.39</v>
      </c>
      <c r="CO20">
        <f>VLOOKUP(A20,UNP!A$2:G$55,7,0)</f>
        <v>100.16</v>
      </c>
      <c r="CP20">
        <f>VLOOKUP(A20,UPS!A$2:G$55,7,0)</f>
        <v>101.95</v>
      </c>
      <c r="CQ20">
        <f>VLOOKUP(A20,USB!A$2:G$55,7,0)</f>
        <v>42.32</v>
      </c>
      <c r="CR20">
        <f>VLOOKUP(A20,UTX!A$2:G$55,7,0)</f>
        <v>108.38</v>
      </c>
      <c r="CS20">
        <f>VLOOKUP(A20,V!A$2:G$55,7,0)</f>
        <v>213.81</v>
      </c>
      <c r="CT20">
        <f>VLOOKUP(A20,VZ!A$2:G$55,7,0)</f>
        <v>51.58</v>
      </c>
      <c r="CU20">
        <f>VLOOKUP(A20,WAG!A$2:G$55,7,0)</f>
        <v>71.06</v>
      </c>
      <c r="CV20">
        <f>VLOOKUP(A20,WFC!A$2:G$55,7,0)</f>
        <v>51.24</v>
      </c>
      <c r="CW20">
        <f>VLOOKUP(A20,WMT!A$2:G$55,7,0)</f>
        <v>75.209999999999994</v>
      </c>
    </row>
    <row r="21" spans="1:101" x14ac:dyDescent="0.25">
      <c r="A21" s="34">
        <v>41849</v>
      </c>
      <c r="B21" s="36">
        <v>97.89</v>
      </c>
      <c r="C21">
        <f>VLOOKUP(A21,ABBV!A$2:G$55,7,0)</f>
        <v>53.43</v>
      </c>
      <c r="D21">
        <f>VLOOKUP(A21,ABT!A$2:G$55,7,0)</f>
        <v>42.75</v>
      </c>
      <c r="E21">
        <f>VLOOKUP(A21,ACN!A$2:G$55,7,0)</f>
        <v>80.569999999999993</v>
      </c>
      <c r="F21">
        <f>VLOOKUP(A21,AIG!A$2:G$55,7,0)</f>
        <v>53.23</v>
      </c>
      <c r="G21">
        <f>VLOOKUP(A21,ALL!A$2:G$55,7,0)</f>
        <v>56.79</v>
      </c>
      <c r="H21">
        <f>VLOOKUP(A21,AMGN!A$2:G$55,7,0)</f>
        <v>122.72</v>
      </c>
      <c r="I21">
        <f>VLOOKUP(A21,AMZN!A$2:G$55,7,0)</f>
        <v>320</v>
      </c>
      <c r="J21">
        <f>VLOOKUP(A21,APA!A$2:G$55,7,0)</f>
        <v>101.32</v>
      </c>
      <c r="K21">
        <f>VLOOKUP(A21,APC!A$2:G$55,7,0)</f>
        <v>108.96</v>
      </c>
      <c r="L21">
        <f>VLOOKUP(A21,AXP!A$2:G$55,7,0)</f>
        <v>91.71</v>
      </c>
      <c r="M21">
        <f>VLOOKUP(A21,BA!A$2:G$55,7,0)</f>
        <v>121.58</v>
      </c>
      <c r="N21">
        <f>VLOOKUP(A21,BAC!A$2:G$55,7,0)</f>
        <v>15.29</v>
      </c>
      <c r="O21">
        <f>VLOOKUP(A21,BAX!A$2:G$55,7,0)</f>
        <v>75.81</v>
      </c>
      <c r="P21">
        <f>VLOOKUP(A21,BIIB!A$2:G$55,7,0)</f>
        <v>341.73</v>
      </c>
      <c r="Q21">
        <f>VLOOKUP(A21,BK!A$2:G$55,7,0)</f>
        <v>39.22</v>
      </c>
      <c r="R21">
        <f>VLOOKUP(A21,BMY!A$2:G$55,7,0)</f>
        <v>51.01</v>
      </c>
      <c r="T21">
        <f>VLOOKUP(A21,'C'!A$2:G$55,7,0)</f>
        <v>49.41</v>
      </c>
      <c r="U21">
        <f>VLOOKUP(A21,CAT!A$2:G$55,7,0)</f>
        <v>104.69</v>
      </c>
      <c r="V21">
        <f>VLOOKUP(A21,CL!A$2:G$55,7,0)</f>
        <v>66.36</v>
      </c>
      <c r="W21">
        <f>VLOOKUP(A21,CMCSA!A$2:G$55,7,0)</f>
        <v>54.76</v>
      </c>
      <c r="X21">
        <f>VLOOKUP(A21,COF!A$2:G$55,7,0)</f>
        <v>80.88</v>
      </c>
      <c r="Y21">
        <f>VLOOKUP(A21,COP!A$2:G$55,7,0)</f>
        <v>84.71</v>
      </c>
      <c r="Z21">
        <f>VLOOKUP(A21,COST!A$2:G$55,7,0)</f>
        <v>118.9</v>
      </c>
      <c r="AA21">
        <f>VLOOKUP(A21,CSCO!A$2:G$55,7,0)</f>
        <v>25.71</v>
      </c>
      <c r="AB21">
        <f>VLOOKUP(A21,CVS!A$2:G$55,7,0)</f>
        <v>77.81</v>
      </c>
      <c r="AC21">
        <f>VLOOKUP(A21,CVX!A$2:G$55,7,0)</f>
        <v>131.30000000000001</v>
      </c>
      <c r="AD21">
        <f>VLOOKUP(A21,DD!A$2:G$55,7,0)</f>
        <v>65.72</v>
      </c>
      <c r="AE21">
        <f>VLOOKUP(A21,DIS!A$2:G$55,7,0)</f>
        <v>86.2</v>
      </c>
      <c r="AF21">
        <f>VLOOKUP(A21,DOW!A$2:G$55,7,0)</f>
        <v>53.08</v>
      </c>
      <c r="AG21">
        <f>VLOOKUP(A21,DVN!A$2:G$55,7,0)</f>
        <v>77.14</v>
      </c>
      <c r="AH21">
        <f>VLOOKUP(A21,EBAY!A$2:G$55,7,0)</f>
        <v>53.21</v>
      </c>
      <c r="AI21">
        <f>VLOOKUP(A21,EMC!A$2:G$55,7,0)</f>
        <v>29.35</v>
      </c>
      <c r="AJ21">
        <f>VLOOKUP(A21,EMR!A$2:G$55,7,0)</f>
        <v>65.650000000000006</v>
      </c>
      <c r="AK21">
        <f>VLOOKUP(A21,EXC!A$2:G$55,7,0)</f>
        <v>31.16</v>
      </c>
      <c r="AL21">
        <f>VLOOKUP(A21,F!A$2:G$55,7,0)</f>
        <v>17.440000000000001</v>
      </c>
      <c r="AM21">
        <f>VLOOKUP(A21,FB!A$2:G$55,7,0)</f>
        <v>73.709999999999994</v>
      </c>
      <c r="AN21">
        <f>VLOOKUP(A21,FCX!A$2:G$55,7,0)</f>
        <v>37.909999999999997</v>
      </c>
      <c r="AO21">
        <f>VLOOKUP(A21,FDX!A$2:G$55,7,0)</f>
        <v>146.94999999999999</v>
      </c>
      <c r="AP21">
        <f>VLOOKUP(A21,FOXA!A$2:G$55,7,0)</f>
        <v>32.04</v>
      </c>
      <c r="AQ21">
        <f>VLOOKUP(A21,GD!A$2:G$55,7,0)</f>
        <v>119.18</v>
      </c>
      <c r="AR21">
        <f>VLOOKUP(A21,GE!A$2:G$55,7,0)</f>
        <v>25.24</v>
      </c>
      <c r="AS21">
        <f>VLOOKUP(A21,GILD!A$2:G$55,7,0)</f>
        <v>92.99</v>
      </c>
      <c r="AT21">
        <f>VLOOKUP(A21,GM!A$2:G$55,7,0)</f>
        <v>34.15</v>
      </c>
      <c r="AU21">
        <f>VLOOKUP(A21,GOOG!A$2:G$55,7,0)</f>
        <v>585.61</v>
      </c>
      <c r="AV21">
        <f>VLOOKUP(A21,GOOGL!A$2:G$55,7,0)</f>
        <v>593.95000000000005</v>
      </c>
      <c r="AW21">
        <f>VLOOKUP(A21,GS!A$2:G$55,7,0)</f>
        <v>175</v>
      </c>
      <c r="AX21">
        <f>VLOOKUP(A21,HAL!A$2:G$55,7,0)</f>
        <v>71.06</v>
      </c>
      <c r="AY21">
        <f>VLOOKUP(A21,HD!A$2:G$55,7,0)</f>
        <v>80.569999999999993</v>
      </c>
      <c r="AZ21">
        <f>VLOOKUP(A21,HON!A$2:G$55,7,0)</f>
        <v>93.34</v>
      </c>
      <c r="BA21">
        <f>VLOOKUP(A21,HPQ!A$2:G$55,7,0)</f>
        <v>35.79</v>
      </c>
      <c r="BB21">
        <f>VLOOKUP(A21,IBM!A$2:G$55,7,0)</f>
        <v>193.43</v>
      </c>
      <c r="BC21">
        <f>VLOOKUP(A21,INTC!A$2:G$55,7,0)</f>
        <v>33.96</v>
      </c>
      <c r="BD21">
        <f>VLOOKUP(A21,JNJ!A$2:G$55,7,0)</f>
        <v>101.27</v>
      </c>
      <c r="BE21">
        <f>VLOOKUP(A21,JPM!A$2:G$55,7,0)</f>
        <v>58.64</v>
      </c>
      <c r="BF21">
        <f>VLOOKUP(A21,KO!A$2:G$55,7,0)</f>
        <v>40.06</v>
      </c>
      <c r="BG21">
        <f>VLOOKUP(A21,LLY!A$2:G$55,7,0)</f>
        <v>62.27</v>
      </c>
      <c r="BH21">
        <f>VLOOKUP(A21,LMT!A$2:G$55,7,0)</f>
        <v>168.05</v>
      </c>
      <c r="BI21">
        <f>VLOOKUP(A21,LOW!A$2:G$55,7,0)</f>
        <v>48.04</v>
      </c>
      <c r="BJ21">
        <f>VLOOKUP(A21,MA!A$2:G$55,7,0)</f>
        <v>75.89</v>
      </c>
      <c r="BK21">
        <f>VLOOKUP(A21,MCD!A$2:G$55,7,0)</f>
        <v>95</v>
      </c>
      <c r="BL21">
        <f>VLOOKUP(A21,MDLZ!A$2:G$55,7,0)</f>
        <v>37.85</v>
      </c>
      <c r="BM21">
        <f>VLOOKUP(A21,MDT!A$2:G$55,7,0)</f>
        <v>62.65</v>
      </c>
      <c r="BN21">
        <f>VLOOKUP(A21,MET!A$2:G$55,7,0)</f>
        <v>53.72</v>
      </c>
      <c r="BO21">
        <f>VLOOKUP(A21,MMM!A$2:G$55,7,0)</f>
        <v>143.16999999999999</v>
      </c>
      <c r="BP21">
        <f>VLOOKUP(A21,MO!A$2:G$55,7,0)</f>
        <v>41.05</v>
      </c>
      <c r="BQ21">
        <f>VLOOKUP(A21,MON!A$2:G$55,7,0)</f>
        <v>114.41</v>
      </c>
      <c r="BR21">
        <f>VLOOKUP(A21,MRK!A$2:G$55,7,0)</f>
        <v>58.16</v>
      </c>
      <c r="BS21">
        <f>VLOOKUP(A21,MS!A$2:G$55,7,0)</f>
        <v>32.65</v>
      </c>
      <c r="BT21">
        <f>VLOOKUP(A21,MSFT!A$2:G$55,7,0)</f>
        <v>43.62</v>
      </c>
      <c r="BU21">
        <f>VLOOKUP(A21,NKE!A$2:G$55,7,0)</f>
        <v>77.86</v>
      </c>
      <c r="BV21">
        <f>VLOOKUP(A21,NOV!A$2:G$55,7,0)</f>
        <v>82.94</v>
      </c>
      <c r="BW21">
        <f>VLOOKUP(A21,NSC!A$2:G$55,7,0)</f>
        <v>102.89</v>
      </c>
      <c r="BX21">
        <f>VLOOKUP(A21,ORCL!A$2:G$55,7,0)</f>
        <v>40.630000000000003</v>
      </c>
      <c r="BY21">
        <f>VLOOKUP(A21,OXY!A$2:G$55,7,0)</f>
        <v>98.62</v>
      </c>
      <c r="BZ21">
        <f>VLOOKUP(A21,PEP!A$2:G$55,7,0)</f>
        <v>89.5</v>
      </c>
      <c r="CA21">
        <f>VLOOKUP(A21,PFE!A$2:G$55,7,0)</f>
        <v>29.47</v>
      </c>
      <c r="CB21">
        <f>VLOOKUP(A21,PG!A$2:G$55,7,0)</f>
        <v>78.650000000000006</v>
      </c>
      <c r="CC21">
        <f>VLOOKUP(A21,PM!A$2:G$55,7,0)</f>
        <v>83.67</v>
      </c>
      <c r="CD21">
        <f>VLOOKUP(A21,QCOM!A$2:G$55,7,0)</f>
        <v>74.900000000000006</v>
      </c>
      <c r="CE21">
        <f>VLOOKUP(A21,RTN!A$2:G$55,7,0)</f>
        <v>91.94</v>
      </c>
      <c r="CF21">
        <f>VLOOKUP(A21,SBUX!A$2:G$55,7,0)</f>
        <v>78.39</v>
      </c>
      <c r="CG21">
        <f>VLOOKUP(A21,SLB!A$2:G$55,7,0)</f>
        <v>110.72</v>
      </c>
      <c r="CH21">
        <f>VLOOKUP(A21,SO!A$2:G$55,7,0)</f>
        <v>44.33</v>
      </c>
      <c r="CI21">
        <f>VLOOKUP(A21,SPG!A$2:G$55,7,0)</f>
        <v>168.78</v>
      </c>
      <c r="CJ21">
        <f>VLOOKUP(A21,T!A$2:G$55,7,0)</f>
        <v>36.590000000000003</v>
      </c>
      <c r="CK21">
        <f>VLOOKUP(A21,TGT!A$2:G$55,7,0)</f>
        <v>60.55</v>
      </c>
      <c r="CL21">
        <f>VLOOKUP(A21,TWX!A$2:G$55,7,0)</f>
        <v>83.5</v>
      </c>
      <c r="CM21">
        <f>VLOOKUP(A21,TXN!A$2:G$55,7,0)</f>
        <v>46.77</v>
      </c>
      <c r="CN21">
        <f>VLOOKUP(A21,UNH!A$2:G$55,7,0)</f>
        <v>83.91</v>
      </c>
      <c r="CO21">
        <f>VLOOKUP(A21,UNP!A$2:G$55,7,0)</f>
        <v>99.13</v>
      </c>
      <c r="CP21">
        <f>VLOOKUP(A21,UPS!A$2:G$55,7,0)</f>
        <v>98.17</v>
      </c>
      <c r="CQ21">
        <f>VLOOKUP(A21,USB!A$2:G$55,7,0)</f>
        <v>42.39</v>
      </c>
      <c r="CR21">
        <f>VLOOKUP(A21,UTX!A$2:G$55,7,0)</f>
        <v>106.73</v>
      </c>
      <c r="CS21">
        <f>VLOOKUP(A21,V!A$2:G$55,7,0)</f>
        <v>213.09</v>
      </c>
      <c r="CT21">
        <f>VLOOKUP(A21,VZ!A$2:G$55,7,0)</f>
        <v>51.97</v>
      </c>
      <c r="CU21">
        <f>VLOOKUP(A21,WAG!A$2:G$55,7,0)</f>
        <v>69.78</v>
      </c>
      <c r="CV21">
        <f>VLOOKUP(A21,WFC!A$2:G$55,7,0)</f>
        <v>51.18</v>
      </c>
      <c r="CW21">
        <f>VLOOKUP(A21,WMT!A$2:G$55,7,0)</f>
        <v>74.95</v>
      </c>
    </row>
    <row r="22" spans="1:101" x14ac:dyDescent="0.25">
      <c r="A22" s="34">
        <v>41850</v>
      </c>
      <c r="B22" s="36">
        <v>97.66</v>
      </c>
      <c r="C22">
        <f>VLOOKUP(A22,ABBV!A$2:G$55,7,0)</f>
        <v>53.75</v>
      </c>
      <c r="D22">
        <f>VLOOKUP(A22,ABT!A$2:G$55,7,0)</f>
        <v>42.86</v>
      </c>
      <c r="E22">
        <f>VLOOKUP(A22,ACN!A$2:G$55,7,0)</f>
        <v>80.489999999999995</v>
      </c>
      <c r="F22">
        <f>VLOOKUP(A22,AIG!A$2:G$55,7,0)</f>
        <v>52.93</v>
      </c>
      <c r="G22">
        <f>VLOOKUP(A22,ALL!A$2:G$55,7,0)</f>
        <v>56.63</v>
      </c>
      <c r="H22">
        <f>VLOOKUP(A22,AMGN!A$2:G$55,7,0)</f>
        <v>129.38999999999999</v>
      </c>
      <c r="I22">
        <f>VLOOKUP(A22,AMZN!A$2:G$55,7,0)</f>
        <v>322.51</v>
      </c>
      <c r="J22">
        <f>VLOOKUP(A22,APA!A$2:G$55,7,0)</f>
        <v>101.29</v>
      </c>
      <c r="K22">
        <f>VLOOKUP(A22,APC!A$2:G$55,7,0)</f>
        <v>109.6</v>
      </c>
      <c r="L22">
        <f>VLOOKUP(A22,AXP!A$2:G$55,7,0)</f>
        <v>90.91</v>
      </c>
      <c r="M22">
        <f>VLOOKUP(A22,BA!A$2:G$55,7,0)</f>
        <v>121.55</v>
      </c>
      <c r="N22">
        <f>VLOOKUP(A22,BAC!A$2:G$55,7,0)</f>
        <v>15.53</v>
      </c>
      <c r="O22">
        <f>VLOOKUP(A22,BAX!A$2:G$55,7,0)</f>
        <v>75.56</v>
      </c>
      <c r="P22">
        <f>VLOOKUP(A22,BIIB!A$2:G$55,7,0)</f>
        <v>344.52</v>
      </c>
      <c r="Q22">
        <f>VLOOKUP(A22,BK!A$2:G$55,7,0)</f>
        <v>39.82</v>
      </c>
      <c r="R22">
        <f>VLOOKUP(A22,BMY!A$2:G$55,7,0)</f>
        <v>51.12</v>
      </c>
      <c r="T22">
        <f>VLOOKUP(A22,'C'!A$2:G$55,7,0)</f>
        <v>49.99</v>
      </c>
      <c r="U22">
        <f>VLOOKUP(A22,CAT!A$2:G$55,7,0)</f>
        <v>103.38</v>
      </c>
      <c r="V22">
        <f>VLOOKUP(A22,CL!A$2:G$55,7,0)</f>
        <v>66.11</v>
      </c>
      <c r="W22">
        <f>VLOOKUP(A22,CMCSA!A$2:G$55,7,0)</f>
        <v>55.18</v>
      </c>
      <c r="X22">
        <f>VLOOKUP(A22,COF!A$2:G$55,7,0)</f>
        <v>81.25</v>
      </c>
      <c r="Y22">
        <f>VLOOKUP(A22,COP!A$2:G$55,7,0)</f>
        <v>84.63</v>
      </c>
      <c r="Z22">
        <f>VLOOKUP(A22,COST!A$2:G$55,7,0)</f>
        <v>118.18</v>
      </c>
      <c r="AA22">
        <f>VLOOKUP(A22,CSCO!A$2:G$55,7,0)</f>
        <v>25.63</v>
      </c>
      <c r="AB22">
        <f>VLOOKUP(A22,CVS!A$2:G$55,7,0)</f>
        <v>77.739999999999995</v>
      </c>
      <c r="AC22">
        <f>VLOOKUP(A22,CVX!A$2:G$55,7,0)</f>
        <v>131.41</v>
      </c>
      <c r="AD22">
        <f>VLOOKUP(A22,DD!A$2:G$55,7,0)</f>
        <v>64.92</v>
      </c>
      <c r="AE22">
        <f>VLOOKUP(A22,DIS!A$2:G$55,7,0)</f>
        <v>87.21</v>
      </c>
      <c r="AF22">
        <f>VLOOKUP(A22,DOW!A$2:G$55,7,0)</f>
        <v>52.11</v>
      </c>
      <c r="AG22">
        <f>VLOOKUP(A22,DVN!A$2:G$55,7,0)</f>
        <v>77.05</v>
      </c>
      <c r="AH22">
        <f>VLOOKUP(A22,EBAY!A$2:G$55,7,0)</f>
        <v>53.23</v>
      </c>
      <c r="AI22">
        <f>VLOOKUP(A22,EMC!A$2:G$55,7,0)</f>
        <v>29.78</v>
      </c>
      <c r="AJ22">
        <f>VLOOKUP(A22,EMR!A$2:G$55,7,0)</f>
        <v>64.760000000000005</v>
      </c>
      <c r="AK22">
        <f>VLOOKUP(A22,EXC!A$2:G$55,7,0)</f>
        <v>30.71</v>
      </c>
      <c r="AL22">
        <f>VLOOKUP(A22,F!A$2:G$55,7,0)</f>
        <v>17.46</v>
      </c>
      <c r="AM22">
        <f>VLOOKUP(A22,FB!A$2:G$55,7,0)</f>
        <v>74.680000000000007</v>
      </c>
      <c r="AN22">
        <f>VLOOKUP(A22,FCX!A$2:G$55,7,0)</f>
        <v>37.880000000000003</v>
      </c>
      <c r="AO22">
        <f>VLOOKUP(A22,FDX!A$2:G$55,7,0)</f>
        <v>149.16999999999999</v>
      </c>
      <c r="AP22">
        <f>VLOOKUP(A22,FOXA!A$2:G$55,7,0)</f>
        <v>31.89</v>
      </c>
      <c r="AQ22">
        <f>VLOOKUP(A22,GD!A$2:G$55,7,0)</f>
        <v>119.21</v>
      </c>
      <c r="AR22">
        <f>VLOOKUP(A22,GE!A$2:G$55,7,0)</f>
        <v>25.43</v>
      </c>
      <c r="AS22">
        <f>VLOOKUP(A22,GILD!A$2:G$55,7,0)</f>
        <v>93.79</v>
      </c>
      <c r="AT22">
        <f>VLOOKUP(A22,GM!A$2:G$55,7,0)</f>
        <v>34.01</v>
      </c>
      <c r="AU22">
        <f>VLOOKUP(A22,GOOG!A$2:G$55,7,0)</f>
        <v>587.41999999999996</v>
      </c>
      <c r="AV22">
        <f>VLOOKUP(A22,GOOGL!A$2:G$55,7,0)</f>
        <v>595.44000000000005</v>
      </c>
      <c r="AW22">
        <f>VLOOKUP(A22,GS!A$2:G$55,7,0)</f>
        <v>175.22</v>
      </c>
      <c r="AX22">
        <f>VLOOKUP(A22,HAL!A$2:G$55,7,0)</f>
        <v>70.58</v>
      </c>
      <c r="AY22">
        <f>VLOOKUP(A22,HD!A$2:G$55,7,0)</f>
        <v>81.349999999999994</v>
      </c>
      <c r="AZ22">
        <f>VLOOKUP(A22,HON!A$2:G$55,7,0)</f>
        <v>93.63</v>
      </c>
      <c r="BA22">
        <f>VLOOKUP(A22,HPQ!A$2:G$55,7,0)</f>
        <v>35.96</v>
      </c>
      <c r="BB22">
        <f>VLOOKUP(A22,IBM!A$2:G$55,7,0)</f>
        <v>192.86</v>
      </c>
      <c r="BC22">
        <f>VLOOKUP(A22,INTC!A$2:G$55,7,0)</f>
        <v>34.119999999999997</v>
      </c>
      <c r="BD22">
        <f>VLOOKUP(A22,JNJ!A$2:G$55,7,0)</f>
        <v>101.61</v>
      </c>
      <c r="BE22">
        <f>VLOOKUP(A22,JPM!A$2:G$55,7,0)</f>
        <v>58.91</v>
      </c>
      <c r="BF22">
        <f>VLOOKUP(A22,KO!A$2:G$55,7,0)</f>
        <v>39.33</v>
      </c>
      <c r="BG22">
        <f>VLOOKUP(A22,LLY!A$2:G$55,7,0)</f>
        <v>62.12</v>
      </c>
      <c r="BH22">
        <f>VLOOKUP(A22,LMT!A$2:G$55,7,0)</f>
        <v>168.9</v>
      </c>
      <c r="BI22">
        <f>VLOOKUP(A22,LOW!A$2:G$55,7,0)</f>
        <v>48.47</v>
      </c>
      <c r="BJ22">
        <f>VLOOKUP(A22,MA!A$2:G$55,7,0)</f>
        <v>75.91</v>
      </c>
      <c r="BK22">
        <f>VLOOKUP(A22,MCD!A$2:G$55,7,0)</f>
        <v>95.13</v>
      </c>
      <c r="BL22">
        <f>VLOOKUP(A22,MDLZ!A$2:G$55,7,0)</f>
        <v>36.81</v>
      </c>
      <c r="BM22">
        <f>VLOOKUP(A22,MDT!A$2:G$55,7,0)</f>
        <v>62.58</v>
      </c>
      <c r="BN22">
        <f>VLOOKUP(A22,MET!A$2:G$55,7,0)</f>
        <v>54.07</v>
      </c>
      <c r="BO22">
        <f>VLOOKUP(A22,MMM!A$2:G$55,7,0)</f>
        <v>142.88999999999999</v>
      </c>
      <c r="BP22">
        <f>VLOOKUP(A22,MO!A$2:G$55,7,0)</f>
        <v>40.630000000000003</v>
      </c>
      <c r="BQ22">
        <f>VLOOKUP(A22,MON!A$2:G$55,7,0)</f>
        <v>114.39</v>
      </c>
      <c r="BR22">
        <f>VLOOKUP(A22,MRK!A$2:G$55,7,0)</f>
        <v>57.66</v>
      </c>
      <c r="BS22">
        <f>VLOOKUP(A22,MS!A$2:G$55,7,0)</f>
        <v>33.340000000000003</v>
      </c>
      <c r="BT22">
        <f>VLOOKUP(A22,MSFT!A$2:G$55,7,0)</f>
        <v>43.31</v>
      </c>
      <c r="BU22">
        <f>VLOOKUP(A22,NKE!A$2:G$55,7,0)</f>
        <v>79.37</v>
      </c>
      <c r="BV22">
        <f>VLOOKUP(A22,NOV!A$2:G$55,7,0)</f>
        <v>81.27</v>
      </c>
      <c r="BW22">
        <f>VLOOKUP(A22,NSC!A$2:G$55,7,0)</f>
        <v>103.65</v>
      </c>
      <c r="BX22">
        <f>VLOOKUP(A22,ORCL!A$2:G$55,7,0)</f>
        <v>40.96</v>
      </c>
      <c r="BY22">
        <f>VLOOKUP(A22,OXY!A$2:G$55,7,0)</f>
        <v>97.41</v>
      </c>
      <c r="BZ22">
        <f>VLOOKUP(A22,PEP!A$2:G$55,7,0)</f>
        <v>88.28</v>
      </c>
      <c r="CA22">
        <f>VLOOKUP(A22,PFE!A$2:G$55,7,0)</f>
        <v>29.26</v>
      </c>
      <c r="CB22">
        <f>VLOOKUP(A22,PG!A$2:G$55,7,0)</f>
        <v>78.16</v>
      </c>
      <c r="CC22">
        <f>VLOOKUP(A22,PM!A$2:G$55,7,0)</f>
        <v>82.22</v>
      </c>
      <c r="CD22">
        <f>VLOOKUP(A22,QCOM!A$2:G$55,7,0)</f>
        <v>75.62</v>
      </c>
      <c r="CE22">
        <f>VLOOKUP(A22,RTN!A$2:G$55,7,0)</f>
        <v>92.07</v>
      </c>
      <c r="CF22">
        <f>VLOOKUP(A22,SBUX!A$2:G$55,7,0)</f>
        <v>78.64</v>
      </c>
      <c r="CG22">
        <f>VLOOKUP(A22,SLB!A$2:G$55,7,0)</f>
        <v>109.87</v>
      </c>
      <c r="CH22">
        <f>VLOOKUP(A22,SO!A$2:G$55,7,0)</f>
        <v>43.86</v>
      </c>
      <c r="CI22">
        <f>VLOOKUP(A22,SPG!A$2:G$55,7,0)</f>
        <v>168.84</v>
      </c>
      <c r="CJ22">
        <f>VLOOKUP(A22,T!A$2:G$55,7,0)</f>
        <v>36.36</v>
      </c>
      <c r="CK22">
        <f>VLOOKUP(A22,TGT!A$2:G$55,7,0)</f>
        <v>60.83</v>
      </c>
      <c r="CL22">
        <f>VLOOKUP(A22,TWX!A$2:G$55,7,0)</f>
        <v>84.14</v>
      </c>
      <c r="CM22">
        <f>VLOOKUP(A22,TXN!A$2:G$55,7,0)</f>
        <v>47.23</v>
      </c>
      <c r="CN22">
        <f>VLOOKUP(A22,UNH!A$2:G$55,7,0)</f>
        <v>82.6</v>
      </c>
      <c r="CO22">
        <f>VLOOKUP(A22,UNP!A$2:G$55,7,0)</f>
        <v>99</v>
      </c>
      <c r="CP22">
        <f>VLOOKUP(A22,UPS!A$2:G$55,7,0)</f>
        <v>98.66</v>
      </c>
      <c r="CQ22">
        <f>VLOOKUP(A22,USB!A$2:G$55,7,0)</f>
        <v>42.67</v>
      </c>
      <c r="CR22">
        <f>VLOOKUP(A22,UTX!A$2:G$55,7,0)</f>
        <v>105.78</v>
      </c>
      <c r="CS22">
        <f>VLOOKUP(A22,V!A$2:G$55,7,0)</f>
        <v>213.65</v>
      </c>
      <c r="CT22">
        <f>VLOOKUP(A22,VZ!A$2:G$55,7,0)</f>
        <v>51.76</v>
      </c>
      <c r="CU22">
        <f>VLOOKUP(A22,WAG!A$2:G$55,7,0)</f>
        <v>70.5</v>
      </c>
      <c r="CV22">
        <f>VLOOKUP(A22,WFC!A$2:G$55,7,0)</f>
        <v>51.74</v>
      </c>
      <c r="CW22">
        <f>VLOOKUP(A22,WMT!A$2:G$55,7,0)</f>
        <v>74.290000000000006</v>
      </c>
    </row>
    <row r="23" spans="1:101" x14ac:dyDescent="0.25">
      <c r="A23" s="34">
        <v>41851</v>
      </c>
      <c r="B23" s="36">
        <v>95.13</v>
      </c>
      <c r="C23">
        <f>VLOOKUP(A23,ABBV!A$2:G$55,7,0)</f>
        <v>52.34</v>
      </c>
      <c r="D23">
        <f>VLOOKUP(A23,ABT!A$2:G$55,7,0)</f>
        <v>42.12</v>
      </c>
      <c r="E23">
        <f>VLOOKUP(A23,ACN!A$2:G$55,7,0)</f>
        <v>79.28</v>
      </c>
      <c r="F23">
        <f>VLOOKUP(A23,AIG!A$2:G$55,7,0)</f>
        <v>51.86</v>
      </c>
      <c r="G23">
        <f>VLOOKUP(A23,ALL!A$2:G$55,7,0)</f>
        <v>58.19</v>
      </c>
      <c r="H23">
        <f>VLOOKUP(A23,AMGN!A$2:G$55,7,0)</f>
        <v>126.78</v>
      </c>
      <c r="I23">
        <f>VLOOKUP(A23,AMZN!A$2:G$55,7,0)</f>
        <v>312.99</v>
      </c>
      <c r="J23">
        <f>VLOOKUP(A23,APA!A$2:G$55,7,0)</f>
        <v>102.66</v>
      </c>
      <c r="K23">
        <f>VLOOKUP(A23,APC!A$2:G$55,7,0)</f>
        <v>106.59</v>
      </c>
      <c r="L23">
        <f>VLOOKUP(A23,AXP!A$2:G$55,7,0)</f>
        <v>88</v>
      </c>
      <c r="M23">
        <f>VLOOKUP(A23,BA!A$2:G$55,7,0)</f>
        <v>119.75</v>
      </c>
      <c r="N23">
        <f>VLOOKUP(A23,BAC!A$2:G$55,7,0)</f>
        <v>15.2</v>
      </c>
      <c r="O23">
        <f>VLOOKUP(A23,BAX!A$2:G$55,7,0)</f>
        <v>74.17</v>
      </c>
      <c r="P23">
        <f>VLOOKUP(A23,BIIB!A$2:G$55,7,0)</f>
        <v>334.39</v>
      </c>
      <c r="Q23">
        <f>VLOOKUP(A23,BK!A$2:G$55,7,0)</f>
        <v>39.04</v>
      </c>
      <c r="R23">
        <f>VLOOKUP(A23,BMY!A$2:G$55,7,0)</f>
        <v>50.62</v>
      </c>
      <c r="T23">
        <f>VLOOKUP(A23,'C'!A$2:G$55,7,0)</f>
        <v>48.91</v>
      </c>
      <c r="U23">
        <f>VLOOKUP(A23,CAT!A$2:G$55,7,0)</f>
        <v>100.75</v>
      </c>
      <c r="V23">
        <f>VLOOKUP(A23,CL!A$2:G$55,7,0)</f>
        <v>63.4</v>
      </c>
      <c r="W23">
        <f>VLOOKUP(A23,CMCSA!A$2:G$55,7,0)</f>
        <v>53.51</v>
      </c>
      <c r="X23">
        <f>VLOOKUP(A23,COF!A$2:G$55,7,0)</f>
        <v>79.239999999999995</v>
      </c>
      <c r="Y23">
        <f>VLOOKUP(A23,COP!A$2:G$55,7,0)</f>
        <v>82.5</v>
      </c>
      <c r="Z23">
        <f>VLOOKUP(A23,COST!A$2:G$55,7,0)</f>
        <v>117.54</v>
      </c>
      <c r="AA23">
        <f>VLOOKUP(A23,CSCO!A$2:G$55,7,0)</f>
        <v>25.23</v>
      </c>
      <c r="AB23">
        <f>VLOOKUP(A23,CVS!A$2:G$55,7,0)</f>
        <v>76.36</v>
      </c>
      <c r="AC23">
        <f>VLOOKUP(A23,CVX!A$2:G$55,7,0)</f>
        <v>128.15</v>
      </c>
      <c r="AD23">
        <f>VLOOKUP(A23,DD!A$2:G$55,7,0)</f>
        <v>63.85</v>
      </c>
      <c r="AE23">
        <f>VLOOKUP(A23,DIS!A$2:G$55,7,0)</f>
        <v>85.88</v>
      </c>
      <c r="AF23">
        <f>VLOOKUP(A23,DOW!A$2:G$55,7,0)</f>
        <v>50.71</v>
      </c>
      <c r="AG23">
        <f>VLOOKUP(A23,DVN!A$2:G$55,7,0)</f>
        <v>75.239999999999995</v>
      </c>
      <c r="AH23">
        <f>VLOOKUP(A23,EBAY!A$2:G$55,7,0)</f>
        <v>52.83</v>
      </c>
      <c r="AI23">
        <f>VLOOKUP(A23,EMC!A$2:G$55,7,0)</f>
        <v>29.18</v>
      </c>
      <c r="AJ23">
        <f>VLOOKUP(A23,EMR!A$2:G$55,7,0)</f>
        <v>63.21</v>
      </c>
      <c r="AK23">
        <f>VLOOKUP(A23,EXC!A$2:G$55,7,0)</f>
        <v>30.78</v>
      </c>
      <c r="AL23">
        <f>VLOOKUP(A23,F!A$2:G$55,7,0)</f>
        <v>17.02</v>
      </c>
      <c r="AM23">
        <f>VLOOKUP(A23,FB!A$2:G$55,7,0)</f>
        <v>72.650000000000006</v>
      </c>
      <c r="AN23">
        <f>VLOOKUP(A23,FCX!A$2:G$55,7,0)</f>
        <v>37.22</v>
      </c>
      <c r="AO23">
        <f>VLOOKUP(A23,FDX!A$2:G$55,7,0)</f>
        <v>146.69</v>
      </c>
      <c r="AP23">
        <f>VLOOKUP(A23,FOXA!A$2:G$55,7,0)</f>
        <v>31.56</v>
      </c>
      <c r="AQ23">
        <f>VLOOKUP(A23,GD!A$2:G$55,7,0)</f>
        <v>116.77</v>
      </c>
      <c r="AR23">
        <f>VLOOKUP(A23,GE!A$2:G$55,7,0)</f>
        <v>24.94</v>
      </c>
      <c r="AS23">
        <f>VLOOKUP(A23,GILD!A$2:G$55,7,0)</f>
        <v>91.55</v>
      </c>
      <c r="AT23">
        <f>VLOOKUP(A23,GM!A$2:G$55,7,0)</f>
        <v>33.53</v>
      </c>
      <c r="AU23">
        <f>VLOOKUP(A23,GOOG!A$2:G$55,7,0)</f>
        <v>571.6</v>
      </c>
      <c r="AV23">
        <f>VLOOKUP(A23,GOOGL!A$2:G$55,7,0)</f>
        <v>579.54999999999995</v>
      </c>
      <c r="AW23">
        <f>VLOOKUP(A23,GS!A$2:G$55,7,0)</f>
        <v>172.34</v>
      </c>
      <c r="AX23">
        <f>VLOOKUP(A23,HAL!A$2:G$55,7,0)</f>
        <v>68.84</v>
      </c>
      <c r="AY23">
        <f>VLOOKUP(A23,HD!A$2:G$55,7,0)</f>
        <v>80.44</v>
      </c>
      <c r="AZ23">
        <f>VLOOKUP(A23,HON!A$2:G$55,7,0)</f>
        <v>91.4</v>
      </c>
      <c r="BA23">
        <f>VLOOKUP(A23,HPQ!A$2:G$55,7,0)</f>
        <v>35.46</v>
      </c>
      <c r="BB23">
        <f>VLOOKUP(A23,IBM!A$2:G$55,7,0)</f>
        <v>190.54</v>
      </c>
      <c r="BC23">
        <f>VLOOKUP(A23,INTC!A$2:G$55,7,0)</f>
        <v>33.67</v>
      </c>
      <c r="BD23">
        <f>VLOOKUP(A23,JNJ!A$2:G$55,7,0)</f>
        <v>99.42</v>
      </c>
      <c r="BE23">
        <f>VLOOKUP(A23,JPM!A$2:G$55,7,0)</f>
        <v>57.67</v>
      </c>
      <c r="BF23">
        <f>VLOOKUP(A23,KO!A$2:G$55,7,0)</f>
        <v>39.01</v>
      </c>
      <c r="BG23">
        <f>VLOOKUP(A23,LLY!A$2:G$55,7,0)</f>
        <v>60.57</v>
      </c>
      <c r="BH23">
        <f>VLOOKUP(A23,LMT!A$2:G$55,7,0)</f>
        <v>165.71</v>
      </c>
      <c r="BI23">
        <f>VLOOKUP(A23,LOW!A$2:G$55,7,0)</f>
        <v>47.85</v>
      </c>
      <c r="BJ23">
        <f>VLOOKUP(A23,MA!A$2:G$55,7,0)</f>
        <v>74.150000000000006</v>
      </c>
      <c r="BK23">
        <f>VLOOKUP(A23,MCD!A$2:G$55,7,0)</f>
        <v>93.75</v>
      </c>
      <c r="BL23">
        <f>VLOOKUP(A23,MDLZ!A$2:G$55,7,0)</f>
        <v>35.86</v>
      </c>
      <c r="BM23">
        <f>VLOOKUP(A23,MDT!A$2:G$55,7,0)</f>
        <v>61.74</v>
      </c>
      <c r="BN23">
        <f>VLOOKUP(A23,MET!A$2:G$55,7,0)</f>
        <v>52.24</v>
      </c>
      <c r="BO23">
        <f>VLOOKUP(A23,MMM!A$2:G$55,7,0)</f>
        <v>140.05000000000001</v>
      </c>
      <c r="BP23">
        <f>VLOOKUP(A23,MO!A$2:G$55,7,0)</f>
        <v>40.119999999999997</v>
      </c>
      <c r="BQ23">
        <f>VLOOKUP(A23,MON!A$2:G$55,7,0)</f>
        <v>113.09</v>
      </c>
      <c r="BR23">
        <f>VLOOKUP(A23,MRK!A$2:G$55,7,0)</f>
        <v>56.33</v>
      </c>
      <c r="BS23">
        <f>VLOOKUP(A23,MS!A$2:G$55,7,0)</f>
        <v>32.340000000000003</v>
      </c>
      <c r="BT23">
        <f>VLOOKUP(A23,MSFT!A$2:G$55,7,0)</f>
        <v>42.89</v>
      </c>
      <c r="BU23">
        <f>VLOOKUP(A23,NKE!A$2:G$55,7,0)</f>
        <v>76.900000000000006</v>
      </c>
      <c r="BV23">
        <f>VLOOKUP(A23,NOV!A$2:G$55,7,0)</f>
        <v>80.58</v>
      </c>
      <c r="BW23">
        <f>VLOOKUP(A23,NSC!A$2:G$55,7,0)</f>
        <v>101.66</v>
      </c>
      <c r="BX23">
        <f>VLOOKUP(A23,ORCL!A$2:G$55,7,0)</f>
        <v>40.39</v>
      </c>
      <c r="BY23">
        <f>VLOOKUP(A23,OXY!A$2:G$55,7,0)</f>
        <v>97.02</v>
      </c>
      <c r="BZ23">
        <f>VLOOKUP(A23,PEP!A$2:G$55,7,0)</f>
        <v>87.48</v>
      </c>
      <c r="CA23">
        <f>VLOOKUP(A23,PFE!A$2:G$55,7,0)</f>
        <v>28.7</v>
      </c>
      <c r="CB23">
        <f>VLOOKUP(A23,PG!A$2:G$55,7,0)</f>
        <v>77.319999999999993</v>
      </c>
      <c r="CC23">
        <f>VLOOKUP(A23,PM!A$2:G$55,7,0)</f>
        <v>81.06</v>
      </c>
      <c r="CD23">
        <f>VLOOKUP(A23,QCOM!A$2:G$55,7,0)</f>
        <v>73.31</v>
      </c>
      <c r="CE23">
        <f>VLOOKUP(A23,RTN!A$2:G$55,7,0)</f>
        <v>90.23</v>
      </c>
      <c r="CF23">
        <f>VLOOKUP(A23,SBUX!A$2:G$55,7,0)</f>
        <v>77.42</v>
      </c>
      <c r="CG23">
        <f>VLOOKUP(A23,SLB!A$2:G$55,7,0)</f>
        <v>108</v>
      </c>
      <c r="CH23">
        <f>VLOOKUP(A23,SO!A$2:G$55,7,0)</f>
        <v>43.29</v>
      </c>
      <c r="CI23">
        <f>VLOOKUP(A23,SPG!A$2:G$55,7,0)</f>
        <v>166.88</v>
      </c>
      <c r="CJ23">
        <f>VLOOKUP(A23,T!A$2:G$55,7,0)</f>
        <v>35.590000000000003</v>
      </c>
      <c r="CK23">
        <f>VLOOKUP(A23,TGT!A$2:G$55,7,0)</f>
        <v>59.06</v>
      </c>
      <c r="CL23">
        <f>VLOOKUP(A23,TWX!A$2:G$55,7,0)</f>
        <v>82.68</v>
      </c>
      <c r="CM23">
        <f>VLOOKUP(A23,TXN!A$2:G$55,7,0)</f>
        <v>46.25</v>
      </c>
      <c r="CN23">
        <f>VLOOKUP(A23,UNH!A$2:G$55,7,0)</f>
        <v>80.709999999999994</v>
      </c>
      <c r="CO23">
        <f>VLOOKUP(A23,UNP!A$2:G$55,7,0)</f>
        <v>97.84</v>
      </c>
      <c r="CP23">
        <f>VLOOKUP(A23,UPS!A$2:G$55,7,0)</f>
        <v>96.42</v>
      </c>
      <c r="CQ23">
        <f>VLOOKUP(A23,USB!A$2:G$55,7,0)</f>
        <v>41.78</v>
      </c>
      <c r="CR23">
        <f>VLOOKUP(A23,UTX!A$2:G$55,7,0)</f>
        <v>104.56</v>
      </c>
      <c r="CS23">
        <f>VLOOKUP(A23,V!A$2:G$55,7,0)</f>
        <v>210.61</v>
      </c>
      <c r="CT23">
        <f>VLOOKUP(A23,VZ!A$2:G$55,7,0)</f>
        <v>50.42</v>
      </c>
      <c r="CU23">
        <f>VLOOKUP(A23,WAG!A$2:G$55,7,0)</f>
        <v>68.400000000000006</v>
      </c>
      <c r="CV23">
        <f>VLOOKUP(A23,WFC!A$2:G$55,7,0)</f>
        <v>50.55</v>
      </c>
      <c r="CW23">
        <f>VLOOKUP(A23,WMT!A$2:G$55,7,0)</f>
        <v>73.099999999999994</v>
      </c>
    </row>
    <row r="24" spans="1:101" x14ac:dyDescent="0.25">
      <c r="A24" s="34">
        <v>41852</v>
      </c>
      <c r="B24" s="36">
        <v>95.65</v>
      </c>
      <c r="C24">
        <f>VLOOKUP(A24,ABBV!A$2:G$55,7,0)</f>
        <v>52.48</v>
      </c>
      <c r="D24">
        <f>VLOOKUP(A24,ABT!A$2:G$55,7,0)</f>
        <v>42.03</v>
      </c>
      <c r="E24">
        <f>VLOOKUP(A24,ACN!A$2:G$55,7,0)</f>
        <v>78.7</v>
      </c>
      <c r="F24">
        <f>VLOOKUP(A24,AIG!A$2:G$55,7,0)</f>
        <v>51.93</v>
      </c>
      <c r="G24">
        <f>VLOOKUP(A24,ALL!A$2:G$55,7,0)</f>
        <v>57.88</v>
      </c>
      <c r="H24">
        <f>VLOOKUP(A24,AMGN!A$2:G$55,7,0)</f>
        <v>124.95</v>
      </c>
      <c r="I24">
        <f>VLOOKUP(A24,AMZN!A$2:G$55,7,0)</f>
        <v>307.06</v>
      </c>
      <c r="J24">
        <f>VLOOKUP(A24,APA!A$2:G$55,7,0)</f>
        <v>100.32</v>
      </c>
      <c r="K24">
        <f>VLOOKUP(A24,APC!A$2:G$55,7,0)</f>
        <v>105.36</v>
      </c>
      <c r="L24">
        <f>VLOOKUP(A24,AXP!A$2:G$55,7,0)</f>
        <v>86.47</v>
      </c>
      <c r="M24">
        <f>VLOOKUP(A24,BA!A$2:G$55,7,0)</f>
        <v>119.66</v>
      </c>
      <c r="N24">
        <f>VLOOKUP(A24,BAC!A$2:G$55,7,0)</f>
        <v>14.93</v>
      </c>
      <c r="O24">
        <f>VLOOKUP(A24,BAX!A$2:G$55,7,0)</f>
        <v>74.45</v>
      </c>
      <c r="P24">
        <f>VLOOKUP(A24,BIIB!A$2:G$55,7,0)</f>
        <v>329.83</v>
      </c>
      <c r="Q24">
        <f>VLOOKUP(A24,BK!A$2:G$55,7,0)</f>
        <v>38.729999999999997</v>
      </c>
      <c r="R24">
        <f>VLOOKUP(A24,BMY!A$2:G$55,7,0)</f>
        <v>49.81</v>
      </c>
      <c r="T24">
        <f>VLOOKUP(A24,'C'!A$2:G$55,7,0)</f>
        <v>48.1</v>
      </c>
      <c r="U24">
        <f>VLOOKUP(A24,CAT!A$2:G$55,7,0)</f>
        <v>100.52</v>
      </c>
      <c r="V24">
        <f>VLOOKUP(A24,CL!A$2:G$55,7,0)</f>
        <v>63.95</v>
      </c>
      <c r="W24">
        <f>VLOOKUP(A24,CMCSA!A$2:G$55,7,0)</f>
        <v>53.17</v>
      </c>
      <c r="X24">
        <f>VLOOKUP(A24,COF!A$2:G$55,7,0)</f>
        <v>79.19</v>
      </c>
      <c r="Y24">
        <f>VLOOKUP(A24,COP!A$2:G$55,7,0)</f>
        <v>80.7</v>
      </c>
      <c r="Z24">
        <f>VLOOKUP(A24,COST!A$2:G$55,7,0)</f>
        <v>117.88</v>
      </c>
      <c r="AA24">
        <f>VLOOKUP(A24,CSCO!A$2:G$55,7,0)</f>
        <v>25</v>
      </c>
      <c r="AB24">
        <f>VLOOKUP(A24,CVS!A$2:G$55,7,0)</f>
        <v>76.489999999999995</v>
      </c>
      <c r="AC24">
        <f>VLOOKUP(A24,CVX!A$2:G$55,7,0)</f>
        <v>126.82</v>
      </c>
      <c r="AD24">
        <f>VLOOKUP(A24,DD!A$2:G$55,7,0)</f>
        <v>63.75</v>
      </c>
      <c r="AE24">
        <f>VLOOKUP(A24,DIS!A$2:G$55,7,0)</f>
        <v>85.38</v>
      </c>
      <c r="AF24">
        <f>VLOOKUP(A24,DOW!A$2:G$55,7,0)</f>
        <v>50.62</v>
      </c>
      <c r="AG24">
        <f>VLOOKUP(A24,DVN!A$2:G$55,7,0)</f>
        <v>74.84</v>
      </c>
      <c r="AH24">
        <f>VLOOKUP(A24,EBAY!A$2:G$55,7,0)</f>
        <v>52.53</v>
      </c>
      <c r="AI24">
        <f>VLOOKUP(A24,EMC!A$2:G$55,7,0)</f>
        <v>28.94</v>
      </c>
      <c r="AJ24">
        <f>VLOOKUP(A24,EMR!A$2:G$55,7,0)</f>
        <v>62.96</v>
      </c>
      <c r="AK24">
        <f>VLOOKUP(A24,EXC!A$2:G$55,7,0)</f>
        <v>31.23</v>
      </c>
      <c r="AL24">
        <f>VLOOKUP(A24,F!A$2:G$55,7,0)</f>
        <v>16.809999999999999</v>
      </c>
      <c r="AM24">
        <f>VLOOKUP(A24,FB!A$2:G$55,7,0)</f>
        <v>72.36</v>
      </c>
      <c r="AN24">
        <f>VLOOKUP(A24,FCX!A$2:G$55,7,0)</f>
        <v>36.78</v>
      </c>
      <c r="AO24">
        <f>VLOOKUP(A24,FDX!A$2:G$55,7,0)</f>
        <v>146.56</v>
      </c>
      <c r="AP24">
        <f>VLOOKUP(A24,FOXA!A$2:G$55,7,0)</f>
        <v>31.83</v>
      </c>
      <c r="AQ24">
        <f>VLOOKUP(A24,GD!A$2:G$55,7,0)</f>
        <v>117.38</v>
      </c>
      <c r="AR24">
        <f>VLOOKUP(A24,GE!A$2:G$55,7,0)</f>
        <v>25.14</v>
      </c>
      <c r="AS24">
        <f>VLOOKUP(A24,GILD!A$2:G$55,7,0)</f>
        <v>91.5</v>
      </c>
      <c r="AT24">
        <f>VLOOKUP(A24,GM!A$2:G$55,7,0)</f>
        <v>33.15</v>
      </c>
      <c r="AU24">
        <f>VLOOKUP(A24,GOOG!A$2:G$55,7,0)</f>
        <v>566.07000000000005</v>
      </c>
      <c r="AV24">
        <f>VLOOKUP(A24,GOOGL!A$2:G$55,7,0)</f>
        <v>573.6</v>
      </c>
      <c r="AW24">
        <f>VLOOKUP(A24,GS!A$2:G$55,7,0)</f>
        <v>169.72</v>
      </c>
      <c r="AX24">
        <f>VLOOKUP(A24,HAL!A$2:G$55,7,0)</f>
        <v>68.569999999999993</v>
      </c>
      <c r="AY24">
        <f>VLOOKUP(A24,HD!A$2:G$55,7,0)</f>
        <v>79.349999999999994</v>
      </c>
      <c r="AZ24">
        <f>VLOOKUP(A24,HON!A$2:G$55,7,0)</f>
        <v>91.14</v>
      </c>
      <c r="BA24">
        <f>VLOOKUP(A24,HPQ!A$2:G$55,7,0)</f>
        <v>35.04</v>
      </c>
      <c r="BB24">
        <f>VLOOKUP(A24,IBM!A$2:G$55,7,0)</f>
        <v>188.04</v>
      </c>
      <c r="BC24">
        <f>VLOOKUP(A24,INTC!A$2:G$55,7,0)</f>
        <v>33.520000000000003</v>
      </c>
      <c r="BD24">
        <f>VLOOKUP(A24,JNJ!A$2:G$55,7,0)</f>
        <v>99.23</v>
      </c>
      <c r="BE24">
        <f>VLOOKUP(A24,JPM!A$2:G$55,7,0)</f>
        <v>56.48</v>
      </c>
      <c r="BF24">
        <f>VLOOKUP(A24,KO!A$2:G$55,7,0)</f>
        <v>39.01</v>
      </c>
      <c r="BG24">
        <f>VLOOKUP(A24,LLY!A$2:G$55,7,0)</f>
        <v>60.2</v>
      </c>
      <c r="BH24">
        <f>VLOOKUP(A24,LMT!A$2:G$55,7,0)</f>
        <v>165.86</v>
      </c>
      <c r="BI24">
        <f>VLOOKUP(A24,LOW!A$2:G$55,7,0)</f>
        <v>47.59</v>
      </c>
      <c r="BJ24">
        <f>VLOOKUP(A24,MA!A$2:G$55,7,0)</f>
        <v>74.98</v>
      </c>
      <c r="BK24">
        <f>VLOOKUP(A24,MCD!A$2:G$55,7,0)</f>
        <v>93.49</v>
      </c>
      <c r="BL24">
        <f>VLOOKUP(A24,MDLZ!A$2:G$55,7,0)</f>
        <v>36.17</v>
      </c>
      <c r="BM24">
        <f>VLOOKUP(A24,MDT!A$2:G$55,7,0)</f>
        <v>61.48</v>
      </c>
      <c r="BN24">
        <f>VLOOKUP(A24,MET!A$2:G$55,7,0)</f>
        <v>51.78</v>
      </c>
      <c r="BO24">
        <f>VLOOKUP(A24,MMM!A$2:G$55,7,0)</f>
        <v>139.28</v>
      </c>
      <c r="BP24">
        <f>VLOOKUP(A24,MO!A$2:G$55,7,0)</f>
        <v>40.020000000000003</v>
      </c>
      <c r="BQ24">
        <f>VLOOKUP(A24,MON!A$2:G$55,7,0)</f>
        <v>113.59</v>
      </c>
      <c r="BR24">
        <f>VLOOKUP(A24,MRK!A$2:G$55,7,0)</f>
        <v>56.39</v>
      </c>
      <c r="BS24">
        <f>VLOOKUP(A24,MS!A$2:G$55,7,0)</f>
        <v>31.6</v>
      </c>
      <c r="BT24">
        <f>VLOOKUP(A24,MSFT!A$2:G$55,7,0)</f>
        <v>42.59</v>
      </c>
      <c r="BU24">
        <f>VLOOKUP(A24,NKE!A$2:G$55,7,0)</f>
        <v>76.55</v>
      </c>
      <c r="BV24">
        <f>VLOOKUP(A24,NOV!A$2:G$55,7,0)</f>
        <v>80.63</v>
      </c>
      <c r="BW24">
        <f>VLOOKUP(A24,NSC!A$2:G$55,7,0)</f>
        <v>101.2</v>
      </c>
      <c r="BX24">
        <f>VLOOKUP(A24,ORCL!A$2:G$55,7,0)</f>
        <v>39.61</v>
      </c>
      <c r="BY24">
        <f>VLOOKUP(A24,OXY!A$2:G$55,7,0)</f>
        <v>97.19</v>
      </c>
      <c r="BZ24">
        <f>VLOOKUP(A24,PEP!A$2:G$55,7,0)</f>
        <v>87.49</v>
      </c>
      <c r="CA24">
        <f>VLOOKUP(A24,PFE!A$2:G$55,7,0)</f>
        <v>28.86</v>
      </c>
      <c r="CB24">
        <f>VLOOKUP(A24,PG!A$2:G$55,7,0)</f>
        <v>79.650000000000006</v>
      </c>
      <c r="CC24">
        <f>VLOOKUP(A24,PM!A$2:G$55,7,0)</f>
        <v>80.95</v>
      </c>
      <c r="CD24">
        <f>VLOOKUP(A24,QCOM!A$2:G$55,7,0)</f>
        <v>72.150000000000006</v>
      </c>
      <c r="CE24">
        <f>VLOOKUP(A24,RTN!A$2:G$55,7,0)</f>
        <v>91.24</v>
      </c>
      <c r="CF24">
        <f>VLOOKUP(A24,SBUX!A$2:G$55,7,0)</f>
        <v>76.72</v>
      </c>
      <c r="CG24">
        <f>VLOOKUP(A24,SLB!A$2:G$55,7,0)</f>
        <v>107.56</v>
      </c>
      <c r="CH24">
        <f>VLOOKUP(A24,SO!A$2:G$55,7,0)</f>
        <v>43.32</v>
      </c>
      <c r="CI24">
        <f>VLOOKUP(A24,SPG!A$2:G$55,7,0)</f>
        <v>166.37</v>
      </c>
      <c r="CJ24">
        <f>VLOOKUP(A24,T!A$2:G$55,7,0)</f>
        <v>35.33</v>
      </c>
      <c r="CK24">
        <f>VLOOKUP(A24,TGT!A$2:G$55,7,0)</f>
        <v>59.32</v>
      </c>
      <c r="CL24">
        <f>VLOOKUP(A24,TWX!A$2:G$55,7,0)</f>
        <v>83.45</v>
      </c>
      <c r="CM24">
        <f>VLOOKUP(A24,TXN!A$2:G$55,7,0)</f>
        <v>46.24</v>
      </c>
      <c r="CN24">
        <f>VLOOKUP(A24,UNH!A$2:G$55,7,0)</f>
        <v>81.14</v>
      </c>
      <c r="CO24">
        <f>VLOOKUP(A24,UNP!A$2:G$55,7,0)</f>
        <v>97.45</v>
      </c>
      <c r="CP24">
        <f>VLOOKUP(A24,UPS!A$2:G$55,7,0)</f>
        <v>96.36</v>
      </c>
      <c r="CQ24">
        <f>VLOOKUP(A24,USB!A$2:G$55,7,0)</f>
        <v>41.09</v>
      </c>
      <c r="CR24">
        <f>VLOOKUP(A24,UTX!A$2:G$55,7,0)</f>
        <v>104.16</v>
      </c>
      <c r="CS24">
        <f>VLOOKUP(A24,V!A$2:G$55,7,0)</f>
        <v>211.41</v>
      </c>
      <c r="CT24">
        <f>VLOOKUP(A24,VZ!A$2:G$55,7,0)</f>
        <v>49.83</v>
      </c>
      <c r="CU24">
        <f>VLOOKUP(A24,WAG!A$2:G$55,7,0)</f>
        <v>70.150000000000006</v>
      </c>
      <c r="CV24">
        <f>VLOOKUP(A24,WFC!A$2:G$55,7,0)</f>
        <v>50</v>
      </c>
      <c r="CW24">
        <f>VLOOKUP(A24,WMT!A$2:G$55,7,0)</f>
        <v>73.06</v>
      </c>
    </row>
    <row r="25" spans="1:101" x14ac:dyDescent="0.25">
      <c r="A25" s="34">
        <v>41855</v>
      </c>
      <c r="B25" s="36">
        <v>95.12</v>
      </c>
      <c r="C25">
        <f>VLOOKUP(A25,ABBV!A$2:G$55,7,0)</f>
        <v>53.29</v>
      </c>
      <c r="D25">
        <f>VLOOKUP(A25,ABT!A$2:G$55,7,0)</f>
        <v>42.39</v>
      </c>
      <c r="E25">
        <f>VLOOKUP(A25,ACN!A$2:G$55,7,0)</f>
        <v>79.349999999999994</v>
      </c>
      <c r="F25">
        <f>VLOOKUP(A25,AIG!A$2:G$55,7,0)</f>
        <v>52.54</v>
      </c>
      <c r="G25">
        <f>VLOOKUP(A25,ALL!A$2:G$55,7,0)</f>
        <v>58.69</v>
      </c>
      <c r="H25">
        <f>VLOOKUP(A25,AMGN!A$2:G$55,7,0)</f>
        <v>128.03</v>
      </c>
      <c r="I25">
        <f>VLOOKUP(A25,AMZN!A$2:G$55,7,0)</f>
        <v>313.64999999999998</v>
      </c>
      <c r="J25">
        <f>VLOOKUP(A25,APA!A$2:G$55,7,0)</f>
        <v>102.29</v>
      </c>
      <c r="K25">
        <f>VLOOKUP(A25,APC!A$2:G$55,7,0)</f>
        <v>110.46</v>
      </c>
      <c r="L25">
        <f>VLOOKUP(A25,AXP!A$2:G$55,7,0)</f>
        <v>86.93</v>
      </c>
      <c r="M25">
        <f>VLOOKUP(A25,BA!A$2:G$55,7,0)</f>
        <v>119.21</v>
      </c>
      <c r="N25">
        <f>VLOOKUP(A25,BAC!A$2:G$55,7,0)</f>
        <v>15</v>
      </c>
      <c r="O25">
        <f>VLOOKUP(A25,BAX!A$2:G$55,7,0)</f>
        <v>74.400000000000006</v>
      </c>
      <c r="P25">
        <f>VLOOKUP(A25,BIIB!A$2:G$55,7,0)</f>
        <v>326.55</v>
      </c>
      <c r="Q25">
        <f>VLOOKUP(A25,BK!A$2:G$55,7,0)</f>
        <v>39.200000000000003</v>
      </c>
      <c r="R25">
        <f>VLOOKUP(A25,BMY!A$2:G$55,7,0)</f>
        <v>49.98</v>
      </c>
      <c r="T25">
        <f>VLOOKUP(A25,'C'!A$2:G$55,7,0)</f>
        <v>48.34</v>
      </c>
      <c r="U25">
        <f>VLOOKUP(A25,CAT!A$2:G$55,7,0)</f>
        <v>101.81</v>
      </c>
      <c r="V25">
        <f>VLOOKUP(A25,CL!A$2:G$55,7,0)</f>
        <v>63.76</v>
      </c>
      <c r="W25">
        <f>VLOOKUP(A25,CMCSA!A$2:G$55,7,0)</f>
        <v>53.63</v>
      </c>
      <c r="X25">
        <f>VLOOKUP(A25,COF!A$2:G$55,7,0)</f>
        <v>79.91</v>
      </c>
      <c r="Y25">
        <f>VLOOKUP(A25,COP!A$2:G$55,7,0)</f>
        <v>81.98</v>
      </c>
      <c r="Z25">
        <f>VLOOKUP(A25,COST!A$2:G$55,7,0)</f>
        <v>118.15</v>
      </c>
      <c r="AA25">
        <f>VLOOKUP(A25,CSCO!A$2:G$55,7,0)</f>
        <v>25.17</v>
      </c>
      <c r="AB25">
        <f>VLOOKUP(A25,CVS!A$2:G$55,7,0)</f>
        <v>77.37</v>
      </c>
      <c r="AC25">
        <f>VLOOKUP(A25,CVX!A$2:G$55,7,0)</f>
        <v>127.09</v>
      </c>
      <c r="AD25">
        <f>VLOOKUP(A25,DD!A$2:G$55,7,0)</f>
        <v>64.17</v>
      </c>
      <c r="AE25">
        <f>VLOOKUP(A25,DIS!A$2:G$55,7,0)</f>
        <v>87.24</v>
      </c>
      <c r="AF25">
        <f>VLOOKUP(A25,DOW!A$2:G$55,7,0)</f>
        <v>51.32</v>
      </c>
      <c r="AG25">
        <f>VLOOKUP(A25,DVN!A$2:G$55,7,0)</f>
        <v>76.55</v>
      </c>
      <c r="AH25">
        <f>VLOOKUP(A25,EBAY!A$2:G$55,7,0)</f>
        <v>53.06</v>
      </c>
      <c r="AI25">
        <f>VLOOKUP(A25,EMC!A$2:G$55,7,0)</f>
        <v>29.45</v>
      </c>
      <c r="AJ25">
        <f>VLOOKUP(A25,EMR!A$2:G$55,7,0)</f>
        <v>63.55</v>
      </c>
      <c r="AK25">
        <f>VLOOKUP(A25,EXC!A$2:G$55,7,0)</f>
        <v>31.05</v>
      </c>
      <c r="AL25">
        <f>VLOOKUP(A25,F!A$2:G$55,7,0)</f>
        <v>17.02</v>
      </c>
      <c r="AM25">
        <f>VLOOKUP(A25,FB!A$2:G$55,7,0)</f>
        <v>73.510000000000005</v>
      </c>
      <c r="AN25">
        <f>VLOOKUP(A25,FCX!A$2:G$55,7,0)</f>
        <v>37.24</v>
      </c>
      <c r="AO25">
        <f>VLOOKUP(A25,FDX!A$2:G$55,7,0)</f>
        <v>148.63999999999999</v>
      </c>
      <c r="AP25">
        <f>VLOOKUP(A25,FOXA!A$2:G$55,7,0)</f>
        <v>31.41</v>
      </c>
      <c r="AQ25">
        <f>VLOOKUP(A25,GD!A$2:G$55,7,0)</f>
        <v>117.23</v>
      </c>
      <c r="AR25">
        <f>VLOOKUP(A25,GE!A$2:G$55,7,0)</f>
        <v>25.06</v>
      </c>
      <c r="AS25">
        <f>VLOOKUP(A25,GILD!A$2:G$55,7,0)</f>
        <v>92.18</v>
      </c>
      <c r="AT25">
        <f>VLOOKUP(A25,GM!A$2:G$55,7,0)</f>
        <v>33.32</v>
      </c>
      <c r="AU25">
        <f>VLOOKUP(A25,GOOG!A$2:G$55,7,0)</f>
        <v>573.15</v>
      </c>
      <c r="AV25">
        <f>VLOOKUP(A25,GOOGL!A$2:G$55,7,0)</f>
        <v>582.27</v>
      </c>
      <c r="AW25">
        <f>VLOOKUP(A25,GS!A$2:G$55,7,0)</f>
        <v>171.16</v>
      </c>
      <c r="AX25">
        <f>VLOOKUP(A25,HAL!A$2:G$55,7,0)</f>
        <v>69.930000000000007</v>
      </c>
      <c r="AY25">
        <f>VLOOKUP(A25,HD!A$2:G$55,7,0)</f>
        <v>79.63</v>
      </c>
      <c r="AZ25">
        <f>VLOOKUP(A25,HON!A$2:G$55,7,0)</f>
        <v>90.93</v>
      </c>
      <c r="BA25">
        <f>VLOOKUP(A25,HPQ!A$2:G$55,7,0)</f>
        <v>35.18</v>
      </c>
      <c r="BB25">
        <f>VLOOKUP(A25,IBM!A$2:G$55,7,0)</f>
        <v>188.53</v>
      </c>
      <c r="BC25">
        <f>VLOOKUP(A25,INTC!A$2:G$55,7,0)</f>
        <v>33.82</v>
      </c>
      <c r="BD25">
        <f>VLOOKUP(A25,JNJ!A$2:G$55,7,0)</f>
        <v>99.49</v>
      </c>
      <c r="BE25">
        <f>VLOOKUP(A25,JPM!A$2:G$55,7,0)</f>
        <v>56.65</v>
      </c>
      <c r="BF25">
        <f>VLOOKUP(A25,KO!A$2:G$55,7,0)</f>
        <v>39.119999999999997</v>
      </c>
      <c r="BG25">
        <f>VLOOKUP(A25,LLY!A$2:G$55,7,0)</f>
        <v>61.14</v>
      </c>
      <c r="BH25">
        <f>VLOOKUP(A25,LMT!A$2:G$55,7,0)</f>
        <v>167.02</v>
      </c>
      <c r="BI25">
        <f>VLOOKUP(A25,LOW!A$2:G$55,7,0)</f>
        <v>47.91</v>
      </c>
      <c r="BJ25">
        <f>VLOOKUP(A25,MA!A$2:G$55,7,0)</f>
        <v>75.680000000000007</v>
      </c>
      <c r="BK25">
        <f>VLOOKUP(A25,MCD!A$2:G$55,7,0)</f>
        <v>93.5</v>
      </c>
      <c r="BL25">
        <f>VLOOKUP(A25,MDLZ!A$2:G$55,7,0)</f>
        <v>36.29</v>
      </c>
      <c r="BM25">
        <f>VLOOKUP(A25,MDT!A$2:G$55,7,0)</f>
        <v>62.47</v>
      </c>
      <c r="BN25">
        <f>VLOOKUP(A25,MET!A$2:G$55,7,0)</f>
        <v>52.03</v>
      </c>
      <c r="BO25">
        <f>VLOOKUP(A25,MMM!A$2:G$55,7,0)</f>
        <v>139.91999999999999</v>
      </c>
      <c r="BP25">
        <f>VLOOKUP(A25,MO!A$2:G$55,7,0)</f>
        <v>40.25</v>
      </c>
      <c r="BQ25">
        <f>VLOOKUP(A25,MON!A$2:G$55,7,0)</f>
        <v>114.91</v>
      </c>
      <c r="BR25">
        <f>VLOOKUP(A25,MRK!A$2:G$55,7,0)</f>
        <v>56.65</v>
      </c>
      <c r="BS25">
        <f>VLOOKUP(A25,MS!A$2:G$55,7,0)</f>
        <v>31.83</v>
      </c>
      <c r="BT25">
        <f>VLOOKUP(A25,MSFT!A$2:G$55,7,0)</f>
        <v>43.1</v>
      </c>
      <c r="BU25">
        <f>VLOOKUP(A25,NKE!A$2:G$55,7,0)</f>
        <v>76.930000000000007</v>
      </c>
      <c r="BV25">
        <f>VLOOKUP(A25,NOV!A$2:G$55,7,0)</f>
        <v>82.4</v>
      </c>
      <c r="BW25">
        <f>VLOOKUP(A25,NSC!A$2:G$55,7,0)</f>
        <v>101.37</v>
      </c>
      <c r="BX25">
        <f>VLOOKUP(A25,ORCL!A$2:G$55,7,0)</f>
        <v>40.1</v>
      </c>
      <c r="BY25">
        <f>VLOOKUP(A25,OXY!A$2:G$55,7,0)</f>
        <v>100.03</v>
      </c>
      <c r="BZ25">
        <f>VLOOKUP(A25,PEP!A$2:G$55,7,0)</f>
        <v>89.05</v>
      </c>
      <c r="CA25">
        <f>VLOOKUP(A25,PFE!A$2:G$55,7,0)</f>
        <v>28.75</v>
      </c>
      <c r="CB25">
        <f>VLOOKUP(A25,PG!A$2:G$55,7,0)</f>
        <v>79.22</v>
      </c>
      <c r="CC25">
        <f>VLOOKUP(A25,PM!A$2:G$55,7,0)</f>
        <v>81.180000000000007</v>
      </c>
      <c r="CD25">
        <f>VLOOKUP(A25,QCOM!A$2:G$55,7,0)</f>
        <v>72.86</v>
      </c>
      <c r="CE25">
        <f>VLOOKUP(A25,RTN!A$2:G$55,7,0)</f>
        <v>91</v>
      </c>
      <c r="CF25">
        <f>VLOOKUP(A25,SBUX!A$2:G$55,7,0)</f>
        <v>77.27</v>
      </c>
      <c r="CG25">
        <f>VLOOKUP(A25,SLB!A$2:G$55,7,0)</f>
        <v>109.27</v>
      </c>
      <c r="CH25">
        <f>VLOOKUP(A25,SO!A$2:G$55,7,0)</f>
        <v>43.1</v>
      </c>
      <c r="CI25">
        <f>VLOOKUP(A25,SPG!A$2:G$55,7,0)</f>
        <v>167.07</v>
      </c>
      <c r="CJ25">
        <f>VLOOKUP(A25,T!A$2:G$55,7,0)</f>
        <v>35.46</v>
      </c>
      <c r="CK25">
        <f>VLOOKUP(A25,TGT!A$2:G$55,7,0)</f>
        <v>60.16</v>
      </c>
      <c r="CL25">
        <f>VLOOKUP(A25,TWX!A$2:G$55,7,0)</f>
        <v>85.18</v>
      </c>
      <c r="CM25">
        <f>VLOOKUP(A25,TXN!A$2:G$55,7,0)</f>
        <v>46.39</v>
      </c>
      <c r="CN25">
        <f>VLOOKUP(A25,UNH!A$2:G$55,7,0)</f>
        <v>81.92</v>
      </c>
      <c r="CO25">
        <f>VLOOKUP(A25,UNP!A$2:G$55,7,0)</f>
        <v>97.82</v>
      </c>
      <c r="CP25">
        <f>VLOOKUP(A25,UPS!A$2:G$55,7,0)</f>
        <v>96.51</v>
      </c>
      <c r="CQ25">
        <f>VLOOKUP(A25,USB!A$2:G$55,7,0)</f>
        <v>41.4</v>
      </c>
      <c r="CR25">
        <f>VLOOKUP(A25,UTX!A$2:G$55,7,0)</f>
        <v>104.46</v>
      </c>
      <c r="CS25">
        <f>VLOOKUP(A25,V!A$2:G$55,7,0)</f>
        <v>211.76</v>
      </c>
      <c r="CT25">
        <f>VLOOKUP(A25,VZ!A$2:G$55,7,0)</f>
        <v>50.21</v>
      </c>
      <c r="CU25">
        <f>VLOOKUP(A25,WAG!A$2:G$55,7,0)</f>
        <v>71.72</v>
      </c>
      <c r="CV25">
        <f>VLOOKUP(A25,WFC!A$2:G$55,7,0)</f>
        <v>50.64</v>
      </c>
      <c r="CW25">
        <f>VLOOKUP(A25,WMT!A$2:G$55,7,0)</f>
        <v>73.06</v>
      </c>
    </row>
    <row r="26" spans="1:101" x14ac:dyDescent="0.25">
      <c r="A26" s="34">
        <v>41856</v>
      </c>
      <c r="B26" s="36">
        <v>94.65</v>
      </c>
      <c r="C26">
        <f>VLOOKUP(A26,ABBV!A$2:G$55,7,0)</f>
        <v>52.79</v>
      </c>
      <c r="D26">
        <f>VLOOKUP(A26,ABT!A$2:G$55,7,0)</f>
        <v>41.78</v>
      </c>
      <c r="E26">
        <f>VLOOKUP(A26,ACN!A$2:G$55,7,0)</f>
        <v>78.45</v>
      </c>
      <c r="F26">
        <f>VLOOKUP(A26,AIG!A$2:G$55,7,0)</f>
        <v>52.08</v>
      </c>
      <c r="G26">
        <f>VLOOKUP(A26,ALL!A$2:G$55,7,0)</f>
        <v>58.58</v>
      </c>
      <c r="H26">
        <f>VLOOKUP(A26,AMGN!A$2:G$55,7,0)</f>
        <v>127.27</v>
      </c>
      <c r="I26">
        <f>VLOOKUP(A26,AMZN!A$2:G$55,7,0)</f>
        <v>312.32</v>
      </c>
      <c r="J26">
        <f>VLOOKUP(A26,APA!A$2:G$55,7,0)</f>
        <v>99.38</v>
      </c>
      <c r="K26">
        <f>VLOOKUP(A26,APC!A$2:G$55,7,0)</f>
        <v>107.83</v>
      </c>
      <c r="L26">
        <f>VLOOKUP(A26,AXP!A$2:G$55,7,0)</f>
        <v>86.36</v>
      </c>
      <c r="M26">
        <f>VLOOKUP(A26,BA!A$2:G$55,7,0)</f>
        <v>120.54</v>
      </c>
      <c r="N26">
        <f>VLOOKUP(A26,BAC!A$2:G$55,7,0)</f>
        <v>14.95</v>
      </c>
      <c r="O26">
        <f>VLOOKUP(A26,BAX!A$2:G$55,7,0)</f>
        <v>73.94</v>
      </c>
      <c r="P26">
        <f>VLOOKUP(A26,BIIB!A$2:G$55,7,0)</f>
        <v>325.23</v>
      </c>
      <c r="Q26">
        <f>VLOOKUP(A26,BK!A$2:G$55,7,0)</f>
        <v>38.950000000000003</v>
      </c>
      <c r="R26">
        <f>VLOOKUP(A26,BMY!A$2:G$55,7,0)</f>
        <v>49.36</v>
      </c>
      <c r="T26">
        <f>VLOOKUP(A26,'C'!A$2:G$55,7,0)</f>
        <v>47.89</v>
      </c>
      <c r="U26">
        <f>VLOOKUP(A26,CAT!A$2:G$55,7,0)</f>
        <v>101.5</v>
      </c>
      <c r="V26">
        <f>VLOOKUP(A26,CL!A$2:G$55,7,0)</f>
        <v>63.77</v>
      </c>
      <c r="W26">
        <f>VLOOKUP(A26,CMCSA!A$2:G$55,7,0)</f>
        <v>52.96</v>
      </c>
      <c r="X26">
        <f>VLOOKUP(A26,COF!A$2:G$55,7,0)</f>
        <v>78.489999999999995</v>
      </c>
      <c r="Y26">
        <f>VLOOKUP(A26,COP!A$2:G$55,7,0)</f>
        <v>79.739999999999995</v>
      </c>
      <c r="Z26">
        <f>VLOOKUP(A26,COST!A$2:G$55,7,0)</f>
        <v>118.05</v>
      </c>
      <c r="AA26">
        <f>VLOOKUP(A26,CSCO!A$2:G$55,7,0)</f>
        <v>24.97</v>
      </c>
      <c r="AB26">
        <f>VLOOKUP(A26,CVS!A$2:G$55,7,0)</f>
        <v>77.27</v>
      </c>
      <c r="AC26">
        <f>VLOOKUP(A26,CVX!A$2:G$55,7,0)</f>
        <v>123.91</v>
      </c>
      <c r="AD26">
        <f>VLOOKUP(A26,DD!A$2:G$55,7,0)</f>
        <v>63.57</v>
      </c>
      <c r="AE26">
        <f>VLOOKUP(A26,DIS!A$2:G$55,7,0)</f>
        <v>86.75</v>
      </c>
      <c r="AF26">
        <f>VLOOKUP(A26,DOW!A$2:G$55,7,0)</f>
        <v>50.74</v>
      </c>
      <c r="AG26">
        <f>VLOOKUP(A26,DVN!A$2:G$55,7,0)</f>
        <v>74.34</v>
      </c>
      <c r="AH26">
        <f>VLOOKUP(A26,EBAY!A$2:G$55,7,0)</f>
        <v>53.26</v>
      </c>
      <c r="AI26">
        <f>VLOOKUP(A26,EMC!A$2:G$55,7,0)</f>
        <v>29.11</v>
      </c>
      <c r="AJ26">
        <f>VLOOKUP(A26,EMR!A$2:G$55,7,0)</f>
        <v>62.41</v>
      </c>
      <c r="AK26">
        <f>VLOOKUP(A26,EXC!A$2:G$55,7,0)</f>
        <v>30.83</v>
      </c>
      <c r="AL26">
        <f>VLOOKUP(A26,F!A$2:G$55,7,0)</f>
        <v>16.87</v>
      </c>
      <c r="AM26">
        <f>VLOOKUP(A26,FB!A$2:G$55,7,0)</f>
        <v>72.69</v>
      </c>
      <c r="AN26">
        <f>VLOOKUP(A26,FCX!A$2:G$55,7,0)</f>
        <v>36.93</v>
      </c>
      <c r="AO26">
        <f>VLOOKUP(A26,FDX!A$2:G$55,7,0)</f>
        <v>146.65</v>
      </c>
      <c r="AP26">
        <f>VLOOKUP(A26,FOXA!A$2:G$55,7,0)</f>
        <v>31.19</v>
      </c>
      <c r="AQ26">
        <f>VLOOKUP(A26,GD!A$2:G$55,7,0)</f>
        <v>116.35</v>
      </c>
      <c r="AR26">
        <f>VLOOKUP(A26,GE!A$2:G$55,7,0)</f>
        <v>24.81</v>
      </c>
      <c r="AS26">
        <f>VLOOKUP(A26,GILD!A$2:G$55,7,0)</f>
        <v>92.27</v>
      </c>
      <c r="AT26">
        <f>VLOOKUP(A26,GM!A$2:G$55,7,0)</f>
        <v>33.07</v>
      </c>
      <c r="AU26">
        <f>VLOOKUP(A26,GOOG!A$2:G$55,7,0)</f>
        <v>565.07000000000005</v>
      </c>
      <c r="AV26">
        <f>VLOOKUP(A26,GOOGL!A$2:G$55,7,0)</f>
        <v>573.14</v>
      </c>
      <c r="AW26">
        <f>VLOOKUP(A26,GS!A$2:G$55,7,0)</f>
        <v>168.9</v>
      </c>
      <c r="AX26">
        <f>VLOOKUP(A26,HAL!A$2:G$55,7,0)</f>
        <v>67.569999999999993</v>
      </c>
      <c r="AY26">
        <f>VLOOKUP(A26,HD!A$2:G$55,7,0)</f>
        <v>79.63</v>
      </c>
      <c r="AZ26">
        <f>VLOOKUP(A26,HON!A$2:G$55,7,0)</f>
        <v>90.81</v>
      </c>
      <c r="BA26">
        <f>VLOOKUP(A26,HPQ!A$2:G$55,7,0)</f>
        <v>34.92</v>
      </c>
      <c r="BB26">
        <f>VLOOKUP(A26,IBM!A$2:G$55,7,0)</f>
        <v>186</v>
      </c>
      <c r="BC26">
        <f>VLOOKUP(A26,INTC!A$2:G$55,7,0)</f>
        <v>32.82</v>
      </c>
      <c r="BD26">
        <f>VLOOKUP(A26,JNJ!A$2:G$55,7,0)</f>
        <v>99.15</v>
      </c>
      <c r="BE26">
        <f>VLOOKUP(A26,JPM!A$2:G$55,7,0)</f>
        <v>56.06</v>
      </c>
      <c r="BF26">
        <f>VLOOKUP(A26,KO!A$2:G$55,7,0)</f>
        <v>38.9</v>
      </c>
      <c r="BG26">
        <f>VLOOKUP(A26,LLY!A$2:G$55,7,0)</f>
        <v>60.38</v>
      </c>
      <c r="BH26">
        <f>VLOOKUP(A26,LMT!A$2:G$55,7,0)</f>
        <v>165.67</v>
      </c>
      <c r="BI26">
        <f>VLOOKUP(A26,LOW!A$2:G$55,7,0)</f>
        <v>47.64</v>
      </c>
      <c r="BJ26">
        <f>VLOOKUP(A26,MA!A$2:G$55,7,0)</f>
        <v>75.2</v>
      </c>
      <c r="BK26">
        <f>VLOOKUP(A26,MCD!A$2:G$55,7,0)</f>
        <v>92.63</v>
      </c>
      <c r="BL26">
        <f>VLOOKUP(A26,MDLZ!A$2:G$55,7,0)</f>
        <v>35.799999999999997</v>
      </c>
      <c r="BM26">
        <f>VLOOKUP(A26,MDT!A$2:G$55,7,0)</f>
        <v>61.99</v>
      </c>
      <c r="BN26">
        <f>VLOOKUP(A26,MET!A$2:G$55,7,0)</f>
        <v>51.32</v>
      </c>
      <c r="BO26">
        <f>VLOOKUP(A26,MMM!A$2:G$55,7,0)</f>
        <v>138.94999999999999</v>
      </c>
      <c r="BP26">
        <f>VLOOKUP(A26,MO!A$2:G$55,7,0)</f>
        <v>40.090000000000003</v>
      </c>
      <c r="BQ26">
        <f>VLOOKUP(A26,MON!A$2:G$55,7,0)</f>
        <v>115</v>
      </c>
      <c r="BR26">
        <f>VLOOKUP(A26,MRK!A$2:G$55,7,0)</f>
        <v>55.62</v>
      </c>
      <c r="BS26">
        <f>VLOOKUP(A26,MS!A$2:G$55,7,0)</f>
        <v>31.41</v>
      </c>
      <c r="BT26">
        <f>VLOOKUP(A26,MSFT!A$2:G$55,7,0)</f>
        <v>42.81</v>
      </c>
      <c r="BU26">
        <f>VLOOKUP(A26,NKE!A$2:G$55,7,0)</f>
        <v>76.69</v>
      </c>
      <c r="BV26">
        <f>VLOOKUP(A26,NOV!A$2:G$55,7,0)</f>
        <v>81.099999999999994</v>
      </c>
      <c r="BW26">
        <f>VLOOKUP(A26,NSC!A$2:G$55,7,0)</f>
        <v>100.69</v>
      </c>
      <c r="BX26">
        <f>VLOOKUP(A26,ORCL!A$2:G$55,7,0)</f>
        <v>39.96</v>
      </c>
      <c r="BY26">
        <f>VLOOKUP(A26,OXY!A$2:G$55,7,0)</f>
        <v>98.41</v>
      </c>
      <c r="BZ26">
        <f>VLOOKUP(A26,PEP!A$2:G$55,7,0)</f>
        <v>88.57</v>
      </c>
      <c r="CA26">
        <f>VLOOKUP(A26,PFE!A$2:G$55,7,0)</f>
        <v>28.41</v>
      </c>
      <c r="CB26">
        <f>VLOOKUP(A26,PG!A$2:G$55,7,0)</f>
        <v>79.41</v>
      </c>
      <c r="CC26">
        <f>VLOOKUP(A26,PM!A$2:G$55,7,0)</f>
        <v>80.63</v>
      </c>
      <c r="CD26">
        <f>VLOOKUP(A26,QCOM!A$2:G$55,7,0)</f>
        <v>72.349999999999994</v>
      </c>
      <c r="CE26">
        <f>VLOOKUP(A26,RTN!A$2:G$55,7,0)</f>
        <v>91.02</v>
      </c>
      <c r="CF26">
        <f>VLOOKUP(A26,SBUX!A$2:G$55,7,0)</f>
        <v>76.790000000000006</v>
      </c>
      <c r="CG26">
        <f>VLOOKUP(A26,SLB!A$2:G$55,7,0)</f>
        <v>106.69</v>
      </c>
      <c r="CH26">
        <f>VLOOKUP(A26,SO!A$2:G$55,7,0)</f>
        <v>42.6</v>
      </c>
      <c r="CI26">
        <f>VLOOKUP(A26,SPG!A$2:G$55,7,0)</f>
        <v>165.07</v>
      </c>
      <c r="CJ26">
        <f>VLOOKUP(A26,T!A$2:G$55,7,0)</f>
        <v>35.11</v>
      </c>
      <c r="CK26">
        <f>VLOOKUP(A26,TGT!A$2:G$55,7,0)</f>
        <v>57.51</v>
      </c>
      <c r="CL26">
        <f>VLOOKUP(A26,TWX!A$2:G$55,7,0)</f>
        <v>84.84</v>
      </c>
      <c r="CM26">
        <f>VLOOKUP(A26,TXN!A$2:G$55,7,0)</f>
        <v>45.99</v>
      </c>
      <c r="CN26">
        <f>VLOOKUP(A26,UNH!A$2:G$55,7,0)</f>
        <v>80.650000000000006</v>
      </c>
      <c r="CO26">
        <f>VLOOKUP(A26,UNP!A$2:G$55,7,0)</f>
        <v>97.5</v>
      </c>
      <c r="CP26">
        <f>VLOOKUP(A26,UPS!A$2:G$55,7,0)</f>
        <v>95.84</v>
      </c>
      <c r="CQ26">
        <f>VLOOKUP(A26,USB!A$2:G$55,7,0)</f>
        <v>40.93</v>
      </c>
      <c r="CR26">
        <f>VLOOKUP(A26,UTX!A$2:G$55,7,0)</f>
        <v>104.43</v>
      </c>
      <c r="CS26">
        <f>VLOOKUP(A26,V!A$2:G$55,7,0)</f>
        <v>210.14</v>
      </c>
      <c r="CT26">
        <f>VLOOKUP(A26,VZ!A$2:G$55,7,0)</f>
        <v>49.66</v>
      </c>
      <c r="CU26">
        <f>VLOOKUP(A26,WAG!A$2:G$55,7,0)</f>
        <v>68.739999999999995</v>
      </c>
      <c r="CV26">
        <f>VLOOKUP(A26,WFC!A$2:G$55,7,0)</f>
        <v>50.05</v>
      </c>
      <c r="CW26">
        <f>VLOOKUP(A26,WMT!A$2:G$55,7,0)</f>
        <v>72.86</v>
      </c>
    </row>
    <row r="27" spans="1:101" x14ac:dyDescent="0.25">
      <c r="A27" s="34">
        <v>41857</v>
      </c>
      <c r="B27" s="36">
        <v>94.49</v>
      </c>
      <c r="C27">
        <f>VLOOKUP(A27,ABBV!A$2:G$55,7,0)</f>
        <v>52.05</v>
      </c>
      <c r="D27">
        <f>VLOOKUP(A27,ABT!A$2:G$55,7,0)</f>
        <v>41.77</v>
      </c>
      <c r="E27">
        <f>VLOOKUP(A27,ACN!A$2:G$55,7,0)</f>
        <v>77.84</v>
      </c>
      <c r="F27">
        <f>VLOOKUP(A27,AIG!A$2:G$55,7,0)</f>
        <v>52.38</v>
      </c>
      <c r="G27">
        <f>VLOOKUP(A27,ALL!A$2:G$55,7,0)</f>
        <v>59.31</v>
      </c>
      <c r="H27">
        <f>VLOOKUP(A27,AMGN!A$2:G$55,7,0)</f>
        <v>126.48</v>
      </c>
      <c r="I27">
        <f>VLOOKUP(A27,AMZN!A$2:G$55,7,0)</f>
        <v>313.89</v>
      </c>
      <c r="J27">
        <f>VLOOKUP(A27,APA!A$2:G$55,7,0)</f>
        <v>99.95</v>
      </c>
      <c r="K27">
        <f>VLOOKUP(A27,APC!A$2:G$55,7,0)</f>
        <v>106.64</v>
      </c>
      <c r="L27">
        <f>VLOOKUP(A27,AXP!A$2:G$55,7,0)</f>
        <v>86.4</v>
      </c>
      <c r="M27">
        <f>VLOOKUP(A27,BA!A$2:G$55,7,0)</f>
        <v>118.34</v>
      </c>
      <c r="N27">
        <f>VLOOKUP(A27,BAC!A$2:G$55,7,0)</f>
        <v>15.15</v>
      </c>
      <c r="O27">
        <f>VLOOKUP(A27,BAX!A$2:G$55,7,0)</f>
        <v>73.959999999999994</v>
      </c>
      <c r="P27">
        <f>VLOOKUP(A27,BIIB!A$2:G$55,7,0)</f>
        <v>325.2</v>
      </c>
      <c r="Q27">
        <f>VLOOKUP(A27,BK!A$2:G$55,7,0)</f>
        <v>39.33</v>
      </c>
      <c r="R27">
        <f>VLOOKUP(A27,BMY!A$2:G$55,7,0)</f>
        <v>49.48</v>
      </c>
      <c r="T27">
        <f>VLOOKUP(A27,'C'!A$2:G$55,7,0)</f>
        <v>48.14</v>
      </c>
      <c r="U27">
        <f>VLOOKUP(A27,CAT!A$2:G$55,7,0)</f>
        <v>101.49</v>
      </c>
      <c r="V27">
        <f>VLOOKUP(A27,CL!A$2:G$55,7,0)</f>
        <v>64.8</v>
      </c>
      <c r="W27">
        <f>VLOOKUP(A27,CMCSA!A$2:G$55,7,0)</f>
        <v>52.68</v>
      </c>
      <c r="X27">
        <f>VLOOKUP(A27,COF!A$2:G$55,7,0)</f>
        <v>78.459999999999994</v>
      </c>
      <c r="Y27">
        <f>VLOOKUP(A27,COP!A$2:G$55,7,0)</f>
        <v>80.61</v>
      </c>
      <c r="Z27">
        <f>VLOOKUP(A27,COST!A$2:G$55,7,0)</f>
        <v>119.59</v>
      </c>
      <c r="AA27">
        <f>VLOOKUP(A27,CSCO!A$2:G$55,7,0)</f>
        <v>24.93</v>
      </c>
      <c r="AB27">
        <f>VLOOKUP(A27,CVS!A$2:G$55,7,0)</f>
        <v>77.03</v>
      </c>
      <c r="AC27">
        <f>VLOOKUP(A27,CVX!A$2:G$55,7,0)</f>
        <v>124.67</v>
      </c>
      <c r="AD27">
        <f>VLOOKUP(A27,DD!A$2:G$55,7,0)</f>
        <v>64.31</v>
      </c>
      <c r="AE27">
        <f>VLOOKUP(A27,DIS!A$2:G$55,7,0)</f>
        <v>86.59</v>
      </c>
      <c r="AF27">
        <f>VLOOKUP(A27,DOW!A$2:G$55,7,0)</f>
        <v>51.13</v>
      </c>
      <c r="AG27">
        <f>VLOOKUP(A27,DVN!A$2:G$55,7,0)</f>
        <v>74.13</v>
      </c>
      <c r="AH27">
        <f>VLOOKUP(A27,EBAY!A$2:G$55,7,0)</f>
        <v>53.46</v>
      </c>
      <c r="AI27">
        <f>VLOOKUP(A27,EMC!A$2:G$55,7,0)</f>
        <v>29.04</v>
      </c>
      <c r="AJ27">
        <f>VLOOKUP(A27,EMR!A$2:G$55,7,0)</f>
        <v>61.43</v>
      </c>
      <c r="AK27">
        <f>VLOOKUP(A27,EXC!A$2:G$55,7,0)</f>
        <v>30.88</v>
      </c>
      <c r="AL27">
        <f>VLOOKUP(A27,F!A$2:G$55,7,0)</f>
        <v>16.98</v>
      </c>
      <c r="AM27">
        <f>VLOOKUP(A27,FB!A$2:G$55,7,0)</f>
        <v>72.47</v>
      </c>
      <c r="AN27">
        <f>VLOOKUP(A27,FCX!A$2:G$55,7,0)</f>
        <v>36.700000000000003</v>
      </c>
      <c r="AO27">
        <f>VLOOKUP(A27,FDX!A$2:G$55,7,0)</f>
        <v>145.28</v>
      </c>
      <c r="AP27">
        <f>VLOOKUP(A27,FOXA!A$2:G$55,7,0)</f>
        <v>32.22</v>
      </c>
      <c r="AQ27">
        <f>VLOOKUP(A27,GD!A$2:G$55,7,0)</f>
        <v>114.75</v>
      </c>
      <c r="AR27">
        <f>VLOOKUP(A27,GE!A$2:G$55,7,0)</f>
        <v>25.23</v>
      </c>
      <c r="AS27">
        <f>VLOOKUP(A27,GILD!A$2:G$55,7,0)</f>
        <v>92.79</v>
      </c>
      <c r="AT27">
        <f>VLOOKUP(A27,GM!A$2:G$55,7,0)</f>
        <v>33.11</v>
      </c>
      <c r="AU27">
        <f>VLOOKUP(A27,GOOG!A$2:G$55,7,0)</f>
        <v>566.37</v>
      </c>
      <c r="AV27">
        <f>VLOOKUP(A27,GOOGL!A$2:G$55,7,0)</f>
        <v>574.49</v>
      </c>
      <c r="AW27">
        <f>VLOOKUP(A27,GS!A$2:G$55,7,0)</f>
        <v>169.22</v>
      </c>
      <c r="AX27">
        <f>VLOOKUP(A27,HAL!A$2:G$55,7,0)</f>
        <v>67.81</v>
      </c>
      <c r="AY27">
        <f>VLOOKUP(A27,HD!A$2:G$55,7,0)</f>
        <v>80.12</v>
      </c>
      <c r="AZ27">
        <f>VLOOKUP(A27,HON!A$2:G$55,7,0)</f>
        <v>90.13</v>
      </c>
      <c r="BA27">
        <f>VLOOKUP(A27,HPQ!A$2:G$55,7,0)</f>
        <v>34.89</v>
      </c>
      <c r="BB27">
        <f>VLOOKUP(A27,IBM!A$2:G$55,7,0)</f>
        <v>185.97</v>
      </c>
      <c r="BC27">
        <f>VLOOKUP(A27,INTC!A$2:G$55,7,0)</f>
        <v>32.85</v>
      </c>
      <c r="BD27">
        <f>VLOOKUP(A27,JNJ!A$2:G$55,7,0)</f>
        <v>100.03</v>
      </c>
      <c r="BE27">
        <f>VLOOKUP(A27,JPM!A$2:G$55,7,0)</f>
        <v>56.23</v>
      </c>
      <c r="BF27">
        <f>VLOOKUP(A27,KO!A$2:G$55,7,0)</f>
        <v>39.630000000000003</v>
      </c>
      <c r="BG27">
        <f>VLOOKUP(A27,LLY!A$2:G$55,7,0)</f>
        <v>60.62</v>
      </c>
      <c r="BH27">
        <f>VLOOKUP(A27,LMT!A$2:G$55,7,0)</f>
        <v>161.82</v>
      </c>
      <c r="BI27">
        <f>VLOOKUP(A27,LOW!A$2:G$55,7,0)</f>
        <v>48.1</v>
      </c>
      <c r="BJ27">
        <f>VLOOKUP(A27,MA!A$2:G$55,7,0)</f>
        <v>75.36</v>
      </c>
      <c r="BK27">
        <f>VLOOKUP(A27,MCD!A$2:G$55,7,0)</f>
        <v>92.67</v>
      </c>
      <c r="BL27">
        <f>VLOOKUP(A27,MDLZ!A$2:G$55,7,0)</f>
        <v>35.51</v>
      </c>
      <c r="BM27">
        <f>VLOOKUP(A27,MDT!A$2:G$55,7,0)</f>
        <v>61.3</v>
      </c>
      <c r="BN27">
        <f>VLOOKUP(A27,MET!A$2:G$55,7,0)</f>
        <v>51.33</v>
      </c>
      <c r="BO27">
        <f>VLOOKUP(A27,MMM!A$2:G$55,7,0)</f>
        <v>138.72</v>
      </c>
      <c r="BP27">
        <f>VLOOKUP(A27,MO!A$2:G$55,7,0)</f>
        <v>40.94</v>
      </c>
      <c r="BQ27">
        <f>VLOOKUP(A27,MON!A$2:G$55,7,0)</f>
        <v>116.05</v>
      </c>
      <c r="BR27">
        <f>VLOOKUP(A27,MRK!A$2:G$55,7,0)</f>
        <v>55.52</v>
      </c>
      <c r="BS27">
        <f>VLOOKUP(A27,MS!A$2:G$55,7,0)</f>
        <v>31.56</v>
      </c>
      <c r="BT27">
        <f>VLOOKUP(A27,MSFT!A$2:G$55,7,0)</f>
        <v>42.47</v>
      </c>
      <c r="BU27">
        <f>VLOOKUP(A27,NKE!A$2:G$55,7,0)</f>
        <v>76.91</v>
      </c>
      <c r="BV27">
        <f>VLOOKUP(A27,NOV!A$2:G$55,7,0)</f>
        <v>81.55</v>
      </c>
      <c r="BW27">
        <f>VLOOKUP(A27,NSC!A$2:G$55,7,0)</f>
        <v>100.09</v>
      </c>
      <c r="BX27">
        <f>VLOOKUP(A27,ORCL!A$2:G$55,7,0)</f>
        <v>40.159999999999997</v>
      </c>
      <c r="BY27">
        <f>VLOOKUP(A27,OXY!A$2:G$55,7,0)</f>
        <v>98.7</v>
      </c>
      <c r="BZ27">
        <f>VLOOKUP(A27,PEP!A$2:G$55,7,0)</f>
        <v>89.87</v>
      </c>
      <c r="CA27">
        <f>VLOOKUP(A27,PFE!A$2:G$55,7,0)</f>
        <v>28.28</v>
      </c>
      <c r="CB27">
        <f>VLOOKUP(A27,PG!A$2:G$55,7,0)</f>
        <v>81.09</v>
      </c>
      <c r="CC27">
        <f>VLOOKUP(A27,PM!A$2:G$55,7,0)</f>
        <v>82.51</v>
      </c>
      <c r="CD27">
        <f>VLOOKUP(A27,QCOM!A$2:G$55,7,0)</f>
        <v>72.489999999999995</v>
      </c>
      <c r="CE27">
        <f>VLOOKUP(A27,RTN!A$2:G$55,7,0)</f>
        <v>88.99</v>
      </c>
      <c r="CF27">
        <f>VLOOKUP(A27,SBUX!A$2:G$55,7,0)</f>
        <v>77.13</v>
      </c>
      <c r="CG27">
        <f>VLOOKUP(A27,SLB!A$2:G$55,7,0)</f>
        <v>107.18</v>
      </c>
      <c r="CH27">
        <f>VLOOKUP(A27,SO!A$2:G$55,7,0)</f>
        <v>42.17</v>
      </c>
      <c r="CI27">
        <f>VLOOKUP(A27,SPG!A$2:G$55,7,0)</f>
        <v>164.01</v>
      </c>
      <c r="CJ27">
        <f>VLOOKUP(A27,T!A$2:G$55,7,0)</f>
        <v>34.619999999999997</v>
      </c>
      <c r="CK27">
        <f>VLOOKUP(A27,TGT!A$2:G$55,7,0)</f>
        <v>57.45</v>
      </c>
      <c r="CL27">
        <f>VLOOKUP(A27,TWX!A$2:G$55,7,0)</f>
        <v>73.930000000000007</v>
      </c>
      <c r="CM27">
        <f>VLOOKUP(A27,TXN!A$2:G$55,7,0)</f>
        <v>46.17</v>
      </c>
      <c r="CN27">
        <f>VLOOKUP(A27,UNH!A$2:G$55,7,0)</f>
        <v>81.150000000000006</v>
      </c>
      <c r="CO27">
        <f>VLOOKUP(A27,UNP!A$2:G$55,7,0)</f>
        <v>97.05</v>
      </c>
      <c r="CP27">
        <f>VLOOKUP(A27,UPS!A$2:G$55,7,0)</f>
        <v>95.07</v>
      </c>
      <c r="CQ27">
        <f>VLOOKUP(A27,USB!A$2:G$55,7,0)</f>
        <v>40.840000000000003</v>
      </c>
      <c r="CR27">
        <f>VLOOKUP(A27,UTX!A$2:G$55,7,0)</f>
        <v>103.21</v>
      </c>
      <c r="CS27">
        <f>VLOOKUP(A27,V!A$2:G$55,7,0)</f>
        <v>210.29</v>
      </c>
      <c r="CT27">
        <f>VLOOKUP(A27,VZ!A$2:G$55,7,0)</f>
        <v>49.13</v>
      </c>
      <c r="CU27">
        <f>VLOOKUP(A27,WAG!A$2:G$55,7,0)</f>
        <v>58.89</v>
      </c>
      <c r="CV27">
        <f>VLOOKUP(A27,WFC!A$2:G$55,7,0)</f>
        <v>50.06</v>
      </c>
      <c r="CW27">
        <f>VLOOKUP(A27,WMT!A$2:G$55,7,0)</f>
        <v>74.2</v>
      </c>
    </row>
    <row r="28" spans="1:101" x14ac:dyDescent="0.25">
      <c r="A28" s="34">
        <v>41858</v>
      </c>
      <c r="B28" s="36">
        <v>94.48</v>
      </c>
      <c r="C28">
        <f>VLOOKUP(A28,ABBV!A$2:G$55,7,0)</f>
        <v>52.43</v>
      </c>
      <c r="D28">
        <f>VLOOKUP(A28,ABT!A$2:G$55,7,0)</f>
        <v>41.53</v>
      </c>
      <c r="E28">
        <f>VLOOKUP(A28,ACN!A$2:G$55,7,0)</f>
        <v>77.5</v>
      </c>
      <c r="F28">
        <f>VLOOKUP(A28,AIG!A$2:G$55,7,0)</f>
        <v>51.94</v>
      </c>
      <c r="G28">
        <f>VLOOKUP(A28,ALL!A$2:G$55,7,0)</f>
        <v>59.04</v>
      </c>
      <c r="H28">
        <f>VLOOKUP(A28,AMGN!A$2:G$55,7,0)</f>
        <v>125.15</v>
      </c>
      <c r="I28">
        <f>VLOOKUP(A28,AMZN!A$2:G$55,7,0)</f>
        <v>311.45</v>
      </c>
      <c r="J28">
        <f>VLOOKUP(A28,APA!A$2:G$55,7,0)</f>
        <v>98.57</v>
      </c>
      <c r="K28">
        <f>VLOOKUP(A28,APC!A$2:G$55,7,0)</f>
        <v>106.86</v>
      </c>
      <c r="L28">
        <f>VLOOKUP(A28,AXP!A$2:G$55,7,0)</f>
        <v>86.02</v>
      </c>
      <c r="M28">
        <f>VLOOKUP(A28,BA!A$2:G$55,7,0)</f>
        <v>119.84</v>
      </c>
      <c r="N28">
        <f>VLOOKUP(A28,BAC!A$2:G$55,7,0)</f>
        <v>15.07</v>
      </c>
      <c r="O28">
        <f>VLOOKUP(A28,BAX!A$2:G$55,7,0)</f>
        <v>73.25</v>
      </c>
      <c r="P28">
        <f>VLOOKUP(A28,BIIB!A$2:G$55,7,0)</f>
        <v>320.60000000000002</v>
      </c>
      <c r="Q28">
        <f>VLOOKUP(A28,BK!A$2:G$55,7,0)</f>
        <v>38.42</v>
      </c>
      <c r="R28">
        <f>VLOOKUP(A28,BMY!A$2:G$55,7,0)</f>
        <v>48.65</v>
      </c>
      <c r="T28">
        <f>VLOOKUP(A28,'C'!A$2:G$55,7,0)</f>
        <v>48.06</v>
      </c>
      <c r="U28">
        <f>VLOOKUP(A28,CAT!A$2:G$55,7,0)</f>
        <v>101.94</v>
      </c>
      <c r="V28">
        <f>VLOOKUP(A28,CL!A$2:G$55,7,0)</f>
        <v>64.45</v>
      </c>
      <c r="W28">
        <f>VLOOKUP(A28,CMCSA!A$2:G$55,7,0)</f>
        <v>52.46</v>
      </c>
      <c r="X28">
        <f>VLOOKUP(A28,COF!A$2:G$55,7,0)</f>
        <v>78.040000000000006</v>
      </c>
      <c r="Y28">
        <f>VLOOKUP(A28,COP!A$2:G$55,7,0)</f>
        <v>79.59</v>
      </c>
      <c r="Z28">
        <f>VLOOKUP(A28,COST!A$2:G$55,7,0)</f>
        <v>117.8</v>
      </c>
      <c r="AA28">
        <f>VLOOKUP(A28,CSCO!A$2:G$55,7,0)</f>
        <v>24.86</v>
      </c>
      <c r="AB28">
        <f>VLOOKUP(A28,CVS!A$2:G$55,7,0)</f>
        <v>76.11</v>
      </c>
      <c r="AC28">
        <f>VLOOKUP(A28,CVX!A$2:G$55,7,0)</f>
        <v>124.59</v>
      </c>
      <c r="AD28">
        <f>VLOOKUP(A28,DD!A$2:G$55,7,0)</f>
        <v>63.94</v>
      </c>
      <c r="AE28">
        <f>VLOOKUP(A28,DIS!A$2:G$55,7,0)</f>
        <v>85.51</v>
      </c>
      <c r="AF28">
        <f>VLOOKUP(A28,DOW!A$2:G$55,7,0)</f>
        <v>50.96</v>
      </c>
      <c r="AG28">
        <f>VLOOKUP(A28,DVN!A$2:G$55,7,0)</f>
        <v>73.22</v>
      </c>
      <c r="AH28">
        <f>VLOOKUP(A28,EBAY!A$2:G$55,7,0)</f>
        <v>53.56</v>
      </c>
      <c r="AI28">
        <f>VLOOKUP(A28,EMC!A$2:G$55,7,0)</f>
        <v>28.8</v>
      </c>
      <c r="AJ28">
        <f>VLOOKUP(A28,EMR!A$2:G$55,7,0)</f>
        <v>61.37</v>
      </c>
      <c r="AK28">
        <f>VLOOKUP(A28,EXC!A$2:G$55,7,0)</f>
        <v>31.25</v>
      </c>
      <c r="AL28">
        <f>VLOOKUP(A28,F!A$2:G$55,7,0)</f>
        <v>16.82</v>
      </c>
      <c r="AM28">
        <f>VLOOKUP(A28,FB!A$2:G$55,7,0)</f>
        <v>73.17</v>
      </c>
      <c r="AN28">
        <f>VLOOKUP(A28,FCX!A$2:G$55,7,0)</f>
        <v>36.15</v>
      </c>
      <c r="AO28">
        <f>VLOOKUP(A28,FDX!A$2:G$55,7,0)</f>
        <v>145.83000000000001</v>
      </c>
      <c r="AP28">
        <f>VLOOKUP(A28,FOXA!A$2:G$55,7,0)</f>
        <v>33.840000000000003</v>
      </c>
      <c r="AQ28">
        <f>VLOOKUP(A28,GD!A$2:G$55,7,0)</f>
        <v>114.39</v>
      </c>
      <c r="AR28">
        <f>VLOOKUP(A28,GE!A$2:G$55,7,0)</f>
        <v>25.29</v>
      </c>
      <c r="AS28">
        <f>VLOOKUP(A28,GILD!A$2:G$55,7,0)</f>
        <v>92.05</v>
      </c>
      <c r="AT28">
        <f>VLOOKUP(A28,GM!A$2:G$55,7,0)</f>
        <v>32.82</v>
      </c>
      <c r="AU28">
        <f>VLOOKUP(A28,GOOG!A$2:G$55,7,0)</f>
        <v>563.36</v>
      </c>
      <c r="AV28">
        <f>VLOOKUP(A28,GOOGL!A$2:G$55,7,0)</f>
        <v>571.80999999999995</v>
      </c>
      <c r="AW28">
        <f>VLOOKUP(A28,GS!A$2:G$55,7,0)</f>
        <v>168.58</v>
      </c>
      <c r="AX28">
        <f>VLOOKUP(A28,HAL!A$2:G$55,7,0)</f>
        <v>67.22</v>
      </c>
      <c r="AY28">
        <f>VLOOKUP(A28,HD!A$2:G$55,7,0)</f>
        <v>80.069999999999993</v>
      </c>
      <c r="AZ28">
        <f>VLOOKUP(A28,HON!A$2:G$55,7,0)</f>
        <v>90.53</v>
      </c>
      <c r="BA28">
        <f>VLOOKUP(A28,HPQ!A$2:G$55,7,0)</f>
        <v>34.67</v>
      </c>
      <c r="BB28">
        <f>VLOOKUP(A28,IBM!A$2:G$55,7,0)</f>
        <v>184.3</v>
      </c>
      <c r="BC28">
        <f>VLOOKUP(A28,INTC!A$2:G$55,7,0)</f>
        <v>32.68</v>
      </c>
      <c r="BD28">
        <f>VLOOKUP(A28,JNJ!A$2:G$55,7,0)</f>
        <v>99.26</v>
      </c>
      <c r="BE28">
        <f>VLOOKUP(A28,JPM!A$2:G$55,7,0)</f>
        <v>55.91</v>
      </c>
      <c r="BF28">
        <f>VLOOKUP(A28,KO!A$2:G$55,7,0)</f>
        <v>39.07</v>
      </c>
      <c r="BG28">
        <f>VLOOKUP(A28,LLY!A$2:G$55,7,0)</f>
        <v>59.87</v>
      </c>
      <c r="BH28">
        <f>VLOOKUP(A28,LMT!A$2:G$55,7,0)</f>
        <v>161.72</v>
      </c>
      <c r="BI28">
        <f>VLOOKUP(A28,LOW!A$2:G$55,7,0)</f>
        <v>47.92</v>
      </c>
      <c r="BJ28">
        <f>VLOOKUP(A28,MA!A$2:G$55,7,0)</f>
        <v>74.06</v>
      </c>
      <c r="BK28">
        <f>VLOOKUP(A28,MCD!A$2:G$55,7,0)</f>
        <v>92.51</v>
      </c>
      <c r="BL28">
        <f>VLOOKUP(A28,MDLZ!A$2:G$55,7,0)</f>
        <v>34.92</v>
      </c>
      <c r="BM28">
        <f>VLOOKUP(A28,MDT!A$2:G$55,7,0)</f>
        <v>61</v>
      </c>
      <c r="BN28">
        <f>VLOOKUP(A28,MET!A$2:G$55,7,0)</f>
        <v>51.08</v>
      </c>
      <c r="BO28">
        <f>VLOOKUP(A28,MMM!A$2:G$55,7,0)</f>
        <v>138.31</v>
      </c>
      <c r="BP28">
        <f>VLOOKUP(A28,MO!A$2:G$55,7,0)</f>
        <v>40.659999999999997</v>
      </c>
      <c r="BQ28">
        <f>VLOOKUP(A28,MON!A$2:G$55,7,0)</f>
        <v>115.15</v>
      </c>
      <c r="BR28">
        <f>VLOOKUP(A28,MRK!A$2:G$55,7,0)</f>
        <v>55.24</v>
      </c>
      <c r="BS28">
        <f>VLOOKUP(A28,MS!A$2:G$55,7,0)</f>
        <v>31.36</v>
      </c>
      <c r="BT28">
        <f>VLOOKUP(A28,MSFT!A$2:G$55,7,0)</f>
        <v>42.96</v>
      </c>
      <c r="BU28">
        <f>VLOOKUP(A28,NKE!A$2:G$55,7,0)</f>
        <v>76.12</v>
      </c>
      <c r="BV28">
        <f>VLOOKUP(A28,NOV!A$2:G$55,7,0)</f>
        <v>81.180000000000007</v>
      </c>
      <c r="BW28">
        <f>VLOOKUP(A28,NSC!A$2:G$55,7,0)</f>
        <v>100</v>
      </c>
      <c r="BX28">
        <f>VLOOKUP(A28,ORCL!A$2:G$55,7,0)</f>
        <v>39.67</v>
      </c>
      <c r="BY28">
        <f>VLOOKUP(A28,OXY!A$2:G$55,7,0)</f>
        <v>97.59</v>
      </c>
      <c r="BZ28">
        <f>VLOOKUP(A28,PEP!A$2:G$55,7,0)</f>
        <v>89.26</v>
      </c>
      <c r="CA28">
        <f>VLOOKUP(A28,PFE!A$2:G$55,7,0)</f>
        <v>28.04</v>
      </c>
      <c r="CB28">
        <f>VLOOKUP(A28,PG!A$2:G$55,7,0)</f>
        <v>80.14</v>
      </c>
      <c r="CC28">
        <f>VLOOKUP(A28,PM!A$2:G$55,7,0)</f>
        <v>81.75</v>
      </c>
      <c r="CD28">
        <f>VLOOKUP(A28,QCOM!A$2:G$55,7,0)</f>
        <v>72.09</v>
      </c>
      <c r="CE28">
        <f>VLOOKUP(A28,RTN!A$2:G$55,7,0)</f>
        <v>88.9</v>
      </c>
      <c r="CF28">
        <f>VLOOKUP(A28,SBUX!A$2:G$55,7,0)</f>
        <v>76.709999999999994</v>
      </c>
      <c r="CG28">
        <f>VLOOKUP(A28,SLB!A$2:G$55,7,0)</f>
        <v>106.62</v>
      </c>
      <c r="CH28">
        <f>VLOOKUP(A28,SO!A$2:G$55,7,0)</f>
        <v>42.62</v>
      </c>
      <c r="CI28">
        <f>VLOOKUP(A28,SPG!A$2:G$55,7,0)</f>
        <v>163.98</v>
      </c>
      <c r="CJ28">
        <f>VLOOKUP(A28,T!A$2:G$55,7,0)</f>
        <v>34.21</v>
      </c>
      <c r="CK28">
        <f>VLOOKUP(A28,TGT!A$2:G$55,7,0)</f>
        <v>56.99</v>
      </c>
      <c r="CL28">
        <f>VLOOKUP(A28,TWX!A$2:G$55,7,0)</f>
        <v>71.760000000000005</v>
      </c>
      <c r="CM28">
        <f>VLOOKUP(A28,TXN!A$2:G$55,7,0)</f>
        <v>45.67</v>
      </c>
      <c r="CN28">
        <f>VLOOKUP(A28,UNH!A$2:G$55,7,0)</f>
        <v>78.92</v>
      </c>
      <c r="CO28">
        <f>VLOOKUP(A28,UNP!A$2:G$55,7,0)</f>
        <v>97.02</v>
      </c>
      <c r="CP28">
        <f>VLOOKUP(A28,UPS!A$2:G$55,7,0)</f>
        <v>94.39</v>
      </c>
      <c r="CQ28">
        <f>VLOOKUP(A28,USB!A$2:G$55,7,0)</f>
        <v>40.44</v>
      </c>
      <c r="CR28">
        <f>VLOOKUP(A28,UTX!A$2:G$55,7,0)</f>
        <v>103.63</v>
      </c>
      <c r="CS28">
        <f>VLOOKUP(A28,V!A$2:G$55,7,0)</f>
        <v>208.64</v>
      </c>
      <c r="CT28">
        <f>VLOOKUP(A28,VZ!A$2:G$55,7,0)</f>
        <v>48.65</v>
      </c>
      <c r="CU28">
        <f>VLOOKUP(A28,WAG!A$2:G$55,7,0)</f>
        <v>60.54</v>
      </c>
      <c r="CV28">
        <f>VLOOKUP(A28,WFC!A$2:G$55,7,0)</f>
        <v>49.7</v>
      </c>
      <c r="CW28">
        <f>VLOOKUP(A28,WMT!A$2:G$55,7,0)</f>
        <v>73.95</v>
      </c>
    </row>
    <row r="29" spans="1:101" x14ac:dyDescent="0.25">
      <c r="A29" s="34">
        <v>41859</v>
      </c>
      <c r="B29" s="36">
        <v>94.74</v>
      </c>
      <c r="C29">
        <f>VLOOKUP(A29,ABBV!A$2:G$55,7,0)</f>
        <v>52.82</v>
      </c>
      <c r="D29">
        <f>VLOOKUP(A29,ABT!A$2:G$55,7,0)</f>
        <v>41.69</v>
      </c>
      <c r="E29">
        <f>VLOOKUP(A29,ACN!A$2:G$55,7,0)</f>
        <v>78.87</v>
      </c>
      <c r="F29">
        <f>VLOOKUP(A29,AIG!A$2:G$55,7,0)</f>
        <v>52.33</v>
      </c>
      <c r="G29">
        <f>VLOOKUP(A29,ALL!A$2:G$55,7,0)</f>
        <v>59.4</v>
      </c>
      <c r="H29">
        <f>VLOOKUP(A29,AMGN!A$2:G$55,7,0)</f>
        <v>126.34</v>
      </c>
      <c r="I29">
        <f>VLOOKUP(A29,AMZN!A$2:G$55,7,0)</f>
        <v>316.8</v>
      </c>
      <c r="J29">
        <f>VLOOKUP(A29,APA!A$2:G$55,7,0)</f>
        <v>100.38</v>
      </c>
      <c r="K29">
        <f>VLOOKUP(A29,APC!A$2:G$55,7,0)</f>
        <v>108.96</v>
      </c>
      <c r="L29">
        <f>VLOOKUP(A29,AXP!A$2:G$55,7,0)</f>
        <v>87.47</v>
      </c>
      <c r="M29">
        <f>VLOOKUP(A29,BA!A$2:G$55,7,0)</f>
        <v>120.63</v>
      </c>
      <c r="N29">
        <f>VLOOKUP(A29,BAC!A$2:G$55,7,0)</f>
        <v>15.15</v>
      </c>
      <c r="O29">
        <f>VLOOKUP(A29,BAX!A$2:G$55,7,0)</f>
        <v>73.38</v>
      </c>
      <c r="P29">
        <f>VLOOKUP(A29,BIIB!A$2:G$55,7,0)</f>
        <v>324.05</v>
      </c>
      <c r="Q29">
        <f>VLOOKUP(A29,BK!A$2:G$55,7,0)</f>
        <v>38.5</v>
      </c>
      <c r="R29">
        <f>VLOOKUP(A29,BMY!A$2:G$55,7,0)</f>
        <v>49.19</v>
      </c>
      <c r="T29">
        <f>VLOOKUP(A29,'C'!A$2:G$55,7,0)</f>
        <v>48.45</v>
      </c>
      <c r="U29">
        <f>VLOOKUP(A29,CAT!A$2:G$55,7,0)</f>
        <v>103.28</v>
      </c>
      <c r="V29">
        <f>VLOOKUP(A29,CL!A$2:G$55,7,0)</f>
        <v>65.180000000000007</v>
      </c>
      <c r="W29">
        <f>VLOOKUP(A29,CMCSA!A$2:G$55,7,0)</f>
        <v>53.28</v>
      </c>
      <c r="X29">
        <f>VLOOKUP(A29,COF!A$2:G$55,7,0)</f>
        <v>78.88</v>
      </c>
      <c r="Y29">
        <f>VLOOKUP(A29,COP!A$2:G$55,7,0)</f>
        <v>81.33</v>
      </c>
      <c r="Z29">
        <f>VLOOKUP(A29,COST!A$2:G$55,7,0)</f>
        <v>119.16</v>
      </c>
      <c r="AA29">
        <f>VLOOKUP(A29,CSCO!A$2:G$55,7,0)</f>
        <v>25.03</v>
      </c>
      <c r="AB29">
        <f>VLOOKUP(A29,CVS!A$2:G$55,7,0)</f>
        <v>77.81</v>
      </c>
      <c r="AC29">
        <f>VLOOKUP(A29,CVX!A$2:G$55,7,0)</f>
        <v>126.78</v>
      </c>
      <c r="AD29">
        <f>VLOOKUP(A29,DD!A$2:G$55,7,0)</f>
        <v>64.569999999999993</v>
      </c>
      <c r="AE29">
        <f>VLOOKUP(A29,DIS!A$2:G$55,7,0)</f>
        <v>86.85</v>
      </c>
      <c r="AF29">
        <f>VLOOKUP(A29,DOW!A$2:G$55,7,0)</f>
        <v>51.92</v>
      </c>
      <c r="AG29">
        <f>VLOOKUP(A29,DVN!A$2:G$55,7,0)</f>
        <v>74.13</v>
      </c>
      <c r="AH29">
        <f>VLOOKUP(A29,EBAY!A$2:G$55,7,0)</f>
        <v>54.09</v>
      </c>
      <c r="AI29">
        <f>VLOOKUP(A29,EMC!A$2:G$55,7,0)</f>
        <v>28.97</v>
      </c>
      <c r="AJ29">
        <f>VLOOKUP(A29,EMR!A$2:G$55,7,0)</f>
        <v>62.37</v>
      </c>
      <c r="AK29">
        <f>VLOOKUP(A29,EXC!A$2:G$55,7,0)</f>
        <v>31.81</v>
      </c>
      <c r="AL29">
        <f>VLOOKUP(A29,F!A$2:G$55,7,0)</f>
        <v>17.09</v>
      </c>
      <c r="AM29">
        <f>VLOOKUP(A29,FB!A$2:G$55,7,0)</f>
        <v>73.06</v>
      </c>
      <c r="AN29">
        <f>VLOOKUP(A29,FCX!A$2:G$55,7,0)</f>
        <v>36.49</v>
      </c>
      <c r="AO29">
        <f>VLOOKUP(A29,FDX!A$2:G$55,7,0)</f>
        <v>147.66</v>
      </c>
      <c r="AP29">
        <f>VLOOKUP(A29,FOXA!A$2:G$55,7,0)</f>
        <v>34.25</v>
      </c>
      <c r="AQ29">
        <f>VLOOKUP(A29,GD!A$2:G$55,7,0)</f>
        <v>117.16</v>
      </c>
      <c r="AR29">
        <f>VLOOKUP(A29,GE!A$2:G$55,7,0)</f>
        <v>25.45</v>
      </c>
      <c r="AS29">
        <f>VLOOKUP(A29,GILD!A$2:G$55,7,0)</f>
        <v>92.45</v>
      </c>
      <c r="AT29">
        <f>VLOOKUP(A29,GM!A$2:G$55,7,0)</f>
        <v>33.24</v>
      </c>
      <c r="AU29">
        <f>VLOOKUP(A29,GOOG!A$2:G$55,7,0)</f>
        <v>568.77</v>
      </c>
      <c r="AV29">
        <f>VLOOKUP(A29,GOOGL!A$2:G$55,7,0)</f>
        <v>577.94000000000005</v>
      </c>
      <c r="AW29">
        <f>VLOOKUP(A29,GS!A$2:G$55,7,0)</f>
        <v>171.73</v>
      </c>
      <c r="AX29">
        <f>VLOOKUP(A29,HAL!A$2:G$55,7,0)</f>
        <v>68.16</v>
      </c>
      <c r="AY29">
        <f>VLOOKUP(A29,HD!A$2:G$55,7,0)</f>
        <v>82.02</v>
      </c>
      <c r="AZ29">
        <f>VLOOKUP(A29,HON!A$2:G$55,7,0)</f>
        <v>92.27</v>
      </c>
      <c r="BA29">
        <f>VLOOKUP(A29,HPQ!A$2:G$55,7,0)</f>
        <v>35.020000000000003</v>
      </c>
      <c r="BB29">
        <f>VLOOKUP(A29,IBM!A$2:G$55,7,0)</f>
        <v>186.63</v>
      </c>
      <c r="BC29">
        <f>VLOOKUP(A29,INTC!A$2:G$55,7,0)</f>
        <v>32.6</v>
      </c>
      <c r="BD29">
        <f>VLOOKUP(A29,JNJ!A$2:G$55,7,0)</f>
        <v>100.4</v>
      </c>
      <c r="BE29">
        <f>VLOOKUP(A29,JPM!A$2:G$55,7,0)</f>
        <v>56.34</v>
      </c>
      <c r="BF29">
        <f>VLOOKUP(A29,KO!A$2:G$55,7,0)</f>
        <v>39.159999999999997</v>
      </c>
      <c r="BG29">
        <f>VLOOKUP(A29,LLY!A$2:G$55,7,0)</f>
        <v>60.49</v>
      </c>
      <c r="BH29">
        <f>VLOOKUP(A29,LMT!A$2:G$55,7,0)</f>
        <v>164.55</v>
      </c>
      <c r="BI29">
        <f>VLOOKUP(A29,LOW!A$2:G$55,7,0)</f>
        <v>49.72</v>
      </c>
      <c r="BJ29">
        <f>VLOOKUP(A29,MA!A$2:G$55,7,0)</f>
        <v>75.17</v>
      </c>
      <c r="BK29">
        <f>VLOOKUP(A29,MCD!A$2:G$55,7,0)</f>
        <v>92.75</v>
      </c>
      <c r="BL29">
        <f>VLOOKUP(A29,MDLZ!A$2:G$55,7,0)</f>
        <v>35.33</v>
      </c>
      <c r="BM29">
        <f>VLOOKUP(A29,MDT!A$2:G$55,7,0)</f>
        <v>62.15</v>
      </c>
      <c r="BN29">
        <f>VLOOKUP(A29,MET!A$2:G$55,7,0)</f>
        <v>51.7</v>
      </c>
      <c r="BO29">
        <f>VLOOKUP(A29,MMM!A$2:G$55,7,0)</f>
        <v>140.02000000000001</v>
      </c>
      <c r="BP29">
        <f>VLOOKUP(A29,MO!A$2:G$55,7,0)</f>
        <v>41.14</v>
      </c>
      <c r="BQ29">
        <f>VLOOKUP(A29,MON!A$2:G$55,7,0)</f>
        <v>115.47</v>
      </c>
      <c r="BR29">
        <f>VLOOKUP(A29,MRK!A$2:G$55,7,0)</f>
        <v>56.14</v>
      </c>
      <c r="BS29">
        <f>VLOOKUP(A29,MS!A$2:G$55,7,0)</f>
        <v>31.95</v>
      </c>
      <c r="BT29">
        <f>VLOOKUP(A29,MSFT!A$2:G$55,7,0)</f>
        <v>42.93</v>
      </c>
      <c r="BU29">
        <f>VLOOKUP(A29,NKE!A$2:G$55,7,0)</f>
        <v>76.83</v>
      </c>
      <c r="BV29">
        <f>VLOOKUP(A29,NOV!A$2:G$55,7,0)</f>
        <v>81.849999999999994</v>
      </c>
      <c r="BW29">
        <f>VLOOKUP(A29,NSC!A$2:G$55,7,0)</f>
        <v>101.37</v>
      </c>
      <c r="BX29">
        <f>VLOOKUP(A29,ORCL!A$2:G$55,7,0)</f>
        <v>39.94</v>
      </c>
      <c r="BY29">
        <f>VLOOKUP(A29,OXY!A$2:G$55,7,0)</f>
        <v>99.09</v>
      </c>
      <c r="BZ29">
        <f>VLOOKUP(A29,PEP!A$2:G$55,7,0)</f>
        <v>89.65</v>
      </c>
      <c r="CA29">
        <f>VLOOKUP(A29,PFE!A$2:G$55,7,0)</f>
        <v>28.34</v>
      </c>
      <c r="CB29">
        <f>VLOOKUP(A29,PG!A$2:G$55,7,0)</f>
        <v>80.95</v>
      </c>
      <c r="CC29">
        <f>VLOOKUP(A29,PM!A$2:G$55,7,0)</f>
        <v>82.87</v>
      </c>
      <c r="CD29">
        <f>VLOOKUP(A29,QCOM!A$2:G$55,7,0)</f>
        <v>73.47</v>
      </c>
      <c r="CE29">
        <f>VLOOKUP(A29,RTN!A$2:G$55,7,0)</f>
        <v>91.06</v>
      </c>
      <c r="CF29">
        <f>VLOOKUP(A29,SBUX!A$2:G$55,7,0)</f>
        <v>77.62</v>
      </c>
      <c r="CG29">
        <f>VLOOKUP(A29,SLB!A$2:G$55,7,0)</f>
        <v>107.99</v>
      </c>
      <c r="CH29">
        <f>VLOOKUP(A29,SO!A$2:G$55,7,0)</f>
        <v>43.53</v>
      </c>
      <c r="CI29">
        <f>VLOOKUP(A29,SPG!A$2:G$55,7,0)</f>
        <v>164.99</v>
      </c>
      <c r="CJ29">
        <f>VLOOKUP(A29,T!A$2:G$55,7,0)</f>
        <v>34.47</v>
      </c>
      <c r="CK29">
        <f>VLOOKUP(A29,TGT!A$2:G$55,7,0)</f>
        <v>58.02</v>
      </c>
      <c r="CL29">
        <f>VLOOKUP(A29,TWX!A$2:G$55,7,0)</f>
        <v>72.930000000000007</v>
      </c>
      <c r="CM29">
        <f>VLOOKUP(A29,TXN!A$2:G$55,7,0)</f>
        <v>46.33</v>
      </c>
      <c r="CN29">
        <f>VLOOKUP(A29,UNH!A$2:G$55,7,0)</f>
        <v>79.78</v>
      </c>
      <c r="CO29">
        <f>VLOOKUP(A29,UNP!A$2:G$55,7,0)</f>
        <v>98.17</v>
      </c>
      <c r="CP29">
        <f>VLOOKUP(A29,UPS!A$2:G$55,7,0)</f>
        <v>95.27</v>
      </c>
      <c r="CQ29">
        <f>VLOOKUP(A29,USB!A$2:G$55,7,0)</f>
        <v>40.94</v>
      </c>
      <c r="CR29">
        <f>VLOOKUP(A29,UTX!A$2:G$55,7,0)</f>
        <v>105.36</v>
      </c>
      <c r="CS29">
        <f>VLOOKUP(A29,V!A$2:G$55,7,0)</f>
        <v>210.06</v>
      </c>
      <c r="CT29">
        <f>VLOOKUP(A29,VZ!A$2:G$55,7,0)</f>
        <v>48.7</v>
      </c>
      <c r="CU29">
        <f>VLOOKUP(A29,WAG!A$2:G$55,7,0)</f>
        <v>60.37</v>
      </c>
      <c r="CV29">
        <f>VLOOKUP(A29,WFC!A$2:G$55,7,0)</f>
        <v>50</v>
      </c>
      <c r="CW29">
        <f>VLOOKUP(A29,WMT!A$2:G$55,7,0)</f>
        <v>74.67</v>
      </c>
    </row>
    <row r="30" spans="1:101" x14ac:dyDescent="0.25">
      <c r="A30" s="34">
        <v>41862</v>
      </c>
      <c r="B30" s="36">
        <v>95.99</v>
      </c>
      <c r="C30">
        <f>VLOOKUP(A30,ABBV!A$2:G$55,7,0)</f>
        <v>53.31</v>
      </c>
      <c r="D30">
        <f>VLOOKUP(A30,ABT!A$2:G$55,7,0)</f>
        <v>42.05</v>
      </c>
      <c r="E30">
        <f>VLOOKUP(A30,ACN!A$2:G$55,7,0)</f>
        <v>78.959999999999994</v>
      </c>
      <c r="F30">
        <f>VLOOKUP(A30,AIG!A$2:G$55,7,0)</f>
        <v>52.78</v>
      </c>
      <c r="G30">
        <f>VLOOKUP(A30,ALL!A$2:G$55,7,0)</f>
        <v>59.29</v>
      </c>
      <c r="H30">
        <f>VLOOKUP(A30,AMGN!A$2:G$55,7,0)</f>
        <v>126.71</v>
      </c>
      <c r="I30">
        <f>VLOOKUP(A30,AMZN!A$2:G$55,7,0)</f>
        <v>318.33</v>
      </c>
      <c r="J30">
        <f>VLOOKUP(A30,APA!A$2:G$55,7,0)</f>
        <v>99.87</v>
      </c>
      <c r="K30">
        <f>VLOOKUP(A30,APC!A$2:G$55,7,0)</f>
        <v>108.24</v>
      </c>
      <c r="L30">
        <f>VLOOKUP(A30,AXP!A$2:G$55,7,0)</f>
        <v>86.95</v>
      </c>
      <c r="M30">
        <f>VLOOKUP(A30,BA!A$2:G$55,7,0)</f>
        <v>120.8</v>
      </c>
      <c r="N30">
        <f>VLOOKUP(A30,BAC!A$2:G$55,7,0)</f>
        <v>15.17</v>
      </c>
      <c r="O30">
        <f>VLOOKUP(A30,BAX!A$2:G$55,7,0)</f>
        <v>73.680000000000007</v>
      </c>
      <c r="P30">
        <f>VLOOKUP(A30,BIIB!A$2:G$55,7,0)</f>
        <v>320.33999999999997</v>
      </c>
      <c r="Q30">
        <f>VLOOKUP(A30,BK!A$2:G$55,7,0)</f>
        <v>38.44</v>
      </c>
      <c r="R30">
        <f>VLOOKUP(A30,BMY!A$2:G$55,7,0)</f>
        <v>49.09</v>
      </c>
      <c r="T30">
        <f>VLOOKUP(A30,'C'!A$2:G$55,7,0)</f>
        <v>48.39</v>
      </c>
      <c r="U30">
        <f>VLOOKUP(A30,CAT!A$2:G$55,7,0)</f>
        <v>104.5</v>
      </c>
      <c r="V30">
        <f>VLOOKUP(A30,CL!A$2:G$55,7,0)</f>
        <v>65.06</v>
      </c>
      <c r="W30">
        <f>VLOOKUP(A30,CMCSA!A$2:G$55,7,0)</f>
        <v>53.53</v>
      </c>
      <c r="X30">
        <f>VLOOKUP(A30,COF!A$2:G$55,7,0)</f>
        <v>78.709999999999994</v>
      </c>
      <c r="Y30">
        <f>VLOOKUP(A30,COP!A$2:G$55,7,0)</f>
        <v>80.8</v>
      </c>
      <c r="Z30">
        <f>VLOOKUP(A30,COST!A$2:G$55,7,0)</f>
        <v>119.18</v>
      </c>
      <c r="AA30">
        <f>VLOOKUP(A30,CSCO!A$2:G$55,7,0)</f>
        <v>25.23</v>
      </c>
      <c r="AB30">
        <f>VLOOKUP(A30,CVS!A$2:G$55,7,0)</f>
        <v>78.36</v>
      </c>
      <c r="AC30">
        <f>VLOOKUP(A30,CVX!A$2:G$55,7,0)</f>
        <v>126.63</v>
      </c>
      <c r="AD30">
        <f>VLOOKUP(A30,DD!A$2:G$55,7,0)</f>
        <v>64.56</v>
      </c>
      <c r="AE30">
        <f>VLOOKUP(A30,DIS!A$2:G$55,7,0)</f>
        <v>87.5</v>
      </c>
      <c r="AF30">
        <f>VLOOKUP(A30,DOW!A$2:G$55,7,0)</f>
        <v>51.44</v>
      </c>
      <c r="AG30">
        <f>VLOOKUP(A30,DVN!A$2:G$55,7,0)</f>
        <v>73.95</v>
      </c>
      <c r="AH30">
        <f>VLOOKUP(A30,EBAY!A$2:G$55,7,0)</f>
        <v>53.88</v>
      </c>
      <c r="AI30">
        <f>VLOOKUP(A30,EMC!A$2:G$55,7,0)</f>
        <v>29.24</v>
      </c>
      <c r="AJ30">
        <f>VLOOKUP(A30,EMR!A$2:G$55,7,0)</f>
        <v>62.15</v>
      </c>
      <c r="AK30">
        <f>VLOOKUP(A30,EXC!A$2:G$55,7,0)</f>
        <v>31.8</v>
      </c>
      <c r="AL30">
        <f>VLOOKUP(A30,F!A$2:G$55,7,0)</f>
        <v>17.170000000000002</v>
      </c>
      <c r="AM30">
        <f>VLOOKUP(A30,FB!A$2:G$55,7,0)</f>
        <v>73.44</v>
      </c>
      <c r="AN30">
        <f>VLOOKUP(A30,FCX!A$2:G$55,7,0)</f>
        <v>36.9</v>
      </c>
      <c r="AO30">
        <f>VLOOKUP(A30,FDX!A$2:G$55,7,0)</f>
        <v>148.09</v>
      </c>
      <c r="AP30">
        <f>VLOOKUP(A30,FOXA!A$2:G$55,7,0)</f>
        <v>34.65</v>
      </c>
      <c r="AQ30">
        <f>VLOOKUP(A30,GD!A$2:G$55,7,0)</f>
        <v>117.82</v>
      </c>
      <c r="AR30">
        <f>VLOOKUP(A30,GE!A$2:G$55,7,0)</f>
        <v>25.57</v>
      </c>
      <c r="AS30">
        <f>VLOOKUP(A30,GILD!A$2:G$55,7,0)</f>
        <v>92.92</v>
      </c>
      <c r="AT30">
        <f>VLOOKUP(A30,GM!A$2:G$55,7,0)</f>
        <v>33.51</v>
      </c>
      <c r="AU30">
        <f>VLOOKUP(A30,GOOG!A$2:G$55,7,0)</f>
        <v>567.88</v>
      </c>
      <c r="AV30">
        <f>VLOOKUP(A30,GOOGL!A$2:G$55,7,0)</f>
        <v>577.25</v>
      </c>
      <c r="AW30">
        <f>VLOOKUP(A30,GS!A$2:G$55,7,0)</f>
        <v>171.93</v>
      </c>
      <c r="AX30">
        <f>VLOOKUP(A30,HAL!A$2:G$55,7,0)</f>
        <v>69.27</v>
      </c>
      <c r="AY30">
        <f>VLOOKUP(A30,HD!A$2:G$55,7,0)</f>
        <v>82.46</v>
      </c>
      <c r="AZ30">
        <f>VLOOKUP(A30,HON!A$2:G$55,7,0)</f>
        <v>92.72</v>
      </c>
      <c r="BA30">
        <f>VLOOKUP(A30,HPQ!A$2:G$55,7,0)</f>
        <v>35.049999999999997</v>
      </c>
      <c r="BB30">
        <f>VLOOKUP(A30,IBM!A$2:G$55,7,0)</f>
        <v>187.47</v>
      </c>
      <c r="BC30">
        <f>VLOOKUP(A30,INTC!A$2:G$55,7,0)</f>
        <v>33.020000000000003</v>
      </c>
      <c r="BD30">
        <f>VLOOKUP(A30,JNJ!A$2:G$55,7,0)</f>
        <v>100.48</v>
      </c>
      <c r="BE30">
        <f>VLOOKUP(A30,JPM!A$2:G$55,7,0)</f>
        <v>56.32</v>
      </c>
      <c r="BF30">
        <f>VLOOKUP(A30,KO!A$2:G$55,7,0)</f>
        <v>39.28</v>
      </c>
      <c r="BG30">
        <f>VLOOKUP(A30,LLY!A$2:G$55,7,0)</f>
        <v>60.59</v>
      </c>
      <c r="BH30">
        <f>VLOOKUP(A30,LMT!A$2:G$55,7,0)</f>
        <v>164.9</v>
      </c>
      <c r="BI30">
        <f>VLOOKUP(A30,LOW!A$2:G$55,7,0)</f>
        <v>49.86</v>
      </c>
      <c r="BJ30">
        <f>VLOOKUP(A30,MA!A$2:G$55,7,0)</f>
        <v>75.63</v>
      </c>
      <c r="BK30">
        <f>VLOOKUP(A30,MCD!A$2:G$55,7,0)</f>
        <v>92.73</v>
      </c>
      <c r="BL30">
        <f>VLOOKUP(A30,MDLZ!A$2:G$55,7,0)</f>
        <v>35.61</v>
      </c>
      <c r="BM30">
        <f>VLOOKUP(A30,MDT!A$2:G$55,7,0)</f>
        <v>62.07</v>
      </c>
      <c r="BN30">
        <f>VLOOKUP(A30,MET!A$2:G$55,7,0)</f>
        <v>51.75</v>
      </c>
      <c r="BO30">
        <f>VLOOKUP(A30,MMM!A$2:G$55,7,0)</f>
        <v>139.75</v>
      </c>
      <c r="BP30">
        <f>VLOOKUP(A30,MO!A$2:G$55,7,0)</f>
        <v>41.51</v>
      </c>
      <c r="BQ30">
        <f>VLOOKUP(A30,MON!A$2:G$55,7,0)</f>
        <v>115.42</v>
      </c>
      <c r="BR30">
        <f>VLOOKUP(A30,MRK!A$2:G$55,7,0)</f>
        <v>56.25</v>
      </c>
      <c r="BS30">
        <f>VLOOKUP(A30,MS!A$2:G$55,7,0)</f>
        <v>32.08</v>
      </c>
      <c r="BT30">
        <f>VLOOKUP(A30,MSFT!A$2:G$55,7,0)</f>
        <v>42.93</v>
      </c>
      <c r="BU30">
        <f>VLOOKUP(A30,NKE!A$2:G$55,7,0)</f>
        <v>76.83</v>
      </c>
      <c r="BV30">
        <f>VLOOKUP(A30,NOV!A$2:G$55,7,0)</f>
        <v>81.510000000000005</v>
      </c>
      <c r="BW30">
        <f>VLOOKUP(A30,NSC!A$2:G$55,7,0)</f>
        <v>102.84</v>
      </c>
      <c r="BX30">
        <f>VLOOKUP(A30,ORCL!A$2:G$55,7,0)</f>
        <v>39.92</v>
      </c>
      <c r="BY30">
        <f>VLOOKUP(A30,OXY!A$2:G$55,7,0)</f>
        <v>99.06</v>
      </c>
      <c r="BZ30">
        <f>VLOOKUP(A30,PEP!A$2:G$55,7,0)</f>
        <v>91.14</v>
      </c>
      <c r="CA30">
        <f>VLOOKUP(A30,PFE!A$2:G$55,7,0)</f>
        <v>28.25</v>
      </c>
      <c r="CB30">
        <f>VLOOKUP(A30,PG!A$2:G$55,7,0)</f>
        <v>81.48</v>
      </c>
      <c r="CC30">
        <f>VLOOKUP(A30,PM!A$2:G$55,7,0)</f>
        <v>83.37</v>
      </c>
      <c r="CD30">
        <f>VLOOKUP(A30,QCOM!A$2:G$55,7,0)</f>
        <v>74.319999999999993</v>
      </c>
      <c r="CE30">
        <f>VLOOKUP(A30,RTN!A$2:G$55,7,0)</f>
        <v>90.87</v>
      </c>
      <c r="CF30">
        <f>VLOOKUP(A30,SBUX!A$2:G$55,7,0)</f>
        <v>77.87</v>
      </c>
      <c r="CG30">
        <f>VLOOKUP(A30,SLB!A$2:G$55,7,0)</f>
        <v>108.81</v>
      </c>
      <c r="CH30">
        <f>VLOOKUP(A30,SO!A$2:G$55,7,0)</f>
        <v>43.06</v>
      </c>
      <c r="CI30">
        <f>VLOOKUP(A30,SPG!A$2:G$55,7,0)</f>
        <v>166.73</v>
      </c>
      <c r="CJ30">
        <f>VLOOKUP(A30,T!A$2:G$55,7,0)</f>
        <v>34.47</v>
      </c>
      <c r="CK30">
        <f>VLOOKUP(A30,TGT!A$2:G$55,7,0)</f>
        <v>57.84</v>
      </c>
      <c r="CL30">
        <f>VLOOKUP(A30,TWX!A$2:G$55,7,0)</f>
        <v>73.73</v>
      </c>
      <c r="CM30">
        <f>VLOOKUP(A30,TXN!A$2:G$55,7,0)</f>
        <v>46.5</v>
      </c>
      <c r="CN30">
        <f>VLOOKUP(A30,UNH!A$2:G$55,7,0)</f>
        <v>79.53</v>
      </c>
      <c r="CO30">
        <f>VLOOKUP(A30,UNP!A$2:G$55,7,0)</f>
        <v>99.1</v>
      </c>
      <c r="CP30">
        <f>VLOOKUP(A30,UPS!A$2:G$55,7,0)</f>
        <v>95.4</v>
      </c>
      <c r="CQ30">
        <f>VLOOKUP(A30,USB!A$2:G$55,7,0)</f>
        <v>40.72</v>
      </c>
      <c r="CR30">
        <f>VLOOKUP(A30,UTX!A$2:G$55,7,0)</f>
        <v>105.13</v>
      </c>
      <c r="CS30">
        <f>VLOOKUP(A30,V!A$2:G$55,7,0)</f>
        <v>210.18</v>
      </c>
      <c r="CT30">
        <f>VLOOKUP(A30,VZ!A$2:G$55,7,0)</f>
        <v>48.67</v>
      </c>
      <c r="CU30">
        <f>VLOOKUP(A30,WAG!A$2:G$55,7,0)</f>
        <v>61.65</v>
      </c>
      <c r="CV30">
        <f>VLOOKUP(A30,WFC!A$2:G$55,7,0)</f>
        <v>49.89</v>
      </c>
      <c r="CW30">
        <f>VLOOKUP(A30,WMT!A$2:G$55,7,0)</f>
        <v>74.36</v>
      </c>
    </row>
    <row r="31" spans="1:101" x14ac:dyDescent="0.25">
      <c r="A31" s="34">
        <v>41863</v>
      </c>
      <c r="B31" s="36">
        <v>95.97</v>
      </c>
      <c r="C31">
        <f>VLOOKUP(A31,ABBV!A$2:G$55,7,0)</f>
        <v>52.84</v>
      </c>
      <c r="D31">
        <f>VLOOKUP(A31,ABT!A$2:G$55,7,0)</f>
        <v>41.57</v>
      </c>
      <c r="E31">
        <f>VLOOKUP(A31,ACN!A$2:G$55,7,0)</f>
        <v>78.569999999999993</v>
      </c>
      <c r="F31">
        <f>VLOOKUP(A31,AIG!A$2:G$55,7,0)</f>
        <v>53.23</v>
      </c>
      <c r="G31">
        <f>VLOOKUP(A31,ALL!A$2:G$55,7,0)</f>
        <v>59.88</v>
      </c>
      <c r="H31">
        <f>VLOOKUP(A31,AMGN!A$2:G$55,7,0)</f>
        <v>126.32</v>
      </c>
      <c r="I31">
        <f>VLOOKUP(A31,AMZN!A$2:G$55,7,0)</f>
        <v>319.32</v>
      </c>
      <c r="J31">
        <f>VLOOKUP(A31,APA!A$2:G$55,7,0)</f>
        <v>98.47</v>
      </c>
      <c r="K31">
        <f>VLOOKUP(A31,APC!A$2:G$55,7,0)</f>
        <v>105.8</v>
      </c>
      <c r="L31">
        <f>VLOOKUP(A31,AXP!A$2:G$55,7,0)</f>
        <v>87.08</v>
      </c>
      <c r="M31">
        <f>VLOOKUP(A31,BA!A$2:G$55,7,0)</f>
        <v>120.47</v>
      </c>
      <c r="N31">
        <f>VLOOKUP(A31,BAC!A$2:G$55,7,0)</f>
        <v>15.16</v>
      </c>
      <c r="O31">
        <f>VLOOKUP(A31,BAX!A$2:G$55,7,0)</f>
        <v>73.75</v>
      </c>
      <c r="P31">
        <f>VLOOKUP(A31,BIIB!A$2:G$55,7,0)</f>
        <v>324.95999999999998</v>
      </c>
      <c r="Q31">
        <f>VLOOKUP(A31,BK!A$2:G$55,7,0)</f>
        <v>38.42</v>
      </c>
      <c r="R31">
        <f>VLOOKUP(A31,BMY!A$2:G$55,7,0)</f>
        <v>48.98</v>
      </c>
      <c r="T31">
        <f>VLOOKUP(A31,'C'!A$2:G$55,7,0)</f>
        <v>48.44</v>
      </c>
      <c r="U31">
        <f>VLOOKUP(A31,CAT!A$2:G$55,7,0)</f>
        <v>104.33</v>
      </c>
      <c r="V31">
        <f>VLOOKUP(A31,CL!A$2:G$55,7,0)</f>
        <v>64.42</v>
      </c>
      <c r="W31">
        <f>VLOOKUP(A31,CMCSA!A$2:G$55,7,0)</f>
        <v>53.58</v>
      </c>
      <c r="X31">
        <f>VLOOKUP(A31,COF!A$2:G$55,7,0)</f>
        <v>79.34</v>
      </c>
      <c r="Y31">
        <f>VLOOKUP(A31,COP!A$2:G$55,7,0)</f>
        <v>80.42</v>
      </c>
      <c r="Z31">
        <f>VLOOKUP(A31,COST!A$2:G$55,7,0)</f>
        <v>119.01</v>
      </c>
      <c r="AA31">
        <f>VLOOKUP(A31,CSCO!A$2:G$55,7,0)</f>
        <v>25.15</v>
      </c>
      <c r="AB31">
        <f>VLOOKUP(A31,CVS!A$2:G$55,7,0)</f>
        <v>78.67</v>
      </c>
      <c r="AC31">
        <f>VLOOKUP(A31,CVX!A$2:G$55,7,0)</f>
        <v>126.02</v>
      </c>
      <c r="AD31">
        <f>VLOOKUP(A31,DD!A$2:G$55,7,0)</f>
        <v>65.02</v>
      </c>
      <c r="AE31">
        <f>VLOOKUP(A31,DIS!A$2:G$55,7,0)</f>
        <v>87.21</v>
      </c>
      <c r="AF31">
        <f>VLOOKUP(A31,DOW!A$2:G$55,7,0)</f>
        <v>51.44</v>
      </c>
      <c r="AG31">
        <f>VLOOKUP(A31,DVN!A$2:G$55,7,0)</f>
        <v>72.760000000000005</v>
      </c>
      <c r="AH31">
        <f>VLOOKUP(A31,EBAY!A$2:G$55,7,0)</f>
        <v>53.43</v>
      </c>
      <c r="AI31">
        <f>VLOOKUP(A31,EMC!A$2:G$55,7,0)</f>
        <v>29.22</v>
      </c>
      <c r="AJ31">
        <f>VLOOKUP(A31,EMR!A$2:G$55,7,0)</f>
        <v>62.24</v>
      </c>
      <c r="AK31">
        <f>VLOOKUP(A31,EXC!A$2:G$55,7,0)</f>
        <v>31.56</v>
      </c>
      <c r="AL31">
        <f>VLOOKUP(A31,F!A$2:G$55,7,0)</f>
        <v>17.21</v>
      </c>
      <c r="AM31">
        <f>VLOOKUP(A31,FB!A$2:G$55,7,0)</f>
        <v>72.83</v>
      </c>
      <c r="AN31">
        <f>VLOOKUP(A31,FCX!A$2:G$55,7,0)</f>
        <v>36.880000000000003</v>
      </c>
      <c r="AO31">
        <f>VLOOKUP(A31,FDX!A$2:G$55,7,0)</f>
        <v>148.24</v>
      </c>
      <c r="AP31">
        <f>VLOOKUP(A31,FOXA!A$2:G$55,7,0)</f>
        <v>34.99</v>
      </c>
      <c r="AQ31">
        <f>VLOOKUP(A31,GD!A$2:G$55,7,0)</f>
        <v>117.22</v>
      </c>
      <c r="AR31">
        <f>VLOOKUP(A31,GE!A$2:G$55,7,0)</f>
        <v>25.4</v>
      </c>
      <c r="AS31">
        <f>VLOOKUP(A31,GILD!A$2:G$55,7,0)</f>
        <v>93.36</v>
      </c>
      <c r="AT31">
        <f>VLOOKUP(A31,GM!A$2:G$55,7,0)</f>
        <v>33.409999999999997</v>
      </c>
      <c r="AU31">
        <f>VLOOKUP(A31,GOOG!A$2:G$55,7,0)</f>
        <v>562.73</v>
      </c>
      <c r="AV31">
        <f>VLOOKUP(A31,GOOGL!A$2:G$55,7,0)</f>
        <v>572.12</v>
      </c>
      <c r="AW31">
        <f>VLOOKUP(A31,GS!A$2:G$55,7,0)</f>
        <v>171.8</v>
      </c>
      <c r="AX31">
        <f>VLOOKUP(A31,HAL!A$2:G$55,7,0)</f>
        <v>68.87</v>
      </c>
      <c r="AY31">
        <f>VLOOKUP(A31,HD!A$2:G$55,7,0)</f>
        <v>82.5</v>
      </c>
      <c r="AZ31">
        <f>VLOOKUP(A31,HON!A$2:G$55,7,0)</f>
        <v>92.47</v>
      </c>
      <c r="BA31">
        <f>VLOOKUP(A31,HPQ!A$2:G$55,7,0)</f>
        <v>34.97</v>
      </c>
      <c r="BB31">
        <f>VLOOKUP(A31,IBM!A$2:G$55,7,0)</f>
        <v>187.34</v>
      </c>
      <c r="BC31">
        <f>VLOOKUP(A31,INTC!A$2:G$55,7,0)</f>
        <v>33.130000000000003</v>
      </c>
      <c r="BD31">
        <f>VLOOKUP(A31,JNJ!A$2:G$55,7,0)</f>
        <v>99.95</v>
      </c>
      <c r="BE31">
        <f>VLOOKUP(A31,JPM!A$2:G$55,7,0)</f>
        <v>56.35</v>
      </c>
      <c r="BF31">
        <f>VLOOKUP(A31,KO!A$2:G$55,7,0)</f>
        <v>39.39</v>
      </c>
      <c r="BG31">
        <f>VLOOKUP(A31,LLY!A$2:G$55,7,0)</f>
        <v>60.88</v>
      </c>
      <c r="BH31">
        <f>VLOOKUP(A31,LMT!A$2:G$55,7,0)</f>
        <v>164.53</v>
      </c>
      <c r="BI31">
        <f>VLOOKUP(A31,LOW!A$2:G$55,7,0)</f>
        <v>49.83</v>
      </c>
      <c r="BJ31">
        <f>VLOOKUP(A31,MA!A$2:G$55,7,0)</f>
        <v>75.63</v>
      </c>
      <c r="BK31">
        <f>VLOOKUP(A31,MCD!A$2:G$55,7,0)</f>
        <v>92.76</v>
      </c>
      <c r="BL31">
        <f>VLOOKUP(A31,MDLZ!A$2:G$55,7,0)</f>
        <v>35.520000000000003</v>
      </c>
      <c r="BM31">
        <f>VLOOKUP(A31,MDT!A$2:G$55,7,0)</f>
        <v>62.21</v>
      </c>
      <c r="BN31">
        <f>VLOOKUP(A31,MET!A$2:G$55,7,0)</f>
        <v>52.16</v>
      </c>
      <c r="BO31">
        <f>VLOOKUP(A31,MMM!A$2:G$55,7,0)</f>
        <v>140.04</v>
      </c>
      <c r="BP31">
        <f>VLOOKUP(A31,MO!A$2:G$55,7,0)</f>
        <v>41.46</v>
      </c>
      <c r="BQ31">
        <f>VLOOKUP(A31,MON!A$2:G$55,7,0)</f>
        <v>115.71</v>
      </c>
      <c r="BR31">
        <f>VLOOKUP(A31,MRK!A$2:G$55,7,0)</f>
        <v>56.62</v>
      </c>
      <c r="BS31">
        <f>VLOOKUP(A31,MS!A$2:G$55,7,0)</f>
        <v>32.01</v>
      </c>
      <c r="BT31">
        <f>VLOOKUP(A31,MSFT!A$2:G$55,7,0)</f>
        <v>43.25</v>
      </c>
      <c r="BU31">
        <f>VLOOKUP(A31,NKE!A$2:G$55,7,0)</f>
        <v>76.5</v>
      </c>
      <c r="BV31">
        <f>VLOOKUP(A31,NOV!A$2:G$55,7,0)</f>
        <v>81.430000000000007</v>
      </c>
      <c r="BW31">
        <f>VLOOKUP(A31,NSC!A$2:G$55,7,0)</f>
        <v>102.45</v>
      </c>
      <c r="BX31">
        <f>VLOOKUP(A31,ORCL!A$2:G$55,7,0)</f>
        <v>39.9</v>
      </c>
      <c r="BY31">
        <f>VLOOKUP(A31,OXY!A$2:G$55,7,0)</f>
        <v>99.1</v>
      </c>
      <c r="BZ31">
        <f>VLOOKUP(A31,PEP!A$2:G$55,7,0)</f>
        <v>90.56</v>
      </c>
      <c r="CA31">
        <f>VLOOKUP(A31,PFE!A$2:G$55,7,0)</f>
        <v>28.08</v>
      </c>
      <c r="CB31">
        <f>VLOOKUP(A31,PG!A$2:G$55,7,0)</f>
        <v>81.42</v>
      </c>
      <c r="CC31">
        <f>VLOOKUP(A31,PM!A$2:G$55,7,0)</f>
        <v>83.2</v>
      </c>
      <c r="CD31">
        <f>VLOOKUP(A31,QCOM!A$2:G$55,7,0)</f>
        <v>73.73</v>
      </c>
      <c r="CE31">
        <f>VLOOKUP(A31,RTN!A$2:G$55,7,0)</f>
        <v>90.84</v>
      </c>
      <c r="CF31">
        <f>VLOOKUP(A31,SBUX!A$2:G$55,7,0)</f>
        <v>77.819999999999993</v>
      </c>
      <c r="CG31">
        <f>VLOOKUP(A31,SLB!A$2:G$55,7,0)</f>
        <v>107.48</v>
      </c>
      <c r="CH31">
        <f>VLOOKUP(A31,SO!A$2:G$55,7,0)</f>
        <v>43.22</v>
      </c>
      <c r="CI31">
        <f>VLOOKUP(A31,SPG!A$2:G$55,7,0)</f>
        <v>165.83</v>
      </c>
      <c r="CJ31">
        <f>VLOOKUP(A31,T!A$2:G$55,7,0)</f>
        <v>34.64</v>
      </c>
      <c r="CK31">
        <f>VLOOKUP(A31,TGT!A$2:G$55,7,0)</f>
        <v>57.94</v>
      </c>
      <c r="CL31">
        <f>VLOOKUP(A31,TWX!A$2:G$55,7,0)</f>
        <v>72.739999999999995</v>
      </c>
      <c r="CM31">
        <f>VLOOKUP(A31,TXN!A$2:G$55,7,0)</f>
        <v>46.67</v>
      </c>
      <c r="CN31">
        <f>VLOOKUP(A31,UNH!A$2:G$55,7,0)</f>
        <v>79.88</v>
      </c>
      <c r="CO31">
        <f>VLOOKUP(A31,UNP!A$2:G$55,7,0)</f>
        <v>99.2</v>
      </c>
      <c r="CP31">
        <f>VLOOKUP(A31,UPS!A$2:G$55,7,0)</f>
        <v>95.74</v>
      </c>
      <c r="CQ31">
        <f>VLOOKUP(A31,USB!A$2:G$55,7,0)</f>
        <v>40.92</v>
      </c>
      <c r="CR31">
        <f>VLOOKUP(A31,UTX!A$2:G$55,7,0)</f>
        <v>104.32</v>
      </c>
      <c r="CS31">
        <f>VLOOKUP(A31,V!A$2:G$55,7,0)</f>
        <v>209.9</v>
      </c>
      <c r="CT31">
        <f>VLOOKUP(A31,VZ!A$2:G$55,7,0)</f>
        <v>48.84</v>
      </c>
      <c r="CU31">
        <f>VLOOKUP(A31,WAG!A$2:G$55,7,0)</f>
        <v>61.82</v>
      </c>
      <c r="CV31">
        <f>VLOOKUP(A31,WFC!A$2:G$55,7,0)</f>
        <v>49.78</v>
      </c>
      <c r="CW31">
        <f>VLOOKUP(A31,WMT!A$2:G$55,7,0)</f>
        <v>74.22</v>
      </c>
    </row>
    <row r="32" spans="1:101" x14ac:dyDescent="0.25">
      <c r="A32" s="34">
        <v>41864</v>
      </c>
      <c r="B32" s="36">
        <v>97.24</v>
      </c>
      <c r="C32">
        <f>VLOOKUP(A32,ABBV!A$2:G$55,7,0)</f>
        <v>53.6</v>
      </c>
      <c r="D32">
        <f>VLOOKUP(A32,ABT!A$2:G$55,7,0)</f>
        <v>42.16</v>
      </c>
      <c r="E32">
        <f>VLOOKUP(A32,ACN!A$2:G$55,7,0)</f>
        <v>78.989999999999995</v>
      </c>
      <c r="F32">
        <f>VLOOKUP(A32,AIG!A$2:G$55,7,0)</f>
        <v>53.41</v>
      </c>
      <c r="G32">
        <f>VLOOKUP(A32,ALL!A$2:G$55,7,0)</f>
        <v>59.84</v>
      </c>
      <c r="H32">
        <f>VLOOKUP(A32,AMGN!A$2:G$55,7,0)</f>
        <v>127.34</v>
      </c>
      <c r="I32">
        <f>VLOOKUP(A32,AMZN!A$2:G$55,7,0)</f>
        <v>326.27999999999997</v>
      </c>
      <c r="J32">
        <f>VLOOKUP(A32,APA!A$2:G$55,7,0)</f>
        <v>98.6</v>
      </c>
      <c r="K32">
        <f>VLOOKUP(A32,APC!A$2:G$55,7,0)</f>
        <v>106.25</v>
      </c>
      <c r="L32">
        <f>VLOOKUP(A32,AXP!A$2:G$55,7,0)</f>
        <v>87.4</v>
      </c>
      <c r="M32">
        <f>VLOOKUP(A32,BA!A$2:G$55,7,0)</f>
        <v>121.98</v>
      </c>
      <c r="N32">
        <f>VLOOKUP(A32,BAC!A$2:G$55,7,0)</f>
        <v>15.2</v>
      </c>
      <c r="O32">
        <f>VLOOKUP(A32,BAX!A$2:G$55,7,0)</f>
        <v>74.44</v>
      </c>
      <c r="P32">
        <f>VLOOKUP(A32,BIIB!A$2:G$55,7,0)</f>
        <v>334.64</v>
      </c>
      <c r="Q32">
        <f>VLOOKUP(A32,BK!A$2:G$55,7,0)</f>
        <v>38.450000000000003</v>
      </c>
      <c r="R32">
        <f>VLOOKUP(A32,BMY!A$2:G$55,7,0)</f>
        <v>49.17</v>
      </c>
      <c r="T32">
        <f>VLOOKUP(A32,'C'!A$2:G$55,7,0)</f>
        <v>48.75</v>
      </c>
      <c r="U32">
        <f>VLOOKUP(A32,CAT!A$2:G$55,7,0)</f>
        <v>105.16</v>
      </c>
      <c r="V32">
        <f>VLOOKUP(A32,CL!A$2:G$55,7,0)</f>
        <v>64.38</v>
      </c>
      <c r="W32">
        <f>VLOOKUP(A32,CMCSA!A$2:G$55,7,0)</f>
        <v>53.89</v>
      </c>
      <c r="X32">
        <f>VLOOKUP(A32,COF!A$2:G$55,7,0)</f>
        <v>79.88</v>
      </c>
      <c r="Y32">
        <f>VLOOKUP(A32,COP!A$2:G$55,7,0)</f>
        <v>80.89</v>
      </c>
      <c r="Z32">
        <f>VLOOKUP(A32,COST!A$2:G$55,7,0)</f>
        <v>118.64</v>
      </c>
      <c r="AA32">
        <f>VLOOKUP(A32,CSCO!A$2:G$55,7,0)</f>
        <v>25.2</v>
      </c>
      <c r="AB32">
        <f>VLOOKUP(A32,CVS!A$2:G$55,7,0)</f>
        <v>78.91</v>
      </c>
      <c r="AC32">
        <f>VLOOKUP(A32,CVX!A$2:G$55,7,0)</f>
        <v>126.52</v>
      </c>
      <c r="AD32">
        <f>VLOOKUP(A32,DD!A$2:G$55,7,0)</f>
        <v>65.11</v>
      </c>
      <c r="AE32">
        <f>VLOOKUP(A32,DIS!A$2:G$55,7,0)</f>
        <v>87.6</v>
      </c>
      <c r="AF32">
        <f>VLOOKUP(A32,DOW!A$2:G$55,7,0)</f>
        <v>52.13</v>
      </c>
      <c r="AG32">
        <f>VLOOKUP(A32,DVN!A$2:G$55,7,0)</f>
        <v>72.38</v>
      </c>
      <c r="AH32">
        <f>VLOOKUP(A32,EBAY!A$2:G$55,7,0)</f>
        <v>52.94</v>
      </c>
      <c r="AI32">
        <f>VLOOKUP(A32,EMC!A$2:G$55,7,0)</f>
        <v>29.33</v>
      </c>
      <c r="AJ32">
        <f>VLOOKUP(A32,EMR!A$2:G$55,7,0)</f>
        <v>63.05</v>
      </c>
      <c r="AK32">
        <f>VLOOKUP(A32,EXC!A$2:G$55,7,0)</f>
        <v>31.45</v>
      </c>
      <c r="AL32">
        <f>VLOOKUP(A32,F!A$2:G$55,7,0)</f>
        <v>17.420000000000002</v>
      </c>
      <c r="AM32">
        <f>VLOOKUP(A32,FB!A$2:G$55,7,0)</f>
        <v>73.77</v>
      </c>
      <c r="AN32">
        <f>VLOOKUP(A32,FCX!A$2:G$55,7,0)</f>
        <v>36.39</v>
      </c>
      <c r="AO32">
        <f>VLOOKUP(A32,FDX!A$2:G$55,7,0)</f>
        <v>149.16</v>
      </c>
      <c r="AP32">
        <f>VLOOKUP(A32,FOXA!A$2:G$55,7,0)</f>
        <v>35.28</v>
      </c>
      <c r="AQ32">
        <f>VLOOKUP(A32,GD!A$2:G$55,7,0)</f>
        <v>119.12</v>
      </c>
      <c r="AR32">
        <f>VLOOKUP(A32,GE!A$2:G$55,7,0)</f>
        <v>25.61</v>
      </c>
      <c r="AS32">
        <f>VLOOKUP(A32,GILD!A$2:G$55,7,0)</f>
        <v>93.98</v>
      </c>
      <c r="AT32">
        <f>VLOOKUP(A32,GM!A$2:G$55,7,0)</f>
        <v>33.659999999999997</v>
      </c>
      <c r="AU32">
        <f>VLOOKUP(A32,GOOG!A$2:G$55,7,0)</f>
        <v>574.78</v>
      </c>
      <c r="AV32">
        <f>VLOOKUP(A32,GOOGL!A$2:G$55,7,0)</f>
        <v>584.55999999999995</v>
      </c>
      <c r="AW32">
        <f>VLOOKUP(A32,GS!A$2:G$55,7,0)</f>
        <v>171.84</v>
      </c>
      <c r="AX32">
        <f>VLOOKUP(A32,HAL!A$2:G$55,7,0)</f>
        <v>69.39</v>
      </c>
      <c r="AY32">
        <f>VLOOKUP(A32,HD!A$2:G$55,7,0)</f>
        <v>82.7</v>
      </c>
      <c r="AZ32">
        <f>VLOOKUP(A32,HON!A$2:G$55,7,0)</f>
        <v>93.82</v>
      </c>
      <c r="BA32">
        <f>VLOOKUP(A32,HPQ!A$2:G$55,7,0)</f>
        <v>35.15</v>
      </c>
      <c r="BB32">
        <f>VLOOKUP(A32,IBM!A$2:G$55,7,0)</f>
        <v>187.95</v>
      </c>
      <c r="BC32">
        <f>VLOOKUP(A32,INTC!A$2:G$55,7,0)</f>
        <v>34.1</v>
      </c>
      <c r="BD32">
        <f>VLOOKUP(A32,JNJ!A$2:G$55,7,0)</f>
        <v>101.06</v>
      </c>
      <c r="BE32">
        <f>VLOOKUP(A32,JPM!A$2:G$55,7,0)</f>
        <v>56.72</v>
      </c>
      <c r="BF32">
        <f>VLOOKUP(A32,KO!A$2:G$55,7,0)</f>
        <v>39.65</v>
      </c>
      <c r="BG32">
        <f>VLOOKUP(A32,LLY!A$2:G$55,7,0)</f>
        <v>60.59</v>
      </c>
      <c r="BH32">
        <f>VLOOKUP(A32,LMT!A$2:G$55,7,0)</f>
        <v>167.82</v>
      </c>
      <c r="BI32">
        <f>VLOOKUP(A32,LOW!A$2:G$55,7,0)</f>
        <v>49.85</v>
      </c>
      <c r="BJ32">
        <f>VLOOKUP(A32,MA!A$2:G$55,7,0)</f>
        <v>76.3</v>
      </c>
      <c r="BK32">
        <f>VLOOKUP(A32,MCD!A$2:G$55,7,0)</f>
        <v>93.16</v>
      </c>
      <c r="BL32">
        <f>VLOOKUP(A32,MDLZ!A$2:G$55,7,0)</f>
        <v>35.65</v>
      </c>
      <c r="BM32">
        <f>VLOOKUP(A32,MDT!A$2:G$55,7,0)</f>
        <v>63.47</v>
      </c>
      <c r="BN32">
        <f>VLOOKUP(A32,MET!A$2:G$55,7,0)</f>
        <v>52.44</v>
      </c>
      <c r="BO32">
        <f>VLOOKUP(A32,MMM!A$2:G$55,7,0)</f>
        <v>140.96</v>
      </c>
      <c r="BP32">
        <f>VLOOKUP(A32,MO!A$2:G$55,7,0)</f>
        <v>41.57</v>
      </c>
      <c r="BQ32">
        <f>VLOOKUP(A32,MON!A$2:G$55,7,0)</f>
        <v>116.87</v>
      </c>
      <c r="BR32">
        <f>VLOOKUP(A32,MRK!A$2:G$55,7,0)</f>
        <v>57.43</v>
      </c>
      <c r="BS32">
        <f>VLOOKUP(A32,MS!A$2:G$55,7,0)</f>
        <v>32.020000000000003</v>
      </c>
      <c r="BT32">
        <f>VLOOKUP(A32,MSFT!A$2:G$55,7,0)</f>
        <v>43.81</v>
      </c>
      <c r="BU32">
        <f>VLOOKUP(A32,NKE!A$2:G$55,7,0)</f>
        <v>77.02</v>
      </c>
      <c r="BV32">
        <f>VLOOKUP(A32,NOV!A$2:G$55,7,0)</f>
        <v>81.760000000000005</v>
      </c>
      <c r="BW32">
        <f>VLOOKUP(A32,NSC!A$2:G$55,7,0)</f>
        <v>103.23</v>
      </c>
      <c r="BX32">
        <f>VLOOKUP(A32,ORCL!A$2:G$55,7,0)</f>
        <v>40.24</v>
      </c>
      <c r="BY32">
        <f>VLOOKUP(A32,OXY!A$2:G$55,7,0)</f>
        <v>99.28</v>
      </c>
      <c r="BZ32">
        <f>VLOOKUP(A32,PEP!A$2:G$55,7,0)</f>
        <v>91.09</v>
      </c>
      <c r="CA32">
        <f>VLOOKUP(A32,PFE!A$2:G$55,7,0)</f>
        <v>28.21</v>
      </c>
      <c r="CB32">
        <f>VLOOKUP(A32,PG!A$2:G$55,7,0)</f>
        <v>81.48</v>
      </c>
      <c r="CC32">
        <f>VLOOKUP(A32,PM!A$2:G$55,7,0)</f>
        <v>83.49</v>
      </c>
      <c r="CD32">
        <f>VLOOKUP(A32,QCOM!A$2:G$55,7,0)</f>
        <v>74.09</v>
      </c>
      <c r="CE32">
        <f>VLOOKUP(A32,RTN!A$2:G$55,7,0)</f>
        <v>93.08</v>
      </c>
      <c r="CF32">
        <f>VLOOKUP(A32,SBUX!A$2:G$55,7,0)</f>
        <v>77.239999999999995</v>
      </c>
      <c r="CG32">
        <f>VLOOKUP(A32,SLB!A$2:G$55,7,0)</f>
        <v>107.23</v>
      </c>
      <c r="CH32">
        <f>VLOOKUP(A32,SO!A$2:G$55,7,0)</f>
        <v>43.07</v>
      </c>
      <c r="CI32">
        <f>VLOOKUP(A32,SPG!A$2:G$55,7,0)</f>
        <v>168.52</v>
      </c>
      <c r="CJ32">
        <f>VLOOKUP(A32,T!A$2:G$55,7,0)</f>
        <v>34.69</v>
      </c>
      <c r="CK32">
        <f>VLOOKUP(A32,TGT!A$2:G$55,7,0)</f>
        <v>57.74</v>
      </c>
      <c r="CL32">
        <f>VLOOKUP(A32,TWX!A$2:G$55,7,0)</f>
        <v>73.849999999999994</v>
      </c>
      <c r="CM32">
        <f>VLOOKUP(A32,TXN!A$2:G$55,7,0)</f>
        <v>47.08</v>
      </c>
      <c r="CN32">
        <f>VLOOKUP(A32,UNH!A$2:G$55,7,0)</f>
        <v>81.16</v>
      </c>
      <c r="CO32">
        <f>VLOOKUP(A32,UNP!A$2:G$55,7,0)</f>
        <v>100.09</v>
      </c>
      <c r="CP32">
        <f>VLOOKUP(A32,UPS!A$2:G$55,7,0)</f>
        <v>95.95</v>
      </c>
      <c r="CQ32">
        <f>VLOOKUP(A32,USB!A$2:G$55,7,0)</f>
        <v>41.12</v>
      </c>
      <c r="CR32">
        <f>VLOOKUP(A32,UTX!A$2:G$55,7,0)</f>
        <v>105.56</v>
      </c>
      <c r="CS32">
        <f>VLOOKUP(A32,V!A$2:G$55,7,0)</f>
        <v>211.43</v>
      </c>
      <c r="CT32">
        <f>VLOOKUP(A32,VZ!A$2:G$55,7,0)</f>
        <v>48.92</v>
      </c>
      <c r="CU32">
        <f>VLOOKUP(A32,WAG!A$2:G$55,7,0)</f>
        <v>62.11</v>
      </c>
      <c r="CV32">
        <f>VLOOKUP(A32,WFC!A$2:G$55,7,0)</f>
        <v>49.99</v>
      </c>
      <c r="CW32">
        <f>VLOOKUP(A32,WMT!A$2:G$55,7,0)</f>
        <v>74.03</v>
      </c>
    </row>
    <row r="33" spans="1:101" x14ac:dyDescent="0.25">
      <c r="A33" s="34">
        <v>41865</v>
      </c>
      <c r="B33" s="36">
        <v>97.5</v>
      </c>
      <c r="C33">
        <f>VLOOKUP(A33,ABBV!A$2:G$55,7,0)</f>
        <v>54.19</v>
      </c>
      <c r="D33">
        <f>VLOOKUP(A33,ABT!A$2:G$55,7,0)</f>
        <v>42.33</v>
      </c>
      <c r="E33">
        <f>VLOOKUP(A33,ACN!A$2:G$55,7,0)</f>
        <v>79.27</v>
      </c>
      <c r="F33">
        <f>VLOOKUP(A33,AIG!A$2:G$55,7,0)</f>
        <v>53.94</v>
      </c>
      <c r="G33">
        <f>VLOOKUP(A33,ALL!A$2:G$55,7,0)</f>
        <v>60.5</v>
      </c>
      <c r="H33">
        <f>VLOOKUP(A33,AMGN!A$2:G$55,7,0)</f>
        <v>131.86000000000001</v>
      </c>
      <c r="I33">
        <f>VLOOKUP(A33,AMZN!A$2:G$55,7,0)</f>
        <v>333.21</v>
      </c>
      <c r="J33">
        <f>VLOOKUP(A33,APA!A$2:G$55,7,0)</f>
        <v>97.94</v>
      </c>
      <c r="K33">
        <f>VLOOKUP(A33,APC!A$2:G$55,7,0)</f>
        <v>105.63</v>
      </c>
      <c r="L33">
        <f>VLOOKUP(A33,AXP!A$2:G$55,7,0)</f>
        <v>87.27</v>
      </c>
      <c r="M33">
        <f>VLOOKUP(A33,BA!A$2:G$55,7,0)</f>
        <v>124.11</v>
      </c>
      <c r="N33">
        <f>VLOOKUP(A33,BAC!A$2:G$55,7,0)</f>
        <v>15.27</v>
      </c>
      <c r="O33">
        <f>VLOOKUP(A33,BAX!A$2:G$55,7,0)</f>
        <v>74.23</v>
      </c>
      <c r="P33">
        <f>VLOOKUP(A33,BIIB!A$2:G$55,7,0)</f>
        <v>337.01</v>
      </c>
      <c r="Q33">
        <f>VLOOKUP(A33,BK!A$2:G$55,7,0)</f>
        <v>38.29</v>
      </c>
      <c r="R33">
        <f>VLOOKUP(A33,BMY!A$2:G$55,7,0)</f>
        <v>49.82</v>
      </c>
      <c r="T33">
        <f>VLOOKUP(A33,'C'!A$2:G$55,7,0)</f>
        <v>49.13</v>
      </c>
      <c r="U33">
        <f>VLOOKUP(A33,CAT!A$2:G$55,7,0)</f>
        <v>105.66</v>
      </c>
      <c r="V33">
        <f>VLOOKUP(A33,CL!A$2:G$55,7,0)</f>
        <v>64.209999999999994</v>
      </c>
      <c r="W33">
        <f>VLOOKUP(A33,CMCSA!A$2:G$55,7,0)</f>
        <v>54.14</v>
      </c>
      <c r="X33">
        <f>VLOOKUP(A33,COF!A$2:G$55,7,0)</f>
        <v>79.790000000000006</v>
      </c>
      <c r="Y33">
        <f>VLOOKUP(A33,COP!A$2:G$55,7,0)</f>
        <v>80.17</v>
      </c>
      <c r="Z33">
        <f>VLOOKUP(A33,COST!A$2:G$55,7,0)</f>
        <v>119.26</v>
      </c>
      <c r="AA33">
        <f>VLOOKUP(A33,CSCO!A$2:G$55,7,0)</f>
        <v>24.54</v>
      </c>
      <c r="AB33">
        <f>VLOOKUP(A33,CVS!A$2:G$55,7,0)</f>
        <v>79.3</v>
      </c>
      <c r="AC33">
        <f>VLOOKUP(A33,CVX!A$2:G$55,7,0)</f>
        <v>125.89</v>
      </c>
      <c r="AD33">
        <f>VLOOKUP(A33,DD!A$2:G$55,7,0)</f>
        <v>65.2</v>
      </c>
      <c r="AE33">
        <f>VLOOKUP(A33,DIS!A$2:G$55,7,0)</f>
        <v>88.61</v>
      </c>
      <c r="AF33">
        <f>VLOOKUP(A33,DOW!A$2:G$55,7,0)</f>
        <v>51.77</v>
      </c>
      <c r="AG33">
        <f>VLOOKUP(A33,DVN!A$2:G$55,7,0)</f>
        <v>72.41</v>
      </c>
      <c r="AH33">
        <f>VLOOKUP(A33,EBAY!A$2:G$55,7,0)</f>
        <v>52.93</v>
      </c>
      <c r="AI33">
        <f>VLOOKUP(A33,EMC!A$2:G$55,7,0)</f>
        <v>29.63</v>
      </c>
      <c r="AJ33">
        <f>VLOOKUP(A33,EMR!A$2:G$55,7,0)</f>
        <v>62.95</v>
      </c>
      <c r="AK33">
        <f>VLOOKUP(A33,EXC!A$2:G$55,7,0)</f>
        <v>31.83</v>
      </c>
      <c r="AL33">
        <f>VLOOKUP(A33,F!A$2:G$55,7,0)</f>
        <v>17.43</v>
      </c>
      <c r="AM33">
        <f>VLOOKUP(A33,FB!A$2:G$55,7,0)</f>
        <v>74.3</v>
      </c>
      <c r="AN33">
        <f>VLOOKUP(A33,FCX!A$2:G$55,7,0)</f>
        <v>36.049999999999997</v>
      </c>
      <c r="AO33">
        <f>VLOOKUP(A33,FDX!A$2:G$55,7,0)</f>
        <v>149.44</v>
      </c>
      <c r="AP33">
        <f>VLOOKUP(A33,FOXA!A$2:G$55,7,0)</f>
        <v>35.64</v>
      </c>
      <c r="AQ33">
        <f>VLOOKUP(A33,GD!A$2:G$55,7,0)</f>
        <v>119.12</v>
      </c>
      <c r="AR33">
        <f>VLOOKUP(A33,GE!A$2:G$55,7,0)</f>
        <v>25.66</v>
      </c>
      <c r="AS33">
        <f>VLOOKUP(A33,GILD!A$2:G$55,7,0)</f>
        <v>96.36</v>
      </c>
      <c r="AT33">
        <f>VLOOKUP(A33,GM!A$2:G$55,7,0)</f>
        <v>33.659999999999997</v>
      </c>
      <c r="AU33">
        <f>VLOOKUP(A33,GOOG!A$2:G$55,7,0)</f>
        <v>574.65</v>
      </c>
      <c r="AV33">
        <f>VLOOKUP(A33,GOOGL!A$2:G$55,7,0)</f>
        <v>584.65</v>
      </c>
      <c r="AW33">
        <f>VLOOKUP(A33,GS!A$2:G$55,7,0)</f>
        <v>172.2</v>
      </c>
      <c r="AX33">
        <f>VLOOKUP(A33,HAL!A$2:G$55,7,0)</f>
        <v>67.19</v>
      </c>
      <c r="AY33">
        <f>VLOOKUP(A33,HD!A$2:G$55,7,0)</f>
        <v>83.44</v>
      </c>
      <c r="AZ33">
        <f>VLOOKUP(A33,HON!A$2:G$55,7,0)</f>
        <v>93.94</v>
      </c>
      <c r="BA33">
        <f>VLOOKUP(A33,HPQ!A$2:G$55,7,0)</f>
        <v>35.44</v>
      </c>
      <c r="BB33">
        <f>VLOOKUP(A33,IBM!A$2:G$55,7,0)</f>
        <v>187.88</v>
      </c>
      <c r="BC33">
        <f>VLOOKUP(A33,INTC!A$2:G$55,7,0)</f>
        <v>33.94</v>
      </c>
      <c r="BD33">
        <f>VLOOKUP(A33,JNJ!A$2:G$55,7,0)</f>
        <v>101.33</v>
      </c>
      <c r="BE33">
        <f>VLOOKUP(A33,JPM!A$2:G$55,7,0)</f>
        <v>56.98</v>
      </c>
      <c r="BF33">
        <f>VLOOKUP(A33,KO!A$2:G$55,7,0)</f>
        <v>39.89</v>
      </c>
      <c r="BG33">
        <f>VLOOKUP(A33,LLY!A$2:G$55,7,0)</f>
        <v>61.19</v>
      </c>
      <c r="BH33">
        <f>VLOOKUP(A33,LMT!A$2:G$55,7,0)</f>
        <v>168.22</v>
      </c>
      <c r="BI33">
        <f>VLOOKUP(A33,LOW!A$2:G$55,7,0)</f>
        <v>50.41</v>
      </c>
      <c r="BJ33">
        <f>VLOOKUP(A33,MA!A$2:G$55,7,0)</f>
        <v>76.05</v>
      </c>
      <c r="BK33">
        <f>VLOOKUP(A33,MCD!A$2:G$55,7,0)</f>
        <v>92.86</v>
      </c>
      <c r="BL33">
        <f>VLOOKUP(A33,MDLZ!A$2:G$55,7,0)</f>
        <v>35.549999999999997</v>
      </c>
      <c r="BM33">
        <f>VLOOKUP(A33,MDT!A$2:G$55,7,0)</f>
        <v>63.73</v>
      </c>
      <c r="BN33">
        <f>VLOOKUP(A33,MET!A$2:G$55,7,0)</f>
        <v>52.93</v>
      </c>
      <c r="BO33">
        <f>VLOOKUP(A33,MMM!A$2:G$55,7,0)</f>
        <v>141.5</v>
      </c>
      <c r="BP33">
        <f>VLOOKUP(A33,MO!A$2:G$55,7,0)</f>
        <v>41.76</v>
      </c>
      <c r="BQ33">
        <f>VLOOKUP(A33,MON!A$2:G$55,7,0)</f>
        <v>117.06</v>
      </c>
      <c r="BR33">
        <f>VLOOKUP(A33,MRK!A$2:G$55,7,0)</f>
        <v>58.35</v>
      </c>
      <c r="BS33">
        <f>VLOOKUP(A33,MS!A$2:G$55,7,0)</f>
        <v>32.17</v>
      </c>
      <c r="BT33">
        <f>VLOOKUP(A33,MSFT!A$2:G$55,7,0)</f>
        <v>44</v>
      </c>
      <c r="BU33">
        <f>VLOOKUP(A33,NKE!A$2:G$55,7,0)</f>
        <v>77.069999999999993</v>
      </c>
      <c r="BV33">
        <f>VLOOKUP(A33,NOV!A$2:G$55,7,0)</f>
        <v>80.319999999999993</v>
      </c>
      <c r="BW33">
        <f>VLOOKUP(A33,NSC!A$2:G$55,7,0)</f>
        <v>103.97</v>
      </c>
      <c r="BX33">
        <f>VLOOKUP(A33,ORCL!A$2:G$55,7,0)</f>
        <v>40.22</v>
      </c>
      <c r="BY33">
        <f>VLOOKUP(A33,OXY!A$2:G$55,7,0)</f>
        <v>99.26</v>
      </c>
      <c r="BZ33">
        <f>VLOOKUP(A33,PEP!A$2:G$55,7,0)</f>
        <v>91.14</v>
      </c>
      <c r="CA33">
        <f>VLOOKUP(A33,PFE!A$2:G$55,7,0)</f>
        <v>28.73</v>
      </c>
      <c r="CB33">
        <f>VLOOKUP(A33,PG!A$2:G$55,7,0)</f>
        <v>81.95</v>
      </c>
      <c r="CC33">
        <f>VLOOKUP(A33,PM!A$2:G$55,7,0)</f>
        <v>83.94</v>
      </c>
      <c r="CD33">
        <f>VLOOKUP(A33,QCOM!A$2:G$55,7,0)</f>
        <v>74.349999999999994</v>
      </c>
      <c r="CE33">
        <f>VLOOKUP(A33,RTN!A$2:G$55,7,0)</f>
        <v>92.85</v>
      </c>
      <c r="CF33">
        <f>VLOOKUP(A33,SBUX!A$2:G$55,7,0)</f>
        <v>76.62</v>
      </c>
      <c r="CG33">
        <f>VLOOKUP(A33,SLB!A$2:G$55,7,0)</f>
        <v>105.53</v>
      </c>
      <c r="CH33">
        <f>VLOOKUP(A33,SO!A$2:G$55,7,0)</f>
        <v>43.43</v>
      </c>
      <c r="CI33">
        <f>VLOOKUP(A33,SPG!A$2:G$55,7,0)</f>
        <v>168.25</v>
      </c>
      <c r="CJ33">
        <f>VLOOKUP(A33,T!A$2:G$55,7,0)</f>
        <v>34.909999999999997</v>
      </c>
      <c r="CK33">
        <f>VLOOKUP(A33,TGT!A$2:G$55,7,0)</f>
        <v>58.22</v>
      </c>
      <c r="CL33">
        <f>VLOOKUP(A33,TWX!A$2:G$55,7,0)</f>
        <v>76.2</v>
      </c>
      <c r="CM33">
        <f>VLOOKUP(A33,TXN!A$2:G$55,7,0)</f>
        <v>47.26</v>
      </c>
      <c r="CN33">
        <f>VLOOKUP(A33,UNH!A$2:G$55,7,0)</f>
        <v>81.47</v>
      </c>
      <c r="CO33">
        <f>VLOOKUP(A33,UNP!A$2:G$55,7,0)</f>
        <v>101.25</v>
      </c>
      <c r="CP33">
        <f>VLOOKUP(A33,UPS!A$2:G$55,7,0)</f>
        <v>96.07</v>
      </c>
      <c r="CQ33">
        <f>VLOOKUP(A33,USB!A$2:G$55,7,0)</f>
        <v>41.36</v>
      </c>
      <c r="CR33">
        <f>VLOOKUP(A33,UTX!A$2:G$55,7,0)</f>
        <v>105.77</v>
      </c>
      <c r="CS33">
        <f>VLOOKUP(A33,V!A$2:G$55,7,0)</f>
        <v>212.52</v>
      </c>
      <c r="CT33">
        <f>VLOOKUP(A33,VZ!A$2:G$55,7,0)</f>
        <v>49</v>
      </c>
      <c r="CU33">
        <f>VLOOKUP(A33,WAG!A$2:G$55,7,0)</f>
        <v>61.91</v>
      </c>
      <c r="CV33">
        <f>VLOOKUP(A33,WFC!A$2:G$55,7,0)</f>
        <v>50.38</v>
      </c>
      <c r="CW33">
        <f>VLOOKUP(A33,WMT!A$2:G$55,7,0)</f>
        <v>74.39</v>
      </c>
    </row>
    <row r="34" spans="1:101" x14ac:dyDescent="0.25">
      <c r="A34" s="34">
        <v>41866</v>
      </c>
      <c r="B34" s="36">
        <v>97.98</v>
      </c>
      <c r="C34">
        <f>VLOOKUP(A34,ABBV!A$2:G$55,7,0)</f>
        <v>53.9</v>
      </c>
      <c r="D34">
        <f>VLOOKUP(A34,ABT!A$2:G$55,7,0)</f>
        <v>42.06</v>
      </c>
      <c r="E34">
        <f>VLOOKUP(A34,ACN!A$2:G$55,7,0)</f>
        <v>79.010000000000005</v>
      </c>
      <c r="F34">
        <f>VLOOKUP(A34,AIG!A$2:G$55,7,0)</f>
        <v>53.87</v>
      </c>
      <c r="G34">
        <f>VLOOKUP(A34,ALL!A$2:G$55,7,0)</f>
        <v>60.42</v>
      </c>
      <c r="H34">
        <f>VLOOKUP(A34,AMGN!A$2:G$55,7,0)</f>
        <v>132.80000000000001</v>
      </c>
      <c r="I34">
        <f>VLOOKUP(A34,AMZN!A$2:G$55,7,0)</f>
        <v>333.63</v>
      </c>
      <c r="J34">
        <f>VLOOKUP(A34,APA!A$2:G$55,7,0)</f>
        <v>98.68</v>
      </c>
      <c r="K34">
        <f>VLOOKUP(A34,APC!A$2:G$55,7,0)</f>
        <v>107.94</v>
      </c>
      <c r="L34">
        <f>VLOOKUP(A34,AXP!A$2:G$55,7,0)</f>
        <v>86.6</v>
      </c>
      <c r="M34">
        <f>VLOOKUP(A34,BA!A$2:G$55,7,0)</f>
        <v>123.16</v>
      </c>
      <c r="N34">
        <f>VLOOKUP(A34,BAC!A$2:G$55,7,0)</f>
        <v>15.17</v>
      </c>
      <c r="O34">
        <f>VLOOKUP(A34,BAX!A$2:G$55,7,0)</f>
        <v>73.89</v>
      </c>
      <c r="P34">
        <f>VLOOKUP(A34,BIIB!A$2:G$55,7,0)</f>
        <v>342.47</v>
      </c>
      <c r="Q34">
        <f>VLOOKUP(A34,BK!A$2:G$55,7,0)</f>
        <v>38.24</v>
      </c>
      <c r="R34">
        <f>VLOOKUP(A34,BMY!A$2:G$55,7,0)</f>
        <v>49.68</v>
      </c>
      <c r="T34">
        <f>VLOOKUP(A34,'C'!A$2:G$55,7,0)</f>
        <v>48.72</v>
      </c>
      <c r="U34">
        <f>VLOOKUP(A34,CAT!A$2:G$55,7,0)</f>
        <v>105.74</v>
      </c>
      <c r="V34">
        <f>VLOOKUP(A34,CL!A$2:G$55,7,0)</f>
        <v>64.13</v>
      </c>
      <c r="W34">
        <f>VLOOKUP(A34,CMCSA!A$2:G$55,7,0)</f>
        <v>54.4</v>
      </c>
      <c r="X34">
        <f>VLOOKUP(A34,COF!A$2:G$55,7,0)</f>
        <v>79.3</v>
      </c>
      <c r="Y34">
        <f>VLOOKUP(A34,COP!A$2:G$55,7,0)</f>
        <v>80.62</v>
      </c>
      <c r="Z34">
        <f>VLOOKUP(A34,COST!A$2:G$55,7,0)</f>
        <v>118.57</v>
      </c>
      <c r="AA34">
        <f>VLOOKUP(A34,CSCO!A$2:G$55,7,0)</f>
        <v>24.43</v>
      </c>
      <c r="AB34">
        <f>VLOOKUP(A34,CVS!A$2:G$55,7,0)</f>
        <v>78.91</v>
      </c>
      <c r="AC34">
        <f>VLOOKUP(A34,CVX!A$2:G$55,7,0)</f>
        <v>126.1</v>
      </c>
      <c r="AD34">
        <f>VLOOKUP(A34,DD!A$2:G$55,7,0)</f>
        <v>65.25</v>
      </c>
      <c r="AE34">
        <f>VLOOKUP(A34,DIS!A$2:G$55,7,0)</f>
        <v>89.28</v>
      </c>
      <c r="AF34">
        <f>VLOOKUP(A34,DOW!A$2:G$55,7,0)</f>
        <v>51.66</v>
      </c>
      <c r="AG34">
        <f>VLOOKUP(A34,DVN!A$2:G$55,7,0)</f>
        <v>73.09</v>
      </c>
      <c r="AH34">
        <f>VLOOKUP(A34,EBAY!A$2:G$55,7,0)</f>
        <v>52.64</v>
      </c>
      <c r="AI34">
        <f>VLOOKUP(A34,EMC!A$2:G$55,7,0)</f>
        <v>29.61</v>
      </c>
      <c r="AJ34">
        <f>VLOOKUP(A34,EMR!A$2:G$55,7,0)</f>
        <v>62.97</v>
      </c>
      <c r="AK34">
        <f>VLOOKUP(A34,EXC!A$2:G$55,7,0)</f>
        <v>31.8</v>
      </c>
      <c r="AL34">
        <f>VLOOKUP(A34,F!A$2:G$55,7,0)</f>
        <v>17.309999999999999</v>
      </c>
      <c r="AM34">
        <f>VLOOKUP(A34,FB!A$2:G$55,7,0)</f>
        <v>73.63</v>
      </c>
      <c r="AN34">
        <f>VLOOKUP(A34,FCX!A$2:G$55,7,0)</f>
        <v>36.1</v>
      </c>
      <c r="AO34">
        <f>VLOOKUP(A34,FDX!A$2:G$55,7,0)</f>
        <v>148.53</v>
      </c>
      <c r="AP34">
        <f>VLOOKUP(A34,FOXA!A$2:G$55,7,0)</f>
        <v>35.74</v>
      </c>
      <c r="AQ34">
        <f>VLOOKUP(A34,GD!A$2:G$55,7,0)</f>
        <v>119.34</v>
      </c>
      <c r="AR34">
        <f>VLOOKUP(A34,GE!A$2:G$55,7,0)</f>
        <v>25.43</v>
      </c>
      <c r="AS34">
        <f>VLOOKUP(A34,GILD!A$2:G$55,7,0)</f>
        <v>99.49</v>
      </c>
      <c r="AT34">
        <f>VLOOKUP(A34,GM!A$2:G$55,7,0)</f>
        <v>33.549999999999997</v>
      </c>
      <c r="AU34">
        <f>VLOOKUP(A34,GOOG!A$2:G$55,7,0)</f>
        <v>573.48</v>
      </c>
      <c r="AV34">
        <f>VLOOKUP(A34,GOOGL!A$2:G$55,7,0)</f>
        <v>583.71</v>
      </c>
      <c r="AW34">
        <f>VLOOKUP(A34,GS!A$2:G$55,7,0)</f>
        <v>171.37</v>
      </c>
      <c r="AX34">
        <f>VLOOKUP(A34,HAL!A$2:G$55,7,0)</f>
        <v>68.27</v>
      </c>
      <c r="AY34">
        <f>VLOOKUP(A34,HD!A$2:G$55,7,0)</f>
        <v>83.27</v>
      </c>
      <c r="AZ34">
        <f>VLOOKUP(A34,HON!A$2:G$55,7,0)</f>
        <v>93.78</v>
      </c>
      <c r="BA34">
        <f>VLOOKUP(A34,HPQ!A$2:G$55,7,0)</f>
        <v>34.92</v>
      </c>
      <c r="BB34">
        <f>VLOOKUP(A34,IBM!A$2:G$55,7,0)</f>
        <v>187.38</v>
      </c>
      <c r="BC34">
        <f>VLOOKUP(A34,INTC!A$2:G$55,7,0)</f>
        <v>34.17</v>
      </c>
      <c r="BD34">
        <f>VLOOKUP(A34,JNJ!A$2:G$55,7,0)</f>
        <v>100.49</v>
      </c>
      <c r="BE34">
        <f>VLOOKUP(A34,JPM!A$2:G$55,7,0)</f>
        <v>56.75</v>
      </c>
      <c r="BF34">
        <f>VLOOKUP(A34,KO!A$2:G$55,7,0)</f>
        <v>40.58</v>
      </c>
      <c r="BG34">
        <f>VLOOKUP(A34,LLY!A$2:G$55,7,0)</f>
        <v>60.84</v>
      </c>
      <c r="BH34">
        <f>VLOOKUP(A34,LMT!A$2:G$55,7,0)</f>
        <v>167.89</v>
      </c>
      <c r="BI34">
        <f>VLOOKUP(A34,LOW!A$2:G$55,7,0)</f>
        <v>50</v>
      </c>
      <c r="BJ34">
        <f>VLOOKUP(A34,MA!A$2:G$55,7,0)</f>
        <v>75.209999999999994</v>
      </c>
      <c r="BK34">
        <f>VLOOKUP(A34,MCD!A$2:G$55,7,0)</f>
        <v>92.99</v>
      </c>
      <c r="BL34">
        <f>VLOOKUP(A34,MDLZ!A$2:G$55,7,0)</f>
        <v>35.630000000000003</v>
      </c>
      <c r="BM34">
        <f>VLOOKUP(A34,MDT!A$2:G$55,7,0)</f>
        <v>63.25</v>
      </c>
      <c r="BN34">
        <f>VLOOKUP(A34,MET!A$2:G$55,7,0)</f>
        <v>52.48</v>
      </c>
      <c r="BO34">
        <f>VLOOKUP(A34,MMM!A$2:G$55,7,0)</f>
        <v>141.08000000000001</v>
      </c>
      <c r="BP34">
        <f>VLOOKUP(A34,MO!A$2:G$55,7,0)</f>
        <v>41.7</v>
      </c>
      <c r="BQ34">
        <f>VLOOKUP(A34,MON!A$2:G$55,7,0)</f>
        <v>118.99</v>
      </c>
      <c r="BR34">
        <f>VLOOKUP(A34,MRK!A$2:G$55,7,0)</f>
        <v>58.19</v>
      </c>
      <c r="BS34">
        <f>VLOOKUP(A34,MS!A$2:G$55,7,0)</f>
        <v>32.22</v>
      </c>
      <c r="BT34">
        <f>VLOOKUP(A34,MSFT!A$2:G$55,7,0)</f>
        <v>44.51</v>
      </c>
      <c r="BU34">
        <f>VLOOKUP(A34,NKE!A$2:G$55,7,0)</f>
        <v>76.900000000000006</v>
      </c>
      <c r="BV34">
        <f>VLOOKUP(A34,NOV!A$2:G$55,7,0)</f>
        <v>81.650000000000006</v>
      </c>
      <c r="BW34">
        <f>VLOOKUP(A34,NSC!A$2:G$55,7,0)</f>
        <v>104.49</v>
      </c>
      <c r="BX34">
        <f>VLOOKUP(A34,ORCL!A$2:G$55,7,0)</f>
        <v>40.28</v>
      </c>
      <c r="BY34">
        <f>VLOOKUP(A34,OXY!A$2:G$55,7,0)</f>
        <v>99.75</v>
      </c>
      <c r="BZ34">
        <f>VLOOKUP(A34,PEP!A$2:G$55,7,0)</f>
        <v>91.2</v>
      </c>
      <c r="CA34">
        <f>VLOOKUP(A34,PFE!A$2:G$55,7,0)</f>
        <v>28.64</v>
      </c>
      <c r="CB34">
        <f>VLOOKUP(A34,PG!A$2:G$55,7,0)</f>
        <v>81.78</v>
      </c>
      <c r="CC34">
        <f>VLOOKUP(A34,PM!A$2:G$55,7,0)</f>
        <v>83.52</v>
      </c>
      <c r="CD34">
        <f>VLOOKUP(A34,QCOM!A$2:G$55,7,0)</f>
        <v>74</v>
      </c>
      <c r="CE34">
        <f>VLOOKUP(A34,RTN!A$2:G$55,7,0)</f>
        <v>92.89</v>
      </c>
      <c r="CF34">
        <f>VLOOKUP(A34,SBUX!A$2:G$55,7,0)</f>
        <v>76.91</v>
      </c>
      <c r="CG34">
        <f>VLOOKUP(A34,SLB!A$2:G$55,7,0)</f>
        <v>106.14</v>
      </c>
      <c r="CH34">
        <f>VLOOKUP(A34,SO!A$2:G$55,7,0)</f>
        <v>43.42</v>
      </c>
      <c r="CI34">
        <f>VLOOKUP(A34,SPG!A$2:G$55,7,0)</f>
        <v>168.85</v>
      </c>
      <c r="CJ34">
        <f>VLOOKUP(A34,T!A$2:G$55,7,0)</f>
        <v>34.74</v>
      </c>
      <c r="CK34">
        <f>VLOOKUP(A34,TGT!A$2:G$55,7,0)</f>
        <v>57.68</v>
      </c>
      <c r="CL34">
        <f>VLOOKUP(A34,TWX!A$2:G$55,7,0)</f>
        <v>76.180000000000007</v>
      </c>
      <c r="CM34">
        <f>VLOOKUP(A34,TXN!A$2:G$55,7,0)</f>
        <v>47.56</v>
      </c>
      <c r="CN34">
        <f>VLOOKUP(A34,UNH!A$2:G$55,7,0)</f>
        <v>81.13</v>
      </c>
      <c r="CO34">
        <f>VLOOKUP(A34,UNP!A$2:G$55,7,0)</f>
        <v>101.51</v>
      </c>
      <c r="CP34">
        <f>VLOOKUP(A34,UPS!A$2:G$55,7,0)</f>
        <v>96.85</v>
      </c>
      <c r="CQ34">
        <f>VLOOKUP(A34,USB!A$2:G$55,7,0)</f>
        <v>41.03</v>
      </c>
      <c r="CR34">
        <f>VLOOKUP(A34,UTX!A$2:G$55,7,0)</f>
        <v>105.63</v>
      </c>
      <c r="CS34">
        <f>VLOOKUP(A34,V!A$2:G$55,7,0)</f>
        <v>210.19</v>
      </c>
      <c r="CT34">
        <f>VLOOKUP(A34,VZ!A$2:G$55,7,0)</f>
        <v>48.8</v>
      </c>
      <c r="CU34">
        <f>VLOOKUP(A34,WAG!A$2:G$55,7,0)</f>
        <v>61.41</v>
      </c>
      <c r="CV34">
        <f>VLOOKUP(A34,WFC!A$2:G$55,7,0)</f>
        <v>50.21</v>
      </c>
      <c r="CW34">
        <f>VLOOKUP(A34,WMT!A$2:G$55,7,0)</f>
        <v>73.900000000000006</v>
      </c>
    </row>
    <row r="35" spans="1:101" x14ac:dyDescent="0.25">
      <c r="A35" s="34">
        <v>41869</v>
      </c>
      <c r="B35" s="36">
        <v>99.16</v>
      </c>
      <c r="C35">
        <f>VLOOKUP(A35,ABBV!A$2:G$55,7,0)</f>
        <v>54.31</v>
      </c>
      <c r="D35">
        <f>VLOOKUP(A35,ABT!A$2:G$55,7,0)</f>
        <v>42.23</v>
      </c>
      <c r="E35">
        <f>VLOOKUP(A35,ACN!A$2:G$55,7,0)</f>
        <v>79.81</v>
      </c>
      <c r="F35">
        <f>VLOOKUP(A35,AIG!A$2:G$55,7,0)</f>
        <v>54.36</v>
      </c>
      <c r="G35">
        <f>VLOOKUP(A35,ALL!A$2:G$55,7,0)</f>
        <v>61</v>
      </c>
      <c r="H35">
        <f>VLOOKUP(A35,AMGN!A$2:G$55,7,0)</f>
        <v>133.22</v>
      </c>
      <c r="I35">
        <f>VLOOKUP(A35,AMZN!A$2:G$55,7,0)</f>
        <v>334.53</v>
      </c>
      <c r="J35">
        <f>VLOOKUP(A35,APA!A$2:G$55,7,0)</f>
        <v>98.5</v>
      </c>
      <c r="K35">
        <f>VLOOKUP(A35,APC!A$2:G$55,7,0)</f>
        <v>108.58</v>
      </c>
      <c r="L35">
        <f>VLOOKUP(A35,AXP!A$2:G$55,7,0)</f>
        <v>87.16</v>
      </c>
      <c r="M35">
        <f>VLOOKUP(A35,BA!A$2:G$55,7,0)</f>
        <v>124.98</v>
      </c>
      <c r="N35">
        <f>VLOOKUP(A35,BAC!A$2:G$55,7,0)</f>
        <v>15.4</v>
      </c>
      <c r="O35">
        <f>VLOOKUP(A35,BAX!A$2:G$55,7,0)</f>
        <v>74.680000000000007</v>
      </c>
      <c r="P35">
        <f>VLOOKUP(A35,BIIB!A$2:G$55,7,0)</f>
        <v>344.6</v>
      </c>
      <c r="Q35">
        <f>VLOOKUP(A35,BK!A$2:G$55,7,0)</f>
        <v>38.57</v>
      </c>
      <c r="R35">
        <f>VLOOKUP(A35,BMY!A$2:G$55,7,0)</f>
        <v>49.99</v>
      </c>
      <c r="T35">
        <f>VLOOKUP(A35,'C'!A$2:G$55,7,0)</f>
        <v>49.51</v>
      </c>
      <c r="U35">
        <f>VLOOKUP(A35,CAT!A$2:G$55,7,0)</f>
        <v>106.98</v>
      </c>
      <c r="V35">
        <f>VLOOKUP(A35,CL!A$2:G$55,7,0)</f>
        <v>64.62</v>
      </c>
      <c r="W35">
        <f>VLOOKUP(A35,CMCSA!A$2:G$55,7,0)</f>
        <v>54.5</v>
      </c>
      <c r="X35">
        <f>VLOOKUP(A35,COF!A$2:G$55,7,0)</f>
        <v>80.42</v>
      </c>
      <c r="Y35">
        <f>VLOOKUP(A35,COP!A$2:G$55,7,0)</f>
        <v>79.34</v>
      </c>
      <c r="Z35">
        <f>VLOOKUP(A35,COST!A$2:G$55,7,0)</f>
        <v>119.46</v>
      </c>
      <c r="AA35">
        <f>VLOOKUP(A35,CSCO!A$2:G$55,7,0)</f>
        <v>24.63</v>
      </c>
      <c r="AB35">
        <f>VLOOKUP(A35,CVS!A$2:G$55,7,0)</f>
        <v>79.150000000000006</v>
      </c>
      <c r="AC35">
        <f>VLOOKUP(A35,CVX!A$2:G$55,7,0)</f>
        <v>126.3</v>
      </c>
      <c r="AD35">
        <f>VLOOKUP(A35,DD!A$2:G$55,7,0)</f>
        <v>65.87</v>
      </c>
      <c r="AE35">
        <f>VLOOKUP(A35,DIS!A$2:G$55,7,0)</f>
        <v>89.97</v>
      </c>
      <c r="AF35">
        <f>VLOOKUP(A35,DOW!A$2:G$55,7,0)</f>
        <v>52.51</v>
      </c>
      <c r="AG35">
        <f>VLOOKUP(A35,DVN!A$2:G$55,7,0)</f>
        <v>73.290000000000006</v>
      </c>
      <c r="AH35">
        <f>VLOOKUP(A35,EBAY!A$2:G$55,7,0)</f>
        <v>53.11</v>
      </c>
      <c r="AI35">
        <f>VLOOKUP(A35,EMC!A$2:G$55,7,0)</f>
        <v>29.83</v>
      </c>
      <c r="AJ35">
        <f>VLOOKUP(A35,EMR!A$2:G$55,7,0)</f>
        <v>63.82</v>
      </c>
      <c r="AK35">
        <f>VLOOKUP(A35,EXC!A$2:G$55,7,0)</f>
        <v>31.82</v>
      </c>
      <c r="AL35">
        <f>VLOOKUP(A35,F!A$2:G$55,7,0)</f>
        <v>17.43</v>
      </c>
      <c r="AM35">
        <f>VLOOKUP(A35,FB!A$2:G$55,7,0)</f>
        <v>74.59</v>
      </c>
      <c r="AN35">
        <f>VLOOKUP(A35,FCX!A$2:G$55,7,0)</f>
        <v>36.369999999999997</v>
      </c>
      <c r="AO35">
        <f>VLOOKUP(A35,FDX!A$2:G$55,7,0)</f>
        <v>150.22</v>
      </c>
      <c r="AP35">
        <f>VLOOKUP(A35,FOXA!A$2:G$55,7,0)</f>
        <v>35.85</v>
      </c>
      <c r="AQ35">
        <f>VLOOKUP(A35,GD!A$2:G$55,7,0)</f>
        <v>121.18</v>
      </c>
      <c r="AR35">
        <f>VLOOKUP(A35,GE!A$2:G$55,7,0)</f>
        <v>25.85</v>
      </c>
      <c r="AS35">
        <f>VLOOKUP(A35,GILD!A$2:G$55,7,0)</f>
        <v>100.72</v>
      </c>
      <c r="AT35">
        <f>VLOOKUP(A35,GM!A$2:G$55,7,0)</f>
        <v>34.1</v>
      </c>
      <c r="AU35">
        <f>VLOOKUP(A35,GOOG!A$2:G$55,7,0)</f>
        <v>582.16</v>
      </c>
      <c r="AV35">
        <f>VLOOKUP(A35,GOOGL!A$2:G$55,7,0)</f>
        <v>592.70000000000005</v>
      </c>
      <c r="AW35">
        <f>VLOOKUP(A35,GS!A$2:G$55,7,0)</f>
        <v>174.01</v>
      </c>
      <c r="AX35">
        <f>VLOOKUP(A35,HAL!A$2:G$55,7,0)</f>
        <v>68.72</v>
      </c>
      <c r="AY35">
        <f>VLOOKUP(A35,HD!A$2:G$55,7,0)</f>
        <v>83.17</v>
      </c>
      <c r="AZ35">
        <f>VLOOKUP(A35,HON!A$2:G$55,7,0)</f>
        <v>94.81</v>
      </c>
      <c r="BA35">
        <f>VLOOKUP(A35,HPQ!A$2:G$55,7,0)</f>
        <v>35.19</v>
      </c>
      <c r="BB35">
        <f>VLOOKUP(A35,IBM!A$2:G$55,7,0)</f>
        <v>189.36</v>
      </c>
      <c r="BC35">
        <f>VLOOKUP(A35,INTC!A$2:G$55,7,0)</f>
        <v>34.409999999999997</v>
      </c>
      <c r="BD35">
        <f>VLOOKUP(A35,JNJ!A$2:G$55,7,0)</f>
        <v>102.01</v>
      </c>
      <c r="BE35">
        <f>VLOOKUP(A35,JPM!A$2:G$55,7,0)</f>
        <v>57.23</v>
      </c>
      <c r="BF35">
        <f>VLOOKUP(A35,KO!A$2:G$55,7,0)</f>
        <v>41.05</v>
      </c>
      <c r="BG35">
        <f>VLOOKUP(A35,LLY!A$2:G$55,7,0)</f>
        <v>61.35</v>
      </c>
      <c r="BH35">
        <f>VLOOKUP(A35,LMT!A$2:G$55,7,0)</f>
        <v>170.23</v>
      </c>
      <c r="BI35">
        <f>VLOOKUP(A35,LOW!A$2:G$55,7,0)</f>
        <v>50.45</v>
      </c>
      <c r="BJ35">
        <f>VLOOKUP(A35,MA!A$2:G$55,7,0)</f>
        <v>76.77</v>
      </c>
      <c r="BK35">
        <f>VLOOKUP(A35,MCD!A$2:G$55,7,0)</f>
        <v>93.44</v>
      </c>
      <c r="BL35">
        <f>VLOOKUP(A35,MDLZ!A$2:G$55,7,0)</f>
        <v>35.880000000000003</v>
      </c>
      <c r="BM35">
        <f>VLOOKUP(A35,MDT!A$2:G$55,7,0)</f>
        <v>63.47</v>
      </c>
      <c r="BN35">
        <f>VLOOKUP(A35,MET!A$2:G$55,7,0)</f>
        <v>53.49</v>
      </c>
      <c r="BO35">
        <f>VLOOKUP(A35,MMM!A$2:G$55,7,0)</f>
        <v>143.27000000000001</v>
      </c>
      <c r="BP35">
        <f>VLOOKUP(A35,MO!A$2:G$55,7,0)</f>
        <v>42</v>
      </c>
      <c r="BQ35">
        <f>VLOOKUP(A35,MON!A$2:G$55,7,0)</f>
        <v>119.43</v>
      </c>
      <c r="BR35">
        <f>VLOOKUP(A35,MRK!A$2:G$55,7,0)</f>
        <v>58</v>
      </c>
      <c r="BS35">
        <f>VLOOKUP(A35,MS!A$2:G$55,7,0)</f>
        <v>32.61</v>
      </c>
      <c r="BT35">
        <f>VLOOKUP(A35,MSFT!A$2:G$55,7,0)</f>
        <v>44.83</v>
      </c>
      <c r="BU35">
        <f>VLOOKUP(A35,NKE!A$2:G$55,7,0)</f>
        <v>78.31</v>
      </c>
      <c r="BV35">
        <f>VLOOKUP(A35,NOV!A$2:G$55,7,0)</f>
        <v>82.03</v>
      </c>
      <c r="BW35">
        <f>VLOOKUP(A35,NSC!A$2:G$55,7,0)</f>
        <v>106.03</v>
      </c>
      <c r="BX35">
        <f>VLOOKUP(A35,ORCL!A$2:G$55,7,0)</f>
        <v>40.64</v>
      </c>
      <c r="BY35">
        <f>VLOOKUP(A35,OXY!A$2:G$55,7,0)</f>
        <v>99.89</v>
      </c>
      <c r="BZ35">
        <f>VLOOKUP(A35,PEP!A$2:G$55,7,0)</f>
        <v>91.5</v>
      </c>
      <c r="CA35">
        <f>VLOOKUP(A35,PFE!A$2:G$55,7,0)</f>
        <v>28.84</v>
      </c>
      <c r="CB35">
        <f>VLOOKUP(A35,PG!A$2:G$55,7,0)</f>
        <v>82.44</v>
      </c>
      <c r="CC35">
        <f>VLOOKUP(A35,PM!A$2:G$55,7,0)</f>
        <v>84</v>
      </c>
      <c r="CD35">
        <f>VLOOKUP(A35,QCOM!A$2:G$55,7,0)</f>
        <v>74.62</v>
      </c>
      <c r="CE35">
        <f>VLOOKUP(A35,RTN!A$2:G$55,7,0)</f>
        <v>94.24</v>
      </c>
      <c r="CF35">
        <f>VLOOKUP(A35,SBUX!A$2:G$55,7,0)</f>
        <v>77.59</v>
      </c>
      <c r="CG35">
        <f>VLOOKUP(A35,SLB!A$2:G$55,7,0)</f>
        <v>107.75</v>
      </c>
      <c r="CH35">
        <f>VLOOKUP(A35,SO!A$2:G$55,7,0)</f>
        <v>43.38</v>
      </c>
      <c r="CI35">
        <f>VLOOKUP(A35,SPG!A$2:G$55,7,0)</f>
        <v>170.24</v>
      </c>
      <c r="CJ35">
        <f>VLOOKUP(A35,T!A$2:G$55,7,0)</f>
        <v>34.65</v>
      </c>
      <c r="CK35">
        <f>VLOOKUP(A35,TGT!A$2:G$55,7,0)</f>
        <v>58.55</v>
      </c>
      <c r="CL35">
        <f>VLOOKUP(A35,TWX!A$2:G$55,7,0)</f>
        <v>76.540000000000006</v>
      </c>
      <c r="CM35">
        <f>VLOOKUP(A35,TXN!A$2:G$55,7,0)</f>
        <v>47.56</v>
      </c>
      <c r="CN35">
        <f>VLOOKUP(A35,UNH!A$2:G$55,7,0)</f>
        <v>81.99</v>
      </c>
      <c r="CO35">
        <f>VLOOKUP(A35,UNP!A$2:G$55,7,0)</f>
        <v>103.3</v>
      </c>
      <c r="CP35">
        <f>VLOOKUP(A35,UPS!A$2:G$55,7,0)</f>
        <v>97.62</v>
      </c>
      <c r="CQ35">
        <f>VLOOKUP(A35,USB!A$2:G$55,7,0)</f>
        <v>41.48</v>
      </c>
      <c r="CR35">
        <f>VLOOKUP(A35,UTX!A$2:G$55,7,0)</f>
        <v>108.09</v>
      </c>
      <c r="CS35">
        <f>VLOOKUP(A35,V!A$2:G$55,7,0)</f>
        <v>214.32</v>
      </c>
      <c r="CT35">
        <f>VLOOKUP(A35,VZ!A$2:G$55,7,0)</f>
        <v>48.78</v>
      </c>
      <c r="CU35">
        <f>VLOOKUP(A35,WAG!A$2:G$55,7,0)</f>
        <v>61.73</v>
      </c>
      <c r="CV35">
        <f>VLOOKUP(A35,WFC!A$2:G$55,7,0)</f>
        <v>50.69</v>
      </c>
      <c r="CW35">
        <f>VLOOKUP(A35,WMT!A$2:G$55,7,0)</f>
        <v>74.489999999999995</v>
      </c>
    </row>
    <row r="36" spans="1:101" x14ac:dyDescent="0.25">
      <c r="A36" s="34">
        <v>41870</v>
      </c>
      <c r="B36" s="36">
        <v>100.53</v>
      </c>
      <c r="C36">
        <f>VLOOKUP(A36,ABBV!A$2:G$55,7,0)</f>
        <v>55.29</v>
      </c>
      <c r="D36">
        <f>VLOOKUP(A36,ABT!A$2:G$55,7,0)</f>
        <v>42.54</v>
      </c>
      <c r="E36">
        <f>VLOOKUP(A36,ACN!A$2:G$55,7,0)</f>
        <v>80.319999999999993</v>
      </c>
      <c r="F36">
        <f>VLOOKUP(A36,AIG!A$2:G$55,7,0)</f>
        <v>54.5</v>
      </c>
      <c r="G36">
        <f>VLOOKUP(A36,ALL!A$2:G$55,7,0)</f>
        <v>60.81</v>
      </c>
      <c r="H36">
        <f>VLOOKUP(A36,AMGN!A$2:G$55,7,0)</f>
        <v>133.02000000000001</v>
      </c>
      <c r="I36">
        <f>VLOOKUP(A36,AMZN!A$2:G$55,7,0)</f>
        <v>335.13</v>
      </c>
      <c r="J36">
        <f>VLOOKUP(A36,APA!A$2:G$55,7,0)</f>
        <v>99.27</v>
      </c>
      <c r="K36">
        <f>VLOOKUP(A36,APC!A$2:G$55,7,0)</f>
        <v>109.62</v>
      </c>
      <c r="L36">
        <f>VLOOKUP(A36,AXP!A$2:G$55,7,0)</f>
        <v>88.12</v>
      </c>
      <c r="M36">
        <f>VLOOKUP(A36,BA!A$2:G$55,7,0)</f>
        <v>125.58</v>
      </c>
      <c r="N36">
        <f>VLOOKUP(A36,BAC!A$2:G$55,7,0)</f>
        <v>15.4</v>
      </c>
      <c r="O36">
        <f>VLOOKUP(A36,BAX!A$2:G$55,7,0)</f>
        <v>74.599999999999994</v>
      </c>
      <c r="P36">
        <f>VLOOKUP(A36,BIIB!A$2:G$55,7,0)</f>
        <v>345.84</v>
      </c>
      <c r="Q36">
        <f>VLOOKUP(A36,BK!A$2:G$55,7,0)</f>
        <v>38.590000000000003</v>
      </c>
      <c r="R36">
        <f>VLOOKUP(A36,BMY!A$2:G$55,7,0)</f>
        <v>50.3</v>
      </c>
      <c r="T36">
        <f>VLOOKUP(A36,'C'!A$2:G$55,7,0)</f>
        <v>49.7</v>
      </c>
      <c r="U36">
        <f>VLOOKUP(A36,CAT!A$2:G$55,7,0)</f>
        <v>107.3</v>
      </c>
      <c r="V36">
        <f>VLOOKUP(A36,CL!A$2:G$55,7,0)</f>
        <v>64.260000000000005</v>
      </c>
      <c r="W36">
        <f>VLOOKUP(A36,CMCSA!A$2:G$55,7,0)</f>
        <v>54.27</v>
      </c>
      <c r="X36">
        <f>VLOOKUP(A36,COF!A$2:G$55,7,0)</f>
        <v>80.48</v>
      </c>
      <c r="Y36">
        <f>VLOOKUP(A36,COP!A$2:G$55,7,0)</f>
        <v>79.91</v>
      </c>
      <c r="Z36">
        <f>VLOOKUP(A36,COST!A$2:G$55,7,0)</f>
        <v>120.61</v>
      </c>
      <c r="AA36">
        <f>VLOOKUP(A36,CSCO!A$2:G$55,7,0)</f>
        <v>24.64</v>
      </c>
      <c r="AB36">
        <f>VLOOKUP(A36,CVS!A$2:G$55,7,0)</f>
        <v>79.53</v>
      </c>
      <c r="AC36">
        <f>VLOOKUP(A36,CVX!A$2:G$55,7,0)</f>
        <v>127.63</v>
      </c>
      <c r="AD36">
        <f>VLOOKUP(A36,DD!A$2:G$55,7,0)</f>
        <v>66.290000000000006</v>
      </c>
      <c r="AE36">
        <f>VLOOKUP(A36,DIS!A$2:G$55,7,0)</f>
        <v>90.09</v>
      </c>
      <c r="AF36">
        <f>VLOOKUP(A36,DOW!A$2:G$55,7,0)</f>
        <v>52.71</v>
      </c>
      <c r="AG36">
        <f>VLOOKUP(A36,DVN!A$2:G$55,7,0)</f>
        <v>74.03</v>
      </c>
      <c r="AH36">
        <f>VLOOKUP(A36,EBAY!A$2:G$55,7,0)</f>
        <v>53.75</v>
      </c>
      <c r="AI36">
        <f>VLOOKUP(A36,EMC!A$2:G$55,7,0)</f>
        <v>29.77</v>
      </c>
      <c r="AJ36">
        <f>VLOOKUP(A36,EMR!A$2:G$55,7,0)</f>
        <v>63.93</v>
      </c>
      <c r="AK36">
        <f>VLOOKUP(A36,EXC!A$2:G$55,7,0)</f>
        <v>31.96</v>
      </c>
      <c r="AL36">
        <f>VLOOKUP(A36,F!A$2:G$55,7,0)</f>
        <v>17.36</v>
      </c>
      <c r="AM36">
        <f>VLOOKUP(A36,FB!A$2:G$55,7,0)</f>
        <v>75.290000000000006</v>
      </c>
      <c r="AN36">
        <f>VLOOKUP(A36,FCX!A$2:G$55,7,0)</f>
        <v>36.29</v>
      </c>
      <c r="AO36">
        <f>VLOOKUP(A36,FDX!A$2:G$55,7,0)</f>
        <v>149.80000000000001</v>
      </c>
      <c r="AP36">
        <f>VLOOKUP(A36,FOXA!A$2:G$55,7,0)</f>
        <v>35.770000000000003</v>
      </c>
      <c r="AQ36">
        <f>VLOOKUP(A36,GD!A$2:G$55,7,0)</f>
        <v>121.81</v>
      </c>
      <c r="AR36">
        <f>VLOOKUP(A36,GE!A$2:G$55,7,0)</f>
        <v>25.83</v>
      </c>
      <c r="AS36">
        <f>VLOOKUP(A36,GILD!A$2:G$55,7,0)</f>
        <v>101.28</v>
      </c>
      <c r="AT36">
        <f>VLOOKUP(A36,GM!A$2:G$55,7,0)</f>
        <v>34.270000000000003</v>
      </c>
      <c r="AU36">
        <f>VLOOKUP(A36,GOOG!A$2:G$55,7,0)</f>
        <v>586.86</v>
      </c>
      <c r="AV36">
        <f>VLOOKUP(A36,GOOGL!A$2:G$55,7,0)</f>
        <v>597.11</v>
      </c>
      <c r="AW36">
        <f>VLOOKUP(A36,GS!A$2:G$55,7,0)</f>
        <v>173.42</v>
      </c>
      <c r="AX36">
        <f>VLOOKUP(A36,HAL!A$2:G$55,7,0)</f>
        <v>68.62</v>
      </c>
      <c r="AY36">
        <f>VLOOKUP(A36,HD!A$2:G$55,7,0)</f>
        <v>87.79</v>
      </c>
      <c r="AZ36">
        <f>VLOOKUP(A36,HON!A$2:G$55,7,0)</f>
        <v>94.72</v>
      </c>
      <c r="BA36">
        <f>VLOOKUP(A36,HPQ!A$2:G$55,7,0)</f>
        <v>35.33</v>
      </c>
      <c r="BB36">
        <f>VLOOKUP(A36,IBM!A$2:G$55,7,0)</f>
        <v>190.07</v>
      </c>
      <c r="BC36">
        <f>VLOOKUP(A36,INTC!A$2:G$55,7,0)</f>
        <v>34.340000000000003</v>
      </c>
      <c r="BD36">
        <f>VLOOKUP(A36,JNJ!A$2:G$55,7,0)</f>
        <v>102.27</v>
      </c>
      <c r="BE36">
        <f>VLOOKUP(A36,JPM!A$2:G$55,7,0)</f>
        <v>57.56</v>
      </c>
      <c r="BF36">
        <f>VLOOKUP(A36,KO!A$2:G$55,7,0)</f>
        <v>40.96</v>
      </c>
      <c r="BG36">
        <f>VLOOKUP(A36,LLY!A$2:G$55,7,0)</f>
        <v>62.16</v>
      </c>
      <c r="BH36">
        <f>VLOOKUP(A36,LMT!A$2:G$55,7,0)</f>
        <v>170.83</v>
      </c>
      <c r="BI36">
        <f>VLOOKUP(A36,LOW!A$2:G$55,7,0)</f>
        <v>51.52</v>
      </c>
      <c r="BJ36">
        <f>VLOOKUP(A36,MA!A$2:G$55,7,0)</f>
        <v>76.400000000000006</v>
      </c>
      <c r="BK36">
        <f>VLOOKUP(A36,MCD!A$2:G$55,7,0)</f>
        <v>93.64</v>
      </c>
      <c r="BL36">
        <f>VLOOKUP(A36,MDLZ!A$2:G$55,7,0)</f>
        <v>36.01</v>
      </c>
      <c r="BM36">
        <f>VLOOKUP(A36,MDT!A$2:G$55,7,0)</f>
        <v>64.010000000000005</v>
      </c>
      <c r="BN36">
        <f>VLOOKUP(A36,MET!A$2:G$55,7,0)</f>
        <v>53.63</v>
      </c>
      <c r="BO36">
        <f>VLOOKUP(A36,MMM!A$2:G$55,7,0)</f>
        <v>143.4</v>
      </c>
      <c r="BP36">
        <f>VLOOKUP(A36,MO!A$2:G$55,7,0)</f>
        <v>42.19</v>
      </c>
      <c r="BQ36">
        <f>VLOOKUP(A36,MON!A$2:G$55,7,0)</f>
        <v>119.83</v>
      </c>
      <c r="BR36">
        <f>VLOOKUP(A36,MRK!A$2:G$55,7,0)</f>
        <v>58.48</v>
      </c>
      <c r="BS36">
        <f>VLOOKUP(A36,MS!A$2:G$55,7,0)</f>
        <v>32.53</v>
      </c>
      <c r="BT36">
        <f>VLOOKUP(A36,MSFT!A$2:G$55,7,0)</f>
        <v>45.33</v>
      </c>
      <c r="BU36">
        <f>VLOOKUP(A36,NKE!A$2:G$55,7,0)</f>
        <v>78.27</v>
      </c>
      <c r="BV36">
        <f>VLOOKUP(A36,NOV!A$2:G$55,7,0)</f>
        <v>83.15</v>
      </c>
      <c r="BW36">
        <f>VLOOKUP(A36,NSC!A$2:G$55,7,0)</f>
        <v>106.08</v>
      </c>
      <c r="BX36">
        <f>VLOOKUP(A36,ORCL!A$2:G$55,7,0)</f>
        <v>41.41</v>
      </c>
      <c r="BY36">
        <f>VLOOKUP(A36,OXY!A$2:G$55,7,0)</f>
        <v>101.08</v>
      </c>
      <c r="BZ36">
        <f>VLOOKUP(A36,PEP!A$2:G$55,7,0)</f>
        <v>91.21</v>
      </c>
      <c r="CA36">
        <f>VLOOKUP(A36,PFE!A$2:G$55,7,0)</f>
        <v>28.94</v>
      </c>
      <c r="CB36">
        <f>VLOOKUP(A36,PG!A$2:G$55,7,0)</f>
        <v>82.69</v>
      </c>
      <c r="CC36">
        <f>VLOOKUP(A36,PM!A$2:G$55,7,0)</f>
        <v>84.39</v>
      </c>
      <c r="CD36">
        <f>VLOOKUP(A36,QCOM!A$2:G$55,7,0)</f>
        <v>74.72</v>
      </c>
      <c r="CE36">
        <f>VLOOKUP(A36,RTN!A$2:G$55,7,0)</f>
        <v>94.49</v>
      </c>
      <c r="CF36">
        <f>VLOOKUP(A36,SBUX!A$2:G$55,7,0)</f>
        <v>78.12</v>
      </c>
      <c r="CG36">
        <f>VLOOKUP(A36,SLB!A$2:G$55,7,0)</f>
        <v>109.02</v>
      </c>
      <c r="CH36">
        <f>VLOOKUP(A36,SO!A$2:G$55,7,0)</f>
        <v>43.8</v>
      </c>
      <c r="CI36">
        <f>VLOOKUP(A36,SPG!A$2:G$55,7,0)</f>
        <v>169.87</v>
      </c>
      <c r="CJ36">
        <f>VLOOKUP(A36,T!A$2:G$55,7,0)</f>
        <v>34.479999999999997</v>
      </c>
      <c r="CK36">
        <f>VLOOKUP(A36,TGT!A$2:G$55,7,0)</f>
        <v>59.25</v>
      </c>
      <c r="CL36">
        <f>VLOOKUP(A36,TWX!A$2:G$55,7,0)</f>
        <v>76.67</v>
      </c>
      <c r="CM36">
        <f>VLOOKUP(A36,TXN!A$2:G$55,7,0)</f>
        <v>47.69</v>
      </c>
      <c r="CN36">
        <f>VLOOKUP(A36,UNH!A$2:G$55,7,0)</f>
        <v>83.12</v>
      </c>
      <c r="CO36">
        <f>VLOOKUP(A36,UNP!A$2:G$55,7,0)</f>
        <v>103.9</v>
      </c>
      <c r="CP36">
        <f>VLOOKUP(A36,UPS!A$2:G$55,7,0)</f>
        <v>98.27</v>
      </c>
      <c r="CQ36">
        <f>VLOOKUP(A36,USB!A$2:G$55,7,0)</f>
        <v>41.6</v>
      </c>
      <c r="CR36">
        <f>VLOOKUP(A36,UTX!A$2:G$55,7,0)</f>
        <v>108.56</v>
      </c>
      <c r="CS36">
        <f>VLOOKUP(A36,V!A$2:G$55,7,0)</f>
        <v>215</v>
      </c>
      <c r="CT36">
        <f>VLOOKUP(A36,VZ!A$2:G$55,7,0)</f>
        <v>48.7</v>
      </c>
      <c r="CU36">
        <f>VLOOKUP(A36,WAG!A$2:G$55,7,0)</f>
        <v>62.15</v>
      </c>
      <c r="CV36">
        <f>VLOOKUP(A36,WFC!A$2:G$55,7,0)</f>
        <v>50.86</v>
      </c>
      <c r="CW36">
        <f>VLOOKUP(A36,WMT!A$2:G$55,7,0)</f>
        <v>74.88</v>
      </c>
    </row>
    <row r="37" spans="1:101" x14ac:dyDescent="0.25">
      <c r="A37" s="34">
        <v>41871</v>
      </c>
      <c r="B37" s="36">
        <v>100.57</v>
      </c>
      <c r="C37">
        <f>VLOOKUP(A37,ABBV!A$2:G$55,7,0)</f>
        <v>55.06</v>
      </c>
      <c r="D37">
        <f>VLOOKUP(A37,ABT!A$2:G$55,7,0)</f>
        <v>42.14</v>
      </c>
      <c r="E37">
        <f>VLOOKUP(A37,ACN!A$2:G$55,7,0)</f>
        <v>80.400000000000006</v>
      </c>
      <c r="F37">
        <f>VLOOKUP(A37,AIG!A$2:G$55,7,0)</f>
        <v>54.75</v>
      </c>
      <c r="G37">
        <f>VLOOKUP(A37,ALL!A$2:G$55,7,0)</f>
        <v>61.12</v>
      </c>
      <c r="H37">
        <f>VLOOKUP(A37,AMGN!A$2:G$55,7,0)</f>
        <v>132.68</v>
      </c>
      <c r="I37">
        <f>VLOOKUP(A37,AMZN!A$2:G$55,7,0)</f>
        <v>335.78</v>
      </c>
      <c r="J37">
        <f>VLOOKUP(A37,APA!A$2:G$55,7,0)</f>
        <v>100.34</v>
      </c>
      <c r="K37">
        <f>VLOOKUP(A37,APC!A$2:G$55,7,0)</f>
        <v>109.75</v>
      </c>
      <c r="L37">
        <f>VLOOKUP(A37,AXP!A$2:G$55,7,0)</f>
        <v>88.49</v>
      </c>
      <c r="M37">
        <f>VLOOKUP(A37,BA!A$2:G$55,7,0)</f>
        <v>127.35</v>
      </c>
      <c r="N37">
        <f>VLOOKUP(A37,BAC!A$2:G$55,7,0)</f>
        <v>15.47</v>
      </c>
      <c r="O37">
        <f>VLOOKUP(A37,BAX!A$2:G$55,7,0)</f>
        <v>74.72</v>
      </c>
      <c r="P37">
        <f>VLOOKUP(A37,BIIB!A$2:G$55,7,0)</f>
        <v>342.58</v>
      </c>
      <c r="Q37">
        <f>VLOOKUP(A37,BK!A$2:G$55,7,0)</f>
        <v>38.78</v>
      </c>
      <c r="R37">
        <f>VLOOKUP(A37,BMY!A$2:G$55,7,0)</f>
        <v>50.04</v>
      </c>
      <c r="T37">
        <f>VLOOKUP(A37,'C'!A$2:G$55,7,0)</f>
        <v>49.8</v>
      </c>
      <c r="U37">
        <f>VLOOKUP(A37,CAT!A$2:G$55,7,0)</f>
        <v>107.7</v>
      </c>
      <c r="V37">
        <f>VLOOKUP(A37,CL!A$2:G$55,7,0)</f>
        <v>64.67</v>
      </c>
      <c r="W37">
        <f>VLOOKUP(A37,CMCSA!A$2:G$55,7,0)</f>
        <v>54.41</v>
      </c>
      <c r="X37">
        <f>VLOOKUP(A37,COF!A$2:G$55,7,0)</f>
        <v>80.92</v>
      </c>
      <c r="Y37">
        <f>VLOOKUP(A37,COP!A$2:G$55,7,0)</f>
        <v>80.5</v>
      </c>
      <c r="Z37">
        <f>VLOOKUP(A37,COST!A$2:G$55,7,0)</f>
        <v>120.91</v>
      </c>
      <c r="AA37">
        <f>VLOOKUP(A37,CSCO!A$2:G$55,7,0)</f>
        <v>24.71</v>
      </c>
      <c r="AB37">
        <f>VLOOKUP(A37,CVS!A$2:G$55,7,0)</f>
        <v>79.61</v>
      </c>
      <c r="AC37">
        <f>VLOOKUP(A37,CVX!A$2:G$55,7,0)</f>
        <v>127.49</v>
      </c>
      <c r="AD37">
        <f>VLOOKUP(A37,DD!A$2:G$55,7,0)</f>
        <v>66.22</v>
      </c>
      <c r="AE37">
        <f>VLOOKUP(A37,DIS!A$2:G$55,7,0)</f>
        <v>89.84</v>
      </c>
      <c r="AF37">
        <f>VLOOKUP(A37,DOW!A$2:G$55,7,0)</f>
        <v>52.93</v>
      </c>
      <c r="AG37">
        <f>VLOOKUP(A37,DVN!A$2:G$55,7,0)</f>
        <v>73.599999999999994</v>
      </c>
      <c r="AH37">
        <f>VLOOKUP(A37,EBAY!A$2:G$55,7,0)</f>
        <v>53.4</v>
      </c>
      <c r="AI37">
        <f>VLOOKUP(A37,EMC!A$2:G$55,7,0)</f>
        <v>29.58</v>
      </c>
      <c r="AJ37">
        <f>VLOOKUP(A37,EMR!A$2:G$55,7,0)</f>
        <v>64.48</v>
      </c>
      <c r="AK37">
        <f>VLOOKUP(A37,EXC!A$2:G$55,7,0)</f>
        <v>31.99</v>
      </c>
      <c r="AL37">
        <f>VLOOKUP(A37,F!A$2:G$55,7,0)</f>
        <v>17.41</v>
      </c>
      <c r="AM37">
        <f>VLOOKUP(A37,FB!A$2:G$55,7,0)</f>
        <v>74.81</v>
      </c>
      <c r="AN37">
        <f>VLOOKUP(A37,FCX!A$2:G$55,7,0)</f>
        <v>36.979999999999997</v>
      </c>
      <c r="AO37">
        <f>VLOOKUP(A37,FDX!A$2:G$55,7,0)</f>
        <v>150.43</v>
      </c>
      <c r="AP37">
        <f>VLOOKUP(A37,FOXA!A$2:G$55,7,0)</f>
        <v>35.549999999999997</v>
      </c>
      <c r="AQ37">
        <f>VLOOKUP(A37,GD!A$2:G$55,7,0)</f>
        <v>123.48</v>
      </c>
      <c r="AR37">
        <f>VLOOKUP(A37,GE!A$2:G$55,7,0)</f>
        <v>26.14</v>
      </c>
      <c r="AS37">
        <f>VLOOKUP(A37,GILD!A$2:G$55,7,0)</f>
        <v>100.79</v>
      </c>
      <c r="AT37">
        <f>VLOOKUP(A37,GM!A$2:G$55,7,0)</f>
        <v>34.229999999999997</v>
      </c>
      <c r="AU37">
        <f>VLOOKUP(A37,GOOG!A$2:G$55,7,0)</f>
        <v>584.49</v>
      </c>
      <c r="AV37">
        <f>VLOOKUP(A37,GOOGL!A$2:G$55,7,0)</f>
        <v>595.41</v>
      </c>
      <c r="AW37">
        <f>VLOOKUP(A37,GS!A$2:G$55,7,0)</f>
        <v>173.49</v>
      </c>
      <c r="AX37">
        <f>VLOOKUP(A37,HAL!A$2:G$55,7,0)</f>
        <v>68.63</v>
      </c>
      <c r="AY37">
        <f>VLOOKUP(A37,HD!A$2:G$55,7,0)</f>
        <v>90.29</v>
      </c>
      <c r="AZ37">
        <f>VLOOKUP(A37,HON!A$2:G$55,7,0)</f>
        <v>95.77</v>
      </c>
      <c r="BA37">
        <f>VLOOKUP(A37,HPQ!A$2:G$55,7,0)</f>
        <v>34.97</v>
      </c>
      <c r="BB37">
        <f>VLOOKUP(A37,IBM!A$2:G$55,7,0)</f>
        <v>190.1</v>
      </c>
      <c r="BC37">
        <f>VLOOKUP(A37,INTC!A$2:G$55,7,0)</f>
        <v>34.5</v>
      </c>
      <c r="BD37">
        <f>VLOOKUP(A37,JNJ!A$2:G$55,7,0)</f>
        <v>102.52</v>
      </c>
      <c r="BE37">
        <f>VLOOKUP(A37,JPM!A$2:G$55,7,0)</f>
        <v>57.64</v>
      </c>
      <c r="BF37">
        <f>VLOOKUP(A37,KO!A$2:G$55,7,0)</f>
        <v>40.950000000000003</v>
      </c>
      <c r="BG37">
        <f>VLOOKUP(A37,LLY!A$2:G$55,7,0)</f>
        <v>62.01</v>
      </c>
      <c r="BH37">
        <f>VLOOKUP(A37,LMT!A$2:G$55,7,0)</f>
        <v>173.99</v>
      </c>
      <c r="BI37">
        <f>VLOOKUP(A37,LOW!A$2:G$55,7,0)</f>
        <v>52.33</v>
      </c>
      <c r="BJ37">
        <f>VLOOKUP(A37,MA!A$2:G$55,7,0)</f>
        <v>76.39</v>
      </c>
      <c r="BK37">
        <f>VLOOKUP(A37,MCD!A$2:G$55,7,0)</f>
        <v>93.38</v>
      </c>
      <c r="BL37">
        <f>VLOOKUP(A37,MDLZ!A$2:G$55,7,0)</f>
        <v>36.04</v>
      </c>
      <c r="BM37">
        <f>VLOOKUP(A37,MDT!A$2:G$55,7,0)</f>
        <v>64.150000000000006</v>
      </c>
      <c r="BN37">
        <f>VLOOKUP(A37,MET!A$2:G$55,7,0)</f>
        <v>53.7</v>
      </c>
      <c r="BO37">
        <f>VLOOKUP(A37,MMM!A$2:G$55,7,0)</f>
        <v>144.6</v>
      </c>
      <c r="BP37">
        <f>VLOOKUP(A37,MO!A$2:G$55,7,0)</f>
        <v>41.96</v>
      </c>
      <c r="BQ37">
        <f>VLOOKUP(A37,MON!A$2:G$55,7,0)</f>
        <v>120.92</v>
      </c>
      <c r="BR37">
        <f>VLOOKUP(A37,MRK!A$2:G$55,7,0)</f>
        <v>59.05</v>
      </c>
      <c r="BS37">
        <f>VLOOKUP(A37,MS!A$2:G$55,7,0)</f>
        <v>32.54</v>
      </c>
      <c r="BT37">
        <f>VLOOKUP(A37,MSFT!A$2:G$55,7,0)</f>
        <v>44.95</v>
      </c>
      <c r="BU37">
        <f>VLOOKUP(A37,NKE!A$2:G$55,7,0)</f>
        <v>78.67</v>
      </c>
      <c r="BV37">
        <f>VLOOKUP(A37,NOV!A$2:G$55,7,0)</f>
        <v>83.37</v>
      </c>
      <c r="BW37">
        <f>VLOOKUP(A37,NSC!A$2:G$55,7,0)</f>
        <v>106.36</v>
      </c>
      <c r="BX37">
        <f>VLOOKUP(A37,ORCL!A$2:G$55,7,0)</f>
        <v>41.25</v>
      </c>
      <c r="BY37">
        <f>VLOOKUP(A37,OXY!A$2:G$55,7,0)</f>
        <v>101.02</v>
      </c>
      <c r="BZ37">
        <f>VLOOKUP(A37,PEP!A$2:G$55,7,0)</f>
        <v>91.58</v>
      </c>
      <c r="CA37">
        <f>VLOOKUP(A37,PFE!A$2:G$55,7,0)</f>
        <v>28.89</v>
      </c>
      <c r="CB37">
        <f>VLOOKUP(A37,PG!A$2:G$55,7,0)</f>
        <v>82.81</v>
      </c>
      <c r="CC37">
        <f>VLOOKUP(A37,PM!A$2:G$55,7,0)</f>
        <v>84.1</v>
      </c>
      <c r="CD37">
        <f>VLOOKUP(A37,QCOM!A$2:G$55,7,0)</f>
        <v>76.02</v>
      </c>
      <c r="CE37">
        <f>VLOOKUP(A37,RTN!A$2:G$55,7,0)</f>
        <v>96.08</v>
      </c>
      <c r="CF37">
        <f>VLOOKUP(A37,SBUX!A$2:G$55,7,0)</f>
        <v>78.03</v>
      </c>
      <c r="CG37">
        <f>VLOOKUP(A37,SLB!A$2:G$55,7,0)</f>
        <v>109.45</v>
      </c>
      <c r="CH37">
        <f>VLOOKUP(A37,SO!A$2:G$55,7,0)</f>
        <v>43.81</v>
      </c>
      <c r="CI37">
        <f>VLOOKUP(A37,SPG!A$2:G$55,7,0)</f>
        <v>170.52</v>
      </c>
      <c r="CJ37">
        <f>VLOOKUP(A37,T!A$2:G$55,7,0)</f>
        <v>34.53</v>
      </c>
      <c r="CK37">
        <f>VLOOKUP(A37,TGT!A$2:G$55,7,0)</f>
        <v>60.33</v>
      </c>
      <c r="CL37">
        <f>VLOOKUP(A37,TWX!A$2:G$55,7,0)</f>
        <v>76.7</v>
      </c>
      <c r="CM37">
        <f>VLOOKUP(A37,TXN!A$2:G$55,7,0)</f>
        <v>47.88</v>
      </c>
      <c r="CN37">
        <f>VLOOKUP(A37,UNH!A$2:G$55,7,0)</f>
        <v>83.08</v>
      </c>
      <c r="CO37">
        <f>VLOOKUP(A37,UNP!A$2:G$55,7,0)</f>
        <v>105.07</v>
      </c>
      <c r="CP37">
        <f>VLOOKUP(A37,UPS!A$2:G$55,7,0)</f>
        <v>98.8</v>
      </c>
      <c r="CQ37">
        <f>VLOOKUP(A37,USB!A$2:G$55,7,0)</f>
        <v>41.47</v>
      </c>
      <c r="CR37">
        <f>VLOOKUP(A37,UTX!A$2:G$55,7,0)</f>
        <v>109.71</v>
      </c>
      <c r="CS37">
        <f>VLOOKUP(A37,V!A$2:G$55,7,0)</f>
        <v>216.2</v>
      </c>
      <c r="CT37">
        <f>VLOOKUP(A37,VZ!A$2:G$55,7,0)</f>
        <v>48.82</v>
      </c>
      <c r="CU37">
        <f>VLOOKUP(A37,WAG!A$2:G$55,7,0)</f>
        <v>62</v>
      </c>
      <c r="CV37">
        <f>VLOOKUP(A37,WFC!A$2:G$55,7,0)</f>
        <v>50.85</v>
      </c>
      <c r="CW37">
        <f>VLOOKUP(A37,WMT!A$2:G$55,7,0)</f>
        <v>74.959999999999994</v>
      </c>
    </row>
    <row r="38" spans="1:101" x14ac:dyDescent="0.25">
      <c r="A38" s="34">
        <v>41872</v>
      </c>
      <c r="B38" s="36">
        <v>100.58</v>
      </c>
      <c r="C38">
        <f>VLOOKUP(A38,ABBV!A$2:G$55,7,0)</f>
        <v>54.96</v>
      </c>
      <c r="D38">
        <f>VLOOKUP(A38,ABT!A$2:G$55,7,0)</f>
        <v>42.32</v>
      </c>
      <c r="E38">
        <f>VLOOKUP(A38,ACN!A$2:G$55,7,0)</f>
        <v>80.819999999999993</v>
      </c>
      <c r="F38">
        <f>VLOOKUP(A38,AIG!A$2:G$55,7,0)</f>
        <v>55.45</v>
      </c>
      <c r="G38">
        <f>VLOOKUP(A38,ALL!A$2:G$55,7,0)</f>
        <v>61.23</v>
      </c>
      <c r="H38">
        <f>VLOOKUP(A38,AMGN!A$2:G$55,7,0)</f>
        <v>132.53</v>
      </c>
      <c r="I38">
        <f>VLOOKUP(A38,AMZN!A$2:G$55,7,0)</f>
        <v>332.91</v>
      </c>
      <c r="J38">
        <f>VLOOKUP(A38,APA!A$2:G$55,7,0)</f>
        <v>101.13</v>
      </c>
      <c r="K38">
        <f>VLOOKUP(A38,APC!A$2:G$55,7,0)</f>
        <v>110.46</v>
      </c>
      <c r="L38">
        <f>VLOOKUP(A38,AXP!A$2:G$55,7,0)</f>
        <v>89.14</v>
      </c>
      <c r="M38">
        <f>VLOOKUP(A38,BA!A$2:G$55,7,0)</f>
        <v>127.5</v>
      </c>
      <c r="N38">
        <f>VLOOKUP(A38,BAC!A$2:G$55,7,0)</f>
        <v>16.11</v>
      </c>
      <c r="O38">
        <f>VLOOKUP(A38,BAX!A$2:G$55,7,0)</f>
        <v>75.27</v>
      </c>
      <c r="P38">
        <f>VLOOKUP(A38,BIIB!A$2:G$55,7,0)</f>
        <v>338.65</v>
      </c>
      <c r="Q38">
        <f>VLOOKUP(A38,BK!A$2:G$55,7,0)</f>
        <v>39.14</v>
      </c>
      <c r="R38">
        <f>VLOOKUP(A38,BMY!A$2:G$55,7,0)</f>
        <v>49.99</v>
      </c>
      <c r="T38">
        <f>VLOOKUP(A38,'C'!A$2:G$55,7,0)</f>
        <v>51.07</v>
      </c>
      <c r="U38">
        <f>VLOOKUP(A38,CAT!A$2:G$55,7,0)</f>
        <v>107.97</v>
      </c>
      <c r="V38">
        <f>VLOOKUP(A38,CL!A$2:G$55,7,0)</f>
        <v>64.81</v>
      </c>
      <c r="W38">
        <f>VLOOKUP(A38,CMCSA!A$2:G$55,7,0)</f>
        <v>54.21</v>
      </c>
      <c r="X38">
        <f>VLOOKUP(A38,COF!A$2:G$55,7,0)</f>
        <v>81.69</v>
      </c>
      <c r="Y38">
        <f>VLOOKUP(A38,COP!A$2:G$55,7,0)</f>
        <v>80.98</v>
      </c>
      <c r="Z38">
        <f>VLOOKUP(A38,COST!A$2:G$55,7,0)</f>
        <v>121.62</v>
      </c>
      <c r="AA38">
        <f>VLOOKUP(A38,CSCO!A$2:G$55,7,0)</f>
        <v>24.89</v>
      </c>
      <c r="AB38">
        <f>VLOOKUP(A38,CVS!A$2:G$55,7,0)</f>
        <v>78.98</v>
      </c>
      <c r="AC38">
        <f>VLOOKUP(A38,CVX!A$2:G$55,7,0)</f>
        <v>127.93</v>
      </c>
      <c r="AD38">
        <f>VLOOKUP(A38,DD!A$2:G$55,7,0)</f>
        <v>66.3</v>
      </c>
      <c r="AE38">
        <f>VLOOKUP(A38,DIS!A$2:G$55,7,0)</f>
        <v>90.38</v>
      </c>
      <c r="AF38">
        <f>VLOOKUP(A38,DOW!A$2:G$55,7,0)</f>
        <v>52.7</v>
      </c>
      <c r="AG38">
        <f>VLOOKUP(A38,DVN!A$2:G$55,7,0)</f>
        <v>74.650000000000006</v>
      </c>
      <c r="AH38">
        <f>VLOOKUP(A38,EBAY!A$2:G$55,7,0)</f>
        <v>55.89</v>
      </c>
      <c r="AI38">
        <f>VLOOKUP(A38,EMC!A$2:G$55,7,0)</f>
        <v>29.5</v>
      </c>
      <c r="AJ38">
        <f>VLOOKUP(A38,EMR!A$2:G$55,7,0)</f>
        <v>64.56</v>
      </c>
      <c r="AK38">
        <f>VLOOKUP(A38,EXC!A$2:G$55,7,0)</f>
        <v>32.25</v>
      </c>
      <c r="AL38">
        <f>VLOOKUP(A38,F!A$2:G$55,7,0)</f>
        <v>17.399999999999999</v>
      </c>
      <c r="AM38">
        <f>VLOOKUP(A38,FB!A$2:G$55,7,0)</f>
        <v>74.569999999999993</v>
      </c>
      <c r="AN38">
        <f>VLOOKUP(A38,FCX!A$2:G$55,7,0)</f>
        <v>36.68</v>
      </c>
      <c r="AO38">
        <f>VLOOKUP(A38,FDX!A$2:G$55,7,0)</f>
        <v>150.35</v>
      </c>
      <c r="AP38">
        <f>VLOOKUP(A38,FOXA!A$2:G$55,7,0)</f>
        <v>35.61</v>
      </c>
      <c r="AQ38">
        <f>VLOOKUP(A38,GD!A$2:G$55,7,0)</f>
        <v>123.68</v>
      </c>
      <c r="AR38">
        <f>VLOOKUP(A38,GE!A$2:G$55,7,0)</f>
        <v>26.21</v>
      </c>
      <c r="AS38">
        <f>VLOOKUP(A38,GILD!A$2:G$55,7,0)</f>
        <v>102.27</v>
      </c>
      <c r="AT38">
        <f>VLOOKUP(A38,GM!A$2:G$55,7,0)</f>
        <v>34.299999999999997</v>
      </c>
      <c r="AU38">
        <f>VLOOKUP(A38,GOOG!A$2:G$55,7,0)</f>
        <v>583.37</v>
      </c>
      <c r="AV38">
        <f>VLOOKUP(A38,GOOGL!A$2:G$55,7,0)</f>
        <v>592.41999999999996</v>
      </c>
      <c r="AW38">
        <f>VLOOKUP(A38,GS!A$2:G$55,7,0)</f>
        <v>174.61</v>
      </c>
      <c r="AX38">
        <f>VLOOKUP(A38,HAL!A$2:G$55,7,0)</f>
        <v>68.19</v>
      </c>
      <c r="AY38">
        <f>VLOOKUP(A38,HD!A$2:G$55,7,0)</f>
        <v>90.69</v>
      </c>
      <c r="AZ38">
        <f>VLOOKUP(A38,HON!A$2:G$55,7,0)</f>
        <v>95.94</v>
      </c>
      <c r="BA38">
        <f>VLOOKUP(A38,HPQ!A$2:G$55,7,0)</f>
        <v>36.840000000000003</v>
      </c>
      <c r="BB38">
        <f>VLOOKUP(A38,IBM!A$2:G$55,7,0)</f>
        <v>191.23</v>
      </c>
      <c r="BC38">
        <f>VLOOKUP(A38,INTC!A$2:G$55,7,0)</f>
        <v>35.15</v>
      </c>
      <c r="BD38">
        <f>VLOOKUP(A38,JNJ!A$2:G$55,7,0)</f>
        <v>103.49</v>
      </c>
      <c r="BE38">
        <f>VLOOKUP(A38,JPM!A$2:G$55,7,0)</f>
        <v>58.5</v>
      </c>
      <c r="BF38">
        <f>VLOOKUP(A38,KO!A$2:G$55,7,0)</f>
        <v>41.11</v>
      </c>
      <c r="BG38">
        <f>VLOOKUP(A38,LLY!A$2:G$55,7,0)</f>
        <v>62.03</v>
      </c>
      <c r="BH38">
        <f>VLOOKUP(A38,LMT!A$2:G$55,7,0)</f>
        <v>173.78</v>
      </c>
      <c r="BI38">
        <f>VLOOKUP(A38,LOW!A$2:G$55,7,0)</f>
        <v>52.67</v>
      </c>
      <c r="BJ38">
        <f>VLOOKUP(A38,MA!A$2:G$55,7,0)</f>
        <v>76.989999999999995</v>
      </c>
      <c r="BK38">
        <f>VLOOKUP(A38,MCD!A$2:G$55,7,0)</f>
        <v>93.72</v>
      </c>
      <c r="BL38">
        <f>VLOOKUP(A38,MDLZ!A$2:G$55,7,0)</f>
        <v>36</v>
      </c>
      <c r="BM38">
        <f>VLOOKUP(A38,MDT!A$2:G$55,7,0)</f>
        <v>64.099999999999994</v>
      </c>
      <c r="BN38">
        <f>VLOOKUP(A38,MET!A$2:G$55,7,0)</f>
        <v>53.94</v>
      </c>
      <c r="BO38">
        <f>VLOOKUP(A38,MMM!A$2:G$55,7,0)</f>
        <v>144.5</v>
      </c>
      <c r="BP38">
        <f>VLOOKUP(A38,MO!A$2:G$55,7,0)</f>
        <v>42.08</v>
      </c>
      <c r="BQ38">
        <f>VLOOKUP(A38,MON!A$2:G$55,7,0)</f>
        <v>117.65</v>
      </c>
      <c r="BR38">
        <f>VLOOKUP(A38,MRK!A$2:G$55,7,0)</f>
        <v>58.42</v>
      </c>
      <c r="BS38">
        <f>VLOOKUP(A38,MS!A$2:G$55,7,0)</f>
        <v>33.03</v>
      </c>
      <c r="BT38">
        <f>VLOOKUP(A38,MSFT!A$2:G$55,7,0)</f>
        <v>45.22</v>
      </c>
      <c r="BU38">
        <f>VLOOKUP(A38,NKE!A$2:G$55,7,0)</f>
        <v>78.7</v>
      </c>
      <c r="BV38">
        <f>VLOOKUP(A38,NOV!A$2:G$55,7,0)</f>
        <v>83.94</v>
      </c>
      <c r="BW38">
        <f>VLOOKUP(A38,NSC!A$2:G$55,7,0)</f>
        <v>105.18</v>
      </c>
      <c r="BX38">
        <f>VLOOKUP(A38,ORCL!A$2:G$55,7,0)</f>
        <v>41.58</v>
      </c>
      <c r="BY38">
        <f>VLOOKUP(A38,OXY!A$2:G$55,7,0)</f>
        <v>101.54</v>
      </c>
      <c r="BZ38">
        <f>VLOOKUP(A38,PEP!A$2:G$55,7,0)</f>
        <v>91.4</v>
      </c>
      <c r="CA38">
        <f>VLOOKUP(A38,PFE!A$2:G$55,7,0)</f>
        <v>28.82</v>
      </c>
      <c r="CB38">
        <f>VLOOKUP(A38,PG!A$2:G$55,7,0)</f>
        <v>83.28</v>
      </c>
      <c r="CC38">
        <f>VLOOKUP(A38,PM!A$2:G$55,7,0)</f>
        <v>84.16</v>
      </c>
      <c r="CD38">
        <f>VLOOKUP(A38,QCOM!A$2:G$55,7,0)</f>
        <v>76.349999999999994</v>
      </c>
      <c r="CE38">
        <f>VLOOKUP(A38,RTN!A$2:G$55,7,0)</f>
        <v>96</v>
      </c>
      <c r="CF38">
        <f>VLOOKUP(A38,SBUX!A$2:G$55,7,0)</f>
        <v>77.47</v>
      </c>
      <c r="CG38">
        <f>VLOOKUP(A38,SLB!A$2:G$55,7,0)</f>
        <v>109.04</v>
      </c>
      <c r="CH38">
        <f>VLOOKUP(A38,SO!A$2:G$55,7,0)</f>
        <v>43.89</v>
      </c>
      <c r="CI38">
        <f>VLOOKUP(A38,SPG!A$2:G$55,7,0)</f>
        <v>170.46</v>
      </c>
      <c r="CJ38">
        <f>VLOOKUP(A38,T!A$2:G$55,7,0)</f>
        <v>34.64</v>
      </c>
      <c r="CK38">
        <f>VLOOKUP(A38,TGT!A$2:G$55,7,0)</f>
        <v>61.07</v>
      </c>
      <c r="CL38">
        <f>VLOOKUP(A38,TWX!A$2:G$55,7,0)</f>
        <v>76.44</v>
      </c>
      <c r="CM38">
        <f>VLOOKUP(A38,TXN!A$2:G$55,7,0)</f>
        <v>48.17</v>
      </c>
      <c r="CN38">
        <f>VLOOKUP(A38,UNH!A$2:G$55,7,0)</f>
        <v>83.42</v>
      </c>
      <c r="CO38">
        <f>VLOOKUP(A38,UNP!A$2:G$55,7,0)</f>
        <v>105.36</v>
      </c>
      <c r="CP38">
        <f>VLOOKUP(A38,UPS!A$2:G$55,7,0)</f>
        <v>98.41</v>
      </c>
      <c r="CQ38">
        <f>VLOOKUP(A38,USB!A$2:G$55,7,0)</f>
        <v>41.94</v>
      </c>
      <c r="CR38">
        <f>VLOOKUP(A38,UTX!A$2:G$55,7,0)</f>
        <v>110.06</v>
      </c>
      <c r="CS38">
        <f>VLOOKUP(A38,V!A$2:G$55,7,0)</f>
        <v>215.75</v>
      </c>
      <c r="CT38">
        <f>VLOOKUP(A38,VZ!A$2:G$55,7,0)</f>
        <v>48.87</v>
      </c>
      <c r="CU38">
        <f>VLOOKUP(A38,WAG!A$2:G$55,7,0)</f>
        <v>61.07</v>
      </c>
      <c r="CV38">
        <f>VLOOKUP(A38,WFC!A$2:G$55,7,0)</f>
        <v>51.29</v>
      </c>
      <c r="CW38">
        <f>VLOOKUP(A38,WMT!A$2:G$55,7,0)</f>
        <v>75.55</v>
      </c>
    </row>
    <row r="39" spans="1:101" x14ac:dyDescent="0.25">
      <c r="A39" s="34">
        <v>41873</v>
      </c>
      <c r="B39" s="36">
        <v>101.32</v>
      </c>
      <c r="C39">
        <f>VLOOKUP(A39,ABBV!A$2:G$55,7,0)</f>
        <v>55.2</v>
      </c>
      <c r="D39">
        <f>VLOOKUP(A39,ABT!A$2:G$55,7,0)</f>
        <v>42.11</v>
      </c>
      <c r="E39">
        <f>VLOOKUP(A39,ACN!A$2:G$55,7,0)</f>
        <v>80.510000000000005</v>
      </c>
      <c r="F39">
        <f>VLOOKUP(A39,AIG!A$2:G$55,7,0)</f>
        <v>55.2</v>
      </c>
      <c r="G39">
        <f>VLOOKUP(A39,ALL!A$2:G$55,7,0)</f>
        <v>60.94</v>
      </c>
      <c r="H39">
        <f>VLOOKUP(A39,AMGN!A$2:G$55,7,0)</f>
        <v>132.82</v>
      </c>
      <c r="I39">
        <f>VLOOKUP(A39,AMZN!A$2:G$55,7,0)</f>
        <v>331.59</v>
      </c>
      <c r="J39">
        <f>VLOOKUP(A39,APA!A$2:G$55,7,0)</f>
        <v>99.82</v>
      </c>
      <c r="K39">
        <f>VLOOKUP(A39,APC!A$2:G$55,7,0)</f>
        <v>109.47</v>
      </c>
      <c r="L39">
        <f>VLOOKUP(A39,AXP!A$2:G$55,7,0)</f>
        <v>88.88</v>
      </c>
      <c r="M39">
        <f>VLOOKUP(A39,BA!A$2:G$55,7,0)</f>
        <v>127.46</v>
      </c>
      <c r="N39">
        <f>VLOOKUP(A39,BAC!A$2:G$55,7,0)</f>
        <v>16.079999999999998</v>
      </c>
      <c r="O39">
        <f>VLOOKUP(A39,BAX!A$2:G$55,7,0)</f>
        <v>74.510000000000005</v>
      </c>
      <c r="P39">
        <f>VLOOKUP(A39,BIIB!A$2:G$55,7,0)</f>
        <v>339.97</v>
      </c>
      <c r="Q39">
        <f>VLOOKUP(A39,BK!A$2:G$55,7,0)</f>
        <v>39.119999999999997</v>
      </c>
      <c r="R39">
        <f>VLOOKUP(A39,BMY!A$2:G$55,7,0)</f>
        <v>50.18</v>
      </c>
      <c r="T39">
        <f>VLOOKUP(A39,'C'!A$2:G$55,7,0)</f>
        <v>50.93</v>
      </c>
      <c r="U39">
        <f>VLOOKUP(A39,CAT!A$2:G$55,7,0)</f>
        <v>107.31</v>
      </c>
      <c r="V39">
        <f>VLOOKUP(A39,CL!A$2:G$55,7,0)</f>
        <v>64.569999999999993</v>
      </c>
      <c r="W39">
        <f>VLOOKUP(A39,CMCSA!A$2:G$55,7,0)</f>
        <v>53.96</v>
      </c>
      <c r="X39">
        <f>VLOOKUP(A39,COF!A$2:G$55,7,0)</f>
        <v>81.3</v>
      </c>
      <c r="Y39">
        <f>VLOOKUP(A39,COP!A$2:G$55,7,0)</f>
        <v>80.239999999999995</v>
      </c>
      <c r="Z39">
        <f>VLOOKUP(A39,COST!A$2:G$55,7,0)</f>
        <v>121.29</v>
      </c>
      <c r="AA39">
        <f>VLOOKUP(A39,CSCO!A$2:G$55,7,0)</f>
        <v>24.65</v>
      </c>
      <c r="AB39">
        <f>VLOOKUP(A39,CVS!A$2:G$55,7,0)</f>
        <v>79.239999999999995</v>
      </c>
      <c r="AC39">
        <f>VLOOKUP(A39,CVX!A$2:G$55,7,0)</f>
        <v>127.11</v>
      </c>
      <c r="AD39">
        <f>VLOOKUP(A39,DD!A$2:G$55,7,0)</f>
        <v>65.86</v>
      </c>
      <c r="AE39">
        <f>VLOOKUP(A39,DIS!A$2:G$55,7,0)</f>
        <v>90.49</v>
      </c>
      <c r="AF39">
        <f>VLOOKUP(A39,DOW!A$2:G$55,7,0)</f>
        <v>52.74</v>
      </c>
      <c r="AG39">
        <f>VLOOKUP(A39,DVN!A$2:G$55,7,0)</f>
        <v>73.900000000000006</v>
      </c>
      <c r="AH39">
        <f>VLOOKUP(A39,EBAY!A$2:G$55,7,0)</f>
        <v>55.5</v>
      </c>
      <c r="AI39">
        <f>VLOOKUP(A39,EMC!A$2:G$55,7,0)</f>
        <v>29.52</v>
      </c>
      <c r="AJ39">
        <f>VLOOKUP(A39,EMR!A$2:G$55,7,0)</f>
        <v>64.599999999999994</v>
      </c>
      <c r="AK39">
        <f>VLOOKUP(A39,EXC!A$2:G$55,7,0)</f>
        <v>32.39</v>
      </c>
      <c r="AL39">
        <f>VLOOKUP(A39,F!A$2:G$55,7,0)</f>
        <v>17.170000000000002</v>
      </c>
      <c r="AM39">
        <f>VLOOKUP(A39,FB!A$2:G$55,7,0)</f>
        <v>74.569999999999993</v>
      </c>
      <c r="AN39">
        <f>VLOOKUP(A39,FCX!A$2:G$55,7,0)</f>
        <v>36.44</v>
      </c>
      <c r="AO39">
        <f>VLOOKUP(A39,FDX!A$2:G$55,7,0)</f>
        <v>149.27000000000001</v>
      </c>
      <c r="AP39">
        <f>VLOOKUP(A39,FOXA!A$2:G$55,7,0)</f>
        <v>35.57</v>
      </c>
      <c r="AQ39">
        <f>VLOOKUP(A39,GD!A$2:G$55,7,0)</f>
        <v>123.85</v>
      </c>
      <c r="AR39">
        <f>VLOOKUP(A39,GE!A$2:G$55,7,0)</f>
        <v>25.93</v>
      </c>
      <c r="AS39">
        <f>VLOOKUP(A39,GILD!A$2:G$55,7,0)</f>
        <v>103.96</v>
      </c>
      <c r="AT39">
        <f>VLOOKUP(A39,GM!A$2:G$55,7,0)</f>
        <v>33.94</v>
      </c>
      <c r="AU39">
        <f>VLOOKUP(A39,GOOG!A$2:G$55,7,0)</f>
        <v>582.55999999999995</v>
      </c>
      <c r="AV39">
        <f>VLOOKUP(A39,GOOGL!A$2:G$55,7,0)</f>
        <v>592.54</v>
      </c>
      <c r="AW39">
        <f>VLOOKUP(A39,GS!A$2:G$55,7,0)</f>
        <v>174.93</v>
      </c>
      <c r="AX39">
        <f>VLOOKUP(A39,HAL!A$2:G$55,7,0)</f>
        <v>67.319999999999993</v>
      </c>
      <c r="AY39">
        <f>VLOOKUP(A39,HD!A$2:G$55,7,0)</f>
        <v>90.57</v>
      </c>
      <c r="AZ39">
        <f>VLOOKUP(A39,HON!A$2:G$55,7,0)</f>
        <v>95.56</v>
      </c>
      <c r="BA39">
        <f>VLOOKUP(A39,HPQ!A$2:G$55,7,0)</f>
        <v>36.68</v>
      </c>
      <c r="BB39">
        <f>VLOOKUP(A39,IBM!A$2:G$55,7,0)</f>
        <v>190.41</v>
      </c>
      <c r="BC39">
        <f>VLOOKUP(A39,INTC!A$2:G$55,7,0)</f>
        <v>34.94</v>
      </c>
      <c r="BD39">
        <f>VLOOKUP(A39,JNJ!A$2:G$55,7,0)</f>
        <v>103.1</v>
      </c>
      <c r="BE39">
        <f>VLOOKUP(A39,JPM!A$2:G$55,7,0)</f>
        <v>58.49</v>
      </c>
      <c r="BF39">
        <f>VLOOKUP(A39,KO!A$2:G$55,7,0)</f>
        <v>40.82</v>
      </c>
      <c r="BG39">
        <f>VLOOKUP(A39,LLY!A$2:G$55,7,0)</f>
        <v>62.32</v>
      </c>
      <c r="BH39">
        <f>VLOOKUP(A39,LMT!A$2:G$55,7,0)</f>
        <v>173.83</v>
      </c>
      <c r="BI39">
        <f>VLOOKUP(A39,LOW!A$2:G$55,7,0)</f>
        <v>52.53</v>
      </c>
      <c r="BJ39">
        <f>VLOOKUP(A39,MA!A$2:G$55,7,0)</f>
        <v>76.48</v>
      </c>
      <c r="BK39">
        <f>VLOOKUP(A39,MCD!A$2:G$55,7,0)</f>
        <v>93.64</v>
      </c>
      <c r="BL39">
        <f>VLOOKUP(A39,MDLZ!A$2:G$55,7,0)</f>
        <v>35.700000000000003</v>
      </c>
      <c r="BM39">
        <f>VLOOKUP(A39,MDT!A$2:G$55,7,0)</f>
        <v>63.59</v>
      </c>
      <c r="BN39">
        <f>VLOOKUP(A39,MET!A$2:G$55,7,0)</f>
        <v>53.59</v>
      </c>
      <c r="BO39">
        <f>VLOOKUP(A39,MMM!A$2:G$55,7,0)</f>
        <v>144.13</v>
      </c>
      <c r="BP39">
        <f>VLOOKUP(A39,MO!A$2:G$55,7,0)</f>
        <v>42.09</v>
      </c>
      <c r="BQ39">
        <f>VLOOKUP(A39,MON!A$2:G$55,7,0)</f>
        <v>116.62</v>
      </c>
      <c r="BR39">
        <f>VLOOKUP(A39,MRK!A$2:G$55,7,0)</f>
        <v>58.74</v>
      </c>
      <c r="BS39">
        <f>VLOOKUP(A39,MS!A$2:G$55,7,0)</f>
        <v>33.47</v>
      </c>
      <c r="BT39">
        <f>VLOOKUP(A39,MSFT!A$2:G$55,7,0)</f>
        <v>45.15</v>
      </c>
      <c r="BU39">
        <f>VLOOKUP(A39,NKE!A$2:G$55,7,0)</f>
        <v>79.05</v>
      </c>
      <c r="BV39">
        <f>VLOOKUP(A39,NOV!A$2:G$55,7,0)</f>
        <v>83.53</v>
      </c>
      <c r="BW39">
        <f>VLOOKUP(A39,NSC!A$2:G$55,7,0)</f>
        <v>105.48</v>
      </c>
      <c r="BX39">
        <f>VLOOKUP(A39,ORCL!A$2:G$55,7,0)</f>
        <v>41.63</v>
      </c>
      <c r="BY39">
        <f>VLOOKUP(A39,OXY!A$2:G$55,7,0)</f>
        <v>101.71</v>
      </c>
      <c r="BZ39">
        <f>VLOOKUP(A39,PEP!A$2:G$55,7,0)</f>
        <v>90.95</v>
      </c>
      <c r="CA39">
        <f>VLOOKUP(A39,PFE!A$2:G$55,7,0)</f>
        <v>28.92</v>
      </c>
      <c r="CB39">
        <f>VLOOKUP(A39,PG!A$2:G$55,7,0)</f>
        <v>83.39</v>
      </c>
      <c r="CC39">
        <f>VLOOKUP(A39,PM!A$2:G$55,7,0)</f>
        <v>83.36</v>
      </c>
      <c r="CD39">
        <f>VLOOKUP(A39,QCOM!A$2:G$55,7,0)</f>
        <v>76.400000000000006</v>
      </c>
      <c r="CE39">
        <f>VLOOKUP(A39,RTN!A$2:G$55,7,0)</f>
        <v>96</v>
      </c>
      <c r="CF39">
        <f>VLOOKUP(A39,SBUX!A$2:G$55,7,0)</f>
        <v>77.28</v>
      </c>
      <c r="CG39">
        <f>VLOOKUP(A39,SLB!A$2:G$55,7,0)</f>
        <v>108.63</v>
      </c>
      <c r="CH39">
        <f>VLOOKUP(A39,SO!A$2:G$55,7,0)</f>
        <v>43.68</v>
      </c>
      <c r="CI39">
        <f>VLOOKUP(A39,SPG!A$2:G$55,7,0)</f>
        <v>169.42</v>
      </c>
      <c r="CJ39">
        <f>VLOOKUP(A39,T!A$2:G$55,7,0)</f>
        <v>34.5</v>
      </c>
      <c r="CK39">
        <f>VLOOKUP(A39,TGT!A$2:G$55,7,0)</f>
        <v>61.05</v>
      </c>
      <c r="CL39">
        <f>VLOOKUP(A39,TWX!A$2:G$55,7,0)</f>
        <v>76.91</v>
      </c>
      <c r="CM39">
        <f>VLOOKUP(A39,TXN!A$2:G$55,7,0)</f>
        <v>48.02</v>
      </c>
      <c r="CN39">
        <f>VLOOKUP(A39,UNH!A$2:G$55,7,0)</f>
        <v>83.43</v>
      </c>
      <c r="CO39">
        <f>VLOOKUP(A39,UNP!A$2:G$55,7,0)</f>
        <v>105.27</v>
      </c>
      <c r="CP39">
        <f>VLOOKUP(A39,UPS!A$2:G$55,7,0)</f>
        <v>97.77</v>
      </c>
      <c r="CQ39">
        <f>VLOOKUP(A39,USB!A$2:G$55,7,0)</f>
        <v>41.78</v>
      </c>
      <c r="CR39">
        <f>VLOOKUP(A39,UTX!A$2:G$55,7,0)</f>
        <v>109.39</v>
      </c>
      <c r="CS39">
        <f>VLOOKUP(A39,V!A$2:G$55,7,0)</f>
        <v>216.09</v>
      </c>
      <c r="CT39">
        <f>VLOOKUP(A39,VZ!A$2:G$55,7,0)</f>
        <v>48.64</v>
      </c>
      <c r="CU39">
        <f>VLOOKUP(A39,WAG!A$2:G$55,7,0)</f>
        <v>61.05</v>
      </c>
      <c r="CV39">
        <f>VLOOKUP(A39,WFC!A$2:G$55,7,0)</f>
        <v>51.18</v>
      </c>
      <c r="CW39">
        <f>VLOOKUP(A39,WMT!A$2:G$55,7,0)</f>
        <v>75.73</v>
      </c>
    </row>
    <row r="40" spans="1:101" x14ac:dyDescent="0.25">
      <c r="A40" s="34">
        <v>41876</v>
      </c>
      <c r="B40" s="36">
        <v>101.54</v>
      </c>
      <c r="C40">
        <f>VLOOKUP(A40,ABBV!A$2:G$55,7,0)</f>
        <v>55.87</v>
      </c>
      <c r="D40">
        <f>VLOOKUP(A40,ABT!A$2:G$55,7,0)</f>
        <v>42.49</v>
      </c>
      <c r="E40">
        <f>VLOOKUP(A40,ACN!A$2:G$55,7,0)</f>
        <v>80.98</v>
      </c>
      <c r="F40">
        <f>VLOOKUP(A40,AIG!A$2:G$55,7,0)</f>
        <v>55.76</v>
      </c>
      <c r="G40">
        <f>VLOOKUP(A40,ALL!A$2:G$55,7,0)</f>
        <v>61.63</v>
      </c>
      <c r="H40">
        <f>VLOOKUP(A40,AMGN!A$2:G$55,7,0)</f>
        <v>134.79</v>
      </c>
      <c r="I40">
        <f>VLOOKUP(A40,AMZN!A$2:G$55,7,0)</f>
        <v>334.02</v>
      </c>
      <c r="J40">
        <f>VLOOKUP(A40,APA!A$2:G$55,7,0)</f>
        <v>101.43</v>
      </c>
      <c r="K40">
        <f>VLOOKUP(A40,APC!A$2:G$55,7,0)</f>
        <v>111.69</v>
      </c>
      <c r="L40">
        <f>VLOOKUP(A40,AXP!A$2:G$55,7,0)</f>
        <v>89.59</v>
      </c>
      <c r="M40">
        <f>VLOOKUP(A40,BA!A$2:G$55,7,0)</f>
        <v>128.33000000000001</v>
      </c>
      <c r="N40">
        <f>VLOOKUP(A40,BAC!A$2:G$55,7,0)</f>
        <v>16.239999999999998</v>
      </c>
      <c r="O40">
        <f>VLOOKUP(A40,BAX!A$2:G$55,7,0)</f>
        <v>74.87</v>
      </c>
      <c r="P40">
        <f>VLOOKUP(A40,BIIB!A$2:G$55,7,0)</f>
        <v>342.7</v>
      </c>
      <c r="Q40">
        <f>VLOOKUP(A40,BK!A$2:G$55,7,0)</f>
        <v>39.47</v>
      </c>
      <c r="R40">
        <f>VLOOKUP(A40,BMY!A$2:G$55,7,0)</f>
        <v>50.73</v>
      </c>
      <c r="T40">
        <f>VLOOKUP(A40,'C'!A$2:G$55,7,0)</f>
        <v>51.63</v>
      </c>
      <c r="U40">
        <f>VLOOKUP(A40,CAT!A$2:G$55,7,0)</f>
        <v>107.97</v>
      </c>
      <c r="V40">
        <f>VLOOKUP(A40,CL!A$2:G$55,7,0)</f>
        <v>64.87</v>
      </c>
      <c r="W40">
        <f>VLOOKUP(A40,CMCSA!A$2:G$55,7,0)</f>
        <v>54.42</v>
      </c>
      <c r="X40">
        <f>VLOOKUP(A40,COF!A$2:G$55,7,0)</f>
        <v>82.06</v>
      </c>
      <c r="Y40">
        <f>VLOOKUP(A40,COP!A$2:G$55,7,0)</f>
        <v>80.8</v>
      </c>
      <c r="Z40">
        <f>VLOOKUP(A40,COST!A$2:G$55,7,0)</f>
        <v>121.39</v>
      </c>
      <c r="AA40">
        <f>VLOOKUP(A40,CSCO!A$2:G$55,7,0)</f>
        <v>24.7</v>
      </c>
      <c r="AB40">
        <f>VLOOKUP(A40,CVS!A$2:G$55,7,0)</f>
        <v>79.209999999999994</v>
      </c>
      <c r="AC40">
        <f>VLOOKUP(A40,CVX!A$2:G$55,7,0)</f>
        <v>127.84</v>
      </c>
      <c r="AD40">
        <f>VLOOKUP(A40,DD!A$2:G$55,7,0)</f>
        <v>66.150000000000006</v>
      </c>
      <c r="AE40">
        <f>VLOOKUP(A40,DIS!A$2:G$55,7,0)</f>
        <v>90.38</v>
      </c>
      <c r="AF40">
        <f>VLOOKUP(A40,DOW!A$2:G$55,7,0)</f>
        <v>52.76</v>
      </c>
      <c r="AG40">
        <f>VLOOKUP(A40,DVN!A$2:G$55,7,0)</f>
        <v>74.45</v>
      </c>
      <c r="AH40">
        <f>VLOOKUP(A40,EBAY!A$2:G$55,7,0)</f>
        <v>55.49</v>
      </c>
      <c r="AI40">
        <f>VLOOKUP(A40,EMC!A$2:G$55,7,0)</f>
        <v>29.54</v>
      </c>
      <c r="AJ40">
        <f>VLOOKUP(A40,EMR!A$2:G$55,7,0)</f>
        <v>64.75</v>
      </c>
      <c r="AK40">
        <f>VLOOKUP(A40,EXC!A$2:G$55,7,0)</f>
        <v>32.83</v>
      </c>
      <c r="AL40">
        <f>VLOOKUP(A40,F!A$2:G$55,7,0)</f>
        <v>17.23</v>
      </c>
      <c r="AM40">
        <f>VLOOKUP(A40,FB!A$2:G$55,7,0)</f>
        <v>75.02</v>
      </c>
      <c r="AN40">
        <f>VLOOKUP(A40,FCX!A$2:G$55,7,0)</f>
        <v>36.47</v>
      </c>
      <c r="AO40">
        <f>VLOOKUP(A40,FDX!A$2:G$55,7,0)</f>
        <v>149.59</v>
      </c>
      <c r="AP40">
        <f>VLOOKUP(A40,FOXA!A$2:G$55,7,0)</f>
        <v>35.44</v>
      </c>
      <c r="AQ40">
        <f>VLOOKUP(A40,GD!A$2:G$55,7,0)</f>
        <v>124.42</v>
      </c>
      <c r="AR40">
        <f>VLOOKUP(A40,GE!A$2:G$55,7,0)</f>
        <v>25.98</v>
      </c>
      <c r="AS40">
        <f>VLOOKUP(A40,GILD!A$2:G$55,7,0)</f>
        <v>107.45</v>
      </c>
      <c r="AT40">
        <f>VLOOKUP(A40,GM!A$2:G$55,7,0)</f>
        <v>34.369999999999997</v>
      </c>
      <c r="AU40">
        <f>VLOOKUP(A40,GOOG!A$2:G$55,7,0)</f>
        <v>580.20000000000005</v>
      </c>
      <c r="AV40">
        <f>VLOOKUP(A40,GOOGL!A$2:G$55,7,0)</f>
        <v>590.57000000000005</v>
      </c>
      <c r="AW40">
        <f>VLOOKUP(A40,GS!A$2:G$55,7,0)</f>
        <v>177.32</v>
      </c>
      <c r="AX40">
        <f>VLOOKUP(A40,HAL!A$2:G$55,7,0)</f>
        <v>68.400000000000006</v>
      </c>
      <c r="AY40">
        <f>VLOOKUP(A40,HD!A$2:G$55,7,0)</f>
        <v>90.74</v>
      </c>
      <c r="AZ40">
        <f>VLOOKUP(A40,HON!A$2:G$55,7,0)</f>
        <v>95.81</v>
      </c>
      <c r="BA40">
        <f>VLOOKUP(A40,HPQ!A$2:G$55,7,0)</f>
        <v>36.99</v>
      </c>
      <c r="BB40">
        <f>VLOOKUP(A40,IBM!A$2:G$55,7,0)</f>
        <v>191.16</v>
      </c>
      <c r="BC40">
        <f>VLOOKUP(A40,INTC!A$2:G$55,7,0)</f>
        <v>34.81</v>
      </c>
      <c r="BD40">
        <f>VLOOKUP(A40,JNJ!A$2:G$55,7,0)</f>
        <v>103.23</v>
      </c>
      <c r="BE40">
        <f>VLOOKUP(A40,JPM!A$2:G$55,7,0)</f>
        <v>59.34</v>
      </c>
      <c r="BF40">
        <f>VLOOKUP(A40,KO!A$2:G$55,7,0)</f>
        <v>41.11</v>
      </c>
      <c r="BG40">
        <f>VLOOKUP(A40,LLY!A$2:G$55,7,0)</f>
        <v>62.73</v>
      </c>
      <c r="BH40">
        <f>VLOOKUP(A40,LMT!A$2:G$55,7,0)</f>
        <v>175.2</v>
      </c>
      <c r="BI40">
        <f>VLOOKUP(A40,LOW!A$2:G$55,7,0)</f>
        <v>52.7</v>
      </c>
      <c r="BJ40">
        <f>VLOOKUP(A40,MA!A$2:G$55,7,0)</f>
        <v>76.430000000000007</v>
      </c>
      <c r="BK40">
        <f>VLOOKUP(A40,MCD!A$2:G$55,7,0)</f>
        <v>93.63</v>
      </c>
      <c r="BL40">
        <f>VLOOKUP(A40,MDLZ!A$2:G$55,7,0)</f>
        <v>35.99</v>
      </c>
      <c r="BM40">
        <f>VLOOKUP(A40,MDT!A$2:G$55,7,0)</f>
        <v>63.63</v>
      </c>
      <c r="BN40">
        <f>VLOOKUP(A40,MET!A$2:G$55,7,0)</f>
        <v>54.24</v>
      </c>
      <c r="BO40">
        <f>VLOOKUP(A40,MMM!A$2:G$55,7,0)</f>
        <v>144.69999999999999</v>
      </c>
      <c r="BP40">
        <f>VLOOKUP(A40,MO!A$2:G$55,7,0)</f>
        <v>42.26</v>
      </c>
      <c r="BQ40">
        <f>VLOOKUP(A40,MON!A$2:G$55,7,0)</f>
        <v>117.51</v>
      </c>
      <c r="BR40">
        <f>VLOOKUP(A40,MRK!A$2:G$55,7,0)</f>
        <v>59.3</v>
      </c>
      <c r="BS40">
        <f>VLOOKUP(A40,MS!A$2:G$55,7,0)</f>
        <v>34.200000000000003</v>
      </c>
      <c r="BT40">
        <f>VLOOKUP(A40,MSFT!A$2:G$55,7,0)</f>
        <v>45.17</v>
      </c>
      <c r="BU40">
        <f>VLOOKUP(A40,NKE!A$2:G$55,7,0)</f>
        <v>79.77</v>
      </c>
      <c r="BV40">
        <f>VLOOKUP(A40,NOV!A$2:G$55,7,0)</f>
        <v>84.19</v>
      </c>
      <c r="BW40">
        <f>VLOOKUP(A40,NSC!A$2:G$55,7,0)</f>
        <v>105.55</v>
      </c>
      <c r="BX40">
        <f>VLOOKUP(A40,ORCL!A$2:G$55,7,0)</f>
        <v>41.74</v>
      </c>
      <c r="BY40">
        <f>VLOOKUP(A40,OXY!A$2:G$55,7,0)</f>
        <v>102.55</v>
      </c>
      <c r="BZ40">
        <f>VLOOKUP(A40,PEP!A$2:G$55,7,0)</f>
        <v>92.53</v>
      </c>
      <c r="CA40">
        <f>VLOOKUP(A40,PFE!A$2:G$55,7,0)</f>
        <v>28.91</v>
      </c>
      <c r="CB40">
        <f>VLOOKUP(A40,PG!A$2:G$55,7,0)</f>
        <v>83.54</v>
      </c>
      <c r="CC40">
        <f>VLOOKUP(A40,PM!A$2:G$55,7,0)</f>
        <v>84.2</v>
      </c>
      <c r="CD40">
        <f>VLOOKUP(A40,QCOM!A$2:G$55,7,0)</f>
        <v>76.17</v>
      </c>
      <c r="CE40">
        <f>VLOOKUP(A40,RTN!A$2:G$55,7,0)</f>
        <v>96.49</v>
      </c>
      <c r="CF40">
        <f>VLOOKUP(A40,SBUX!A$2:G$55,7,0)</f>
        <v>77.97</v>
      </c>
      <c r="CG40">
        <f>VLOOKUP(A40,SLB!A$2:G$55,7,0)</f>
        <v>109.82</v>
      </c>
      <c r="CH40">
        <f>VLOOKUP(A40,SO!A$2:G$55,7,0)</f>
        <v>43.9</v>
      </c>
      <c r="CI40">
        <f>VLOOKUP(A40,SPG!A$2:G$55,7,0)</f>
        <v>169.21</v>
      </c>
      <c r="CJ40">
        <f>VLOOKUP(A40,T!A$2:G$55,7,0)</f>
        <v>34.51</v>
      </c>
      <c r="CK40">
        <f>VLOOKUP(A40,TGT!A$2:G$55,7,0)</f>
        <v>60.98</v>
      </c>
      <c r="CL40">
        <f>VLOOKUP(A40,TWX!A$2:G$55,7,0)</f>
        <v>76.63</v>
      </c>
      <c r="CM40">
        <f>VLOOKUP(A40,TXN!A$2:G$55,7,0)</f>
        <v>47.37</v>
      </c>
      <c r="CN40">
        <f>VLOOKUP(A40,UNH!A$2:G$55,7,0)</f>
        <v>83.88</v>
      </c>
      <c r="CO40">
        <f>VLOOKUP(A40,UNP!A$2:G$55,7,0)</f>
        <v>105.14</v>
      </c>
      <c r="CP40">
        <f>VLOOKUP(A40,UPS!A$2:G$55,7,0)</f>
        <v>97.9</v>
      </c>
      <c r="CQ40">
        <f>VLOOKUP(A40,USB!A$2:G$55,7,0)</f>
        <v>42</v>
      </c>
      <c r="CR40">
        <f>VLOOKUP(A40,UTX!A$2:G$55,7,0)</f>
        <v>109.82</v>
      </c>
      <c r="CS40">
        <f>VLOOKUP(A40,V!A$2:G$55,7,0)</f>
        <v>216.02</v>
      </c>
      <c r="CT40">
        <f>VLOOKUP(A40,VZ!A$2:G$55,7,0)</f>
        <v>49.15</v>
      </c>
      <c r="CU40">
        <f>VLOOKUP(A40,WAG!A$2:G$55,7,0)</f>
        <v>60.79</v>
      </c>
      <c r="CV40">
        <f>VLOOKUP(A40,WFC!A$2:G$55,7,0)</f>
        <v>51.45</v>
      </c>
      <c r="CW40">
        <f>VLOOKUP(A40,WMT!A$2:G$55,7,0)</f>
        <v>75.69</v>
      </c>
    </row>
    <row r="41" spans="1:101" x14ac:dyDescent="0.25">
      <c r="A41" s="34">
        <v>41877</v>
      </c>
      <c r="B41" s="36">
        <v>100.89</v>
      </c>
      <c r="C41">
        <f>VLOOKUP(A41,ABBV!A$2:G$55,7,0)</f>
        <v>55.75</v>
      </c>
      <c r="D41">
        <f>VLOOKUP(A41,ABT!A$2:G$55,7,0)</f>
        <v>42.8</v>
      </c>
      <c r="E41">
        <f>VLOOKUP(A41,ACN!A$2:G$55,7,0)</f>
        <v>81.62</v>
      </c>
      <c r="F41">
        <f>VLOOKUP(A41,AIG!A$2:G$55,7,0)</f>
        <v>55.95</v>
      </c>
      <c r="G41">
        <f>VLOOKUP(A41,ALL!A$2:G$55,7,0)</f>
        <v>61.58</v>
      </c>
      <c r="H41">
        <f>VLOOKUP(A41,AMGN!A$2:G$55,7,0)</f>
        <v>137.27000000000001</v>
      </c>
      <c r="I41">
        <f>VLOOKUP(A41,AMZN!A$2:G$55,7,0)</f>
        <v>341.83</v>
      </c>
      <c r="J41">
        <f>VLOOKUP(A41,APA!A$2:G$55,7,0)</f>
        <v>101.55</v>
      </c>
      <c r="K41">
        <f>VLOOKUP(A41,APC!A$2:G$55,7,0)</f>
        <v>111.77</v>
      </c>
      <c r="L41">
        <f>VLOOKUP(A41,AXP!A$2:G$55,7,0)</f>
        <v>89.15</v>
      </c>
      <c r="M41">
        <f>VLOOKUP(A41,BA!A$2:G$55,7,0)</f>
        <v>128.6</v>
      </c>
      <c r="N41">
        <f>VLOOKUP(A41,BAC!A$2:G$55,7,0)</f>
        <v>16.28</v>
      </c>
      <c r="O41">
        <f>VLOOKUP(A41,BAX!A$2:G$55,7,0)</f>
        <v>75</v>
      </c>
      <c r="P41">
        <f>VLOOKUP(A41,BIIB!A$2:G$55,7,0)</f>
        <v>342.99</v>
      </c>
      <c r="Q41">
        <f>VLOOKUP(A41,BK!A$2:G$55,7,0)</f>
        <v>39.33</v>
      </c>
      <c r="R41">
        <f>VLOOKUP(A41,BMY!A$2:G$55,7,0)</f>
        <v>50.77</v>
      </c>
      <c r="T41">
        <f>VLOOKUP(A41,'C'!A$2:G$55,7,0)</f>
        <v>52.13</v>
      </c>
      <c r="U41">
        <f>VLOOKUP(A41,CAT!A$2:G$55,7,0)</f>
        <v>108.06</v>
      </c>
      <c r="V41">
        <f>VLOOKUP(A41,CL!A$2:G$55,7,0)</f>
        <v>64.790000000000006</v>
      </c>
      <c r="W41">
        <f>VLOOKUP(A41,CMCSA!A$2:G$55,7,0)</f>
        <v>54.33</v>
      </c>
      <c r="X41">
        <f>VLOOKUP(A41,COF!A$2:G$55,7,0)</f>
        <v>81.8</v>
      </c>
      <c r="Y41">
        <f>VLOOKUP(A41,COP!A$2:G$55,7,0)</f>
        <v>80.540000000000006</v>
      </c>
      <c r="Z41">
        <f>VLOOKUP(A41,COST!A$2:G$55,7,0)</f>
        <v>121.09</v>
      </c>
      <c r="AA41">
        <f>VLOOKUP(A41,CSCO!A$2:G$55,7,0)</f>
        <v>24.81</v>
      </c>
      <c r="AB41">
        <f>VLOOKUP(A41,CVS!A$2:G$55,7,0)</f>
        <v>79.349999999999994</v>
      </c>
      <c r="AC41">
        <f>VLOOKUP(A41,CVX!A$2:G$55,7,0)</f>
        <v>128.25</v>
      </c>
      <c r="AD41">
        <f>VLOOKUP(A41,DD!A$2:G$55,7,0)</f>
        <v>66.16</v>
      </c>
      <c r="AE41">
        <f>VLOOKUP(A41,DIS!A$2:G$55,7,0)</f>
        <v>90.02</v>
      </c>
      <c r="AF41">
        <f>VLOOKUP(A41,DOW!A$2:G$55,7,0)</f>
        <v>52.73</v>
      </c>
      <c r="AG41">
        <f>VLOOKUP(A41,DVN!A$2:G$55,7,0)</f>
        <v>74.31</v>
      </c>
      <c r="AH41">
        <f>VLOOKUP(A41,EBAY!A$2:G$55,7,0)</f>
        <v>56.25</v>
      </c>
      <c r="AI41">
        <f>VLOOKUP(A41,EMC!A$2:G$55,7,0)</f>
        <v>29.45</v>
      </c>
      <c r="AJ41">
        <f>VLOOKUP(A41,EMR!A$2:G$55,7,0)</f>
        <v>64.34</v>
      </c>
      <c r="AK41">
        <f>VLOOKUP(A41,EXC!A$2:G$55,7,0)</f>
        <v>32.31</v>
      </c>
      <c r="AL41">
        <f>VLOOKUP(A41,F!A$2:G$55,7,0)</f>
        <v>17.190000000000001</v>
      </c>
      <c r="AM41">
        <f>VLOOKUP(A41,FB!A$2:G$55,7,0)</f>
        <v>75.959999999999994</v>
      </c>
      <c r="AN41">
        <f>VLOOKUP(A41,FCX!A$2:G$55,7,0)</f>
        <v>36.39</v>
      </c>
      <c r="AO41">
        <f>VLOOKUP(A41,FDX!A$2:G$55,7,0)</f>
        <v>149.09</v>
      </c>
      <c r="AP41">
        <f>VLOOKUP(A41,FOXA!A$2:G$55,7,0)</f>
        <v>35.44</v>
      </c>
      <c r="AQ41">
        <f>VLOOKUP(A41,GD!A$2:G$55,7,0)</f>
        <v>124.4</v>
      </c>
      <c r="AR41">
        <f>VLOOKUP(A41,GE!A$2:G$55,7,0)</f>
        <v>25.79</v>
      </c>
      <c r="AS41">
        <f>VLOOKUP(A41,GILD!A$2:G$55,7,0)</f>
        <v>106.27</v>
      </c>
      <c r="AT41">
        <f>VLOOKUP(A41,GM!A$2:G$55,7,0)</f>
        <v>34.549999999999997</v>
      </c>
      <c r="AU41">
        <f>VLOOKUP(A41,GOOG!A$2:G$55,7,0)</f>
        <v>577.86</v>
      </c>
      <c r="AV41">
        <f>VLOOKUP(A41,GOOGL!A$2:G$55,7,0)</f>
        <v>588.12</v>
      </c>
      <c r="AW41">
        <f>VLOOKUP(A41,GS!A$2:G$55,7,0)</f>
        <v>177.35</v>
      </c>
      <c r="AX41">
        <f>VLOOKUP(A41,HAL!A$2:G$55,7,0)</f>
        <v>69.650000000000006</v>
      </c>
      <c r="AY41">
        <f>VLOOKUP(A41,HD!A$2:G$55,7,0)</f>
        <v>91.17</v>
      </c>
      <c r="AZ41">
        <f>VLOOKUP(A41,HON!A$2:G$55,7,0)</f>
        <v>95.51</v>
      </c>
      <c r="BA41">
        <f>VLOOKUP(A41,HPQ!A$2:G$55,7,0)</f>
        <v>37.67</v>
      </c>
      <c r="BB41">
        <f>VLOOKUP(A41,IBM!A$2:G$55,7,0)</f>
        <v>192.99</v>
      </c>
      <c r="BC41">
        <f>VLOOKUP(A41,INTC!A$2:G$55,7,0)</f>
        <v>34.799999999999997</v>
      </c>
      <c r="BD41">
        <f>VLOOKUP(A41,JNJ!A$2:G$55,7,0)</f>
        <v>103.44</v>
      </c>
      <c r="BE41">
        <f>VLOOKUP(A41,JPM!A$2:G$55,7,0)</f>
        <v>59.74</v>
      </c>
      <c r="BF41">
        <f>VLOOKUP(A41,KO!A$2:G$55,7,0)</f>
        <v>41.3</v>
      </c>
      <c r="BG41">
        <f>VLOOKUP(A41,LLY!A$2:G$55,7,0)</f>
        <v>62.81</v>
      </c>
      <c r="BH41">
        <f>VLOOKUP(A41,LMT!A$2:G$55,7,0)</f>
        <v>175.28</v>
      </c>
      <c r="BI41">
        <f>VLOOKUP(A41,LOW!A$2:G$55,7,0)</f>
        <v>52.58</v>
      </c>
      <c r="BJ41">
        <f>VLOOKUP(A41,MA!A$2:G$55,7,0)</f>
        <v>77</v>
      </c>
      <c r="BK41">
        <f>VLOOKUP(A41,MCD!A$2:G$55,7,0)</f>
        <v>93.3</v>
      </c>
      <c r="BL41">
        <f>VLOOKUP(A41,MDLZ!A$2:G$55,7,0)</f>
        <v>35.909999999999997</v>
      </c>
      <c r="BM41">
        <f>VLOOKUP(A41,MDT!A$2:G$55,7,0)</f>
        <v>63.52</v>
      </c>
      <c r="BN41">
        <f>VLOOKUP(A41,MET!A$2:G$55,7,0)</f>
        <v>54.54</v>
      </c>
      <c r="BO41">
        <f>VLOOKUP(A41,MMM!A$2:G$55,7,0)</f>
        <v>144.6</v>
      </c>
      <c r="BP41">
        <f>VLOOKUP(A41,MO!A$2:G$55,7,0)</f>
        <v>42.35</v>
      </c>
      <c r="BQ41">
        <f>VLOOKUP(A41,MON!A$2:G$55,7,0)</f>
        <v>117.12</v>
      </c>
      <c r="BR41">
        <f>VLOOKUP(A41,MRK!A$2:G$55,7,0)</f>
        <v>59.76</v>
      </c>
      <c r="BS41">
        <f>VLOOKUP(A41,MS!A$2:G$55,7,0)</f>
        <v>34.4</v>
      </c>
      <c r="BT41">
        <f>VLOOKUP(A41,MSFT!A$2:G$55,7,0)</f>
        <v>45.01</v>
      </c>
      <c r="BU41">
        <f>VLOOKUP(A41,NKE!A$2:G$55,7,0)</f>
        <v>79.239999999999995</v>
      </c>
      <c r="BV41">
        <f>VLOOKUP(A41,NOV!A$2:G$55,7,0)</f>
        <v>84.43</v>
      </c>
      <c r="BW41">
        <f>VLOOKUP(A41,NSC!A$2:G$55,7,0)</f>
        <v>105.53</v>
      </c>
      <c r="BX41">
        <f>VLOOKUP(A41,ORCL!A$2:G$55,7,0)</f>
        <v>41.84</v>
      </c>
      <c r="BY41">
        <f>VLOOKUP(A41,OXY!A$2:G$55,7,0)</f>
        <v>102.42</v>
      </c>
      <c r="BZ41">
        <f>VLOOKUP(A41,PEP!A$2:G$55,7,0)</f>
        <v>91.94</v>
      </c>
      <c r="CA41">
        <f>VLOOKUP(A41,PFE!A$2:G$55,7,0)</f>
        <v>29.21</v>
      </c>
      <c r="CB41">
        <f>VLOOKUP(A41,PG!A$2:G$55,7,0)</f>
        <v>83.38</v>
      </c>
      <c r="CC41">
        <f>VLOOKUP(A41,PM!A$2:G$55,7,0)</f>
        <v>84.27</v>
      </c>
      <c r="CD41">
        <f>VLOOKUP(A41,QCOM!A$2:G$55,7,0)</f>
        <v>76.59</v>
      </c>
      <c r="CE41">
        <f>VLOOKUP(A41,RTN!A$2:G$55,7,0)</f>
        <v>96.03</v>
      </c>
      <c r="CF41">
        <f>VLOOKUP(A41,SBUX!A$2:G$55,7,0)</f>
        <v>77.790000000000006</v>
      </c>
      <c r="CG41">
        <f>VLOOKUP(A41,SLB!A$2:G$55,7,0)</f>
        <v>110.62</v>
      </c>
      <c r="CH41">
        <f>VLOOKUP(A41,SO!A$2:G$55,7,0)</f>
        <v>43.54</v>
      </c>
      <c r="CI41">
        <f>VLOOKUP(A41,SPG!A$2:G$55,7,0)</f>
        <v>169.25</v>
      </c>
      <c r="CJ41">
        <f>VLOOKUP(A41,T!A$2:G$55,7,0)</f>
        <v>34.5</v>
      </c>
      <c r="CK41">
        <f>VLOOKUP(A41,TGT!A$2:G$55,7,0)</f>
        <v>60.7</v>
      </c>
      <c r="CL41">
        <f>VLOOKUP(A41,TWX!A$2:G$55,7,0)</f>
        <v>76.66</v>
      </c>
      <c r="CM41">
        <f>VLOOKUP(A41,TXN!A$2:G$55,7,0)</f>
        <v>47.49</v>
      </c>
      <c r="CN41">
        <f>VLOOKUP(A41,UNH!A$2:G$55,7,0)</f>
        <v>84.76</v>
      </c>
      <c r="CO41">
        <f>VLOOKUP(A41,UNP!A$2:G$55,7,0)</f>
        <v>105.06</v>
      </c>
      <c r="CP41">
        <f>VLOOKUP(A41,UPS!A$2:G$55,7,0)</f>
        <v>97.42</v>
      </c>
      <c r="CQ41">
        <f>VLOOKUP(A41,USB!A$2:G$55,7,0)</f>
        <v>42.16</v>
      </c>
      <c r="CR41">
        <f>VLOOKUP(A41,UTX!A$2:G$55,7,0)</f>
        <v>109.68</v>
      </c>
      <c r="CS41">
        <f>VLOOKUP(A41,V!A$2:G$55,7,0)</f>
        <v>216.73</v>
      </c>
      <c r="CT41">
        <f>VLOOKUP(A41,VZ!A$2:G$55,7,0)</f>
        <v>49.25</v>
      </c>
      <c r="CU41">
        <f>VLOOKUP(A41,WAG!A$2:G$55,7,0)</f>
        <v>60.93</v>
      </c>
      <c r="CV41">
        <f>VLOOKUP(A41,WFC!A$2:G$55,7,0)</f>
        <v>51.56</v>
      </c>
      <c r="CW41">
        <f>VLOOKUP(A41,WMT!A$2:G$55,7,0)</f>
        <v>75.52</v>
      </c>
    </row>
    <row r="42" spans="1:101" x14ac:dyDescent="0.25">
      <c r="A42" s="34">
        <v>41878</v>
      </c>
      <c r="B42" s="36">
        <v>102.13</v>
      </c>
      <c r="C42">
        <f>VLOOKUP(A42,ABBV!A$2:G$55,7,0)</f>
        <v>55.7</v>
      </c>
      <c r="D42">
        <f>VLOOKUP(A42,ABT!A$2:G$55,7,0)</f>
        <v>42.6</v>
      </c>
      <c r="E42">
        <f>VLOOKUP(A42,ACN!A$2:G$55,7,0)</f>
        <v>80.98</v>
      </c>
      <c r="F42">
        <f>VLOOKUP(A42,AIG!A$2:G$55,7,0)</f>
        <v>56.03</v>
      </c>
      <c r="G42">
        <f>VLOOKUP(A42,ALL!A$2:G$55,7,0)</f>
        <v>61.53</v>
      </c>
      <c r="H42">
        <f>VLOOKUP(A42,AMGN!A$2:G$55,7,0)</f>
        <v>137.83000000000001</v>
      </c>
      <c r="I42">
        <f>VLOOKUP(A42,AMZN!A$2:G$55,7,0)</f>
        <v>343.18</v>
      </c>
      <c r="J42">
        <f>VLOOKUP(A42,APA!A$2:G$55,7,0)</f>
        <v>101.53</v>
      </c>
      <c r="K42">
        <f>VLOOKUP(A42,APC!A$2:G$55,7,0)</f>
        <v>110.23</v>
      </c>
      <c r="L42">
        <f>VLOOKUP(A42,AXP!A$2:G$55,7,0)</f>
        <v>89.24</v>
      </c>
      <c r="M42">
        <f>VLOOKUP(A42,BA!A$2:G$55,7,0)</f>
        <v>128.19999999999999</v>
      </c>
      <c r="N42">
        <f>VLOOKUP(A42,BAC!A$2:G$55,7,0)</f>
        <v>16.149999999999999</v>
      </c>
      <c r="O42">
        <f>VLOOKUP(A42,BAX!A$2:G$55,7,0)</f>
        <v>74.81</v>
      </c>
      <c r="P42">
        <f>VLOOKUP(A42,BIIB!A$2:G$55,7,0)</f>
        <v>343.36</v>
      </c>
      <c r="Q42">
        <f>VLOOKUP(A42,BK!A$2:G$55,7,0)</f>
        <v>39.17</v>
      </c>
      <c r="R42">
        <f>VLOOKUP(A42,BMY!A$2:G$55,7,0)</f>
        <v>50.25</v>
      </c>
      <c r="T42">
        <f>VLOOKUP(A42,'C'!A$2:G$55,7,0)</f>
        <v>51.86</v>
      </c>
      <c r="U42">
        <f>VLOOKUP(A42,CAT!A$2:G$55,7,0)</f>
        <v>108.55</v>
      </c>
      <c r="V42">
        <f>VLOOKUP(A42,CL!A$2:G$55,7,0)</f>
        <v>64.83</v>
      </c>
      <c r="W42">
        <f>VLOOKUP(A42,CMCSA!A$2:G$55,7,0)</f>
        <v>54.33</v>
      </c>
      <c r="X42">
        <f>VLOOKUP(A42,COF!A$2:G$55,7,0)</f>
        <v>81.96</v>
      </c>
      <c r="Y42">
        <f>VLOOKUP(A42,COP!A$2:G$55,7,0)</f>
        <v>81.03</v>
      </c>
      <c r="Z42">
        <f>VLOOKUP(A42,COST!A$2:G$55,7,0)</f>
        <v>121.24</v>
      </c>
      <c r="AA42">
        <f>VLOOKUP(A42,CSCO!A$2:G$55,7,0)</f>
        <v>24.8</v>
      </c>
      <c r="AB42">
        <f>VLOOKUP(A42,CVS!A$2:G$55,7,0)</f>
        <v>79.430000000000007</v>
      </c>
      <c r="AC42">
        <f>VLOOKUP(A42,CVX!A$2:G$55,7,0)</f>
        <v>128.63999999999999</v>
      </c>
      <c r="AD42">
        <f>VLOOKUP(A42,DD!A$2:G$55,7,0)</f>
        <v>65.930000000000007</v>
      </c>
      <c r="AE42">
        <f>VLOOKUP(A42,DIS!A$2:G$55,7,0)</f>
        <v>90.37</v>
      </c>
      <c r="AF42">
        <f>VLOOKUP(A42,DOW!A$2:G$55,7,0)</f>
        <v>53.27</v>
      </c>
      <c r="AG42">
        <f>VLOOKUP(A42,DVN!A$2:G$55,7,0)</f>
        <v>74.03</v>
      </c>
      <c r="AH42">
        <f>VLOOKUP(A42,EBAY!A$2:G$55,7,0)</f>
        <v>55.92</v>
      </c>
      <c r="AI42">
        <f>VLOOKUP(A42,EMC!A$2:G$55,7,0)</f>
        <v>29.32</v>
      </c>
      <c r="AJ42">
        <f>VLOOKUP(A42,EMR!A$2:G$55,7,0)</f>
        <v>64.400000000000006</v>
      </c>
      <c r="AK42">
        <f>VLOOKUP(A42,EXC!A$2:G$55,7,0)</f>
        <v>32.770000000000003</v>
      </c>
      <c r="AL42">
        <f>VLOOKUP(A42,F!A$2:G$55,7,0)</f>
        <v>17.36</v>
      </c>
      <c r="AM42">
        <f>VLOOKUP(A42,FB!A$2:G$55,7,0)</f>
        <v>74.63</v>
      </c>
      <c r="AN42">
        <f>VLOOKUP(A42,FCX!A$2:G$55,7,0)</f>
        <v>36.44</v>
      </c>
      <c r="AO42">
        <f>VLOOKUP(A42,FDX!A$2:G$55,7,0)</f>
        <v>148.91</v>
      </c>
      <c r="AP42">
        <f>VLOOKUP(A42,FOXA!A$2:G$55,7,0)</f>
        <v>35.729999999999997</v>
      </c>
      <c r="AQ42">
        <f>VLOOKUP(A42,GD!A$2:G$55,7,0)</f>
        <v>123.99</v>
      </c>
      <c r="AR42">
        <f>VLOOKUP(A42,GE!A$2:G$55,7,0)</f>
        <v>25.91</v>
      </c>
      <c r="AS42">
        <f>VLOOKUP(A42,GILD!A$2:G$55,7,0)</f>
        <v>107.41</v>
      </c>
      <c r="AT42">
        <f>VLOOKUP(A42,GM!A$2:G$55,7,0)</f>
        <v>34.409999999999997</v>
      </c>
      <c r="AU42">
        <f>VLOOKUP(A42,GOOG!A$2:G$55,7,0)</f>
        <v>571</v>
      </c>
      <c r="AV42">
        <f>VLOOKUP(A42,GOOGL!A$2:G$55,7,0)</f>
        <v>583</v>
      </c>
      <c r="AW42">
        <f>VLOOKUP(A42,GS!A$2:G$55,7,0)</f>
        <v>177.81</v>
      </c>
      <c r="AX42">
        <f>VLOOKUP(A42,HAL!A$2:G$55,7,0)</f>
        <v>68.33</v>
      </c>
      <c r="AY42">
        <f>VLOOKUP(A42,HD!A$2:G$55,7,0)</f>
        <v>91.41</v>
      </c>
      <c r="AZ42">
        <f>VLOOKUP(A42,HON!A$2:G$55,7,0)</f>
        <v>95.57</v>
      </c>
      <c r="BA42">
        <f>VLOOKUP(A42,HPQ!A$2:G$55,7,0)</f>
        <v>38</v>
      </c>
      <c r="BB42">
        <f>VLOOKUP(A42,IBM!A$2:G$55,7,0)</f>
        <v>192.25</v>
      </c>
      <c r="BC42">
        <f>VLOOKUP(A42,INTC!A$2:G$55,7,0)</f>
        <v>34.79</v>
      </c>
      <c r="BD42">
        <f>VLOOKUP(A42,JNJ!A$2:G$55,7,0)</f>
        <v>103.22</v>
      </c>
      <c r="BE42">
        <f>VLOOKUP(A42,JPM!A$2:G$55,7,0)</f>
        <v>59.59</v>
      </c>
      <c r="BF42">
        <f>VLOOKUP(A42,KO!A$2:G$55,7,0)</f>
        <v>41.3</v>
      </c>
      <c r="BG42">
        <f>VLOOKUP(A42,LLY!A$2:G$55,7,0)</f>
        <v>63</v>
      </c>
      <c r="BH42">
        <f>VLOOKUP(A42,LMT!A$2:G$55,7,0)</f>
        <v>175.19</v>
      </c>
      <c r="BI42">
        <f>VLOOKUP(A42,LOW!A$2:G$55,7,0)</f>
        <v>52.52</v>
      </c>
      <c r="BJ42">
        <f>VLOOKUP(A42,MA!A$2:G$55,7,0)</f>
        <v>76.64</v>
      </c>
      <c r="BK42">
        <f>VLOOKUP(A42,MCD!A$2:G$55,7,0)</f>
        <v>93.84</v>
      </c>
      <c r="BL42">
        <f>VLOOKUP(A42,MDLZ!A$2:G$55,7,0)</f>
        <v>36.08</v>
      </c>
      <c r="BM42">
        <f>VLOOKUP(A42,MDT!A$2:G$55,7,0)</f>
        <v>63.36</v>
      </c>
      <c r="BN42">
        <f>VLOOKUP(A42,MET!A$2:G$55,7,0)</f>
        <v>54.73</v>
      </c>
      <c r="BO42">
        <f>VLOOKUP(A42,MMM!A$2:G$55,7,0)</f>
        <v>143.94</v>
      </c>
      <c r="BP42">
        <f>VLOOKUP(A42,MO!A$2:G$55,7,0)</f>
        <v>42.31</v>
      </c>
      <c r="BQ42">
        <f>VLOOKUP(A42,MON!A$2:G$55,7,0)</f>
        <v>115.97</v>
      </c>
      <c r="BR42">
        <f>VLOOKUP(A42,MRK!A$2:G$55,7,0)</f>
        <v>59.84</v>
      </c>
      <c r="BS42">
        <f>VLOOKUP(A42,MS!A$2:G$55,7,0)</f>
        <v>34.130000000000003</v>
      </c>
      <c r="BT42">
        <f>VLOOKUP(A42,MSFT!A$2:G$55,7,0)</f>
        <v>44.87</v>
      </c>
      <c r="BU42">
        <f>VLOOKUP(A42,NKE!A$2:G$55,7,0)</f>
        <v>79.48</v>
      </c>
      <c r="BV42">
        <f>VLOOKUP(A42,NOV!A$2:G$55,7,0)</f>
        <v>85.14</v>
      </c>
      <c r="BW42">
        <f>VLOOKUP(A42,NSC!A$2:G$55,7,0)</f>
        <v>106.82</v>
      </c>
      <c r="BX42">
        <f>VLOOKUP(A42,ORCL!A$2:G$55,7,0)</f>
        <v>41.64</v>
      </c>
      <c r="BY42">
        <f>VLOOKUP(A42,OXY!A$2:G$55,7,0)</f>
        <v>102.65</v>
      </c>
      <c r="BZ42">
        <f>VLOOKUP(A42,PEP!A$2:G$55,7,0)</f>
        <v>91.58</v>
      </c>
      <c r="CA42">
        <f>VLOOKUP(A42,PFE!A$2:G$55,7,0)</f>
        <v>29.49</v>
      </c>
      <c r="CB42">
        <f>VLOOKUP(A42,PG!A$2:G$55,7,0)</f>
        <v>83.31</v>
      </c>
      <c r="CC42">
        <f>VLOOKUP(A42,PM!A$2:G$55,7,0)</f>
        <v>84.26</v>
      </c>
      <c r="CD42">
        <f>VLOOKUP(A42,QCOM!A$2:G$55,7,0)</f>
        <v>76.55</v>
      </c>
      <c r="CE42">
        <f>VLOOKUP(A42,RTN!A$2:G$55,7,0)</f>
        <v>95.59</v>
      </c>
      <c r="CF42">
        <f>VLOOKUP(A42,SBUX!A$2:G$55,7,0)</f>
        <v>77.92</v>
      </c>
      <c r="CG42">
        <f>VLOOKUP(A42,SLB!A$2:G$55,7,0)</f>
        <v>110.64</v>
      </c>
      <c r="CH42">
        <f>VLOOKUP(A42,SO!A$2:G$55,7,0)</f>
        <v>43.83</v>
      </c>
      <c r="CI42">
        <f>VLOOKUP(A42,SPG!A$2:G$55,7,0)</f>
        <v>169.51</v>
      </c>
      <c r="CJ42">
        <f>VLOOKUP(A42,T!A$2:G$55,7,0)</f>
        <v>34.75</v>
      </c>
      <c r="CK42">
        <f>VLOOKUP(A42,TGT!A$2:G$55,7,0)</f>
        <v>60.79</v>
      </c>
      <c r="CL42">
        <f>VLOOKUP(A42,TWX!A$2:G$55,7,0)</f>
        <v>76.849999999999994</v>
      </c>
      <c r="CM42">
        <f>VLOOKUP(A42,TXN!A$2:G$55,7,0)</f>
        <v>47.78</v>
      </c>
      <c r="CN42">
        <f>VLOOKUP(A42,UNH!A$2:G$55,7,0)</f>
        <v>86.01</v>
      </c>
      <c r="CO42">
        <f>VLOOKUP(A42,UNP!A$2:G$55,7,0)</f>
        <v>105.3</v>
      </c>
      <c r="CP42">
        <f>VLOOKUP(A42,UPS!A$2:G$55,7,0)</f>
        <v>97.38</v>
      </c>
      <c r="CQ42">
        <f>VLOOKUP(A42,USB!A$2:G$55,7,0)</f>
        <v>41.95</v>
      </c>
      <c r="CR42">
        <f>VLOOKUP(A42,UTX!A$2:G$55,7,0)</f>
        <v>109.09</v>
      </c>
      <c r="CS42">
        <f>VLOOKUP(A42,V!A$2:G$55,7,0)</f>
        <v>217.13</v>
      </c>
      <c r="CT42">
        <f>VLOOKUP(A42,VZ!A$2:G$55,7,0)</f>
        <v>49.43</v>
      </c>
      <c r="CU42">
        <f>VLOOKUP(A42,WAG!A$2:G$55,7,0)</f>
        <v>60.53</v>
      </c>
      <c r="CV42">
        <f>VLOOKUP(A42,WFC!A$2:G$55,7,0)</f>
        <v>51.34</v>
      </c>
      <c r="CW42">
        <f>VLOOKUP(A42,WMT!A$2:G$55,7,0)</f>
        <v>75.849999999999994</v>
      </c>
    </row>
    <row r="43" spans="1:101" x14ac:dyDescent="0.25">
      <c r="A43" s="34">
        <v>41879</v>
      </c>
      <c r="B43" s="36">
        <v>102.25</v>
      </c>
      <c r="C43">
        <f>VLOOKUP(A43,ABBV!A$2:G$55,7,0)</f>
        <v>55.6</v>
      </c>
      <c r="D43">
        <f>VLOOKUP(A43,ABT!A$2:G$55,7,0)</f>
        <v>42.35</v>
      </c>
      <c r="E43">
        <f>VLOOKUP(A43,ACN!A$2:G$55,7,0)</f>
        <v>81.02</v>
      </c>
      <c r="F43">
        <f>VLOOKUP(A43,AIG!A$2:G$55,7,0)</f>
        <v>55.6</v>
      </c>
      <c r="G43">
        <f>VLOOKUP(A43,ALL!A$2:G$55,7,0)</f>
        <v>61.15</v>
      </c>
      <c r="H43">
        <f>VLOOKUP(A43,AMGN!A$2:G$55,7,0)</f>
        <v>138.69</v>
      </c>
      <c r="I43">
        <f>VLOOKUP(A43,AMZN!A$2:G$55,7,0)</f>
        <v>340.02</v>
      </c>
      <c r="J43">
        <f>VLOOKUP(A43,APA!A$2:G$55,7,0)</f>
        <v>101.37</v>
      </c>
      <c r="K43">
        <f>VLOOKUP(A43,APC!A$2:G$55,7,0)</f>
        <v>110.81</v>
      </c>
      <c r="L43">
        <f>VLOOKUP(A43,AXP!A$2:G$55,7,0)</f>
        <v>89.02</v>
      </c>
      <c r="M43">
        <f>VLOOKUP(A43,BA!A$2:G$55,7,0)</f>
        <v>127.11</v>
      </c>
      <c r="N43">
        <f>VLOOKUP(A43,BAC!A$2:G$55,7,0)</f>
        <v>15.96</v>
      </c>
      <c r="O43">
        <f>VLOOKUP(A43,BAX!A$2:G$55,7,0)</f>
        <v>74.39</v>
      </c>
      <c r="P43">
        <f>VLOOKUP(A43,BIIB!A$2:G$55,7,0)</f>
        <v>341.24</v>
      </c>
      <c r="Q43">
        <f>VLOOKUP(A43,BK!A$2:G$55,7,0)</f>
        <v>39</v>
      </c>
      <c r="R43">
        <f>VLOOKUP(A43,BMY!A$2:G$55,7,0)</f>
        <v>50.54</v>
      </c>
      <c r="T43">
        <f>VLOOKUP(A43,'C'!A$2:G$55,7,0)</f>
        <v>51.39</v>
      </c>
      <c r="U43">
        <f>VLOOKUP(A43,CAT!A$2:G$55,7,0)</f>
        <v>108.65</v>
      </c>
      <c r="V43">
        <f>VLOOKUP(A43,CL!A$2:G$55,7,0)</f>
        <v>64.510000000000005</v>
      </c>
      <c r="W43">
        <f>VLOOKUP(A43,CMCSA!A$2:G$55,7,0)</f>
        <v>54.29</v>
      </c>
      <c r="X43">
        <f>VLOOKUP(A43,COF!A$2:G$55,7,0)</f>
        <v>81.59</v>
      </c>
      <c r="Y43">
        <f>VLOOKUP(A43,COP!A$2:G$55,7,0)</f>
        <v>80.66</v>
      </c>
      <c r="Z43">
        <f>VLOOKUP(A43,COST!A$2:G$55,7,0)</f>
        <v>120.97</v>
      </c>
      <c r="AA43">
        <f>VLOOKUP(A43,CSCO!A$2:G$55,7,0)</f>
        <v>24.85</v>
      </c>
      <c r="AB43">
        <f>VLOOKUP(A43,CVS!A$2:G$55,7,0)</f>
        <v>79.430000000000007</v>
      </c>
      <c r="AC43">
        <f>VLOOKUP(A43,CVX!A$2:G$55,7,0)</f>
        <v>128.75</v>
      </c>
      <c r="AD43">
        <f>VLOOKUP(A43,DD!A$2:G$55,7,0)</f>
        <v>66.150000000000006</v>
      </c>
      <c r="AE43">
        <f>VLOOKUP(A43,DIS!A$2:G$55,7,0)</f>
        <v>90.23</v>
      </c>
      <c r="AF43">
        <f>VLOOKUP(A43,DOW!A$2:G$55,7,0)</f>
        <v>53.27</v>
      </c>
      <c r="AG43">
        <f>VLOOKUP(A43,DVN!A$2:G$55,7,0)</f>
        <v>74.38</v>
      </c>
      <c r="AH43">
        <f>VLOOKUP(A43,EBAY!A$2:G$55,7,0)</f>
        <v>55.43</v>
      </c>
      <c r="AI43">
        <f>VLOOKUP(A43,EMC!A$2:G$55,7,0)</f>
        <v>29.29</v>
      </c>
      <c r="AJ43">
        <f>VLOOKUP(A43,EMR!A$2:G$55,7,0)</f>
        <v>64.260000000000005</v>
      </c>
      <c r="AK43">
        <f>VLOOKUP(A43,EXC!A$2:G$55,7,0)</f>
        <v>33</v>
      </c>
      <c r="AL43">
        <f>VLOOKUP(A43,F!A$2:G$55,7,0)</f>
        <v>17.420000000000002</v>
      </c>
      <c r="AM43">
        <f>VLOOKUP(A43,FB!A$2:G$55,7,0)</f>
        <v>73.86</v>
      </c>
      <c r="AN43">
        <f>VLOOKUP(A43,FCX!A$2:G$55,7,0)</f>
        <v>36.159999999999997</v>
      </c>
      <c r="AO43">
        <f>VLOOKUP(A43,FDX!A$2:G$55,7,0)</f>
        <v>147.68</v>
      </c>
      <c r="AP43">
        <f>VLOOKUP(A43,FOXA!A$2:G$55,7,0)</f>
        <v>35.479999999999997</v>
      </c>
      <c r="AQ43">
        <f>VLOOKUP(A43,GD!A$2:G$55,7,0)</f>
        <v>123.39</v>
      </c>
      <c r="AR43">
        <f>VLOOKUP(A43,GE!A$2:G$55,7,0)</f>
        <v>25.79</v>
      </c>
      <c r="AS43">
        <f>VLOOKUP(A43,GILD!A$2:G$55,7,0)</f>
        <v>107.51</v>
      </c>
      <c r="AT43">
        <f>VLOOKUP(A43,GM!A$2:G$55,7,0)</f>
        <v>34.380000000000003</v>
      </c>
      <c r="AU43">
        <f>VLOOKUP(A43,GOOG!A$2:G$55,7,0)</f>
        <v>569.20000000000005</v>
      </c>
      <c r="AV43">
        <f>VLOOKUP(A43,GOOGL!A$2:G$55,7,0)</f>
        <v>580.32000000000005</v>
      </c>
      <c r="AW43">
        <f>VLOOKUP(A43,GS!A$2:G$55,7,0)</f>
        <v>177.65</v>
      </c>
      <c r="AX43">
        <f>VLOOKUP(A43,HAL!A$2:G$55,7,0)</f>
        <v>67.23</v>
      </c>
      <c r="AY43">
        <f>VLOOKUP(A43,HD!A$2:G$55,7,0)</f>
        <v>92.04</v>
      </c>
      <c r="AZ43">
        <f>VLOOKUP(A43,HON!A$2:G$55,7,0)</f>
        <v>95.3</v>
      </c>
      <c r="BA43">
        <f>VLOOKUP(A43,HPQ!A$2:G$55,7,0)</f>
        <v>37.83</v>
      </c>
      <c r="BB43">
        <f>VLOOKUP(A43,IBM!A$2:G$55,7,0)</f>
        <v>192</v>
      </c>
      <c r="BC43">
        <f>VLOOKUP(A43,INTC!A$2:G$55,7,0)</f>
        <v>34.65</v>
      </c>
      <c r="BD43">
        <f>VLOOKUP(A43,JNJ!A$2:G$55,7,0)</f>
        <v>102.95</v>
      </c>
      <c r="BE43">
        <f>VLOOKUP(A43,JPM!A$2:G$55,7,0)</f>
        <v>59.16</v>
      </c>
      <c r="BF43">
        <f>VLOOKUP(A43,KO!A$2:G$55,7,0)</f>
        <v>41.33</v>
      </c>
      <c r="BG43">
        <f>VLOOKUP(A43,LLY!A$2:G$55,7,0)</f>
        <v>63.11</v>
      </c>
      <c r="BH43">
        <f>VLOOKUP(A43,LMT!A$2:G$55,7,0)</f>
        <v>174.1</v>
      </c>
      <c r="BI43">
        <f>VLOOKUP(A43,LOW!A$2:G$55,7,0)</f>
        <v>52.54</v>
      </c>
      <c r="BJ43">
        <f>VLOOKUP(A43,MA!A$2:G$55,7,0)</f>
        <v>76.16</v>
      </c>
      <c r="BK43">
        <f>VLOOKUP(A43,MCD!A$2:G$55,7,0)</f>
        <v>94.14</v>
      </c>
      <c r="BL43">
        <f>VLOOKUP(A43,MDLZ!A$2:G$55,7,0)</f>
        <v>36.130000000000003</v>
      </c>
      <c r="BM43">
        <f>VLOOKUP(A43,MDT!A$2:G$55,7,0)</f>
        <v>63.12</v>
      </c>
      <c r="BN43">
        <f>VLOOKUP(A43,MET!A$2:G$55,7,0)</f>
        <v>54.39</v>
      </c>
      <c r="BO43">
        <f>VLOOKUP(A43,MMM!A$2:G$55,7,0)</f>
        <v>143.97999999999999</v>
      </c>
      <c r="BP43">
        <f>VLOOKUP(A43,MO!A$2:G$55,7,0)</f>
        <v>42.4</v>
      </c>
      <c r="BQ43">
        <f>VLOOKUP(A43,MON!A$2:G$55,7,0)</f>
        <v>115.76</v>
      </c>
      <c r="BR43">
        <f>VLOOKUP(A43,MRK!A$2:G$55,7,0)</f>
        <v>59.57</v>
      </c>
      <c r="BS43">
        <f>VLOOKUP(A43,MS!A$2:G$55,7,0)</f>
        <v>34.06</v>
      </c>
      <c r="BT43">
        <f>VLOOKUP(A43,MSFT!A$2:G$55,7,0)</f>
        <v>44.88</v>
      </c>
      <c r="BU43">
        <f>VLOOKUP(A43,NKE!A$2:G$55,7,0)</f>
        <v>78.819999999999993</v>
      </c>
      <c r="BV43">
        <f>VLOOKUP(A43,NOV!A$2:G$55,7,0)</f>
        <v>84.94</v>
      </c>
      <c r="BW43">
        <f>VLOOKUP(A43,NSC!A$2:G$55,7,0)</f>
        <v>106.58</v>
      </c>
      <c r="BX43">
        <f>VLOOKUP(A43,ORCL!A$2:G$55,7,0)</f>
        <v>41.27</v>
      </c>
      <c r="BY43">
        <f>VLOOKUP(A43,OXY!A$2:G$55,7,0)</f>
        <v>103.27</v>
      </c>
      <c r="BZ43">
        <f>VLOOKUP(A43,PEP!A$2:G$55,7,0)</f>
        <v>91.92</v>
      </c>
      <c r="CA43">
        <f>VLOOKUP(A43,PFE!A$2:G$55,7,0)</f>
        <v>29.38</v>
      </c>
      <c r="CB43">
        <f>VLOOKUP(A43,PG!A$2:G$55,7,0)</f>
        <v>83.03</v>
      </c>
      <c r="CC43">
        <f>VLOOKUP(A43,PM!A$2:G$55,7,0)</f>
        <v>84.27</v>
      </c>
      <c r="CD43">
        <f>VLOOKUP(A43,QCOM!A$2:G$55,7,0)</f>
        <v>75.92</v>
      </c>
      <c r="CE43">
        <f>VLOOKUP(A43,RTN!A$2:G$55,7,0)</f>
        <v>95.47</v>
      </c>
      <c r="CF43">
        <f>VLOOKUP(A43,SBUX!A$2:G$55,7,0)</f>
        <v>77.81</v>
      </c>
      <c r="CG43">
        <f>VLOOKUP(A43,SLB!A$2:G$55,7,0)</f>
        <v>109.76</v>
      </c>
      <c r="CH43">
        <f>VLOOKUP(A43,SO!A$2:G$55,7,0)</f>
        <v>44.23</v>
      </c>
      <c r="CI43">
        <f>VLOOKUP(A43,SPG!A$2:G$55,7,0)</f>
        <v>168.98</v>
      </c>
      <c r="CJ43">
        <f>VLOOKUP(A43,T!A$2:G$55,7,0)</f>
        <v>34.74</v>
      </c>
      <c r="CK43">
        <f>VLOOKUP(A43,TGT!A$2:G$55,7,0)</f>
        <v>60.35</v>
      </c>
      <c r="CL43">
        <f>VLOOKUP(A43,TWX!A$2:G$55,7,0)</f>
        <v>76.95</v>
      </c>
      <c r="CM43">
        <f>VLOOKUP(A43,TXN!A$2:G$55,7,0)</f>
        <v>48.02</v>
      </c>
      <c r="CN43">
        <f>VLOOKUP(A43,UNH!A$2:G$55,7,0)</f>
        <v>85.97</v>
      </c>
      <c r="CO43">
        <f>VLOOKUP(A43,UNP!A$2:G$55,7,0)</f>
        <v>105.04</v>
      </c>
      <c r="CP43">
        <f>VLOOKUP(A43,UPS!A$2:G$55,7,0)</f>
        <v>97.44</v>
      </c>
      <c r="CQ43">
        <f>VLOOKUP(A43,USB!A$2:G$55,7,0)</f>
        <v>41.81</v>
      </c>
      <c r="CR43">
        <f>VLOOKUP(A43,UTX!A$2:G$55,7,0)</f>
        <v>109.11</v>
      </c>
      <c r="CS43">
        <f>VLOOKUP(A43,V!A$2:G$55,7,0)</f>
        <v>214.6</v>
      </c>
      <c r="CT43">
        <f>VLOOKUP(A43,VZ!A$2:G$55,7,0)</f>
        <v>49.41</v>
      </c>
      <c r="CU43">
        <f>VLOOKUP(A43,WAG!A$2:G$55,7,0)</f>
        <v>60.47</v>
      </c>
      <c r="CV43">
        <f>VLOOKUP(A43,WFC!A$2:G$55,7,0)</f>
        <v>51.15</v>
      </c>
      <c r="CW43">
        <f>VLOOKUP(A43,WMT!A$2:G$55,7,0)</f>
        <v>75.900000000000006</v>
      </c>
    </row>
    <row r="44" spans="1:101" x14ac:dyDescent="0.25">
      <c r="A44" s="34">
        <v>41880</v>
      </c>
      <c r="B44" s="36">
        <v>102.5</v>
      </c>
      <c r="C44">
        <f>VLOOKUP(A44,ABBV!A$2:G$55,7,0)</f>
        <v>55.28</v>
      </c>
      <c r="D44">
        <f>VLOOKUP(A44,ABT!A$2:G$55,7,0)</f>
        <v>42.24</v>
      </c>
      <c r="E44">
        <f>VLOOKUP(A44,ACN!A$2:G$55,7,0)</f>
        <v>81.06</v>
      </c>
      <c r="F44">
        <f>VLOOKUP(A44,AIG!A$2:G$55,7,0)</f>
        <v>55.93</v>
      </c>
      <c r="G44">
        <f>VLOOKUP(A44,ALL!A$2:G$55,7,0)</f>
        <v>61.49</v>
      </c>
      <c r="H44">
        <f>VLOOKUP(A44,AMGN!A$2:G$55,7,0)</f>
        <v>139.38</v>
      </c>
      <c r="I44">
        <f>VLOOKUP(A44,AMZN!A$2:G$55,7,0)</f>
        <v>339.04</v>
      </c>
      <c r="J44">
        <f>VLOOKUP(A44,APA!A$2:G$55,7,0)</f>
        <v>101.83</v>
      </c>
      <c r="K44">
        <f>VLOOKUP(A44,APC!A$2:G$55,7,0)</f>
        <v>112.41</v>
      </c>
      <c r="L44">
        <f>VLOOKUP(A44,AXP!A$2:G$55,7,0)</f>
        <v>89.55</v>
      </c>
      <c r="M44">
        <f>VLOOKUP(A44,BA!A$2:G$55,7,0)</f>
        <v>126.8</v>
      </c>
      <c r="N44">
        <f>VLOOKUP(A44,BAC!A$2:G$55,7,0)</f>
        <v>16.04</v>
      </c>
      <c r="O44">
        <f>VLOOKUP(A44,BAX!A$2:G$55,7,0)</f>
        <v>74.459999999999994</v>
      </c>
      <c r="P44">
        <f>VLOOKUP(A44,BIIB!A$2:G$55,7,0)</f>
        <v>343.04</v>
      </c>
      <c r="Q44">
        <f>VLOOKUP(A44,BK!A$2:G$55,7,0)</f>
        <v>39.18</v>
      </c>
      <c r="R44">
        <f>VLOOKUP(A44,BMY!A$2:G$55,7,0)</f>
        <v>50.65</v>
      </c>
      <c r="T44">
        <f>VLOOKUP(A44,'C'!A$2:G$55,7,0)</f>
        <v>51.65</v>
      </c>
      <c r="U44">
        <f>VLOOKUP(A44,CAT!A$2:G$55,7,0)</f>
        <v>109.07</v>
      </c>
      <c r="V44">
        <f>VLOOKUP(A44,CL!A$2:G$55,7,0)</f>
        <v>64.73</v>
      </c>
      <c r="W44">
        <f>VLOOKUP(A44,CMCSA!A$2:G$55,7,0)</f>
        <v>54.49</v>
      </c>
      <c r="X44">
        <f>VLOOKUP(A44,COF!A$2:G$55,7,0)</f>
        <v>82.06</v>
      </c>
      <c r="Y44">
        <f>VLOOKUP(A44,COP!A$2:G$55,7,0)</f>
        <v>81.22</v>
      </c>
      <c r="Z44">
        <f>VLOOKUP(A44,COST!A$2:G$55,7,0)</f>
        <v>121.08</v>
      </c>
      <c r="AA44">
        <f>VLOOKUP(A44,CSCO!A$2:G$55,7,0)</f>
        <v>24.99</v>
      </c>
      <c r="AB44">
        <f>VLOOKUP(A44,CVS!A$2:G$55,7,0)</f>
        <v>79.45</v>
      </c>
      <c r="AC44">
        <f>VLOOKUP(A44,CVX!A$2:G$55,7,0)</f>
        <v>129.44999999999999</v>
      </c>
      <c r="AD44">
        <f>VLOOKUP(A44,DD!A$2:G$55,7,0)</f>
        <v>66.11</v>
      </c>
      <c r="AE44">
        <f>VLOOKUP(A44,DIS!A$2:G$55,7,0)</f>
        <v>89.88</v>
      </c>
      <c r="AF44">
        <f>VLOOKUP(A44,DOW!A$2:G$55,7,0)</f>
        <v>53.18</v>
      </c>
      <c r="AG44">
        <f>VLOOKUP(A44,DVN!A$2:G$55,7,0)</f>
        <v>75.16</v>
      </c>
      <c r="AH44">
        <f>VLOOKUP(A44,EBAY!A$2:G$55,7,0)</f>
        <v>55.5</v>
      </c>
      <c r="AI44">
        <f>VLOOKUP(A44,EMC!A$2:G$55,7,0)</f>
        <v>29.41</v>
      </c>
      <c r="AJ44">
        <f>VLOOKUP(A44,EMR!A$2:G$55,7,0)</f>
        <v>64.02</v>
      </c>
      <c r="AK44">
        <f>VLOOKUP(A44,EXC!A$2:G$55,7,0)</f>
        <v>33.42</v>
      </c>
      <c r="AL44">
        <f>VLOOKUP(A44,F!A$2:G$55,7,0)</f>
        <v>17.41</v>
      </c>
      <c r="AM44">
        <f>VLOOKUP(A44,FB!A$2:G$55,7,0)</f>
        <v>74.819999999999993</v>
      </c>
      <c r="AN44">
        <f>VLOOKUP(A44,FCX!A$2:G$55,7,0)</f>
        <v>36.369999999999997</v>
      </c>
      <c r="AO44">
        <f>VLOOKUP(A44,FDX!A$2:G$55,7,0)</f>
        <v>147.69</v>
      </c>
      <c r="AP44">
        <f>VLOOKUP(A44,FOXA!A$2:G$55,7,0)</f>
        <v>35.299999999999997</v>
      </c>
      <c r="AQ44">
        <f>VLOOKUP(A44,GD!A$2:G$55,7,0)</f>
        <v>123.25</v>
      </c>
      <c r="AR44">
        <f>VLOOKUP(A44,GE!A$2:G$55,7,0)</f>
        <v>25.76</v>
      </c>
      <c r="AS44">
        <f>VLOOKUP(A44,GILD!A$2:G$55,7,0)</f>
        <v>107.56</v>
      </c>
      <c r="AT44">
        <f>VLOOKUP(A44,GM!A$2:G$55,7,0)</f>
        <v>34.5</v>
      </c>
      <c r="AU44">
        <f>VLOOKUP(A44,GOOG!A$2:G$55,7,0)</f>
        <v>571.6</v>
      </c>
      <c r="AV44">
        <f>VLOOKUP(A44,GOOGL!A$2:G$55,7,0)</f>
        <v>582.36</v>
      </c>
      <c r="AW44">
        <f>VLOOKUP(A44,GS!A$2:G$55,7,0)</f>
        <v>179.11</v>
      </c>
      <c r="AX44">
        <f>VLOOKUP(A44,HAL!A$2:G$55,7,0)</f>
        <v>67.61</v>
      </c>
      <c r="AY44">
        <f>VLOOKUP(A44,HD!A$2:G$55,7,0)</f>
        <v>93.03</v>
      </c>
      <c r="AZ44">
        <f>VLOOKUP(A44,HON!A$2:G$55,7,0)</f>
        <v>95.23</v>
      </c>
      <c r="BA44">
        <f>VLOOKUP(A44,HPQ!A$2:G$55,7,0)</f>
        <v>37.840000000000003</v>
      </c>
      <c r="BB44">
        <f>VLOOKUP(A44,IBM!A$2:G$55,7,0)</f>
        <v>192.3</v>
      </c>
      <c r="BC44">
        <f>VLOOKUP(A44,INTC!A$2:G$55,7,0)</f>
        <v>34.92</v>
      </c>
      <c r="BD44">
        <f>VLOOKUP(A44,JNJ!A$2:G$55,7,0)</f>
        <v>103.73</v>
      </c>
      <c r="BE44">
        <f>VLOOKUP(A44,JPM!A$2:G$55,7,0)</f>
        <v>59.45</v>
      </c>
      <c r="BF44">
        <f>VLOOKUP(A44,KO!A$2:G$55,7,0)</f>
        <v>41.42</v>
      </c>
      <c r="BG44">
        <f>VLOOKUP(A44,LLY!A$2:G$55,7,0)</f>
        <v>63.56</v>
      </c>
      <c r="BH44">
        <f>VLOOKUP(A44,LMT!A$2:G$55,7,0)</f>
        <v>174</v>
      </c>
      <c r="BI44">
        <f>VLOOKUP(A44,LOW!A$2:G$55,7,0)</f>
        <v>52.51</v>
      </c>
      <c r="BJ44">
        <f>VLOOKUP(A44,MA!A$2:G$55,7,0)</f>
        <v>75.81</v>
      </c>
      <c r="BK44">
        <f>VLOOKUP(A44,MCD!A$2:G$55,7,0)</f>
        <v>93.72</v>
      </c>
      <c r="BL44">
        <f>VLOOKUP(A44,MDLZ!A$2:G$55,7,0)</f>
        <v>36.03</v>
      </c>
      <c r="BM44">
        <f>VLOOKUP(A44,MDT!A$2:G$55,7,0)</f>
        <v>63.85</v>
      </c>
      <c r="BN44">
        <f>VLOOKUP(A44,MET!A$2:G$55,7,0)</f>
        <v>54.74</v>
      </c>
      <c r="BO44">
        <f>VLOOKUP(A44,MMM!A$2:G$55,7,0)</f>
        <v>144</v>
      </c>
      <c r="BP44">
        <f>VLOOKUP(A44,MO!A$2:G$55,7,0)</f>
        <v>42.57</v>
      </c>
      <c r="BQ44">
        <f>VLOOKUP(A44,MON!A$2:G$55,7,0)</f>
        <v>115.65</v>
      </c>
      <c r="BR44">
        <f>VLOOKUP(A44,MRK!A$2:G$55,7,0)</f>
        <v>59.67</v>
      </c>
      <c r="BS44">
        <f>VLOOKUP(A44,MS!A$2:G$55,7,0)</f>
        <v>34.31</v>
      </c>
      <c r="BT44">
        <f>VLOOKUP(A44,MSFT!A$2:G$55,7,0)</f>
        <v>45.43</v>
      </c>
      <c r="BU44">
        <f>VLOOKUP(A44,NKE!A$2:G$55,7,0)</f>
        <v>78.55</v>
      </c>
      <c r="BV44">
        <f>VLOOKUP(A44,NOV!A$2:G$55,7,0)</f>
        <v>85.94</v>
      </c>
      <c r="BW44">
        <f>VLOOKUP(A44,NSC!A$2:G$55,7,0)</f>
        <v>107</v>
      </c>
      <c r="BX44">
        <f>VLOOKUP(A44,ORCL!A$2:G$55,7,0)</f>
        <v>41.53</v>
      </c>
      <c r="BY44">
        <f>VLOOKUP(A44,OXY!A$2:G$55,7,0)</f>
        <v>102.99</v>
      </c>
      <c r="BZ44">
        <f>VLOOKUP(A44,PEP!A$2:G$55,7,0)</f>
        <v>91.83</v>
      </c>
      <c r="CA44">
        <f>VLOOKUP(A44,PFE!A$2:G$55,7,0)</f>
        <v>29.39</v>
      </c>
      <c r="CB44">
        <f>VLOOKUP(A44,PG!A$2:G$55,7,0)</f>
        <v>83.11</v>
      </c>
      <c r="CC44">
        <f>VLOOKUP(A44,PM!A$2:G$55,7,0)</f>
        <v>84.59</v>
      </c>
      <c r="CD44">
        <f>VLOOKUP(A44,QCOM!A$2:G$55,7,0)</f>
        <v>76.099999999999994</v>
      </c>
      <c r="CE44">
        <f>VLOOKUP(A44,RTN!A$2:G$55,7,0)</f>
        <v>95.77</v>
      </c>
      <c r="CF44">
        <f>VLOOKUP(A44,SBUX!A$2:G$55,7,0)</f>
        <v>77.81</v>
      </c>
      <c r="CG44">
        <f>VLOOKUP(A44,SLB!A$2:G$55,7,0)</f>
        <v>109.64</v>
      </c>
      <c r="CH44">
        <f>VLOOKUP(A44,SO!A$2:G$55,7,0)</f>
        <v>44.4</v>
      </c>
      <c r="CI44">
        <f>VLOOKUP(A44,SPG!A$2:G$55,7,0)</f>
        <v>170.03</v>
      </c>
      <c r="CJ44">
        <f>VLOOKUP(A44,T!A$2:G$55,7,0)</f>
        <v>34.96</v>
      </c>
      <c r="CK44">
        <f>VLOOKUP(A44,TGT!A$2:G$55,7,0)</f>
        <v>60.07</v>
      </c>
      <c r="CL44">
        <f>VLOOKUP(A44,TWX!A$2:G$55,7,0)</f>
        <v>77.03</v>
      </c>
      <c r="CM44">
        <f>VLOOKUP(A44,TXN!A$2:G$55,7,0)</f>
        <v>48.18</v>
      </c>
      <c r="CN44">
        <f>VLOOKUP(A44,UNH!A$2:G$55,7,0)</f>
        <v>86.31</v>
      </c>
      <c r="CO44">
        <f>VLOOKUP(A44,UNP!A$2:G$55,7,0)</f>
        <v>105.27</v>
      </c>
      <c r="CP44">
        <f>VLOOKUP(A44,UPS!A$2:G$55,7,0)</f>
        <v>97.33</v>
      </c>
      <c r="CQ44">
        <f>VLOOKUP(A44,USB!A$2:G$55,7,0)</f>
        <v>42.03</v>
      </c>
      <c r="CR44">
        <f>VLOOKUP(A44,UTX!A$2:G$55,7,0)</f>
        <v>107.98</v>
      </c>
      <c r="CS44">
        <f>VLOOKUP(A44,V!A$2:G$55,7,0)</f>
        <v>212.52</v>
      </c>
      <c r="CT44">
        <f>VLOOKUP(A44,VZ!A$2:G$55,7,0)</f>
        <v>49.82</v>
      </c>
      <c r="CU44">
        <f>VLOOKUP(A44,WAG!A$2:G$55,7,0)</f>
        <v>60.52</v>
      </c>
      <c r="CV44">
        <f>VLOOKUP(A44,WFC!A$2:G$55,7,0)</f>
        <v>51.44</v>
      </c>
      <c r="CW44">
        <f>VLOOKUP(A44,WMT!A$2:G$55,7,0)</f>
        <v>75.5</v>
      </c>
    </row>
    <row r="45" spans="1:101" x14ac:dyDescent="0.25">
      <c r="A45" s="34">
        <v>41884</v>
      </c>
      <c r="B45" s="36">
        <v>103.3</v>
      </c>
      <c r="C45">
        <f>VLOOKUP(A45,ABBV!A$2:G$55,7,0)</f>
        <v>55.07</v>
      </c>
      <c r="D45">
        <f>VLOOKUP(A45,ABT!A$2:G$55,7,0)</f>
        <v>42.23</v>
      </c>
      <c r="E45">
        <f>VLOOKUP(A45,ACN!A$2:G$55,7,0)</f>
        <v>81.12</v>
      </c>
      <c r="F45">
        <f>VLOOKUP(A45,AIG!A$2:G$55,7,0)</f>
        <v>55.67</v>
      </c>
      <c r="G45">
        <f>VLOOKUP(A45,ALL!A$2:G$55,7,0)</f>
        <v>61.83</v>
      </c>
      <c r="H45">
        <f>VLOOKUP(A45,AMGN!A$2:G$55,7,0)</f>
        <v>137.96</v>
      </c>
      <c r="I45">
        <f>VLOOKUP(A45,AMZN!A$2:G$55,7,0)</f>
        <v>342.38</v>
      </c>
      <c r="J45">
        <f>VLOOKUP(A45,APA!A$2:G$55,7,0)</f>
        <v>100.16</v>
      </c>
      <c r="K45">
        <f>VLOOKUP(A45,APC!A$2:G$55,7,0)</f>
        <v>111.3</v>
      </c>
      <c r="L45">
        <f>VLOOKUP(A45,AXP!A$2:G$55,7,0)</f>
        <v>89.72</v>
      </c>
      <c r="M45">
        <f>VLOOKUP(A45,BA!A$2:G$55,7,0)</f>
        <v>125.48</v>
      </c>
      <c r="N45">
        <f>VLOOKUP(A45,BAC!A$2:G$55,7,0)</f>
        <v>16.22</v>
      </c>
      <c r="O45">
        <f>VLOOKUP(A45,BAX!A$2:G$55,7,0)</f>
        <v>73.77</v>
      </c>
      <c r="P45">
        <f>VLOOKUP(A45,BIIB!A$2:G$55,7,0)</f>
        <v>342.68</v>
      </c>
      <c r="Q45">
        <f>VLOOKUP(A45,BK!A$2:G$55,7,0)</f>
        <v>39.65</v>
      </c>
      <c r="R45">
        <f>VLOOKUP(A45,BMY!A$2:G$55,7,0)</f>
        <v>50.58</v>
      </c>
      <c r="T45">
        <f>VLOOKUP(A45,'C'!A$2:G$55,7,0)</f>
        <v>51.96</v>
      </c>
      <c r="U45">
        <f>VLOOKUP(A45,CAT!A$2:G$55,7,0)</f>
        <v>108.92</v>
      </c>
      <c r="V45">
        <f>VLOOKUP(A45,CL!A$2:G$55,7,0)</f>
        <v>64.42</v>
      </c>
      <c r="W45">
        <f>VLOOKUP(A45,CMCSA!A$2:G$55,7,0)</f>
        <v>54.55</v>
      </c>
      <c r="X45">
        <f>VLOOKUP(A45,COF!A$2:G$55,7,0)</f>
        <v>82.58</v>
      </c>
      <c r="Y45">
        <f>VLOOKUP(A45,COP!A$2:G$55,7,0)</f>
        <v>80.22</v>
      </c>
      <c r="Z45">
        <f>VLOOKUP(A45,COST!A$2:G$55,7,0)</f>
        <v>121.56</v>
      </c>
      <c r="AA45">
        <f>VLOOKUP(A45,CSCO!A$2:G$55,7,0)</f>
        <v>24.88</v>
      </c>
      <c r="AB45">
        <f>VLOOKUP(A45,CVS!A$2:G$55,7,0)</f>
        <v>79.73</v>
      </c>
      <c r="AC45">
        <f>VLOOKUP(A45,CVX!A$2:G$55,7,0)</f>
        <v>127.54</v>
      </c>
      <c r="AD45">
        <f>VLOOKUP(A45,DD!A$2:G$55,7,0)</f>
        <v>65.83</v>
      </c>
      <c r="AE45">
        <f>VLOOKUP(A45,DIS!A$2:G$55,7,0)</f>
        <v>90.8</v>
      </c>
      <c r="AF45">
        <f>VLOOKUP(A45,DOW!A$2:G$55,7,0)</f>
        <v>53.18</v>
      </c>
      <c r="AG45">
        <f>VLOOKUP(A45,DVN!A$2:G$55,7,0)</f>
        <v>73.83</v>
      </c>
      <c r="AH45">
        <f>VLOOKUP(A45,EBAY!A$2:G$55,7,0)</f>
        <v>54.88</v>
      </c>
      <c r="AI45">
        <f>VLOOKUP(A45,EMC!A$2:G$55,7,0)</f>
        <v>29.31</v>
      </c>
      <c r="AJ45">
        <f>VLOOKUP(A45,EMR!A$2:G$55,7,0)</f>
        <v>64.31</v>
      </c>
      <c r="AK45">
        <f>VLOOKUP(A45,EXC!A$2:G$55,7,0)</f>
        <v>32.83</v>
      </c>
      <c r="AL45">
        <f>VLOOKUP(A45,F!A$2:G$55,7,0)</f>
        <v>17.600000000000001</v>
      </c>
      <c r="AM45">
        <f>VLOOKUP(A45,FB!A$2:G$55,7,0)</f>
        <v>76.680000000000007</v>
      </c>
      <c r="AN45">
        <f>VLOOKUP(A45,FCX!A$2:G$55,7,0)</f>
        <v>35.49</v>
      </c>
      <c r="AO45">
        <f>VLOOKUP(A45,FDX!A$2:G$55,7,0)</f>
        <v>150.19999999999999</v>
      </c>
      <c r="AP45">
        <f>VLOOKUP(A45,FOXA!A$2:G$55,7,0)</f>
        <v>35.81</v>
      </c>
      <c r="AQ45">
        <f>VLOOKUP(A45,GD!A$2:G$55,7,0)</f>
        <v>122.66</v>
      </c>
      <c r="AR45">
        <f>VLOOKUP(A45,GE!A$2:G$55,7,0)</f>
        <v>25.63</v>
      </c>
      <c r="AS45">
        <f>VLOOKUP(A45,GILD!A$2:G$55,7,0)</f>
        <v>109.36</v>
      </c>
      <c r="AT45">
        <f>VLOOKUP(A45,GM!A$2:G$55,7,0)</f>
        <v>34.5</v>
      </c>
      <c r="AU45">
        <f>VLOOKUP(A45,GOOG!A$2:G$55,7,0)</f>
        <v>577.33000000000004</v>
      </c>
      <c r="AV45">
        <f>VLOOKUP(A45,GOOGL!A$2:G$55,7,0)</f>
        <v>588.63</v>
      </c>
      <c r="AW45">
        <f>VLOOKUP(A45,GS!A$2:G$55,7,0)</f>
        <v>179.77</v>
      </c>
      <c r="AX45">
        <f>VLOOKUP(A45,HAL!A$2:G$55,7,0)</f>
        <v>67.489999999999995</v>
      </c>
      <c r="AY45">
        <f>VLOOKUP(A45,HD!A$2:G$55,7,0)</f>
        <v>91.15</v>
      </c>
      <c r="AZ45">
        <f>VLOOKUP(A45,HON!A$2:G$55,7,0)</f>
        <v>95.5</v>
      </c>
      <c r="BA45">
        <f>VLOOKUP(A45,HPQ!A$2:G$55,7,0)</f>
        <v>37.89</v>
      </c>
      <c r="BB45">
        <f>VLOOKUP(A45,IBM!A$2:G$55,7,0)</f>
        <v>191.56</v>
      </c>
      <c r="BC45">
        <f>VLOOKUP(A45,INTC!A$2:G$55,7,0)</f>
        <v>34.57</v>
      </c>
      <c r="BD45">
        <f>VLOOKUP(A45,JNJ!A$2:G$55,7,0)</f>
        <v>103.36</v>
      </c>
      <c r="BE45">
        <f>VLOOKUP(A45,JPM!A$2:G$55,7,0)</f>
        <v>59.67</v>
      </c>
      <c r="BF45">
        <f>VLOOKUP(A45,KO!A$2:G$55,7,0)</f>
        <v>41.34</v>
      </c>
      <c r="BG45">
        <f>VLOOKUP(A45,LLY!A$2:G$55,7,0)</f>
        <v>63.68</v>
      </c>
      <c r="BH45">
        <f>VLOOKUP(A45,LMT!A$2:G$55,7,0)</f>
        <v>173.8</v>
      </c>
      <c r="BI45">
        <f>VLOOKUP(A45,LOW!A$2:G$55,7,0)</f>
        <v>52.61</v>
      </c>
      <c r="BJ45">
        <f>VLOOKUP(A45,MA!A$2:G$55,7,0)</f>
        <v>75.58</v>
      </c>
      <c r="BK45">
        <f>VLOOKUP(A45,MCD!A$2:G$55,7,0)</f>
        <v>92.8</v>
      </c>
      <c r="BL45">
        <f>VLOOKUP(A45,MDLZ!A$2:G$55,7,0)</f>
        <v>35.590000000000003</v>
      </c>
      <c r="BM45">
        <f>VLOOKUP(A45,MDT!A$2:G$55,7,0)</f>
        <v>63.91</v>
      </c>
      <c r="BN45">
        <f>VLOOKUP(A45,MET!A$2:G$55,7,0)</f>
        <v>55.34</v>
      </c>
      <c r="BO45">
        <f>VLOOKUP(A45,MMM!A$2:G$55,7,0)</f>
        <v>144.22</v>
      </c>
      <c r="BP45">
        <f>VLOOKUP(A45,MO!A$2:G$55,7,0)</f>
        <v>42.68</v>
      </c>
      <c r="BQ45">
        <f>VLOOKUP(A45,MON!A$2:G$55,7,0)</f>
        <v>114.94</v>
      </c>
      <c r="BR45">
        <f>VLOOKUP(A45,MRK!A$2:G$55,7,0)</f>
        <v>59.36</v>
      </c>
      <c r="BS45">
        <f>VLOOKUP(A45,MS!A$2:G$55,7,0)</f>
        <v>34.549999999999997</v>
      </c>
      <c r="BT45">
        <f>VLOOKUP(A45,MSFT!A$2:G$55,7,0)</f>
        <v>45.09</v>
      </c>
      <c r="BU45">
        <f>VLOOKUP(A45,NKE!A$2:G$55,7,0)</f>
        <v>79.28</v>
      </c>
      <c r="BV45">
        <f>VLOOKUP(A45,NOV!A$2:G$55,7,0)</f>
        <v>84.15</v>
      </c>
      <c r="BW45">
        <f>VLOOKUP(A45,NSC!A$2:G$55,7,0)</f>
        <v>107.01</v>
      </c>
      <c r="BX45">
        <f>VLOOKUP(A45,ORCL!A$2:G$55,7,0)</f>
        <v>41.66</v>
      </c>
      <c r="BY45">
        <f>VLOOKUP(A45,OXY!A$2:G$55,7,0)</f>
        <v>101.63</v>
      </c>
      <c r="BZ45">
        <f>VLOOKUP(A45,PEP!A$2:G$55,7,0)</f>
        <v>91.83</v>
      </c>
      <c r="CA45">
        <f>VLOOKUP(A45,PFE!A$2:G$55,7,0)</f>
        <v>29.26</v>
      </c>
      <c r="CB45">
        <f>VLOOKUP(A45,PG!A$2:G$55,7,0)</f>
        <v>82.98</v>
      </c>
      <c r="CC45">
        <f>VLOOKUP(A45,PM!A$2:G$55,7,0)</f>
        <v>84.5</v>
      </c>
      <c r="CD45">
        <f>VLOOKUP(A45,QCOM!A$2:G$55,7,0)</f>
        <v>75.06</v>
      </c>
      <c r="CE45">
        <f>VLOOKUP(A45,RTN!A$2:G$55,7,0)</f>
        <v>95.91</v>
      </c>
      <c r="CF45">
        <f>VLOOKUP(A45,SBUX!A$2:G$55,7,0)</f>
        <v>77.48</v>
      </c>
      <c r="CG45">
        <f>VLOOKUP(A45,SLB!A$2:G$55,7,0)</f>
        <v>108.06</v>
      </c>
      <c r="CH45">
        <f>VLOOKUP(A45,SO!A$2:G$55,7,0)</f>
        <v>43.8</v>
      </c>
      <c r="CI45">
        <f>VLOOKUP(A45,SPG!A$2:G$55,7,0)</f>
        <v>170.12</v>
      </c>
      <c r="CJ45">
        <f>VLOOKUP(A45,T!A$2:G$55,7,0)</f>
        <v>34.840000000000003</v>
      </c>
      <c r="CK45">
        <f>VLOOKUP(A45,TGT!A$2:G$55,7,0)</f>
        <v>60.19</v>
      </c>
      <c r="CL45">
        <f>VLOOKUP(A45,TWX!A$2:G$55,7,0)</f>
        <v>77.319999999999993</v>
      </c>
      <c r="CM45">
        <f>VLOOKUP(A45,TXN!A$2:G$55,7,0)</f>
        <v>47.91</v>
      </c>
      <c r="CN45">
        <f>VLOOKUP(A45,UNH!A$2:G$55,7,0)</f>
        <v>86.02</v>
      </c>
      <c r="CO45">
        <f>VLOOKUP(A45,UNP!A$2:G$55,7,0)</f>
        <v>106.21</v>
      </c>
      <c r="CP45">
        <f>VLOOKUP(A45,UPS!A$2:G$55,7,0)</f>
        <v>97.95</v>
      </c>
      <c r="CQ45">
        <f>VLOOKUP(A45,USB!A$2:G$55,7,0)</f>
        <v>42.02</v>
      </c>
      <c r="CR45">
        <f>VLOOKUP(A45,UTX!A$2:G$55,7,0)</f>
        <v>109.04</v>
      </c>
      <c r="CS45">
        <f>VLOOKUP(A45,V!A$2:G$55,7,0)</f>
        <v>214.73</v>
      </c>
      <c r="CT45">
        <f>VLOOKUP(A45,VZ!A$2:G$55,7,0)</f>
        <v>49.77</v>
      </c>
      <c r="CU45">
        <f>VLOOKUP(A45,WAG!A$2:G$55,7,0)</f>
        <v>60.01</v>
      </c>
      <c r="CV45">
        <f>VLOOKUP(A45,WFC!A$2:G$55,7,0)</f>
        <v>51.57</v>
      </c>
      <c r="CW45">
        <f>VLOOKUP(A45,WMT!A$2:G$55,7,0)</f>
        <v>75.75</v>
      </c>
    </row>
    <row r="46" spans="1:101" x14ac:dyDescent="0.25">
      <c r="A46" s="34">
        <v>41885</v>
      </c>
      <c r="B46" s="36">
        <v>98.94</v>
      </c>
      <c r="C46">
        <f>VLOOKUP(A46,ABBV!A$2:G$55,7,0)</f>
        <v>55.51</v>
      </c>
      <c r="D46">
        <f>VLOOKUP(A46,ABT!A$2:G$55,7,0)</f>
        <v>42.76</v>
      </c>
      <c r="E46">
        <f>VLOOKUP(A46,ACN!A$2:G$55,7,0)</f>
        <v>81.86</v>
      </c>
      <c r="F46">
        <f>VLOOKUP(A46,AIG!A$2:G$55,7,0)</f>
        <v>55.45</v>
      </c>
      <c r="G46">
        <f>VLOOKUP(A46,ALL!A$2:G$55,7,0)</f>
        <v>61.64</v>
      </c>
      <c r="H46">
        <f>VLOOKUP(A46,AMGN!A$2:G$55,7,0)</f>
        <v>138.58000000000001</v>
      </c>
      <c r="I46">
        <f>VLOOKUP(A46,AMZN!A$2:G$55,7,0)</f>
        <v>339</v>
      </c>
      <c r="J46">
        <f>VLOOKUP(A46,APA!A$2:G$55,7,0)</f>
        <v>100.36</v>
      </c>
      <c r="K46">
        <f>VLOOKUP(A46,APC!A$2:G$55,7,0)</f>
        <v>111.21</v>
      </c>
      <c r="L46">
        <f>VLOOKUP(A46,AXP!A$2:G$55,7,0)</f>
        <v>90.14</v>
      </c>
      <c r="M46">
        <f>VLOOKUP(A46,BA!A$2:G$55,7,0)</f>
        <v>125.94</v>
      </c>
      <c r="N46">
        <f>VLOOKUP(A46,BAC!A$2:G$55,7,0)</f>
        <v>16.100000000000001</v>
      </c>
      <c r="O46">
        <f>VLOOKUP(A46,BAX!A$2:G$55,7,0)</f>
        <v>73.97</v>
      </c>
      <c r="P46">
        <f>VLOOKUP(A46,BIIB!A$2:G$55,7,0)</f>
        <v>344.12</v>
      </c>
      <c r="Q46">
        <f>VLOOKUP(A46,BK!A$2:G$55,7,0)</f>
        <v>39.520000000000003</v>
      </c>
      <c r="R46">
        <f>VLOOKUP(A46,BMY!A$2:G$55,7,0)</f>
        <v>50.53</v>
      </c>
      <c r="T46">
        <f>VLOOKUP(A46,'C'!A$2:G$55,7,0)</f>
        <v>52.23</v>
      </c>
      <c r="U46">
        <f>VLOOKUP(A46,CAT!A$2:G$55,7,0)</f>
        <v>108.46</v>
      </c>
      <c r="V46">
        <f>VLOOKUP(A46,CL!A$2:G$55,7,0)</f>
        <v>64.42</v>
      </c>
      <c r="W46">
        <f>VLOOKUP(A46,CMCSA!A$2:G$55,7,0)</f>
        <v>54.64</v>
      </c>
      <c r="X46">
        <f>VLOOKUP(A46,COF!A$2:G$55,7,0)</f>
        <v>82.53</v>
      </c>
      <c r="Y46">
        <f>VLOOKUP(A46,COP!A$2:G$55,7,0)</f>
        <v>80.900000000000006</v>
      </c>
      <c r="Z46">
        <f>VLOOKUP(A46,COST!A$2:G$55,7,0)</f>
        <v>121.35</v>
      </c>
      <c r="AA46">
        <f>VLOOKUP(A46,CSCO!A$2:G$55,7,0)</f>
        <v>25.04</v>
      </c>
      <c r="AB46">
        <f>VLOOKUP(A46,CVS!A$2:G$55,7,0)</f>
        <v>80.36</v>
      </c>
      <c r="AC46">
        <f>VLOOKUP(A46,CVX!A$2:G$55,7,0)</f>
        <v>127.86</v>
      </c>
      <c r="AD46">
        <f>VLOOKUP(A46,DD!A$2:G$55,7,0)</f>
        <v>65.819999999999993</v>
      </c>
      <c r="AE46">
        <f>VLOOKUP(A46,DIS!A$2:G$55,7,0)</f>
        <v>90.94</v>
      </c>
      <c r="AF46">
        <f>VLOOKUP(A46,DOW!A$2:G$55,7,0)</f>
        <v>53.52</v>
      </c>
      <c r="AG46">
        <f>VLOOKUP(A46,DVN!A$2:G$55,7,0)</f>
        <v>73.930000000000007</v>
      </c>
      <c r="AH46">
        <f>VLOOKUP(A46,EBAY!A$2:G$55,7,0)</f>
        <v>54.55</v>
      </c>
      <c r="AI46">
        <f>VLOOKUP(A46,EMC!A$2:G$55,7,0)</f>
        <v>29.42</v>
      </c>
      <c r="AJ46">
        <f>VLOOKUP(A46,EMR!A$2:G$55,7,0)</f>
        <v>64.290000000000006</v>
      </c>
      <c r="AK46">
        <f>VLOOKUP(A46,EXC!A$2:G$55,7,0)</f>
        <v>33.26</v>
      </c>
      <c r="AL46">
        <f>VLOOKUP(A46,F!A$2:G$55,7,0)</f>
        <v>17.47</v>
      </c>
      <c r="AM46">
        <f>VLOOKUP(A46,FB!A$2:G$55,7,0)</f>
        <v>75.83</v>
      </c>
      <c r="AN46">
        <f>VLOOKUP(A46,FCX!A$2:G$55,7,0)</f>
        <v>35.299999999999997</v>
      </c>
      <c r="AO46">
        <f>VLOOKUP(A46,FDX!A$2:G$55,7,0)</f>
        <v>151.51</v>
      </c>
      <c r="AP46">
        <f>VLOOKUP(A46,FOXA!A$2:G$55,7,0)</f>
        <v>36.17</v>
      </c>
      <c r="AQ46">
        <f>VLOOKUP(A46,GD!A$2:G$55,7,0)</f>
        <v>124.93</v>
      </c>
      <c r="AR46">
        <f>VLOOKUP(A46,GE!A$2:G$55,7,0)</f>
        <v>25.73</v>
      </c>
      <c r="AS46">
        <f>VLOOKUP(A46,GILD!A$2:G$55,7,0)</f>
        <v>109.43</v>
      </c>
      <c r="AT46">
        <f>VLOOKUP(A46,GM!A$2:G$55,7,0)</f>
        <v>34.17</v>
      </c>
      <c r="AU46">
        <f>VLOOKUP(A46,GOOG!A$2:G$55,7,0)</f>
        <v>577.94000000000005</v>
      </c>
      <c r="AV46">
        <f>VLOOKUP(A46,GOOGL!A$2:G$55,7,0)</f>
        <v>589.52</v>
      </c>
      <c r="AW46">
        <f>VLOOKUP(A46,GS!A$2:G$55,7,0)</f>
        <v>179.6</v>
      </c>
      <c r="AX46">
        <f>VLOOKUP(A46,HAL!A$2:G$55,7,0)</f>
        <v>67.58</v>
      </c>
      <c r="AY46">
        <f>VLOOKUP(A46,HD!A$2:G$55,7,0)</f>
        <v>89</v>
      </c>
      <c r="AZ46">
        <f>VLOOKUP(A46,HON!A$2:G$55,7,0)</f>
        <v>95.46</v>
      </c>
      <c r="BA46">
        <f>VLOOKUP(A46,HPQ!A$2:G$55,7,0)</f>
        <v>37.909999999999997</v>
      </c>
      <c r="BB46">
        <f>VLOOKUP(A46,IBM!A$2:G$55,7,0)</f>
        <v>191.95</v>
      </c>
      <c r="BC46">
        <f>VLOOKUP(A46,INTC!A$2:G$55,7,0)</f>
        <v>34.57</v>
      </c>
      <c r="BD46">
        <f>VLOOKUP(A46,JNJ!A$2:G$55,7,0)</f>
        <v>103.76</v>
      </c>
      <c r="BE46">
        <f>VLOOKUP(A46,JPM!A$2:G$55,7,0)</f>
        <v>59.7</v>
      </c>
      <c r="BF46">
        <f>VLOOKUP(A46,KO!A$2:G$55,7,0)</f>
        <v>41.48</v>
      </c>
      <c r="BG46">
        <f>VLOOKUP(A46,LLY!A$2:G$55,7,0)</f>
        <v>64.150000000000006</v>
      </c>
      <c r="BH46">
        <f>VLOOKUP(A46,LMT!A$2:G$55,7,0)</f>
        <v>173.5</v>
      </c>
      <c r="BI46">
        <f>VLOOKUP(A46,LOW!A$2:G$55,7,0)</f>
        <v>52.91</v>
      </c>
      <c r="BJ46">
        <f>VLOOKUP(A46,MA!A$2:G$55,7,0)</f>
        <v>75.94</v>
      </c>
      <c r="BK46">
        <f>VLOOKUP(A46,MCD!A$2:G$55,7,0)</f>
        <v>93.14</v>
      </c>
      <c r="BL46">
        <f>VLOOKUP(A46,MDLZ!A$2:G$55,7,0)</f>
        <v>35.67</v>
      </c>
      <c r="BM46">
        <f>VLOOKUP(A46,MDT!A$2:G$55,7,0)</f>
        <v>64.31</v>
      </c>
      <c r="BN46">
        <f>VLOOKUP(A46,MET!A$2:G$55,7,0)</f>
        <v>55.18</v>
      </c>
      <c r="BO46">
        <f>VLOOKUP(A46,MMM!A$2:G$55,7,0)</f>
        <v>143.82</v>
      </c>
      <c r="BP46">
        <f>VLOOKUP(A46,MO!A$2:G$55,7,0)</f>
        <v>42.71</v>
      </c>
      <c r="BQ46">
        <f>VLOOKUP(A46,MON!A$2:G$55,7,0)</f>
        <v>115.3</v>
      </c>
      <c r="BR46">
        <f>VLOOKUP(A46,MRK!A$2:G$55,7,0)</f>
        <v>60.04</v>
      </c>
      <c r="BS46">
        <f>VLOOKUP(A46,MS!A$2:G$55,7,0)</f>
        <v>34.56</v>
      </c>
      <c r="BT46">
        <f>VLOOKUP(A46,MSFT!A$2:G$55,7,0)</f>
        <v>44.96</v>
      </c>
      <c r="BU46">
        <f>VLOOKUP(A46,NKE!A$2:G$55,7,0)</f>
        <v>78.819999999999993</v>
      </c>
      <c r="BV46">
        <f>VLOOKUP(A46,NOV!A$2:G$55,7,0)</f>
        <v>84.65</v>
      </c>
      <c r="BW46">
        <f>VLOOKUP(A46,NSC!A$2:G$55,7,0)</f>
        <v>107.96</v>
      </c>
      <c r="BX46">
        <f>VLOOKUP(A46,ORCL!A$2:G$55,7,0)</f>
        <v>41.9</v>
      </c>
      <c r="BY46">
        <f>VLOOKUP(A46,OXY!A$2:G$55,7,0)</f>
        <v>101.72</v>
      </c>
      <c r="BZ46">
        <f>VLOOKUP(A46,PEP!A$2:G$55,7,0)</f>
        <v>92.75</v>
      </c>
      <c r="CA46">
        <f>VLOOKUP(A46,PFE!A$2:G$55,7,0)</f>
        <v>29.4</v>
      </c>
      <c r="CB46">
        <f>VLOOKUP(A46,PG!A$2:G$55,7,0)</f>
        <v>82.9</v>
      </c>
      <c r="CC46">
        <f>VLOOKUP(A46,PM!A$2:G$55,7,0)</f>
        <v>84.41</v>
      </c>
      <c r="CD46">
        <f>VLOOKUP(A46,QCOM!A$2:G$55,7,0)</f>
        <v>74.89</v>
      </c>
      <c r="CE46">
        <f>VLOOKUP(A46,RTN!A$2:G$55,7,0)</f>
        <v>96.06</v>
      </c>
      <c r="CF46">
        <f>VLOOKUP(A46,SBUX!A$2:G$55,7,0)</f>
        <v>76.790000000000006</v>
      </c>
      <c r="CG46">
        <f>VLOOKUP(A46,SLB!A$2:G$55,7,0)</f>
        <v>108.17</v>
      </c>
      <c r="CH46">
        <f>VLOOKUP(A46,SO!A$2:G$55,7,0)</f>
        <v>44.18</v>
      </c>
      <c r="CI46">
        <f>VLOOKUP(A46,SPG!A$2:G$55,7,0)</f>
        <v>170.79</v>
      </c>
      <c r="CJ46">
        <f>VLOOKUP(A46,T!A$2:G$55,7,0)</f>
        <v>34.97</v>
      </c>
      <c r="CK46">
        <f>VLOOKUP(A46,TGT!A$2:G$55,7,0)</f>
        <v>60.39</v>
      </c>
      <c r="CL46">
        <f>VLOOKUP(A46,TWX!A$2:G$55,7,0)</f>
        <v>77.33</v>
      </c>
      <c r="CM46">
        <f>VLOOKUP(A46,TXN!A$2:G$55,7,0)</f>
        <v>48.35</v>
      </c>
      <c r="CN46">
        <f>VLOOKUP(A46,UNH!A$2:G$55,7,0)</f>
        <v>86.42</v>
      </c>
      <c r="CO46">
        <f>VLOOKUP(A46,UNP!A$2:G$55,7,0)</f>
        <v>106.6</v>
      </c>
      <c r="CP46">
        <f>VLOOKUP(A46,UPS!A$2:G$55,7,0)</f>
        <v>97.97</v>
      </c>
      <c r="CQ46">
        <f>VLOOKUP(A46,USB!A$2:G$55,7,0)</f>
        <v>41.87</v>
      </c>
      <c r="CR46">
        <f>VLOOKUP(A46,UTX!A$2:G$55,7,0)</f>
        <v>109.2</v>
      </c>
      <c r="CS46">
        <f>VLOOKUP(A46,V!A$2:G$55,7,0)</f>
        <v>214.9</v>
      </c>
      <c r="CT46">
        <f>VLOOKUP(A46,VZ!A$2:G$55,7,0)</f>
        <v>49.88</v>
      </c>
      <c r="CU46">
        <f>VLOOKUP(A46,WAG!A$2:G$55,7,0)</f>
        <v>60.22</v>
      </c>
      <c r="CV46">
        <f>VLOOKUP(A46,WFC!A$2:G$55,7,0)</f>
        <v>51.55</v>
      </c>
      <c r="CW46">
        <f>VLOOKUP(A46,WMT!A$2:G$55,7,0)</f>
        <v>76.010000000000005</v>
      </c>
    </row>
    <row r="47" spans="1:101" x14ac:dyDescent="0.25">
      <c r="A47" s="34">
        <v>41886</v>
      </c>
      <c r="B47" s="36">
        <v>98.12</v>
      </c>
      <c r="C47">
        <f>VLOOKUP(A47,ABBV!A$2:G$55,7,0)</f>
        <v>55.54</v>
      </c>
      <c r="D47">
        <f>VLOOKUP(A47,ABT!A$2:G$55,7,0)</f>
        <v>42.9</v>
      </c>
      <c r="E47">
        <f>VLOOKUP(A47,ACN!A$2:G$55,7,0)</f>
        <v>81.760000000000005</v>
      </c>
      <c r="F47">
        <f>VLOOKUP(A47,AIG!A$2:G$55,7,0)</f>
        <v>55.11</v>
      </c>
      <c r="G47">
        <f>VLOOKUP(A47,ALL!A$2:G$55,7,0)</f>
        <v>61.37</v>
      </c>
      <c r="H47">
        <f>VLOOKUP(A47,AMGN!A$2:G$55,7,0)</f>
        <v>138.01</v>
      </c>
      <c r="I47">
        <f>VLOOKUP(A47,AMZN!A$2:G$55,7,0)</f>
        <v>345.95</v>
      </c>
      <c r="J47">
        <f>VLOOKUP(A47,APA!A$2:G$55,7,0)</f>
        <v>98.76</v>
      </c>
      <c r="K47">
        <f>VLOOKUP(A47,APC!A$2:G$55,7,0)</f>
        <v>108.24</v>
      </c>
      <c r="L47">
        <f>VLOOKUP(A47,AXP!A$2:G$55,7,0)</f>
        <v>89.65</v>
      </c>
      <c r="M47">
        <f>VLOOKUP(A47,BA!A$2:G$55,7,0)</f>
        <v>125.46</v>
      </c>
      <c r="N47">
        <f>VLOOKUP(A47,BAC!A$2:G$55,7,0)</f>
        <v>16.11</v>
      </c>
      <c r="O47">
        <f>VLOOKUP(A47,BAX!A$2:G$55,7,0)</f>
        <v>73.709999999999994</v>
      </c>
      <c r="P47">
        <f>VLOOKUP(A47,BIIB!A$2:G$55,7,0)</f>
        <v>334.83</v>
      </c>
      <c r="Q47">
        <f>VLOOKUP(A47,BK!A$2:G$55,7,0)</f>
        <v>39.47</v>
      </c>
      <c r="R47">
        <f>VLOOKUP(A47,BMY!A$2:G$55,7,0)</f>
        <v>50.55</v>
      </c>
      <c r="T47">
        <f>VLOOKUP(A47,'C'!A$2:G$55,7,0)</f>
        <v>52.47</v>
      </c>
      <c r="U47">
        <f>VLOOKUP(A47,CAT!A$2:G$55,7,0)</f>
        <v>108.82</v>
      </c>
      <c r="V47">
        <f>VLOOKUP(A47,CL!A$2:G$55,7,0)</f>
        <v>64.31</v>
      </c>
      <c r="W47">
        <f>VLOOKUP(A47,CMCSA!A$2:G$55,7,0)</f>
        <v>54.65</v>
      </c>
      <c r="X47">
        <f>VLOOKUP(A47,COF!A$2:G$55,7,0)</f>
        <v>82.5</v>
      </c>
      <c r="Y47">
        <f>VLOOKUP(A47,COP!A$2:G$55,7,0)</f>
        <v>79.849999999999994</v>
      </c>
      <c r="Z47">
        <f>VLOOKUP(A47,COST!A$2:G$55,7,0)</f>
        <v>125.15</v>
      </c>
      <c r="AA47">
        <f>VLOOKUP(A47,CSCO!A$2:G$55,7,0)</f>
        <v>24.91</v>
      </c>
      <c r="AB47">
        <f>VLOOKUP(A47,CVS!A$2:G$55,7,0)</f>
        <v>80.31</v>
      </c>
      <c r="AC47">
        <f>VLOOKUP(A47,CVX!A$2:G$55,7,0)</f>
        <v>126.8</v>
      </c>
      <c r="AD47">
        <f>VLOOKUP(A47,DD!A$2:G$55,7,0)</f>
        <v>65.92</v>
      </c>
      <c r="AE47">
        <f>VLOOKUP(A47,DIS!A$2:G$55,7,0)</f>
        <v>90.14</v>
      </c>
      <c r="AF47">
        <f>VLOOKUP(A47,DOW!A$2:G$55,7,0)</f>
        <v>53.91</v>
      </c>
      <c r="AG47">
        <f>VLOOKUP(A47,DVN!A$2:G$55,7,0)</f>
        <v>72.06</v>
      </c>
      <c r="AH47">
        <f>VLOOKUP(A47,EBAY!A$2:G$55,7,0)</f>
        <v>54.44</v>
      </c>
      <c r="AI47">
        <f>VLOOKUP(A47,EMC!A$2:G$55,7,0)</f>
        <v>28.93</v>
      </c>
      <c r="AJ47">
        <f>VLOOKUP(A47,EMR!A$2:G$55,7,0)</f>
        <v>64.64</v>
      </c>
      <c r="AK47">
        <f>VLOOKUP(A47,EXC!A$2:G$55,7,0)</f>
        <v>33.549999999999997</v>
      </c>
      <c r="AL47">
        <f>VLOOKUP(A47,F!A$2:G$55,7,0)</f>
        <v>17.27</v>
      </c>
      <c r="AM47">
        <f>VLOOKUP(A47,FB!A$2:G$55,7,0)</f>
        <v>75.95</v>
      </c>
      <c r="AN47">
        <f>VLOOKUP(A47,FCX!A$2:G$55,7,0)</f>
        <v>35.22</v>
      </c>
      <c r="AO47">
        <f>VLOOKUP(A47,FDX!A$2:G$55,7,0)</f>
        <v>151.84</v>
      </c>
      <c r="AP47">
        <f>VLOOKUP(A47,FOXA!A$2:G$55,7,0)</f>
        <v>36.01</v>
      </c>
      <c r="AQ47">
        <f>VLOOKUP(A47,GD!A$2:G$55,7,0)</f>
        <v>124.7</v>
      </c>
      <c r="AR47">
        <f>VLOOKUP(A47,GE!A$2:G$55,7,0)</f>
        <v>25.74</v>
      </c>
      <c r="AS47">
        <f>VLOOKUP(A47,GILD!A$2:G$55,7,0)</f>
        <v>106.86</v>
      </c>
      <c r="AT47">
        <f>VLOOKUP(A47,GM!A$2:G$55,7,0)</f>
        <v>34.33</v>
      </c>
      <c r="AU47">
        <f>VLOOKUP(A47,GOOG!A$2:G$55,7,0)</f>
        <v>581.98</v>
      </c>
      <c r="AV47">
        <f>VLOOKUP(A47,GOOGL!A$2:G$55,7,0)</f>
        <v>593.14</v>
      </c>
      <c r="AW47">
        <f>VLOOKUP(A47,GS!A$2:G$55,7,0)</f>
        <v>180.08</v>
      </c>
      <c r="AX47">
        <f>VLOOKUP(A47,HAL!A$2:G$55,7,0)</f>
        <v>66.55</v>
      </c>
      <c r="AY47">
        <f>VLOOKUP(A47,HD!A$2:G$55,7,0)</f>
        <v>89.93</v>
      </c>
      <c r="AZ47">
        <f>VLOOKUP(A47,HON!A$2:G$55,7,0)</f>
        <v>94.99</v>
      </c>
      <c r="BA47">
        <f>VLOOKUP(A47,HPQ!A$2:G$55,7,0)</f>
        <v>37.5</v>
      </c>
      <c r="BB47">
        <f>VLOOKUP(A47,IBM!A$2:G$55,7,0)</f>
        <v>190.68</v>
      </c>
      <c r="BC47">
        <f>VLOOKUP(A47,INTC!A$2:G$55,7,0)</f>
        <v>34.909999999999997</v>
      </c>
      <c r="BD47">
        <f>VLOOKUP(A47,JNJ!A$2:G$55,7,0)</f>
        <v>103.84</v>
      </c>
      <c r="BE47">
        <f>VLOOKUP(A47,JPM!A$2:G$55,7,0)</f>
        <v>59.71</v>
      </c>
      <c r="BF47">
        <f>VLOOKUP(A47,KO!A$2:G$55,7,0)</f>
        <v>41.57</v>
      </c>
      <c r="BG47">
        <f>VLOOKUP(A47,LLY!A$2:G$55,7,0)</f>
        <v>64.22</v>
      </c>
      <c r="BH47">
        <f>VLOOKUP(A47,LMT!A$2:G$55,7,0)</f>
        <v>173.04</v>
      </c>
      <c r="BI47">
        <f>VLOOKUP(A47,LOW!A$2:G$55,7,0)</f>
        <v>53.61</v>
      </c>
      <c r="BJ47">
        <f>VLOOKUP(A47,MA!A$2:G$55,7,0)</f>
        <v>76.38</v>
      </c>
      <c r="BK47">
        <f>VLOOKUP(A47,MCD!A$2:G$55,7,0)</f>
        <v>93.01</v>
      </c>
      <c r="BL47">
        <f>VLOOKUP(A47,MDLZ!A$2:G$55,7,0)</f>
        <v>35.35</v>
      </c>
      <c r="BM47">
        <f>VLOOKUP(A47,MDT!A$2:G$55,7,0)</f>
        <v>64.010000000000005</v>
      </c>
      <c r="BN47">
        <f>VLOOKUP(A47,MET!A$2:G$55,7,0)</f>
        <v>55.42</v>
      </c>
      <c r="BO47">
        <f>VLOOKUP(A47,MMM!A$2:G$55,7,0)</f>
        <v>143.61000000000001</v>
      </c>
      <c r="BP47">
        <f>VLOOKUP(A47,MO!A$2:G$55,7,0)</f>
        <v>42.63</v>
      </c>
      <c r="BQ47">
        <f>VLOOKUP(A47,MON!A$2:G$55,7,0)</f>
        <v>113.63</v>
      </c>
      <c r="BR47">
        <f>VLOOKUP(A47,MRK!A$2:G$55,7,0)</f>
        <v>59.64</v>
      </c>
      <c r="BS47">
        <f>VLOOKUP(A47,MS!A$2:G$55,7,0)</f>
        <v>34.700000000000003</v>
      </c>
      <c r="BT47">
        <f>VLOOKUP(A47,MSFT!A$2:G$55,7,0)</f>
        <v>45.26</v>
      </c>
      <c r="BU47">
        <f>VLOOKUP(A47,NKE!A$2:G$55,7,0)</f>
        <v>79.92</v>
      </c>
      <c r="BV47">
        <f>VLOOKUP(A47,NOV!A$2:G$55,7,0)</f>
        <v>83.16</v>
      </c>
      <c r="BW47">
        <f>VLOOKUP(A47,NSC!A$2:G$55,7,0)</f>
        <v>108.56</v>
      </c>
      <c r="BX47">
        <f>VLOOKUP(A47,ORCL!A$2:G$55,7,0)</f>
        <v>41.55</v>
      </c>
      <c r="BY47">
        <f>VLOOKUP(A47,OXY!A$2:G$55,7,0)</f>
        <v>101.64</v>
      </c>
      <c r="BZ47">
        <f>VLOOKUP(A47,PEP!A$2:G$55,7,0)</f>
        <v>91.85</v>
      </c>
      <c r="CA47">
        <f>VLOOKUP(A47,PFE!A$2:G$55,7,0)</f>
        <v>29.37</v>
      </c>
      <c r="CB47">
        <f>VLOOKUP(A47,PG!A$2:G$55,7,0)</f>
        <v>83.7</v>
      </c>
      <c r="CC47">
        <f>VLOOKUP(A47,PM!A$2:G$55,7,0)</f>
        <v>84</v>
      </c>
      <c r="CD47">
        <f>VLOOKUP(A47,QCOM!A$2:G$55,7,0)</f>
        <v>75.11</v>
      </c>
      <c r="CE47">
        <f>VLOOKUP(A47,RTN!A$2:G$55,7,0)</f>
        <v>96.53</v>
      </c>
      <c r="CF47">
        <f>VLOOKUP(A47,SBUX!A$2:G$55,7,0)</f>
        <v>77.16</v>
      </c>
      <c r="CG47">
        <f>VLOOKUP(A47,SLB!A$2:G$55,7,0)</f>
        <v>105.64</v>
      </c>
      <c r="CH47">
        <f>VLOOKUP(A47,SO!A$2:G$55,7,0)</f>
        <v>44.16</v>
      </c>
      <c r="CI47">
        <f>VLOOKUP(A47,SPG!A$2:G$55,7,0)</f>
        <v>170.3</v>
      </c>
      <c r="CJ47">
        <f>VLOOKUP(A47,T!A$2:G$55,7,0)</f>
        <v>34.94</v>
      </c>
      <c r="CK47">
        <f>VLOOKUP(A47,TGT!A$2:G$55,7,0)</f>
        <v>61.03</v>
      </c>
      <c r="CL47">
        <f>VLOOKUP(A47,TWX!A$2:G$55,7,0)</f>
        <v>77.23</v>
      </c>
      <c r="CM47">
        <f>VLOOKUP(A47,TXN!A$2:G$55,7,0)</f>
        <v>48.25</v>
      </c>
      <c r="CN47">
        <f>VLOOKUP(A47,UNH!A$2:G$55,7,0)</f>
        <v>86.69</v>
      </c>
      <c r="CO47">
        <f>VLOOKUP(A47,UNP!A$2:G$55,7,0)</f>
        <v>107.25</v>
      </c>
      <c r="CP47">
        <f>VLOOKUP(A47,UPS!A$2:G$55,7,0)</f>
        <v>98.47</v>
      </c>
      <c r="CQ47">
        <f>VLOOKUP(A47,USB!A$2:G$55,7,0)</f>
        <v>41.99</v>
      </c>
      <c r="CR47">
        <f>VLOOKUP(A47,UTX!A$2:G$55,7,0)</f>
        <v>109.22</v>
      </c>
      <c r="CS47">
        <f>VLOOKUP(A47,V!A$2:G$55,7,0)</f>
        <v>214.26</v>
      </c>
      <c r="CT47">
        <f>VLOOKUP(A47,VZ!A$2:G$55,7,0)</f>
        <v>49.72</v>
      </c>
      <c r="CU47">
        <f>VLOOKUP(A47,WAG!A$2:G$55,7,0)</f>
        <v>62.46</v>
      </c>
      <c r="CV47">
        <f>VLOOKUP(A47,WFC!A$2:G$55,7,0)</f>
        <v>51.57</v>
      </c>
      <c r="CW47">
        <f>VLOOKUP(A47,WMT!A$2:G$55,7,0)</f>
        <v>76.56</v>
      </c>
    </row>
    <row r="48" spans="1:101" x14ac:dyDescent="0.25">
      <c r="A48" s="34">
        <v>41887</v>
      </c>
      <c r="B48" s="36">
        <v>98.97</v>
      </c>
      <c r="C48">
        <f>VLOOKUP(A48,ABBV!A$2:G$55,7,0)</f>
        <v>55.94</v>
      </c>
      <c r="D48">
        <f>VLOOKUP(A48,ABT!A$2:G$55,7,0)</f>
        <v>42.95</v>
      </c>
      <c r="E48">
        <f>VLOOKUP(A48,ACN!A$2:G$55,7,0)</f>
        <v>81.83</v>
      </c>
      <c r="F48">
        <f>VLOOKUP(A48,AIG!A$2:G$55,7,0)</f>
        <v>54.92</v>
      </c>
      <c r="G48">
        <f>VLOOKUP(A48,ALL!A$2:G$55,7,0)</f>
        <v>61.35</v>
      </c>
      <c r="H48">
        <f>VLOOKUP(A48,AMGN!A$2:G$55,7,0)</f>
        <v>137.88</v>
      </c>
      <c r="I48">
        <f>VLOOKUP(A48,AMZN!A$2:G$55,7,0)</f>
        <v>346.38</v>
      </c>
      <c r="J48">
        <f>VLOOKUP(A48,APA!A$2:G$55,7,0)</f>
        <v>99.53</v>
      </c>
      <c r="K48">
        <f>VLOOKUP(A48,APC!A$2:G$55,7,0)</f>
        <v>109.6</v>
      </c>
      <c r="L48">
        <f>VLOOKUP(A48,AXP!A$2:G$55,7,0)</f>
        <v>89.61</v>
      </c>
      <c r="M48">
        <f>VLOOKUP(A48,BA!A$2:G$55,7,0)</f>
        <v>124.69</v>
      </c>
      <c r="N48">
        <f>VLOOKUP(A48,BAC!A$2:G$55,7,0)</f>
        <v>16.02</v>
      </c>
      <c r="O48">
        <f>VLOOKUP(A48,BAX!A$2:G$55,7,0)</f>
        <v>74.2</v>
      </c>
      <c r="P48">
        <f>VLOOKUP(A48,BIIB!A$2:G$55,7,0)</f>
        <v>330.48</v>
      </c>
      <c r="Q48">
        <f>VLOOKUP(A48,BK!A$2:G$55,7,0)</f>
        <v>39.47</v>
      </c>
      <c r="R48">
        <f>VLOOKUP(A48,BMY!A$2:G$55,7,0)</f>
        <v>51.12</v>
      </c>
      <c r="T48">
        <f>VLOOKUP(A48,'C'!A$2:G$55,7,0)</f>
        <v>52.3</v>
      </c>
      <c r="U48">
        <f>VLOOKUP(A48,CAT!A$2:G$55,7,0)</f>
        <v>108.54</v>
      </c>
      <c r="V48">
        <f>VLOOKUP(A48,CL!A$2:G$55,7,0)</f>
        <v>64.86</v>
      </c>
      <c r="W48">
        <f>VLOOKUP(A48,CMCSA!A$2:G$55,7,0)</f>
        <v>55.47</v>
      </c>
      <c r="X48">
        <f>VLOOKUP(A48,COF!A$2:G$55,7,0)</f>
        <v>82.69</v>
      </c>
      <c r="Y48">
        <f>VLOOKUP(A48,COP!A$2:G$55,7,0)</f>
        <v>80.349999999999994</v>
      </c>
      <c r="Z48">
        <f>VLOOKUP(A48,COST!A$2:G$55,7,0)</f>
        <v>127.01</v>
      </c>
      <c r="AA48">
        <f>VLOOKUP(A48,CSCO!A$2:G$55,7,0)</f>
        <v>25</v>
      </c>
      <c r="AB48">
        <f>VLOOKUP(A48,CVS!A$2:G$55,7,0)</f>
        <v>81.64</v>
      </c>
      <c r="AC48">
        <f>VLOOKUP(A48,CVX!A$2:G$55,7,0)</f>
        <v>127.4</v>
      </c>
      <c r="AD48">
        <f>VLOOKUP(A48,DD!A$2:G$55,7,0)</f>
        <v>66</v>
      </c>
      <c r="AE48">
        <f>VLOOKUP(A48,DIS!A$2:G$55,7,0)</f>
        <v>90.94</v>
      </c>
      <c r="AF48">
        <f>VLOOKUP(A48,DOW!A$2:G$55,7,0)</f>
        <v>54.42</v>
      </c>
      <c r="AG48">
        <f>VLOOKUP(A48,DVN!A$2:G$55,7,0)</f>
        <v>72.489999999999995</v>
      </c>
      <c r="AH48">
        <f>VLOOKUP(A48,EBAY!A$2:G$55,7,0)</f>
        <v>53.9</v>
      </c>
      <c r="AI48">
        <f>VLOOKUP(A48,EMC!A$2:G$55,7,0)</f>
        <v>28.92</v>
      </c>
      <c r="AJ48">
        <f>VLOOKUP(A48,EMR!A$2:G$55,7,0)</f>
        <v>65.08</v>
      </c>
      <c r="AK48">
        <f>VLOOKUP(A48,EXC!A$2:G$55,7,0)</f>
        <v>33.81</v>
      </c>
      <c r="AL48">
        <f>VLOOKUP(A48,F!A$2:G$55,7,0)</f>
        <v>17.14</v>
      </c>
      <c r="AM48">
        <f>VLOOKUP(A48,FB!A$2:G$55,7,0)</f>
        <v>77.260000000000005</v>
      </c>
      <c r="AN48">
        <f>VLOOKUP(A48,FCX!A$2:G$55,7,0)</f>
        <v>35.020000000000003</v>
      </c>
      <c r="AO48">
        <f>VLOOKUP(A48,FDX!A$2:G$55,7,0)</f>
        <v>153.1</v>
      </c>
      <c r="AP48">
        <f>VLOOKUP(A48,FOXA!A$2:G$55,7,0)</f>
        <v>36.03</v>
      </c>
      <c r="AQ48">
        <f>VLOOKUP(A48,GD!A$2:G$55,7,0)</f>
        <v>125.45</v>
      </c>
      <c r="AR48">
        <f>VLOOKUP(A48,GE!A$2:G$55,7,0)</f>
        <v>25.88</v>
      </c>
      <c r="AS48">
        <f>VLOOKUP(A48,GILD!A$2:G$55,7,0)</f>
        <v>105.36</v>
      </c>
      <c r="AT48">
        <f>VLOOKUP(A48,GM!A$2:G$55,7,0)</f>
        <v>34.28</v>
      </c>
      <c r="AU48">
        <f>VLOOKUP(A48,GOOG!A$2:G$55,7,0)</f>
        <v>586.08000000000004</v>
      </c>
      <c r="AV48">
        <f>VLOOKUP(A48,GOOGL!A$2:G$55,7,0)</f>
        <v>597.78</v>
      </c>
      <c r="AW48">
        <f>VLOOKUP(A48,GS!A$2:G$55,7,0)</f>
        <v>179.75</v>
      </c>
      <c r="AX48">
        <f>VLOOKUP(A48,HAL!A$2:G$55,7,0)</f>
        <v>67.45</v>
      </c>
      <c r="AY48">
        <f>VLOOKUP(A48,HD!A$2:G$55,7,0)</f>
        <v>91.61</v>
      </c>
      <c r="AZ48">
        <f>VLOOKUP(A48,HON!A$2:G$55,7,0)</f>
        <v>95.61</v>
      </c>
      <c r="BA48">
        <f>VLOOKUP(A48,HPQ!A$2:G$55,7,0)</f>
        <v>37.42</v>
      </c>
      <c r="BB48">
        <f>VLOOKUP(A48,IBM!A$2:G$55,7,0)</f>
        <v>191.2</v>
      </c>
      <c r="BC48">
        <f>VLOOKUP(A48,INTC!A$2:G$55,7,0)</f>
        <v>35</v>
      </c>
      <c r="BD48">
        <f>VLOOKUP(A48,JNJ!A$2:G$55,7,0)</f>
        <v>104.42</v>
      </c>
      <c r="BE48">
        <f>VLOOKUP(A48,JPM!A$2:G$55,7,0)</f>
        <v>59.91</v>
      </c>
      <c r="BF48">
        <f>VLOOKUP(A48,KO!A$2:G$55,7,0)</f>
        <v>41.54</v>
      </c>
      <c r="BG48">
        <f>VLOOKUP(A48,LLY!A$2:G$55,7,0)</f>
        <v>64.72</v>
      </c>
      <c r="BH48">
        <f>VLOOKUP(A48,LMT!A$2:G$55,7,0)</f>
        <v>174.58</v>
      </c>
      <c r="BI48">
        <f>VLOOKUP(A48,LOW!A$2:G$55,7,0)</f>
        <v>54.11</v>
      </c>
      <c r="BJ48">
        <f>VLOOKUP(A48,MA!A$2:G$55,7,0)</f>
        <v>76.86</v>
      </c>
      <c r="BK48">
        <f>VLOOKUP(A48,MCD!A$2:G$55,7,0)</f>
        <v>93.07</v>
      </c>
      <c r="BL48">
        <f>VLOOKUP(A48,MDLZ!A$2:G$55,7,0)</f>
        <v>35.54</v>
      </c>
      <c r="BM48">
        <f>VLOOKUP(A48,MDT!A$2:G$55,7,0)</f>
        <v>64.31</v>
      </c>
      <c r="BN48">
        <f>VLOOKUP(A48,MET!A$2:G$55,7,0)</f>
        <v>55.26</v>
      </c>
      <c r="BO48">
        <f>VLOOKUP(A48,MMM!A$2:G$55,7,0)</f>
        <v>144.19999999999999</v>
      </c>
      <c r="BP48">
        <f>VLOOKUP(A48,MO!A$2:G$55,7,0)</f>
        <v>42.88</v>
      </c>
      <c r="BQ48">
        <f>VLOOKUP(A48,MON!A$2:G$55,7,0)</f>
        <v>114.26</v>
      </c>
      <c r="BR48">
        <f>VLOOKUP(A48,MRK!A$2:G$55,7,0)</f>
        <v>60.74</v>
      </c>
      <c r="BS48">
        <f>VLOOKUP(A48,MS!A$2:G$55,7,0)</f>
        <v>34.630000000000003</v>
      </c>
      <c r="BT48">
        <f>VLOOKUP(A48,MSFT!A$2:G$55,7,0)</f>
        <v>45.91</v>
      </c>
      <c r="BU48">
        <f>VLOOKUP(A48,NKE!A$2:G$55,7,0)</f>
        <v>82.04</v>
      </c>
      <c r="BV48">
        <f>VLOOKUP(A48,NOV!A$2:G$55,7,0)</f>
        <v>83.08</v>
      </c>
      <c r="BW48">
        <f>VLOOKUP(A48,NSC!A$2:G$55,7,0)</f>
        <v>109.55</v>
      </c>
      <c r="BX48">
        <f>VLOOKUP(A48,ORCL!A$2:G$55,7,0)</f>
        <v>41.27</v>
      </c>
      <c r="BY48">
        <f>VLOOKUP(A48,OXY!A$2:G$55,7,0)</f>
        <v>100.59</v>
      </c>
      <c r="BZ48">
        <f>VLOOKUP(A48,PEP!A$2:G$55,7,0)</f>
        <v>91.75</v>
      </c>
      <c r="CA48">
        <f>VLOOKUP(A48,PFE!A$2:G$55,7,0)</f>
        <v>29.65</v>
      </c>
      <c r="CB48">
        <f>VLOOKUP(A48,PG!A$2:G$55,7,0)</f>
        <v>83.77</v>
      </c>
      <c r="CC48">
        <f>VLOOKUP(A48,PM!A$2:G$55,7,0)</f>
        <v>84.46</v>
      </c>
      <c r="CD48">
        <f>VLOOKUP(A48,QCOM!A$2:G$55,7,0)</f>
        <v>75.81</v>
      </c>
      <c r="CE48">
        <f>VLOOKUP(A48,RTN!A$2:G$55,7,0)</f>
        <v>97.18</v>
      </c>
      <c r="CF48">
        <f>VLOOKUP(A48,SBUX!A$2:G$55,7,0)</f>
        <v>77.95</v>
      </c>
      <c r="CG48">
        <f>VLOOKUP(A48,SLB!A$2:G$55,7,0)</f>
        <v>106.76</v>
      </c>
      <c r="CH48">
        <f>VLOOKUP(A48,SO!A$2:G$55,7,0)</f>
        <v>44.79</v>
      </c>
      <c r="CI48">
        <f>VLOOKUP(A48,SPG!A$2:G$55,7,0)</f>
        <v>173.18</v>
      </c>
      <c r="CJ48">
        <f>VLOOKUP(A48,T!A$2:G$55,7,0)</f>
        <v>35.15</v>
      </c>
      <c r="CK48">
        <f>VLOOKUP(A48,TGT!A$2:G$55,7,0)</f>
        <v>61.08</v>
      </c>
      <c r="CL48">
        <f>VLOOKUP(A48,TWX!A$2:G$55,7,0)</f>
        <v>76.959999999999994</v>
      </c>
      <c r="CM48">
        <f>VLOOKUP(A48,TXN!A$2:G$55,7,0)</f>
        <v>48.58</v>
      </c>
      <c r="CN48">
        <f>VLOOKUP(A48,UNH!A$2:G$55,7,0)</f>
        <v>87.38</v>
      </c>
      <c r="CO48">
        <f>VLOOKUP(A48,UNP!A$2:G$55,7,0)</f>
        <v>107.69</v>
      </c>
      <c r="CP48">
        <f>VLOOKUP(A48,UPS!A$2:G$55,7,0)</f>
        <v>98.86</v>
      </c>
      <c r="CQ48">
        <f>VLOOKUP(A48,USB!A$2:G$55,7,0)</f>
        <v>41.88</v>
      </c>
      <c r="CR48">
        <f>VLOOKUP(A48,UTX!A$2:G$55,7,0)</f>
        <v>108.7</v>
      </c>
      <c r="CS48">
        <f>VLOOKUP(A48,V!A$2:G$55,7,0)</f>
        <v>214.21</v>
      </c>
      <c r="CT48">
        <f>VLOOKUP(A48,VZ!A$2:G$55,7,0)</f>
        <v>49.94</v>
      </c>
      <c r="CU48">
        <f>VLOOKUP(A48,WAG!A$2:G$55,7,0)</f>
        <v>63.95</v>
      </c>
      <c r="CV48">
        <f>VLOOKUP(A48,WFC!A$2:G$55,7,0)</f>
        <v>51.65</v>
      </c>
      <c r="CW48">
        <f>VLOOKUP(A48,WMT!A$2:G$55,7,0)</f>
        <v>77.510000000000005</v>
      </c>
    </row>
    <row r="49" spans="1:101" x14ac:dyDescent="0.25">
      <c r="A49" s="34">
        <v>41890</v>
      </c>
      <c r="B49" s="36">
        <v>98.36</v>
      </c>
      <c r="C49">
        <f>VLOOKUP(A49,ABBV!A$2:G$55,7,0)</f>
        <v>55.57</v>
      </c>
      <c r="D49">
        <f>VLOOKUP(A49,ABT!A$2:G$55,7,0)</f>
        <v>42.81</v>
      </c>
      <c r="E49">
        <f>VLOOKUP(A49,ACN!A$2:G$55,7,0)</f>
        <v>81.73</v>
      </c>
      <c r="F49">
        <f>VLOOKUP(A49,AIG!A$2:G$55,7,0)</f>
        <v>55.2</v>
      </c>
      <c r="G49">
        <f>VLOOKUP(A49,ALL!A$2:G$55,7,0)</f>
        <v>61.39</v>
      </c>
      <c r="H49">
        <f>VLOOKUP(A49,AMGN!A$2:G$55,7,0)</f>
        <v>139.27000000000001</v>
      </c>
      <c r="I49">
        <f>VLOOKUP(A49,AMZN!A$2:G$55,7,0)</f>
        <v>342.34</v>
      </c>
      <c r="J49">
        <f>VLOOKUP(A49,APA!A$2:G$55,7,0)</f>
        <v>97.93</v>
      </c>
      <c r="K49">
        <f>VLOOKUP(A49,APC!A$2:G$55,7,0)</f>
        <v>107.02</v>
      </c>
      <c r="L49">
        <f>VLOOKUP(A49,AXP!A$2:G$55,7,0)</f>
        <v>88.93</v>
      </c>
      <c r="M49">
        <f>VLOOKUP(A49,BA!A$2:G$55,7,0)</f>
        <v>127.98</v>
      </c>
      <c r="N49">
        <f>VLOOKUP(A49,BAC!A$2:G$55,7,0)</f>
        <v>16.350000000000001</v>
      </c>
      <c r="O49">
        <f>VLOOKUP(A49,BAX!A$2:G$55,7,0)</f>
        <v>74.22</v>
      </c>
      <c r="P49">
        <f>VLOOKUP(A49,BIIB!A$2:G$55,7,0)</f>
        <v>331.31</v>
      </c>
      <c r="Q49">
        <f>VLOOKUP(A49,BK!A$2:G$55,7,0)</f>
        <v>39.44</v>
      </c>
      <c r="R49">
        <f>VLOOKUP(A49,BMY!A$2:G$55,7,0)</f>
        <v>51.19</v>
      </c>
      <c r="T49">
        <f>VLOOKUP(A49,'C'!A$2:G$55,7,0)</f>
        <v>52.05</v>
      </c>
      <c r="U49">
        <f>VLOOKUP(A49,CAT!A$2:G$55,7,0)</f>
        <v>107.91</v>
      </c>
      <c r="V49">
        <f>VLOOKUP(A49,CL!A$2:G$55,7,0)</f>
        <v>63.64</v>
      </c>
      <c r="W49">
        <f>VLOOKUP(A49,CMCSA!A$2:G$55,7,0)</f>
        <v>55.65</v>
      </c>
      <c r="X49">
        <f>VLOOKUP(A49,COF!A$2:G$55,7,0)</f>
        <v>82.08</v>
      </c>
      <c r="Y49">
        <f>VLOOKUP(A49,COP!A$2:G$55,7,0)</f>
        <v>79.03</v>
      </c>
      <c r="Z49">
        <f>VLOOKUP(A49,COST!A$2:G$55,7,0)</f>
        <v>126.6</v>
      </c>
      <c r="AA49">
        <f>VLOOKUP(A49,CSCO!A$2:G$55,7,0)</f>
        <v>24.95</v>
      </c>
      <c r="AB49">
        <f>VLOOKUP(A49,CVS!A$2:G$55,7,0)</f>
        <v>81.400000000000006</v>
      </c>
      <c r="AC49">
        <f>VLOOKUP(A49,CVX!A$2:G$55,7,0)</f>
        <v>126.21</v>
      </c>
      <c r="AD49">
        <f>VLOOKUP(A49,DD!A$2:G$55,7,0)</f>
        <v>65.36</v>
      </c>
      <c r="AE49">
        <f>VLOOKUP(A49,DIS!A$2:G$55,7,0)</f>
        <v>90.56</v>
      </c>
      <c r="AF49">
        <f>VLOOKUP(A49,DOW!A$2:G$55,7,0)</f>
        <v>53.93</v>
      </c>
      <c r="AG49">
        <f>VLOOKUP(A49,DVN!A$2:G$55,7,0)</f>
        <v>70.98</v>
      </c>
      <c r="AH49">
        <f>VLOOKUP(A49,EBAY!A$2:G$55,7,0)</f>
        <v>54.23</v>
      </c>
      <c r="AI49">
        <f>VLOOKUP(A49,EMC!A$2:G$55,7,0)</f>
        <v>29.16</v>
      </c>
      <c r="AJ49">
        <f>VLOOKUP(A49,EMR!A$2:G$55,7,0)</f>
        <v>64.98</v>
      </c>
      <c r="AK49">
        <f>VLOOKUP(A49,EXC!A$2:G$55,7,0)</f>
        <v>33.44</v>
      </c>
      <c r="AL49">
        <f>VLOOKUP(A49,F!A$2:G$55,7,0)</f>
        <v>16.8</v>
      </c>
      <c r="AM49">
        <f>VLOOKUP(A49,FB!A$2:G$55,7,0)</f>
        <v>77.89</v>
      </c>
      <c r="AN49">
        <f>VLOOKUP(A49,FCX!A$2:G$55,7,0)</f>
        <v>34.909999999999997</v>
      </c>
      <c r="AO49">
        <f>VLOOKUP(A49,FDX!A$2:G$55,7,0)</f>
        <v>152.4</v>
      </c>
      <c r="AP49">
        <f>VLOOKUP(A49,FOXA!A$2:G$55,7,0)</f>
        <v>35.880000000000003</v>
      </c>
      <c r="AQ49">
        <f>VLOOKUP(A49,GD!A$2:G$55,7,0)</f>
        <v>125.77</v>
      </c>
      <c r="AR49">
        <f>VLOOKUP(A49,GE!A$2:G$55,7,0)</f>
        <v>25.86</v>
      </c>
      <c r="AS49">
        <f>VLOOKUP(A49,GILD!A$2:G$55,7,0)</f>
        <v>106.53</v>
      </c>
      <c r="AT49">
        <f>VLOOKUP(A49,GM!A$2:G$55,7,0)</f>
        <v>33.24</v>
      </c>
      <c r="AU49">
        <f>VLOOKUP(A49,GOOG!A$2:G$55,7,0)</f>
        <v>589.72</v>
      </c>
      <c r="AV49">
        <f>VLOOKUP(A49,GOOGL!A$2:G$55,7,0)</f>
        <v>601.63</v>
      </c>
      <c r="AW49">
        <f>VLOOKUP(A49,GS!A$2:G$55,7,0)</f>
        <v>180.11</v>
      </c>
      <c r="AX49">
        <f>VLOOKUP(A49,HAL!A$2:G$55,7,0)</f>
        <v>66.31</v>
      </c>
      <c r="AY49">
        <f>VLOOKUP(A49,HD!A$2:G$55,7,0)</f>
        <v>90.82</v>
      </c>
      <c r="AZ49">
        <f>VLOOKUP(A49,HON!A$2:G$55,7,0)</f>
        <v>95.24</v>
      </c>
      <c r="BA49">
        <f>VLOOKUP(A49,HPQ!A$2:G$55,7,0)</f>
        <v>37.28</v>
      </c>
      <c r="BB49">
        <f>VLOOKUP(A49,IBM!A$2:G$55,7,0)</f>
        <v>190.14</v>
      </c>
      <c r="BC49">
        <f>VLOOKUP(A49,INTC!A$2:G$55,7,0)</f>
        <v>35.33</v>
      </c>
      <c r="BD49">
        <f>VLOOKUP(A49,JNJ!A$2:G$55,7,0)</f>
        <v>104.05</v>
      </c>
      <c r="BE49">
        <f>VLOOKUP(A49,JPM!A$2:G$55,7,0)</f>
        <v>59.89</v>
      </c>
      <c r="BF49">
        <f>VLOOKUP(A49,KO!A$2:G$55,7,0)</f>
        <v>41.48</v>
      </c>
      <c r="BG49">
        <f>VLOOKUP(A49,LLY!A$2:G$55,7,0)</f>
        <v>65</v>
      </c>
      <c r="BH49">
        <f>VLOOKUP(A49,LMT!A$2:G$55,7,0)</f>
        <v>174.77</v>
      </c>
      <c r="BI49">
        <f>VLOOKUP(A49,LOW!A$2:G$55,7,0)</f>
        <v>53.54</v>
      </c>
      <c r="BJ49">
        <f>VLOOKUP(A49,MA!A$2:G$55,7,0)</f>
        <v>76.23</v>
      </c>
      <c r="BK49">
        <f>VLOOKUP(A49,MCD!A$2:G$55,7,0)</f>
        <v>92.5</v>
      </c>
      <c r="BL49">
        <f>VLOOKUP(A49,MDLZ!A$2:G$55,7,0)</f>
        <v>35.17</v>
      </c>
      <c r="BM49">
        <f>VLOOKUP(A49,MDT!A$2:G$55,7,0)</f>
        <v>64.77</v>
      </c>
      <c r="BN49">
        <f>VLOOKUP(A49,MET!A$2:G$55,7,0)</f>
        <v>54.84</v>
      </c>
      <c r="BO49">
        <f>VLOOKUP(A49,MMM!A$2:G$55,7,0)</f>
        <v>144.88999999999999</v>
      </c>
      <c r="BP49">
        <f>VLOOKUP(A49,MO!A$2:G$55,7,0)</f>
        <v>42.97</v>
      </c>
      <c r="BQ49">
        <f>VLOOKUP(A49,MON!A$2:G$55,7,0)</f>
        <v>114.67</v>
      </c>
      <c r="BR49">
        <f>VLOOKUP(A49,MRK!A$2:G$55,7,0)</f>
        <v>60.61</v>
      </c>
      <c r="BS49">
        <f>VLOOKUP(A49,MS!A$2:G$55,7,0)</f>
        <v>34.86</v>
      </c>
      <c r="BT49">
        <f>VLOOKUP(A49,MSFT!A$2:G$55,7,0)</f>
        <v>46.47</v>
      </c>
      <c r="BU49">
        <f>VLOOKUP(A49,NKE!A$2:G$55,7,0)</f>
        <v>82.4</v>
      </c>
      <c r="BV49">
        <f>VLOOKUP(A49,NOV!A$2:G$55,7,0)</f>
        <v>82.17</v>
      </c>
      <c r="BW49">
        <f>VLOOKUP(A49,NSC!A$2:G$55,7,0)</f>
        <v>108.64</v>
      </c>
      <c r="BX49">
        <f>VLOOKUP(A49,ORCL!A$2:G$55,7,0)</f>
        <v>40.64</v>
      </c>
      <c r="BY49">
        <f>VLOOKUP(A49,OXY!A$2:G$55,7,0)</f>
        <v>98.55</v>
      </c>
      <c r="BZ49">
        <f>VLOOKUP(A49,PEP!A$2:G$55,7,0)</f>
        <v>91.86</v>
      </c>
      <c r="CA49">
        <f>VLOOKUP(A49,PFE!A$2:G$55,7,0)</f>
        <v>29.4</v>
      </c>
      <c r="CB49">
        <f>VLOOKUP(A49,PG!A$2:G$55,7,0)</f>
        <v>83.32</v>
      </c>
      <c r="CC49">
        <f>VLOOKUP(A49,PM!A$2:G$55,7,0)</f>
        <v>83.02</v>
      </c>
      <c r="CD49">
        <f>VLOOKUP(A49,QCOM!A$2:G$55,7,0)</f>
        <v>75.900000000000006</v>
      </c>
      <c r="CE49">
        <f>VLOOKUP(A49,RTN!A$2:G$55,7,0)</f>
        <v>97.91</v>
      </c>
      <c r="CF49">
        <f>VLOOKUP(A49,SBUX!A$2:G$55,7,0)</f>
        <v>77.67</v>
      </c>
      <c r="CG49">
        <f>VLOOKUP(A49,SLB!A$2:G$55,7,0)</f>
        <v>104.49</v>
      </c>
      <c r="CH49">
        <f>VLOOKUP(A49,SO!A$2:G$55,7,0)</f>
        <v>44.56</v>
      </c>
      <c r="CI49">
        <f>VLOOKUP(A49,SPG!A$2:G$55,7,0)</f>
        <v>172.39</v>
      </c>
      <c r="CJ49">
        <f>VLOOKUP(A49,T!A$2:G$55,7,0)</f>
        <v>35.01</v>
      </c>
      <c r="CK49">
        <f>VLOOKUP(A49,TGT!A$2:G$55,7,0)</f>
        <v>60.56</v>
      </c>
      <c r="CL49">
        <f>VLOOKUP(A49,TWX!A$2:G$55,7,0)</f>
        <v>77.2</v>
      </c>
      <c r="CM49">
        <f>VLOOKUP(A49,TXN!A$2:G$55,7,0)</f>
        <v>48.49</v>
      </c>
      <c r="CN49">
        <f>VLOOKUP(A49,UNH!A$2:G$55,7,0)</f>
        <v>87.54</v>
      </c>
      <c r="CO49">
        <f>VLOOKUP(A49,UNP!A$2:G$55,7,0)</f>
        <v>107.46</v>
      </c>
      <c r="CP49">
        <f>VLOOKUP(A49,UPS!A$2:G$55,7,0)</f>
        <v>98.42</v>
      </c>
      <c r="CQ49">
        <f>VLOOKUP(A49,USB!A$2:G$55,7,0)</f>
        <v>41.78</v>
      </c>
      <c r="CR49">
        <f>VLOOKUP(A49,UTX!A$2:G$55,7,0)</f>
        <v>108.6</v>
      </c>
      <c r="CS49">
        <f>VLOOKUP(A49,V!A$2:G$55,7,0)</f>
        <v>215.77</v>
      </c>
      <c r="CT49">
        <f>VLOOKUP(A49,VZ!A$2:G$55,7,0)</f>
        <v>49.53</v>
      </c>
      <c r="CU49">
        <f>VLOOKUP(A49,WAG!A$2:G$55,7,0)</f>
        <v>62.96</v>
      </c>
      <c r="CV49">
        <f>VLOOKUP(A49,WFC!A$2:G$55,7,0)</f>
        <v>51.47</v>
      </c>
      <c r="CW49">
        <f>VLOOKUP(A49,WMT!A$2:G$55,7,0)</f>
        <v>76.53</v>
      </c>
    </row>
    <row r="50" spans="1:101" x14ac:dyDescent="0.25">
      <c r="A50" s="34">
        <v>41891</v>
      </c>
      <c r="B50" s="36">
        <v>97.99</v>
      </c>
      <c r="C50">
        <f>VLOOKUP(A50,ABBV!A$2:G$55,7,0)</f>
        <v>56.95</v>
      </c>
      <c r="D50">
        <f>VLOOKUP(A50,ABT!A$2:G$55,7,0)</f>
        <v>42.83</v>
      </c>
      <c r="E50">
        <f>VLOOKUP(A50,ACN!A$2:G$55,7,0)</f>
        <v>80.95</v>
      </c>
      <c r="F50">
        <f>VLOOKUP(A50,AIG!A$2:G$55,7,0)</f>
        <v>55.08</v>
      </c>
      <c r="G50">
        <f>VLOOKUP(A50,ALL!A$2:G$55,7,0)</f>
        <v>60.84</v>
      </c>
      <c r="H50">
        <f>VLOOKUP(A50,AMGN!A$2:G$55,7,0)</f>
        <v>137.38999999999999</v>
      </c>
      <c r="I50">
        <f>VLOOKUP(A50,AMZN!A$2:G$55,7,0)</f>
        <v>329.75</v>
      </c>
      <c r="J50">
        <f>VLOOKUP(A50,APA!A$2:G$55,7,0)</f>
        <v>97.11</v>
      </c>
      <c r="K50">
        <f>VLOOKUP(A50,APC!A$2:G$55,7,0)</f>
        <v>106.35</v>
      </c>
      <c r="L50">
        <f>VLOOKUP(A50,AXP!A$2:G$55,7,0)</f>
        <v>87.9</v>
      </c>
      <c r="M50">
        <f>VLOOKUP(A50,BA!A$2:G$55,7,0)</f>
        <v>128.21</v>
      </c>
      <c r="N50">
        <f>VLOOKUP(A50,BAC!A$2:G$55,7,0)</f>
        <v>16.14</v>
      </c>
      <c r="O50">
        <f>VLOOKUP(A50,BAX!A$2:G$55,7,0)</f>
        <v>74.27</v>
      </c>
      <c r="P50">
        <f>VLOOKUP(A50,BIIB!A$2:G$55,7,0)</f>
        <v>326.83</v>
      </c>
      <c r="Q50">
        <f>VLOOKUP(A50,BK!A$2:G$55,7,0)</f>
        <v>38.79</v>
      </c>
      <c r="R50">
        <f>VLOOKUP(A50,BMY!A$2:G$55,7,0)</f>
        <v>50.48</v>
      </c>
      <c r="T50">
        <f>VLOOKUP(A50,'C'!A$2:G$55,7,0)</f>
        <v>51.26</v>
      </c>
      <c r="U50">
        <f>VLOOKUP(A50,CAT!A$2:G$55,7,0)</f>
        <v>107.4</v>
      </c>
      <c r="V50">
        <f>VLOOKUP(A50,CL!A$2:G$55,7,0)</f>
        <v>63.43</v>
      </c>
      <c r="W50">
        <f>VLOOKUP(A50,CMCSA!A$2:G$55,7,0)</f>
        <v>56.38</v>
      </c>
      <c r="X50">
        <f>VLOOKUP(A50,COF!A$2:G$55,7,0)</f>
        <v>81.52</v>
      </c>
      <c r="Y50">
        <f>VLOOKUP(A50,COP!A$2:G$55,7,0)</f>
        <v>78.959999999999994</v>
      </c>
      <c r="Z50">
        <f>VLOOKUP(A50,COST!A$2:G$55,7,0)</f>
        <v>126.11</v>
      </c>
      <c r="AA50">
        <f>VLOOKUP(A50,CSCO!A$2:G$55,7,0)</f>
        <v>24.86</v>
      </c>
      <c r="AB50">
        <f>VLOOKUP(A50,CVS!A$2:G$55,7,0)</f>
        <v>80.86</v>
      </c>
      <c r="AC50">
        <f>VLOOKUP(A50,CVX!A$2:G$55,7,0)</f>
        <v>125.18</v>
      </c>
      <c r="AD50">
        <f>VLOOKUP(A50,DD!A$2:G$55,7,0)</f>
        <v>65.27</v>
      </c>
      <c r="AE50">
        <f>VLOOKUP(A50,DIS!A$2:G$55,7,0)</f>
        <v>89.6</v>
      </c>
      <c r="AF50">
        <f>VLOOKUP(A50,DOW!A$2:G$55,7,0)</f>
        <v>53.09</v>
      </c>
      <c r="AG50">
        <f>VLOOKUP(A50,DVN!A$2:G$55,7,0)</f>
        <v>70.510000000000005</v>
      </c>
      <c r="AH50">
        <f>VLOOKUP(A50,EBAY!A$2:G$55,7,0)</f>
        <v>52.73</v>
      </c>
      <c r="AI50">
        <f>VLOOKUP(A50,EMC!A$2:G$55,7,0)</f>
        <v>29.1</v>
      </c>
      <c r="AJ50">
        <f>VLOOKUP(A50,EMR!A$2:G$55,7,0)</f>
        <v>65.11</v>
      </c>
      <c r="AK50">
        <f>VLOOKUP(A50,EXC!A$2:G$55,7,0)</f>
        <v>33.119999999999997</v>
      </c>
      <c r="AL50">
        <f>VLOOKUP(A50,F!A$2:G$55,7,0)</f>
        <v>16.63</v>
      </c>
      <c r="AM50">
        <f>VLOOKUP(A50,FB!A$2:G$55,7,0)</f>
        <v>76.67</v>
      </c>
      <c r="AN50">
        <f>VLOOKUP(A50,FCX!A$2:G$55,7,0)</f>
        <v>34.44</v>
      </c>
      <c r="AO50">
        <f>VLOOKUP(A50,FDX!A$2:G$55,7,0)</f>
        <v>151</v>
      </c>
      <c r="AP50">
        <f>VLOOKUP(A50,FOXA!A$2:G$55,7,0)</f>
        <v>35.67</v>
      </c>
      <c r="AQ50">
        <f>VLOOKUP(A50,GD!A$2:G$55,7,0)</f>
        <v>126.26</v>
      </c>
      <c r="AR50">
        <f>VLOOKUP(A50,GE!A$2:G$55,7,0)</f>
        <v>25.68</v>
      </c>
      <c r="AS50">
        <f>VLOOKUP(A50,GILD!A$2:G$55,7,0)</f>
        <v>105.89</v>
      </c>
      <c r="AT50">
        <f>VLOOKUP(A50,GM!A$2:G$55,7,0)</f>
        <v>33.07</v>
      </c>
      <c r="AU50">
        <f>VLOOKUP(A50,GOOG!A$2:G$55,7,0)</f>
        <v>581.01</v>
      </c>
      <c r="AV50">
        <f>VLOOKUP(A50,GOOGL!A$2:G$55,7,0)</f>
        <v>591.97</v>
      </c>
      <c r="AW50">
        <f>VLOOKUP(A50,GS!A$2:G$55,7,0)</f>
        <v>177.4</v>
      </c>
      <c r="AX50">
        <f>VLOOKUP(A50,HAL!A$2:G$55,7,0)</f>
        <v>65.83</v>
      </c>
      <c r="AY50">
        <f>VLOOKUP(A50,HD!A$2:G$55,7,0)</f>
        <v>88.93</v>
      </c>
      <c r="AZ50">
        <f>VLOOKUP(A50,HON!A$2:G$55,7,0)</f>
        <v>94.46</v>
      </c>
      <c r="BA50">
        <f>VLOOKUP(A50,HPQ!A$2:G$55,7,0)</f>
        <v>36.79</v>
      </c>
      <c r="BB50">
        <f>VLOOKUP(A50,IBM!A$2:G$55,7,0)</f>
        <v>189.99</v>
      </c>
      <c r="BC50">
        <f>VLOOKUP(A50,INTC!A$2:G$55,7,0)</f>
        <v>34.909999999999997</v>
      </c>
      <c r="BD50">
        <f>VLOOKUP(A50,JNJ!A$2:G$55,7,0)</f>
        <v>103.8</v>
      </c>
      <c r="BE50">
        <f>VLOOKUP(A50,JPM!A$2:G$55,7,0)</f>
        <v>59.06</v>
      </c>
      <c r="BF50">
        <f>VLOOKUP(A50,KO!A$2:G$55,7,0)</f>
        <v>41.64</v>
      </c>
      <c r="BG50">
        <f>VLOOKUP(A50,LLY!A$2:G$55,7,0)</f>
        <v>64.44</v>
      </c>
      <c r="BH50">
        <f>VLOOKUP(A50,LMT!A$2:G$55,7,0)</f>
        <v>174.94</v>
      </c>
      <c r="BI50">
        <f>VLOOKUP(A50,LOW!A$2:G$55,7,0)</f>
        <v>53.03</v>
      </c>
      <c r="BJ50">
        <f>VLOOKUP(A50,MA!A$2:G$55,7,0)</f>
        <v>76.069999999999993</v>
      </c>
      <c r="BK50">
        <f>VLOOKUP(A50,MCD!A$2:G$55,7,0)</f>
        <v>91.09</v>
      </c>
      <c r="BL50">
        <f>VLOOKUP(A50,MDLZ!A$2:G$55,7,0)</f>
        <v>35.380000000000003</v>
      </c>
      <c r="BM50">
        <f>VLOOKUP(A50,MDT!A$2:G$55,7,0)</f>
        <v>65.540000000000006</v>
      </c>
      <c r="BN50">
        <f>VLOOKUP(A50,MET!A$2:G$55,7,0)</f>
        <v>54.29</v>
      </c>
      <c r="BO50">
        <f>VLOOKUP(A50,MMM!A$2:G$55,7,0)</f>
        <v>144.46</v>
      </c>
      <c r="BP50">
        <f>VLOOKUP(A50,MO!A$2:G$55,7,0)</f>
        <v>43.13</v>
      </c>
      <c r="BQ50">
        <f>VLOOKUP(A50,MON!A$2:G$55,7,0)</f>
        <v>114.44</v>
      </c>
      <c r="BR50">
        <f>VLOOKUP(A50,MRK!A$2:G$55,7,0)</f>
        <v>60.12</v>
      </c>
      <c r="BS50">
        <f>VLOOKUP(A50,MS!A$2:G$55,7,0)</f>
        <v>33.909999999999997</v>
      </c>
      <c r="BT50">
        <f>VLOOKUP(A50,MSFT!A$2:G$55,7,0)</f>
        <v>46.76</v>
      </c>
      <c r="BU50">
        <f>VLOOKUP(A50,NKE!A$2:G$55,7,0)</f>
        <v>81.84</v>
      </c>
      <c r="BV50">
        <f>VLOOKUP(A50,NOV!A$2:G$55,7,0)</f>
        <v>81.290000000000006</v>
      </c>
      <c r="BW50">
        <f>VLOOKUP(A50,NSC!A$2:G$55,7,0)</f>
        <v>108.78</v>
      </c>
      <c r="BX50">
        <f>VLOOKUP(A50,ORCL!A$2:G$55,7,0)</f>
        <v>40.71</v>
      </c>
      <c r="BY50">
        <f>VLOOKUP(A50,OXY!A$2:G$55,7,0)</f>
        <v>98.35</v>
      </c>
      <c r="BZ50">
        <f>VLOOKUP(A50,PEP!A$2:G$55,7,0)</f>
        <v>91.42</v>
      </c>
      <c r="CA50">
        <f>VLOOKUP(A50,PFE!A$2:G$55,7,0)</f>
        <v>29.23</v>
      </c>
      <c r="CB50">
        <f>VLOOKUP(A50,PG!A$2:G$55,7,0)</f>
        <v>82.99</v>
      </c>
      <c r="CC50">
        <f>VLOOKUP(A50,PM!A$2:G$55,7,0)</f>
        <v>82.86</v>
      </c>
      <c r="CD50">
        <f>VLOOKUP(A50,QCOM!A$2:G$55,7,0)</f>
        <v>75.84</v>
      </c>
      <c r="CE50">
        <f>VLOOKUP(A50,RTN!A$2:G$55,7,0)</f>
        <v>98.75</v>
      </c>
      <c r="CF50">
        <f>VLOOKUP(A50,SBUX!A$2:G$55,7,0)</f>
        <v>77.12</v>
      </c>
      <c r="CG50">
        <f>VLOOKUP(A50,SLB!A$2:G$55,7,0)</f>
        <v>103.97</v>
      </c>
      <c r="CH50">
        <f>VLOOKUP(A50,SO!A$2:G$55,7,0)</f>
        <v>43.97</v>
      </c>
      <c r="CI50">
        <f>VLOOKUP(A50,SPG!A$2:G$55,7,0)</f>
        <v>172.44</v>
      </c>
      <c r="CJ50">
        <f>VLOOKUP(A50,T!A$2:G$55,7,0)</f>
        <v>34.659999999999997</v>
      </c>
      <c r="CK50">
        <f>VLOOKUP(A50,TGT!A$2:G$55,7,0)</f>
        <v>60.88</v>
      </c>
      <c r="CL50">
        <f>VLOOKUP(A50,TWX!A$2:G$55,7,0)</f>
        <v>76.39</v>
      </c>
      <c r="CM50">
        <f>VLOOKUP(A50,TXN!A$2:G$55,7,0)</f>
        <v>48.28</v>
      </c>
      <c r="CN50">
        <f>VLOOKUP(A50,UNH!A$2:G$55,7,0)</f>
        <v>88.18</v>
      </c>
      <c r="CO50">
        <f>VLOOKUP(A50,UNP!A$2:G$55,7,0)</f>
        <v>107.47</v>
      </c>
      <c r="CP50">
        <f>VLOOKUP(A50,UPS!A$2:G$55,7,0)</f>
        <v>97.71</v>
      </c>
      <c r="CQ50">
        <f>VLOOKUP(A50,USB!A$2:G$55,7,0)</f>
        <v>41.36</v>
      </c>
      <c r="CR50">
        <f>VLOOKUP(A50,UTX!A$2:G$55,7,0)</f>
        <v>108.67</v>
      </c>
      <c r="CS50">
        <f>VLOOKUP(A50,V!A$2:G$55,7,0)</f>
        <v>214.28</v>
      </c>
      <c r="CT50">
        <f>VLOOKUP(A50,VZ!A$2:G$55,7,0)</f>
        <v>48.9</v>
      </c>
      <c r="CU50">
        <f>VLOOKUP(A50,WAG!A$2:G$55,7,0)</f>
        <v>62.61</v>
      </c>
      <c r="CV50">
        <f>VLOOKUP(A50,WFC!A$2:G$55,7,0)</f>
        <v>51.07</v>
      </c>
      <c r="CW50">
        <f>VLOOKUP(A50,WMT!A$2:G$55,7,0)</f>
        <v>76.739999999999995</v>
      </c>
    </row>
    <row r="51" spans="1:101" x14ac:dyDescent="0.25">
      <c r="A51" s="34">
        <v>41892</v>
      </c>
      <c r="B51" s="36">
        <v>101</v>
      </c>
      <c r="C51">
        <f>VLOOKUP(A51,ABBV!A$2:G$55,7,0)</f>
        <v>57.19</v>
      </c>
      <c r="D51">
        <f>VLOOKUP(A51,ABT!A$2:G$55,7,0)</f>
        <v>42.9</v>
      </c>
      <c r="E51">
        <f>VLOOKUP(A51,ACN!A$2:G$55,7,0)</f>
        <v>81.209999999999994</v>
      </c>
      <c r="F51">
        <f>VLOOKUP(A51,AIG!A$2:G$55,7,0)</f>
        <v>55.35</v>
      </c>
      <c r="G51">
        <f>VLOOKUP(A51,ALL!A$2:G$55,7,0)</f>
        <v>60.89</v>
      </c>
      <c r="H51">
        <f>VLOOKUP(A51,AMGN!A$2:G$55,7,0)</f>
        <v>139.19</v>
      </c>
      <c r="I51">
        <f>VLOOKUP(A51,AMZN!A$2:G$55,7,0)</f>
        <v>331.33</v>
      </c>
      <c r="J51">
        <f>VLOOKUP(A51,APA!A$2:G$55,7,0)</f>
        <v>97.28</v>
      </c>
      <c r="K51">
        <f>VLOOKUP(A51,APC!A$2:G$55,7,0)</f>
        <v>106.7</v>
      </c>
      <c r="L51">
        <f>VLOOKUP(A51,AXP!A$2:G$55,7,0)</f>
        <v>88.41</v>
      </c>
      <c r="M51">
        <f>VLOOKUP(A51,BA!A$2:G$55,7,0)</f>
        <v>128.22</v>
      </c>
      <c r="N51">
        <f>VLOOKUP(A51,BAC!A$2:G$55,7,0)</f>
        <v>16.36</v>
      </c>
      <c r="O51">
        <f>VLOOKUP(A51,BAX!A$2:G$55,7,0)</f>
        <v>75.28</v>
      </c>
      <c r="P51">
        <f>VLOOKUP(A51,BIIB!A$2:G$55,7,0)</f>
        <v>332.08</v>
      </c>
      <c r="Q51">
        <f>VLOOKUP(A51,BK!A$2:G$55,7,0)</f>
        <v>39.130000000000003</v>
      </c>
      <c r="R51">
        <f>VLOOKUP(A51,BMY!A$2:G$55,7,0)</f>
        <v>51.08</v>
      </c>
      <c r="T51">
        <f>VLOOKUP(A51,'C'!A$2:G$55,7,0)</f>
        <v>51.83</v>
      </c>
      <c r="U51">
        <f>VLOOKUP(A51,CAT!A$2:G$55,7,0)</f>
        <v>105.93</v>
      </c>
      <c r="V51">
        <f>VLOOKUP(A51,CL!A$2:G$55,7,0)</f>
        <v>64</v>
      </c>
      <c r="W51">
        <f>VLOOKUP(A51,CMCSA!A$2:G$55,7,0)</f>
        <v>56.67</v>
      </c>
      <c r="X51">
        <f>VLOOKUP(A51,COF!A$2:G$55,7,0)</f>
        <v>81.23</v>
      </c>
      <c r="Y51">
        <f>VLOOKUP(A51,COP!A$2:G$55,7,0)</f>
        <v>78.989999999999995</v>
      </c>
      <c r="Z51">
        <f>VLOOKUP(A51,COST!A$2:G$55,7,0)</f>
        <v>126.17</v>
      </c>
      <c r="AA51">
        <f>VLOOKUP(A51,CSCO!A$2:G$55,7,0)</f>
        <v>24.93</v>
      </c>
      <c r="AB51">
        <f>VLOOKUP(A51,CVS!A$2:G$55,7,0)</f>
        <v>80.91</v>
      </c>
      <c r="AC51">
        <f>VLOOKUP(A51,CVX!A$2:G$55,7,0)</f>
        <v>124.28</v>
      </c>
      <c r="AD51">
        <f>VLOOKUP(A51,DD!A$2:G$55,7,0)</f>
        <v>65.209999999999994</v>
      </c>
      <c r="AE51">
        <f>VLOOKUP(A51,DIS!A$2:G$55,7,0)</f>
        <v>89.52</v>
      </c>
      <c r="AF51">
        <f>VLOOKUP(A51,DOW!A$2:G$55,7,0)</f>
        <v>52.99</v>
      </c>
      <c r="AG51">
        <f>VLOOKUP(A51,DVN!A$2:G$55,7,0)</f>
        <v>70.67</v>
      </c>
      <c r="AH51">
        <f>VLOOKUP(A51,EBAY!A$2:G$55,7,0)</f>
        <v>51.1</v>
      </c>
      <c r="AI51">
        <f>VLOOKUP(A51,EMC!A$2:G$55,7,0)</f>
        <v>29.38</v>
      </c>
      <c r="AJ51">
        <f>VLOOKUP(A51,EMR!A$2:G$55,7,0)</f>
        <v>65.010000000000005</v>
      </c>
      <c r="AK51">
        <f>VLOOKUP(A51,EXC!A$2:G$55,7,0)</f>
        <v>33.04</v>
      </c>
      <c r="AL51">
        <f>VLOOKUP(A51,F!A$2:G$55,7,0)</f>
        <v>16.63</v>
      </c>
      <c r="AM51">
        <f>VLOOKUP(A51,FB!A$2:G$55,7,0)</f>
        <v>77.430000000000007</v>
      </c>
      <c r="AN51">
        <f>VLOOKUP(A51,FCX!A$2:G$55,7,0)</f>
        <v>34.56</v>
      </c>
      <c r="AO51">
        <f>VLOOKUP(A51,FDX!A$2:G$55,7,0)</f>
        <v>150.76</v>
      </c>
      <c r="AP51">
        <f>VLOOKUP(A51,FOXA!A$2:G$55,7,0)</f>
        <v>35.56</v>
      </c>
      <c r="AQ51">
        <f>VLOOKUP(A51,GD!A$2:G$55,7,0)</f>
        <v>127.42</v>
      </c>
      <c r="AR51">
        <f>VLOOKUP(A51,GE!A$2:G$55,7,0)</f>
        <v>25.73</v>
      </c>
      <c r="AS51">
        <f>VLOOKUP(A51,GILD!A$2:G$55,7,0)</f>
        <v>108.22</v>
      </c>
      <c r="AT51">
        <f>VLOOKUP(A51,GM!A$2:G$55,7,0)</f>
        <v>33.29</v>
      </c>
      <c r="AU51">
        <f>VLOOKUP(A51,GOOG!A$2:G$55,7,0)</f>
        <v>583.1</v>
      </c>
      <c r="AV51">
        <f>VLOOKUP(A51,GOOGL!A$2:G$55,7,0)</f>
        <v>593.41999999999996</v>
      </c>
      <c r="AW51">
        <f>VLOOKUP(A51,GS!A$2:G$55,7,0)</f>
        <v>179.87</v>
      </c>
      <c r="AX51">
        <f>VLOOKUP(A51,HAL!A$2:G$55,7,0)</f>
        <v>66.709999999999994</v>
      </c>
      <c r="AY51">
        <f>VLOOKUP(A51,HD!A$2:G$55,7,0)</f>
        <v>89.25</v>
      </c>
      <c r="AZ51">
        <f>VLOOKUP(A51,HON!A$2:G$55,7,0)</f>
        <v>94.36</v>
      </c>
      <c r="BA51">
        <f>VLOOKUP(A51,HPQ!A$2:G$55,7,0)</f>
        <v>37.03</v>
      </c>
      <c r="BB51">
        <f>VLOOKUP(A51,IBM!A$2:G$55,7,0)</f>
        <v>191.54</v>
      </c>
      <c r="BC51">
        <f>VLOOKUP(A51,INTC!A$2:G$55,7,0)</f>
        <v>35.020000000000003</v>
      </c>
      <c r="BD51">
        <f>VLOOKUP(A51,JNJ!A$2:G$55,7,0)</f>
        <v>104.99</v>
      </c>
      <c r="BE51">
        <f>VLOOKUP(A51,JPM!A$2:G$55,7,0)</f>
        <v>59.22</v>
      </c>
      <c r="BF51">
        <f>VLOOKUP(A51,KO!A$2:G$55,7,0)</f>
        <v>41.86</v>
      </c>
      <c r="BG51">
        <f>VLOOKUP(A51,LLY!A$2:G$55,7,0)</f>
        <v>64.78</v>
      </c>
      <c r="BH51">
        <f>VLOOKUP(A51,LMT!A$2:G$55,7,0)</f>
        <v>174.59</v>
      </c>
      <c r="BI51">
        <f>VLOOKUP(A51,LOW!A$2:G$55,7,0)</f>
        <v>53.39</v>
      </c>
      <c r="BJ51">
        <f>VLOOKUP(A51,MA!A$2:G$55,7,0)</f>
        <v>76.650000000000006</v>
      </c>
      <c r="BK51">
        <f>VLOOKUP(A51,MCD!A$2:G$55,7,0)</f>
        <v>93</v>
      </c>
      <c r="BL51">
        <f>VLOOKUP(A51,MDLZ!A$2:G$55,7,0)</f>
        <v>35.450000000000003</v>
      </c>
      <c r="BM51">
        <f>VLOOKUP(A51,MDT!A$2:G$55,7,0)</f>
        <v>65.97</v>
      </c>
      <c r="BN51">
        <f>VLOOKUP(A51,MET!A$2:G$55,7,0)</f>
        <v>54.7</v>
      </c>
      <c r="BO51">
        <f>VLOOKUP(A51,MMM!A$2:G$55,7,0)</f>
        <v>144.63999999999999</v>
      </c>
      <c r="BP51">
        <f>VLOOKUP(A51,MO!A$2:G$55,7,0)</f>
        <v>43.34</v>
      </c>
      <c r="BQ51">
        <f>VLOOKUP(A51,MON!A$2:G$55,7,0)</f>
        <v>113.01</v>
      </c>
      <c r="BR51">
        <f>VLOOKUP(A51,MRK!A$2:G$55,7,0)</f>
        <v>60.32</v>
      </c>
      <c r="BS51">
        <f>VLOOKUP(A51,MS!A$2:G$55,7,0)</f>
        <v>34.33</v>
      </c>
      <c r="BT51">
        <f>VLOOKUP(A51,MSFT!A$2:G$55,7,0)</f>
        <v>46.84</v>
      </c>
      <c r="BU51">
        <f>VLOOKUP(A51,NKE!A$2:G$55,7,0)</f>
        <v>82.47</v>
      </c>
      <c r="BV51">
        <f>VLOOKUP(A51,NOV!A$2:G$55,7,0)</f>
        <v>81.489999999999995</v>
      </c>
      <c r="BW51">
        <f>VLOOKUP(A51,NSC!A$2:G$55,7,0)</f>
        <v>107.99</v>
      </c>
      <c r="BX51">
        <f>VLOOKUP(A51,ORCL!A$2:G$55,7,0)</f>
        <v>40.71</v>
      </c>
      <c r="BY51">
        <f>VLOOKUP(A51,OXY!A$2:G$55,7,0)</f>
        <v>98.54</v>
      </c>
      <c r="BZ51">
        <f>VLOOKUP(A51,PEP!A$2:G$55,7,0)</f>
        <v>91.79</v>
      </c>
      <c r="CA51">
        <f>VLOOKUP(A51,PFE!A$2:G$55,7,0)</f>
        <v>29.44</v>
      </c>
      <c r="CB51">
        <f>VLOOKUP(A51,PG!A$2:G$55,7,0)</f>
        <v>83.64</v>
      </c>
      <c r="CC51">
        <f>VLOOKUP(A51,PM!A$2:G$55,7,0)</f>
        <v>83.21</v>
      </c>
      <c r="CD51">
        <f>VLOOKUP(A51,QCOM!A$2:G$55,7,0)</f>
        <v>75.930000000000007</v>
      </c>
      <c r="CE51">
        <f>VLOOKUP(A51,RTN!A$2:G$55,7,0)</f>
        <v>100.3</v>
      </c>
      <c r="CF51">
        <f>VLOOKUP(A51,SBUX!A$2:G$55,7,0)</f>
        <v>77.209999999999994</v>
      </c>
      <c r="CG51">
        <f>VLOOKUP(A51,SLB!A$2:G$55,7,0)</f>
        <v>104.27</v>
      </c>
      <c r="CH51">
        <f>VLOOKUP(A51,SO!A$2:G$55,7,0)</f>
        <v>43.76</v>
      </c>
      <c r="CI51">
        <f>VLOOKUP(A51,SPG!A$2:G$55,7,0)</f>
        <v>170.43</v>
      </c>
      <c r="CJ51">
        <f>VLOOKUP(A51,T!A$2:G$55,7,0)</f>
        <v>34.700000000000003</v>
      </c>
      <c r="CK51">
        <f>VLOOKUP(A51,TGT!A$2:G$55,7,0)</f>
        <v>61.95</v>
      </c>
      <c r="CL51">
        <f>VLOOKUP(A51,TWX!A$2:G$55,7,0)</f>
        <v>75.930000000000007</v>
      </c>
      <c r="CM51">
        <f>VLOOKUP(A51,TXN!A$2:G$55,7,0)</f>
        <v>47.99</v>
      </c>
      <c r="CN51">
        <f>VLOOKUP(A51,UNH!A$2:G$55,7,0)</f>
        <v>87.25</v>
      </c>
      <c r="CO51">
        <f>VLOOKUP(A51,UNP!A$2:G$55,7,0)</f>
        <v>107.38</v>
      </c>
      <c r="CP51">
        <f>VLOOKUP(A51,UPS!A$2:G$55,7,0)</f>
        <v>97.62</v>
      </c>
      <c r="CQ51">
        <f>VLOOKUP(A51,USB!A$2:G$55,7,0)</f>
        <v>41.6</v>
      </c>
      <c r="CR51">
        <f>VLOOKUP(A51,UTX!A$2:G$55,7,0)</f>
        <v>108.5</v>
      </c>
      <c r="CS51">
        <f>VLOOKUP(A51,V!A$2:G$55,7,0)</f>
        <v>216.88</v>
      </c>
      <c r="CT51">
        <f>VLOOKUP(A51,VZ!A$2:G$55,7,0)</f>
        <v>48.75</v>
      </c>
      <c r="CU51">
        <f>VLOOKUP(A51,WAG!A$2:G$55,7,0)</f>
        <v>63.32</v>
      </c>
      <c r="CV51">
        <f>VLOOKUP(A51,WFC!A$2:G$55,7,0)</f>
        <v>51.52</v>
      </c>
      <c r="CW51">
        <f>VLOOKUP(A51,WMT!A$2:G$55,7,0)</f>
        <v>76.510000000000005</v>
      </c>
    </row>
    <row r="52" spans="1:101" x14ac:dyDescent="0.25">
      <c r="A52" s="34">
        <v>41893</v>
      </c>
      <c r="B52" s="36">
        <v>101.43</v>
      </c>
      <c r="C52">
        <f>VLOOKUP(A52,ABBV!A$2:G$55,7,0)</f>
        <v>57.85</v>
      </c>
      <c r="D52">
        <f>VLOOKUP(A52,ABT!A$2:G$55,7,0)</f>
        <v>42.56</v>
      </c>
      <c r="E52">
        <f>VLOOKUP(A52,ACN!A$2:G$55,7,0)</f>
        <v>81.510000000000005</v>
      </c>
      <c r="F52">
        <f>VLOOKUP(A52,AIG!A$2:G$55,7,0)</f>
        <v>55.43</v>
      </c>
      <c r="G52">
        <f>VLOOKUP(A52,ALL!A$2:G$55,7,0)</f>
        <v>61.21</v>
      </c>
      <c r="H52">
        <f>VLOOKUP(A52,AMGN!A$2:G$55,7,0)</f>
        <v>138.96</v>
      </c>
      <c r="I52">
        <f>VLOOKUP(A52,AMZN!A$2:G$55,7,0)</f>
        <v>330.52</v>
      </c>
      <c r="J52">
        <f>VLOOKUP(A52,APA!A$2:G$55,7,0)</f>
        <v>97.63</v>
      </c>
      <c r="K52">
        <f>VLOOKUP(A52,APC!A$2:G$55,7,0)</f>
        <v>107.39</v>
      </c>
      <c r="L52">
        <f>VLOOKUP(A52,AXP!A$2:G$55,7,0)</f>
        <v>88.42</v>
      </c>
      <c r="M52">
        <f>VLOOKUP(A52,BA!A$2:G$55,7,0)</f>
        <v>127.64</v>
      </c>
      <c r="N52">
        <f>VLOOKUP(A52,BAC!A$2:G$55,7,0)</f>
        <v>16.57</v>
      </c>
      <c r="O52">
        <f>VLOOKUP(A52,BAX!A$2:G$55,7,0)</f>
        <v>75.09</v>
      </c>
      <c r="P52">
        <f>VLOOKUP(A52,BIIB!A$2:G$55,7,0)</f>
        <v>327.11</v>
      </c>
      <c r="Q52">
        <f>VLOOKUP(A52,BK!A$2:G$55,7,0)</f>
        <v>39.369999999999997</v>
      </c>
      <c r="R52">
        <f>VLOOKUP(A52,BMY!A$2:G$55,7,0)</f>
        <v>50.68</v>
      </c>
      <c r="T52">
        <f>VLOOKUP(A52,'C'!A$2:G$55,7,0)</f>
        <v>52.23</v>
      </c>
      <c r="U52">
        <f>VLOOKUP(A52,CAT!A$2:G$55,7,0)</f>
        <v>105.59</v>
      </c>
      <c r="V52">
        <f>VLOOKUP(A52,CL!A$2:G$55,7,0)</f>
        <v>64.42</v>
      </c>
      <c r="W52">
        <f>VLOOKUP(A52,CMCSA!A$2:G$55,7,0)</f>
        <v>56.74</v>
      </c>
      <c r="X52">
        <f>VLOOKUP(A52,COF!A$2:G$55,7,0)</f>
        <v>81.23</v>
      </c>
      <c r="Y52">
        <f>VLOOKUP(A52,COP!A$2:G$55,7,0)</f>
        <v>79.38</v>
      </c>
      <c r="Z52">
        <f>VLOOKUP(A52,COST!A$2:G$55,7,0)</f>
        <v>125.94</v>
      </c>
      <c r="AA52">
        <f>VLOOKUP(A52,CSCO!A$2:G$55,7,0)</f>
        <v>25.18</v>
      </c>
      <c r="AB52">
        <f>VLOOKUP(A52,CVS!A$2:G$55,7,0)</f>
        <v>81.09</v>
      </c>
      <c r="AC52">
        <f>VLOOKUP(A52,CVX!A$2:G$55,7,0)</f>
        <v>123.83</v>
      </c>
      <c r="AD52">
        <f>VLOOKUP(A52,DD!A$2:G$55,7,0)</f>
        <v>65.13</v>
      </c>
      <c r="AE52">
        <f>VLOOKUP(A52,DIS!A$2:G$55,7,0)</f>
        <v>89.97</v>
      </c>
      <c r="AF52">
        <f>VLOOKUP(A52,DOW!A$2:G$55,7,0)</f>
        <v>52.51</v>
      </c>
      <c r="AG52">
        <f>VLOOKUP(A52,DVN!A$2:G$55,7,0)</f>
        <v>70.63</v>
      </c>
      <c r="AH52">
        <f>VLOOKUP(A52,EBAY!A$2:G$55,7,0)</f>
        <v>50.68</v>
      </c>
      <c r="AI52">
        <f>VLOOKUP(A52,EMC!A$2:G$55,7,0)</f>
        <v>29.57</v>
      </c>
      <c r="AJ52">
        <f>VLOOKUP(A52,EMR!A$2:G$55,7,0)</f>
        <v>64.66</v>
      </c>
      <c r="AK52">
        <f>VLOOKUP(A52,EXC!A$2:G$55,7,0)</f>
        <v>33.25</v>
      </c>
      <c r="AL52">
        <f>VLOOKUP(A52,F!A$2:G$55,7,0)</f>
        <v>16.66</v>
      </c>
      <c r="AM52">
        <f>VLOOKUP(A52,FB!A$2:G$55,7,0)</f>
        <v>77.92</v>
      </c>
      <c r="AN52">
        <f>VLOOKUP(A52,FCX!A$2:G$55,7,0)</f>
        <v>34.56</v>
      </c>
      <c r="AO52">
        <f>VLOOKUP(A52,FDX!A$2:G$55,7,0)</f>
        <v>152.53</v>
      </c>
      <c r="AP52">
        <f>VLOOKUP(A52,FOXA!A$2:G$55,7,0)</f>
        <v>35.299999999999997</v>
      </c>
      <c r="AQ52">
        <f>VLOOKUP(A52,GD!A$2:G$55,7,0)</f>
        <v>126.62</v>
      </c>
      <c r="AR52">
        <f>VLOOKUP(A52,GE!A$2:G$55,7,0)</f>
        <v>25.8</v>
      </c>
      <c r="AS52">
        <f>VLOOKUP(A52,GILD!A$2:G$55,7,0)</f>
        <v>106.39</v>
      </c>
      <c r="AT52">
        <f>VLOOKUP(A52,GM!A$2:G$55,7,0)</f>
        <v>33.61</v>
      </c>
      <c r="AU52">
        <f>VLOOKUP(A52,GOOG!A$2:G$55,7,0)</f>
        <v>581.35</v>
      </c>
      <c r="AV52">
        <f>VLOOKUP(A52,GOOGL!A$2:G$55,7,0)</f>
        <v>591.11</v>
      </c>
      <c r="AW52">
        <f>VLOOKUP(A52,GS!A$2:G$55,7,0)</f>
        <v>181</v>
      </c>
      <c r="AX52">
        <f>VLOOKUP(A52,HAL!A$2:G$55,7,0)</f>
        <v>67.069999999999993</v>
      </c>
      <c r="AY52">
        <f>VLOOKUP(A52,HD!A$2:G$55,7,0)</f>
        <v>89.22</v>
      </c>
      <c r="AZ52">
        <f>VLOOKUP(A52,HON!A$2:G$55,7,0)</f>
        <v>94.74</v>
      </c>
      <c r="BA52">
        <f>VLOOKUP(A52,HPQ!A$2:G$55,7,0)</f>
        <v>36.76</v>
      </c>
      <c r="BB52">
        <f>VLOOKUP(A52,IBM!A$2:G$55,7,0)</f>
        <v>191.72</v>
      </c>
      <c r="BC52">
        <f>VLOOKUP(A52,INTC!A$2:G$55,7,0)</f>
        <v>35.020000000000003</v>
      </c>
      <c r="BD52">
        <f>VLOOKUP(A52,JNJ!A$2:G$55,7,0)</f>
        <v>104.55</v>
      </c>
      <c r="BE52">
        <f>VLOOKUP(A52,JPM!A$2:G$55,7,0)</f>
        <v>59.76</v>
      </c>
      <c r="BF52">
        <f>VLOOKUP(A52,KO!A$2:G$55,7,0)</f>
        <v>41.95</v>
      </c>
      <c r="BG52">
        <f>VLOOKUP(A52,LLY!A$2:G$55,7,0)</f>
        <v>65.180000000000007</v>
      </c>
      <c r="BH52">
        <f>VLOOKUP(A52,LMT!A$2:G$55,7,0)</f>
        <v>174.2</v>
      </c>
      <c r="BI52">
        <f>VLOOKUP(A52,LOW!A$2:G$55,7,0)</f>
        <v>53.08</v>
      </c>
      <c r="BJ52">
        <f>VLOOKUP(A52,MA!A$2:G$55,7,0)</f>
        <v>75.62</v>
      </c>
      <c r="BK52">
        <f>VLOOKUP(A52,MCD!A$2:G$55,7,0)</f>
        <v>92.96</v>
      </c>
      <c r="BL52">
        <f>VLOOKUP(A52,MDLZ!A$2:G$55,7,0)</f>
        <v>35.6</v>
      </c>
      <c r="BM52">
        <f>VLOOKUP(A52,MDT!A$2:G$55,7,0)</f>
        <v>65.739999999999995</v>
      </c>
      <c r="BN52">
        <f>VLOOKUP(A52,MET!A$2:G$55,7,0)</f>
        <v>54.71</v>
      </c>
      <c r="BO52">
        <f>VLOOKUP(A52,MMM!A$2:G$55,7,0)</f>
        <v>144.35</v>
      </c>
      <c r="BP52">
        <f>VLOOKUP(A52,MO!A$2:G$55,7,0)</f>
        <v>43.19</v>
      </c>
      <c r="BQ52">
        <f>VLOOKUP(A52,MON!A$2:G$55,7,0)</f>
        <v>113.62</v>
      </c>
      <c r="BR52">
        <f>VLOOKUP(A52,MRK!A$2:G$55,7,0)</f>
        <v>60.1</v>
      </c>
      <c r="BS52">
        <f>VLOOKUP(A52,MS!A$2:G$55,7,0)</f>
        <v>34.729999999999997</v>
      </c>
      <c r="BT52">
        <f>VLOOKUP(A52,MSFT!A$2:G$55,7,0)</f>
        <v>47</v>
      </c>
      <c r="BU52">
        <f>VLOOKUP(A52,NKE!A$2:G$55,7,0)</f>
        <v>81.819999999999993</v>
      </c>
      <c r="BV52">
        <f>VLOOKUP(A52,NOV!A$2:G$55,7,0)</f>
        <v>82.49</v>
      </c>
      <c r="BW52">
        <f>VLOOKUP(A52,NSC!A$2:G$55,7,0)</f>
        <v>108.64</v>
      </c>
      <c r="BX52">
        <f>VLOOKUP(A52,ORCL!A$2:G$55,7,0)</f>
        <v>40.68</v>
      </c>
      <c r="BY52">
        <f>VLOOKUP(A52,OXY!A$2:G$55,7,0)</f>
        <v>98.35</v>
      </c>
      <c r="BZ52">
        <f>VLOOKUP(A52,PEP!A$2:G$55,7,0)</f>
        <v>91.65</v>
      </c>
      <c r="CA52">
        <f>VLOOKUP(A52,PFE!A$2:G$55,7,0)</f>
        <v>29.63</v>
      </c>
      <c r="CB52">
        <f>VLOOKUP(A52,PG!A$2:G$55,7,0)</f>
        <v>83.49</v>
      </c>
      <c r="CC52">
        <f>VLOOKUP(A52,PM!A$2:G$55,7,0)</f>
        <v>83.52</v>
      </c>
      <c r="CD52">
        <f>VLOOKUP(A52,QCOM!A$2:G$55,7,0)</f>
        <v>76.11</v>
      </c>
      <c r="CE52">
        <f>VLOOKUP(A52,RTN!A$2:G$55,7,0)</f>
        <v>100.33</v>
      </c>
      <c r="CF52">
        <f>VLOOKUP(A52,SBUX!A$2:G$55,7,0)</f>
        <v>76.12</v>
      </c>
      <c r="CG52">
        <f>VLOOKUP(A52,SLB!A$2:G$55,7,0)</f>
        <v>104.45</v>
      </c>
      <c r="CH52">
        <f>VLOOKUP(A52,SO!A$2:G$55,7,0)</f>
        <v>44.06</v>
      </c>
      <c r="CI52">
        <f>VLOOKUP(A52,SPG!A$2:G$55,7,0)</f>
        <v>169.92</v>
      </c>
      <c r="CJ52">
        <f>VLOOKUP(A52,T!A$2:G$55,7,0)</f>
        <v>34.85</v>
      </c>
      <c r="CK52">
        <f>VLOOKUP(A52,TGT!A$2:G$55,7,0)</f>
        <v>62.59</v>
      </c>
      <c r="CL52">
        <f>VLOOKUP(A52,TWX!A$2:G$55,7,0)</f>
        <v>76.760000000000005</v>
      </c>
      <c r="CM52">
        <f>VLOOKUP(A52,TXN!A$2:G$55,7,0)</f>
        <v>48.15</v>
      </c>
      <c r="CN52">
        <f>VLOOKUP(A52,UNH!A$2:G$55,7,0)</f>
        <v>87.08</v>
      </c>
      <c r="CO52">
        <f>VLOOKUP(A52,UNP!A$2:G$55,7,0)</f>
        <v>107.71</v>
      </c>
      <c r="CP52">
        <f>VLOOKUP(A52,UPS!A$2:G$55,7,0)</f>
        <v>97.94</v>
      </c>
      <c r="CQ52">
        <f>VLOOKUP(A52,USB!A$2:G$55,7,0)</f>
        <v>41.85</v>
      </c>
      <c r="CR52">
        <f>VLOOKUP(A52,UTX!A$2:G$55,7,0)</f>
        <v>108.51</v>
      </c>
      <c r="CS52">
        <f>VLOOKUP(A52,V!A$2:G$55,7,0)</f>
        <v>214.95</v>
      </c>
      <c r="CT52">
        <f>VLOOKUP(A52,VZ!A$2:G$55,7,0)</f>
        <v>49.01</v>
      </c>
      <c r="CU52">
        <f>VLOOKUP(A52,WAG!A$2:G$55,7,0)</f>
        <v>63.44</v>
      </c>
      <c r="CV52">
        <f>VLOOKUP(A52,WFC!A$2:G$55,7,0)</f>
        <v>51.59</v>
      </c>
      <c r="CW52">
        <f>VLOOKUP(A52,WMT!A$2:G$55,7,0)</f>
        <v>76.099999999999994</v>
      </c>
    </row>
    <row r="53" spans="1:101" x14ac:dyDescent="0.25">
      <c r="A53" s="34">
        <v>41894</v>
      </c>
      <c r="B53" s="36">
        <v>101.66</v>
      </c>
      <c r="C53">
        <f>VLOOKUP(A53,ABBV!A$2:G$55,7,0)</f>
        <v>57.88</v>
      </c>
      <c r="D53">
        <f>VLOOKUP(A53,ABT!A$2:G$55,7,0)</f>
        <v>42.55</v>
      </c>
      <c r="E53">
        <f>VLOOKUP(A53,ACN!A$2:G$55,7,0)</f>
        <v>80.97</v>
      </c>
      <c r="F53">
        <f>VLOOKUP(A53,AIG!A$2:G$55,7,0)</f>
        <v>55.19</v>
      </c>
      <c r="G53">
        <f>VLOOKUP(A53,ALL!A$2:G$55,7,0)</f>
        <v>61</v>
      </c>
      <c r="H53">
        <f>VLOOKUP(A53,AMGN!A$2:G$55,7,0)</f>
        <v>137.88999999999999</v>
      </c>
      <c r="I53">
        <f>VLOOKUP(A53,AMZN!A$2:G$55,7,0)</f>
        <v>331.19</v>
      </c>
      <c r="J53">
        <f>VLOOKUP(A53,APA!A$2:G$55,7,0)</f>
        <v>96.24</v>
      </c>
      <c r="K53">
        <f>VLOOKUP(A53,APC!A$2:G$55,7,0)</f>
        <v>105.46</v>
      </c>
      <c r="L53">
        <f>VLOOKUP(A53,AXP!A$2:G$55,7,0)</f>
        <v>87.64</v>
      </c>
      <c r="M53">
        <f>VLOOKUP(A53,BA!A$2:G$55,7,0)</f>
        <v>126.95</v>
      </c>
      <c r="N53">
        <f>VLOOKUP(A53,BAC!A$2:G$55,7,0)</f>
        <v>16.79</v>
      </c>
      <c r="O53">
        <f>VLOOKUP(A53,BAX!A$2:G$55,7,0)</f>
        <v>74.7</v>
      </c>
      <c r="P53">
        <f>VLOOKUP(A53,BIIB!A$2:G$55,7,0)</f>
        <v>323.39</v>
      </c>
      <c r="Q53">
        <f>VLOOKUP(A53,BK!A$2:G$55,7,0)</f>
        <v>39.9</v>
      </c>
      <c r="R53">
        <f>VLOOKUP(A53,BMY!A$2:G$55,7,0)</f>
        <v>50.26</v>
      </c>
      <c r="T53">
        <f>VLOOKUP(A53,'C'!A$2:G$55,7,0)</f>
        <v>52.38</v>
      </c>
      <c r="U53">
        <f>VLOOKUP(A53,CAT!A$2:G$55,7,0)</f>
        <v>105.02</v>
      </c>
      <c r="V53">
        <f>VLOOKUP(A53,CL!A$2:G$55,7,0)</f>
        <v>64.48</v>
      </c>
      <c r="W53">
        <f>VLOOKUP(A53,CMCSA!A$2:G$55,7,0)</f>
        <v>56.84</v>
      </c>
      <c r="X53">
        <f>VLOOKUP(A53,COF!A$2:G$55,7,0)</f>
        <v>80.94</v>
      </c>
      <c r="Y53">
        <f>VLOOKUP(A53,COP!A$2:G$55,7,0)</f>
        <v>78.45</v>
      </c>
      <c r="Z53">
        <f>VLOOKUP(A53,COST!A$2:G$55,7,0)</f>
        <v>125.37</v>
      </c>
      <c r="AA53">
        <f>VLOOKUP(A53,CSCO!A$2:G$55,7,0)</f>
        <v>25.16</v>
      </c>
      <c r="AB53">
        <f>VLOOKUP(A53,CVS!A$2:G$55,7,0)</f>
        <v>80.569999999999993</v>
      </c>
      <c r="AC53">
        <f>VLOOKUP(A53,CVX!A$2:G$55,7,0)</f>
        <v>122.66</v>
      </c>
      <c r="AD53">
        <f>VLOOKUP(A53,DD!A$2:G$55,7,0)</f>
        <v>64.78</v>
      </c>
      <c r="AE53">
        <f>VLOOKUP(A53,DIS!A$2:G$55,7,0)</f>
        <v>89.67</v>
      </c>
      <c r="AF53">
        <f>VLOOKUP(A53,DOW!A$2:G$55,7,0)</f>
        <v>52.3</v>
      </c>
      <c r="AG53">
        <f>VLOOKUP(A53,DVN!A$2:G$55,7,0)</f>
        <v>69.95</v>
      </c>
      <c r="AH53">
        <f>VLOOKUP(A53,EBAY!A$2:G$55,7,0)</f>
        <v>52.19</v>
      </c>
      <c r="AI53">
        <f>VLOOKUP(A53,EMC!A$2:G$55,7,0)</f>
        <v>29.53</v>
      </c>
      <c r="AJ53">
        <f>VLOOKUP(A53,EMR!A$2:G$55,7,0)</f>
        <v>64.489999999999995</v>
      </c>
      <c r="AK53">
        <f>VLOOKUP(A53,EXC!A$2:G$55,7,0)</f>
        <v>32.86</v>
      </c>
      <c r="AL53">
        <f>VLOOKUP(A53,F!A$2:G$55,7,0)</f>
        <v>16.59</v>
      </c>
      <c r="AM53">
        <f>VLOOKUP(A53,FB!A$2:G$55,7,0)</f>
        <v>77.48</v>
      </c>
      <c r="AN53">
        <f>VLOOKUP(A53,FCX!A$2:G$55,7,0)</f>
        <v>34.24</v>
      </c>
      <c r="AO53">
        <f>VLOOKUP(A53,FDX!A$2:G$55,7,0)</f>
        <v>153.77000000000001</v>
      </c>
      <c r="AP53">
        <f>VLOOKUP(A53,FOXA!A$2:G$55,7,0)</f>
        <v>35.049999999999997</v>
      </c>
      <c r="AQ53">
        <f>VLOOKUP(A53,GD!A$2:G$55,7,0)</f>
        <v>126.4</v>
      </c>
      <c r="AR53">
        <f>VLOOKUP(A53,GE!A$2:G$55,7,0)</f>
        <v>25.65</v>
      </c>
      <c r="AS53">
        <f>VLOOKUP(A53,GILD!A$2:G$55,7,0)</f>
        <v>103.66</v>
      </c>
      <c r="AT53">
        <f>VLOOKUP(A53,GM!A$2:G$55,7,0)</f>
        <v>33.270000000000003</v>
      </c>
      <c r="AU53">
        <f>VLOOKUP(A53,GOOG!A$2:G$55,7,0)</f>
        <v>575.62</v>
      </c>
      <c r="AV53">
        <f>VLOOKUP(A53,GOOGL!A$2:G$55,7,0)</f>
        <v>584.9</v>
      </c>
      <c r="AW53">
        <f>VLOOKUP(A53,GS!A$2:G$55,7,0)</f>
        <v>183.17</v>
      </c>
      <c r="AX53">
        <f>VLOOKUP(A53,HAL!A$2:G$55,7,0)</f>
        <v>65.86</v>
      </c>
      <c r="AY53">
        <f>VLOOKUP(A53,HD!A$2:G$55,7,0)</f>
        <v>88.84</v>
      </c>
      <c r="AZ53">
        <f>VLOOKUP(A53,HON!A$2:G$55,7,0)</f>
        <v>94.5</v>
      </c>
      <c r="BA53">
        <f>VLOOKUP(A53,HPQ!A$2:G$55,7,0)</f>
        <v>36.56</v>
      </c>
      <c r="BB53">
        <f>VLOOKUP(A53,IBM!A$2:G$55,7,0)</f>
        <v>191.28</v>
      </c>
      <c r="BC53">
        <f>VLOOKUP(A53,INTC!A$2:G$55,7,0)</f>
        <v>34.619999999999997</v>
      </c>
      <c r="BD53">
        <f>VLOOKUP(A53,JNJ!A$2:G$55,7,0)</f>
        <v>104.58</v>
      </c>
      <c r="BE53">
        <f>VLOOKUP(A53,JPM!A$2:G$55,7,0)</f>
        <v>60.03</v>
      </c>
      <c r="BF53">
        <f>VLOOKUP(A53,KO!A$2:G$55,7,0)</f>
        <v>41.46</v>
      </c>
      <c r="BG53">
        <f>VLOOKUP(A53,LLY!A$2:G$55,7,0)</f>
        <v>65.27</v>
      </c>
      <c r="BH53">
        <f>VLOOKUP(A53,LMT!A$2:G$55,7,0)</f>
        <v>174.43</v>
      </c>
      <c r="BI53">
        <f>VLOOKUP(A53,LOW!A$2:G$55,7,0)</f>
        <v>52.97</v>
      </c>
      <c r="BJ53">
        <f>VLOOKUP(A53,MA!A$2:G$55,7,0)</f>
        <v>75.47</v>
      </c>
      <c r="BK53">
        <f>VLOOKUP(A53,MCD!A$2:G$55,7,0)</f>
        <v>93.34</v>
      </c>
      <c r="BL53">
        <f>VLOOKUP(A53,MDLZ!A$2:G$55,7,0)</f>
        <v>35.17</v>
      </c>
      <c r="BM53">
        <f>VLOOKUP(A53,MDT!A$2:G$55,7,0)</f>
        <v>65.19</v>
      </c>
      <c r="BN53">
        <f>VLOOKUP(A53,MET!A$2:G$55,7,0)</f>
        <v>55.47</v>
      </c>
      <c r="BO53">
        <f>VLOOKUP(A53,MMM!A$2:G$55,7,0)</f>
        <v>143.94</v>
      </c>
      <c r="BP53">
        <f>VLOOKUP(A53,MO!A$2:G$55,7,0)</f>
        <v>43.16</v>
      </c>
      <c r="BQ53">
        <f>VLOOKUP(A53,MON!A$2:G$55,7,0)</f>
        <v>113.05</v>
      </c>
      <c r="BR53">
        <f>VLOOKUP(A53,MRK!A$2:G$55,7,0)</f>
        <v>59.55</v>
      </c>
      <c r="BS53">
        <f>VLOOKUP(A53,MS!A$2:G$55,7,0)</f>
        <v>35.01</v>
      </c>
      <c r="BT53">
        <f>VLOOKUP(A53,MSFT!A$2:G$55,7,0)</f>
        <v>46.7</v>
      </c>
      <c r="BU53">
        <f>VLOOKUP(A53,NKE!A$2:G$55,7,0)</f>
        <v>81.84</v>
      </c>
      <c r="BV53">
        <f>VLOOKUP(A53,NOV!A$2:G$55,7,0)</f>
        <v>80.64</v>
      </c>
      <c r="BW53">
        <f>VLOOKUP(A53,NSC!A$2:G$55,7,0)</f>
        <v>107.89</v>
      </c>
      <c r="BX53">
        <f>VLOOKUP(A53,ORCL!A$2:G$55,7,0)</f>
        <v>40.5</v>
      </c>
      <c r="BY53">
        <f>VLOOKUP(A53,OXY!A$2:G$55,7,0)</f>
        <v>97.4</v>
      </c>
      <c r="BZ53">
        <f>VLOOKUP(A53,PEP!A$2:G$55,7,0)</f>
        <v>90.87</v>
      </c>
      <c r="CA53">
        <f>VLOOKUP(A53,PFE!A$2:G$55,7,0)</f>
        <v>29.43</v>
      </c>
      <c r="CB53">
        <f>VLOOKUP(A53,PG!A$2:G$55,7,0)</f>
        <v>83.26</v>
      </c>
      <c r="CC53">
        <f>VLOOKUP(A53,PM!A$2:G$55,7,0)</f>
        <v>83.04</v>
      </c>
      <c r="CD53">
        <f>VLOOKUP(A53,QCOM!A$2:G$55,7,0)</f>
        <v>75.33</v>
      </c>
      <c r="CE53">
        <f>VLOOKUP(A53,RTN!A$2:G$55,7,0)</f>
        <v>100.17</v>
      </c>
      <c r="CF53">
        <f>VLOOKUP(A53,SBUX!A$2:G$55,7,0)</f>
        <v>75.47</v>
      </c>
      <c r="CG53">
        <f>VLOOKUP(A53,SLB!A$2:G$55,7,0)</f>
        <v>102.22</v>
      </c>
      <c r="CH53">
        <f>VLOOKUP(A53,SO!A$2:G$55,7,0)</f>
        <v>43.36</v>
      </c>
      <c r="CI53">
        <f>VLOOKUP(A53,SPG!A$2:G$55,7,0)</f>
        <v>165.5</v>
      </c>
      <c r="CJ53">
        <f>VLOOKUP(A53,T!A$2:G$55,7,0)</f>
        <v>34.5</v>
      </c>
      <c r="CK53">
        <f>VLOOKUP(A53,TGT!A$2:G$55,7,0)</f>
        <v>62.53</v>
      </c>
      <c r="CL53">
        <f>VLOOKUP(A53,TWX!A$2:G$55,7,0)</f>
        <v>76.81</v>
      </c>
      <c r="CM53">
        <f>VLOOKUP(A53,TXN!A$2:G$55,7,0)</f>
        <v>47.83</v>
      </c>
      <c r="CN53">
        <f>VLOOKUP(A53,UNH!A$2:G$55,7,0)</f>
        <v>86.18</v>
      </c>
      <c r="CO53">
        <f>VLOOKUP(A53,UNP!A$2:G$55,7,0)</f>
        <v>107.01</v>
      </c>
      <c r="CP53">
        <f>VLOOKUP(A53,UPS!A$2:G$55,7,0)</f>
        <v>98.05</v>
      </c>
      <c r="CQ53">
        <f>VLOOKUP(A53,USB!A$2:G$55,7,0)</f>
        <v>41.95</v>
      </c>
      <c r="CR53">
        <f>VLOOKUP(A53,UTX!A$2:G$55,7,0)</f>
        <v>108.35</v>
      </c>
      <c r="CS53">
        <f>VLOOKUP(A53,V!A$2:G$55,7,0)</f>
        <v>214.04</v>
      </c>
      <c r="CT53">
        <f>VLOOKUP(A53,VZ!A$2:G$55,7,0)</f>
        <v>48.4</v>
      </c>
      <c r="CU53">
        <f>VLOOKUP(A53,WAG!A$2:G$55,7,0)</f>
        <v>62.82</v>
      </c>
      <c r="CV53">
        <f>VLOOKUP(A53,WFC!A$2:G$55,7,0)</f>
        <v>51.7</v>
      </c>
      <c r="CW53">
        <f>VLOOKUP(A53,WMT!A$2:G$55,7,0)</f>
        <v>75.77</v>
      </c>
    </row>
    <row r="54" spans="1:101" x14ac:dyDescent="0.25">
      <c r="A54" s="34">
        <v>41897</v>
      </c>
      <c r="B54" s="36">
        <v>101.63</v>
      </c>
      <c r="C54">
        <f>VLOOKUP(A54,ABBV!A$2:G$55,7,0)</f>
        <v>57.93</v>
      </c>
      <c r="D54">
        <f>VLOOKUP(A54,ABT!A$2:G$55,7,0)</f>
        <v>42.72</v>
      </c>
      <c r="E54">
        <f>VLOOKUP(A54,ACN!A$2:G$55,7,0)</f>
        <v>80.599999999999994</v>
      </c>
      <c r="F54">
        <f>VLOOKUP(A54,AIG!A$2:G$55,7,0)</f>
        <v>55.4</v>
      </c>
      <c r="G54">
        <f>VLOOKUP(A54,ALL!A$2:G$55,7,0)</f>
        <v>61.62</v>
      </c>
      <c r="H54">
        <f>VLOOKUP(A54,AMGN!A$2:G$55,7,0)</f>
        <v>137.97</v>
      </c>
      <c r="I54">
        <f>VLOOKUP(A54,AMZN!A$2:G$55,7,0)</f>
        <v>323.89</v>
      </c>
      <c r="J54">
        <f>VLOOKUP(A54,APA!A$2:G$55,7,0)</f>
        <v>97.12</v>
      </c>
      <c r="K54">
        <f>VLOOKUP(A54,APC!A$2:G$55,7,0)</f>
        <v>106.24</v>
      </c>
      <c r="L54">
        <f>VLOOKUP(A54,AXP!A$2:G$55,7,0)</f>
        <v>87.38</v>
      </c>
      <c r="M54">
        <f>VLOOKUP(A54,BA!A$2:G$55,7,0)</f>
        <v>126.31</v>
      </c>
      <c r="N54">
        <f>VLOOKUP(A54,BAC!A$2:G$55,7,0)</f>
        <v>16.739999999999998</v>
      </c>
      <c r="O54">
        <f>VLOOKUP(A54,BAX!A$2:G$55,7,0)</f>
        <v>74.55</v>
      </c>
      <c r="P54">
        <f>VLOOKUP(A54,BIIB!A$2:G$55,7,0)</f>
        <v>320.12</v>
      </c>
      <c r="Q54">
        <f>VLOOKUP(A54,BK!A$2:G$55,7,0)</f>
        <v>39.92</v>
      </c>
      <c r="R54">
        <f>VLOOKUP(A54,BMY!A$2:G$55,7,0)</f>
        <v>49.95</v>
      </c>
      <c r="T54">
        <f>VLOOKUP(A54,'C'!A$2:G$55,7,0)</f>
        <v>52.31</v>
      </c>
      <c r="U54">
        <f>VLOOKUP(A54,CAT!A$2:G$55,7,0)</f>
        <v>104.86</v>
      </c>
      <c r="V54">
        <f>VLOOKUP(A54,CL!A$2:G$55,7,0)</f>
        <v>64.510000000000005</v>
      </c>
      <c r="W54">
        <f>VLOOKUP(A54,CMCSA!A$2:G$55,7,0)</f>
        <v>56.78</v>
      </c>
      <c r="X54">
        <f>VLOOKUP(A54,COF!A$2:G$55,7,0)</f>
        <v>81.5</v>
      </c>
      <c r="Y54">
        <f>VLOOKUP(A54,COP!A$2:G$55,7,0)</f>
        <v>79.400000000000006</v>
      </c>
      <c r="Z54">
        <f>VLOOKUP(A54,COST!A$2:G$55,7,0)</f>
        <v>125.71</v>
      </c>
      <c r="AA54">
        <f>VLOOKUP(A54,CSCO!A$2:G$55,7,0)</f>
        <v>25.06</v>
      </c>
      <c r="AB54">
        <f>VLOOKUP(A54,CVS!A$2:G$55,7,0)</f>
        <v>81.239999999999995</v>
      </c>
      <c r="AC54">
        <f>VLOOKUP(A54,CVX!A$2:G$55,7,0)</f>
        <v>124.24</v>
      </c>
      <c r="AD54">
        <f>VLOOKUP(A54,DD!A$2:G$55,7,0)</f>
        <v>65.3</v>
      </c>
      <c r="AE54">
        <f>VLOOKUP(A54,DIS!A$2:G$55,7,0)</f>
        <v>90.08</v>
      </c>
      <c r="AF54">
        <f>VLOOKUP(A54,DOW!A$2:G$55,7,0)</f>
        <v>52.67</v>
      </c>
      <c r="AG54">
        <f>VLOOKUP(A54,DVN!A$2:G$55,7,0)</f>
        <v>70.27</v>
      </c>
      <c r="AH54">
        <f>VLOOKUP(A54,EBAY!A$2:G$55,7,0)</f>
        <v>50.96</v>
      </c>
      <c r="AI54">
        <f>VLOOKUP(A54,EMC!A$2:G$55,7,0)</f>
        <v>29.34</v>
      </c>
      <c r="AJ54">
        <f>VLOOKUP(A54,EMR!A$2:G$55,7,0)</f>
        <v>64.3</v>
      </c>
      <c r="AK54">
        <f>VLOOKUP(A54,EXC!A$2:G$55,7,0)</f>
        <v>33.229999999999997</v>
      </c>
      <c r="AL54">
        <f>VLOOKUP(A54,F!A$2:G$55,7,0)</f>
        <v>16.47</v>
      </c>
      <c r="AM54">
        <f>VLOOKUP(A54,FB!A$2:G$55,7,0)</f>
        <v>74.58</v>
      </c>
      <c r="AN54">
        <f>VLOOKUP(A54,FCX!A$2:G$55,7,0)</f>
        <v>34.32</v>
      </c>
      <c r="AO54">
        <f>VLOOKUP(A54,FDX!A$2:G$55,7,0)</f>
        <v>154.04</v>
      </c>
      <c r="AP54">
        <f>VLOOKUP(A54,FOXA!A$2:G$55,7,0)</f>
        <v>34.909999999999997</v>
      </c>
      <c r="AQ54">
        <f>VLOOKUP(A54,GD!A$2:G$55,7,0)</f>
        <v>126.85</v>
      </c>
      <c r="AR54">
        <f>VLOOKUP(A54,GE!A$2:G$55,7,0)</f>
        <v>25.7</v>
      </c>
      <c r="AS54">
        <f>VLOOKUP(A54,GILD!A$2:G$55,7,0)</f>
        <v>100.99</v>
      </c>
      <c r="AT54">
        <f>VLOOKUP(A54,GM!A$2:G$55,7,0)</f>
        <v>33.630000000000003</v>
      </c>
      <c r="AU54">
        <f>VLOOKUP(A54,GOOG!A$2:G$55,7,0)</f>
        <v>573.1</v>
      </c>
      <c r="AV54">
        <f>VLOOKUP(A54,GOOGL!A$2:G$55,7,0)</f>
        <v>581.64</v>
      </c>
      <c r="AW54">
        <f>VLOOKUP(A54,GS!A$2:G$55,7,0)</f>
        <v>183.98</v>
      </c>
      <c r="AX54">
        <f>VLOOKUP(A54,HAL!A$2:G$55,7,0)</f>
        <v>66.28</v>
      </c>
      <c r="AY54">
        <f>VLOOKUP(A54,HD!A$2:G$55,7,0)</f>
        <v>89.38</v>
      </c>
      <c r="AZ54">
        <f>VLOOKUP(A54,HON!A$2:G$55,7,0)</f>
        <v>94.65</v>
      </c>
      <c r="BA54">
        <f>VLOOKUP(A54,HPQ!A$2:G$55,7,0)</f>
        <v>36.25</v>
      </c>
      <c r="BB54">
        <f>VLOOKUP(A54,IBM!A$2:G$55,7,0)</f>
        <v>191.81</v>
      </c>
      <c r="BC54">
        <f>VLOOKUP(A54,INTC!A$2:G$55,7,0)</f>
        <v>34.54</v>
      </c>
      <c r="BD54">
        <f>VLOOKUP(A54,JNJ!A$2:G$55,7,0)</f>
        <v>104.72</v>
      </c>
      <c r="BE54">
        <f>VLOOKUP(A54,JPM!A$2:G$55,7,0)</f>
        <v>59.94</v>
      </c>
      <c r="BF54">
        <f>VLOOKUP(A54,KO!A$2:G$55,7,0)</f>
        <v>41.5</v>
      </c>
      <c r="BG54">
        <f>VLOOKUP(A54,LLY!A$2:G$55,7,0)</f>
        <v>65.19</v>
      </c>
      <c r="BH54">
        <f>VLOOKUP(A54,LMT!A$2:G$55,7,0)</f>
        <v>175.6</v>
      </c>
      <c r="BI54">
        <f>VLOOKUP(A54,LOW!A$2:G$55,7,0)</f>
        <v>53.13</v>
      </c>
      <c r="BJ54">
        <f>VLOOKUP(A54,MA!A$2:G$55,7,0)</f>
        <v>75.239999999999995</v>
      </c>
      <c r="BK54">
        <f>VLOOKUP(A54,MCD!A$2:G$55,7,0)</f>
        <v>93.47</v>
      </c>
      <c r="BL54">
        <f>VLOOKUP(A54,MDLZ!A$2:G$55,7,0)</f>
        <v>35.28</v>
      </c>
      <c r="BM54">
        <f>VLOOKUP(A54,MDT!A$2:G$55,7,0)</f>
        <v>64.95</v>
      </c>
      <c r="BN54">
        <f>VLOOKUP(A54,MET!A$2:G$55,7,0)</f>
        <v>55.06</v>
      </c>
      <c r="BO54">
        <f>VLOOKUP(A54,MMM!A$2:G$55,7,0)</f>
        <v>144.47999999999999</v>
      </c>
      <c r="BP54">
        <f>VLOOKUP(A54,MO!A$2:G$55,7,0)</f>
        <v>44.27</v>
      </c>
      <c r="BQ54">
        <f>VLOOKUP(A54,MON!A$2:G$55,7,0)</f>
        <v>113.14</v>
      </c>
      <c r="BR54">
        <f>VLOOKUP(A54,MRK!A$2:G$55,7,0)</f>
        <v>59.52</v>
      </c>
      <c r="BS54">
        <f>VLOOKUP(A54,MS!A$2:G$55,7,0)</f>
        <v>35.21</v>
      </c>
      <c r="BT54">
        <f>VLOOKUP(A54,MSFT!A$2:G$55,7,0)</f>
        <v>46.24</v>
      </c>
      <c r="BU54">
        <f>VLOOKUP(A54,NKE!A$2:G$55,7,0)</f>
        <v>81.61</v>
      </c>
      <c r="BV54">
        <f>VLOOKUP(A54,NOV!A$2:G$55,7,0)</f>
        <v>81.3</v>
      </c>
      <c r="BW54">
        <f>VLOOKUP(A54,NSC!A$2:G$55,7,0)</f>
        <v>108.17</v>
      </c>
      <c r="BX54">
        <f>VLOOKUP(A54,ORCL!A$2:G$55,7,0)</f>
        <v>40.659999999999997</v>
      </c>
      <c r="BY54">
        <f>VLOOKUP(A54,OXY!A$2:G$55,7,0)</f>
        <v>98.29</v>
      </c>
      <c r="BZ54">
        <f>VLOOKUP(A54,PEP!A$2:G$55,7,0)</f>
        <v>91.2</v>
      </c>
      <c r="CA54">
        <f>VLOOKUP(A54,PFE!A$2:G$55,7,0)</f>
        <v>29.92</v>
      </c>
      <c r="CB54">
        <f>VLOOKUP(A54,PG!A$2:G$55,7,0)</f>
        <v>83.87</v>
      </c>
      <c r="CC54">
        <f>VLOOKUP(A54,PM!A$2:G$55,7,0)</f>
        <v>83.22</v>
      </c>
      <c r="CD54">
        <f>VLOOKUP(A54,QCOM!A$2:G$55,7,0)</f>
        <v>75.08</v>
      </c>
      <c r="CE54">
        <f>VLOOKUP(A54,RTN!A$2:G$55,7,0)</f>
        <v>100.91</v>
      </c>
      <c r="CF54">
        <f>VLOOKUP(A54,SBUX!A$2:G$55,7,0)</f>
        <v>74.92</v>
      </c>
      <c r="CG54">
        <f>VLOOKUP(A54,SLB!A$2:G$55,7,0)</f>
        <v>103.05</v>
      </c>
      <c r="CH54">
        <f>VLOOKUP(A54,SO!A$2:G$55,7,0)</f>
        <v>43.37</v>
      </c>
      <c r="CI54">
        <f>VLOOKUP(A54,SPG!A$2:G$55,7,0)</f>
        <v>165.54</v>
      </c>
      <c r="CJ54">
        <f>VLOOKUP(A54,T!A$2:G$55,7,0)</f>
        <v>34.69</v>
      </c>
      <c r="CK54">
        <f>VLOOKUP(A54,TGT!A$2:G$55,7,0)</f>
        <v>62.21</v>
      </c>
      <c r="CL54">
        <f>VLOOKUP(A54,TWX!A$2:G$55,7,0)</f>
        <v>76.2</v>
      </c>
      <c r="CM54">
        <f>VLOOKUP(A54,TXN!A$2:G$55,7,0)</f>
        <v>47.59</v>
      </c>
      <c r="CN54">
        <f>VLOOKUP(A54,UNH!A$2:G$55,7,0)</f>
        <v>86.03</v>
      </c>
      <c r="CO54">
        <f>VLOOKUP(A54,UNP!A$2:G$55,7,0)</f>
        <v>107.04</v>
      </c>
      <c r="CP54">
        <f>VLOOKUP(A54,UPS!A$2:G$55,7,0)</f>
        <v>97.62</v>
      </c>
      <c r="CQ54">
        <f>VLOOKUP(A54,USB!A$2:G$55,7,0)</f>
        <v>42.12</v>
      </c>
      <c r="CR54">
        <f>VLOOKUP(A54,UTX!A$2:G$55,7,0)</f>
        <v>108.32</v>
      </c>
      <c r="CS54">
        <f>VLOOKUP(A54,V!A$2:G$55,7,0)</f>
        <v>214.64</v>
      </c>
      <c r="CT54">
        <f>VLOOKUP(A54,VZ!A$2:G$55,7,0)</f>
        <v>48.56</v>
      </c>
      <c r="CU54">
        <f>VLOOKUP(A54,WAG!A$2:G$55,7,0)</f>
        <v>62.72</v>
      </c>
      <c r="CV54">
        <f>VLOOKUP(A54,WFC!A$2:G$55,7,0)</f>
        <v>51.94</v>
      </c>
      <c r="CW54">
        <f>VLOOKUP(A54,WMT!A$2:G$55,7,0)</f>
        <v>75.81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107</vt:i4>
      </vt:variant>
      <vt:variant>
        <vt:lpstr>Named Ranges</vt:lpstr>
      </vt:variant>
      <vt:variant>
        <vt:i4>108</vt:i4>
      </vt:variant>
    </vt:vector>
  </HeadingPairs>
  <TitlesOfParts>
    <vt:vector size="215" baseType="lpstr">
      <vt:lpstr>Parameters</vt:lpstr>
      <vt:lpstr>AAPL</vt:lpstr>
      <vt:lpstr>ABBV</vt:lpstr>
      <vt:lpstr>ABT</vt:lpstr>
      <vt:lpstr>ACN</vt:lpstr>
      <vt:lpstr>AIG</vt:lpstr>
      <vt:lpstr>ALL</vt:lpstr>
      <vt:lpstr>AMGN</vt:lpstr>
      <vt:lpstr>AMZN</vt:lpstr>
      <vt:lpstr>APA</vt:lpstr>
      <vt:lpstr>APC</vt:lpstr>
      <vt:lpstr>AXP</vt:lpstr>
      <vt:lpstr>BA</vt:lpstr>
      <vt:lpstr>BAC</vt:lpstr>
      <vt:lpstr>BAX</vt:lpstr>
      <vt:lpstr>BIIB</vt:lpstr>
      <vt:lpstr>BK</vt:lpstr>
      <vt:lpstr>BMY</vt:lpstr>
      <vt:lpstr>BRK-B</vt:lpstr>
      <vt:lpstr>C</vt:lpstr>
      <vt:lpstr>CAT</vt:lpstr>
      <vt:lpstr>CL</vt:lpstr>
      <vt:lpstr>CMCSA</vt:lpstr>
      <vt:lpstr>COF</vt:lpstr>
      <vt:lpstr>COP</vt:lpstr>
      <vt:lpstr>COST</vt:lpstr>
      <vt:lpstr>CSCO</vt:lpstr>
      <vt:lpstr>CVS</vt:lpstr>
      <vt:lpstr>CVX</vt:lpstr>
      <vt:lpstr>DD</vt:lpstr>
      <vt:lpstr>DIS</vt:lpstr>
      <vt:lpstr>DOW</vt:lpstr>
      <vt:lpstr>DVN</vt:lpstr>
      <vt:lpstr>EBAY</vt:lpstr>
      <vt:lpstr>EMC</vt:lpstr>
      <vt:lpstr>EMR</vt:lpstr>
      <vt:lpstr>EXC</vt:lpstr>
      <vt:lpstr>F</vt:lpstr>
      <vt:lpstr>FB</vt:lpstr>
      <vt:lpstr>FCX</vt:lpstr>
      <vt:lpstr>FDX</vt:lpstr>
      <vt:lpstr>FOXA</vt:lpstr>
      <vt:lpstr>GD</vt:lpstr>
      <vt:lpstr>GE</vt:lpstr>
      <vt:lpstr>GILD</vt:lpstr>
      <vt:lpstr>GM</vt:lpstr>
      <vt:lpstr>GOOG</vt:lpstr>
      <vt:lpstr>GOOGL</vt:lpstr>
      <vt:lpstr>GS</vt:lpstr>
      <vt:lpstr>HAL</vt:lpstr>
      <vt:lpstr>HD</vt:lpstr>
      <vt:lpstr>HON</vt:lpstr>
      <vt:lpstr>HPQ</vt:lpstr>
      <vt:lpstr>IBM</vt:lpstr>
      <vt:lpstr>INTC</vt:lpstr>
      <vt:lpstr>JNJ</vt:lpstr>
      <vt:lpstr>JPM</vt:lpstr>
      <vt:lpstr>KO</vt:lpstr>
      <vt:lpstr>LLY</vt:lpstr>
      <vt:lpstr>LMT</vt:lpstr>
      <vt:lpstr>LOW</vt:lpstr>
      <vt:lpstr>MA</vt:lpstr>
      <vt:lpstr>MCD</vt:lpstr>
      <vt:lpstr>MDLZ</vt:lpstr>
      <vt:lpstr>MDT</vt:lpstr>
      <vt:lpstr>MET</vt:lpstr>
      <vt:lpstr>MMM</vt:lpstr>
      <vt:lpstr>MO</vt:lpstr>
      <vt:lpstr>MON</vt:lpstr>
      <vt:lpstr>MRK</vt:lpstr>
      <vt:lpstr>MS</vt:lpstr>
      <vt:lpstr>MSFT</vt:lpstr>
      <vt:lpstr>NKE</vt:lpstr>
      <vt:lpstr>NOV</vt:lpstr>
      <vt:lpstr>NSC</vt:lpstr>
      <vt:lpstr>ORCL</vt:lpstr>
      <vt:lpstr>OXY</vt:lpstr>
      <vt:lpstr>PEP</vt:lpstr>
      <vt:lpstr>PFE</vt:lpstr>
      <vt:lpstr>PG</vt:lpstr>
      <vt:lpstr>PM</vt:lpstr>
      <vt:lpstr>QCOM</vt:lpstr>
      <vt:lpstr>RTN</vt:lpstr>
      <vt:lpstr>SBUX</vt:lpstr>
      <vt:lpstr>SLB</vt:lpstr>
      <vt:lpstr>SO</vt:lpstr>
      <vt:lpstr>SPG</vt:lpstr>
      <vt:lpstr>T</vt:lpstr>
      <vt:lpstr>TGT</vt:lpstr>
      <vt:lpstr>TWX</vt:lpstr>
      <vt:lpstr>TXN</vt:lpstr>
      <vt:lpstr>UNH</vt:lpstr>
      <vt:lpstr>UNP</vt:lpstr>
      <vt:lpstr>UPS</vt:lpstr>
      <vt:lpstr>USB</vt:lpstr>
      <vt:lpstr>UTX</vt:lpstr>
      <vt:lpstr>V</vt:lpstr>
      <vt:lpstr>VZ</vt:lpstr>
      <vt:lpstr>WAG</vt:lpstr>
      <vt:lpstr>WFC</vt:lpstr>
      <vt:lpstr>WMT</vt:lpstr>
      <vt:lpstr>Open Price</vt:lpstr>
      <vt:lpstr>High Price</vt:lpstr>
      <vt:lpstr>Low Price</vt:lpstr>
      <vt:lpstr>Close Price</vt:lpstr>
      <vt:lpstr>Trading Volume</vt:lpstr>
      <vt:lpstr>Adjusted Close Price</vt:lpstr>
      <vt:lpstr>collateData</vt:lpstr>
      <vt:lpstr>exportToCSV</vt:lpstr>
      <vt:lpstr>AAPL!ExternalData_1</vt:lpstr>
      <vt:lpstr>ABBV!ExternalData_1</vt:lpstr>
      <vt:lpstr>ABT!ExternalData_1</vt:lpstr>
      <vt:lpstr>ACN!ExternalData_1</vt:lpstr>
      <vt:lpstr>'Adjusted Close Price'!ExternalData_1</vt:lpstr>
      <vt:lpstr>AIG!ExternalData_1</vt:lpstr>
      <vt:lpstr>ALL!ExternalData_1</vt:lpstr>
      <vt:lpstr>AMGN!ExternalData_1</vt:lpstr>
      <vt:lpstr>AMZN!ExternalData_1</vt:lpstr>
      <vt:lpstr>APA!ExternalData_1</vt:lpstr>
      <vt:lpstr>APC!ExternalData_1</vt:lpstr>
      <vt:lpstr>AXP!ExternalData_1</vt:lpstr>
      <vt:lpstr>BA!ExternalData_1</vt:lpstr>
      <vt:lpstr>BAC!ExternalData_1</vt:lpstr>
      <vt:lpstr>BAX!ExternalData_1</vt:lpstr>
      <vt:lpstr>BIIB!ExternalData_1</vt:lpstr>
      <vt:lpstr>BK!ExternalData_1</vt:lpstr>
      <vt:lpstr>BMY!ExternalData_1</vt:lpstr>
      <vt:lpstr>'BRK-B'!ExternalData_1</vt:lpstr>
      <vt:lpstr>'C'!ExternalData_1</vt:lpstr>
      <vt:lpstr>CAT!ExternalData_1</vt:lpstr>
      <vt:lpstr>CL!ExternalData_1</vt:lpstr>
      <vt:lpstr>'Close Price'!ExternalData_1</vt:lpstr>
      <vt:lpstr>CMCSA!ExternalData_1</vt:lpstr>
      <vt:lpstr>COF!ExternalData_1</vt:lpstr>
      <vt:lpstr>COP!ExternalData_1</vt:lpstr>
      <vt:lpstr>COST!ExternalData_1</vt:lpstr>
      <vt:lpstr>CSCO!ExternalData_1</vt:lpstr>
      <vt:lpstr>CVS!ExternalData_1</vt:lpstr>
      <vt:lpstr>CVX!ExternalData_1</vt:lpstr>
      <vt:lpstr>DD!ExternalData_1</vt:lpstr>
      <vt:lpstr>DIS!ExternalData_1</vt:lpstr>
      <vt:lpstr>DOW!ExternalData_1</vt:lpstr>
      <vt:lpstr>DVN!ExternalData_1</vt:lpstr>
      <vt:lpstr>EBAY!ExternalData_1</vt:lpstr>
      <vt:lpstr>EMC!ExternalData_1</vt:lpstr>
      <vt:lpstr>EMR!ExternalData_1</vt:lpstr>
      <vt:lpstr>EXC!ExternalData_1</vt:lpstr>
      <vt:lpstr>F!ExternalData_1</vt:lpstr>
      <vt:lpstr>FB!ExternalData_1</vt:lpstr>
      <vt:lpstr>FCX!ExternalData_1</vt:lpstr>
      <vt:lpstr>FDX!ExternalData_1</vt:lpstr>
      <vt:lpstr>FOXA!ExternalData_1</vt:lpstr>
      <vt:lpstr>GD!ExternalData_1</vt:lpstr>
      <vt:lpstr>GE!ExternalData_1</vt:lpstr>
      <vt:lpstr>GILD!ExternalData_1</vt:lpstr>
      <vt:lpstr>GM!ExternalData_1</vt:lpstr>
      <vt:lpstr>GOOG!ExternalData_1</vt:lpstr>
      <vt:lpstr>GOOGL!ExternalData_1</vt:lpstr>
      <vt:lpstr>GS!ExternalData_1</vt:lpstr>
      <vt:lpstr>HAL!ExternalData_1</vt:lpstr>
      <vt:lpstr>HD!ExternalData_1</vt:lpstr>
      <vt:lpstr>'High Price'!ExternalData_1</vt:lpstr>
      <vt:lpstr>HON!ExternalData_1</vt:lpstr>
      <vt:lpstr>HPQ!ExternalData_1</vt:lpstr>
      <vt:lpstr>IBM!ExternalData_1</vt:lpstr>
      <vt:lpstr>INTC!ExternalData_1</vt:lpstr>
      <vt:lpstr>JNJ!ExternalData_1</vt:lpstr>
      <vt:lpstr>JPM!ExternalData_1</vt:lpstr>
      <vt:lpstr>KO!ExternalData_1</vt:lpstr>
      <vt:lpstr>LLY!ExternalData_1</vt:lpstr>
      <vt:lpstr>LMT!ExternalData_1</vt:lpstr>
      <vt:lpstr>LOW!ExternalData_1</vt:lpstr>
      <vt:lpstr>'Low Price'!ExternalData_1</vt:lpstr>
      <vt:lpstr>MA!ExternalData_1</vt:lpstr>
      <vt:lpstr>MCD!ExternalData_1</vt:lpstr>
      <vt:lpstr>MDLZ!ExternalData_1</vt:lpstr>
      <vt:lpstr>MDT!ExternalData_1</vt:lpstr>
      <vt:lpstr>MET!ExternalData_1</vt:lpstr>
      <vt:lpstr>MMM!ExternalData_1</vt:lpstr>
      <vt:lpstr>MO!ExternalData_1</vt:lpstr>
      <vt:lpstr>MON!ExternalData_1</vt:lpstr>
      <vt:lpstr>MRK!ExternalData_1</vt:lpstr>
      <vt:lpstr>MS!ExternalData_1</vt:lpstr>
      <vt:lpstr>MSFT!ExternalData_1</vt:lpstr>
      <vt:lpstr>NKE!ExternalData_1</vt:lpstr>
      <vt:lpstr>NOV!ExternalData_1</vt:lpstr>
      <vt:lpstr>NSC!ExternalData_1</vt:lpstr>
      <vt:lpstr>'Open Price'!ExternalData_1</vt:lpstr>
      <vt:lpstr>ORCL!ExternalData_1</vt:lpstr>
      <vt:lpstr>OXY!ExternalData_1</vt:lpstr>
      <vt:lpstr>PEP!ExternalData_1</vt:lpstr>
      <vt:lpstr>PFE!ExternalData_1</vt:lpstr>
      <vt:lpstr>PG!ExternalData_1</vt:lpstr>
      <vt:lpstr>PM!ExternalData_1</vt:lpstr>
      <vt:lpstr>QCOM!ExternalData_1</vt:lpstr>
      <vt:lpstr>RTN!ExternalData_1</vt:lpstr>
      <vt:lpstr>SBUX!ExternalData_1</vt:lpstr>
      <vt:lpstr>SLB!ExternalData_1</vt:lpstr>
      <vt:lpstr>SO!ExternalData_1</vt:lpstr>
      <vt:lpstr>SPG!ExternalData_1</vt:lpstr>
      <vt:lpstr>T!ExternalData_1</vt:lpstr>
      <vt:lpstr>TGT!ExternalData_1</vt:lpstr>
      <vt:lpstr>'Trading Volume'!ExternalData_1</vt:lpstr>
      <vt:lpstr>TWX!ExternalData_1</vt:lpstr>
      <vt:lpstr>TXN!ExternalData_1</vt:lpstr>
      <vt:lpstr>UNH!ExternalData_1</vt:lpstr>
      <vt:lpstr>UNP!ExternalData_1</vt:lpstr>
      <vt:lpstr>UPS!ExternalData_1</vt:lpstr>
      <vt:lpstr>USB!ExternalData_1</vt:lpstr>
      <vt:lpstr>UTX!ExternalData_1</vt:lpstr>
      <vt:lpstr>V!ExternalData_1</vt:lpstr>
      <vt:lpstr>VZ!ExternalData_1</vt:lpstr>
      <vt:lpstr>WAG!ExternalData_1</vt:lpstr>
      <vt:lpstr>WFC!ExternalData_1</vt:lpstr>
      <vt:lpstr>WMT!ExternalData_1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Dan</cp:lastModifiedBy>
  <cp:lastPrinted>2009-11-20T02:20:32Z</cp:lastPrinted>
  <dcterms:created xsi:type="dcterms:W3CDTF">2008-09-08T11:06:36Z</dcterms:created>
  <dcterms:modified xsi:type="dcterms:W3CDTF">2014-09-30T15:10:17Z</dcterms:modified>
</cp:coreProperties>
</file>